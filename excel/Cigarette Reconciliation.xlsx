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anieqluqman/petron software/petron-task/excel/"/>
    </mc:Choice>
  </mc:AlternateContent>
  <xr:revisionPtr revIDLastSave="0" documentId="13_ncr:1_{246D87A5-6EB1-6140-B280-D09255FFBCB2}" xr6:coauthVersionLast="47" xr6:coauthVersionMax="47" xr10:uidLastSave="{00000000-0000-0000-0000-000000000000}"/>
  <bookViews>
    <workbookView xWindow="0" yWindow="660" windowWidth="29400" windowHeight="18460" xr2:uid="{00000000-000D-0000-FFFF-FFFF00000000}"/>
  </bookViews>
  <sheets>
    <sheet name="Daily" sheetId="1" r:id="rId1"/>
    <sheet name="Trends" sheetId="2" r:id="rId2"/>
    <sheet name="Notes" sheetId="3" r:id="rId3"/>
    <sheet name="Counts" sheetId="7" r:id="rId4"/>
    <sheet name="Setup" sheetId="4" r:id="rId5"/>
    <sheet name="Calc" sheetId="5" state="hidden" r:id="rId6"/>
    <sheet name="Data" sheetId="6" r:id="rId7"/>
  </sheets>
  <definedNames>
    <definedName name="ExternalData_1" localSheetId="3" hidden="1">'Counts'!$A$1:$V$982</definedName>
    <definedName name="ExternalData_1" localSheetId="6" hidden="1">Data!$A$1:$V$982</definedName>
    <definedName name="_xlnm.Print_Area" localSheetId="0">Daily!$A$1:$J$79</definedName>
    <definedName name="_xlnm.Print_Area" localSheetId="1">Trends!$A$1:$R$124</definedName>
    <definedName name="_xlnm.Print_Titles" localSheetId="0">Daily!$9:$9</definedName>
    <definedName name="_xlnm.Print_Titles" localSheetId="1">Trends!$4:$4</definedName>
  </definedNames>
  <calcPr calcId="18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I122" i="5" l="1"/>
  <c r="AH122" i="5"/>
  <c r="AM122" i="5" s="1"/>
  <c r="AG122" i="5"/>
  <c r="AF122" i="5"/>
  <c r="AE122" i="5"/>
  <c r="AD122" i="5"/>
  <c r="AC122" i="5"/>
  <c r="AB122" i="5"/>
  <c r="AA122" i="5"/>
  <c r="Z122" i="5"/>
  <c r="Y122" i="5"/>
  <c r="X122" i="5"/>
  <c r="W122" i="5"/>
  <c r="V122" i="5"/>
  <c r="U122" i="5"/>
  <c r="T122" i="5"/>
  <c r="S122" i="5"/>
  <c r="AN122" i="5" s="1"/>
  <c r="AI121" i="5"/>
  <c r="AH121" i="5"/>
  <c r="AM121" i="5" s="1"/>
  <c r="AG121" i="5"/>
  <c r="AF121" i="5"/>
  <c r="AE121" i="5"/>
  <c r="AD121" i="5"/>
  <c r="AC121" i="5"/>
  <c r="AB121" i="5"/>
  <c r="AA121" i="5"/>
  <c r="Z121" i="5"/>
  <c r="Y121" i="5"/>
  <c r="X121" i="5"/>
  <c r="W121" i="5"/>
  <c r="V121" i="5"/>
  <c r="U121" i="5"/>
  <c r="T121" i="5"/>
  <c r="S121" i="5"/>
  <c r="AN121" i="5" s="1"/>
  <c r="AI120" i="5"/>
  <c r="AH120" i="5"/>
  <c r="AM120" i="5" s="1"/>
  <c r="AG120" i="5"/>
  <c r="AF120" i="5"/>
  <c r="AE120" i="5"/>
  <c r="AD120" i="5"/>
  <c r="AC120" i="5"/>
  <c r="AB120" i="5"/>
  <c r="AA120" i="5"/>
  <c r="Z120" i="5"/>
  <c r="Y120" i="5"/>
  <c r="X120" i="5"/>
  <c r="W120" i="5"/>
  <c r="V120" i="5"/>
  <c r="U120" i="5"/>
  <c r="T120" i="5"/>
  <c r="S120" i="5"/>
  <c r="AN120" i="5" s="1"/>
  <c r="AI119" i="5"/>
  <c r="AH119" i="5"/>
  <c r="AM119" i="5" s="1"/>
  <c r="AG119" i="5"/>
  <c r="AF119" i="5"/>
  <c r="AE119" i="5"/>
  <c r="AD119" i="5"/>
  <c r="AC119" i="5"/>
  <c r="AB119" i="5"/>
  <c r="AA119" i="5"/>
  <c r="Z119" i="5"/>
  <c r="Y119" i="5"/>
  <c r="X119" i="5"/>
  <c r="W119" i="5"/>
  <c r="V119" i="5"/>
  <c r="U119" i="5"/>
  <c r="T119" i="5"/>
  <c r="S119" i="5"/>
  <c r="AN119" i="5" s="1"/>
  <c r="AI118" i="5"/>
  <c r="AH118" i="5"/>
  <c r="AM118" i="5" s="1"/>
  <c r="AG118" i="5"/>
  <c r="AF118" i="5"/>
  <c r="AE118" i="5"/>
  <c r="AD118" i="5"/>
  <c r="AC118" i="5"/>
  <c r="AB118" i="5"/>
  <c r="AA118" i="5"/>
  <c r="Z118" i="5"/>
  <c r="Y118" i="5"/>
  <c r="X118" i="5"/>
  <c r="W118" i="5"/>
  <c r="V118" i="5"/>
  <c r="U118" i="5"/>
  <c r="T118" i="5"/>
  <c r="S118" i="5"/>
  <c r="AN118" i="5" s="1"/>
  <c r="AI117" i="5"/>
  <c r="AH117" i="5"/>
  <c r="AM117" i="5" s="1"/>
  <c r="AG117" i="5"/>
  <c r="AF117" i="5"/>
  <c r="AE117" i="5"/>
  <c r="AD117" i="5"/>
  <c r="AC117" i="5"/>
  <c r="AB117" i="5"/>
  <c r="AA117" i="5"/>
  <c r="Z117" i="5"/>
  <c r="Y117" i="5"/>
  <c r="X117" i="5"/>
  <c r="W117" i="5"/>
  <c r="V117" i="5"/>
  <c r="U117" i="5"/>
  <c r="T117" i="5"/>
  <c r="S117" i="5"/>
  <c r="AN117" i="5" s="1"/>
  <c r="AI116" i="5"/>
  <c r="AH116" i="5"/>
  <c r="AM116" i="5" s="1"/>
  <c r="AG116" i="5"/>
  <c r="AF116" i="5"/>
  <c r="AE116" i="5"/>
  <c r="AD116" i="5"/>
  <c r="AC116" i="5"/>
  <c r="AB116" i="5"/>
  <c r="AA116" i="5"/>
  <c r="Z116" i="5"/>
  <c r="Y116" i="5"/>
  <c r="X116" i="5"/>
  <c r="W116" i="5"/>
  <c r="V116" i="5"/>
  <c r="U116" i="5"/>
  <c r="T116" i="5"/>
  <c r="S116" i="5"/>
  <c r="AN116" i="5" s="1"/>
  <c r="AI115" i="5"/>
  <c r="AH115" i="5"/>
  <c r="AM115" i="5" s="1"/>
  <c r="AG115" i="5"/>
  <c r="AF115" i="5"/>
  <c r="AE115" i="5"/>
  <c r="AD115" i="5"/>
  <c r="AC115" i="5"/>
  <c r="AB115" i="5"/>
  <c r="AA115" i="5"/>
  <c r="Z115" i="5"/>
  <c r="Y115" i="5"/>
  <c r="X115" i="5"/>
  <c r="W115" i="5"/>
  <c r="V115" i="5"/>
  <c r="U115" i="5"/>
  <c r="T115" i="5"/>
  <c r="S115" i="5"/>
  <c r="AN115" i="5" s="1"/>
  <c r="AI114" i="5"/>
  <c r="AH114" i="5"/>
  <c r="AM114" i="5" s="1"/>
  <c r="AG114" i="5"/>
  <c r="AF114" i="5"/>
  <c r="AE114" i="5"/>
  <c r="AD114" i="5"/>
  <c r="AC114" i="5"/>
  <c r="AB114" i="5"/>
  <c r="AA114" i="5"/>
  <c r="Z114" i="5"/>
  <c r="Y114" i="5"/>
  <c r="X114" i="5"/>
  <c r="W114" i="5"/>
  <c r="V114" i="5"/>
  <c r="U114" i="5"/>
  <c r="T114" i="5"/>
  <c r="S114" i="5"/>
  <c r="AN114" i="5" s="1"/>
  <c r="AI113" i="5"/>
  <c r="AH113" i="5"/>
  <c r="AL113" i="5" s="1"/>
  <c r="AG113" i="5"/>
  <c r="AF113" i="5"/>
  <c r="AE113" i="5"/>
  <c r="AD113" i="5"/>
  <c r="AC113" i="5"/>
  <c r="AB113" i="5"/>
  <c r="AA113" i="5"/>
  <c r="Z113" i="5"/>
  <c r="Y113" i="5"/>
  <c r="X113" i="5"/>
  <c r="W113" i="5"/>
  <c r="V113" i="5"/>
  <c r="U113" i="5"/>
  <c r="T113" i="5"/>
  <c r="S113" i="5"/>
  <c r="AN113" i="5" s="1"/>
  <c r="AI112" i="5"/>
  <c r="AH112" i="5"/>
  <c r="AL112" i="5" s="1"/>
  <c r="AG112" i="5"/>
  <c r="AF112" i="5"/>
  <c r="AE112" i="5"/>
  <c r="AD112" i="5"/>
  <c r="AC112" i="5"/>
  <c r="AB112" i="5"/>
  <c r="AA112" i="5"/>
  <c r="Z112" i="5"/>
  <c r="Y112" i="5"/>
  <c r="X112" i="5"/>
  <c r="W112" i="5"/>
  <c r="V112" i="5"/>
  <c r="U112" i="5"/>
  <c r="T112" i="5"/>
  <c r="S112" i="5"/>
  <c r="AN112" i="5" s="1"/>
  <c r="AI111" i="5"/>
  <c r="AH111" i="5"/>
  <c r="AM111" i="5" s="1"/>
  <c r="AG111" i="5"/>
  <c r="AF111" i="5"/>
  <c r="AE111" i="5"/>
  <c r="AD111" i="5"/>
  <c r="AC111" i="5"/>
  <c r="AB111" i="5"/>
  <c r="AA111" i="5"/>
  <c r="Z111" i="5"/>
  <c r="Y111" i="5"/>
  <c r="X111" i="5"/>
  <c r="W111" i="5"/>
  <c r="V111" i="5"/>
  <c r="U111" i="5"/>
  <c r="T111" i="5"/>
  <c r="S111" i="5"/>
  <c r="AN111" i="5" s="1"/>
  <c r="AI110" i="5"/>
  <c r="AH110" i="5"/>
  <c r="AM110" i="5" s="1"/>
  <c r="AG110" i="5"/>
  <c r="AF110" i="5"/>
  <c r="AE110" i="5"/>
  <c r="AD110" i="5"/>
  <c r="AC110" i="5"/>
  <c r="AB110" i="5"/>
  <c r="AA110" i="5"/>
  <c r="Z110" i="5"/>
  <c r="Y110" i="5"/>
  <c r="X110" i="5"/>
  <c r="W110" i="5"/>
  <c r="V110" i="5"/>
  <c r="U110" i="5"/>
  <c r="T110" i="5"/>
  <c r="S110" i="5"/>
  <c r="AN110" i="5" s="1"/>
  <c r="AI109" i="5"/>
  <c r="AH109" i="5"/>
  <c r="AJ109" i="5" s="1"/>
  <c r="AG109" i="5"/>
  <c r="AF109" i="5"/>
  <c r="AE109" i="5"/>
  <c r="AD109" i="5"/>
  <c r="AC109" i="5"/>
  <c r="AB109" i="5"/>
  <c r="AA109" i="5"/>
  <c r="Z109" i="5"/>
  <c r="Y109" i="5"/>
  <c r="X109" i="5"/>
  <c r="W109" i="5"/>
  <c r="V109" i="5"/>
  <c r="U109" i="5"/>
  <c r="T109" i="5"/>
  <c r="S109" i="5"/>
  <c r="AN109" i="5" s="1"/>
  <c r="AI108" i="5"/>
  <c r="AH108" i="5"/>
  <c r="AL108" i="5" s="1"/>
  <c r="AG108" i="5"/>
  <c r="AF108" i="5"/>
  <c r="AE108" i="5"/>
  <c r="AD108" i="5"/>
  <c r="AC108" i="5"/>
  <c r="AB108" i="5"/>
  <c r="AA108" i="5"/>
  <c r="Z108" i="5"/>
  <c r="Y108" i="5"/>
  <c r="X108" i="5"/>
  <c r="W108" i="5"/>
  <c r="V108" i="5"/>
  <c r="U108" i="5"/>
  <c r="T108" i="5"/>
  <c r="S108" i="5"/>
  <c r="AN108" i="5" s="1"/>
  <c r="AI107" i="5"/>
  <c r="AH107" i="5"/>
  <c r="AJ107" i="5" s="1"/>
  <c r="AG107" i="5"/>
  <c r="AF107" i="5"/>
  <c r="AE107" i="5"/>
  <c r="AD107" i="5"/>
  <c r="AC107" i="5"/>
  <c r="AB107" i="5"/>
  <c r="AA107" i="5"/>
  <c r="Z107" i="5"/>
  <c r="Y107" i="5"/>
  <c r="X107" i="5"/>
  <c r="W107" i="5"/>
  <c r="V107" i="5"/>
  <c r="U107" i="5"/>
  <c r="T107" i="5"/>
  <c r="S107" i="5"/>
  <c r="AN107" i="5" s="1"/>
  <c r="AI106" i="5"/>
  <c r="AH106" i="5"/>
  <c r="AM106" i="5" s="1"/>
  <c r="AG106" i="5"/>
  <c r="AF106" i="5"/>
  <c r="AE106" i="5"/>
  <c r="AD106" i="5"/>
  <c r="AC106" i="5"/>
  <c r="AB106" i="5"/>
  <c r="AA106" i="5"/>
  <c r="Z106" i="5"/>
  <c r="Y106" i="5"/>
  <c r="X106" i="5"/>
  <c r="W106" i="5"/>
  <c r="V106" i="5"/>
  <c r="U106" i="5"/>
  <c r="T106" i="5"/>
  <c r="S106" i="5"/>
  <c r="AN106" i="5" s="1"/>
  <c r="AI105" i="5"/>
  <c r="AH105" i="5"/>
  <c r="AM105" i="5" s="1"/>
  <c r="AG105" i="5"/>
  <c r="AF105" i="5"/>
  <c r="AE105" i="5"/>
  <c r="AD105" i="5"/>
  <c r="AC105" i="5"/>
  <c r="AB105" i="5"/>
  <c r="AA105" i="5"/>
  <c r="Z105" i="5"/>
  <c r="Y105" i="5"/>
  <c r="X105" i="5"/>
  <c r="W105" i="5"/>
  <c r="V105" i="5"/>
  <c r="U105" i="5"/>
  <c r="T105" i="5"/>
  <c r="S105" i="5"/>
  <c r="AN105" i="5" s="1"/>
  <c r="AI104" i="5"/>
  <c r="AH104" i="5"/>
  <c r="AJ104" i="5" s="1"/>
  <c r="AG104" i="5"/>
  <c r="AF104" i="5"/>
  <c r="AE104" i="5"/>
  <c r="AD104" i="5"/>
  <c r="AC104" i="5"/>
  <c r="AB104" i="5"/>
  <c r="AA104" i="5"/>
  <c r="Z104" i="5"/>
  <c r="Y104" i="5"/>
  <c r="X104" i="5"/>
  <c r="W104" i="5"/>
  <c r="V104" i="5"/>
  <c r="U104" i="5"/>
  <c r="T104" i="5"/>
  <c r="S104" i="5"/>
  <c r="AN104" i="5" s="1"/>
  <c r="AI103" i="5"/>
  <c r="AH103" i="5"/>
  <c r="AL103" i="5" s="1"/>
  <c r="AG103" i="5"/>
  <c r="AF103" i="5"/>
  <c r="AE103" i="5"/>
  <c r="AD103" i="5"/>
  <c r="AC103" i="5"/>
  <c r="AB103" i="5"/>
  <c r="AA103" i="5"/>
  <c r="Z103" i="5"/>
  <c r="Y103" i="5"/>
  <c r="X103" i="5"/>
  <c r="W103" i="5"/>
  <c r="V103" i="5"/>
  <c r="U103" i="5"/>
  <c r="T103" i="5"/>
  <c r="S103" i="5"/>
  <c r="AN103" i="5" s="1"/>
  <c r="AI102" i="5"/>
  <c r="AH102" i="5"/>
  <c r="AJ102" i="5" s="1"/>
  <c r="AG102" i="5"/>
  <c r="AF102" i="5"/>
  <c r="AE102" i="5"/>
  <c r="AD102" i="5"/>
  <c r="AC102" i="5"/>
  <c r="AB102" i="5"/>
  <c r="AA102" i="5"/>
  <c r="Z102" i="5"/>
  <c r="Y102" i="5"/>
  <c r="X102" i="5"/>
  <c r="W102" i="5"/>
  <c r="V102" i="5"/>
  <c r="U102" i="5"/>
  <c r="T102" i="5"/>
  <c r="S102" i="5"/>
  <c r="AN102" i="5" s="1"/>
  <c r="AI101" i="5"/>
  <c r="AH101" i="5"/>
  <c r="AM101" i="5" s="1"/>
  <c r="AG101" i="5"/>
  <c r="AF101" i="5"/>
  <c r="AE101" i="5"/>
  <c r="AD101" i="5"/>
  <c r="AC101" i="5"/>
  <c r="AB101" i="5"/>
  <c r="AA101" i="5"/>
  <c r="Z101" i="5"/>
  <c r="Y101" i="5"/>
  <c r="X101" i="5"/>
  <c r="W101" i="5"/>
  <c r="V101" i="5"/>
  <c r="U101" i="5"/>
  <c r="T101" i="5"/>
  <c r="S101" i="5"/>
  <c r="AN101" i="5" s="1"/>
  <c r="AI100" i="5"/>
  <c r="AH100" i="5"/>
  <c r="AM100" i="5" s="1"/>
  <c r="AG100" i="5"/>
  <c r="AF100" i="5"/>
  <c r="AE100" i="5"/>
  <c r="AD100" i="5"/>
  <c r="AC100" i="5"/>
  <c r="AB100" i="5"/>
  <c r="AA100" i="5"/>
  <c r="Z100" i="5"/>
  <c r="Y100" i="5"/>
  <c r="X100" i="5"/>
  <c r="W100" i="5"/>
  <c r="V100" i="5"/>
  <c r="U100" i="5"/>
  <c r="T100" i="5"/>
  <c r="S100" i="5"/>
  <c r="AN100" i="5" s="1"/>
  <c r="AI99" i="5"/>
  <c r="AH99" i="5"/>
  <c r="AJ99" i="5" s="1"/>
  <c r="AG99" i="5"/>
  <c r="AF99" i="5"/>
  <c r="AE99" i="5"/>
  <c r="AD99" i="5"/>
  <c r="AC99" i="5"/>
  <c r="AB99" i="5"/>
  <c r="AA99" i="5"/>
  <c r="Z99" i="5"/>
  <c r="Y99" i="5"/>
  <c r="X99" i="5"/>
  <c r="W99" i="5"/>
  <c r="V99" i="5"/>
  <c r="U99" i="5"/>
  <c r="T99" i="5"/>
  <c r="S99" i="5"/>
  <c r="AN99" i="5" s="1"/>
  <c r="AI98" i="5"/>
  <c r="AH98" i="5"/>
  <c r="AL98" i="5" s="1"/>
  <c r="AG98" i="5"/>
  <c r="AF98" i="5"/>
  <c r="AE98" i="5"/>
  <c r="AD98" i="5"/>
  <c r="AC98" i="5"/>
  <c r="AB98" i="5"/>
  <c r="AA98" i="5"/>
  <c r="Z98" i="5"/>
  <c r="Y98" i="5"/>
  <c r="X98" i="5"/>
  <c r="W98" i="5"/>
  <c r="V98" i="5"/>
  <c r="U98" i="5"/>
  <c r="T98" i="5"/>
  <c r="S98" i="5"/>
  <c r="AN98" i="5" s="1"/>
  <c r="AI97" i="5"/>
  <c r="AH97" i="5"/>
  <c r="AJ97" i="5" s="1"/>
  <c r="AG97" i="5"/>
  <c r="AF97" i="5"/>
  <c r="AE97" i="5"/>
  <c r="AD97" i="5"/>
  <c r="AC97" i="5"/>
  <c r="AB97" i="5"/>
  <c r="AA97" i="5"/>
  <c r="Z97" i="5"/>
  <c r="Y97" i="5"/>
  <c r="X97" i="5"/>
  <c r="W97" i="5"/>
  <c r="V97" i="5"/>
  <c r="U97" i="5"/>
  <c r="T97" i="5"/>
  <c r="S97" i="5"/>
  <c r="AN97" i="5" s="1"/>
  <c r="AI96" i="5"/>
  <c r="AH96" i="5"/>
  <c r="AM96" i="5" s="1"/>
  <c r="AG96" i="5"/>
  <c r="AF96" i="5"/>
  <c r="AE96" i="5"/>
  <c r="AD96" i="5"/>
  <c r="AC96" i="5"/>
  <c r="AB96" i="5"/>
  <c r="AA96" i="5"/>
  <c r="Z96" i="5"/>
  <c r="Y96" i="5"/>
  <c r="X96" i="5"/>
  <c r="W96" i="5"/>
  <c r="V96" i="5"/>
  <c r="U96" i="5"/>
  <c r="T96" i="5"/>
  <c r="S96" i="5"/>
  <c r="AN96" i="5" s="1"/>
  <c r="AI95" i="5"/>
  <c r="AH95" i="5"/>
  <c r="AM95" i="5" s="1"/>
  <c r="AG95" i="5"/>
  <c r="AF95" i="5"/>
  <c r="AE95" i="5"/>
  <c r="AD95" i="5"/>
  <c r="AC95" i="5"/>
  <c r="AB95" i="5"/>
  <c r="AA95" i="5"/>
  <c r="Z95" i="5"/>
  <c r="Y95" i="5"/>
  <c r="X95" i="5"/>
  <c r="W95" i="5"/>
  <c r="V95" i="5"/>
  <c r="U95" i="5"/>
  <c r="T95" i="5"/>
  <c r="S95" i="5"/>
  <c r="AN95" i="5" s="1"/>
  <c r="AI94" i="5"/>
  <c r="AH94" i="5"/>
  <c r="AJ94" i="5" s="1"/>
  <c r="AG94" i="5"/>
  <c r="AF94" i="5"/>
  <c r="AE94" i="5"/>
  <c r="AD94" i="5"/>
  <c r="AC94" i="5"/>
  <c r="AB94" i="5"/>
  <c r="AA94" i="5"/>
  <c r="Z94" i="5"/>
  <c r="Y94" i="5"/>
  <c r="X94" i="5"/>
  <c r="W94" i="5"/>
  <c r="V94" i="5"/>
  <c r="U94" i="5"/>
  <c r="T94" i="5"/>
  <c r="S94" i="5"/>
  <c r="AN94" i="5" s="1"/>
  <c r="AI93" i="5"/>
  <c r="AH93" i="5"/>
  <c r="AL93" i="5" s="1"/>
  <c r="AG93" i="5"/>
  <c r="AF93" i="5"/>
  <c r="AE93" i="5"/>
  <c r="AD93" i="5"/>
  <c r="AC93" i="5"/>
  <c r="AB93" i="5"/>
  <c r="AA93" i="5"/>
  <c r="Z93" i="5"/>
  <c r="Y93" i="5"/>
  <c r="X93" i="5"/>
  <c r="W93" i="5"/>
  <c r="V93" i="5"/>
  <c r="U93" i="5"/>
  <c r="T93" i="5"/>
  <c r="S93" i="5"/>
  <c r="AN93" i="5" s="1"/>
  <c r="AI92" i="5"/>
  <c r="AH92" i="5"/>
  <c r="AM92" i="5" s="1"/>
  <c r="AG92" i="5"/>
  <c r="AF92" i="5"/>
  <c r="AE92" i="5"/>
  <c r="AD92" i="5"/>
  <c r="AC92" i="5"/>
  <c r="AB92" i="5"/>
  <c r="AA92" i="5"/>
  <c r="Z92" i="5"/>
  <c r="Y92" i="5"/>
  <c r="X92" i="5"/>
  <c r="W92" i="5"/>
  <c r="V92" i="5"/>
  <c r="U92" i="5"/>
  <c r="T92" i="5"/>
  <c r="S92" i="5"/>
  <c r="AN92" i="5" s="1"/>
  <c r="AI91" i="5"/>
  <c r="AH91" i="5"/>
  <c r="AM91" i="5" s="1"/>
  <c r="AG91" i="5"/>
  <c r="AF91" i="5"/>
  <c r="AE91" i="5"/>
  <c r="AD91" i="5"/>
  <c r="AC91" i="5"/>
  <c r="AB91" i="5"/>
  <c r="AA91" i="5"/>
  <c r="Z91" i="5"/>
  <c r="Y91" i="5"/>
  <c r="X91" i="5"/>
  <c r="W91" i="5"/>
  <c r="V91" i="5"/>
  <c r="U91" i="5"/>
  <c r="T91" i="5"/>
  <c r="S91" i="5"/>
  <c r="AN91" i="5" s="1"/>
  <c r="AI90" i="5"/>
  <c r="AH90" i="5"/>
  <c r="AM90" i="5" s="1"/>
  <c r="AG90" i="5"/>
  <c r="AF90" i="5"/>
  <c r="AE90" i="5"/>
  <c r="AD90" i="5"/>
  <c r="AC90" i="5"/>
  <c r="AB90" i="5"/>
  <c r="AA90" i="5"/>
  <c r="Z90" i="5"/>
  <c r="Y90" i="5"/>
  <c r="X90" i="5"/>
  <c r="W90" i="5"/>
  <c r="V90" i="5"/>
  <c r="U90" i="5"/>
  <c r="T90" i="5"/>
  <c r="S90" i="5"/>
  <c r="AN90" i="5" s="1"/>
  <c r="AI89" i="5"/>
  <c r="AH89" i="5"/>
  <c r="AJ89" i="5" s="1"/>
  <c r="AG89" i="5"/>
  <c r="AF89" i="5"/>
  <c r="AE89" i="5"/>
  <c r="AD89" i="5"/>
  <c r="AC89" i="5"/>
  <c r="AB89" i="5"/>
  <c r="AA89" i="5"/>
  <c r="Z89" i="5"/>
  <c r="Y89" i="5"/>
  <c r="X89" i="5"/>
  <c r="W89" i="5"/>
  <c r="V89" i="5"/>
  <c r="U89" i="5"/>
  <c r="T89" i="5"/>
  <c r="S89" i="5"/>
  <c r="AN89" i="5" s="1"/>
  <c r="AI88" i="5"/>
  <c r="AH88" i="5"/>
  <c r="AL88" i="5" s="1"/>
  <c r="AG88" i="5"/>
  <c r="AF88" i="5"/>
  <c r="AE88" i="5"/>
  <c r="AD88" i="5"/>
  <c r="AC88" i="5"/>
  <c r="AB88" i="5"/>
  <c r="AA88" i="5"/>
  <c r="Z88" i="5"/>
  <c r="Y88" i="5"/>
  <c r="X88" i="5"/>
  <c r="W88" i="5"/>
  <c r="V88" i="5"/>
  <c r="U88" i="5"/>
  <c r="T88" i="5"/>
  <c r="S88" i="5"/>
  <c r="AN88" i="5" s="1"/>
  <c r="AI87" i="5"/>
  <c r="AH87" i="5"/>
  <c r="AJ87" i="5" s="1"/>
  <c r="AG87" i="5"/>
  <c r="AF87" i="5"/>
  <c r="AE87" i="5"/>
  <c r="AD87" i="5"/>
  <c r="AC87" i="5"/>
  <c r="AB87" i="5"/>
  <c r="AA87" i="5"/>
  <c r="Z87" i="5"/>
  <c r="Y87" i="5"/>
  <c r="X87" i="5"/>
  <c r="W87" i="5"/>
  <c r="V87" i="5"/>
  <c r="U87" i="5"/>
  <c r="T87" i="5"/>
  <c r="S87" i="5"/>
  <c r="AN87" i="5" s="1"/>
  <c r="AI86" i="5"/>
  <c r="AH86" i="5"/>
  <c r="AM86" i="5" s="1"/>
  <c r="AG86" i="5"/>
  <c r="AF86" i="5"/>
  <c r="AE86" i="5"/>
  <c r="AD86" i="5"/>
  <c r="AC86" i="5"/>
  <c r="AB86" i="5"/>
  <c r="AA86" i="5"/>
  <c r="Z86" i="5"/>
  <c r="Y86" i="5"/>
  <c r="X86" i="5"/>
  <c r="W86" i="5"/>
  <c r="V86" i="5"/>
  <c r="U86" i="5"/>
  <c r="T86" i="5"/>
  <c r="S86" i="5"/>
  <c r="AN86" i="5" s="1"/>
  <c r="AI85" i="5"/>
  <c r="AH85" i="5"/>
  <c r="AM85" i="5" s="1"/>
  <c r="AG85" i="5"/>
  <c r="AF85" i="5"/>
  <c r="AE85" i="5"/>
  <c r="AD85" i="5"/>
  <c r="AC85" i="5"/>
  <c r="AB85" i="5"/>
  <c r="AA85" i="5"/>
  <c r="Z85" i="5"/>
  <c r="Y85" i="5"/>
  <c r="X85" i="5"/>
  <c r="W85" i="5"/>
  <c r="V85" i="5"/>
  <c r="U85" i="5"/>
  <c r="T85" i="5"/>
  <c r="S85" i="5"/>
  <c r="AN85" i="5" s="1"/>
  <c r="AI84" i="5"/>
  <c r="AH84" i="5"/>
  <c r="AJ84" i="5" s="1"/>
  <c r="AG84" i="5"/>
  <c r="AF84" i="5"/>
  <c r="AE84" i="5"/>
  <c r="AD84" i="5"/>
  <c r="AC84" i="5"/>
  <c r="AB84" i="5"/>
  <c r="AA84" i="5"/>
  <c r="Z84" i="5"/>
  <c r="Y84" i="5"/>
  <c r="X84" i="5"/>
  <c r="W84" i="5"/>
  <c r="V84" i="5"/>
  <c r="U84" i="5"/>
  <c r="T84" i="5"/>
  <c r="S84" i="5"/>
  <c r="AN84" i="5" s="1"/>
  <c r="AI83" i="5"/>
  <c r="AH83" i="5"/>
  <c r="AL83" i="5" s="1"/>
  <c r="AG83" i="5"/>
  <c r="AF83" i="5"/>
  <c r="AE83" i="5"/>
  <c r="AD83" i="5"/>
  <c r="AC83" i="5"/>
  <c r="AB83" i="5"/>
  <c r="AA83" i="5"/>
  <c r="Z83" i="5"/>
  <c r="Y83" i="5"/>
  <c r="X83" i="5"/>
  <c r="W83" i="5"/>
  <c r="V83" i="5"/>
  <c r="U83" i="5"/>
  <c r="T83" i="5"/>
  <c r="S83" i="5"/>
  <c r="AN83" i="5" s="1"/>
  <c r="AI82" i="5"/>
  <c r="AH82" i="5"/>
  <c r="AJ82" i="5" s="1"/>
  <c r="AG82" i="5"/>
  <c r="AF82" i="5"/>
  <c r="AE82" i="5"/>
  <c r="AD82" i="5"/>
  <c r="AC82" i="5"/>
  <c r="AB82" i="5"/>
  <c r="AA82" i="5"/>
  <c r="Z82" i="5"/>
  <c r="Y82" i="5"/>
  <c r="X82" i="5"/>
  <c r="W82" i="5"/>
  <c r="V82" i="5"/>
  <c r="U82" i="5"/>
  <c r="T82" i="5"/>
  <c r="S82" i="5"/>
  <c r="AN82" i="5" s="1"/>
  <c r="AI81" i="5"/>
  <c r="AH81" i="5"/>
  <c r="AM81" i="5" s="1"/>
  <c r="AG81" i="5"/>
  <c r="AF81" i="5"/>
  <c r="AE81" i="5"/>
  <c r="AD81" i="5"/>
  <c r="AC81" i="5"/>
  <c r="AB81" i="5"/>
  <c r="AA81" i="5"/>
  <c r="Z81" i="5"/>
  <c r="Y81" i="5"/>
  <c r="X81" i="5"/>
  <c r="W81" i="5"/>
  <c r="V81" i="5"/>
  <c r="U81" i="5"/>
  <c r="T81" i="5"/>
  <c r="S81" i="5"/>
  <c r="AN81" i="5" s="1"/>
  <c r="AI80" i="5"/>
  <c r="AH80" i="5"/>
  <c r="AM80" i="5" s="1"/>
  <c r="AG80" i="5"/>
  <c r="AF80" i="5"/>
  <c r="AE80" i="5"/>
  <c r="AD80" i="5"/>
  <c r="AC80" i="5"/>
  <c r="AB80" i="5"/>
  <c r="AA80" i="5"/>
  <c r="Z80" i="5"/>
  <c r="Y80" i="5"/>
  <c r="X80" i="5"/>
  <c r="W80" i="5"/>
  <c r="V80" i="5"/>
  <c r="U80" i="5"/>
  <c r="T80" i="5"/>
  <c r="S80" i="5"/>
  <c r="AN80" i="5" s="1"/>
  <c r="AI79" i="5"/>
  <c r="AH79" i="5"/>
  <c r="AJ79" i="5" s="1"/>
  <c r="AG79" i="5"/>
  <c r="AF79" i="5"/>
  <c r="AE79" i="5"/>
  <c r="AD79" i="5"/>
  <c r="AC79" i="5"/>
  <c r="AB79" i="5"/>
  <c r="AA79" i="5"/>
  <c r="Z79" i="5"/>
  <c r="Y79" i="5"/>
  <c r="X79" i="5"/>
  <c r="W79" i="5"/>
  <c r="V79" i="5"/>
  <c r="U79" i="5"/>
  <c r="T79" i="5"/>
  <c r="S79" i="5"/>
  <c r="AN79" i="5" s="1"/>
  <c r="AI78" i="5"/>
  <c r="AH78" i="5"/>
  <c r="AL78" i="5" s="1"/>
  <c r="AG78" i="5"/>
  <c r="AF78" i="5"/>
  <c r="AE78" i="5"/>
  <c r="AD78" i="5"/>
  <c r="AC78" i="5"/>
  <c r="AB78" i="5"/>
  <c r="AA78" i="5"/>
  <c r="Z78" i="5"/>
  <c r="Y78" i="5"/>
  <c r="X78" i="5"/>
  <c r="W78" i="5"/>
  <c r="V78" i="5"/>
  <c r="U78" i="5"/>
  <c r="T78" i="5"/>
  <c r="S78" i="5"/>
  <c r="AN78" i="5" s="1"/>
  <c r="AI77" i="5"/>
  <c r="AH77" i="5"/>
  <c r="AG77" i="5"/>
  <c r="AF77" i="5"/>
  <c r="AE77" i="5"/>
  <c r="AD77" i="5"/>
  <c r="AC77" i="5"/>
  <c r="AB77" i="5"/>
  <c r="AA77" i="5"/>
  <c r="Z77" i="5"/>
  <c r="Y77" i="5"/>
  <c r="X77" i="5"/>
  <c r="W77" i="5"/>
  <c r="V77" i="5"/>
  <c r="U77" i="5"/>
  <c r="T77" i="5"/>
  <c r="S77" i="5"/>
  <c r="AI76" i="5"/>
  <c r="AH76" i="5"/>
  <c r="AG76" i="5"/>
  <c r="AF76" i="5"/>
  <c r="AE76" i="5"/>
  <c r="AD76" i="5"/>
  <c r="AC76" i="5"/>
  <c r="AB76" i="5"/>
  <c r="AA76" i="5"/>
  <c r="Z76" i="5"/>
  <c r="Y76" i="5"/>
  <c r="X76" i="5"/>
  <c r="W76" i="5"/>
  <c r="V76" i="5"/>
  <c r="U76" i="5"/>
  <c r="T76" i="5"/>
  <c r="S76" i="5"/>
  <c r="AI75" i="5"/>
  <c r="AH75" i="5"/>
  <c r="AG75" i="5"/>
  <c r="AF75" i="5"/>
  <c r="AE75" i="5"/>
  <c r="AD75" i="5"/>
  <c r="AC75" i="5"/>
  <c r="AB75" i="5"/>
  <c r="AA75" i="5"/>
  <c r="Z75" i="5"/>
  <c r="Y75" i="5"/>
  <c r="X75" i="5"/>
  <c r="W75" i="5"/>
  <c r="V75" i="5"/>
  <c r="U75" i="5"/>
  <c r="T75" i="5"/>
  <c r="S75" i="5"/>
  <c r="AI74" i="5"/>
  <c r="AH74" i="5"/>
  <c r="AJ74" i="5" s="1"/>
  <c r="AG74" i="5"/>
  <c r="AF74" i="5"/>
  <c r="AE74" i="5"/>
  <c r="AD74" i="5"/>
  <c r="AC74" i="5"/>
  <c r="AB74" i="5"/>
  <c r="AA74" i="5"/>
  <c r="Z74" i="5"/>
  <c r="Y74" i="5"/>
  <c r="X74" i="5"/>
  <c r="W74" i="5"/>
  <c r="V74" i="5"/>
  <c r="U74" i="5"/>
  <c r="T74" i="5"/>
  <c r="S74" i="5"/>
  <c r="AI73" i="5"/>
  <c r="AH73" i="5"/>
  <c r="AL73" i="5" s="1"/>
  <c r="AG73" i="5"/>
  <c r="AF73" i="5"/>
  <c r="AE73" i="5"/>
  <c r="AD73" i="5"/>
  <c r="AC73" i="5"/>
  <c r="AB73" i="5"/>
  <c r="AA73" i="5"/>
  <c r="Z73" i="5"/>
  <c r="Y73" i="5"/>
  <c r="X73" i="5"/>
  <c r="W73" i="5"/>
  <c r="V73" i="5"/>
  <c r="U73" i="5"/>
  <c r="T73" i="5"/>
  <c r="S73" i="5"/>
  <c r="AI72" i="5"/>
  <c r="AH72" i="5"/>
  <c r="AM72" i="5" s="1"/>
  <c r="AG72" i="5"/>
  <c r="AF72" i="5"/>
  <c r="AE72" i="5"/>
  <c r="AD72" i="5"/>
  <c r="AC72" i="5"/>
  <c r="AB72" i="5"/>
  <c r="AA72" i="5"/>
  <c r="Z72" i="5"/>
  <c r="Y72" i="5"/>
  <c r="X72" i="5"/>
  <c r="W72" i="5"/>
  <c r="V72" i="5"/>
  <c r="U72" i="5"/>
  <c r="T72" i="5"/>
  <c r="S72" i="5"/>
  <c r="AI71" i="5"/>
  <c r="AH71" i="5"/>
  <c r="AM71" i="5" s="1"/>
  <c r="AG71" i="5"/>
  <c r="AF71" i="5"/>
  <c r="AE71" i="5"/>
  <c r="AD71" i="5"/>
  <c r="AC71" i="5"/>
  <c r="AB71" i="5"/>
  <c r="AA71" i="5"/>
  <c r="Z71" i="5"/>
  <c r="Y71" i="5"/>
  <c r="X71" i="5"/>
  <c r="W71" i="5"/>
  <c r="V71" i="5"/>
  <c r="U71" i="5"/>
  <c r="T71" i="5"/>
  <c r="S71" i="5"/>
  <c r="AI70" i="5"/>
  <c r="AH70" i="5"/>
  <c r="AM70" i="5" s="1"/>
  <c r="AG70" i="5"/>
  <c r="AF70" i="5"/>
  <c r="AE70" i="5"/>
  <c r="AD70" i="5"/>
  <c r="AC70" i="5"/>
  <c r="AB70" i="5"/>
  <c r="AA70" i="5"/>
  <c r="Z70" i="5"/>
  <c r="Y70" i="5"/>
  <c r="X70" i="5"/>
  <c r="W70" i="5"/>
  <c r="V70" i="5"/>
  <c r="U70" i="5"/>
  <c r="T70" i="5"/>
  <c r="S70" i="5"/>
  <c r="AI69" i="5"/>
  <c r="AH69" i="5"/>
  <c r="AJ69" i="5" s="1"/>
  <c r="AG69" i="5"/>
  <c r="AF69" i="5"/>
  <c r="AE69" i="5"/>
  <c r="AD69" i="5"/>
  <c r="AC69" i="5"/>
  <c r="AB69" i="5"/>
  <c r="AA69" i="5"/>
  <c r="Z69" i="5"/>
  <c r="Y69" i="5"/>
  <c r="X69" i="5"/>
  <c r="W69" i="5"/>
  <c r="V69" i="5"/>
  <c r="U69" i="5"/>
  <c r="T69" i="5"/>
  <c r="S69" i="5"/>
  <c r="AI68" i="5"/>
  <c r="AH68" i="5"/>
  <c r="AL68" i="5" s="1"/>
  <c r="AG68" i="5"/>
  <c r="AF68" i="5"/>
  <c r="AE68" i="5"/>
  <c r="AD68" i="5"/>
  <c r="AC68" i="5"/>
  <c r="AB68" i="5"/>
  <c r="AA68" i="5"/>
  <c r="Z68" i="5"/>
  <c r="Y68" i="5"/>
  <c r="X68" i="5"/>
  <c r="W68" i="5"/>
  <c r="V68" i="5"/>
  <c r="U68" i="5"/>
  <c r="T68" i="5"/>
  <c r="S68" i="5"/>
  <c r="AI67" i="5"/>
  <c r="AH67" i="5"/>
  <c r="AK67" i="5" s="1"/>
  <c r="AG67" i="5"/>
  <c r="AF67" i="5"/>
  <c r="AE67" i="5"/>
  <c r="AD67" i="5"/>
  <c r="AC67" i="5"/>
  <c r="AB67" i="5"/>
  <c r="AA67" i="5"/>
  <c r="Z67" i="5"/>
  <c r="Y67" i="5"/>
  <c r="X67" i="5"/>
  <c r="W67" i="5"/>
  <c r="V67" i="5"/>
  <c r="U67" i="5"/>
  <c r="T67" i="5"/>
  <c r="S67" i="5"/>
  <c r="AI66" i="5"/>
  <c r="AH66" i="5"/>
  <c r="AM66" i="5" s="1"/>
  <c r="AG66" i="5"/>
  <c r="AF66" i="5"/>
  <c r="AE66" i="5"/>
  <c r="AD66" i="5"/>
  <c r="AC66" i="5"/>
  <c r="AB66" i="5"/>
  <c r="AA66" i="5"/>
  <c r="Z66" i="5"/>
  <c r="Y66" i="5"/>
  <c r="X66" i="5"/>
  <c r="W66" i="5"/>
  <c r="V66" i="5"/>
  <c r="U66" i="5"/>
  <c r="T66" i="5"/>
  <c r="S66" i="5"/>
  <c r="AI65" i="5"/>
  <c r="AH65" i="5"/>
  <c r="AM65" i="5" s="1"/>
  <c r="AG65" i="5"/>
  <c r="AF65" i="5"/>
  <c r="AE65" i="5"/>
  <c r="AD65" i="5"/>
  <c r="AC65" i="5"/>
  <c r="AB65" i="5"/>
  <c r="AA65" i="5"/>
  <c r="Z65" i="5"/>
  <c r="Y65" i="5"/>
  <c r="X65" i="5"/>
  <c r="W65" i="5"/>
  <c r="V65" i="5"/>
  <c r="U65" i="5"/>
  <c r="T65" i="5"/>
  <c r="S65" i="5"/>
  <c r="AI64" i="5"/>
  <c r="AH64" i="5"/>
  <c r="AJ64" i="5" s="1"/>
  <c r="AG64" i="5"/>
  <c r="AF64" i="5"/>
  <c r="AE64" i="5"/>
  <c r="AD64" i="5"/>
  <c r="AC64" i="5"/>
  <c r="AB64" i="5"/>
  <c r="AA64" i="5"/>
  <c r="Z64" i="5"/>
  <c r="Y64" i="5"/>
  <c r="X64" i="5"/>
  <c r="W64" i="5"/>
  <c r="V64" i="5"/>
  <c r="U64" i="5"/>
  <c r="T64" i="5"/>
  <c r="S64" i="5"/>
  <c r="AI63" i="5"/>
  <c r="AH63" i="5"/>
  <c r="AL63" i="5" s="1"/>
  <c r="AG63" i="5"/>
  <c r="AF63" i="5"/>
  <c r="AE63" i="5"/>
  <c r="AD63" i="5"/>
  <c r="AC63" i="5"/>
  <c r="AB63" i="5"/>
  <c r="AA63" i="5"/>
  <c r="Z63" i="5"/>
  <c r="Y63" i="5"/>
  <c r="X63" i="5"/>
  <c r="W63" i="5"/>
  <c r="V63" i="5"/>
  <c r="U63" i="5"/>
  <c r="T63" i="5"/>
  <c r="S63" i="5"/>
  <c r="AI62" i="5"/>
  <c r="AH62" i="5"/>
  <c r="AK62" i="5" s="1"/>
  <c r="AG62" i="5"/>
  <c r="AF62" i="5"/>
  <c r="AE62" i="5"/>
  <c r="AD62" i="5"/>
  <c r="AC62" i="5"/>
  <c r="AB62" i="5"/>
  <c r="AA62" i="5"/>
  <c r="Z62" i="5"/>
  <c r="Y62" i="5"/>
  <c r="X62" i="5"/>
  <c r="W62" i="5"/>
  <c r="V62" i="5"/>
  <c r="U62" i="5"/>
  <c r="T62" i="5"/>
  <c r="S62" i="5"/>
  <c r="N62" i="5"/>
  <c r="L62" i="5"/>
  <c r="J62" i="5"/>
  <c r="K62" i="5" s="1"/>
  <c r="G62" i="5"/>
  <c r="F62" i="5"/>
  <c r="H62" i="5" s="1"/>
  <c r="E62" i="5"/>
  <c r="O62" i="5" s="1"/>
  <c r="D62" i="5"/>
  <c r="C62" i="5"/>
  <c r="B62" i="5"/>
  <c r="AI61" i="5"/>
  <c r="AH61" i="5"/>
  <c r="AJ61" i="5" s="1"/>
  <c r="AG61" i="5"/>
  <c r="AF61" i="5"/>
  <c r="AE61" i="5"/>
  <c r="AD61" i="5"/>
  <c r="AC61" i="5"/>
  <c r="AB61" i="5"/>
  <c r="AA61" i="5"/>
  <c r="Z61" i="5"/>
  <c r="Y61" i="5"/>
  <c r="X61" i="5"/>
  <c r="W61" i="5"/>
  <c r="V61" i="5"/>
  <c r="U61" i="5"/>
  <c r="T61" i="5"/>
  <c r="S61" i="5"/>
  <c r="N61" i="5"/>
  <c r="L61" i="5"/>
  <c r="J61" i="5"/>
  <c r="K61" i="5" s="1"/>
  <c r="G61" i="5"/>
  <c r="F61" i="5"/>
  <c r="H61" i="5" s="1"/>
  <c r="E61" i="5"/>
  <c r="M61" i="5" s="1"/>
  <c r="D61" i="5"/>
  <c r="C61" i="5"/>
  <c r="B61" i="5"/>
  <c r="AI60" i="5"/>
  <c r="AH60" i="5"/>
  <c r="AM60" i="5" s="1"/>
  <c r="AG60" i="5"/>
  <c r="AF60" i="5"/>
  <c r="AE60" i="5"/>
  <c r="AD60" i="5"/>
  <c r="AC60" i="5"/>
  <c r="AB60" i="5"/>
  <c r="AA60" i="5"/>
  <c r="Z60" i="5"/>
  <c r="Y60" i="5"/>
  <c r="X60" i="5"/>
  <c r="W60" i="5"/>
  <c r="V60" i="5"/>
  <c r="U60" i="5"/>
  <c r="T60" i="5"/>
  <c r="S60" i="5"/>
  <c r="N60" i="5"/>
  <c r="L60" i="5"/>
  <c r="J60" i="5"/>
  <c r="K60" i="5" s="1"/>
  <c r="G60" i="5"/>
  <c r="F60" i="5"/>
  <c r="I60" i="5" s="1"/>
  <c r="E60" i="5"/>
  <c r="O60" i="5" s="1"/>
  <c r="D60" i="5"/>
  <c r="C60" i="5"/>
  <c r="B60" i="5"/>
  <c r="AI59" i="5"/>
  <c r="AH59" i="5"/>
  <c r="AL59" i="5" s="1"/>
  <c r="AG59" i="5"/>
  <c r="AF59" i="5"/>
  <c r="AE59" i="5"/>
  <c r="AD59" i="5"/>
  <c r="AC59" i="5"/>
  <c r="AB59" i="5"/>
  <c r="AA59" i="5"/>
  <c r="Z59" i="5"/>
  <c r="Y59" i="5"/>
  <c r="X59" i="5"/>
  <c r="W59" i="5"/>
  <c r="V59" i="5"/>
  <c r="U59" i="5"/>
  <c r="T59" i="5"/>
  <c r="S59" i="5"/>
  <c r="N59" i="5"/>
  <c r="L59" i="5"/>
  <c r="J59" i="5"/>
  <c r="K59" i="5" s="1"/>
  <c r="G59" i="5"/>
  <c r="F59" i="5"/>
  <c r="I59" i="5" s="1"/>
  <c r="E59" i="5"/>
  <c r="O59" i="5" s="1"/>
  <c r="D59" i="5"/>
  <c r="C59" i="5"/>
  <c r="B59" i="5"/>
  <c r="AI58" i="5"/>
  <c r="AH58" i="5"/>
  <c r="AM58" i="5" s="1"/>
  <c r="AG58" i="5"/>
  <c r="AF58" i="5"/>
  <c r="AE58" i="5"/>
  <c r="AD58" i="5"/>
  <c r="AC58" i="5"/>
  <c r="AB58" i="5"/>
  <c r="AA58" i="5"/>
  <c r="Z58" i="5"/>
  <c r="Y58" i="5"/>
  <c r="X58" i="5"/>
  <c r="W58" i="5"/>
  <c r="V58" i="5"/>
  <c r="U58" i="5"/>
  <c r="T58" i="5"/>
  <c r="S58" i="5"/>
  <c r="N58" i="5"/>
  <c r="L58" i="5"/>
  <c r="J58" i="5"/>
  <c r="K58" i="5" s="1"/>
  <c r="G58" i="5"/>
  <c r="F58" i="5"/>
  <c r="I58" i="5" s="1"/>
  <c r="E58" i="5"/>
  <c r="O58" i="5" s="1"/>
  <c r="D58" i="5"/>
  <c r="C58" i="5"/>
  <c r="B58" i="5"/>
  <c r="AI57" i="5"/>
  <c r="AH57" i="5"/>
  <c r="AG57" i="5"/>
  <c r="AF57" i="5"/>
  <c r="AE57" i="5"/>
  <c r="AD57" i="5"/>
  <c r="AC57" i="5"/>
  <c r="AB57" i="5"/>
  <c r="AA57" i="5"/>
  <c r="Z57" i="5"/>
  <c r="Y57" i="5"/>
  <c r="X57" i="5"/>
  <c r="W57" i="5"/>
  <c r="V57" i="5"/>
  <c r="U57" i="5"/>
  <c r="T57" i="5"/>
  <c r="S57" i="5"/>
  <c r="N57" i="5"/>
  <c r="L57" i="5"/>
  <c r="J57" i="5"/>
  <c r="K57" i="5" s="1"/>
  <c r="G57" i="5"/>
  <c r="F57" i="5"/>
  <c r="I57" i="5" s="1"/>
  <c r="E57" i="5"/>
  <c r="O57" i="5" s="1"/>
  <c r="D57" i="5"/>
  <c r="C57" i="5"/>
  <c r="B57" i="5"/>
  <c r="AI56" i="5"/>
  <c r="AH56" i="5"/>
  <c r="AG56" i="5"/>
  <c r="AF56" i="5"/>
  <c r="AE56" i="5"/>
  <c r="AD56" i="5"/>
  <c r="AC56" i="5"/>
  <c r="AB56" i="5"/>
  <c r="AA56" i="5"/>
  <c r="Z56" i="5"/>
  <c r="Y56" i="5"/>
  <c r="X56" i="5"/>
  <c r="W56" i="5"/>
  <c r="V56" i="5"/>
  <c r="U56" i="5"/>
  <c r="T56" i="5"/>
  <c r="S56" i="5"/>
  <c r="N56" i="5"/>
  <c r="L56" i="5"/>
  <c r="J56" i="5"/>
  <c r="K56" i="5" s="1"/>
  <c r="G56" i="5"/>
  <c r="F56" i="5"/>
  <c r="I56" i="5" s="1"/>
  <c r="E56" i="5"/>
  <c r="M56" i="5" s="1"/>
  <c r="D56" i="5"/>
  <c r="C56" i="5"/>
  <c r="B56" i="5"/>
  <c r="AI55" i="5"/>
  <c r="AH55" i="5"/>
  <c r="AG55" i="5"/>
  <c r="AF55" i="5"/>
  <c r="AE55" i="5"/>
  <c r="AD55" i="5"/>
  <c r="AC55" i="5"/>
  <c r="AB55" i="5"/>
  <c r="AA55" i="5"/>
  <c r="Z55" i="5"/>
  <c r="Y55" i="5"/>
  <c r="X55" i="5"/>
  <c r="W55" i="5"/>
  <c r="V55" i="5"/>
  <c r="U55" i="5"/>
  <c r="T55" i="5"/>
  <c r="S55" i="5"/>
  <c r="N55" i="5"/>
  <c r="L55" i="5"/>
  <c r="J55" i="5"/>
  <c r="K55" i="5" s="1"/>
  <c r="G55" i="5"/>
  <c r="F55" i="5"/>
  <c r="I55" i="5" s="1"/>
  <c r="E55" i="5"/>
  <c r="O55" i="5" s="1"/>
  <c r="D55" i="5"/>
  <c r="C55" i="5"/>
  <c r="B55" i="5"/>
  <c r="AI54" i="5"/>
  <c r="AH54" i="5"/>
  <c r="AG54" i="5"/>
  <c r="AF54" i="5"/>
  <c r="AE54" i="5"/>
  <c r="AD54" i="5"/>
  <c r="AC54" i="5"/>
  <c r="AB54" i="5"/>
  <c r="AA54" i="5"/>
  <c r="Z54" i="5"/>
  <c r="Y54" i="5"/>
  <c r="X54" i="5"/>
  <c r="W54" i="5"/>
  <c r="V54" i="5"/>
  <c r="U54" i="5"/>
  <c r="T54" i="5"/>
  <c r="S54" i="5"/>
  <c r="N54" i="5"/>
  <c r="L54" i="5"/>
  <c r="J54" i="5"/>
  <c r="K54" i="5" s="1"/>
  <c r="G54" i="5"/>
  <c r="F54" i="5"/>
  <c r="I54" i="5" s="1"/>
  <c r="E54" i="5"/>
  <c r="O54" i="5" s="1"/>
  <c r="D54" i="5"/>
  <c r="C54" i="5"/>
  <c r="B54" i="5"/>
  <c r="AI53" i="5"/>
  <c r="AH53" i="5"/>
  <c r="AG53" i="5"/>
  <c r="AF53" i="5"/>
  <c r="AE53" i="5"/>
  <c r="AD53" i="5"/>
  <c r="AC53" i="5"/>
  <c r="AB53" i="5"/>
  <c r="AA53" i="5"/>
  <c r="Z53" i="5"/>
  <c r="Y53" i="5"/>
  <c r="X53" i="5"/>
  <c r="W53" i="5"/>
  <c r="V53" i="5"/>
  <c r="U53" i="5"/>
  <c r="T53" i="5"/>
  <c r="S53" i="5"/>
  <c r="N53" i="5"/>
  <c r="L53" i="5"/>
  <c r="J53" i="5"/>
  <c r="K53" i="5" s="1"/>
  <c r="G53" i="5"/>
  <c r="F53" i="5"/>
  <c r="I53" i="5" s="1"/>
  <c r="E53" i="5"/>
  <c r="O53" i="5" s="1"/>
  <c r="D53" i="5"/>
  <c r="C53" i="5"/>
  <c r="B53" i="5"/>
  <c r="AI52" i="5"/>
  <c r="AH52" i="5"/>
  <c r="AG52" i="5"/>
  <c r="AF52" i="5"/>
  <c r="AE52" i="5"/>
  <c r="AD52" i="5"/>
  <c r="AC52" i="5"/>
  <c r="AB52" i="5"/>
  <c r="AA52" i="5"/>
  <c r="Z52" i="5"/>
  <c r="Y52" i="5"/>
  <c r="X52" i="5"/>
  <c r="W52" i="5"/>
  <c r="V52" i="5"/>
  <c r="U52" i="5"/>
  <c r="T52" i="5"/>
  <c r="S52" i="5"/>
  <c r="N52" i="5"/>
  <c r="L52" i="5"/>
  <c r="J52" i="5"/>
  <c r="K52" i="5" s="1"/>
  <c r="G52" i="5"/>
  <c r="F52" i="5"/>
  <c r="I52" i="5" s="1"/>
  <c r="E52" i="5"/>
  <c r="O52" i="5" s="1"/>
  <c r="D52" i="5"/>
  <c r="C52" i="5"/>
  <c r="B52" i="5"/>
  <c r="AI51" i="5"/>
  <c r="AH51" i="5"/>
  <c r="AG51" i="5"/>
  <c r="AF51" i="5"/>
  <c r="AE51" i="5"/>
  <c r="AD51" i="5"/>
  <c r="AC51" i="5"/>
  <c r="AB51" i="5"/>
  <c r="AA51" i="5"/>
  <c r="Z51" i="5"/>
  <c r="Y51" i="5"/>
  <c r="X51" i="5"/>
  <c r="W51" i="5"/>
  <c r="V51" i="5"/>
  <c r="U51" i="5"/>
  <c r="T51" i="5"/>
  <c r="S51" i="5"/>
  <c r="N51" i="5"/>
  <c r="L51" i="5"/>
  <c r="J51" i="5"/>
  <c r="K51" i="5" s="1"/>
  <c r="G51" i="5"/>
  <c r="F51" i="5"/>
  <c r="I51" i="5" s="1"/>
  <c r="E51" i="5"/>
  <c r="M51" i="5" s="1"/>
  <c r="D51" i="5"/>
  <c r="C51" i="5"/>
  <c r="B51" i="5"/>
  <c r="AI50" i="5"/>
  <c r="AH50" i="5"/>
  <c r="AG50" i="5"/>
  <c r="AF50" i="5"/>
  <c r="AE50" i="5"/>
  <c r="AD50" i="5"/>
  <c r="AC50" i="5"/>
  <c r="AB50" i="5"/>
  <c r="AA50" i="5"/>
  <c r="Z50" i="5"/>
  <c r="Y50" i="5"/>
  <c r="X50" i="5"/>
  <c r="W50" i="5"/>
  <c r="V50" i="5"/>
  <c r="U50" i="5"/>
  <c r="T50" i="5"/>
  <c r="S50" i="5"/>
  <c r="N50" i="5"/>
  <c r="L50" i="5"/>
  <c r="J50" i="5"/>
  <c r="K50" i="5" s="1"/>
  <c r="G50" i="5"/>
  <c r="F50" i="5"/>
  <c r="I50" i="5" s="1"/>
  <c r="E50" i="5"/>
  <c r="O50" i="5" s="1"/>
  <c r="D50" i="5"/>
  <c r="C50" i="5"/>
  <c r="B50" i="5"/>
  <c r="AI49" i="5"/>
  <c r="AH49" i="5"/>
  <c r="AG49" i="5"/>
  <c r="AF49" i="5"/>
  <c r="AE49" i="5"/>
  <c r="AD49" i="5"/>
  <c r="AC49" i="5"/>
  <c r="AB49" i="5"/>
  <c r="AA49" i="5"/>
  <c r="Z49" i="5"/>
  <c r="Y49" i="5"/>
  <c r="X49" i="5"/>
  <c r="W49" i="5"/>
  <c r="V49" i="5"/>
  <c r="U49" i="5"/>
  <c r="T49" i="5"/>
  <c r="S49" i="5"/>
  <c r="N49" i="5"/>
  <c r="L49" i="5"/>
  <c r="J49" i="5"/>
  <c r="K49" i="5" s="1"/>
  <c r="G49" i="5"/>
  <c r="F49" i="5"/>
  <c r="I49" i="5" s="1"/>
  <c r="E49" i="5"/>
  <c r="O49" i="5" s="1"/>
  <c r="D49" i="5"/>
  <c r="C49" i="5"/>
  <c r="B49" i="5"/>
  <c r="AI48" i="5"/>
  <c r="AH48" i="5"/>
  <c r="AG48" i="5"/>
  <c r="AF48" i="5"/>
  <c r="AE48" i="5"/>
  <c r="AD48" i="5"/>
  <c r="AC48" i="5"/>
  <c r="AB48" i="5"/>
  <c r="AA48" i="5"/>
  <c r="Z48" i="5"/>
  <c r="Y48" i="5"/>
  <c r="X48" i="5"/>
  <c r="W48" i="5"/>
  <c r="V48" i="5"/>
  <c r="U48" i="5"/>
  <c r="T48" i="5"/>
  <c r="S48" i="5"/>
  <c r="N48" i="5"/>
  <c r="L48" i="5"/>
  <c r="J48" i="5"/>
  <c r="K48" i="5" s="1"/>
  <c r="G48" i="5"/>
  <c r="F48" i="5"/>
  <c r="I48" i="5" s="1"/>
  <c r="E48" i="5"/>
  <c r="O48" i="5" s="1"/>
  <c r="D48" i="5"/>
  <c r="C48" i="5"/>
  <c r="B48" i="5"/>
  <c r="AI47" i="5"/>
  <c r="AH47" i="5"/>
  <c r="AG47" i="5"/>
  <c r="AF47" i="5"/>
  <c r="AE47" i="5"/>
  <c r="AD47" i="5"/>
  <c r="AC47" i="5"/>
  <c r="AB47" i="5"/>
  <c r="AA47" i="5"/>
  <c r="Z47" i="5"/>
  <c r="Y47" i="5"/>
  <c r="X47" i="5"/>
  <c r="W47" i="5"/>
  <c r="V47" i="5"/>
  <c r="U47" i="5"/>
  <c r="T47" i="5"/>
  <c r="S47" i="5"/>
  <c r="N47" i="5"/>
  <c r="L47" i="5"/>
  <c r="J47" i="5"/>
  <c r="K47" i="5" s="1"/>
  <c r="G47" i="5"/>
  <c r="F47" i="5"/>
  <c r="I47" i="5" s="1"/>
  <c r="E47" i="5"/>
  <c r="O47" i="5" s="1"/>
  <c r="D47" i="5"/>
  <c r="C47" i="5"/>
  <c r="B47" i="5"/>
  <c r="AI46" i="5"/>
  <c r="AH46" i="5"/>
  <c r="AG46" i="5"/>
  <c r="AF46" i="5"/>
  <c r="AE46" i="5"/>
  <c r="AD46" i="5"/>
  <c r="AC46" i="5"/>
  <c r="AB46" i="5"/>
  <c r="AA46" i="5"/>
  <c r="Z46" i="5"/>
  <c r="Y46" i="5"/>
  <c r="X46" i="5"/>
  <c r="W46" i="5"/>
  <c r="V46" i="5"/>
  <c r="U46" i="5"/>
  <c r="T46" i="5"/>
  <c r="S46" i="5"/>
  <c r="N46" i="5"/>
  <c r="L46" i="5"/>
  <c r="J46" i="5"/>
  <c r="K46" i="5" s="1"/>
  <c r="G46" i="5"/>
  <c r="F46" i="5"/>
  <c r="I46" i="5" s="1"/>
  <c r="E46" i="5"/>
  <c r="M46" i="5" s="1"/>
  <c r="D46" i="5"/>
  <c r="C46" i="5"/>
  <c r="B46" i="5"/>
  <c r="AI45" i="5"/>
  <c r="AH45" i="5"/>
  <c r="AG45" i="5"/>
  <c r="AF45" i="5"/>
  <c r="AE45" i="5"/>
  <c r="AD45" i="5"/>
  <c r="AC45" i="5"/>
  <c r="AB45" i="5"/>
  <c r="AA45" i="5"/>
  <c r="Z45" i="5"/>
  <c r="Y45" i="5"/>
  <c r="X45" i="5"/>
  <c r="W45" i="5"/>
  <c r="V45" i="5"/>
  <c r="U45" i="5"/>
  <c r="T45" i="5"/>
  <c r="S45" i="5"/>
  <c r="N45" i="5"/>
  <c r="L45" i="5"/>
  <c r="J45" i="5"/>
  <c r="K45" i="5" s="1"/>
  <c r="G45" i="5"/>
  <c r="F45" i="5"/>
  <c r="I45" i="5" s="1"/>
  <c r="E45" i="5"/>
  <c r="O45" i="5" s="1"/>
  <c r="D45" i="5"/>
  <c r="C45" i="5"/>
  <c r="B45" i="5"/>
  <c r="AI44" i="5"/>
  <c r="AH44" i="5"/>
  <c r="AG44" i="5"/>
  <c r="AF44" i="5"/>
  <c r="AE44" i="5"/>
  <c r="AD44" i="5"/>
  <c r="AC44" i="5"/>
  <c r="AB44" i="5"/>
  <c r="AA44" i="5"/>
  <c r="Z44" i="5"/>
  <c r="Y44" i="5"/>
  <c r="X44" i="5"/>
  <c r="W44" i="5"/>
  <c r="V44" i="5"/>
  <c r="U44" i="5"/>
  <c r="T44" i="5"/>
  <c r="S44" i="5"/>
  <c r="N44" i="5"/>
  <c r="L44" i="5"/>
  <c r="J44" i="5"/>
  <c r="K44" i="5" s="1"/>
  <c r="G44" i="5"/>
  <c r="F44" i="5"/>
  <c r="I44" i="5" s="1"/>
  <c r="E44" i="5"/>
  <c r="O44" i="5" s="1"/>
  <c r="D44" i="5"/>
  <c r="C44" i="5"/>
  <c r="B44" i="5"/>
  <c r="AI43" i="5"/>
  <c r="AH43" i="5"/>
  <c r="AG43" i="5"/>
  <c r="AF43" i="5"/>
  <c r="AE43" i="5"/>
  <c r="AD43" i="5"/>
  <c r="AC43" i="5"/>
  <c r="AB43" i="5"/>
  <c r="AA43" i="5"/>
  <c r="Z43" i="5"/>
  <c r="Y43" i="5"/>
  <c r="X43" i="5"/>
  <c r="W43" i="5"/>
  <c r="V43" i="5"/>
  <c r="U43" i="5"/>
  <c r="T43" i="5"/>
  <c r="S43" i="5"/>
  <c r="N43" i="5"/>
  <c r="L43" i="5"/>
  <c r="J43" i="5"/>
  <c r="K43" i="5" s="1"/>
  <c r="G43" i="5"/>
  <c r="F43" i="5"/>
  <c r="I43" i="5" s="1"/>
  <c r="E43" i="5"/>
  <c r="O43" i="5" s="1"/>
  <c r="D43" i="5"/>
  <c r="C43" i="5"/>
  <c r="B43" i="5"/>
  <c r="AI42" i="5"/>
  <c r="AH42" i="5"/>
  <c r="AG42" i="5"/>
  <c r="AF42" i="5"/>
  <c r="AE42" i="5"/>
  <c r="AD42" i="5"/>
  <c r="AC42" i="5"/>
  <c r="AB42" i="5"/>
  <c r="AA42" i="5"/>
  <c r="Z42" i="5"/>
  <c r="Y42" i="5"/>
  <c r="X42" i="5"/>
  <c r="W42" i="5"/>
  <c r="V42" i="5"/>
  <c r="U42" i="5"/>
  <c r="T42" i="5"/>
  <c r="S42" i="5"/>
  <c r="N42" i="5"/>
  <c r="L42" i="5"/>
  <c r="J42" i="5"/>
  <c r="K42" i="5" s="1"/>
  <c r="G42" i="5"/>
  <c r="F42" i="5"/>
  <c r="I42" i="5" s="1"/>
  <c r="E42" i="5"/>
  <c r="O42" i="5" s="1"/>
  <c r="D42" i="5"/>
  <c r="C42" i="5"/>
  <c r="B42" i="5"/>
  <c r="AI41" i="5"/>
  <c r="AH41" i="5"/>
  <c r="AG41" i="5"/>
  <c r="AF41" i="5"/>
  <c r="AE41" i="5"/>
  <c r="AD41" i="5"/>
  <c r="AC41" i="5"/>
  <c r="AB41" i="5"/>
  <c r="AA41" i="5"/>
  <c r="Z41" i="5"/>
  <c r="Y41" i="5"/>
  <c r="X41" i="5"/>
  <c r="W41" i="5"/>
  <c r="V41" i="5"/>
  <c r="U41" i="5"/>
  <c r="T41" i="5"/>
  <c r="S41" i="5"/>
  <c r="N41" i="5"/>
  <c r="L41" i="5"/>
  <c r="J41" i="5"/>
  <c r="K41" i="5" s="1"/>
  <c r="G41" i="5"/>
  <c r="F41" i="5"/>
  <c r="I41" i="5" s="1"/>
  <c r="E41" i="5"/>
  <c r="M41" i="5" s="1"/>
  <c r="D41" i="5"/>
  <c r="C41" i="5"/>
  <c r="B41" i="5"/>
  <c r="AI40" i="5"/>
  <c r="AH40" i="5"/>
  <c r="AG40" i="5"/>
  <c r="AF40" i="5"/>
  <c r="AE40" i="5"/>
  <c r="AD40" i="5"/>
  <c r="AC40" i="5"/>
  <c r="AB40" i="5"/>
  <c r="AA40" i="5"/>
  <c r="Z40" i="5"/>
  <c r="Y40" i="5"/>
  <c r="X40" i="5"/>
  <c r="W40" i="5"/>
  <c r="V40" i="5"/>
  <c r="U40" i="5"/>
  <c r="T40" i="5"/>
  <c r="S40" i="5"/>
  <c r="N40" i="5"/>
  <c r="L40" i="5"/>
  <c r="J40" i="5"/>
  <c r="K40" i="5" s="1"/>
  <c r="G40" i="5"/>
  <c r="F40" i="5"/>
  <c r="I40" i="5" s="1"/>
  <c r="E40" i="5"/>
  <c r="O40" i="5" s="1"/>
  <c r="D40" i="5"/>
  <c r="C40" i="5"/>
  <c r="B40" i="5"/>
  <c r="AI39" i="5"/>
  <c r="AH39" i="5"/>
  <c r="AG39" i="5"/>
  <c r="AF39" i="5"/>
  <c r="AE39" i="5"/>
  <c r="AD39" i="5"/>
  <c r="AC39" i="5"/>
  <c r="AB39" i="5"/>
  <c r="AA39" i="5"/>
  <c r="Z39" i="5"/>
  <c r="Y39" i="5"/>
  <c r="X39" i="5"/>
  <c r="W39" i="5"/>
  <c r="V39" i="5"/>
  <c r="U39" i="5"/>
  <c r="T39" i="5"/>
  <c r="S39" i="5"/>
  <c r="N39" i="5"/>
  <c r="L39" i="5"/>
  <c r="J39" i="5"/>
  <c r="K39" i="5" s="1"/>
  <c r="G39" i="5"/>
  <c r="F39" i="5"/>
  <c r="I39" i="5" s="1"/>
  <c r="E39" i="5"/>
  <c r="O39" i="5" s="1"/>
  <c r="D39" i="5"/>
  <c r="C39" i="5"/>
  <c r="B39" i="5"/>
  <c r="AI38" i="5"/>
  <c r="AH38" i="5"/>
  <c r="AK38" i="5" s="1"/>
  <c r="AG38" i="5"/>
  <c r="AF38" i="5"/>
  <c r="AE38" i="5"/>
  <c r="AD38" i="5"/>
  <c r="AC38" i="5"/>
  <c r="AB38" i="5"/>
  <c r="AA38" i="5"/>
  <c r="Z38" i="5"/>
  <c r="Y38" i="5"/>
  <c r="X38" i="5"/>
  <c r="W38" i="5"/>
  <c r="V38" i="5"/>
  <c r="U38" i="5"/>
  <c r="T38" i="5"/>
  <c r="S38" i="5"/>
  <c r="N38" i="5"/>
  <c r="L38" i="5"/>
  <c r="J38" i="5"/>
  <c r="K38" i="5" s="1"/>
  <c r="G38" i="5"/>
  <c r="F38" i="5"/>
  <c r="I38" i="5" s="1"/>
  <c r="E38" i="5"/>
  <c r="O38" i="5" s="1"/>
  <c r="D38" i="5"/>
  <c r="C38" i="5"/>
  <c r="B38" i="5"/>
  <c r="AI37" i="5"/>
  <c r="AH37" i="5"/>
  <c r="AK37" i="5" s="1"/>
  <c r="AG37" i="5"/>
  <c r="AF37" i="5"/>
  <c r="AE37" i="5"/>
  <c r="AD37" i="5"/>
  <c r="AC37" i="5"/>
  <c r="AB37" i="5"/>
  <c r="AA37" i="5"/>
  <c r="Z37" i="5"/>
  <c r="Y37" i="5"/>
  <c r="X37" i="5"/>
  <c r="W37" i="5"/>
  <c r="V37" i="5"/>
  <c r="U37" i="5"/>
  <c r="T37" i="5"/>
  <c r="S37" i="5"/>
  <c r="N37" i="5"/>
  <c r="L37" i="5"/>
  <c r="J37" i="5"/>
  <c r="K37" i="5" s="1"/>
  <c r="G37" i="5"/>
  <c r="F37" i="5"/>
  <c r="E37" i="5"/>
  <c r="O37" i="5" s="1"/>
  <c r="D37" i="5"/>
  <c r="C37" i="5"/>
  <c r="B37" i="5"/>
  <c r="AI36" i="5"/>
  <c r="AH36" i="5"/>
  <c r="AG36" i="5"/>
  <c r="AF36" i="5"/>
  <c r="AE36" i="5"/>
  <c r="AD36" i="5"/>
  <c r="AC36" i="5"/>
  <c r="AB36" i="5"/>
  <c r="AA36" i="5"/>
  <c r="Z36" i="5"/>
  <c r="Y36" i="5"/>
  <c r="X36" i="5"/>
  <c r="W36" i="5"/>
  <c r="V36" i="5"/>
  <c r="U36" i="5"/>
  <c r="T36" i="5"/>
  <c r="S36" i="5"/>
  <c r="N36" i="5"/>
  <c r="L36" i="5"/>
  <c r="J36" i="5"/>
  <c r="K36" i="5" s="1"/>
  <c r="G36" i="5"/>
  <c r="F36" i="5"/>
  <c r="I36" i="5" s="1"/>
  <c r="E36" i="5"/>
  <c r="M36" i="5" s="1"/>
  <c r="D36" i="5"/>
  <c r="C36" i="5"/>
  <c r="B36" i="5"/>
  <c r="AI35" i="5"/>
  <c r="AH35" i="5"/>
  <c r="AG35" i="5"/>
  <c r="AF35" i="5"/>
  <c r="AE35" i="5"/>
  <c r="AD35" i="5"/>
  <c r="AC35" i="5"/>
  <c r="AB35" i="5"/>
  <c r="AA35" i="5"/>
  <c r="Z35" i="5"/>
  <c r="Y35" i="5"/>
  <c r="X35" i="5"/>
  <c r="W35" i="5"/>
  <c r="V35" i="5"/>
  <c r="U35" i="5"/>
  <c r="T35" i="5"/>
  <c r="S35" i="5"/>
  <c r="N35" i="5"/>
  <c r="L35" i="5"/>
  <c r="J35" i="5"/>
  <c r="K35" i="5" s="1"/>
  <c r="G35" i="5"/>
  <c r="F35" i="5"/>
  <c r="I35" i="5" s="1"/>
  <c r="E35" i="5"/>
  <c r="O35" i="5" s="1"/>
  <c r="D35" i="5"/>
  <c r="C35" i="5"/>
  <c r="B35" i="5"/>
  <c r="AI34" i="5"/>
  <c r="AH34" i="5"/>
  <c r="AG34" i="5"/>
  <c r="AF34" i="5"/>
  <c r="AE34" i="5"/>
  <c r="AD34" i="5"/>
  <c r="AC34" i="5"/>
  <c r="AB34" i="5"/>
  <c r="AA34" i="5"/>
  <c r="Z34" i="5"/>
  <c r="Y34" i="5"/>
  <c r="X34" i="5"/>
  <c r="W34" i="5"/>
  <c r="V34" i="5"/>
  <c r="U34" i="5"/>
  <c r="T34" i="5"/>
  <c r="S34" i="5"/>
  <c r="N34" i="5"/>
  <c r="L34" i="5"/>
  <c r="J34" i="5"/>
  <c r="K34" i="5" s="1"/>
  <c r="G34" i="5"/>
  <c r="F34" i="5"/>
  <c r="I34" i="5" s="1"/>
  <c r="E34" i="5"/>
  <c r="O34" i="5" s="1"/>
  <c r="D34" i="5"/>
  <c r="C34" i="5"/>
  <c r="B34" i="5"/>
  <c r="AI33" i="5"/>
  <c r="AH33" i="5"/>
  <c r="AG33" i="5"/>
  <c r="AF33" i="5"/>
  <c r="AE33" i="5"/>
  <c r="AD33" i="5"/>
  <c r="AC33" i="5"/>
  <c r="AB33" i="5"/>
  <c r="AA33" i="5"/>
  <c r="Z33" i="5"/>
  <c r="Y33" i="5"/>
  <c r="X33" i="5"/>
  <c r="W33" i="5"/>
  <c r="V33" i="5"/>
  <c r="U33" i="5"/>
  <c r="T33" i="5"/>
  <c r="S33" i="5"/>
  <c r="N33" i="5"/>
  <c r="L33" i="5"/>
  <c r="J33" i="5"/>
  <c r="K33" i="5" s="1"/>
  <c r="G33" i="5"/>
  <c r="F33" i="5"/>
  <c r="I33" i="5" s="1"/>
  <c r="E33" i="5"/>
  <c r="O33" i="5" s="1"/>
  <c r="D33" i="5"/>
  <c r="C33" i="5"/>
  <c r="B33" i="5"/>
  <c r="AI32" i="5"/>
  <c r="AH32" i="5"/>
  <c r="AG32" i="5"/>
  <c r="AF32" i="5"/>
  <c r="AE32" i="5"/>
  <c r="AD32" i="5"/>
  <c r="AC32" i="5"/>
  <c r="AB32" i="5"/>
  <c r="AA32" i="5"/>
  <c r="Z32" i="5"/>
  <c r="Y32" i="5"/>
  <c r="X32" i="5"/>
  <c r="W32" i="5"/>
  <c r="V32" i="5"/>
  <c r="U32" i="5"/>
  <c r="T32" i="5"/>
  <c r="S32" i="5"/>
  <c r="N32" i="5"/>
  <c r="L32" i="5"/>
  <c r="J32" i="5"/>
  <c r="K32" i="5" s="1"/>
  <c r="G32" i="5"/>
  <c r="F32" i="5"/>
  <c r="I32" i="5" s="1"/>
  <c r="E32" i="5"/>
  <c r="O32" i="5" s="1"/>
  <c r="D32" i="5"/>
  <c r="C32" i="5"/>
  <c r="B32" i="5"/>
  <c r="AI31" i="5"/>
  <c r="AH31" i="5"/>
  <c r="AG31" i="5"/>
  <c r="AF31" i="5"/>
  <c r="AE31" i="5"/>
  <c r="AD31" i="5"/>
  <c r="AC31" i="5"/>
  <c r="AB31" i="5"/>
  <c r="AA31" i="5"/>
  <c r="Z31" i="5"/>
  <c r="Y31" i="5"/>
  <c r="X31" i="5"/>
  <c r="W31" i="5"/>
  <c r="V31" i="5"/>
  <c r="U31" i="5"/>
  <c r="T31" i="5"/>
  <c r="S31" i="5"/>
  <c r="N31" i="5"/>
  <c r="L31" i="5"/>
  <c r="J31" i="5"/>
  <c r="K31" i="5" s="1"/>
  <c r="G31" i="5"/>
  <c r="F31" i="5"/>
  <c r="I31" i="5" s="1"/>
  <c r="E31" i="5"/>
  <c r="M31" i="5" s="1"/>
  <c r="D31" i="5"/>
  <c r="C31" i="5"/>
  <c r="B31" i="5"/>
  <c r="AI30" i="5"/>
  <c r="AH30" i="5"/>
  <c r="AG30" i="5"/>
  <c r="AF30" i="5"/>
  <c r="AE30" i="5"/>
  <c r="AD30" i="5"/>
  <c r="AC30" i="5"/>
  <c r="AB30" i="5"/>
  <c r="AA30" i="5"/>
  <c r="Z30" i="5"/>
  <c r="Y30" i="5"/>
  <c r="X30" i="5"/>
  <c r="W30" i="5"/>
  <c r="V30" i="5"/>
  <c r="U30" i="5"/>
  <c r="T30" i="5"/>
  <c r="S30" i="5"/>
  <c r="N30" i="5"/>
  <c r="L30" i="5"/>
  <c r="J30" i="5"/>
  <c r="K30" i="5" s="1"/>
  <c r="G30" i="5"/>
  <c r="F30" i="5"/>
  <c r="I30" i="5" s="1"/>
  <c r="E30" i="5"/>
  <c r="O30" i="5" s="1"/>
  <c r="D30" i="5"/>
  <c r="C30" i="5"/>
  <c r="B30" i="5"/>
  <c r="AI29" i="5"/>
  <c r="AH29" i="5"/>
  <c r="AG29" i="5"/>
  <c r="AF29" i="5"/>
  <c r="AE29" i="5"/>
  <c r="AD29" i="5"/>
  <c r="AC29" i="5"/>
  <c r="AB29" i="5"/>
  <c r="AA29" i="5"/>
  <c r="Z29" i="5"/>
  <c r="Y29" i="5"/>
  <c r="X29" i="5"/>
  <c r="W29" i="5"/>
  <c r="V29" i="5"/>
  <c r="U29" i="5"/>
  <c r="T29" i="5"/>
  <c r="S29" i="5"/>
  <c r="N29" i="5"/>
  <c r="L29" i="5"/>
  <c r="J29" i="5"/>
  <c r="K29" i="5" s="1"/>
  <c r="G29" i="5"/>
  <c r="F29" i="5"/>
  <c r="I29" i="5" s="1"/>
  <c r="E29" i="5"/>
  <c r="O29" i="5" s="1"/>
  <c r="D29" i="5"/>
  <c r="C29" i="5"/>
  <c r="B29" i="5"/>
  <c r="AI28" i="5"/>
  <c r="AH28" i="5"/>
  <c r="AG28" i="5"/>
  <c r="AF28" i="5"/>
  <c r="AE28" i="5"/>
  <c r="AD28" i="5"/>
  <c r="AC28" i="5"/>
  <c r="AB28" i="5"/>
  <c r="AA28" i="5"/>
  <c r="Z28" i="5"/>
  <c r="Y28" i="5"/>
  <c r="X28" i="5"/>
  <c r="W28" i="5"/>
  <c r="V28" i="5"/>
  <c r="U28" i="5"/>
  <c r="T28" i="5"/>
  <c r="S28" i="5"/>
  <c r="N28" i="5"/>
  <c r="L28" i="5"/>
  <c r="J28" i="5"/>
  <c r="K28" i="5" s="1"/>
  <c r="G28" i="5"/>
  <c r="F28" i="5"/>
  <c r="I28" i="5" s="1"/>
  <c r="E28" i="5"/>
  <c r="O28" i="5" s="1"/>
  <c r="D28" i="5"/>
  <c r="C28" i="5"/>
  <c r="B28" i="5"/>
  <c r="AI27" i="5"/>
  <c r="AH27" i="5"/>
  <c r="AG27" i="5"/>
  <c r="AF27" i="5"/>
  <c r="AE27" i="5"/>
  <c r="AD27" i="5"/>
  <c r="AC27" i="5"/>
  <c r="AB27" i="5"/>
  <c r="AA27" i="5"/>
  <c r="Z27" i="5"/>
  <c r="Y27" i="5"/>
  <c r="X27" i="5"/>
  <c r="W27" i="5"/>
  <c r="V27" i="5"/>
  <c r="U27" i="5"/>
  <c r="T27" i="5"/>
  <c r="S27" i="5"/>
  <c r="N27" i="5"/>
  <c r="L27" i="5"/>
  <c r="J27" i="5"/>
  <c r="K27" i="5" s="1"/>
  <c r="G27" i="5"/>
  <c r="F27" i="5"/>
  <c r="H27" i="5" s="1"/>
  <c r="E27" i="5"/>
  <c r="O27" i="5" s="1"/>
  <c r="D27" i="5"/>
  <c r="C27" i="5"/>
  <c r="B27" i="5"/>
  <c r="AI26" i="5"/>
  <c r="AH26" i="5"/>
  <c r="AG26" i="5"/>
  <c r="AF26" i="5"/>
  <c r="AE26" i="5"/>
  <c r="AD26" i="5"/>
  <c r="AC26" i="5"/>
  <c r="AB26" i="5"/>
  <c r="AA26" i="5"/>
  <c r="Z26" i="5"/>
  <c r="Y26" i="5"/>
  <c r="X26" i="5"/>
  <c r="W26" i="5"/>
  <c r="V26" i="5"/>
  <c r="U26" i="5"/>
  <c r="T26" i="5"/>
  <c r="S26" i="5"/>
  <c r="N26" i="5"/>
  <c r="L26" i="5"/>
  <c r="J26" i="5"/>
  <c r="K26" i="5" s="1"/>
  <c r="G26" i="5"/>
  <c r="F26" i="5"/>
  <c r="I26" i="5" s="1"/>
  <c r="E26" i="5"/>
  <c r="M26" i="5" s="1"/>
  <c r="D26" i="5"/>
  <c r="C26" i="5"/>
  <c r="B26" i="5"/>
  <c r="AI25" i="5"/>
  <c r="AH25" i="5"/>
  <c r="AG25" i="5"/>
  <c r="AF25" i="5"/>
  <c r="AE25" i="5"/>
  <c r="AD25" i="5"/>
  <c r="AC25" i="5"/>
  <c r="AB25" i="5"/>
  <c r="AA25" i="5"/>
  <c r="Z25" i="5"/>
  <c r="Y25" i="5"/>
  <c r="X25" i="5"/>
  <c r="W25" i="5"/>
  <c r="V25" i="5"/>
  <c r="U25" i="5"/>
  <c r="T25" i="5"/>
  <c r="S25" i="5"/>
  <c r="N25" i="5"/>
  <c r="L25" i="5"/>
  <c r="J25" i="5"/>
  <c r="K25" i="5" s="1"/>
  <c r="G25" i="5"/>
  <c r="F25" i="5"/>
  <c r="I25" i="5" s="1"/>
  <c r="E25" i="5"/>
  <c r="O25" i="5" s="1"/>
  <c r="D25" i="5"/>
  <c r="C25" i="5"/>
  <c r="B25" i="5"/>
  <c r="AI24" i="5"/>
  <c r="AH24" i="5"/>
  <c r="AG24" i="5"/>
  <c r="AF24" i="5"/>
  <c r="AE24" i="5"/>
  <c r="AD24" i="5"/>
  <c r="AC24" i="5"/>
  <c r="AB24" i="5"/>
  <c r="AA24" i="5"/>
  <c r="Z24" i="5"/>
  <c r="Y24" i="5"/>
  <c r="X24" i="5"/>
  <c r="W24" i="5"/>
  <c r="V24" i="5"/>
  <c r="U24" i="5"/>
  <c r="T24" i="5"/>
  <c r="S24" i="5"/>
  <c r="N24" i="5"/>
  <c r="L24" i="5"/>
  <c r="J24" i="5"/>
  <c r="K24" i="5" s="1"/>
  <c r="G24" i="5"/>
  <c r="F24" i="5"/>
  <c r="H24" i="5" s="1"/>
  <c r="E24" i="5"/>
  <c r="O24" i="5" s="1"/>
  <c r="D24" i="5"/>
  <c r="C24" i="5"/>
  <c r="B24" i="5"/>
  <c r="AI23" i="5"/>
  <c r="AH23" i="5"/>
  <c r="AG23" i="5"/>
  <c r="AF23" i="5"/>
  <c r="AE23" i="5"/>
  <c r="AD23" i="5"/>
  <c r="AC23" i="5"/>
  <c r="AB23" i="5"/>
  <c r="AA23" i="5"/>
  <c r="Z23" i="5"/>
  <c r="Y23" i="5"/>
  <c r="X23" i="5"/>
  <c r="W23" i="5"/>
  <c r="V23" i="5"/>
  <c r="U23" i="5"/>
  <c r="T23" i="5"/>
  <c r="S23" i="5"/>
  <c r="N23" i="5"/>
  <c r="L23" i="5"/>
  <c r="J23" i="5"/>
  <c r="K23" i="5" s="1"/>
  <c r="G23" i="5"/>
  <c r="F23" i="5"/>
  <c r="H23" i="5" s="1"/>
  <c r="E23" i="5"/>
  <c r="O23" i="5" s="1"/>
  <c r="D23" i="5"/>
  <c r="C23" i="5"/>
  <c r="B23" i="5"/>
  <c r="AI22" i="5"/>
  <c r="AH22" i="5"/>
  <c r="AG22" i="5"/>
  <c r="AF22" i="5"/>
  <c r="AE22" i="5"/>
  <c r="AD22" i="5"/>
  <c r="AC22" i="5"/>
  <c r="AB22" i="5"/>
  <c r="AA22" i="5"/>
  <c r="Z22" i="5"/>
  <c r="Y22" i="5"/>
  <c r="X22" i="5"/>
  <c r="W22" i="5"/>
  <c r="V22" i="5"/>
  <c r="U22" i="5"/>
  <c r="T22" i="5"/>
  <c r="S22" i="5"/>
  <c r="N22" i="5"/>
  <c r="L22" i="5"/>
  <c r="J22" i="5"/>
  <c r="K22" i="5" s="1"/>
  <c r="G22" i="5"/>
  <c r="F22" i="5"/>
  <c r="I22" i="5" s="1"/>
  <c r="E22" i="5"/>
  <c r="M22" i="5" s="1"/>
  <c r="D22" i="5"/>
  <c r="C22" i="5"/>
  <c r="B22" i="5"/>
  <c r="AI21" i="5"/>
  <c r="AH21" i="5"/>
  <c r="AG21" i="5"/>
  <c r="AF21" i="5"/>
  <c r="AE21" i="5"/>
  <c r="AD21" i="5"/>
  <c r="AC21" i="5"/>
  <c r="AB21" i="5"/>
  <c r="AA21" i="5"/>
  <c r="Z21" i="5"/>
  <c r="Y21" i="5"/>
  <c r="X21" i="5"/>
  <c r="W21" i="5"/>
  <c r="V21" i="5"/>
  <c r="U21" i="5"/>
  <c r="T21" i="5"/>
  <c r="S21" i="5"/>
  <c r="N21" i="5"/>
  <c r="L21" i="5"/>
  <c r="J21" i="5"/>
  <c r="K21" i="5" s="1"/>
  <c r="G21" i="5"/>
  <c r="F21" i="5"/>
  <c r="I21" i="5" s="1"/>
  <c r="E21" i="5"/>
  <c r="O21" i="5" s="1"/>
  <c r="D21" i="5"/>
  <c r="C21" i="5"/>
  <c r="B21" i="5"/>
  <c r="AI20" i="5"/>
  <c r="AH20" i="5"/>
  <c r="AG20" i="5"/>
  <c r="AF20" i="5"/>
  <c r="AE20" i="5"/>
  <c r="AD20" i="5"/>
  <c r="AC20" i="5"/>
  <c r="AB20" i="5"/>
  <c r="AA20" i="5"/>
  <c r="Z20" i="5"/>
  <c r="Y20" i="5"/>
  <c r="X20" i="5"/>
  <c r="W20" i="5"/>
  <c r="V20" i="5"/>
  <c r="U20" i="5"/>
  <c r="T20" i="5"/>
  <c r="S20" i="5"/>
  <c r="N20" i="5"/>
  <c r="L20" i="5"/>
  <c r="J20" i="5"/>
  <c r="K20" i="5" s="1"/>
  <c r="G20" i="5"/>
  <c r="F20" i="5"/>
  <c r="H20" i="5" s="1"/>
  <c r="E20" i="5"/>
  <c r="O20" i="5" s="1"/>
  <c r="D20" i="5"/>
  <c r="C20" i="5"/>
  <c r="B20" i="5"/>
  <c r="AI19" i="5"/>
  <c r="AH19" i="5"/>
  <c r="AG19" i="5"/>
  <c r="AF19" i="5"/>
  <c r="AE19" i="5"/>
  <c r="AD19" i="5"/>
  <c r="AC19" i="5"/>
  <c r="AB19" i="5"/>
  <c r="AA19" i="5"/>
  <c r="Z19" i="5"/>
  <c r="Y19" i="5"/>
  <c r="X19" i="5"/>
  <c r="W19" i="5"/>
  <c r="V19" i="5"/>
  <c r="U19" i="5"/>
  <c r="T19" i="5"/>
  <c r="S19" i="5"/>
  <c r="N19" i="5"/>
  <c r="L19" i="5"/>
  <c r="J19" i="5"/>
  <c r="K19" i="5" s="1"/>
  <c r="G19" i="5"/>
  <c r="F19" i="5"/>
  <c r="I19" i="5" s="1"/>
  <c r="E19" i="5"/>
  <c r="D19" i="5"/>
  <c r="C19" i="5"/>
  <c r="B19" i="5"/>
  <c r="AI18" i="5"/>
  <c r="AH18" i="5"/>
  <c r="AG18" i="5"/>
  <c r="AF18" i="5"/>
  <c r="AE18" i="5"/>
  <c r="AD18" i="5"/>
  <c r="AC18" i="5"/>
  <c r="AB18" i="5"/>
  <c r="AA18" i="5"/>
  <c r="Z18" i="5"/>
  <c r="Y18" i="5"/>
  <c r="X18" i="5"/>
  <c r="W18" i="5"/>
  <c r="V18" i="5"/>
  <c r="U18" i="5"/>
  <c r="T18" i="5"/>
  <c r="S18" i="5"/>
  <c r="N18" i="5"/>
  <c r="L18" i="5"/>
  <c r="J18" i="5"/>
  <c r="K18" i="5" s="1"/>
  <c r="G18" i="5"/>
  <c r="F18" i="5"/>
  <c r="H18" i="5" s="1"/>
  <c r="E18" i="5"/>
  <c r="D18" i="5"/>
  <c r="C18" i="5"/>
  <c r="B18" i="5"/>
  <c r="AI17" i="5"/>
  <c r="AH17" i="5"/>
  <c r="AG17" i="5"/>
  <c r="AF17" i="5"/>
  <c r="AE17" i="5"/>
  <c r="AD17" i="5"/>
  <c r="AC17" i="5"/>
  <c r="AB17" i="5"/>
  <c r="AA17" i="5"/>
  <c r="Z17" i="5"/>
  <c r="Y17" i="5"/>
  <c r="X17" i="5"/>
  <c r="W17" i="5"/>
  <c r="V17" i="5"/>
  <c r="U17" i="5"/>
  <c r="T17" i="5"/>
  <c r="S17" i="5"/>
  <c r="N17" i="5"/>
  <c r="L17" i="5"/>
  <c r="J17" i="5"/>
  <c r="K17" i="5" s="1"/>
  <c r="G17" i="5"/>
  <c r="F17" i="5"/>
  <c r="H17" i="5" s="1"/>
  <c r="E17" i="5"/>
  <c r="M17" i="5" s="1"/>
  <c r="D17" i="5"/>
  <c r="C17" i="5"/>
  <c r="B17" i="5"/>
  <c r="AI16" i="5"/>
  <c r="AH16" i="5"/>
  <c r="AG16" i="5"/>
  <c r="AF16" i="5"/>
  <c r="AE16" i="5"/>
  <c r="AD16" i="5"/>
  <c r="AC16" i="5"/>
  <c r="AB16" i="5"/>
  <c r="AA16" i="5"/>
  <c r="Z16" i="5"/>
  <c r="Y16" i="5"/>
  <c r="X16" i="5"/>
  <c r="W16" i="5"/>
  <c r="V16" i="5"/>
  <c r="U16" i="5"/>
  <c r="T16" i="5"/>
  <c r="S16" i="5"/>
  <c r="N16" i="5"/>
  <c r="L16" i="5"/>
  <c r="J16" i="5"/>
  <c r="K16" i="5" s="1"/>
  <c r="G16" i="5"/>
  <c r="F16" i="5"/>
  <c r="I16" i="5" s="1"/>
  <c r="E16" i="5"/>
  <c r="D16" i="5"/>
  <c r="C16" i="5"/>
  <c r="B16" i="5"/>
  <c r="O4" i="2" s="1"/>
  <c r="AI15" i="5"/>
  <c r="AH15" i="5"/>
  <c r="AK15" i="5" s="1"/>
  <c r="AG15" i="5"/>
  <c r="AF15" i="5"/>
  <c r="AE15" i="5"/>
  <c r="AD15" i="5"/>
  <c r="AC15" i="5"/>
  <c r="AB15" i="5"/>
  <c r="AA15" i="5"/>
  <c r="Z15" i="5"/>
  <c r="Y15" i="5"/>
  <c r="X15" i="5"/>
  <c r="W15" i="5"/>
  <c r="V15" i="5"/>
  <c r="U15" i="5"/>
  <c r="T15" i="5"/>
  <c r="S15" i="5"/>
  <c r="N15" i="5"/>
  <c r="L15" i="5"/>
  <c r="J15" i="5"/>
  <c r="K15" i="5" s="1"/>
  <c r="G15" i="5"/>
  <c r="F15" i="5"/>
  <c r="H15" i="5" s="1"/>
  <c r="E15" i="5"/>
  <c r="D15" i="5"/>
  <c r="C15" i="5"/>
  <c r="B15" i="5"/>
  <c r="AI14" i="5"/>
  <c r="AH14" i="5"/>
  <c r="AG14" i="5"/>
  <c r="AF14" i="5"/>
  <c r="AE14" i="5"/>
  <c r="AD14" i="5"/>
  <c r="AC14" i="5"/>
  <c r="AB14" i="5"/>
  <c r="AA14" i="5"/>
  <c r="Z14" i="5"/>
  <c r="Y14" i="5"/>
  <c r="X14" i="5"/>
  <c r="W14" i="5"/>
  <c r="V14" i="5"/>
  <c r="U14" i="5"/>
  <c r="T14" i="5"/>
  <c r="S14" i="5"/>
  <c r="N14" i="5"/>
  <c r="L14" i="5"/>
  <c r="J14" i="5"/>
  <c r="K14" i="5" s="1"/>
  <c r="G14" i="5"/>
  <c r="F14" i="5"/>
  <c r="I14" i="5" s="1"/>
  <c r="E14" i="5"/>
  <c r="D14" i="5"/>
  <c r="C14" i="5"/>
  <c r="B14" i="5"/>
  <c r="AI13" i="5"/>
  <c r="AH13" i="5"/>
  <c r="AG13" i="5"/>
  <c r="AF13" i="5"/>
  <c r="AE13" i="5"/>
  <c r="AD13" i="5"/>
  <c r="AC13" i="5"/>
  <c r="AB13" i="5"/>
  <c r="AA13" i="5"/>
  <c r="Z13" i="5"/>
  <c r="Y13" i="5"/>
  <c r="X13" i="5"/>
  <c r="W13" i="5"/>
  <c r="V13" i="5"/>
  <c r="U13" i="5"/>
  <c r="T13" i="5"/>
  <c r="S13" i="5"/>
  <c r="N13" i="5"/>
  <c r="L13" i="5"/>
  <c r="J13" i="5"/>
  <c r="K13" i="5" s="1"/>
  <c r="G13" i="5"/>
  <c r="F13" i="5"/>
  <c r="E13" i="5"/>
  <c r="D13" i="5"/>
  <c r="C13" i="5"/>
  <c r="B13" i="5"/>
  <c r="AI12" i="5"/>
  <c r="AH12" i="5"/>
  <c r="AK12" i="5" s="1"/>
  <c r="AG12" i="5"/>
  <c r="AF12" i="5"/>
  <c r="AE12" i="5"/>
  <c r="AD12" i="5"/>
  <c r="AC12" i="5"/>
  <c r="AB12" i="5"/>
  <c r="AA12" i="5"/>
  <c r="Z12" i="5"/>
  <c r="Y12" i="5"/>
  <c r="X12" i="5"/>
  <c r="W12" i="5"/>
  <c r="V12" i="5"/>
  <c r="U12" i="5"/>
  <c r="T12" i="5"/>
  <c r="S12" i="5"/>
  <c r="N12" i="5"/>
  <c r="L12" i="5"/>
  <c r="J12" i="5"/>
  <c r="K12" i="5" s="1"/>
  <c r="G12" i="5"/>
  <c r="F12" i="5"/>
  <c r="I12" i="5" s="1"/>
  <c r="E12" i="5"/>
  <c r="D12" i="5"/>
  <c r="C12" i="5"/>
  <c r="B12" i="5"/>
  <c r="K4" i="2" s="1"/>
  <c r="AI11" i="5"/>
  <c r="AH11" i="5"/>
  <c r="AG11" i="5"/>
  <c r="AF11" i="5"/>
  <c r="AE11" i="5"/>
  <c r="AD11" i="5"/>
  <c r="AC11" i="5"/>
  <c r="AB11" i="5"/>
  <c r="AA11" i="5"/>
  <c r="Z11" i="5"/>
  <c r="Y11" i="5"/>
  <c r="X11" i="5"/>
  <c r="W11" i="5"/>
  <c r="V11" i="5"/>
  <c r="U11" i="5"/>
  <c r="T11" i="5"/>
  <c r="S11" i="5"/>
  <c r="N11" i="5"/>
  <c r="L11" i="5"/>
  <c r="J11" i="5"/>
  <c r="K11" i="5" s="1"/>
  <c r="G11" i="5"/>
  <c r="F11" i="5"/>
  <c r="E11" i="5"/>
  <c r="D11" i="5"/>
  <c r="C11" i="5"/>
  <c r="B11" i="5"/>
  <c r="J4" i="2" s="1"/>
  <c r="AI10" i="5"/>
  <c r="AH10" i="5"/>
  <c r="AG10" i="5"/>
  <c r="AF10" i="5"/>
  <c r="AE10" i="5"/>
  <c r="AD10" i="5"/>
  <c r="AC10" i="5"/>
  <c r="AB10" i="5"/>
  <c r="AA10" i="5"/>
  <c r="Z10" i="5"/>
  <c r="Y10" i="5"/>
  <c r="X10" i="5"/>
  <c r="W10" i="5"/>
  <c r="V10" i="5"/>
  <c r="U10" i="5"/>
  <c r="T10" i="5"/>
  <c r="S10" i="5"/>
  <c r="N10" i="5"/>
  <c r="L10" i="5"/>
  <c r="J10" i="5"/>
  <c r="K10" i="5" s="1"/>
  <c r="G10" i="5"/>
  <c r="F10" i="5"/>
  <c r="E10" i="5"/>
  <c r="D10" i="5"/>
  <c r="C10" i="5"/>
  <c r="B10" i="5"/>
  <c r="I4" i="2" s="1"/>
  <c r="AI9" i="5"/>
  <c r="AH9" i="5"/>
  <c r="AG9" i="5"/>
  <c r="AF9" i="5"/>
  <c r="AE9" i="5"/>
  <c r="AD9" i="5"/>
  <c r="AC9" i="5"/>
  <c r="AB9" i="5"/>
  <c r="AA9" i="5"/>
  <c r="Z9" i="5"/>
  <c r="Y9" i="5"/>
  <c r="X9" i="5"/>
  <c r="W9" i="5"/>
  <c r="V9" i="5"/>
  <c r="U9" i="5"/>
  <c r="T9" i="5"/>
  <c r="S9" i="5"/>
  <c r="N9" i="5"/>
  <c r="L9" i="5"/>
  <c r="J9" i="5"/>
  <c r="K9" i="5" s="1"/>
  <c r="G9" i="5"/>
  <c r="F9" i="5"/>
  <c r="I9" i="5" s="1"/>
  <c r="E9" i="5"/>
  <c r="D9" i="5"/>
  <c r="C9" i="5"/>
  <c r="B9" i="5"/>
  <c r="H4" i="2" s="1"/>
  <c r="AI8" i="5"/>
  <c r="AH8" i="5"/>
  <c r="AG8" i="5"/>
  <c r="AF8" i="5"/>
  <c r="AE8" i="5"/>
  <c r="AD8" i="5"/>
  <c r="AC8" i="5"/>
  <c r="AB8" i="5"/>
  <c r="AA8" i="5"/>
  <c r="Z8" i="5"/>
  <c r="Y8" i="5"/>
  <c r="X8" i="5"/>
  <c r="W8" i="5"/>
  <c r="V8" i="5"/>
  <c r="U8" i="5"/>
  <c r="T8" i="5"/>
  <c r="S8" i="5"/>
  <c r="N8" i="5"/>
  <c r="L8" i="5"/>
  <c r="J8" i="5"/>
  <c r="K8" i="5" s="1"/>
  <c r="G8" i="5"/>
  <c r="F8" i="5"/>
  <c r="I8" i="5" s="1"/>
  <c r="E8" i="5"/>
  <c r="D8" i="5"/>
  <c r="C8" i="5"/>
  <c r="B8" i="5"/>
  <c r="G4" i="2" s="1"/>
  <c r="AI7" i="5"/>
  <c r="AH7" i="5"/>
  <c r="AK7" i="5" s="1"/>
  <c r="AG7" i="5"/>
  <c r="AF7" i="5"/>
  <c r="AE7" i="5"/>
  <c r="AD7" i="5"/>
  <c r="AC7" i="5"/>
  <c r="AB7" i="5"/>
  <c r="AA7" i="5"/>
  <c r="Z7" i="5"/>
  <c r="Y7" i="5"/>
  <c r="X7" i="5"/>
  <c r="W7" i="5"/>
  <c r="V7" i="5"/>
  <c r="U7" i="5"/>
  <c r="T7" i="5"/>
  <c r="S7" i="5"/>
  <c r="N7" i="5"/>
  <c r="L7" i="5"/>
  <c r="J7" i="5"/>
  <c r="K7" i="5" s="1"/>
  <c r="G7" i="5"/>
  <c r="F7" i="5"/>
  <c r="I7" i="5" s="1"/>
  <c r="E7" i="5"/>
  <c r="D7" i="5"/>
  <c r="C7" i="5"/>
  <c r="B7" i="5"/>
  <c r="F4" i="2" s="1"/>
  <c r="AI6" i="5"/>
  <c r="AH6" i="5"/>
  <c r="AG6" i="5"/>
  <c r="AF6" i="5"/>
  <c r="AE6" i="5"/>
  <c r="AD6" i="5"/>
  <c r="AC6" i="5"/>
  <c r="AB6" i="5"/>
  <c r="AA6" i="5"/>
  <c r="Z6" i="5"/>
  <c r="Y6" i="5"/>
  <c r="X6" i="5"/>
  <c r="W6" i="5"/>
  <c r="V6" i="5"/>
  <c r="U6" i="5"/>
  <c r="T6" i="5"/>
  <c r="S6" i="5"/>
  <c r="N6" i="5"/>
  <c r="L6" i="5"/>
  <c r="J6" i="5"/>
  <c r="K6" i="5" s="1"/>
  <c r="G6" i="5"/>
  <c r="F6" i="5"/>
  <c r="I6" i="5" s="1"/>
  <c r="E6" i="5"/>
  <c r="D6" i="5"/>
  <c r="C6" i="5"/>
  <c r="B6" i="5"/>
  <c r="E4" i="2" s="1"/>
  <c r="AI5" i="5"/>
  <c r="AH5" i="5"/>
  <c r="AG5" i="5"/>
  <c r="AF5" i="5"/>
  <c r="AE5" i="5"/>
  <c r="AD5" i="5"/>
  <c r="AC5" i="5"/>
  <c r="AB5" i="5"/>
  <c r="AA5" i="5"/>
  <c r="Z5" i="5"/>
  <c r="Y5" i="5"/>
  <c r="X5" i="5"/>
  <c r="W5" i="5"/>
  <c r="V5" i="5"/>
  <c r="U5" i="5"/>
  <c r="T5" i="5"/>
  <c r="S5" i="5"/>
  <c r="N5" i="5"/>
  <c r="L5" i="5"/>
  <c r="J5" i="5"/>
  <c r="K5" i="5" s="1"/>
  <c r="G5" i="5"/>
  <c r="F5" i="5"/>
  <c r="I5" i="5" s="1"/>
  <c r="E5" i="5"/>
  <c r="D5" i="5"/>
  <c r="C5" i="5"/>
  <c r="B5" i="5"/>
  <c r="D4" i="2" s="1"/>
  <c r="AI4" i="5"/>
  <c r="AH4" i="5"/>
  <c r="AG4" i="5"/>
  <c r="AF4" i="5"/>
  <c r="AE4" i="5"/>
  <c r="AD4" i="5"/>
  <c r="AC4" i="5"/>
  <c r="AB4" i="5"/>
  <c r="AA4" i="5"/>
  <c r="Z4" i="5"/>
  <c r="Y4" i="5"/>
  <c r="X4" i="5"/>
  <c r="W4" i="5"/>
  <c r="V4" i="5"/>
  <c r="U4" i="5"/>
  <c r="T4" i="5"/>
  <c r="S4" i="5"/>
  <c r="N4" i="5"/>
  <c r="L4" i="5"/>
  <c r="J4" i="5"/>
  <c r="K4" i="5" s="1"/>
  <c r="G4" i="5"/>
  <c r="F4" i="5"/>
  <c r="I4" i="5" s="1"/>
  <c r="E4" i="5"/>
  <c r="D4" i="5"/>
  <c r="C4" i="5"/>
  <c r="B4" i="5"/>
  <c r="C4" i="2" s="1"/>
  <c r="AI3" i="5"/>
  <c r="AH3" i="5"/>
  <c r="AG3" i="5"/>
  <c r="AF3" i="5"/>
  <c r="AE3" i="5"/>
  <c r="AD3" i="5"/>
  <c r="AC3" i="5"/>
  <c r="AB3" i="5"/>
  <c r="AA3" i="5"/>
  <c r="Z3" i="5"/>
  <c r="Y3" i="5"/>
  <c r="X3" i="5"/>
  <c r="W3" i="5"/>
  <c r="V3" i="5"/>
  <c r="U3" i="5"/>
  <c r="T3" i="5"/>
  <c r="S3" i="5"/>
  <c r="N3" i="5"/>
  <c r="L3" i="5"/>
  <c r="J3" i="5"/>
  <c r="K3" i="5" s="1"/>
  <c r="G3" i="5"/>
  <c r="F3" i="5"/>
  <c r="E3" i="5"/>
  <c r="D3" i="5"/>
  <c r="C3" i="5"/>
  <c r="B3" i="5"/>
  <c r="B4" i="2" s="1"/>
  <c r="N4" i="2"/>
  <c r="M4" i="2"/>
  <c r="L4" i="2"/>
  <c r="L62" i="1"/>
  <c r="O18" i="5" l="1"/>
  <c r="O16" i="5"/>
  <c r="H11" i="5"/>
  <c r="H13" i="5"/>
  <c r="O15" i="5"/>
  <c r="H10" i="5"/>
  <c r="AJ57" i="5"/>
  <c r="O14" i="5"/>
  <c r="O19" i="5"/>
  <c r="O12" i="5"/>
  <c r="O13" i="5"/>
  <c r="O11" i="5"/>
  <c r="AK93" i="5"/>
  <c r="I17" i="5"/>
  <c r="AJ46" i="5"/>
  <c r="AJ35" i="5"/>
  <c r="H38" i="5"/>
  <c r="L1" i="1"/>
  <c r="F6" i="1" s="1"/>
  <c r="AM62" i="5"/>
  <c r="AK98" i="5"/>
  <c r="AJ105" i="5"/>
  <c r="H39" i="5"/>
  <c r="AJ41" i="5"/>
  <c r="M28" i="5"/>
  <c r="AJ43" i="5"/>
  <c r="AJ51" i="5"/>
  <c r="M38" i="5"/>
  <c r="AL72" i="5"/>
  <c r="H48" i="5"/>
  <c r="H3" i="5"/>
  <c r="H45" i="5"/>
  <c r="AK58" i="5"/>
  <c r="M5" i="5"/>
  <c r="AJ47" i="5"/>
  <c r="AL36" i="5"/>
  <c r="M39" i="5"/>
  <c r="AL51" i="5"/>
  <c r="AL52" i="5"/>
  <c r="AJ80" i="5"/>
  <c r="AJ37" i="5"/>
  <c r="AM37" i="5" s="1"/>
  <c r="M44" i="5"/>
  <c r="AL97" i="5"/>
  <c r="M3" i="5"/>
  <c r="O7" i="5"/>
  <c r="AJ31" i="5"/>
  <c r="AK46" i="5"/>
  <c r="AJ67" i="5"/>
  <c r="AJ63" i="5"/>
  <c r="AM67" i="5"/>
  <c r="AJ56" i="5"/>
  <c r="AJ62" i="5"/>
  <c r="AK78" i="5"/>
  <c r="AL37" i="5"/>
  <c r="AJ27" i="5"/>
  <c r="H30" i="5"/>
  <c r="AJ38" i="5"/>
  <c r="H53" i="5"/>
  <c r="I61" i="5"/>
  <c r="M37" i="5"/>
  <c r="AL44" i="5"/>
  <c r="H60" i="5"/>
  <c r="AL87" i="5"/>
  <c r="AK88" i="5"/>
  <c r="AK92" i="5"/>
  <c r="AL3" i="5"/>
  <c r="AJ5" i="5"/>
  <c r="AJ10" i="5"/>
  <c r="AJ26" i="5"/>
  <c r="AK35" i="5"/>
  <c r="AL49" i="5"/>
  <c r="AJ78" i="5"/>
  <c r="AM87" i="5"/>
  <c r="AJ100" i="5"/>
  <c r="AJ118" i="5"/>
  <c r="AL29" i="5"/>
  <c r="AL35" i="5"/>
  <c r="AK26" i="5"/>
  <c r="AL34" i="5"/>
  <c r="AK41" i="5"/>
  <c r="AJ42" i="5"/>
  <c r="H43" i="5"/>
  <c r="AJ52" i="5"/>
  <c r="AL55" i="5"/>
  <c r="AK59" i="5"/>
  <c r="M60" i="5"/>
  <c r="AK73" i="5"/>
  <c r="AJ103" i="5"/>
  <c r="AM107" i="5"/>
  <c r="AL20" i="5"/>
  <c r="AL41" i="5"/>
  <c r="M42" i="5"/>
  <c r="AK42" i="5"/>
  <c r="M52" i="5"/>
  <c r="AK52" i="5"/>
  <c r="M59" i="5"/>
  <c r="AJ68" i="5"/>
  <c r="AJ85" i="5"/>
  <c r="AL25" i="5"/>
  <c r="AL40" i="5"/>
  <c r="AL42" i="5"/>
  <c r="AL28" i="5"/>
  <c r="H40" i="5"/>
  <c r="M43" i="5"/>
  <c r="AL46" i="5"/>
  <c r="M47" i="5"/>
  <c r="AK47" i="5"/>
  <c r="AM47" i="5" s="1"/>
  <c r="M58" i="5"/>
  <c r="AL62" i="5"/>
  <c r="AL6" i="5"/>
  <c r="AL11" i="5"/>
  <c r="AL33" i="5"/>
  <c r="AL45" i="5"/>
  <c r="AL47" i="5"/>
  <c r="AL50" i="5"/>
  <c r="AL54" i="5"/>
  <c r="AJ36" i="5"/>
  <c r="AL39" i="5"/>
  <c r="M48" i="5"/>
  <c r="AJ93" i="5"/>
  <c r="AL30" i="5"/>
  <c r="AJ75" i="5"/>
  <c r="AK87" i="5"/>
  <c r="AJ88" i="5"/>
  <c r="H25" i="5"/>
  <c r="I13" i="5"/>
  <c r="AL24" i="5"/>
  <c r="M13" i="5"/>
  <c r="O8" i="5"/>
  <c r="M12" i="5"/>
  <c r="M25" i="5"/>
  <c r="H14" i="5"/>
  <c r="AJ12" i="5"/>
  <c r="AM12" i="5" s="1"/>
  <c r="F1" i="1"/>
  <c r="AL12" i="5"/>
  <c r="AK31" i="5"/>
  <c r="AM31" i="5" s="1"/>
  <c r="AJ32" i="5"/>
  <c r="AJ33" i="5"/>
  <c r="M34" i="5"/>
  <c r="O4" i="5"/>
  <c r="AK8" i="5"/>
  <c r="AL7" i="5"/>
  <c r="M8" i="5"/>
  <c r="O10" i="5"/>
  <c r="H19" i="5"/>
  <c r="I27" i="5"/>
  <c r="AL31" i="5"/>
  <c r="M32" i="5"/>
  <c r="AK32" i="5"/>
  <c r="M33" i="5"/>
  <c r="AK33" i="5"/>
  <c r="O6" i="5"/>
  <c r="AL32" i="5"/>
  <c r="AL26" i="5"/>
  <c r="AK27" i="5"/>
  <c r="AM27" i="5" s="1"/>
  <c r="O9" i="5"/>
  <c r="I18" i="5"/>
  <c r="AJ21" i="5"/>
  <c r="AK36" i="5"/>
  <c r="L13" i="1"/>
  <c r="C13" i="1" s="1"/>
  <c r="O3" i="5"/>
  <c r="H7" i="5"/>
  <c r="I10" i="5"/>
  <c r="I11" i="5"/>
  <c r="AJ14" i="5"/>
  <c r="M16" i="5"/>
  <c r="AJ19" i="5"/>
  <c r="I20" i="5"/>
  <c r="AJ22" i="5"/>
  <c r="I24" i="5"/>
  <c r="AL38" i="5"/>
  <c r="AK39" i="5"/>
  <c r="AK43" i="5"/>
  <c r="AM43" i="5" s="1"/>
  <c r="AK45" i="5"/>
  <c r="AJ48" i="5"/>
  <c r="H49" i="5"/>
  <c r="AK51" i="5"/>
  <c r="AM51" i="5" s="1"/>
  <c r="AK57" i="5"/>
  <c r="AM57" i="5" s="1"/>
  <c r="AM82" i="5"/>
  <c r="AJ4" i="5"/>
  <c r="AK10" i="5"/>
  <c r="H12" i="5"/>
  <c r="M14" i="5"/>
  <c r="AL14" i="5"/>
  <c r="M18" i="5"/>
  <c r="M19" i="5"/>
  <c r="AL19" i="5"/>
  <c r="AL22" i="5"/>
  <c r="AM38" i="5"/>
  <c r="AL43" i="5"/>
  <c r="AK44" i="5"/>
  <c r="AK48" i="5"/>
  <c r="H50" i="5"/>
  <c r="AL57" i="5"/>
  <c r="AJ58" i="5"/>
  <c r="H59" i="5"/>
  <c r="L39" i="1"/>
  <c r="A39" i="1" s="1"/>
  <c r="L21" i="1"/>
  <c r="D21" i="1" s="1"/>
  <c r="L43" i="1"/>
  <c r="J43" i="1" s="1"/>
  <c r="L70" i="1"/>
  <c r="I70" i="1" s="1"/>
  <c r="H5" i="5"/>
  <c r="L61" i="1"/>
  <c r="A61" i="1" s="1"/>
  <c r="L72" i="1"/>
  <c r="J72" i="1" s="1"/>
  <c r="AK5" i="5"/>
  <c r="AL4" i="5"/>
  <c r="AL5" i="5"/>
  <c r="M6" i="5"/>
  <c r="AJ7" i="5"/>
  <c r="AM7" i="5" s="1"/>
  <c r="H9" i="5"/>
  <c r="AL10" i="5"/>
  <c r="M21" i="5"/>
  <c r="AL48" i="5"/>
  <c r="AJ49" i="5"/>
  <c r="AK50" i="5"/>
  <c r="AJ53" i="5"/>
  <c r="H54" i="5"/>
  <c r="AJ6" i="5"/>
  <c r="L10" i="1"/>
  <c r="L29" i="1"/>
  <c r="H29" i="1" s="1"/>
  <c r="L32" i="1"/>
  <c r="C32" i="1" s="1"/>
  <c r="L75" i="1"/>
  <c r="I75" i="1" s="1"/>
  <c r="AK6" i="5"/>
  <c r="L22" i="1"/>
  <c r="I22" i="1" s="1"/>
  <c r="L30" i="1"/>
  <c r="F30" i="1" s="1"/>
  <c r="L47" i="1"/>
  <c r="B47" i="1" s="1"/>
  <c r="O5" i="5"/>
  <c r="M7" i="5"/>
  <c r="AJ11" i="5"/>
  <c r="M23" i="5"/>
  <c r="AJ24" i="5"/>
  <c r="M49" i="5"/>
  <c r="AK49" i="5"/>
  <c r="M53" i="5"/>
  <c r="AK53" i="5"/>
  <c r="H55" i="5"/>
  <c r="AL58" i="5"/>
  <c r="AJ59" i="5"/>
  <c r="AL67" i="5"/>
  <c r="AK68" i="5"/>
  <c r="AJ73" i="5"/>
  <c r="AL92" i="5"/>
  <c r="AK97" i="5"/>
  <c r="AJ98" i="5"/>
  <c r="L12" i="1"/>
  <c r="F12" i="1" s="1"/>
  <c r="L27" i="1"/>
  <c r="E27" i="1" s="1"/>
  <c r="L31" i="1"/>
  <c r="E31" i="1" s="1"/>
  <c r="L38" i="1"/>
  <c r="I38" i="1" s="1"/>
  <c r="L55" i="1"/>
  <c r="J55" i="1" s="1"/>
  <c r="L17" i="1"/>
  <c r="J17" i="1" s="1"/>
  <c r="L53" i="1"/>
  <c r="J53" i="1" s="1"/>
  <c r="L79" i="1"/>
  <c r="F79" i="1" s="1"/>
  <c r="M11" i="5"/>
  <c r="M24" i="5"/>
  <c r="AL53" i="5"/>
  <c r="AJ54" i="5"/>
  <c r="AK55" i="5"/>
  <c r="AJ114" i="5"/>
  <c r="M54" i="5"/>
  <c r="AK54" i="5"/>
  <c r="AM97" i="5"/>
  <c r="AK102" i="5"/>
  <c r="AK114" i="5"/>
  <c r="AJ65" i="5"/>
  <c r="AL102" i="5"/>
  <c r="AK103" i="5"/>
  <c r="AK113" i="5"/>
  <c r="AL114" i="5"/>
  <c r="AK118" i="5"/>
  <c r="AJ119" i="5"/>
  <c r="AJ28" i="5"/>
  <c r="AL77" i="5"/>
  <c r="AJ90" i="5"/>
  <c r="AM102" i="5"/>
  <c r="AM103" i="5"/>
  <c r="AL118" i="5"/>
  <c r="AK119" i="5"/>
  <c r="I15" i="5"/>
  <c r="AJ17" i="5"/>
  <c r="H22" i="5"/>
  <c r="AL27" i="5"/>
  <c r="AK28" i="5"/>
  <c r="AJ29" i="5"/>
  <c r="AK30" i="5"/>
  <c r="AJ34" i="5"/>
  <c r="AK82" i="5"/>
  <c r="AJ83" i="5"/>
  <c r="AJ95" i="5"/>
  <c r="AK107" i="5"/>
  <c r="AJ108" i="5"/>
  <c r="AM112" i="5"/>
  <c r="AL119" i="5"/>
  <c r="L63" i="1"/>
  <c r="F63" i="1" s="1"/>
  <c r="AK13" i="5"/>
  <c r="AL15" i="5"/>
  <c r="AJ16" i="5"/>
  <c r="AL17" i="5"/>
  <c r="I23" i="5"/>
  <c r="M29" i="5"/>
  <c r="AK29" i="5"/>
  <c r="AK34" i="5"/>
  <c r="AK40" i="5"/>
  <c r="H44" i="5"/>
  <c r="H58" i="5"/>
  <c r="I62" i="5"/>
  <c r="AJ70" i="5"/>
  <c r="AL82" i="5"/>
  <c r="AK83" i="5"/>
  <c r="AL107" i="5"/>
  <c r="AK108" i="5"/>
  <c r="G62" i="1"/>
  <c r="F62" i="1"/>
  <c r="E62" i="1"/>
  <c r="D62" i="1"/>
  <c r="C62" i="1"/>
  <c r="B62" i="1"/>
  <c r="I62" i="1"/>
  <c r="H62" i="1"/>
  <c r="A62" i="1"/>
  <c r="H3" i="1"/>
  <c r="J62" i="1"/>
  <c r="L18" i="1"/>
  <c r="L23" i="1"/>
  <c r="L40" i="1"/>
  <c r="L51" i="1"/>
  <c r="L78" i="1"/>
  <c r="L68" i="1"/>
  <c r="L58" i="1"/>
  <c r="L77" i="1"/>
  <c r="L67" i="1"/>
  <c r="L57" i="1"/>
  <c r="L76" i="1"/>
  <c r="L66" i="1"/>
  <c r="L56" i="1"/>
  <c r="L64" i="1"/>
  <c r="L59" i="1"/>
  <c r="L48" i="1"/>
  <c r="L46" i="1"/>
  <c r="L36" i="1"/>
  <c r="L26" i="1"/>
  <c r="L16" i="1"/>
  <c r="L15" i="1"/>
  <c r="L73" i="1"/>
  <c r="L49" i="1"/>
  <c r="L45" i="1"/>
  <c r="L35" i="1"/>
  <c r="L25" i="1"/>
  <c r="L65" i="1"/>
  <c r="L60" i="1"/>
  <c r="L50" i="1"/>
  <c r="L44" i="1"/>
  <c r="L34" i="1"/>
  <c r="L24" i="1"/>
  <c r="L14" i="1"/>
  <c r="L20" i="1"/>
  <c r="L37" i="1"/>
  <c r="L42" i="1"/>
  <c r="L52" i="1"/>
  <c r="L74" i="1"/>
  <c r="L11" i="1"/>
  <c r="L28" i="1"/>
  <c r="L33" i="1"/>
  <c r="L54" i="1"/>
  <c r="L19" i="1"/>
  <c r="L41" i="1"/>
  <c r="L69" i="1"/>
  <c r="L71" i="1"/>
  <c r="M4" i="5"/>
  <c r="I3" i="5"/>
  <c r="AJ3" i="5"/>
  <c r="H4" i="5"/>
  <c r="AK3" i="5"/>
  <c r="AK4" i="5"/>
  <c r="H6" i="5"/>
  <c r="H8" i="5"/>
  <c r="AK17" i="5"/>
  <c r="AK22" i="5"/>
  <c r="H29" i="5"/>
  <c r="H31" i="5"/>
  <c r="H32" i="5"/>
  <c r="M9" i="5"/>
  <c r="AJ9" i="5"/>
  <c r="O17" i="5"/>
  <c r="O22" i="5"/>
  <c r="AK9" i="5"/>
  <c r="AK14" i="5"/>
  <c r="AK19" i="5"/>
  <c r="AK24" i="5"/>
  <c r="H33" i="5"/>
  <c r="AL9" i="5"/>
  <c r="I37" i="5"/>
  <c r="H37" i="5"/>
  <c r="AK11" i="5"/>
  <c r="AK16" i="5"/>
  <c r="AK21" i="5"/>
  <c r="O26" i="5"/>
  <c r="H34" i="5"/>
  <c r="AJ8" i="5"/>
  <c r="AJ13" i="5"/>
  <c r="AL16" i="5"/>
  <c r="AJ18" i="5"/>
  <c r="AL21" i="5"/>
  <c r="AJ23" i="5"/>
  <c r="H35" i="5"/>
  <c r="H36" i="5"/>
  <c r="AK18" i="5"/>
  <c r="AK23" i="5"/>
  <c r="AL8" i="5"/>
  <c r="M10" i="5"/>
  <c r="AL13" i="5"/>
  <c r="M15" i="5"/>
  <c r="AJ15" i="5"/>
  <c r="AM15" i="5" s="1"/>
  <c r="AL18" i="5"/>
  <c r="M20" i="5"/>
  <c r="AJ20" i="5"/>
  <c r="AL23" i="5"/>
  <c r="AJ25" i="5"/>
  <c r="M27" i="5"/>
  <c r="H28" i="5"/>
  <c r="H16" i="5"/>
  <c r="AK20" i="5"/>
  <c r="H21" i="5"/>
  <c r="AK25" i="5"/>
  <c r="H26" i="5"/>
  <c r="H42" i="5"/>
  <c r="H47" i="5"/>
  <c r="H52" i="5"/>
  <c r="AK56" i="5"/>
  <c r="AM56" i="5" s="1"/>
  <c r="H57" i="5"/>
  <c r="AM59" i="5"/>
  <c r="AK61" i="5"/>
  <c r="AM63" i="5"/>
  <c r="AK64" i="5"/>
  <c r="AM68" i="5"/>
  <c r="AK69" i="5"/>
  <c r="AM73" i="5"/>
  <c r="AK74" i="5"/>
  <c r="AM78" i="5"/>
  <c r="AK79" i="5"/>
  <c r="AM83" i="5"/>
  <c r="AK84" i="5"/>
  <c r="AM88" i="5"/>
  <c r="AK89" i="5"/>
  <c r="AM93" i="5"/>
  <c r="AK94" i="5"/>
  <c r="AM98" i="5"/>
  <c r="AK99" i="5"/>
  <c r="AK104" i="5"/>
  <c r="AM108" i="5"/>
  <c r="AK109" i="5"/>
  <c r="AM113" i="5"/>
  <c r="O31" i="5"/>
  <c r="O36" i="5"/>
  <c r="O41" i="5"/>
  <c r="O46" i="5"/>
  <c r="O51" i="5"/>
  <c r="O56" i="5"/>
  <c r="AL56" i="5"/>
  <c r="O61" i="5"/>
  <c r="AL61" i="5"/>
  <c r="AL64" i="5"/>
  <c r="AL69" i="5"/>
  <c r="AL74" i="5"/>
  <c r="AL79" i="5"/>
  <c r="AL84" i="5"/>
  <c r="AL89" i="5"/>
  <c r="AL94" i="5"/>
  <c r="AL99" i="5"/>
  <c r="AL104" i="5"/>
  <c r="AL109" i="5"/>
  <c r="AJ110" i="5"/>
  <c r="AJ115" i="5"/>
  <c r="AJ120" i="5"/>
  <c r="AM61" i="5"/>
  <c r="AM64" i="5"/>
  <c r="AK65" i="5"/>
  <c r="AM69" i="5"/>
  <c r="AK70" i="5"/>
  <c r="AM74" i="5"/>
  <c r="AK75" i="5"/>
  <c r="AM79" i="5"/>
  <c r="AK80" i="5"/>
  <c r="AM84" i="5"/>
  <c r="AK85" i="5"/>
  <c r="AM89" i="5"/>
  <c r="AK90" i="5"/>
  <c r="AM94" i="5"/>
  <c r="AK95" i="5"/>
  <c r="AM99" i="5"/>
  <c r="AK100" i="5"/>
  <c r="AM104" i="5"/>
  <c r="AK105" i="5"/>
  <c r="AM109" i="5"/>
  <c r="AK110" i="5"/>
  <c r="AK115" i="5"/>
  <c r="AK120" i="5"/>
  <c r="M30" i="5"/>
  <c r="AJ30" i="5"/>
  <c r="M35" i="5"/>
  <c r="M40" i="5"/>
  <c r="AJ40" i="5"/>
  <c r="M45" i="5"/>
  <c r="AJ45" i="5"/>
  <c r="M50" i="5"/>
  <c r="AJ50" i="5"/>
  <c r="M55" i="5"/>
  <c r="AJ55" i="5"/>
  <c r="AM55" i="5" s="1"/>
  <c r="AJ60" i="5"/>
  <c r="AL65" i="5"/>
  <c r="AJ66" i="5"/>
  <c r="AL70" i="5"/>
  <c r="AJ71" i="5"/>
  <c r="AL75" i="5"/>
  <c r="AJ76" i="5"/>
  <c r="AL80" i="5"/>
  <c r="AJ81" i="5"/>
  <c r="AL85" i="5"/>
  <c r="AJ86" i="5"/>
  <c r="AL90" i="5"/>
  <c r="AJ91" i="5"/>
  <c r="AL95" i="5"/>
  <c r="AJ96" i="5"/>
  <c r="AL100" i="5"/>
  <c r="AJ101" i="5"/>
  <c r="AL105" i="5"/>
  <c r="AJ106" i="5"/>
  <c r="AL110" i="5"/>
  <c r="AJ111" i="5"/>
  <c r="AL115" i="5"/>
  <c r="AJ116" i="5"/>
  <c r="AL120" i="5"/>
  <c r="AJ121" i="5"/>
  <c r="H41" i="5"/>
  <c r="H46" i="5"/>
  <c r="H51" i="5"/>
  <c r="H56" i="5"/>
  <c r="AK60" i="5"/>
  <c r="AK66" i="5"/>
  <c r="AK71" i="5"/>
  <c r="AK76" i="5"/>
  <c r="AK81" i="5"/>
  <c r="AK86" i="5"/>
  <c r="AK91" i="5"/>
  <c r="AK96" i="5"/>
  <c r="AK101" i="5"/>
  <c r="AK106" i="5"/>
  <c r="AK111" i="5"/>
  <c r="AK116" i="5"/>
  <c r="AK121" i="5"/>
  <c r="M57" i="5"/>
  <c r="AL60" i="5"/>
  <c r="M62" i="5"/>
  <c r="AL66" i="5"/>
  <c r="AL71" i="5"/>
  <c r="AJ72" i="5"/>
  <c r="AL76" i="5"/>
  <c r="AJ77" i="5"/>
  <c r="AM77" i="5" s="1"/>
  <c r="AL81" i="5"/>
  <c r="AL86" i="5"/>
  <c r="AL91" i="5"/>
  <c r="AJ92" i="5"/>
  <c r="AL96" i="5"/>
  <c r="AL101" i="5"/>
  <c r="AL106" i="5"/>
  <c r="AL111" i="5"/>
  <c r="AJ112" i="5"/>
  <c r="AL116" i="5"/>
  <c r="AJ117" i="5"/>
  <c r="AL121" i="5"/>
  <c r="AJ122" i="5"/>
  <c r="AK72" i="5"/>
  <c r="AK77" i="5"/>
  <c r="AK112" i="5"/>
  <c r="AK117" i="5"/>
  <c r="AK122" i="5"/>
  <c r="AJ39" i="5"/>
  <c r="AJ44" i="5"/>
  <c r="AJ113" i="5"/>
  <c r="AL117" i="5"/>
  <c r="AL122" i="5"/>
  <c r="AK63" i="5"/>
  <c r="AM76" i="5" l="1"/>
  <c r="AM75" i="5"/>
  <c r="AM46" i="5"/>
  <c r="AM41" i="5"/>
  <c r="AM35" i="5"/>
  <c r="D3" i="1"/>
  <c r="AM10" i="5"/>
  <c r="G13" i="1"/>
  <c r="A6" i="1"/>
  <c r="A7" i="1"/>
  <c r="F3" i="1"/>
  <c r="AM34" i="5"/>
  <c r="A21" i="1"/>
  <c r="D6" i="1"/>
  <c r="B21" i="1"/>
  <c r="F21" i="1"/>
  <c r="F22" i="1"/>
  <c r="H75" i="1"/>
  <c r="J31" i="1"/>
  <c r="B22" i="1"/>
  <c r="G10" i="1"/>
  <c r="C10" i="1"/>
  <c r="H6" i="1"/>
  <c r="AM8" i="5"/>
  <c r="AM39" i="5"/>
  <c r="AM50" i="5"/>
  <c r="AM3" i="5"/>
  <c r="AM49" i="5"/>
  <c r="AM22" i="5"/>
  <c r="AM6" i="5"/>
  <c r="AM20" i="5"/>
  <c r="AM5" i="5"/>
  <c r="AM44" i="5"/>
  <c r="F55" i="1"/>
  <c r="AM48" i="5"/>
  <c r="E21" i="1"/>
  <c r="C22" i="1"/>
  <c r="AM19" i="5"/>
  <c r="AM32" i="5"/>
  <c r="AM26" i="5"/>
  <c r="AM23" i="5"/>
  <c r="AM52" i="5"/>
  <c r="AM53" i="5"/>
  <c r="AM45" i="5"/>
  <c r="AM24" i="5"/>
  <c r="G21" i="1"/>
  <c r="A38" i="1"/>
  <c r="D38" i="1"/>
  <c r="I30" i="1"/>
  <c r="G30" i="1"/>
  <c r="F39" i="1"/>
  <c r="G38" i="1"/>
  <c r="B38" i="1"/>
  <c r="C31" i="1"/>
  <c r="G31" i="1"/>
  <c r="F75" i="1"/>
  <c r="H32" i="1"/>
  <c r="H31" i="1"/>
  <c r="A75" i="1"/>
  <c r="E32" i="1"/>
  <c r="D31" i="1"/>
  <c r="E75" i="1"/>
  <c r="H72" i="1"/>
  <c r="C39" i="1"/>
  <c r="D39" i="1"/>
  <c r="AM29" i="5"/>
  <c r="AM4" i="5"/>
  <c r="AM28" i="5"/>
  <c r="AM21" i="5"/>
  <c r="AM33" i="5"/>
  <c r="AM42" i="5"/>
  <c r="AM9" i="5"/>
  <c r="AM18" i="5"/>
  <c r="AM14" i="5"/>
  <c r="AM13" i="5"/>
  <c r="AM11" i="5"/>
  <c r="AM40" i="5"/>
  <c r="AM17" i="5"/>
  <c r="AM30" i="5"/>
  <c r="E13" i="1"/>
  <c r="B75" i="1"/>
  <c r="AM16" i="5"/>
  <c r="AM25" i="5"/>
  <c r="I39" i="1"/>
  <c r="AM54" i="5"/>
  <c r="D30" i="1"/>
  <c r="E53" i="1"/>
  <c r="H30" i="1"/>
  <c r="A30" i="1"/>
  <c r="A70" i="1"/>
  <c r="B30" i="1"/>
  <c r="AM36" i="5"/>
  <c r="F13" i="1"/>
  <c r="A12" i="1"/>
  <c r="F72" i="1"/>
  <c r="D13" i="1"/>
  <c r="C12" i="1"/>
  <c r="G72" i="1"/>
  <c r="D12" i="1"/>
  <c r="E12" i="1"/>
  <c r="A72" i="1"/>
  <c r="C17" i="1"/>
  <c r="C29" i="1"/>
  <c r="H17" i="1"/>
  <c r="G29" i="1"/>
  <c r="G39" i="1"/>
  <c r="C55" i="1"/>
  <c r="D22" i="1"/>
  <c r="C30" i="1"/>
  <c r="D17" i="1"/>
  <c r="F29" i="1"/>
  <c r="B55" i="1"/>
  <c r="I17" i="1"/>
  <c r="H13" i="1"/>
  <c r="H39" i="1"/>
  <c r="E22" i="1"/>
  <c r="C79" i="1"/>
  <c r="E30" i="1"/>
  <c r="J30" i="1"/>
  <c r="A13" i="1"/>
  <c r="I47" i="1"/>
  <c r="B72" i="1"/>
  <c r="I32" i="1"/>
  <c r="G27" i="1"/>
  <c r="D79" i="1"/>
  <c r="F27" i="1"/>
  <c r="J32" i="1"/>
  <c r="H27" i="1"/>
  <c r="B39" i="1"/>
  <c r="D55" i="1"/>
  <c r="G22" i="1"/>
  <c r="G43" i="1"/>
  <c r="E63" i="1"/>
  <c r="E70" i="1"/>
  <c r="I27" i="1"/>
  <c r="F53" i="1"/>
  <c r="B13" i="1"/>
  <c r="C47" i="1"/>
  <c r="A55" i="1"/>
  <c r="I72" i="1"/>
  <c r="C75" i="1"/>
  <c r="E39" i="1"/>
  <c r="H47" i="1"/>
  <c r="D75" i="1"/>
  <c r="D53" i="1"/>
  <c r="C70" i="1"/>
  <c r="F61" i="1"/>
  <c r="H43" i="1"/>
  <c r="H10" i="1"/>
  <c r="A43" i="1"/>
  <c r="J79" i="1"/>
  <c r="C61" i="1"/>
  <c r="B70" i="1"/>
  <c r="B61" i="1"/>
  <c r="J47" i="1"/>
  <c r="H53" i="1"/>
  <c r="G70" i="1"/>
  <c r="G61" i="1"/>
  <c r="I10" i="1"/>
  <c r="E43" i="1"/>
  <c r="G63" i="1"/>
  <c r="I53" i="1"/>
  <c r="I43" i="1"/>
  <c r="H70" i="1"/>
  <c r="H61" i="1"/>
  <c r="J10" i="1"/>
  <c r="B43" i="1"/>
  <c r="G79" i="1"/>
  <c r="H63" i="1"/>
  <c r="A53" i="1"/>
  <c r="I79" i="1"/>
  <c r="E47" i="1"/>
  <c r="F43" i="1"/>
  <c r="E10" i="1"/>
  <c r="C43" i="1"/>
  <c r="A79" i="1"/>
  <c r="I63" i="1"/>
  <c r="G53" i="1"/>
  <c r="A47" i="1"/>
  <c r="F10" i="1"/>
  <c r="D43" i="1"/>
  <c r="E79" i="1"/>
  <c r="B53" i="1"/>
  <c r="H79" i="1"/>
  <c r="B79" i="1"/>
  <c r="C53" i="1"/>
  <c r="C63" i="1"/>
  <c r="B63" i="1"/>
  <c r="A63" i="1"/>
  <c r="J63" i="1"/>
  <c r="G17" i="1"/>
  <c r="E17" i="1"/>
  <c r="A17" i="1"/>
  <c r="H21" i="1"/>
  <c r="I21" i="1"/>
  <c r="C21" i="1"/>
  <c r="J21" i="1"/>
  <c r="G32" i="1"/>
  <c r="B32" i="1"/>
  <c r="A32" i="1"/>
  <c r="F32" i="1"/>
  <c r="G55" i="1"/>
  <c r="E55" i="1"/>
  <c r="I29" i="1"/>
  <c r="J29" i="1"/>
  <c r="D29" i="1"/>
  <c r="B29" i="1"/>
  <c r="E29" i="1"/>
  <c r="J38" i="1"/>
  <c r="E38" i="1"/>
  <c r="C38" i="1"/>
  <c r="F38" i="1"/>
  <c r="D10" i="1"/>
  <c r="B10" i="1"/>
  <c r="A10" i="1"/>
  <c r="I31" i="1"/>
  <c r="A31" i="1"/>
  <c r="B31" i="1"/>
  <c r="D27" i="1"/>
  <c r="C27" i="1"/>
  <c r="A27" i="1"/>
  <c r="B27" i="1"/>
  <c r="C72" i="1"/>
  <c r="D72" i="1"/>
  <c r="J12" i="1"/>
  <c r="I12" i="1"/>
  <c r="G12" i="1"/>
  <c r="B12" i="1"/>
  <c r="H12" i="1"/>
  <c r="G47" i="1"/>
  <c r="F47" i="1"/>
  <c r="D47" i="1"/>
  <c r="J61" i="1"/>
  <c r="E61" i="1"/>
  <c r="D61" i="1"/>
  <c r="I61" i="1"/>
  <c r="F17" i="1"/>
  <c r="J27" i="1"/>
  <c r="H55" i="1"/>
  <c r="J75" i="1"/>
  <c r="F31" i="1"/>
  <c r="J13" i="1"/>
  <c r="I13" i="1"/>
  <c r="D32" i="1"/>
  <c r="B17" i="1"/>
  <c r="A29" i="1"/>
  <c r="I55" i="1"/>
  <c r="H38" i="1"/>
  <c r="E72" i="1"/>
  <c r="G75" i="1"/>
  <c r="D63" i="1"/>
  <c r="J39" i="1"/>
  <c r="J22" i="1"/>
  <c r="H22" i="1"/>
  <c r="A22" i="1"/>
  <c r="F70" i="1"/>
  <c r="D70" i="1"/>
  <c r="J70" i="1"/>
  <c r="C24" i="1"/>
  <c r="B24" i="1"/>
  <c r="A24" i="1"/>
  <c r="J24" i="1"/>
  <c r="I24" i="1"/>
  <c r="E24" i="1"/>
  <c r="D24" i="1"/>
  <c r="H24" i="1"/>
  <c r="G24" i="1"/>
  <c r="F24" i="1"/>
  <c r="H19" i="1"/>
  <c r="G19" i="1"/>
  <c r="F19" i="1"/>
  <c r="J19" i="1"/>
  <c r="I19" i="1"/>
  <c r="B19" i="1"/>
  <c r="E19" i="1"/>
  <c r="C19" i="1"/>
  <c r="D19" i="1"/>
  <c r="A19" i="1"/>
  <c r="E54" i="1"/>
  <c r="D54" i="1"/>
  <c r="C54" i="1"/>
  <c r="H54" i="1"/>
  <c r="G54" i="1"/>
  <c r="F54" i="1"/>
  <c r="J54" i="1"/>
  <c r="A54" i="1"/>
  <c r="B54" i="1"/>
  <c r="I54" i="1"/>
  <c r="G20" i="1"/>
  <c r="F20" i="1"/>
  <c r="E20" i="1"/>
  <c r="B20" i="1"/>
  <c r="A20" i="1"/>
  <c r="I20" i="1"/>
  <c r="H20" i="1"/>
  <c r="C20" i="1"/>
  <c r="D20" i="1"/>
  <c r="J20" i="1"/>
  <c r="B45" i="1"/>
  <c r="A45" i="1"/>
  <c r="J45" i="1"/>
  <c r="I45" i="1"/>
  <c r="H45" i="1"/>
  <c r="G45" i="1"/>
  <c r="C45" i="1"/>
  <c r="F45" i="1"/>
  <c r="D45" i="1"/>
  <c r="E45" i="1"/>
  <c r="E64" i="1"/>
  <c r="D64" i="1"/>
  <c r="C64" i="1"/>
  <c r="J64" i="1"/>
  <c r="I64" i="1"/>
  <c r="F64" i="1"/>
  <c r="B64" i="1"/>
  <c r="A64" i="1"/>
  <c r="H64" i="1"/>
  <c r="G64" i="1"/>
  <c r="C14" i="1"/>
  <c r="B14" i="1"/>
  <c r="A14" i="1"/>
  <c r="H14" i="1"/>
  <c r="G14" i="1"/>
  <c r="F14" i="1"/>
  <c r="J14" i="1"/>
  <c r="I14" i="1"/>
  <c r="D14" i="1"/>
  <c r="E14" i="1"/>
  <c r="I49" i="1"/>
  <c r="H49" i="1"/>
  <c r="J49" i="1"/>
  <c r="G49" i="1"/>
  <c r="A49" i="1"/>
  <c r="F49" i="1"/>
  <c r="E49" i="1"/>
  <c r="C49" i="1"/>
  <c r="D49" i="1"/>
  <c r="B49" i="1"/>
  <c r="C56" i="1"/>
  <c r="B56" i="1"/>
  <c r="A56" i="1"/>
  <c r="J56" i="1"/>
  <c r="I56" i="1"/>
  <c r="H56" i="1"/>
  <c r="G56" i="1"/>
  <c r="E56" i="1"/>
  <c r="D56" i="1"/>
  <c r="F56" i="1"/>
  <c r="C66" i="1"/>
  <c r="B66" i="1"/>
  <c r="A66" i="1"/>
  <c r="E66" i="1"/>
  <c r="D66" i="1"/>
  <c r="F66" i="1"/>
  <c r="H66" i="1"/>
  <c r="J66" i="1"/>
  <c r="I66" i="1"/>
  <c r="G66" i="1"/>
  <c r="F11" i="1"/>
  <c r="E11" i="1"/>
  <c r="D11" i="1"/>
  <c r="J11" i="1"/>
  <c r="A11" i="1"/>
  <c r="C11" i="1"/>
  <c r="B11" i="1"/>
  <c r="H11" i="1"/>
  <c r="G11" i="1"/>
  <c r="I11" i="1"/>
  <c r="C34" i="1"/>
  <c r="B34" i="1"/>
  <c r="A34" i="1"/>
  <c r="D34" i="1"/>
  <c r="F34" i="1"/>
  <c r="J34" i="1"/>
  <c r="E34" i="1"/>
  <c r="I34" i="1"/>
  <c r="G34" i="1"/>
  <c r="H34" i="1"/>
  <c r="B15" i="1"/>
  <c r="A15" i="1"/>
  <c r="J15" i="1"/>
  <c r="I15" i="1"/>
  <c r="H15" i="1"/>
  <c r="F15" i="1"/>
  <c r="E15" i="1"/>
  <c r="C15" i="1"/>
  <c r="D15" i="1"/>
  <c r="G15" i="1"/>
  <c r="C76" i="1"/>
  <c r="B76" i="1"/>
  <c r="A76" i="1"/>
  <c r="H76" i="1"/>
  <c r="G76" i="1"/>
  <c r="F76" i="1"/>
  <c r="I76" i="1"/>
  <c r="J76" i="1"/>
  <c r="D76" i="1"/>
  <c r="E76" i="1"/>
  <c r="G51" i="1"/>
  <c r="F51" i="1"/>
  <c r="B51" i="1"/>
  <c r="A51" i="1"/>
  <c r="I51" i="1"/>
  <c r="H51" i="1"/>
  <c r="E51" i="1"/>
  <c r="J51" i="1"/>
  <c r="D51" i="1"/>
  <c r="C51" i="1"/>
  <c r="G40" i="1"/>
  <c r="F40" i="1"/>
  <c r="E40" i="1"/>
  <c r="I40" i="1"/>
  <c r="H40" i="1"/>
  <c r="D40" i="1"/>
  <c r="J40" i="1"/>
  <c r="A40" i="1"/>
  <c r="B40" i="1"/>
  <c r="C40" i="1"/>
  <c r="C44" i="1"/>
  <c r="B44" i="1"/>
  <c r="A44" i="1"/>
  <c r="G44" i="1"/>
  <c r="F44" i="1"/>
  <c r="E44" i="1"/>
  <c r="I44" i="1"/>
  <c r="D44" i="1"/>
  <c r="H44" i="1"/>
  <c r="J44" i="1"/>
  <c r="B57" i="1"/>
  <c r="A57" i="1"/>
  <c r="J57" i="1"/>
  <c r="D57" i="1"/>
  <c r="C57" i="1"/>
  <c r="F57" i="1"/>
  <c r="H57" i="1"/>
  <c r="G57" i="1"/>
  <c r="I57" i="1"/>
  <c r="E57" i="1"/>
  <c r="D23" i="1"/>
  <c r="C23" i="1"/>
  <c r="B23" i="1"/>
  <c r="I23" i="1"/>
  <c r="H23" i="1"/>
  <c r="G23" i="1"/>
  <c r="E23" i="1"/>
  <c r="F23" i="1"/>
  <c r="J23" i="1"/>
  <c r="A23" i="1"/>
  <c r="F73" i="1"/>
  <c r="E73" i="1"/>
  <c r="D73" i="1"/>
  <c r="J73" i="1"/>
  <c r="H73" i="1"/>
  <c r="G73" i="1"/>
  <c r="C73" i="1"/>
  <c r="I73" i="1"/>
  <c r="A73" i="1"/>
  <c r="B73" i="1"/>
  <c r="H50" i="1"/>
  <c r="G50" i="1"/>
  <c r="A50" i="1"/>
  <c r="C50" i="1"/>
  <c r="B50" i="1"/>
  <c r="E50" i="1"/>
  <c r="I50" i="1"/>
  <c r="F50" i="1"/>
  <c r="D50" i="1"/>
  <c r="J50" i="1"/>
  <c r="A26" i="1"/>
  <c r="J26" i="1"/>
  <c r="I26" i="1"/>
  <c r="E26" i="1"/>
  <c r="D26" i="1"/>
  <c r="C26" i="1"/>
  <c r="G26" i="1"/>
  <c r="F26" i="1"/>
  <c r="H26" i="1"/>
  <c r="B26" i="1"/>
  <c r="B67" i="1"/>
  <c r="A67" i="1"/>
  <c r="J67" i="1"/>
  <c r="G67" i="1"/>
  <c r="F67" i="1"/>
  <c r="E67" i="1"/>
  <c r="I67" i="1"/>
  <c r="D67" i="1"/>
  <c r="H67" i="1"/>
  <c r="C67" i="1"/>
  <c r="I60" i="1"/>
  <c r="H60" i="1"/>
  <c r="G60" i="1"/>
  <c r="F60" i="1"/>
  <c r="E60" i="1"/>
  <c r="D60" i="1"/>
  <c r="C60" i="1"/>
  <c r="J60" i="1"/>
  <c r="B60" i="1"/>
  <c r="A60" i="1"/>
  <c r="I28" i="1"/>
  <c r="H28" i="1"/>
  <c r="G28" i="1"/>
  <c r="J28" i="1"/>
  <c r="A28" i="1"/>
  <c r="E28" i="1"/>
  <c r="D28" i="1"/>
  <c r="B28" i="1"/>
  <c r="C28" i="1"/>
  <c r="F28" i="1"/>
  <c r="E74" i="1"/>
  <c r="D74" i="1"/>
  <c r="C74" i="1"/>
  <c r="A74" i="1"/>
  <c r="B74" i="1"/>
  <c r="I74" i="1"/>
  <c r="H74" i="1"/>
  <c r="G74" i="1"/>
  <c r="F74" i="1"/>
  <c r="J74" i="1"/>
  <c r="A36" i="1"/>
  <c r="J36" i="1"/>
  <c r="I36" i="1"/>
  <c r="H36" i="1"/>
  <c r="G36" i="1"/>
  <c r="F36" i="1"/>
  <c r="E36" i="1"/>
  <c r="D36" i="1"/>
  <c r="B36" i="1"/>
  <c r="C36" i="1"/>
  <c r="B77" i="1"/>
  <c r="A77" i="1"/>
  <c r="J77" i="1"/>
  <c r="I77" i="1"/>
  <c r="H77" i="1"/>
  <c r="E77" i="1"/>
  <c r="D77" i="1"/>
  <c r="C77" i="1"/>
  <c r="G77" i="1"/>
  <c r="F77" i="1"/>
  <c r="I18" i="1"/>
  <c r="H18" i="1"/>
  <c r="G18" i="1"/>
  <c r="F18" i="1"/>
  <c r="E18" i="1"/>
  <c r="D18" i="1"/>
  <c r="J18" i="1"/>
  <c r="B18" i="1"/>
  <c r="C18" i="1"/>
  <c r="A18" i="1"/>
  <c r="H71" i="1"/>
  <c r="G71" i="1"/>
  <c r="F71" i="1"/>
  <c r="E71" i="1"/>
  <c r="D71" i="1"/>
  <c r="C71" i="1"/>
  <c r="J71" i="1"/>
  <c r="I71" i="1"/>
  <c r="B71" i="1"/>
  <c r="A71" i="1"/>
  <c r="F52" i="1"/>
  <c r="E52" i="1"/>
  <c r="C52" i="1"/>
  <c r="B52" i="1"/>
  <c r="A52" i="1"/>
  <c r="G52" i="1"/>
  <c r="J52" i="1"/>
  <c r="I52" i="1"/>
  <c r="H52" i="1"/>
  <c r="D52" i="1"/>
  <c r="D65" i="1"/>
  <c r="C65" i="1"/>
  <c r="B65" i="1"/>
  <c r="J65" i="1"/>
  <c r="I65" i="1"/>
  <c r="G65" i="1"/>
  <c r="F65" i="1"/>
  <c r="E65" i="1"/>
  <c r="A65" i="1"/>
  <c r="H65" i="1"/>
  <c r="A46" i="1"/>
  <c r="J46" i="1"/>
  <c r="I46" i="1"/>
  <c r="C46" i="1"/>
  <c r="B46" i="1"/>
  <c r="G46" i="1"/>
  <c r="F46" i="1"/>
  <c r="E46" i="1"/>
  <c r="H46" i="1"/>
  <c r="D46" i="1"/>
  <c r="A58" i="1"/>
  <c r="J58" i="1"/>
  <c r="I58" i="1"/>
  <c r="F58" i="1"/>
  <c r="E58" i="1"/>
  <c r="D58" i="1"/>
  <c r="H58" i="1"/>
  <c r="G58" i="1"/>
  <c r="B58" i="1"/>
  <c r="C58" i="1"/>
  <c r="A16" i="1"/>
  <c r="J16" i="1"/>
  <c r="I16" i="1"/>
  <c r="B16" i="1"/>
  <c r="D16" i="1"/>
  <c r="H16" i="1"/>
  <c r="E16" i="1"/>
  <c r="C16" i="1"/>
  <c r="G16" i="1"/>
  <c r="F16" i="1"/>
  <c r="J69" i="1"/>
  <c r="I69" i="1"/>
  <c r="H69" i="1"/>
  <c r="A69" i="1"/>
  <c r="G69" i="1"/>
  <c r="F69" i="1"/>
  <c r="B69" i="1"/>
  <c r="E69" i="1"/>
  <c r="D69" i="1"/>
  <c r="C69" i="1"/>
  <c r="E42" i="1"/>
  <c r="D42" i="1"/>
  <c r="C42" i="1"/>
  <c r="B42" i="1"/>
  <c r="J42" i="1"/>
  <c r="I42" i="1"/>
  <c r="F42" i="1"/>
  <c r="G42" i="1"/>
  <c r="A42" i="1"/>
  <c r="H42" i="1"/>
  <c r="B25" i="1"/>
  <c r="A25" i="1"/>
  <c r="J25" i="1"/>
  <c r="C25" i="1"/>
  <c r="E25" i="1"/>
  <c r="G25" i="1"/>
  <c r="D25" i="1"/>
  <c r="I25" i="1"/>
  <c r="H25" i="1"/>
  <c r="F25" i="1"/>
  <c r="J48" i="1"/>
  <c r="I48" i="1"/>
  <c r="H48" i="1"/>
  <c r="G48" i="1"/>
  <c r="E48" i="1"/>
  <c r="D48" i="1"/>
  <c r="C48" i="1"/>
  <c r="A48" i="1"/>
  <c r="F48" i="1"/>
  <c r="B48" i="1"/>
  <c r="A68" i="1"/>
  <c r="J68" i="1"/>
  <c r="I68" i="1"/>
  <c r="H68" i="1"/>
  <c r="G68" i="1"/>
  <c r="C68" i="1"/>
  <c r="B68" i="1"/>
  <c r="E68" i="1"/>
  <c r="F68" i="1"/>
  <c r="D68" i="1"/>
  <c r="D33" i="1"/>
  <c r="C33" i="1"/>
  <c r="B33" i="1"/>
  <c r="J33" i="1"/>
  <c r="A33" i="1"/>
  <c r="H33" i="1"/>
  <c r="G33" i="1"/>
  <c r="F33" i="1"/>
  <c r="I33" i="1"/>
  <c r="E33" i="1"/>
  <c r="F41" i="1"/>
  <c r="E41" i="1"/>
  <c r="D41" i="1"/>
  <c r="J41" i="1"/>
  <c r="I41" i="1"/>
  <c r="G41" i="1"/>
  <c r="A41" i="1"/>
  <c r="C41" i="1"/>
  <c r="B41" i="1"/>
  <c r="H41" i="1"/>
  <c r="J37" i="1"/>
  <c r="I37" i="1"/>
  <c r="H37" i="1"/>
  <c r="B37" i="1"/>
  <c r="D37" i="1"/>
  <c r="C37" i="1"/>
  <c r="A37" i="1"/>
  <c r="G37" i="1"/>
  <c r="F37" i="1"/>
  <c r="E37" i="1"/>
  <c r="B35" i="1"/>
  <c r="A35" i="1"/>
  <c r="J35" i="1"/>
  <c r="F35" i="1"/>
  <c r="E35" i="1"/>
  <c r="D35" i="1"/>
  <c r="H35" i="1"/>
  <c r="I35" i="1"/>
  <c r="G35" i="1"/>
  <c r="C35" i="1"/>
  <c r="J59" i="1"/>
  <c r="I59" i="1"/>
  <c r="H59" i="1"/>
  <c r="G59" i="1"/>
  <c r="F59" i="1"/>
  <c r="A59" i="1"/>
  <c r="C59" i="1"/>
  <c r="E59" i="1"/>
  <c r="D59" i="1"/>
  <c r="B59" i="1"/>
  <c r="A78" i="1"/>
  <c r="J78" i="1"/>
  <c r="I78" i="1"/>
  <c r="B78" i="1"/>
  <c r="H78" i="1"/>
  <c r="D78" i="1"/>
  <c r="G78" i="1"/>
  <c r="C78" i="1"/>
  <c r="F78" i="1"/>
  <c r="E78" i="1"/>
  <c r="AN68" i="5" l="1"/>
  <c r="AN76" i="5"/>
  <c r="AN69" i="5"/>
  <c r="AN72" i="5"/>
  <c r="AN70" i="5"/>
  <c r="AN60" i="5"/>
  <c r="AN65" i="5"/>
  <c r="AN66" i="5"/>
  <c r="AN67" i="5"/>
  <c r="AN62" i="5"/>
  <c r="AN71" i="5"/>
  <c r="AN58" i="5"/>
  <c r="AN59" i="5"/>
  <c r="AN64" i="5"/>
  <c r="AN73" i="5"/>
  <c r="AN77" i="5"/>
  <c r="AN57" i="5"/>
  <c r="AN75" i="5"/>
  <c r="AN74" i="5"/>
  <c r="AN61" i="5"/>
  <c r="AN63" i="5"/>
  <c r="AN22" i="5"/>
  <c r="AN49" i="5"/>
  <c r="AN14" i="5"/>
  <c r="AN6" i="5"/>
  <c r="AN17" i="5"/>
  <c r="AN52" i="5"/>
  <c r="AN28" i="5"/>
  <c r="AN38" i="5"/>
  <c r="AN4" i="5"/>
  <c r="AN36" i="5"/>
  <c r="AN56" i="5"/>
  <c r="AN24" i="5"/>
  <c r="AN53" i="5"/>
  <c r="AN47" i="5"/>
  <c r="AN42" i="5"/>
  <c r="AN26" i="5"/>
  <c r="AN16" i="5"/>
  <c r="AN3" i="5"/>
  <c r="AN10" i="5"/>
  <c r="AN37" i="5"/>
  <c r="AN31" i="5"/>
  <c r="AN11" i="5"/>
  <c r="AN30" i="5"/>
  <c r="AN40" i="5"/>
  <c r="AN27" i="5"/>
  <c r="AN29" i="5"/>
  <c r="AN13" i="5"/>
  <c r="AN32" i="5"/>
  <c r="AN41" i="5"/>
  <c r="AN33" i="5"/>
  <c r="AN15" i="5"/>
  <c r="AN51" i="5"/>
  <c r="AN20" i="5"/>
  <c r="AN19" i="5"/>
  <c r="AN5" i="5"/>
  <c r="AN39" i="5"/>
  <c r="AN7" i="5"/>
  <c r="AN23" i="5"/>
  <c r="AN25" i="5"/>
  <c r="AN21" i="5"/>
  <c r="AN55" i="5"/>
  <c r="AN44" i="5"/>
  <c r="AN45" i="5"/>
  <c r="AN34" i="5"/>
  <c r="AN18" i="5"/>
  <c r="AN50" i="5"/>
  <c r="AN8" i="5"/>
  <c r="AN12" i="5"/>
  <c r="AN43" i="5"/>
  <c r="AN48" i="5"/>
  <c r="AN9" i="5"/>
  <c r="AN54" i="5"/>
  <c r="AN35" i="5"/>
  <c r="AN46" i="5"/>
  <c r="T17" i="2" l="1"/>
  <c r="T16" i="2"/>
  <c r="T53" i="2"/>
  <c r="T15" i="2"/>
  <c r="T7" i="2"/>
  <c r="J7" i="2" s="1"/>
  <c r="T26" i="2"/>
  <c r="K26" i="2" s="1"/>
  <c r="T37" i="2"/>
  <c r="T123" i="2"/>
  <c r="K123" i="2" s="1"/>
  <c r="T41" i="2"/>
  <c r="I41" i="2" s="1"/>
  <c r="T27" i="2"/>
  <c r="F27" i="2" s="1"/>
  <c r="T39" i="2"/>
  <c r="T35" i="2"/>
  <c r="G35" i="2" s="1"/>
  <c r="T47" i="2"/>
  <c r="T44" i="2"/>
  <c r="T6" i="2"/>
  <c r="F6" i="2" s="1"/>
  <c r="T34" i="2"/>
  <c r="N34" i="2" s="1"/>
  <c r="T40" i="2"/>
  <c r="T50" i="2"/>
  <c r="T12" i="2"/>
  <c r="E12" i="2" s="1"/>
  <c r="T23" i="2"/>
  <c r="T111" i="2"/>
  <c r="T54" i="2"/>
  <c r="Q54" i="2" s="1"/>
  <c r="T14" i="2"/>
  <c r="T10" i="2"/>
  <c r="I10" i="2" s="1"/>
  <c r="T57" i="2"/>
  <c r="D57" i="2" s="1"/>
  <c r="T42" i="2"/>
  <c r="M42" i="2" s="1"/>
  <c r="T46" i="2"/>
  <c r="T18" i="2"/>
  <c r="L18" i="2" s="1"/>
  <c r="T98" i="2"/>
  <c r="A98" i="2" s="1"/>
  <c r="T112" i="2"/>
  <c r="H112" i="2" s="1"/>
  <c r="T75" i="2"/>
  <c r="H75" i="2" s="1"/>
  <c r="T92" i="2"/>
  <c r="Q92" i="2" s="1"/>
  <c r="T72" i="2"/>
  <c r="T116" i="2"/>
  <c r="T84" i="2"/>
  <c r="O84" i="2" s="1"/>
  <c r="T63" i="2"/>
  <c r="T79" i="2"/>
  <c r="T90" i="2"/>
  <c r="T107" i="2"/>
  <c r="P107" i="2" s="1"/>
  <c r="T103" i="2"/>
  <c r="L103" i="2" s="1"/>
  <c r="T43" i="2"/>
  <c r="T120" i="2"/>
  <c r="B120" i="2" s="1"/>
  <c r="T121" i="2"/>
  <c r="T31" i="2"/>
  <c r="T9" i="2"/>
  <c r="E9" i="2" s="1"/>
  <c r="T52" i="2"/>
  <c r="B52" i="2" s="1"/>
  <c r="T5" i="2"/>
  <c r="T24" i="2"/>
  <c r="A24" i="2" s="1"/>
  <c r="T115" i="2"/>
  <c r="T71" i="2"/>
  <c r="R71" i="2" s="1"/>
  <c r="T82" i="2"/>
  <c r="T67" i="2"/>
  <c r="J67" i="2" s="1"/>
  <c r="T80" i="2"/>
  <c r="T49" i="2"/>
  <c r="T102" i="2"/>
  <c r="D102" i="2" s="1"/>
  <c r="T77" i="2"/>
  <c r="T95" i="2"/>
  <c r="T99" i="2"/>
  <c r="T106" i="2"/>
  <c r="H106" i="2" s="1"/>
  <c r="T64" i="2"/>
  <c r="O64" i="2" s="1"/>
  <c r="T97" i="2"/>
  <c r="T29" i="2"/>
  <c r="J29" i="2" s="1"/>
  <c r="T28" i="2"/>
  <c r="T33" i="2"/>
  <c r="T51" i="2"/>
  <c r="R51" i="2" s="1"/>
  <c r="T70" i="2"/>
  <c r="T58" i="2"/>
  <c r="T109" i="2"/>
  <c r="T118" i="2"/>
  <c r="D118" i="2" s="1"/>
  <c r="T122" i="2"/>
  <c r="T89" i="2"/>
  <c r="T74" i="2"/>
  <c r="P74" i="2" s="1"/>
  <c r="T87" i="2"/>
  <c r="K87" i="2" s="1"/>
  <c r="T65" i="2"/>
  <c r="T100" i="2"/>
  <c r="D100" i="2" s="1"/>
  <c r="T117" i="2"/>
  <c r="E117" i="2" s="1"/>
  <c r="T119" i="2"/>
  <c r="T88" i="2"/>
  <c r="T21" i="2"/>
  <c r="H21" i="2" s="1"/>
  <c r="T108" i="2"/>
  <c r="E108" i="2" s="1"/>
  <c r="T59" i="2"/>
  <c r="L59" i="2" s="1"/>
  <c r="T78" i="2"/>
  <c r="H78" i="2" s="1"/>
  <c r="T66" i="2"/>
  <c r="I66" i="2" s="1"/>
  <c r="T61" i="2"/>
  <c r="T55" i="2"/>
  <c r="C55" i="2" s="1"/>
  <c r="T76" i="2"/>
  <c r="H76" i="2" s="1"/>
  <c r="T56" i="2"/>
  <c r="T68" i="2"/>
  <c r="R68" i="2" s="1"/>
  <c r="T30" i="2"/>
  <c r="H30" i="2" s="1"/>
  <c r="T110" i="2"/>
  <c r="P110" i="2" s="1"/>
  <c r="T114" i="2"/>
  <c r="T19" i="2"/>
  <c r="C19" i="2" s="1"/>
  <c r="T94" i="2"/>
  <c r="T60" i="2"/>
  <c r="R60" i="2" s="1"/>
  <c r="T86" i="2"/>
  <c r="G86" i="2" s="1"/>
  <c r="T113" i="2"/>
  <c r="D113" i="2" s="1"/>
  <c r="T73" i="2"/>
  <c r="A73" i="2" s="1"/>
  <c r="T104" i="2"/>
  <c r="T62" i="2"/>
  <c r="Q62" i="2" s="1"/>
  <c r="T96" i="2"/>
  <c r="E96" i="2" s="1"/>
  <c r="T105" i="2"/>
  <c r="T8" i="2"/>
  <c r="A8" i="2" s="1"/>
  <c r="T25" i="2"/>
  <c r="M25" i="2" s="1"/>
  <c r="T91" i="2"/>
  <c r="T45" i="2"/>
  <c r="B45" i="2" s="1"/>
  <c r="T38" i="2"/>
  <c r="L38" i="2" s="1"/>
  <c r="T22" i="2"/>
  <c r="T20" i="2"/>
  <c r="T48" i="2"/>
  <c r="I48" i="2" s="1"/>
  <c r="T13" i="2"/>
  <c r="O13" i="2" s="1"/>
  <c r="T83" i="2"/>
  <c r="J83" i="2" s="1"/>
  <c r="T69" i="2"/>
  <c r="M69" i="2" s="1"/>
  <c r="T11" i="2"/>
  <c r="T93" i="2"/>
  <c r="T101" i="2"/>
  <c r="I101" i="2" s="1"/>
  <c r="T124" i="2"/>
  <c r="Q124" i="2" s="1"/>
  <c r="T81" i="2"/>
  <c r="T32" i="2"/>
  <c r="T36" i="2"/>
  <c r="H36" i="2" s="1"/>
  <c r="T85" i="2"/>
  <c r="A26" i="2"/>
  <c r="F26" i="2"/>
  <c r="E26" i="2"/>
  <c r="O26" i="2"/>
  <c r="L26" i="2"/>
  <c r="Q26" i="2"/>
  <c r="I26" i="2"/>
  <c r="P26" i="2"/>
  <c r="D26" i="2"/>
  <c r="C26" i="2"/>
  <c r="G26" i="2"/>
  <c r="N26" i="2"/>
  <c r="B26" i="2"/>
  <c r="O59" i="2"/>
  <c r="I59" i="2"/>
  <c r="H59" i="2"/>
  <c r="D59" i="2"/>
  <c r="J59" i="2"/>
  <c r="M59" i="2"/>
  <c r="A75" i="2"/>
  <c r="D75" i="2"/>
  <c r="K75" i="2"/>
  <c r="C75" i="2"/>
  <c r="F75" i="2"/>
  <c r="E75" i="2"/>
  <c r="I75" i="2"/>
  <c r="P75" i="2"/>
  <c r="O75" i="2"/>
  <c r="B75" i="2"/>
  <c r="R75" i="2"/>
  <c r="J75" i="2"/>
  <c r="G75" i="2"/>
  <c r="M75" i="2"/>
  <c r="K10" i="2"/>
  <c r="J10" i="2"/>
  <c r="P10" i="2"/>
  <c r="E10" i="2"/>
  <c r="O10" i="2"/>
  <c r="N10" i="2"/>
  <c r="M10" i="2"/>
  <c r="L10" i="2"/>
  <c r="C10" i="2"/>
  <c r="G10" i="2"/>
  <c r="Q10" i="2"/>
  <c r="F10" i="2"/>
  <c r="G7" i="2"/>
  <c r="C7" i="2"/>
  <c r="K39" i="2"/>
  <c r="D39" i="2"/>
  <c r="F39" i="2"/>
  <c r="O39" i="2"/>
  <c r="A39" i="2"/>
  <c r="C39" i="2"/>
  <c r="R39" i="2"/>
  <c r="M39" i="2"/>
  <c r="J39" i="2"/>
  <c r="B39" i="2"/>
  <c r="P39" i="2"/>
  <c r="E39" i="2"/>
  <c r="L39" i="2"/>
  <c r="I39" i="2"/>
  <c r="H39" i="2"/>
  <c r="N39" i="2"/>
  <c r="G39" i="2"/>
  <c r="Q39" i="2"/>
  <c r="R66" i="2"/>
  <c r="C66" i="2"/>
  <c r="P66" i="2"/>
  <c r="N66" i="2"/>
  <c r="M66" i="2"/>
  <c r="E66" i="2"/>
  <c r="H66" i="2"/>
  <c r="G66" i="2"/>
  <c r="K66" i="2"/>
  <c r="F66" i="2"/>
  <c r="A66" i="2"/>
  <c r="L68" i="2"/>
  <c r="F60" i="2"/>
  <c r="C60" i="2"/>
  <c r="L87" i="2"/>
  <c r="H87" i="2"/>
  <c r="Q87" i="2"/>
  <c r="R87" i="2"/>
  <c r="A87" i="2"/>
  <c r="B87" i="2"/>
  <c r="O87" i="2"/>
  <c r="J87" i="2"/>
  <c r="N87" i="2"/>
  <c r="M87" i="2"/>
  <c r="E87" i="2"/>
  <c r="I87" i="2"/>
  <c r="B78" i="2"/>
  <c r="N78" i="2"/>
  <c r="Q25" i="2"/>
  <c r="P25" i="2"/>
  <c r="B25" i="2"/>
  <c r="A25" i="2"/>
  <c r="N25" i="2"/>
  <c r="I25" i="2"/>
  <c r="R25" i="2"/>
  <c r="G25" i="2"/>
  <c r="D25" i="2"/>
  <c r="I83" i="2"/>
  <c r="Q83" i="2"/>
  <c r="D83" i="2"/>
  <c r="G83" i="2"/>
  <c r="H83" i="2"/>
  <c r="M83" i="2"/>
  <c r="E83" i="2"/>
  <c r="K83" i="2"/>
  <c r="R83" i="2"/>
  <c r="P83" i="2"/>
  <c r="O83" i="2"/>
  <c r="A83" i="2"/>
  <c r="C83" i="2"/>
  <c r="N83" i="2"/>
  <c r="O40" i="2"/>
  <c r="K40" i="2"/>
  <c r="F40" i="2"/>
  <c r="B40" i="2"/>
  <c r="J40" i="2"/>
  <c r="N40" i="2"/>
  <c r="I40" i="2"/>
  <c r="L40" i="2"/>
  <c r="H40" i="2"/>
  <c r="D40" i="2"/>
  <c r="C40" i="2"/>
  <c r="A40" i="2"/>
  <c r="P40" i="2"/>
  <c r="M40" i="2"/>
  <c r="E40" i="2"/>
  <c r="R40" i="2"/>
  <c r="G40" i="2"/>
  <c r="Q40" i="2"/>
  <c r="H72" i="2"/>
  <c r="R72" i="2"/>
  <c r="O72" i="2"/>
  <c r="M72" i="2"/>
  <c r="F72" i="2"/>
  <c r="L72" i="2"/>
  <c r="D72" i="2"/>
  <c r="I72" i="2"/>
  <c r="E72" i="2"/>
  <c r="Q72" i="2"/>
  <c r="G72" i="2"/>
  <c r="B72" i="2"/>
  <c r="A72" i="2"/>
  <c r="P72" i="2"/>
  <c r="N72" i="2"/>
  <c r="C72" i="2"/>
  <c r="K72" i="2"/>
  <c r="J72" i="2"/>
  <c r="R111" i="2"/>
  <c r="I111" i="2"/>
  <c r="D111" i="2"/>
  <c r="P111" i="2"/>
  <c r="A111" i="2"/>
  <c r="N111" i="2"/>
  <c r="H111" i="2"/>
  <c r="G111" i="2"/>
  <c r="J111" i="2"/>
  <c r="Q111" i="2"/>
  <c r="M111" i="2"/>
  <c r="L111" i="2"/>
  <c r="B111" i="2"/>
  <c r="K111" i="2"/>
  <c r="O111" i="2"/>
  <c r="F111" i="2"/>
  <c r="C111" i="2"/>
  <c r="E111" i="2"/>
  <c r="M74" i="2"/>
  <c r="E37" i="2"/>
  <c r="L37" i="2"/>
  <c r="D37" i="2"/>
  <c r="G37" i="2"/>
  <c r="O37" i="2"/>
  <c r="I37" i="2"/>
  <c r="F37" i="2"/>
  <c r="C37" i="2"/>
  <c r="Q37" i="2"/>
  <c r="K37" i="2"/>
  <c r="P37" i="2"/>
  <c r="B37" i="2"/>
  <c r="N37" i="2"/>
  <c r="H37" i="2"/>
  <c r="M37" i="2"/>
  <c r="R37" i="2"/>
  <c r="A37" i="2"/>
  <c r="J37" i="2"/>
  <c r="J16" i="2"/>
  <c r="L16" i="2"/>
  <c r="I16" i="2"/>
  <c r="A16" i="2"/>
  <c r="Q16" i="2"/>
  <c r="F16" i="2"/>
  <c r="E16" i="2"/>
  <c r="H16" i="2"/>
  <c r="O16" i="2"/>
  <c r="G16" i="2"/>
  <c r="C16" i="2"/>
  <c r="B16" i="2"/>
  <c r="N16" i="2"/>
  <c r="P16" i="2"/>
  <c r="D16" i="2"/>
  <c r="M16" i="2"/>
  <c r="R16" i="2"/>
  <c r="K16" i="2"/>
  <c r="J24" i="2"/>
  <c r="I24" i="2"/>
  <c r="M24" i="2"/>
  <c r="E24" i="2"/>
  <c r="P24" i="2"/>
  <c r="Q24" i="2"/>
  <c r="G24" i="2"/>
  <c r="O24" i="2"/>
  <c r="L24" i="2"/>
  <c r="B24" i="2"/>
  <c r="R24" i="2"/>
  <c r="B113" i="2"/>
  <c r="L65" i="2"/>
  <c r="F65" i="2"/>
  <c r="D65" i="2"/>
  <c r="C65" i="2"/>
  <c r="H65" i="2"/>
  <c r="G65" i="2"/>
  <c r="K65" i="2"/>
  <c r="E65" i="2"/>
  <c r="J65" i="2"/>
  <c r="R65" i="2"/>
  <c r="A65" i="2"/>
  <c r="O65" i="2"/>
  <c r="N65" i="2"/>
  <c r="M65" i="2"/>
  <c r="Q65" i="2"/>
  <c r="P65" i="2"/>
  <c r="I65" i="2"/>
  <c r="B65" i="2"/>
  <c r="K119" i="2"/>
  <c r="C119" i="2"/>
  <c r="F119" i="2"/>
  <c r="N119" i="2"/>
  <c r="Q119" i="2"/>
  <c r="M119" i="2"/>
  <c r="O119" i="2"/>
  <c r="D119" i="2"/>
  <c r="R119" i="2"/>
  <c r="I119" i="2"/>
  <c r="H119" i="2"/>
  <c r="P119" i="2"/>
  <c r="E119" i="2"/>
  <c r="B119" i="2"/>
  <c r="L119" i="2"/>
  <c r="A119" i="2"/>
  <c r="J119" i="2"/>
  <c r="G119" i="2"/>
  <c r="R53" i="2"/>
  <c r="A53" i="2"/>
  <c r="C53" i="2"/>
  <c r="P53" i="2"/>
  <c r="L53" i="2"/>
  <c r="E53" i="2"/>
  <c r="K53" i="2"/>
  <c r="J53" i="2"/>
  <c r="Q53" i="2"/>
  <c r="H53" i="2"/>
  <c r="M53" i="2"/>
  <c r="O53" i="2"/>
  <c r="I53" i="2"/>
  <c r="D53" i="2"/>
  <c r="G53" i="2"/>
  <c r="N53" i="2"/>
  <c r="F53" i="2"/>
  <c r="B53" i="2"/>
  <c r="B123" i="2"/>
  <c r="E123" i="2"/>
  <c r="G123" i="2"/>
  <c r="D123" i="2"/>
  <c r="C123" i="2"/>
  <c r="Q123" i="2"/>
  <c r="L123" i="2"/>
  <c r="F123" i="2"/>
  <c r="R123" i="2"/>
  <c r="I123" i="2"/>
  <c r="P123" i="2"/>
  <c r="E84" i="2"/>
  <c r="K84" i="2"/>
  <c r="Q76" i="2"/>
  <c r="P76" i="2"/>
  <c r="J76" i="2"/>
  <c r="O30" i="2"/>
  <c r="D94" i="2"/>
  <c r="A94" i="2"/>
  <c r="J94" i="2"/>
  <c r="G94" i="2"/>
  <c r="C94" i="2"/>
  <c r="I94" i="2"/>
  <c r="B94" i="2"/>
  <c r="K94" i="2"/>
  <c r="P94" i="2"/>
  <c r="Q94" i="2"/>
  <c r="N94" i="2"/>
  <c r="F94" i="2"/>
  <c r="M94" i="2"/>
  <c r="E94" i="2"/>
  <c r="H94" i="2"/>
  <c r="R94" i="2"/>
  <c r="O94" i="2"/>
  <c r="L94" i="2"/>
  <c r="L105" i="2"/>
  <c r="M105" i="2"/>
  <c r="R105" i="2"/>
  <c r="O105" i="2"/>
  <c r="G105" i="2"/>
  <c r="D105" i="2"/>
  <c r="Q105" i="2"/>
  <c r="P105" i="2"/>
  <c r="K105" i="2"/>
  <c r="E105" i="2"/>
  <c r="C105" i="2"/>
  <c r="H105" i="2"/>
  <c r="I105" i="2"/>
  <c r="J105" i="2"/>
  <c r="B105" i="2"/>
  <c r="A105" i="2"/>
  <c r="N105" i="2"/>
  <c r="F105" i="2"/>
  <c r="G45" i="2"/>
  <c r="M45" i="2"/>
  <c r="J48" i="2"/>
  <c r="O48" i="2"/>
  <c r="P101" i="2"/>
  <c r="F101" i="2"/>
  <c r="F107" i="2"/>
  <c r="N120" i="2"/>
  <c r="R52" i="2"/>
  <c r="M52" i="2"/>
  <c r="D52" i="2"/>
  <c r="F52" i="2"/>
  <c r="P52" i="2"/>
  <c r="O52" i="2"/>
  <c r="A52" i="2"/>
  <c r="K52" i="2"/>
  <c r="J52" i="2"/>
  <c r="I52" i="2"/>
  <c r="H52" i="2"/>
  <c r="Q52" i="2"/>
  <c r="L89" i="2"/>
  <c r="I89" i="2"/>
  <c r="M89" i="2"/>
  <c r="D89" i="2"/>
  <c r="J89" i="2"/>
  <c r="F89" i="2"/>
  <c r="H89" i="2"/>
  <c r="Q89" i="2"/>
  <c r="A89" i="2"/>
  <c r="R89" i="2"/>
  <c r="C89" i="2"/>
  <c r="P89" i="2"/>
  <c r="B89" i="2"/>
  <c r="K89" i="2"/>
  <c r="N89" i="2"/>
  <c r="O89" i="2"/>
  <c r="G89" i="2"/>
  <c r="E89" i="2"/>
  <c r="B42" i="2"/>
  <c r="D42" i="2"/>
  <c r="A42" i="2"/>
  <c r="E42" i="2"/>
  <c r="Q42" i="2"/>
  <c r="G42" i="2"/>
  <c r="P42" i="2"/>
  <c r="L42" i="2"/>
  <c r="K42" i="2"/>
  <c r="J42" i="2"/>
  <c r="O42" i="2"/>
  <c r="H42" i="2"/>
  <c r="E50" i="2"/>
  <c r="N50" i="2"/>
  <c r="Q50" i="2"/>
  <c r="I50" i="2"/>
  <c r="F50" i="2"/>
  <c r="H50" i="2"/>
  <c r="M50" i="2"/>
  <c r="J50" i="2"/>
  <c r="P50" i="2"/>
  <c r="D50" i="2"/>
  <c r="L50" i="2"/>
  <c r="K50" i="2"/>
  <c r="A50" i="2"/>
  <c r="C50" i="2"/>
  <c r="R50" i="2"/>
  <c r="G50" i="2"/>
  <c r="B50" i="2"/>
  <c r="O50" i="2"/>
  <c r="A35" i="2"/>
  <c r="Q47" i="2"/>
  <c r="E47" i="2"/>
  <c r="G47" i="2"/>
  <c r="D47" i="2"/>
  <c r="F47" i="2"/>
  <c r="I47" i="2"/>
  <c r="O47" i="2"/>
  <c r="C47" i="2"/>
  <c r="A47" i="2"/>
  <c r="N47" i="2"/>
  <c r="M47" i="2"/>
  <c r="P47" i="2"/>
  <c r="L47" i="2"/>
  <c r="K47" i="2"/>
  <c r="B47" i="2"/>
  <c r="J47" i="2"/>
  <c r="R47" i="2"/>
  <c r="H47" i="2"/>
  <c r="E82" i="2"/>
  <c r="N82" i="2"/>
  <c r="J82" i="2"/>
  <c r="M82" i="2"/>
  <c r="I82" i="2"/>
  <c r="B82" i="2"/>
  <c r="H82" i="2"/>
  <c r="A82" i="2"/>
  <c r="F82" i="2"/>
  <c r="L82" i="2"/>
  <c r="K82" i="2"/>
  <c r="D82" i="2"/>
  <c r="Q82" i="2"/>
  <c r="C82" i="2"/>
  <c r="G82" i="2"/>
  <c r="R82" i="2"/>
  <c r="P82" i="2"/>
  <c r="O82" i="2"/>
  <c r="C88" i="2"/>
  <c r="K88" i="2"/>
  <c r="N88" i="2"/>
  <c r="J88" i="2"/>
  <c r="H88" i="2"/>
  <c r="E88" i="2"/>
  <c r="G88" i="2"/>
  <c r="D88" i="2"/>
  <c r="R88" i="2"/>
  <c r="A88" i="2"/>
  <c r="M88" i="2"/>
  <c r="P88" i="2"/>
  <c r="L88" i="2"/>
  <c r="Q88" i="2"/>
  <c r="O88" i="2"/>
  <c r="F88" i="2"/>
  <c r="B88" i="2"/>
  <c r="I88" i="2"/>
  <c r="G116" i="2"/>
  <c r="N116" i="2"/>
  <c r="Q116" i="2"/>
  <c r="F116" i="2"/>
  <c r="H116" i="2"/>
  <c r="A116" i="2"/>
  <c r="B116" i="2"/>
  <c r="L116" i="2"/>
  <c r="M116" i="2"/>
  <c r="D116" i="2"/>
  <c r="C116" i="2"/>
  <c r="K116" i="2"/>
  <c r="E116" i="2"/>
  <c r="J116" i="2"/>
  <c r="O116" i="2"/>
  <c r="I116" i="2"/>
  <c r="R116" i="2"/>
  <c r="P116" i="2"/>
  <c r="M34" i="2"/>
  <c r="P34" i="2"/>
  <c r="I34" i="2"/>
  <c r="O34" i="2"/>
  <c r="J34" i="2"/>
  <c r="G34" i="2"/>
  <c r="H34" i="2"/>
  <c r="A34" i="2"/>
  <c r="E34" i="2"/>
  <c r="D34" i="2"/>
  <c r="R34" i="2"/>
  <c r="B34" i="2"/>
  <c r="P55" i="2"/>
  <c r="J55" i="2"/>
  <c r="M17" i="2"/>
  <c r="E17" i="2"/>
  <c r="K17" i="2"/>
  <c r="D17" i="2"/>
  <c r="J17" i="2"/>
  <c r="G17" i="2"/>
  <c r="N17" i="2"/>
  <c r="C17" i="2"/>
  <c r="F17" i="2"/>
  <c r="B17" i="2"/>
  <c r="R17" i="2"/>
  <c r="A17" i="2"/>
  <c r="Q17" i="2"/>
  <c r="L17" i="2"/>
  <c r="P17" i="2"/>
  <c r="I17" i="2"/>
  <c r="H17" i="2"/>
  <c r="O17" i="2"/>
  <c r="N8" i="2"/>
  <c r="O8" i="2"/>
  <c r="R38" i="2"/>
  <c r="E38" i="2"/>
  <c r="Q38" i="2"/>
  <c r="A38" i="2"/>
  <c r="M38" i="2"/>
  <c r="H38" i="2"/>
  <c r="J38" i="2"/>
  <c r="C38" i="2"/>
  <c r="F38" i="2"/>
  <c r="O38" i="2"/>
  <c r="M20" i="2"/>
  <c r="H20" i="2"/>
  <c r="J20" i="2"/>
  <c r="N20" i="2"/>
  <c r="I20" i="2"/>
  <c r="D20" i="2"/>
  <c r="G20" i="2"/>
  <c r="C20" i="2"/>
  <c r="R20" i="2"/>
  <c r="Q20" i="2"/>
  <c r="L20" i="2"/>
  <c r="E20" i="2"/>
  <c r="K20" i="2"/>
  <c r="P20" i="2"/>
  <c r="F20" i="2"/>
  <c r="B20" i="2"/>
  <c r="O20" i="2"/>
  <c r="A20" i="2"/>
  <c r="F69" i="2"/>
  <c r="J69" i="2"/>
  <c r="L11" i="2"/>
  <c r="O11" i="2"/>
  <c r="I11" i="2"/>
  <c r="P11" i="2"/>
  <c r="M11" i="2"/>
  <c r="G11" i="2"/>
  <c r="B11" i="2"/>
  <c r="A11" i="2"/>
  <c r="F11" i="2"/>
  <c r="N11" i="2"/>
  <c r="Q11" i="2"/>
  <c r="R11" i="2"/>
  <c r="D11" i="2"/>
  <c r="J11" i="2"/>
  <c r="H11" i="2"/>
  <c r="K11" i="2"/>
  <c r="C11" i="2"/>
  <c r="E11" i="2"/>
  <c r="N124" i="2"/>
  <c r="J124" i="2"/>
  <c r="E124" i="2"/>
  <c r="I124" i="2"/>
  <c r="P124" i="2"/>
  <c r="G124" i="2"/>
  <c r="D124" i="2"/>
  <c r="C124" i="2"/>
  <c r="H124" i="2"/>
  <c r="B124" i="2"/>
  <c r="O124" i="2"/>
  <c r="N32" i="2"/>
  <c r="O32" i="2"/>
  <c r="C32" i="2"/>
  <c r="L32" i="2"/>
  <c r="M32" i="2"/>
  <c r="K32" i="2"/>
  <c r="I32" i="2"/>
  <c r="P32" i="2"/>
  <c r="H32" i="2"/>
  <c r="F32" i="2"/>
  <c r="D32" i="2"/>
  <c r="A32" i="2"/>
  <c r="R32" i="2"/>
  <c r="J32" i="2"/>
  <c r="E32" i="2"/>
  <c r="Q32" i="2"/>
  <c r="B32" i="2"/>
  <c r="G32" i="2"/>
  <c r="P79" i="2"/>
  <c r="J79" i="2"/>
  <c r="C79" i="2"/>
  <c r="B79" i="2"/>
  <c r="A79" i="2"/>
  <c r="I79" i="2"/>
  <c r="D79" i="2"/>
  <c r="F79" i="2"/>
  <c r="R79" i="2"/>
  <c r="O79" i="2"/>
  <c r="G79" i="2"/>
  <c r="M79" i="2"/>
  <c r="Q79" i="2"/>
  <c r="L79" i="2"/>
  <c r="E79" i="2"/>
  <c r="K79" i="2"/>
  <c r="H79" i="2"/>
  <c r="N79" i="2"/>
  <c r="M121" i="2"/>
  <c r="J121" i="2"/>
  <c r="R121" i="2"/>
  <c r="L121" i="2"/>
  <c r="P121" i="2"/>
  <c r="Q121" i="2"/>
  <c r="D121" i="2"/>
  <c r="E121" i="2"/>
  <c r="G121" i="2"/>
  <c r="K121" i="2"/>
  <c r="H121" i="2"/>
  <c r="N121" i="2"/>
  <c r="O121" i="2"/>
  <c r="F121" i="2"/>
  <c r="C121" i="2"/>
  <c r="A121" i="2"/>
  <c r="B121" i="2"/>
  <c r="I121" i="2"/>
  <c r="N9" i="2"/>
  <c r="Q9" i="2"/>
  <c r="L5" i="2"/>
  <c r="C5" i="2"/>
  <c r="I5" i="2"/>
  <c r="K5" i="2"/>
  <c r="R5" i="2"/>
  <c r="B5" i="2"/>
  <c r="Q5" i="2"/>
  <c r="A5" i="2"/>
  <c r="O5" i="2"/>
  <c r="P5" i="2"/>
  <c r="E5" i="2"/>
  <c r="H5" i="2"/>
  <c r="N5" i="2"/>
  <c r="G5" i="2"/>
  <c r="D5" i="2"/>
  <c r="F5" i="2"/>
  <c r="M5" i="2"/>
  <c r="J5" i="2"/>
  <c r="P57" i="2"/>
  <c r="J57" i="2"/>
  <c r="N44" i="2"/>
  <c r="A44" i="2"/>
  <c r="I44" i="2"/>
  <c r="L44" i="2"/>
  <c r="R44" i="2"/>
  <c r="J44" i="2"/>
  <c r="B44" i="2"/>
  <c r="M44" i="2"/>
  <c r="K44" i="2"/>
  <c r="E44" i="2"/>
  <c r="D44" i="2"/>
  <c r="H44" i="2"/>
  <c r="Q44" i="2"/>
  <c r="G44" i="2"/>
  <c r="F44" i="2"/>
  <c r="P44" i="2"/>
  <c r="C44" i="2"/>
  <c r="O44" i="2"/>
  <c r="P54" i="2"/>
  <c r="R54" i="2"/>
  <c r="L67" i="2"/>
  <c r="N67" i="2"/>
  <c r="L15" i="2"/>
  <c r="J15" i="2"/>
  <c r="I15" i="2"/>
  <c r="B15" i="2"/>
  <c r="F15" i="2"/>
  <c r="Q15" i="2"/>
  <c r="M15" i="2"/>
  <c r="C15" i="2"/>
  <c r="H15" i="2"/>
  <c r="D15" i="2"/>
  <c r="P15" i="2"/>
  <c r="O15" i="2"/>
  <c r="N15" i="2"/>
  <c r="E15" i="2"/>
  <c r="G15" i="2"/>
  <c r="R15" i="2"/>
  <c r="A15" i="2"/>
  <c r="K15" i="2"/>
  <c r="I80" i="2"/>
  <c r="E80" i="2"/>
  <c r="Q80" i="2"/>
  <c r="J80" i="2"/>
  <c r="M80" i="2"/>
  <c r="K80" i="2"/>
  <c r="L80" i="2"/>
  <c r="P80" i="2"/>
  <c r="C80" i="2"/>
  <c r="N80" i="2"/>
  <c r="H80" i="2"/>
  <c r="G80" i="2"/>
  <c r="F80" i="2"/>
  <c r="D80" i="2"/>
  <c r="B80" i="2"/>
  <c r="R80" i="2"/>
  <c r="O80" i="2"/>
  <c r="A80" i="2"/>
  <c r="A95" i="2"/>
  <c r="R95" i="2"/>
  <c r="H95" i="2"/>
  <c r="Q95" i="2"/>
  <c r="G95" i="2"/>
  <c r="F95" i="2"/>
  <c r="J95" i="2"/>
  <c r="L95" i="2"/>
  <c r="P95" i="2"/>
  <c r="N95" i="2"/>
  <c r="C95" i="2"/>
  <c r="I95" i="2"/>
  <c r="O95" i="2"/>
  <c r="M95" i="2"/>
  <c r="K95" i="2"/>
  <c r="E95" i="2"/>
  <c r="D95" i="2"/>
  <c r="B95" i="2"/>
  <c r="H14" i="2"/>
  <c r="K14" i="2"/>
  <c r="R14" i="2"/>
  <c r="E14" i="2"/>
  <c r="F14" i="2"/>
  <c r="J14" i="2"/>
  <c r="B14" i="2"/>
  <c r="G14" i="2"/>
  <c r="I14" i="2"/>
  <c r="C14" i="2"/>
  <c r="P14" i="2"/>
  <c r="N14" i="2"/>
  <c r="O14" i="2"/>
  <c r="A14" i="2"/>
  <c r="M14" i="2"/>
  <c r="L14" i="2"/>
  <c r="Q14" i="2"/>
  <c r="D14" i="2"/>
  <c r="E49" i="2"/>
  <c r="Q49" i="2"/>
  <c r="N49" i="2"/>
  <c r="C49" i="2"/>
  <c r="M49" i="2"/>
  <c r="O49" i="2"/>
  <c r="B49" i="2"/>
  <c r="J49" i="2"/>
  <c r="L49" i="2"/>
  <c r="A49" i="2"/>
  <c r="F49" i="2"/>
  <c r="R49" i="2"/>
  <c r="P49" i="2"/>
  <c r="I49" i="2"/>
  <c r="G49" i="2"/>
  <c r="D49" i="2"/>
  <c r="K49" i="2"/>
  <c r="H49" i="2"/>
  <c r="R46" i="2"/>
  <c r="E46" i="2"/>
  <c r="K46" i="2"/>
  <c r="P46" i="2"/>
  <c r="M46" i="2"/>
  <c r="L46" i="2"/>
  <c r="J46" i="2"/>
  <c r="A46" i="2"/>
  <c r="H46" i="2"/>
  <c r="O46" i="2"/>
  <c r="B46" i="2"/>
  <c r="D46" i="2"/>
  <c r="C46" i="2"/>
  <c r="N46" i="2"/>
  <c r="G46" i="2"/>
  <c r="F46" i="2"/>
  <c r="I46" i="2"/>
  <c r="Q46" i="2"/>
  <c r="O102" i="2"/>
  <c r="M102" i="2"/>
  <c r="I77" i="2"/>
  <c r="L77" i="2"/>
  <c r="D77" i="2"/>
  <c r="B77" i="2"/>
  <c r="C77" i="2"/>
  <c r="R77" i="2"/>
  <c r="A77" i="2"/>
  <c r="G77" i="2"/>
  <c r="P77" i="2"/>
  <c r="Q77" i="2"/>
  <c r="O77" i="2"/>
  <c r="F77" i="2"/>
  <c r="N77" i="2"/>
  <c r="K77" i="2"/>
  <c r="M77" i="2"/>
  <c r="J77" i="2"/>
  <c r="H77" i="2"/>
  <c r="E77" i="2"/>
  <c r="L41" i="2"/>
  <c r="N41" i="2"/>
  <c r="L6" i="2"/>
  <c r="J6" i="2"/>
  <c r="O92" i="2"/>
  <c r="F92" i="2"/>
  <c r="L92" i="2"/>
  <c r="N92" i="2"/>
  <c r="A92" i="2"/>
  <c r="E92" i="2"/>
  <c r="J92" i="2"/>
  <c r="H92" i="2"/>
  <c r="C104" i="2"/>
  <c r="J104" i="2"/>
  <c r="L104" i="2"/>
  <c r="D104" i="2"/>
  <c r="I104" i="2"/>
  <c r="N104" i="2"/>
  <c r="K104" i="2"/>
  <c r="G104" i="2"/>
  <c r="H104" i="2"/>
  <c r="F104" i="2"/>
  <c r="M104" i="2"/>
  <c r="P104" i="2"/>
  <c r="E104" i="2"/>
  <c r="B104" i="2"/>
  <c r="R104" i="2"/>
  <c r="Q104" i="2"/>
  <c r="A104" i="2"/>
  <c r="O104" i="2"/>
  <c r="J61" i="2"/>
  <c r="M61" i="2"/>
  <c r="G61" i="2"/>
  <c r="O61" i="2"/>
  <c r="P61" i="2"/>
  <c r="N61" i="2"/>
  <c r="F61" i="2"/>
  <c r="K61" i="2"/>
  <c r="E61" i="2"/>
  <c r="B61" i="2"/>
  <c r="Q61" i="2"/>
  <c r="A61" i="2"/>
  <c r="D61" i="2"/>
  <c r="L61" i="2"/>
  <c r="I61" i="2"/>
  <c r="H61" i="2"/>
  <c r="R61" i="2"/>
  <c r="C61" i="2"/>
  <c r="P56" i="2"/>
  <c r="Q56" i="2"/>
  <c r="B56" i="2"/>
  <c r="G56" i="2"/>
  <c r="I56" i="2"/>
  <c r="N56" i="2"/>
  <c r="R56" i="2"/>
  <c r="C56" i="2"/>
  <c r="M56" i="2"/>
  <c r="H56" i="2"/>
  <c r="A56" i="2"/>
  <c r="J56" i="2"/>
  <c r="E56" i="2"/>
  <c r="D56" i="2"/>
  <c r="O56" i="2"/>
  <c r="L56" i="2"/>
  <c r="F56" i="2"/>
  <c r="K56" i="2"/>
  <c r="O114" i="2"/>
  <c r="D114" i="2"/>
  <c r="M114" i="2"/>
  <c r="A114" i="2"/>
  <c r="C114" i="2"/>
  <c r="Q114" i="2"/>
  <c r="K114" i="2"/>
  <c r="P114" i="2"/>
  <c r="G114" i="2"/>
  <c r="N114" i="2"/>
  <c r="I114" i="2"/>
  <c r="B114" i="2"/>
  <c r="H114" i="2"/>
  <c r="E114" i="2"/>
  <c r="L114" i="2"/>
  <c r="R114" i="2"/>
  <c r="J114" i="2"/>
  <c r="F114" i="2"/>
  <c r="N19" i="2"/>
  <c r="E19" i="2"/>
  <c r="F19" i="2"/>
  <c r="L19" i="2"/>
  <c r="R19" i="2"/>
  <c r="I19" i="2"/>
  <c r="O19" i="2"/>
  <c r="A19" i="2"/>
  <c r="D62" i="2"/>
  <c r="C62" i="2"/>
  <c r="E62" i="2"/>
  <c r="H91" i="2"/>
  <c r="D91" i="2"/>
  <c r="G91" i="2"/>
  <c r="C91" i="2"/>
  <c r="E91" i="2"/>
  <c r="J91" i="2"/>
  <c r="O91" i="2"/>
  <c r="B91" i="2"/>
  <c r="P91" i="2"/>
  <c r="Q91" i="2"/>
  <c r="F91" i="2"/>
  <c r="M91" i="2"/>
  <c r="L91" i="2"/>
  <c r="K91" i="2"/>
  <c r="A91" i="2"/>
  <c r="N91" i="2"/>
  <c r="R91" i="2"/>
  <c r="I91" i="2"/>
  <c r="P22" i="2"/>
  <c r="I22" i="2"/>
  <c r="F22" i="2"/>
  <c r="H22" i="2"/>
  <c r="O22" i="2"/>
  <c r="G22" i="2"/>
  <c r="Q22" i="2"/>
  <c r="R22" i="2"/>
  <c r="B22" i="2"/>
  <c r="M22" i="2"/>
  <c r="A22" i="2"/>
  <c r="D22" i="2"/>
  <c r="L22" i="2"/>
  <c r="K22" i="2"/>
  <c r="J22" i="2"/>
  <c r="E22" i="2"/>
  <c r="C22" i="2"/>
  <c r="N22" i="2"/>
  <c r="Q63" i="2"/>
  <c r="K63" i="2"/>
  <c r="P63" i="2"/>
  <c r="L63" i="2"/>
  <c r="E63" i="2"/>
  <c r="J63" i="2"/>
  <c r="D63" i="2"/>
  <c r="I63" i="2"/>
  <c r="O63" i="2"/>
  <c r="G63" i="2"/>
  <c r="A63" i="2"/>
  <c r="N63" i="2"/>
  <c r="M63" i="2"/>
  <c r="R63" i="2"/>
  <c r="F63" i="2"/>
  <c r="H63" i="2"/>
  <c r="B63" i="2"/>
  <c r="C63" i="2"/>
  <c r="H93" i="2"/>
  <c r="A93" i="2"/>
  <c r="N93" i="2"/>
  <c r="I93" i="2"/>
  <c r="K93" i="2"/>
  <c r="Q93" i="2"/>
  <c r="M93" i="2"/>
  <c r="C93" i="2"/>
  <c r="J93" i="2"/>
  <c r="L93" i="2"/>
  <c r="D93" i="2"/>
  <c r="B93" i="2"/>
  <c r="P93" i="2"/>
  <c r="O93" i="2"/>
  <c r="F93" i="2"/>
  <c r="R93" i="2"/>
  <c r="E93" i="2"/>
  <c r="G93" i="2"/>
  <c r="P81" i="2"/>
  <c r="D81" i="2"/>
  <c r="A81" i="2"/>
  <c r="O81" i="2"/>
  <c r="N81" i="2"/>
  <c r="J81" i="2"/>
  <c r="L81" i="2"/>
  <c r="C81" i="2"/>
  <c r="R81" i="2"/>
  <c r="K81" i="2"/>
  <c r="B81" i="2"/>
  <c r="H81" i="2"/>
  <c r="F81" i="2"/>
  <c r="G81" i="2"/>
  <c r="M81" i="2"/>
  <c r="E81" i="2"/>
  <c r="Q81" i="2"/>
  <c r="I81" i="2"/>
  <c r="N36" i="2"/>
  <c r="O90" i="2"/>
  <c r="N90" i="2"/>
  <c r="D90" i="2"/>
  <c r="C90" i="2"/>
  <c r="L90" i="2"/>
  <c r="K90" i="2"/>
  <c r="J90" i="2"/>
  <c r="A90" i="2"/>
  <c r="M90" i="2"/>
  <c r="H90" i="2"/>
  <c r="G90" i="2"/>
  <c r="F90" i="2"/>
  <c r="B90" i="2"/>
  <c r="E90" i="2"/>
  <c r="I90" i="2"/>
  <c r="P90" i="2"/>
  <c r="R90" i="2"/>
  <c r="Q90" i="2"/>
  <c r="R43" i="2"/>
  <c r="L43" i="2"/>
  <c r="O43" i="2"/>
  <c r="Q43" i="2"/>
  <c r="D43" i="2"/>
  <c r="N43" i="2"/>
  <c r="I43" i="2"/>
  <c r="C43" i="2"/>
  <c r="G43" i="2"/>
  <c r="M43" i="2"/>
  <c r="K43" i="2"/>
  <c r="H43" i="2"/>
  <c r="J43" i="2"/>
  <c r="P43" i="2"/>
  <c r="B43" i="2"/>
  <c r="E43" i="2"/>
  <c r="F43" i="2"/>
  <c r="A43" i="2"/>
  <c r="C31" i="2"/>
  <c r="P31" i="2"/>
  <c r="B31" i="2"/>
  <c r="K31" i="2"/>
  <c r="O31" i="2"/>
  <c r="J31" i="2"/>
  <c r="F31" i="2"/>
  <c r="R31" i="2"/>
  <c r="H31" i="2"/>
  <c r="I31" i="2"/>
  <c r="N31" i="2"/>
  <c r="L31" i="2"/>
  <c r="E31" i="2"/>
  <c r="A31" i="2"/>
  <c r="Q31" i="2"/>
  <c r="M31" i="2"/>
  <c r="G31" i="2"/>
  <c r="D31" i="2"/>
  <c r="O99" i="2"/>
  <c r="J99" i="2"/>
  <c r="R99" i="2"/>
  <c r="Q99" i="2"/>
  <c r="G99" i="2"/>
  <c r="M99" i="2"/>
  <c r="C99" i="2"/>
  <c r="P99" i="2"/>
  <c r="N99" i="2"/>
  <c r="B99" i="2"/>
  <c r="F99" i="2"/>
  <c r="H99" i="2"/>
  <c r="I99" i="2"/>
  <c r="L99" i="2"/>
  <c r="K99" i="2"/>
  <c r="E99" i="2"/>
  <c r="D99" i="2"/>
  <c r="A99" i="2"/>
  <c r="K106" i="2"/>
  <c r="J106" i="2"/>
  <c r="O106" i="2"/>
  <c r="R97" i="2"/>
  <c r="H97" i="2"/>
  <c r="G97" i="2"/>
  <c r="Q97" i="2"/>
  <c r="A97" i="2"/>
  <c r="E97" i="2"/>
  <c r="D97" i="2"/>
  <c r="F97" i="2"/>
  <c r="N97" i="2"/>
  <c r="M97" i="2"/>
  <c r="K97" i="2"/>
  <c r="O97" i="2"/>
  <c r="J97" i="2"/>
  <c r="P97" i="2"/>
  <c r="L97" i="2"/>
  <c r="B97" i="2"/>
  <c r="I97" i="2"/>
  <c r="C97" i="2"/>
  <c r="O29" i="2"/>
  <c r="G29" i="2"/>
  <c r="B29" i="2"/>
  <c r="A29" i="2"/>
  <c r="N29" i="2"/>
  <c r="R29" i="2"/>
  <c r="D29" i="2"/>
  <c r="P29" i="2"/>
  <c r="D28" i="2"/>
  <c r="L28" i="2"/>
  <c r="Q28" i="2"/>
  <c r="N28" i="2"/>
  <c r="I28" i="2"/>
  <c r="B28" i="2"/>
  <c r="G28" i="2"/>
  <c r="E28" i="2"/>
  <c r="M28" i="2"/>
  <c r="J28" i="2"/>
  <c r="K28" i="2"/>
  <c r="A28" i="2"/>
  <c r="P28" i="2"/>
  <c r="C28" i="2"/>
  <c r="O28" i="2"/>
  <c r="R28" i="2"/>
  <c r="H28" i="2"/>
  <c r="F28" i="2"/>
  <c r="E33" i="2"/>
  <c r="K33" i="2"/>
  <c r="C33" i="2"/>
  <c r="J33" i="2"/>
  <c r="R33" i="2"/>
  <c r="A33" i="2"/>
  <c r="H33" i="2"/>
  <c r="L33" i="2"/>
  <c r="Q33" i="2"/>
  <c r="I33" i="2"/>
  <c r="F33" i="2"/>
  <c r="P33" i="2"/>
  <c r="O33" i="2"/>
  <c r="B33" i="2"/>
  <c r="D33" i="2"/>
  <c r="N33" i="2"/>
  <c r="G33" i="2"/>
  <c r="M33" i="2"/>
  <c r="O51" i="2"/>
  <c r="F51" i="2"/>
  <c r="Q51" i="2"/>
  <c r="I51" i="2"/>
  <c r="N51" i="2"/>
  <c r="J51" i="2"/>
  <c r="D51" i="2"/>
  <c r="E51" i="2"/>
  <c r="B51" i="2"/>
  <c r="O70" i="2"/>
  <c r="N70" i="2"/>
  <c r="E70" i="2"/>
  <c r="L70" i="2"/>
  <c r="R70" i="2"/>
  <c r="K70" i="2"/>
  <c r="Q70" i="2"/>
  <c r="I70" i="2"/>
  <c r="H70" i="2"/>
  <c r="G70" i="2"/>
  <c r="F70" i="2"/>
  <c r="D70" i="2"/>
  <c r="C70" i="2"/>
  <c r="A70" i="2"/>
  <c r="J70" i="2"/>
  <c r="P70" i="2"/>
  <c r="B70" i="2"/>
  <c r="M70" i="2"/>
  <c r="C58" i="2"/>
  <c r="I58" i="2"/>
  <c r="K58" i="2"/>
  <c r="H58" i="2"/>
  <c r="N58" i="2"/>
  <c r="G58" i="2"/>
  <c r="E58" i="2"/>
  <c r="O58" i="2"/>
  <c r="R58" i="2"/>
  <c r="D58" i="2"/>
  <c r="M58" i="2"/>
  <c r="A58" i="2"/>
  <c r="L58" i="2"/>
  <c r="Q58" i="2"/>
  <c r="B58" i="2"/>
  <c r="F58" i="2"/>
  <c r="P58" i="2"/>
  <c r="J58" i="2"/>
  <c r="P109" i="2"/>
  <c r="C109" i="2"/>
  <c r="L109" i="2"/>
  <c r="K109" i="2"/>
  <c r="D109" i="2"/>
  <c r="G109" i="2"/>
  <c r="E109" i="2"/>
  <c r="J109" i="2"/>
  <c r="R109" i="2"/>
  <c r="I109" i="2"/>
  <c r="H109" i="2"/>
  <c r="B109" i="2"/>
  <c r="Q109" i="2"/>
  <c r="A109" i="2"/>
  <c r="F109" i="2"/>
  <c r="N109" i="2"/>
  <c r="O109" i="2"/>
  <c r="M109" i="2"/>
  <c r="L118" i="2"/>
  <c r="F118" i="2"/>
  <c r="N118" i="2"/>
  <c r="L60" i="2" l="1"/>
  <c r="E73" i="2"/>
  <c r="B18" i="2"/>
  <c r="G73" i="2"/>
  <c r="B118" i="2"/>
  <c r="L106" i="2"/>
  <c r="J62" i="2"/>
  <c r="C107" i="2"/>
  <c r="E48" i="2"/>
  <c r="B30" i="2"/>
  <c r="H107" i="2"/>
  <c r="B107" i="2"/>
  <c r="I12" i="2"/>
  <c r="O36" i="2"/>
  <c r="A41" i="2"/>
  <c r="O12" i="2"/>
  <c r="I86" i="2"/>
  <c r="I98" i="2"/>
  <c r="M68" i="2"/>
  <c r="H26" i="2"/>
  <c r="G18" i="2"/>
  <c r="K12" i="2"/>
  <c r="E36" i="2"/>
  <c r="F41" i="2"/>
  <c r="F12" i="2"/>
  <c r="Q98" i="2"/>
  <c r="I68" i="2"/>
  <c r="R21" i="2"/>
  <c r="H73" i="2"/>
  <c r="R26" i="2"/>
  <c r="J26" i="2"/>
  <c r="N18" i="2"/>
  <c r="K36" i="2"/>
  <c r="J98" i="2"/>
  <c r="E21" i="2"/>
  <c r="F73" i="2"/>
  <c r="M26" i="2"/>
  <c r="D18" i="2"/>
  <c r="P51" i="2"/>
  <c r="K6" i="2"/>
  <c r="L102" i="2"/>
  <c r="L51" i="2"/>
  <c r="R6" i="2"/>
  <c r="Q6" i="2"/>
  <c r="R102" i="2"/>
  <c r="H102" i="2"/>
  <c r="F57" i="2"/>
  <c r="H9" i="2"/>
  <c r="I9" i="2"/>
  <c r="E55" i="2"/>
  <c r="J100" i="2"/>
  <c r="E100" i="2"/>
  <c r="N86" i="2"/>
  <c r="P86" i="2"/>
  <c r="G101" i="2"/>
  <c r="D45" i="2"/>
  <c r="H45" i="2"/>
  <c r="A84" i="2"/>
  <c r="N84" i="2"/>
  <c r="A7" i="2"/>
  <c r="M7" i="2"/>
  <c r="I6" i="2"/>
  <c r="D6" i="2"/>
  <c r="A102" i="2"/>
  <c r="J102" i="2"/>
  <c r="N57" i="2"/>
  <c r="L9" i="2"/>
  <c r="M9" i="2"/>
  <c r="N55" i="2"/>
  <c r="G100" i="2"/>
  <c r="F100" i="2"/>
  <c r="Q86" i="2"/>
  <c r="A86" i="2"/>
  <c r="N101" i="2"/>
  <c r="K101" i="2"/>
  <c r="E45" i="2"/>
  <c r="F45" i="2"/>
  <c r="Q84" i="2"/>
  <c r="B84" i="2"/>
  <c r="F7" i="2"/>
  <c r="E7" i="2"/>
  <c r="C6" i="2"/>
  <c r="E102" i="2"/>
  <c r="Q57" i="2"/>
  <c r="G57" i="2"/>
  <c r="G9" i="2"/>
  <c r="J9" i="2"/>
  <c r="A55" i="2"/>
  <c r="Q55" i="2"/>
  <c r="H100" i="2"/>
  <c r="M100" i="2"/>
  <c r="D86" i="2"/>
  <c r="M86" i="2"/>
  <c r="J101" i="2"/>
  <c r="C101" i="2"/>
  <c r="N45" i="2"/>
  <c r="I45" i="2"/>
  <c r="L84" i="2"/>
  <c r="P7" i="2"/>
  <c r="G6" i="2"/>
  <c r="G102" i="2"/>
  <c r="R57" i="2"/>
  <c r="O57" i="2"/>
  <c r="K9" i="2"/>
  <c r="C9" i="2"/>
  <c r="B55" i="2"/>
  <c r="O55" i="2"/>
  <c r="N100" i="2"/>
  <c r="B100" i="2"/>
  <c r="E86" i="2"/>
  <c r="H86" i="2"/>
  <c r="M101" i="2"/>
  <c r="H101" i="2"/>
  <c r="O45" i="2"/>
  <c r="R84" i="2"/>
  <c r="Q7" i="2"/>
  <c r="H6" i="2"/>
  <c r="B6" i="2"/>
  <c r="I102" i="2"/>
  <c r="K102" i="2"/>
  <c r="C57" i="2"/>
  <c r="H57" i="2"/>
  <c r="P9" i="2"/>
  <c r="F9" i="2"/>
  <c r="K55" i="2"/>
  <c r="F55" i="2"/>
  <c r="I100" i="2"/>
  <c r="A100" i="2"/>
  <c r="L86" i="2"/>
  <c r="L101" i="2"/>
  <c r="D101" i="2"/>
  <c r="A45" i="2"/>
  <c r="D84" i="2"/>
  <c r="C84" i="2"/>
  <c r="R7" i="2"/>
  <c r="B7" i="2"/>
  <c r="A6" i="2"/>
  <c r="B102" i="2"/>
  <c r="E57" i="2"/>
  <c r="B57" i="2"/>
  <c r="R9" i="2"/>
  <c r="G55" i="2"/>
  <c r="L55" i="2"/>
  <c r="Q100" i="2"/>
  <c r="F86" i="2"/>
  <c r="O86" i="2"/>
  <c r="B101" i="2"/>
  <c r="R101" i="2"/>
  <c r="L45" i="2"/>
  <c r="J45" i="2"/>
  <c r="P84" i="2"/>
  <c r="I84" i="2"/>
  <c r="O7" i="2"/>
  <c r="D7" i="2"/>
  <c r="K100" i="2"/>
  <c r="H51" i="2"/>
  <c r="A51" i="2"/>
  <c r="N6" i="2"/>
  <c r="E6" i="2"/>
  <c r="F102" i="2"/>
  <c r="C102" i="2"/>
  <c r="K57" i="2"/>
  <c r="A57" i="2"/>
  <c r="A9" i="2"/>
  <c r="M55" i="2"/>
  <c r="I55" i="2"/>
  <c r="R100" i="2"/>
  <c r="R86" i="2"/>
  <c r="J86" i="2"/>
  <c r="Q101" i="2"/>
  <c r="A101" i="2"/>
  <c r="Q45" i="2"/>
  <c r="R45" i="2"/>
  <c r="F84" i="2"/>
  <c r="J84" i="2"/>
  <c r="I7" i="2"/>
  <c r="H7" i="2"/>
  <c r="K51" i="2"/>
  <c r="M51" i="2"/>
  <c r="C51" i="2"/>
  <c r="O6" i="2"/>
  <c r="M6" i="2"/>
  <c r="N102" i="2"/>
  <c r="P102" i="2"/>
  <c r="I57" i="2"/>
  <c r="L57" i="2"/>
  <c r="O9" i="2"/>
  <c r="D9" i="2"/>
  <c r="R55" i="2"/>
  <c r="H55" i="2"/>
  <c r="L100" i="2"/>
  <c r="C100" i="2"/>
  <c r="K86" i="2"/>
  <c r="C86" i="2"/>
  <c r="O101" i="2"/>
  <c r="E101" i="2"/>
  <c r="C45" i="2"/>
  <c r="P45" i="2"/>
  <c r="G84" i="2"/>
  <c r="M84" i="2"/>
  <c r="N7" i="2"/>
  <c r="L7" i="2"/>
  <c r="P100" i="2"/>
  <c r="G51" i="2"/>
  <c r="P6" i="2"/>
  <c r="Q102" i="2"/>
  <c r="M57" i="2"/>
  <c r="B9" i="2"/>
  <c r="D55" i="2"/>
  <c r="O100" i="2"/>
  <c r="B86" i="2"/>
  <c r="K45" i="2"/>
  <c r="H84" i="2"/>
  <c r="K7" i="2"/>
  <c r="E110" i="2"/>
  <c r="B110" i="2"/>
  <c r="Q110" i="2"/>
  <c r="G110" i="2"/>
  <c r="I110" i="2"/>
  <c r="N110" i="2"/>
  <c r="R110" i="2"/>
  <c r="K110" i="2"/>
  <c r="F110" i="2"/>
  <c r="L110" i="2"/>
  <c r="M110" i="2"/>
  <c r="H110" i="2"/>
  <c r="J110" i="2"/>
  <c r="O110" i="2"/>
  <c r="A110" i="2"/>
  <c r="D110" i="2"/>
  <c r="K103" i="2"/>
  <c r="B103" i="2"/>
  <c r="P103" i="2"/>
  <c r="M103" i="2"/>
  <c r="I103" i="2"/>
  <c r="G103" i="2"/>
  <c r="J103" i="2"/>
  <c r="E103" i="2"/>
  <c r="R103" i="2"/>
  <c r="F103" i="2"/>
  <c r="N103" i="2"/>
  <c r="O103" i="2"/>
  <c r="A103" i="2"/>
  <c r="H103" i="2"/>
  <c r="Q103" i="2"/>
  <c r="D103" i="2"/>
  <c r="P115" i="2"/>
  <c r="E115" i="2"/>
  <c r="O115" i="2"/>
  <c r="J115" i="2"/>
  <c r="Q115" i="2"/>
  <c r="I115" i="2"/>
  <c r="M115" i="2"/>
  <c r="N115" i="2"/>
  <c r="D115" i="2"/>
  <c r="K115" i="2"/>
  <c r="A115" i="2"/>
  <c r="C115" i="2"/>
  <c r="F115" i="2"/>
  <c r="B115" i="2"/>
  <c r="L115" i="2"/>
  <c r="R115" i="2"/>
  <c r="E27" i="2"/>
  <c r="H115" i="2"/>
  <c r="G115" i="2"/>
  <c r="B122" i="2"/>
  <c r="M122" i="2"/>
  <c r="O122" i="2"/>
  <c r="Q122" i="2"/>
  <c r="R122" i="2"/>
  <c r="K122" i="2"/>
  <c r="I122" i="2"/>
  <c r="D122" i="2"/>
  <c r="E122" i="2"/>
  <c r="N122" i="2"/>
  <c r="F122" i="2"/>
  <c r="P122" i="2"/>
  <c r="L122" i="2"/>
  <c r="C122" i="2"/>
  <c r="C27" i="2"/>
  <c r="J27" i="2"/>
  <c r="N27" i="2"/>
  <c r="Q27" i="2"/>
  <c r="D27" i="2"/>
  <c r="M27" i="2"/>
  <c r="H27" i="2"/>
  <c r="L27" i="2"/>
  <c r="R27" i="2"/>
  <c r="A27" i="2"/>
  <c r="G27" i="2"/>
  <c r="O27" i="2"/>
  <c r="I27" i="2"/>
  <c r="B27" i="2"/>
  <c r="E23" i="2"/>
  <c r="A23" i="2"/>
  <c r="J23" i="2"/>
  <c r="N23" i="2"/>
  <c r="D23" i="2"/>
  <c r="B23" i="2"/>
  <c r="M23" i="2"/>
  <c r="R23" i="2"/>
  <c r="L23" i="2"/>
  <c r="G23" i="2"/>
  <c r="Q23" i="2"/>
  <c r="F23" i="2"/>
  <c r="O23" i="2"/>
  <c r="I23" i="2"/>
  <c r="P23" i="2"/>
  <c r="C23" i="2"/>
  <c r="D13" i="2"/>
  <c r="M13" i="2"/>
  <c r="H13" i="2"/>
  <c r="A13" i="2"/>
  <c r="N71" i="2"/>
  <c r="H71" i="2"/>
  <c r="J71" i="2"/>
  <c r="E71" i="2"/>
  <c r="B71" i="2"/>
  <c r="A71" i="2"/>
  <c r="P71" i="2"/>
  <c r="Q71" i="2"/>
  <c r="D71" i="2"/>
  <c r="O71" i="2"/>
  <c r="I71" i="2"/>
  <c r="G71" i="2"/>
  <c r="F71" i="2"/>
  <c r="C71" i="2"/>
  <c r="L71" i="2"/>
  <c r="M71" i="2"/>
  <c r="A122" i="2"/>
  <c r="C108" i="2"/>
  <c r="B85" i="2"/>
  <c r="G85" i="2"/>
  <c r="P85" i="2"/>
  <c r="O85" i="2"/>
  <c r="N85" i="2"/>
  <c r="M85" i="2"/>
  <c r="F85" i="2"/>
  <c r="H85" i="2"/>
  <c r="I85" i="2"/>
  <c r="L85" i="2"/>
  <c r="E85" i="2"/>
  <c r="A85" i="2"/>
  <c r="D85" i="2"/>
  <c r="C85" i="2"/>
  <c r="R85" i="2"/>
  <c r="K85" i="2"/>
  <c r="K112" i="2"/>
  <c r="M112" i="2"/>
  <c r="G112" i="2"/>
  <c r="C112" i="2"/>
  <c r="A112" i="2"/>
  <c r="O112" i="2"/>
  <c r="B112" i="2"/>
  <c r="Q112" i="2"/>
  <c r="L112" i="2"/>
  <c r="E112" i="2"/>
  <c r="J112" i="2"/>
  <c r="F112" i="2"/>
  <c r="I112" i="2"/>
  <c r="D112" i="2"/>
  <c r="R112" i="2"/>
  <c r="P112" i="2"/>
  <c r="N112" i="2"/>
  <c r="K27" i="2"/>
  <c r="C103" i="2"/>
  <c r="K71" i="2"/>
  <c r="J122" i="2"/>
  <c r="J85" i="2"/>
  <c r="P27" i="2"/>
  <c r="H23" i="2"/>
  <c r="K96" i="2"/>
  <c r="F96" i="2"/>
  <c r="L96" i="2"/>
  <c r="M96" i="2"/>
  <c r="J96" i="2"/>
  <c r="G96" i="2"/>
  <c r="N96" i="2"/>
  <c r="B96" i="2"/>
  <c r="R96" i="2"/>
  <c r="I96" i="2"/>
  <c r="P96" i="2"/>
  <c r="C96" i="2"/>
  <c r="O96" i="2"/>
  <c r="H96" i="2"/>
  <c r="A96" i="2"/>
  <c r="D96" i="2"/>
  <c r="D108" i="2"/>
  <c r="M108" i="2"/>
  <c r="K108" i="2"/>
  <c r="J108" i="2"/>
  <c r="O108" i="2"/>
  <c r="B108" i="2"/>
  <c r="L108" i="2"/>
  <c r="I108" i="2"/>
  <c r="Q108" i="2"/>
  <c r="H108" i="2"/>
  <c r="R108" i="2"/>
  <c r="G108" i="2"/>
  <c r="F108" i="2"/>
  <c r="A108" i="2"/>
  <c r="P108" i="2"/>
  <c r="N108" i="2"/>
  <c r="K64" i="2"/>
  <c r="F64" i="2"/>
  <c r="B64" i="2"/>
  <c r="R64" i="2"/>
  <c r="M64" i="2"/>
  <c r="Q64" i="2"/>
  <c r="D64" i="2"/>
  <c r="J64" i="2"/>
  <c r="E64" i="2"/>
  <c r="N64" i="2"/>
  <c r="H64" i="2"/>
  <c r="A64" i="2"/>
  <c r="P64" i="2"/>
  <c r="L64" i="2"/>
  <c r="G122" i="2"/>
  <c r="C64" i="2"/>
  <c r="H122" i="2"/>
  <c r="G64" i="2"/>
  <c r="I64" i="2"/>
  <c r="Q96" i="2"/>
  <c r="C110" i="2"/>
  <c r="K23" i="2"/>
  <c r="Q85" i="2"/>
  <c r="L21" i="2"/>
  <c r="H118" i="2"/>
  <c r="P36" i="2"/>
  <c r="L62" i="2"/>
  <c r="C41" i="2"/>
  <c r="G41" i="2"/>
  <c r="A12" i="2"/>
  <c r="G12" i="2"/>
  <c r="A107" i="2"/>
  <c r="L107" i="2"/>
  <c r="K98" i="2"/>
  <c r="P48" i="2"/>
  <c r="F48" i="2"/>
  <c r="P30" i="2"/>
  <c r="M118" i="2"/>
  <c r="E118" i="2"/>
  <c r="A106" i="2"/>
  <c r="E106" i="2"/>
  <c r="L36" i="2"/>
  <c r="B36" i="2"/>
  <c r="A62" i="2"/>
  <c r="M62" i="2"/>
  <c r="Q41" i="2"/>
  <c r="H41" i="2"/>
  <c r="L12" i="2"/>
  <c r="Q12" i="2"/>
  <c r="J107" i="2"/>
  <c r="E107" i="2"/>
  <c r="M98" i="2"/>
  <c r="L98" i="2"/>
  <c r="Q48" i="2"/>
  <c r="C48" i="2"/>
  <c r="Q30" i="2"/>
  <c r="I30" i="2"/>
  <c r="J123" i="2"/>
  <c r="N123" i="2"/>
  <c r="H113" i="2"/>
  <c r="D24" i="2"/>
  <c r="Q68" i="2"/>
  <c r="I21" i="2"/>
  <c r="O18" i="2"/>
  <c r="N12" i="2"/>
  <c r="P12" i="2"/>
  <c r="O107" i="2"/>
  <c r="D107" i="2"/>
  <c r="B98" i="2"/>
  <c r="R98" i="2"/>
  <c r="L48" i="2"/>
  <c r="N48" i="2"/>
  <c r="E30" i="2"/>
  <c r="D30" i="2"/>
  <c r="B21" i="2"/>
  <c r="B12" i="2"/>
  <c r="J12" i="2"/>
  <c r="G107" i="2"/>
  <c r="I107" i="2"/>
  <c r="E98" i="2"/>
  <c r="F98" i="2"/>
  <c r="G48" i="2"/>
  <c r="M48" i="2"/>
  <c r="M30" i="2"/>
  <c r="J30" i="2"/>
  <c r="F68" i="2"/>
  <c r="F18" i="2"/>
  <c r="C12" i="2"/>
  <c r="R12" i="2"/>
  <c r="M107" i="2"/>
  <c r="Q107" i="2"/>
  <c r="D98" i="2"/>
  <c r="P98" i="2"/>
  <c r="H48" i="2"/>
  <c r="A48" i="2"/>
  <c r="F30" i="2"/>
  <c r="G30" i="2"/>
  <c r="H68" i="2"/>
  <c r="P18" i="2"/>
  <c r="O118" i="2"/>
  <c r="A118" i="2"/>
  <c r="B106" i="2"/>
  <c r="I106" i="2"/>
  <c r="J36" i="2"/>
  <c r="B62" i="2"/>
  <c r="R41" i="2"/>
  <c r="G118" i="2"/>
  <c r="P106" i="2"/>
  <c r="R36" i="2"/>
  <c r="P41" i="2"/>
  <c r="C36" i="2"/>
  <c r="G62" i="2"/>
  <c r="E41" i="2"/>
  <c r="K118" i="2"/>
  <c r="R106" i="2"/>
  <c r="F36" i="2"/>
  <c r="I62" i="2"/>
  <c r="N62" i="2"/>
  <c r="D41" i="2"/>
  <c r="O41" i="2"/>
  <c r="M12" i="2"/>
  <c r="N107" i="2"/>
  <c r="O98" i="2"/>
  <c r="H98" i="2"/>
  <c r="K48" i="2"/>
  <c r="B48" i="2"/>
  <c r="N30" i="2"/>
  <c r="K30" i="2"/>
  <c r="H123" i="2"/>
  <c r="M123" i="2"/>
  <c r="N24" i="2"/>
  <c r="H24" i="2"/>
  <c r="D60" i="2"/>
  <c r="O68" i="2"/>
  <c r="H18" i="2"/>
  <c r="M106" i="2"/>
  <c r="K41" i="2"/>
  <c r="Q106" i="2"/>
  <c r="Q36" i="2"/>
  <c r="J41" i="2"/>
  <c r="B41" i="2"/>
  <c r="I118" i="2"/>
  <c r="J118" i="2"/>
  <c r="D106" i="2"/>
  <c r="C106" i="2"/>
  <c r="M36" i="2"/>
  <c r="G36" i="2"/>
  <c r="P62" i="2"/>
  <c r="O62" i="2"/>
  <c r="M41" i="2"/>
  <c r="D12" i="2"/>
  <c r="R107" i="2"/>
  <c r="C98" i="2"/>
  <c r="N98" i="2"/>
  <c r="D48" i="2"/>
  <c r="R48" i="2"/>
  <c r="C30" i="2"/>
  <c r="R30" i="2"/>
  <c r="O123" i="2"/>
  <c r="A123" i="2"/>
  <c r="K24" i="2"/>
  <c r="F24" i="2"/>
  <c r="N60" i="2"/>
  <c r="G68" i="2"/>
  <c r="J21" i="2"/>
  <c r="E18" i="2"/>
  <c r="Q18" i="2"/>
  <c r="G106" i="2"/>
  <c r="I36" i="2"/>
  <c r="K62" i="2"/>
  <c r="P118" i="2"/>
  <c r="A36" i="2"/>
  <c r="C118" i="2"/>
  <c r="F62" i="2"/>
  <c r="Q118" i="2"/>
  <c r="F106" i="2"/>
  <c r="H62" i="2"/>
  <c r="R118" i="2"/>
  <c r="N106" i="2"/>
  <c r="D36" i="2"/>
  <c r="R62" i="2"/>
  <c r="H12" i="2"/>
  <c r="K107" i="2"/>
  <c r="G98" i="2"/>
  <c r="A30" i="2"/>
  <c r="M76" i="2"/>
  <c r="C24" i="2"/>
  <c r="E60" i="2"/>
  <c r="N21" i="2"/>
  <c r="D73" i="2"/>
  <c r="A18" i="2"/>
  <c r="R18" i="2"/>
  <c r="L30" i="2"/>
  <c r="P60" i="2"/>
  <c r="N68" i="2"/>
  <c r="C68" i="2"/>
  <c r="M21" i="2"/>
  <c r="P73" i="2"/>
  <c r="I18" i="2"/>
  <c r="K18" i="2"/>
  <c r="P13" i="2"/>
  <c r="O60" i="2"/>
  <c r="D68" i="2"/>
  <c r="P117" i="2"/>
  <c r="J18" i="2"/>
  <c r="M18" i="2"/>
  <c r="G13" i="2"/>
  <c r="K60" i="2"/>
  <c r="E68" i="2"/>
  <c r="A117" i="2"/>
  <c r="P21" i="2"/>
  <c r="C18" i="2"/>
  <c r="O21" i="2"/>
  <c r="L73" i="2"/>
  <c r="Q59" i="2"/>
  <c r="K13" i="2"/>
  <c r="F21" i="2"/>
  <c r="B73" i="2"/>
  <c r="F59" i="2"/>
  <c r="B13" i="2"/>
  <c r="C21" i="2"/>
  <c r="Q73" i="2"/>
  <c r="C59" i="2"/>
  <c r="Q29" i="2"/>
  <c r="C29" i="2"/>
  <c r="B19" i="2"/>
  <c r="K19" i="2"/>
  <c r="I92" i="2"/>
  <c r="M92" i="2"/>
  <c r="O67" i="2"/>
  <c r="D67" i="2"/>
  <c r="K54" i="2"/>
  <c r="B54" i="2"/>
  <c r="B69" i="2"/>
  <c r="O69" i="2"/>
  <c r="D8" i="2"/>
  <c r="B8" i="2"/>
  <c r="I35" i="2"/>
  <c r="L35" i="2"/>
  <c r="A120" i="2"/>
  <c r="C120" i="2"/>
  <c r="J74" i="2"/>
  <c r="A74" i="2"/>
  <c r="G78" i="2"/>
  <c r="M78" i="2"/>
  <c r="P67" i="2"/>
  <c r="M67" i="2"/>
  <c r="I54" i="2"/>
  <c r="J54" i="2"/>
  <c r="C69" i="2"/>
  <c r="G69" i="2"/>
  <c r="F8" i="2"/>
  <c r="I8" i="2"/>
  <c r="O35" i="2"/>
  <c r="D35" i="2"/>
  <c r="E120" i="2"/>
  <c r="L120" i="2"/>
  <c r="K74" i="2"/>
  <c r="R74" i="2"/>
  <c r="J78" i="2"/>
  <c r="Q67" i="2"/>
  <c r="F67" i="2"/>
  <c r="L54" i="2"/>
  <c r="H54" i="2"/>
  <c r="K69" i="2"/>
  <c r="D69" i="2"/>
  <c r="H8" i="2"/>
  <c r="B35" i="2"/>
  <c r="J35" i="2"/>
  <c r="Q120" i="2"/>
  <c r="F120" i="2"/>
  <c r="N74" i="2"/>
  <c r="B74" i="2"/>
  <c r="D78" i="2"/>
  <c r="C67" i="2"/>
  <c r="K67" i="2"/>
  <c r="M54" i="2"/>
  <c r="N54" i="2"/>
  <c r="L69" i="2"/>
  <c r="H69" i="2"/>
  <c r="L8" i="2"/>
  <c r="M35" i="2"/>
  <c r="E35" i="2"/>
  <c r="K120" i="2"/>
  <c r="H120" i="2"/>
  <c r="L74" i="2"/>
  <c r="I74" i="2"/>
  <c r="C78" i="2"/>
  <c r="I67" i="2"/>
  <c r="R67" i="2"/>
  <c r="O54" i="2"/>
  <c r="E54" i="2"/>
  <c r="Q69" i="2"/>
  <c r="N69" i="2"/>
  <c r="R8" i="2"/>
  <c r="P8" i="2"/>
  <c r="N35" i="2"/>
  <c r="K35" i="2"/>
  <c r="D120" i="2"/>
  <c r="G120" i="2"/>
  <c r="G74" i="2"/>
  <c r="D74" i="2"/>
  <c r="F78" i="2"/>
  <c r="G67" i="2"/>
  <c r="A67" i="2"/>
  <c r="A54" i="2"/>
  <c r="R69" i="2"/>
  <c r="E69" i="2"/>
  <c r="E8" i="2"/>
  <c r="K8" i="2"/>
  <c r="P35" i="2"/>
  <c r="R35" i="2"/>
  <c r="P120" i="2"/>
  <c r="I120" i="2"/>
  <c r="C74" i="2"/>
  <c r="E74" i="2"/>
  <c r="R78" i="2"/>
  <c r="K29" i="2"/>
  <c r="P19" i="2"/>
  <c r="H29" i="2"/>
  <c r="I29" i="2"/>
  <c r="H19" i="2"/>
  <c r="G19" i="2"/>
  <c r="P92" i="2"/>
  <c r="D92" i="2"/>
  <c r="H67" i="2"/>
  <c r="E67" i="2"/>
  <c r="D54" i="2"/>
  <c r="A69" i="2"/>
  <c r="J8" i="2"/>
  <c r="G8" i="2"/>
  <c r="C35" i="2"/>
  <c r="Q35" i="2"/>
  <c r="R120" i="2"/>
  <c r="O120" i="2"/>
  <c r="Q74" i="2"/>
  <c r="H74" i="2"/>
  <c r="Q13" i="2"/>
  <c r="L13" i="2"/>
  <c r="K78" i="2"/>
  <c r="R73" i="2"/>
  <c r="P59" i="2"/>
  <c r="M19" i="2"/>
  <c r="B92" i="2"/>
  <c r="R92" i="2"/>
  <c r="E29" i="2"/>
  <c r="M29" i="2"/>
  <c r="Q19" i="2"/>
  <c r="D19" i="2"/>
  <c r="K92" i="2"/>
  <c r="C92" i="2"/>
  <c r="B67" i="2"/>
  <c r="C54" i="2"/>
  <c r="F54" i="2"/>
  <c r="P69" i="2"/>
  <c r="C8" i="2"/>
  <c r="Q8" i="2"/>
  <c r="H35" i="2"/>
  <c r="F35" i="2"/>
  <c r="M120" i="2"/>
  <c r="J120" i="2"/>
  <c r="F74" i="2"/>
  <c r="O74" i="2"/>
  <c r="R13" i="2"/>
  <c r="P78" i="2"/>
  <c r="I78" i="2"/>
  <c r="J73" i="2"/>
  <c r="A59" i="2"/>
  <c r="F29" i="2"/>
  <c r="L29" i="2"/>
  <c r="J19" i="2"/>
  <c r="G92" i="2"/>
  <c r="G54" i="2"/>
  <c r="I69" i="2"/>
  <c r="M8" i="2"/>
  <c r="F13" i="2"/>
  <c r="A78" i="2"/>
  <c r="O78" i="2"/>
  <c r="O73" i="2"/>
  <c r="G59" i="2"/>
  <c r="F124" i="2"/>
  <c r="P38" i="2"/>
  <c r="N38" i="2"/>
  <c r="I42" i="2"/>
  <c r="F42" i="2"/>
  <c r="E52" i="2"/>
  <c r="C52" i="2"/>
  <c r="F76" i="2"/>
  <c r="E76" i="2"/>
  <c r="O113" i="2"/>
  <c r="R113" i="2"/>
  <c r="K117" i="2"/>
  <c r="J117" i="2"/>
  <c r="P113" i="2"/>
  <c r="L113" i="2"/>
  <c r="C117" i="2"/>
  <c r="L76" i="2"/>
  <c r="R76" i="2"/>
  <c r="C113" i="2"/>
  <c r="M117" i="2"/>
  <c r="G76" i="2"/>
  <c r="O76" i="2"/>
  <c r="E113" i="2"/>
  <c r="R117" i="2"/>
  <c r="I76" i="2"/>
  <c r="J113" i="2"/>
  <c r="M113" i="2"/>
  <c r="O117" i="2"/>
  <c r="B76" i="2"/>
  <c r="K113" i="2"/>
  <c r="I113" i="2"/>
  <c r="L117" i="2"/>
  <c r="R124" i="2"/>
  <c r="K124" i="2"/>
  <c r="B38" i="2"/>
  <c r="I38" i="2"/>
  <c r="C34" i="2"/>
  <c r="Q34" i="2"/>
  <c r="N42" i="2"/>
  <c r="L52" i="2"/>
  <c r="D76" i="2"/>
  <c r="C76" i="2"/>
  <c r="F113" i="2"/>
  <c r="Q113" i="2"/>
  <c r="L83" i="2"/>
  <c r="I13" i="2"/>
  <c r="C13" i="2"/>
  <c r="J25" i="2"/>
  <c r="O25" i="2"/>
  <c r="L78" i="2"/>
  <c r="C87" i="2"/>
  <c r="P87" i="2"/>
  <c r="M60" i="2"/>
  <c r="I117" i="2"/>
  <c r="J66" i="2"/>
  <c r="D10" i="2"/>
  <c r="B10" i="2"/>
  <c r="N75" i="2"/>
  <c r="R59" i="2"/>
  <c r="K59" i="2"/>
  <c r="M124" i="2"/>
  <c r="L124" i="2"/>
  <c r="K38" i="2"/>
  <c r="D38" i="2"/>
  <c r="F34" i="2"/>
  <c r="L34" i="2"/>
  <c r="R42" i="2"/>
  <c r="N52" i="2"/>
  <c r="A76" i="2"/>
  <c r="N76" i="2"/>
  <c r="G113" i="2"/>
  <c r="N113" i="2"/>
  <c r="F83" i="2"/>
  <c r="E13" i="2"/>
  <c r="N13" i="2"/>
  <c r="H25" i="2"/>
  <c r="F25" i="2"/>
  <c r="E78" i="2"/>
  <c r="D87" i="2"/>
  <c r="F87" i="2"/>
  <c r="A60" i="2"/>
  <c r="N117" i="2"/>
  <c r="L66" i="2"/>
  <c r="R10" i="2"/>
  <c r="H10" i="2"/>
  <c r="L75" i="2"/>
  <c r="E59" i="2"/>
  <c r="N59" i="2"/>
  <c r="A124" i="2"/>
  <c r="G38" i="2"/>
  <c r="K34" i="2"/>
  <c r="C42" i="2"/>
  <c r="G52" i="2"/>
  <c r="K76" i="2"/>
  <c r="A113" i="2"/>
  <c r="B83" i="2"/>
  <c r="J13" i="2"/>
  <c r="E25" i="2"/>
  <c r="Q78" i="2"/>
  <c r="G87" i="2"/>
  <c r="B60" i="2"/>
  <c r="Q117" i="2"/>
  <c r="G117" i="2"/>
  <c r="O66" i="2"/>
  <c r="A10" i="2"/>
  <c r="Q75" i="2"/>
  <c r="B59" i="2"/>
  <c r="L25" i="2"/>
  <c r="K25" i="2"/>
  <c r="Q60" i="2"/>
  <c r="G60" i="2"/>
  <c r="A68" i="2"/>
  <c r="P68" i="2"/>
  <c r="D117" i="2"/>
  <c r="B117" i="2"/>
  <c r="B66" i="2"/>
  <c r="Q21" i="2"/>
  <c r="G21" i="2"/>
  <c r="N73" i="2"/>
  <c r="I73" i="2"/>
  <c r="C25" i="2"/>
  <c r="I60" i="2"/>
  <c r="H60" i="2"/>
  <c r="B68" i="2"/>
  <c r="J68" i="2"/>
  <c r="H117" i="2"/>
  <c r="F117" i="2"/>
  <c r="D66" i="2"/>
  <c r="D21" i="2"/>
  <c r="K21" i="2"/>
  <c r="K73" i="2"/>
  <c r="C73" i="2"/>
  <c r="J60" i="2"/>
  <c r="K68" i="2"/>
  <c r="Q66" i="2"/>
  <c r="A21" i="2"/>
  <c r="M7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252C748-2074-BD46-B17B-9F7B871D70CB}" keepAlive="1" name="Query - Counts" description="Connection to the 'Counts' query in the workbook." type="5" refreshedVersion="8" background="1" saveData="1">
    <dbPr connection="Provider=Microsoft.Mashup.OleDb.1;Data Source=$Workbook$;Location=Counts;Extended Properties=&quot;&quot;" command="SELECT * FROM [Counts]"/>
  </connection>
  <connection id="2" xr16:uid="{65DE1341-7846-1141-8515-63FFDC6CCC95}" keepAlive="1" name="Query - Counts (2)" description="Connection to the 'Counts (2)' query in the workbook." type="5" refreshedVersion="8" background="1" saveData="1">
    <dbPr connection="Provider=Microsoft.Mashup.OleDb.1;Data Source=$Workbook$;Location=&quot;Counts (2)&quot;;Extended Properties=&quot;&quot;" command="SELECT * FROM [Counts (2)]"/>
  </connection>
</connections>
</file>

<file path=xl/sharedStrings.xml><?xml version="1.0" encoding="utf-8"?>
<sst xmlns="http://schemas.openxmlformats.org/spreadsheetml/2006/main" count="11923" uniqueCount="418">
  <si>
    <t>Cigarette reconciliation</t>
  </si>
  <si>
    <t>TRADING DAY (CLOSING)</t>
  </si>
  <si>
    <t>OPENING FROM</t>
  </si>
  <si>
    <t>COUNTED BY</t>
  </si>
  <si>
    <t>PRODUCTS</t>
  </si>
  <si>
    <t>Show:</t>
  </si>
  <si>
    <t>PRODUCTS WITH VARIANCE</t>
  </si>
  <si>
    <t>TOTAL VARIANCE (PACKS)</t>
  </si>
  <si>
    <t>TOTAL VARIANCE (RM)</t>
  </si>
  <si>
    <t>POS SALES</t>
  </si>
  <si>
    <t>Product</t>
  </si>
  <si>
    <t>Opening</t>
  </si>
  <si>
    <t>Added</t>
  </si>
  <si>
    <t>Closing</t>
  </si>
  <si>
    <t>Sold (counted)</t>
  </si>
  <si>
    <t>Sold (POS)</t>
  </si>
  <si>
    <t>Variance</t>
  </si>
  <si>
    <t>Variance RM</t>
  </si>
  <si>
    <t>Item ID</t>
  </si>
  <si>
    <t>PLU</t>
  </si>
  <si>
    <t>Variance by product — last 14 counted days</t>
  </si>
  <si>
    <t>Sorted by how many days the product disagreed with the POS, then by total. A product off a little every night sits above one that was off a lot once. A dash means no POS sales were loaded for that day.</t>
  </si>
  <si>
    <t>Days off</t>
  </si>
  <si>
    <t>Total</t>
  </si>
  <si>
    <t>Worst</t>
  </si>
  <si>
    <t>Cigarette reconciliation — how to read this</t>
  </si>
  <si>
    <t>Daily</t>
  </si>
  <si>
    <t>Pick a trading day from the dropdown at the top. Everything below it, and every figure in the summary, follows that one choice — one table, one set of formatting. Rows are ordered by how far the variance is from zero, so whatever needs attention is at the top rather than wherever the alphabet put it.</t>
  </si>
  <si>
    <t>Ctrl+P prints exactly the day on screen, on one page, with the header row repeated.</t>
  </si>
  <si>
    <t>The line at the top right says how many days are loaded and what the latest one is. If the day you counted this morning is not the latest, the file has not been refreshed — press Data &gt; Refresh All.</t>
  </si>
  <si>
    <t>What the columns mean</t>
  </si>
  <si>
    <t>Opening — what the previous submitted count left on the shelf. "Opening from" in the summary is the day that count was taken. If it is not the day before, a day was skipped, and two days of sales are folded into one figure.</t>
  </si>
  <si>
    <t>Added — packs put onto the shelf since that opening count, from the restock records. Several restocks in the same period are summed.</t>
  </si>
  <si>
    <t>Closing — what was counted on the trading day named at the top.</t>
  </si>
  <si>
    <t>Sold (counted) — Opening plus Added minus Closing. What the shelf says went out.</t>
  </si>
  <si>
    <t>Sold (POS) — what the till says it sold, from the imported sales report.</t>
  </si>
  <si>
    <t>Variance — Sold (counted) minus Sold (POS), straight from the database view. It is not recalculated here, so it cannot drift from what the system believes.</t>
  </si>
  <si>
    <t xml:space="preserve">  positive — more left the shelf than the till sold: shrinkage, a miscount, or stock put out and not recorded.</t>
  </si>
  <si>
    <t xml:space="preserve">  negative — the till sold more than the shelf lost: usually a delivery.</t>
  </si>
  <si>
    <t xml:space="preserve">  an em dash — not known, not zero. Either no POS sales are loaded for that day, or it is the first count of that product and there is no opening to sell down from.</t>
  </si>
  <si>
    <t>Variance RM — the variance valued at the price that day's report printed, falling back to the product list price. Blank means neither is known.</t>
  </si>
  <si>
    <t>Trends</t>
  </si>
  <si>
    <t>Variance by product over the last 14 counted days, sorted by how many days each product was off before how large the gap was. That ordering is the point: five nights of one pack is a leak worth chasing, one night of five packs is an event. The leak sits at the top. Anything older than 14 days is still on the Data sheet.</t>
  </si>
  <si>
    <t>Two things that will skew variance</t>
  </si>
  <si>
    <t>Deliveries have to be recorded to count. The count screen collects one number per product and does not capture stock put out during the day; that is what the Restock screen is for, and what the Added column shows. A delivery nobody recorded still reads as negative variance, because as far as the shelf is concerned the packs appeared from nowhere. Check Added before believing a large negative day.</t>
  </si>
  <si>
    <t>Counts must be consecutive. Opening is the previous submitted count's closing, whatever date that was. Check "Opening from" before believing a large variance.</t>
  </si>
  <si>
    <t>Refreshing</t>
  </si>
  <si>
    <t>Data &gt; Refresh All, or just open the file if refresh-on-open is ticked. The rows come from the database through the query named Counts; the sheets are formulas on top of them, so new days and new products appear without anything being edited.</t>
  </si>
  <si>
    <t>The Data and Calc sheets are hidden. Data is the query's landing zone and Calc holds the working-out. Neither should be edited by hand: Data is overwritten on every refresh, and Calc is what Daily and Trends read.</t>
  </si>
  <si>
    <t>Attach the data — about fifteen minutes, once</t>
  </si>
  <si>
    <t>Until this is done, Daily and Trends are empty and the line at the top right of Daily says "Data sheet is empty". Nothing is broken; the rows simply are not there yet. After it is done the workbook refreshes itself and this sheet can be ignored.</t>
  </si>
  <si>
    <t>1. Open a blank query</t>
  </si>
  <si>
    <t>Data &gt; Get Data &gt; From Other Sources &gt; Blank Query.</t>
  </si>
  <si>
    <t>2. Paste the query</t>
  </si>
  <si>
    <t>Home &gt; Advanced Editor. Delete what is there. Paste the whole of counts_query.m from the excel folder. Done.</t>
  </si>
  <si>
    <t>3. Name it exactly  Counts</t>
  </si>
  <si>
    <t>In the Query Settings pane on the right. The name matters less than it used to — the sheets address columns by position, not by table name — but keep it so the next person can find it.</t>
  </si>
  <si>
    <t>4. Load it onto the Data sheet</t>
  </si>
  <si>
    <t>Home &gt; Close &amp; Load To... &gt; Table &gt; Existing worksheet &gt; put the cursor in Data!$A$1 &gt; OK. If Excel asks about credentials for supabase.co, choose Anonymous.</t>
  </si>
  <si>
    <t>IMPORTANT: it must land on the Data sheet at A1. The columns must sit in the order the query returns them, because every formula in the workbook finds its values by column position. If it lands somewhere else, undo and redo this step.</t>
  </si>
  <si>
    <t>5. Make it automatic</t>
  </si>
  <si>
    <t>Data &gt; Queries &amp; Connections &gt; right-click Counts &gt; Properties. Tick "Refresh data when opening the file" and "Refresh every 60 minutes".</t>
  </si>
  <si>
    <t>Then check three things</t>
  </si>
  <si>
    <t>The top right of Daily names the latest counted day. It should be the most recent count that has been submitted.</t>
  </si>
  <si>
    <t>Pick the earliest day in the dropdown — the very first count. Variance, Opening and Sold (counted) should all read as dashes, and the amber line should say there is no opening figure. If any of those read 0 instead, tell Claude: a dash means "not checked" and a zero means "agreed", and they must never be confused.</t>
  </si>
  <si>
    <t>Submit a count, then press Data &gt; Refresh All. The new day should appear in the dropdown on its own.</t>
  </si>
  <si>
    <t>per-day summary (day_no 1 = most recent counted day)</t>
  </si>
  <si>
    <t>per-product trends over the last 14 days</t>
  </si>
  <si>
    <t>day_no</t>
  </si>
  <si>
    <t>date</t>
  </si>
  <si>
    <t>staff</t>
  </si>
  <si>
    <t>opening_date</t>
  </si>
  <si>
    <t>products</t>
  </si>
  <si>
    <t>known</t>
  </si>
  <si>
    <t>zeros</t>
  </si>
  <si>
    <t>with_variance</t>
  </si>
  <si>
    <t>total_packs</t>
  </si>
  <si>
    <t>priced</t>
  </si>
  <si>
    <t>total_rm</t>
  </si>
  <si>
    <t>pos_rows</t>
  </si>
  <si>
    <t>pos_state</t>
  </si>
  <si>
    <t>opening_known</t>
  </si>
  <si>
    <t>message</t>
  </si>
  <si>
    <t>prod_no</t>
  </si>
  <si>
    <t>product</t>
  </si>
  <si>
    <t>d1</t>
  </si>
  <si>
    <t>d2</t>
  </si>
  <si>
    <t>d3</t>
  </si>
  <si>
    <t>d4</t>
  </si>
  <si>
    <t>d5</t>
  </si>
  <si>
    <t>d6</t>
  </si>
  <si>
    <t>d7</t>
  </si>
  <si>
    <t>d8</t>
  </si>
  <si>
    <t>d9</t>
  </si>
  <si>
    <t>d10</t>
  </si>
  <si>
    <t>d11</t>
  </si>
  <si>
    <t>d12</t>
  </si>
  <si>
    <t>d13</t>
  </si>
  <si>
    <t>d14</t>
  </si>
  <si>
    <t>days_off</t>
  </si>
  <si>
    <t>total</t>
  </si>
  <si>
    <t>worst</t>
  </si>
  <si>
    <t>sortkey</t>
  </si>
  <si>
    <t>rank</t>
  </si>
  <si>
    <t>branch_id</t>
  </si>
  <si>
    <t>count_date</t>
  </si>
  <si>
    <t>shift</t>
  </si>
  <si>
    <t>staff_name</t>
  </si>
  <si>
    <t>product_id</t>
  </si>
  <si>
    <t>plu</t>
  </si>
  <si>
    <t>short_name</t>
  </si>
  <si>
    <t>pos_description</t>
  </si>
  <si>
    <t>opening_packs</t>
  </si>
  <si>
    <t>add_in</t>
  </si>
  <si>
    <t>closing_packs</t>
  </si>
  <si>
    <t>sold_physical</t>
  </si>
  <si>
    <t>sold_pos</t>
  </si>
  <si>
    <t>variance_packs</t>
  </si>
  <si>
    <t>unit_price_used</t>
  </si>
  <si>
    <t>variance_rm</t>
  </si>
  <si>
    <t>abs_variance</t>
  </si>
  <si>
    <t>row_key</t>
  </si>
  <si>
    <t>SAFARI</t>
  </si>
  <si>
    <t>Luqman</t>
  </si>
  <si>
    <t>100144</t>
  </si>
  <si>
    <t>95502397</t>
  </si>
  <si>
    <t>Benson &amp; Hedges</t>
  </si>
  <si>
    <t>BENSON &amp; HEDGES</t>
  </si>
  <si>
    <t>105159</t>
  </si>
  <si>
    <t>9555277316275</t>
  </si>
  <si>
    <t>Bond Light</t>
  </si>
  <si>
    <t>BOND STREET BLUE 20S</t>
  </si>
  <si>
    <t>105158</t>
  </si>
  <si>
    <t>9555277316251</t>
  </si>
  <si>
    <t>Bond Red</t>
  </si>
  <si>
    <t>BOND STREET RED 20S</t>
  </si>
  <si>
    <t>100642</t>
  </si>
  <si>
    <t>88823393</t>
  </si>
  <si>
    <t>Chesterfield Blue</t>
  </si>
  <si>
    <t>CHESTERFIELD BLUE 20S</t>
  </si>
  <si>
    <t>103361</t>
  </si>
  <si>
    <t>9555277315254</t>
  </si>
  <si>
    <t>Chesterfield Charcoal</t>
  </si>
  <si>
    <t>CHESTERFIELD CHARCOAL FILTER 20S</t>
  </si>
  <si>
    <t>100638</t>
  </si>
  <si>
    <t>95510354</t>
  </si>
  <si>
    <t>Chesterfield Menthol</t>
  </si>
  <si>
    <t>CHESTERFIELD MENTHOL 20S</t>
  </si>
  <si>
    <t>103526</t>
  </si>
  <si>
    <t>9555277315094</t>
  </si>
  <si>
    <t>Chesterfield Purple</t>
  </si>
  <si>
    <t>CHESTERFIELD PURPLE 20S</t>
  </si>
  <si>
    <t>100640</t>
  </si>
  <si>
    <t>88823386</t>
  </si>
  <si>
    <t>Chesterfield Red</t>
  </si>
  <si>
    <t>CHESTERFIELD RED 20S</t>
  </si>
  <si>
    <t>104923</t>
  </si>
  <si>
    <t>9556109109386</t>
  </si>
  <si>
    <t>Dunhill Blue</t>
  </si>
  <si>
    <t>DUNHILL BLUE</t>
  </si>
  <si>
    <t>105169</t>
  </si>
  <si>
    <t>9556109109416</t>
  </si>
  <si>
    <t>Dunhill Boost</t>
  </si>
  <si>
    <t>DUNHILL BOOST</t>
  </si>
  <si>
    <t>103732</t>
  </si>
  <si>
    <t>9556109106958</t>
  </si>
  <si>
    <t>Dunhill Classic</t>
  </si>
  <si>
    <t>DUNHILL CLASSIC</t>
  </si>
  <si>
    <t>104924</t>
  </si>
  <si>
    <t>9556109109393</t>
  </si>
  <si>
    <t>Dunhill Menthol</t>
  </si>
  <si>
    <t>DUNHILL MENTHOL</t>
  </si>
  <si>
    <t>105170</t>
  </si>
  <si>
    <t>9556109109423</t>
  </si>
  <si>
    <t>Dunhill Mix</t>
  </si>
  <si>
    <t>DUNHILL MIX</t>
  </si>
  <si>
    <t>104922</t>
  </si>
  <si>
    <t>9556109109171</t>
  </si>
  <si>
    <t>Dunhill Red</t>
  </si>
  <si>
    <t>DUNHILL RED</t>
  </si>
  <si>
    <t>105168</t>
  </si>
  <si>
    <t>9556109109409</t>
  </si>
  <si>
    <t>Dunhill Switch</t>
  </si>
  <si>
    <t>DUNHILL SWITCH</t>
  </si>
  <si>
    <t>105171</t>
  </si>
  <si>
    <t>9556109109430</t>
  </si>
  <si>
    <t>Dunhill Zest</t>
  </si>
  <si>
    <t>DUNHILL ZEST</t>
  </si>
  <si>
    <t>104726</t>
  </si>
  <si>
    <t>9556109109355</t>
  </si>
  <si>
    <t>Kyo Original</t>
  </si>
  <si>
    <t>KYO ORIGINAL BLUE</t>
  </si>
  <si>
    <t>104727</t>
  </si>
  <si>
    <t>9556109109362</t>
  </si>
  <si>
    <t>Kyo Silver</t>
  </si>
  <si>
    <t>KYO SILVER</t>
  </si>
  <si>
    <t>107628</t>
  </si>
  <si>
    <t>9555900301227</t>
  </si>
  <si>
    <t>LD 100 Red</t>
  </si>
  <si>
    <t>LD 100 RED</t>
  </si>
  <si>
    <t>100758</t>
  </si>
  <si>
    <t>8885004830028</t>
  </si>
  <si>
    <t>LD Blue</t>
  </si>
  <si>
    <t>LD BLUE 20S</t>
  </si>
  <si>
    <t>100760</t>
  </si>
  <si>
    <t>8885004830042</t>
  </si>
  <si>
    <t>LD Menthol</t>
  </si>
  <si>
    <t>LD MENTHOL 20S</t>
  </si>
  <si>
    <t>104330</t>
  </si>
  <si>
    <t>9555900300565</t>
  </si>
  <si>
    <t>LD Purple</t>
  </si>
  <si>
    <t>LD PURPLE 20S</t>
  </si>
  <si>
    <t>100756</t>
  </si>
  <si>
    <t>8885004830004</t>
  </si>
  <si>
    <t>LD Red</t>
  </si>
  <si>
    <t>LD RED 20S</t>
  </si>
  <si>
    <t>100762</t>
  </si>
  <si>
    <t>9555900300121</t>
  </si>
  <si>
    <t>LD Zoom</t>
  </si>
  <si>
    <t>LD ZOOM 20S</t>
  </si>
  <si>
    <t>100626</t>
  </si>
  <si>
    <t>95508788</t>
  </si>
  <si>
    <t>Marlboro Black</t>
  </si>
  <si>
    <t>MARLBORO BLACK MENTHOL 20S</t>
  </si>
  <si>
    <t>100630</t>
  </si>
  <si>
    <t>45163012</t>
  </si>
  <si>
    <t>Marlboro Double Burst</t>
  </si>
  <si>
    <t>MARLBORO DOUBLE BURST 20S</t>
  </si>
  <si>
    <t>100628</t>
  </si>
  <si>
    <t>76239878</t>
  </si>
  <si>
    <t>Marlboro Gold</t>
  </si>
  <si>
    <t>MARLBORO GOLD 20S</t>
  </si>
  <si>
    <t>100624</t>
  </si>
  <si>
    <t>95509839</t>
  </si>
  <si>
    <t>Marlboro Ice</t>
  </si>
  <si>
    <t>MARLBORO ICE BLAST 20S</t>
  </si>
  <si>
    <t>100632</t>
  </si>
  <si>
    <t>76239427</t>
  </si>
  <si>
    <t>Marlboro Menthol</t>
  </si>
  <si>
    <t>MARLBORO MENTHOL 20S</t>
  </si>
  <si>
    <t>100634</t>
  </si>
  <si>
    <t>76164217</t>
  </si>
  <si>
    <t>Marlboro Red</t>
  </si>
  <si>
    <t>MARLBORO RED 20S</t>
  </si>
  <si>
    <t>106880</t>
  </si>
  <si>
    <t>7622100700364</t>
  </si>
  <si>
    <t>Marlboro Summer</t>
  </si>
  <si>
    <t>MARLBORO SUMMER SPLASH</t>
  </si>
  <si>
    <t>106879</t>
  </si>
  <si>
    <t>7622100698937</t>
  </si>
  <si>
    <t>Marlboro Tropical</t>
  </si>
  <si>
    <t>MARLBORO TROPICAL SPLASH</t>
  </si>
  <si>
    <t>100730</t>
  </si>
  <si>
    <t>49401196</t>
  </si>
  <si>
    <t>Mevius Blue</t>
  </si>
  <si>
    <t>MEVIUS ORIGINAL BLUE 20S</t>
  </si>
  <si>
    <t>100732</t>
  </si>
  <si>
    <t>4033100054556</t>
  </si>
  <si>
    <t>Mevius Duo</t>
  </si>
  <si>
    <t>MEVIUS MENTHOL DUO 20S</t>
  </si>
  <si>
    <t>106489</t>
  </si>
  <si>
    <t>9555900301326</t>
  </si>
  <si>
    <t>Mevius Kiwami</t>
  </si>
  <si>
    <t>MEVIUS KIWAMI</t>
  </si>
  <si>
    <t>100726</t>
  </si>
  <si>
    <t>01232135</t>
  </si>
  <si>
    <t>Mevius Menthol</t>
  </si>
  <si>
    <t>MEVIUS MENTHOL 20S</t>
  </si>
  <si>
    <t>100724</t>
  </si>
  <si>
    <t>01239730</t>
  </si>
  <si>
    <t>Mevius Menthol White</t>
  </si>
  <si>
    <t>MEVIUS MENTHOL WHITE 20S</t>
  </si>
  <si>
    <t>100734</t>
  </si>
  <si>
    <t>Mevius Sky Blue</t>
  </si>
  <si>
    <t>MEVIUS SKY BLUE 20S</t>
  </si>
  <si>
    <t>100736</t>
  </si>
  <si>
    <t>40329383</t>
  </si>
  <si>
    <t>Mevius Wind Blue</t>
  </si>
  <si>
    <t>MEVIUS WIND BLUE 20S</t>
  </si>
  <si>
    <t>107114</t>
  </si>
  <si>
    <t>95510569</t>
  </si>
  <si>
    <t>Mevius Yellow</t>
  </si>
  <si>
    <t>MEVIUS LBS YELLOW</t>
  </si>
  <si>
    <t>100127</t>
  </si>
  <si>
    <t>9556109105722</t>
  </si>
  <si>
    <t>Peter Stuyvesant Blue</t>
  </si>
  <si>
    <t>PETER STUYVESANT BLUE</t>
  </si>
  <si>
    <t>100128</t>
  </si>
  <si>
    <t>9556109105715</t>
  </si>
  <si>
    <t>Peter Stuyvesant Red</t>
  </si>
  <si>
    <t>PETER STUYVESANT RED</t>
  </si>
  <si>
    <t>100125</t>
  </si>
  <si>
    <t>Peter Stuyvesant Remix</t>
  </si>
  <si>
    <t>PETER STUYVESANT REMIX 20S</t>
  </si>
  <si>
    <t>100156</t>
  </si>
  <si>
    <t>9556109106712</t>
  </si>
  <si>
    <t>Rothmans Blue</t>
  </si>
  <si>
    <t>ROTHMANS BLUE</t>
  </si>
  <si>
    <t>104385</t>
  </si>
  <si>
    <t>9556109108006</t>
  </si>
  <si>
    <t>Rothmans Charcoal</t>
  </si>
  <si>
    <t>ROTHMANS CHARCOAL</t>
  </si>
  <si>
    <t>104555</t>
  </si>
  <si>
    <t>9556109108358</t>
  </si>
  <si>
    <t>Rothmans Kool Hokkaido Mint</t>
  </si>
  <si>
    <t>ROTHMANS BOOST</t>
  </si>
  <si>
    <t>104429</t>
  </si>
  <si>
    <t>9556109108334</t>
  </si>
  <si>
    <t>Rothmans Menthol</t>
  </si>
  <si>
    <t>ROTHMANS GREEN</t>
  </si>
  <si>
    <t>103630</t>
  </si>
  <si>
    <t>9556109108310</t>
  </si>
  <si>
    <t>Rothmans Purple</t>
  </si>
  <si>
    <t>ROTHMANS PURPLE</t>
  </si>
  <si>
    <t>100155</t>
  </si>
  <si>
    <t>9556109106330</t>
  </si>
  <si>
    <t>Rothmans Red</t>
  </si>
  <si>
    <t>ROTHMANS RED</t>
  </si>
  <si>
    <t>100646</t>
  </si>
  <si>
    <t>89990469</t>
  </si>
  <si>
    <t>Sampoerna Menthol</t>
  </si>
  <si>
    <t>SAMPOERNA A MENTHOL BOX PACK 20'S</t>
  </si>
  <si>
    <t>100648</t>
  </si>
  <si>
    <t>89990568</t>
  </si>
  <si>
    <t>Sampoerna Red</t>
  </si>
  <si>
    <t>SAMPOERNA A RED BOX PACK 20'S</t>
  </si>
  <si>
    <t>100738</t>
  </si>
  <si>
    <t>01231932</t>
  </si>
  <si>
    <t>Winston Blue</t>
  </si>
  <si>
    <t>WINSTON BLUE 20S</t>
  </si>
  <si>
    <t>100750</t>
  </si>
  <si>
    <t>403310034268</t>
  </si>
  <si>
    <t>Winston Duo Berry</t>
  </si>
  <si>
    <t>WINSTON DUO BERRY 20S</t>
  </si>
  <si>
    <t>100740</t>
  </si>
  <si>
    <t>01231233</t>
  </si>
  <si>
    <t>Winston Red</t>
  </si>
  <si>
    <t>WINSTON RED 20S</t>
  </si>
  <si>
    <t>Aktar</t>
  </si>
  <si>
    <t>Aktarul</t>
  </si>
  <si>
    <t>Suzy</t>
  </si>
  <si>
    <t>4902210200804</t>
  </si>
  <si>
    <t>9556109107481</t>
  </si>
  <si>
    <t>Asyraf</t>
  </si>
  <si>
    <t>105740</t>
  </si>
  <si>
    <t>7622100698326</t>
  </si>
  <si>
    <t>FIIT ALPINE</t>
  </si>
  <si>
    <t>105742</t>
  </si>
  <si>
    <t>7622100698418</t>
  </si>
  <si>
    <t>FIIT CRISP</t>
  </si>
  <si>
    <t>105741</t>
  </si>
  <si>
    <t>7622100698388</t>
  </si>
  <si>
    <t>FIIT REGULAR</t>
  </si>
  <si>
    <t>107776</t>
  </si>
  <si>
    <t>7622100702832</t>
  </si>
  <si>
    <t>ILUMA</t>
  </si>
  <si>
    <t>KIT IQOS ILUMA ONE MIDNIGHT BLACK KIT</t>
  </si>
  <si>
    <t>107089</t>
  </si>
  <si>
    <t>9555277316510</t>
  </si>
  <si>
    <t>TEREA AMBER</t>
  </si>
  <si>
    <t>107088</t>
  </si>
  <si>
    <t>7622100699521</t>
  </si>
  <si>
    <t>TEREA BLACK GREEN</t>
  </si>
  <si>
    <t>107597</t>
  </si>
  <si>
    <t>7622100701637</t>
  </si>
  <si>
    <t>TEREA BLACK PURPLE</t>
  </si>
  <si>
    <t>TEREA BLACKPU MNT S50 PRI 20 SLI</t>
  </si>
  <si>
    <t>107596</t>
  </si>
  <si>
    <t>7622100701620</t>
  </si>
  <si>
    <t>TEREA BLACK YELLOW</t>
  </si>
  <si>
    <t>TEREA BLACK YELLOW MNT S50 PRI 20 SLI</t>
  </si>
  <si>
    <t>107094</t>
  </si>
  <si>
    <t>9555277316695</t>
  </si>
  <si>
    <t>TEREA BLUE</t>
  </si>
  <si>
    <t>107093</t>
  </si>
  <si>
    <t>9555277316664</t>
  </si>
  <si>
    <t>TEREA BLUEBERRY</t>
  </si>
  <si>
    <t>108284</t>
  </si>
  <si>
    <t>7622100467281</t>
  </si>
  <si>
    <t>TEREA GRAPE</t>
  </si>
  <si>
    <t>TEREA GRAPE CAPSULE S50 PRI 20 SLI</t>
  </si>
  <si>
    <t>108024</t>
  </si>
  <si>
    <t>7622100467199</t>
  </si>
  <si>
    <t>TEREA KRETEK</t>
  </si>
  <si>
    <t>TEREA KRETEK S50 PRI 20 SLI</t>
  </si>
  <si>
    <t>108046</t>
  </si>
  <si>
    <t>7622100467229</t>
  </si>
  <si>
    <t>TEREA KRETEK MULBERRY</t>
  </si>
  <si>
    <t>TEREA KRETEK MULBERRY MNT S50 PRI 20 SLI</t>
  </si>
  <si>
    <t>107092</t>
  </si>
  <si>
    <t>9555277316633</t>
  </si>
  <si>
    <t>TEREA LEMON</t>
  </si>
  <si>
    <t>107392</t>
  </si>
  <si>
    <t>7622100701064</t>
  </si>
  <si>
    <t>TEREA PASSION FRUIT</t>
  </si>
  <si>
    <t>TEREA PASSION FRUIT CAPSULE</t>
  </si>
  <si>
    <t>108285</t>
  </si>
  <si>
    <t>7622100467465</t>
  </si>
  <si>
    <t>TEREA RASPBERRY ROSE</t>
  </si>
  <si>
    <t>TEREA RRC MNT S50 PRI 20 SLI</t>
  </si>
  <si>
    <t>107075</t>
  </si>
  <si>
    <t>9555277310570</t>
  </si>
  <si>
    <t>TEREA RUSSET</t>
  </si>
  <si>
    <t>TEREA RUSSSET</t>
  </si>
  <si>
    <t>107091</t>
  </si>
  <si>
    <t>9555277316602</t>
  </si>
  <si>
    <t>TEREA SIENNA</t>
  </si>
  <si>
    <t>107775</t>
  </si>
  <si>
    <t>7622100702672</t>
  </si>
  <si>
    <t>TEREA STRAWBERRY BASIL</t>
  </si>
  <si>
    <t>TEREA STRAWBERRY BASIL CAPSULE</t>
  </si>
  <si>
    <t>107090</t>
  </si>
  <si>
    <t>9555277316572</t>
  </si>
  <si>
    <t>TEREA TURQUOISE</t>
  </si>
  <si>
    <t>107391</t>
  </si>
  <si>
    <t>7622100701019</t>
  </si>
  <si>
    <t>TEREA WATERMELON</t>
  </si>
  <si>
    <t>TEREA WATERMELON CAPSULE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</si>
</sst>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yyyy"/>
  </numFmts>
  <fonts count="17" x14ac:knownFonts="1">
    <font>
      <sz val="11"/>
      <color theme="1"/>
      <name val="Calibri"/>
      <family val="2"/>
      <scheme val="minor"/>
    </font>
    <font>
      <b/>
      <sz val="16"/>
      <color rgb="FF1F2A44"/>
      <name val="Calibri"/>
      <family val="2"/>
    </font>
    <font>
      <sz val="10"/>
      <color rgb="FF1F2A44"/>
      <name val="Calibri"/>
      <family val="2"/>
    </font>
    <font>
      <b/>
      <sz val="12"/>
      <color rgb="FF1F4E79"/>
      <name val="Calibri"/>
      <family val="2"/>
    </font>
    <font>
      <b/>
      <sz val="11"/>
      <name val="Calibri"/>
      <family val="2"/>
    </font>
    <font>
      <b/>
      <sz val="9"/>
      <color rgb="FF8A94A6"/>
      <name val="Calibri"/>
      <family val="2"/>
    </font>
    <font>
      <b/>
      <sz val="18"/>
      <color rgb="FF1F2A44"/>
      <name val="Calibri"/>
      <family val="2"/>
    </font>
    <font>
      <b/>
      <sz val="10"/>
      <color rgb="FF8A94A6"/>
      <name val="Calibri"/>
      <family val="2"/>
    </font>
    <font>
      <b/>
      <sz val="9"/>
      <color rgb="FF8A94A6"/>
      <name val="Calibri"/>
      <family val="2"/>
    </font>
    <font>
      <b/>
      <sz val="10"/>
      <color rgb="FF1F2A44"/>
      <name val="Calibri"/>
      <family val="2"/>
    </font>
    <font>
      <b/>
      <sz val="14"/>
      <color rgb="FF1F4E79"/>
      <name val="Calibri"/>
      <family val="2"/>
    </font>
    <font>
      <b/>
      <sz val="11"/>
      <color rgb="FF1F2A44"/>
      <name val="Calibri"/>
      <family val="2"/>
    </font>
    <font>
      <b/>
      <sz val="14"/>
      <color rgb="FF1F2A44"/>
      <name val="Calibri"/>
      <family val="2"/>
    </font>
    <font>
      <b/>
      <sz val="10"/>
      <color rgb="FF9A6500"/>
      <name val="Calibri"/>
      <family val="2"/>
    </font>
    <font>
      <b/>
      <sz val="10"/>
      <color rgb="FFFFFFFF"/>
      <name val="Calibri"/>
      <family val="2"/>
    </font>
    <font>
      <sz val="9"/>
      <color rgb="FF8A94A6"/>
      <name val="Consolas"/>
      <family val="2"/>
    </font>
    <font>
      <i/>
      <sz val="9"/>
      <color rgb="FF8A94A6"/>
      <name val="Calibri"/>
      <family val="2"/>
    </font>
  </fonts>
  <fills count="6">
    <fill>
      <patternFill patternType="none"/>
    </fill>
    <fill>
      <patternFill patternType="gray125"/>
    </fill>
    <fill>
      <patternFill patternType="solid">
        <fgColor rgb="FFEAF1FB"/>
      </patternFill>
    </fill>
    <fill>
      <patternFill patternType="solid">
        <fgColor rgb="FFFEF5E7"/>
      </patternFill>
    </fill>
    <fill>
      <patternFill patternType="solid">
        <fgColor rgb="FF0F1B3D"/>
      </patternFill>
    </fill>
    <fill>
      <patternFill patternType="solid">
        <fgColor rgb="FFF4F6FA"/>
      </patternFill>
    </fill>
  </fills>
  <borders count="3">
    <border>
      <left/>
      <right/>
      <top/>
      <bottom/>
      <diagonal/>
    </border>
    <border>
      <left/>
      <right/>
      <top/>
      <bottom style="thin">
        <color rgb="FFD6DBE4"/>
      </bottom>
      <diagonal/>
    </border>
    <border>
      <left style="thin">
        <color rgb="FFD6DBE4"/>
      </left>
      <right style="thin">
        <color rgb="FFD6DBE4"/>
      </right>
      <top style="thin">
        <color rgb="FFD6DBE4"/>
      </top>
      <bottom style="thin">
        <color rgb="FFD6DBE4"/>
      </bottom>
      <diagonal/>
    </border>
  </borders>
  <cellStyleXfs count="1">
    <xf numFmtId="0" fontId="0" fillId="0" borderId="0"/>
  </cellStyleXfs>
  <cellXfs count="35">
    <xf numFmtId="0" fontId="0" fillId="0" borderId="0" xfId="0"/>
    <xf numFmtId="0" fontId="8" fillId="0" borderId="0" xfId="0" applyFont="1" applyAlignment="1">
      <alignment horizontal="left"/>
    </xf>
    <xf numFmtId="0" fontId="9" fillId="0" borderId="0" xfId="0" applyFont="1" applyAlignment="1">
      <alignment horizontal="left" vertical="center"/>
    </xf>
    <xf numFmtId="164" fontId="10" fillId="2" borderId="2" xfId="0" applyNumberFormat="1" applyFont="1" applyFill="1" applyBorder="1" applyAlignment="1">
      <alignment horizontal="left" vertical="center"/>
    </xf>
    <xf numFmtId="164" fontId="11" fillId="0" borderId="0" xfId="0" applyNumberFormat="1" applyFont="1" applyAlignment="1">
      <alignment horizontal="left" vertical="center"/>
    </xf>
    <xf numFmtId="0" fontId="11" fillId="0" borderId="0" xfId="0" applyFont="1" applyAlignment="1">
      <alignment horizontal="left" vertical="center"/>
    </xf>
    <xf numFmtId="3" fontId="11" fillId="0" borderId="0" xfId="0" applyNumberFormat="1" applyFont="1" applyAlignment="1">
      <alignment horizontal="left" vertical="center"/>
    </xf>
    <xf numFmtId="3" fontId="12" fillId="0" borderId="0" xfId="0" applyNumberFormat="1" applyFont="1" applyAlignment="1">
      <alignment horizontal="left" vertical="center"/>
    </xf>
    <xf numFmtId="4" fontId="12" fillId="0" borderId="0" xfId="0" applyNumberFormat="1" applyFont="1" applyAlignment="1">
      <alignment horizontal="left" vertical="center"/>
    </xf>
    <xf numFmtId="0" fontId="14" fillId="4" borderId="2" xfId="0" applyFont="1" applyFill="1" applyBorder="1" applyAlignment="1">
      <alignment horizontal="left" vertical="center" wrapText="1"/>
    </xf>
    <xf numFmtId="0" fontId="14" fillId="4" borderId="2" xfId="0" applyFont="1" applyFill="1" applyBorder="1" applyAlignment="1">
      <alignment horizontal="right" vertical="center" wrapText="1"/>
    </xf>
    <xf numFmtId="0" fontId="2" fillId="5" borderId="2" xfId="0" applyFont="1" applyFill="1" applyBorder="1" applyAlignment="1">
      <alignment horizontal="left" vertical="center"/>
    </xf>
    <xf numFmtId="3" fontId="2" fillId="5" borderId="2" xfId="0" applyNumberFormat="1" applyFont="1" applyFill="1" applyBorder="1" applyAlignment="1">
      <alignment horizontal="right" vertical="center"/>
    </xf>
    <xf numFmtId="3" fontId="9" fillId="5" borderId="2" xfId="0" applyNumberFormat="1" applyFont="1" applyFill="1" applyBorder="1" applyAlignment="1">
      <alignment horizontal="right" vertical="center"/>
    </xf>
    <xf numFmtId="4" fontId="2" fillId="5" borderId="2" xfId="0" applyNumberFormat="1" applyFont="1" applyFill="1" applyBorder="1" applyAlignment="1">
      <alignment horizontal="right" vertical="center"/>
    </xf>
    <xf numFmtId="0" fontId="15" fillId="5" borderId="2" xfId="0" applyFont="1" applyFill="1" applyBorder="1" applyAlignment="1">
      <alignment horizontal="left" vertical="center"/>
    </xf>
    <xf numFmtId="0" fontId="2" fillId="0" borderId="2" xfId="0" applyFont="1" applyBorder="1" applyAlignment="1">
      <alignment horizontal="left" vertical="center"/>
    </xf>
    <xf numFmtId="3" fontId="2" fillId="0" borderId="2" xfId="0" applyNumberFormat="1" applyFont="1" applyBorder="1" applyAlignment="1">
      <alignment horizontal="right" vertical="center"/>
    </xf>
    <xf numFmtId="3" fontId="9" fillId="0" borderId="2" xfId="0" applyNumberFormat="1" applyFont="1" applyBorder="1" applyAlignment="1">
      <alignment horizontal="right" vertical="center"/>
    </xf>
    <xf numFmtId="4" fontId="2" fillId="0" borderId="2" xfId="0" applyNumberFormat="1" applyFont="1" applyBorder="1" applyAlignment="1">
      <alignment horizontal="right" vertical="center"/>
    </xf>
    <xf numFmtId="0" fontId="15" fillId="0" borderId="2" xfId="0" applyFont="1" applyBorder="1" applyAlignment="1">
      <alignment horizontal="left" vertical="center"/>
    </xf>
    <xf numFmtId="0" fontId="1" fillId="0" borderId="0" xfId="0" applyFont="1"/>
    <xf numFmtId="0" fontId="14" fillId="4" borderId="2" xfId="0" applyFont="1" applyFill="1" applyBorder="1" applyAlignment="1">
      <alignment horizontal="center" vertical="center" wrapText="1"/>
    </xf>
    <xf numFmtId="0" fontId="2" fillId="0" borderId="0" xfId="0" applyFont="1" applyAlignment="1">
      <alignment vertical="top" wrapText="1"/>
    </xf>
    <xf numFmtId="0" fontId="3" fillId="0" borderId="1" xfId="0" applyFont="1" applyBorder="1"/>
    <xf numFmtId="0" fontId="4" fillId="0" borderId="0" xfId="0" applyFont="1"/>
    <xf numFmtId="0" fontId="5" fillId="0" borderId="0" xfId="0" applyFont="1"/>
    <xf numFmtId="164" fontId="0" fillId="0" borderId="0" xfId="0" applyNumberFormat="1"/>
    <xf numFmtId="14" fontId="0" fillId="0" borderId="0" xfId="0" applyNumberFormat="1"/>
    <xf numFmtId="0" fontId="7" fillId="0" borderId="0" xfId="0" applyFont="1" applyAlignment="1">
      <alignment horizontal="right"/>
    </xf>
    <xf numFmtId="0" fontId="0" fillId="0" borderId="0" xfId="0"/>
    <xf numFmtId="0" fontId="6" fillId="0" borderId="0" xfId="0" applyFont="1"/>
    <xf numFmtId="0" fontId="13" fillId="3" borderId="0" xfId="0" applyFont="1" applyFill="1" applyAlignment="1">
      <alignment horizontal="left" vertical="center" wrapText="1"/>
    </xf>
    <xf numFmtId="0" fontId="16" fillId="0" borderId="0" xfId="0" applyFont="1"/>
    <xf numFmtId="0" fontId="0" fillId="0" borderId="0" xfId="0" applyNumberFormat="1"/>
  </cellXfs>
  <cellStyles count="1">
    <cellStyle name="Normal" xfId="0" builtinId="0"/>
  </cellStyles>
  <dxfs count="26">
    <dxf>
      <numFmt numFmtId="19" formatCode="m/d/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font>
        <b/>
        <sz val="10"/>
        <color rgb="FFC0392B"/>
        <name val="Calibri"/>
      </font>
    </dxf>
    <dxf>
      <font>
        <b/>
        <sz val="10"/>
        <color rgb="FF96281B"/>
        <name val="Calibri"/>
      </font>
      <fill>
        <patternFill patternType="solid">
          <fgColor rgb="FFFDEDEC"/>
          <bgColor rgb="FFFDEDEC"/>
        </patternFill>
      </fill>
    </dxf>
    <dxf>
      <font>
        <b/>
        <sz val="10"/>
        <color rgb="FF7B241C"/>
        <name val="Calibri"/>
      </font>
      <fill>
        <patternFill patternType="solid">
          <fgColor rgb="FFF5B7B1"/>
          <bgColor rgb="FFF5B7B1"/>
        </patternFill>
      </fill>
    </dxf>
    <dxf>
      <font>
        <sz val="10"/>
        <color rgb="FF8A94A6"/>
        <name val="Calibri"/>
      </font>
    </dxf>
    <dxf>
      <font>
        <b/>
        <sz val="10"/>
        <color rgb="FFC0392B"/>
        <name val="Calibri"/>
      </font>
    </dxf>
    <dxf>
      <font>
        <b/>
        <sz val="10"/>
        <color rgb="FF96281B"/>
        <name val="Calibri"/>
      </font>
      <fill>
        <patternFill patternType="solid">
          <fgColor rgb="FFFDEDEC"/>
          <bgColor rgb="FFFDEDEC"/>
        </patternFill>
      </fill>
    </dxf>
    <dxf>
      <font>
        <b/>
        <sz val="10"/>
        <color rgb="FF7B241C"/>
        <name val="Calibri"/>
      </font>
      <fill>
        <patternFill patternType="solid">
          <fgColor rgb="FFF5B7B1"/>
          <bgColor rgb="FFF5B7B1"/>
        </patternFill>
      </fill>
    </dxf>
    <dxf>
      <font>
        <sz val="10"/>
        <color rgb="FF8A94A6"/>
        <name val="Calibri"/>
      </font>
    </dxf>
    <dxf>
      <numFmt numFmtId="19" formatCode="m/d/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E4BB8E40-2632-BC41-B363-8FCC94D1A240}" autoFormatId="16" applyNumberFormats="0" applyBorderFormats="0" applyFontFormats="0" applyPatternFormats="0" applyAlignmentFormats="0" applyWidthHeightFormats="0">
  <queryTableRefresh nextId="23">
    <queryTableFields count="22">
      <queryTableField id="1" name="branch_id" tableColumnId="1"/>
      <queryTableField id="2" name="count_date" tableColumnId="2"/>
      <queryTableField id="3" name="shift" tableColumnId="3"/>
      <queryTableField id="4" name="staff_name" tableColumnId="4"/>
      <queryTableField id="5" name="product_id" tableColumnId="5"/>
      <queryTableField id="6" name="plu" tableColumnId="6"/>
      <queryTableField id="7" name="short_name" tableColumnId="7"/>
      <queryTableField id="8" name="pos_description" tableColumnId="8"/>
      <queryTableField id="9" name="opening_packs" tableColumnId="9"/>
      <queryTableField id="10" name="add_in" tableColumnId="10"/>
      <queryTableField id="11" name="closing_packs" tableColumnId="11"/>
      <queryTableField id="12" name="sold_physical" tableColumnId="12"/>
      <queryTableField id="13" name="sold_pos" tableColumnId="13"/>
      <queryTableField id="14" name="variance_packs" tableColumnId="14"/>
      <queryTableField id="15" name="opening_date" tableColumnId="15"/>
      <queryTableField id="16" name="unit_price_used" tableColumnId="16"/>
      <queryTableField id="17" name="variance_rm" tableColumnId="17"/>
      <queryTableField id="18" name="abs_variance" tableColumnId="18"/>
      <queryTableField id="19" name="rank" tableColumnId="19"/>
      <queryTableField id="20" name="day_no" tableColumnId="20"/>
      <queryTableField id="21" name="prod_no" tableColumnId="21"/>
      <queryTableField id="22" name="row_key" tableColumnId="2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C929FADE-01A2-E44F-BBCF-C83EA59F096D}" autoFormatId="16" applyNumberFormats="0" applyBorderFormats="0" applyFontFormats="0" applyPatternFormats="0" applyAlignmentFormats="0" applyWidthHeightFormats="0">
  <queryTableRefresh nextId="23">
    <queryTableFields count="22">
      <queryTableField id="1" name="branch_id" tableColumnId="1"/>
      <queryTableField id="2" name="count_date" tableColumnId="2"/>
      <queryTableField id="3" name="shift" tableColumnId="3"/>
      <queryTableField id="4" name="staff_name" tableColumnId="4"/>
      <queryTableField id="5" name="product_id" tableColumnId="5"/>
      <queryTableField id="6" name="plu" tableColumnId="6"/>
      <queryTableField id="7" name="short_name" tableColumnId="7"/>
      <queryTableField id="8" name="pos_description" tableColumnId="8"/>
      <queryTableField id="9" name="opening_packs" tableColumnId="9"/>
      <queryTableField id="10" name="add_in" tableColumnId="10"/>
      <queryTableField id="11" name="closing_packs" tableColumnId="11"/>
      <queryTableField id="12" name="sold_physical" tableColumnId="12"/>
      <queryTableField id="13" name="sold_pos" tableColumnId="13"/>
      <queryTableField id="14" name="variance_packs" tableColumnId="14"/>
      <queryTableField id="15" name="opening_date" tableColumnId="15"/>
      <queryTableField id="16" name="unit_price_used" tableColumnId="16"/>
      <queryTableField id="17" name="variance_rm" tableColumnId="17"/>
      <queryTableField id="18" name="abs_variance" tableColumnId="18"/>
      <queryTableField id="19" name="rank" tableColumnId="19"/>
      <queryTableField id="20" name="day_no" tableColumnId="20"/>
      <queryTableField id="21" name="prod_no" tableColumnId="21"/>
      <queryTableField id="22" name="row_key" tableColumnId="2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D361317-3343-8D47-A85D-13DA4090CE05}" name="Counts" displayName="Counts" ref="A1:V982" tableType="queryTable" totalsRowShown="0">
  <autoFilter ref="A1:V982" xr:uid="{4D361317-3343-8D47-A85D-13DA4090CE05}"/>
  <tableColumns count="22">
    <tableColumn id="1" xr3:uid="{E6770913-F36A-5147-874F-0F37526FC934}" uniqueName="1" name="branch_id" queryTableFieldId="1" dataDxfId="8"/>
    <tableColumn id="2" xr3:uid="{0E7062D1-6A95-7F4E-A239-BB804A466D35}" uniqueName="2" name="count_date" queryTableFieldId="2" dataDxfId="7"/>
    <tableColumn id="3" xr3:uid="{DED37B44-19A7-FB44-AE55-14D2D97E97B9}" uniqueName="3" name="shift" queryTableFieldId="3" dataDxfId="6"/>
    <tableColumn id="4" xr3:uid="{1EA3940F-7F0E-584B-966B-8A53BA75168E}" uniqueName="4" name="staff_name" queryTableFieldId="4" dataDxfId="5"/>
    <tableColumn id="5" xr3:uid="{A3FCE9D4-DFD6-7C4E-9000-96C4FD1A9D94}" uniqueName="5" name="product_id" queryTableFieldId="5" dataDxfId="4"/>
    <tableColumn id="6" xr3:uid="{6473B438-97C0-3A47-967B-A2A4FE0A0898}" uniqueName="6" name="plu" queryTableFieldId="6" dataDxfId="3"/>
    <tableColumn id="7" xr3:uid="{47665B4D-6973-1A4C-980C-4EBD0A6FB73D}" uniqueName="7" name="short_name" queryTableFieldId="7" dataDxfId="2"/>
    <tableColumn id="8" xr3:uid="{E86D7A2D-52B6-574B-A1EE-37C12639CDC3}" uniqueName="8" name="pos_description" queryTableFieldId="8" dataDxfId="1"/>
    <tableColumn id="9" xr3:uid="{88BFB4FE-7347-0B48-AD5F-13506C767D2A}" uniqueName="9" name="opening_packs" queryTableFieldId="9"/>
    <tableColumn id="10" xr3:uid="{0FA63DCB-4069-6140-8285-E1F3693C21FB}" uniqueName="10" name="add_in" queryTableFieldId="10"/>
    <tableColumn id="11" xr3:uid="{F357A32B-1B5C-D849-A912-8B2C9C0C09AB}" uniqueName="11" name="closing_packs" queryTableFieldId="11"/>
    <tableColumn id="12" xr3:uid="{0DC489D6-A4A8-F34D-BE9D-F8F1F1A44D27}" uniqueName="12" name="sold_physical" queryTableFieldId="12"/>
    <tableColumn id="13" xr3:uid="{0E05AF07-D85E-B54C-A747-C3FBC6AFCE84}" uniqueName="13" name="sold_pos" queryTableFieldId="13"/>
    <tableColumn id="14" xr3:uid="{B6B996FE-60A5-C14A-A709-D2DBF603CACA}" uniqueName="14" name="variance_packs" queryTableFieldId="14"/>
    <tableColumn id="15" xr3:uid="{B7FCC0B1-6606-2040-A4D0-ADA06CD68C4E}" uniqueName="15" name="opening_date" queryTableFieldId="15" dataDxfId="0"/>
    <tableColumn id="16" xr3:uid="{13EEF5BA-BF72-A04D-9F75-40A8B5F2D0A8}" uniqueName="16" name="unit_price_used" queryTableFieldId="16"/>
    <tableColumn id="17" xr3:uid="{2A33B11B-DED1-8244-8CDE-57E950FE6FCD}" uniqueName="17" name="variance_rm" queryTableFieldId="17"/>
    <tableColumn id="18" xr3:uid="{20C85CDC-ECFC-4246-BB03-05BF793D62F0}" uniqueName="18" name="abs_variance" queryTableFieldId="18"/>
    <tableColumn id="19" xr3:uid="{C25259B6-281E-0449-B6C5-B120EF203481}" uniqueName="19" name="rank" queryTableFieldId="19"/>
    <tableColumn id="20" xr3:uid="{53710F8A-6E26-0A4D-842E-692B529A80A5}" uniqueName="20" name="day_no" queryTableFieldId="20"/>
    <tableColumn id="21" xr3:uid="{645678DC-DF99-114B-AB80-B7377AC16573}" uniqueName="21" name="prod_no" queryTableFieldId="21"/>
    <tableColumn id="22" xr3:uid="{E2E10614-1C4E-4A46-A4EB-E9AB812AF241}" uniqueName="22" name="row_key" queryTableFieldId="2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D2BBA4F-990C-F142-9A3E-44D0A7CA998D}" name="Counts3" displayName="Counts3" ref="A1:V982" tableType="queryTable" totalsRowShown="0">
  <autoFilter ref="A1:V982" xr:uid="{CD2BBA4F-990C-F142-9A3E-44D0A7CA998D}"/>
  <tableColumns count="22">
    <tableColumn id="1" xr3:uid="{D4F72BE6-AB9A-5142-A565-9F2330C5636B}" uniqueName="1" name="branch_id" queryTableFieldId="1" dataDxfId="25"/>
    <tableColumn id="2" xr3:uid="{222B58B7-0086-0A43-B5D9-693C88014D2E}" uniqueName="2" name="count_date" queryTableFieldId="2" dataDxfId="24"/>
    <tableColumn id="3" xr3:uid="{625CE7B2-EE97-A54C-A9AF-B27D0E9321E2}" uniqueName="3" name="shift" queryTableFieldId="3" dataDxfId="23"/>
    <tableColumn id="4" xr3:uid="{1AEB49EE-CF14-C243-9A6A-AECBE5722123}" uniqueName="4" name="staff_name" queryTableFieldId="4" dataDxfId="22"/>
    <tableColumn id="5" xr3:uid="{A1DE9150-3EA2-7C42-BC61-C97F2488D9A4}" uniqueName="5" name="product_id" queryTableFieldId="5" dataDxfId="21"/>
    <tableColumn id="6" xr3:uid="{0D1ABB52-9AF4-784B-82D9-9D906EFA933A}" uniqueName="6" name="plu" queryTableFieldId="6" dataDxfId="20"/>
    <tableColumn id="7" xr3:uid="{6CDFFAD2-0FF8-314B-9903-AB472DD71B68}" uniqueName="7" name="short_name" queryTableFieldId="7" dataDxfId="19"/>
    <tableColumn id="8" xr3:uid="{5E20281D-1E14-FD46-8143-7D47196BE6DF}" uniqueName="8" name="pos_description" queryTableFieldId="8" dataDxfId="18"/>
    <tableColumn id="9" xr3:uid="{F897DEF8-2DC1-2F40-820A-D9C87297677C}" uniqueName="9" name="opening_packs" queryTableFieldId="9"/>
    <tableColumn id="10" xr3:uid="{822C20E0-A7EB-3946-B32E-7AD09D87F273}" uniqueName="10" name="add_in" queryTableFieldId="10"/>
    <tableColumn id="11" xr3:uid="{5CB9F9D8-7E22-2B43-8171-91EED58AFB48}" uniqueName="11" name="closing_packs" queryTableFieldId="11"/>
    <tableColumn id="12" xr3:uid="{40F2C7A0-E736-EC46-A0BA-DC3C96D7CAE5}" uniqueName="12" name="sold_physical" queryTableFieldId="12"/>
    <tableColumn id="13" xr3:uid="{7CFD6CD3-CD53-7C4C-B743-185987A34444}" uniqueName="13" name="sold_pos" queryTableFieldId="13"/>
    <tableColumn id="14" xr3:uid="{022F9B89-EACE-6849-818A-2D908F9E1EDE}" uniqueName="14" name="variance_packs" queryTableFieldId="14"/>
    <tableColumn id="15" xr3:uid="{2F37AFDC-56C3-7648-BBD0-DA04B8A3D622}" uniqueName="15" name="opening_date" queryTableFieldId="15" dataDxfId="17"/>
    <tableColumn id="16" xr3:uid="{279325A9-EF11-DF49-BFD9-1AB964E4E405}" uniqueName="16" name="unit_price_used" queryTableFieldId="16"/>
    <tableColumn id="17" xr3:uid="{F950D341-340D-2E42-BF3F-F81537C1E565}" uniqueName="17" name="variance_rm" queryTableFieldId="17"/>
    <tableColumn id="18" xr3:uid="{58A3E04F-D916-644F-8904-C12E0F88D076}" uniqueName="18" name="abs_variance" queryTableFieldId="18"/>
    <tableColumn id="19" xr3:uid="{77A710F7-9B6E-3547-88BE-595BE213F253}" uniqueName="19" name="rank" queryTableFieldId="19"/>
    <tableColumn id="20" xr3:uid="{00C2588E-A8F3-AA4D-AC1E-0F75FBB3985A}" uniqueName="20" name="day_no" queryTableFieldId="20"/>
    <tableColumn id="21" xr3:uid="{5BA6D03A-FEFA-5F40-A361-55E9680FDD7B}" uniqueName="21" name="prod_no" queryTableFieldId="21"/>
    <tableColumn id="22" xr3:uid="{F4F5093B-74FD-1A4A-BCFA-16231F1E6103}" uniqueName="22" name="row_key" queryTableFieldId="2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79"/>
  <sheetViews>
    <sheetView tabSelected="1" zoomScale="150" workbookViewId="0">
      <pane ySplit="9" topLeftCell="A10" activePane="bottomLeft" state="frozen"/>
      <selection pane="bottomLeft" activeCell="B3" sqref="B3"/>
    </sheetView>
  </sheetViews>
  <sheetFormatPr baseColWidth="10" defaultColWidth="8.83203125" defaultRowHeight="15" x14ac:dyDescent="0.2"/>
  <cols>
    <col min="1" max="1" width="30" customWidth="1"/>
    <col min="2" max="2" width="12.83203125" bestFit="1" customWidth="1"/>
    <col min="3" max="3" width="10" customWidth="1"/>
    <col min="4" max="4" width="11" customWidth="1"/>
    <col min="5" max="5" width="15" customWidth="1"/>
    <col min="6" max="6" width="13" customWidth="1"/>
    <col min="7" max="7" width="11" customWidth="1"/>
    <col min="8" max="8" width="13" customWidth="1"/>
    <col min="9" max="9" width="10" customWidth="1"/>
    <col min="10" max="10" width="15" customWidth="1"/>
    <col min="12" max="12" width="13" hidden="1" customWidth="1"/>
  </cols>
  <sheetData>
    <row r="1" spans="1:12" ht="24" x14ac:dyDescent="0.3">
      <c r="A1" s="31" t="s">
        <v>0</v>
      </c>
      <c r="B1" s="30"/>
      <c r="C1" s="30"/>
      <c r="D1" s="30"/>
      <c r="F1" s="29" t="str">
        <f>IF(COUNT(Data!$T:$T)=0,"Data sheet is empty — attach the query","Safari · "&amp;COUNT(Calc!$B$3:$B$62)&amp;" days loaded, latest "&amp;TEXT(MAX(Data!$B:$B),"dd mmm yyyy"))</f>
        <v>Safari · 17 days loaded, latest 28 Sep 2026</v>
      </c>
      <c r="G1" s="30"/>
      <c r="H1" s="30"/>
      <c r="I1" s="30"/>
      <c r="J1" s="30"/>
      <c r="L1">
        <f>IFERROR(MATCH($B$3,Calc!$B$3:$B$62,0),"")</f>
        <v>1</v>
      </c>
    </row>
    <row r="2" spans="1:12" x14ac:dyDescent="0.2">
      <c r="A2" s="1" t="s">
        <v>1</v>
      </c>
      <c r="D2" s="1" t="s">
        <v>2</v>
      </c>
      <c r="F2" s="1" t="s">
        <v>3</v>
      </c>
      <c r="H2" s="1" t="s">
        <v>4</v>
      </c>
    </row>
    <row r="3" spans="1:12" ht="19" x14ac:dyDescent="0.2">
      <c r="A3" s="2" t="s">
        <v>5</v>
      </c>
      <c r="B3" s="3">
        <v>46293</v>
      </c>
      <c r="D3" s="4">
        <f>IF($L$1="","—",IF(INDEX(Calc!$D$3:$D$62,$L$1)="","—",INDEX(Calc!$D$3:$D$62,$L$1)))</f>
        <v>46292</v>
      </c>
      <c r="F3" s="5" t="str">
        <f>IF($L$1="","—",IF(INDEX(Calc!$C$3:$C$62,$L$1)="","—",INDEX(Calc!$C$3:$C$62,$L$1)))</f>
        <v>Luqman</v>
      </c>
      <c r="H3" s="6">
        <f>IF($L$1="","—",IF(INDEX(Calc!$E$3:$E$62,$L$1)="","—",INDEX(Calc!$E$3:$E$62,$L$1)))</f>
        <v>75</v>
      </c>
    </row>
    <row r="5" spans="1:12" x14ac:dyDescent="0.2">
      <c r="A5" s="1" t="s">
        <v>6</v>
      </c>
      <c r="D5" s="1" t="s">
        <v>7</v>
      </c>
      <c r="F5" s="1" t="s">
        <v>8</v>
      </c>
      <c r="H5" s="1" t="s">
        <v>9</v>
      </c>
    </row>
    <row r="6" spans="1:12" ht="19" x14ac:dyDescent="0.2">
      <c r="A6" s="7" t="str">
        <f>IF($L$1="","—",IF(INDEX(Calc!$H$3:$H$62,$L$1)="","—",INDEX(Calc!$H$3:$H$62,$L$1)))</f>
        <v>—</v>
      </c>
      <c r="D6" s="7" t="str">
        <f>IF($L$1="","—",IF(INDEX(Calc!$I$3:$I$62,$L$1)="","—",INDEX(Calc!$I$3:$I$62,$L$1)))</f>
        <v>—</v>
      </c>
      <c r="F6" s="8" t="str">
        <f>IF($L$1="","—",IF(INDEX(Calc!$K$3:$K$62,$L$1)="","—",INDEX(Calc!$K$3:$K$62,$L$1)))</f>
        <v>—</v>
      </c>
      <c r="H6" s="5" t="str">
        <f>IF($L$1="","—",IF(INDEX(Calc!$M$3:$M$62,$L$1)="","—",INDEX(Calc!$M$3:$M$62,$L$1)))</f>
        <v>not loaded</v>
      </c>
    </row>
    <row r="7" spans="1:12" ht="32" customHeight="1" x14ac:dyDescent="0.2">
      <c r="A7" s="32" t="str">
        <f>IF(COUNT(Data!$T:$T)=0,"No data yet — follow the Setup sheet to attach the query, once.",IF($L$1="","—",IF(INDEX(Calc!$O$3:$O$62,$L$1)="","—",INDEX(Calc!$O$3:$O$62,$L$1))))</f>
        <v>No POS sales have been loaded for this date, so variance cannot be worked out. Import the sales report for this day and it fills in.</v>
      </c>
      <c r="B7" s="30"/>
      <c r="C7" s="30"/>
      <c r="D7" s="30"/>
      <c r="E7" s="30"/>
      <c r="F7" s="30"/>
      <c r="G7" s="30"/>
      <c r="H7" s="30"/>
      <c r="I7" s="30"/>
      <c r="J7" s="30"/>
    </row>
    <row r="9" spans="1:12" ht="28" customHeight="1" x14ac:dyDescent="0.2">
      <c r="A9" s="9" t="s">
        <v>10</v>
      </c>
      <c r="B9" s="10" t="s">
        <v>11</v>
      </c>
      <c r="C9" s="10" t="s">
        <v>12</v>
      </c>
      <c r="D9" s="10" t="s">
        <v>13</v>
      </c>
      <c r="E9" s="10" t="s">
        <v>14</v>
      </c>
      <c r="F9" s="10" t="s">
        <v>15</v>
      </c>
      <c r="G9" s="10" t="s">
        <v>16</v>
      </c>
      <c r="H9" s="10" t="s">
        <v>17</v>
      </c>
      <c r="I9" s="9" t="s">
        <v>18</v>
      </c>
      <c r="J9" s="9" t="s">
        <v>19</v>
      </c>
    </row>
    <row r="10" spans="1:12" x14ac:dyDescent="0.2">
      <c r="A10" s="11" t="str">
        <f>IF(AND(ISNUMBER($L10),$L10&lt;&gt;""),INDEX(Data!$G:$G,$L10),"")</f>
        <v>Benson &amp; Hedges</v>
      </c>
      <c r="B10" s="12">
        <f>IF(AND(ISNUMBER($L10),$L10&lt;&gt;""),IF(INDEX(Data!$I:$I,$L10)="","—",INDEX(Data!$I:$I,$L10)),"")</f>
        <v>7</v>
      </c>
      <c r="C10" s="12">
        <f>IF(AND(ISNUMBER($L10),$L10&lt;&gt;""),INDEX(Data!$J:$J,$L10),"")</f>
        <v>0</v>
      </c>
      <c r="D10" s="12">
        <f>IF(AND(ISNUMBER($L10),$L10&lt;&gt;""),INDEX(Data!$K:$K,$L10),"")</f>
        <v>7</v>
      </c>
      <c r="E10" s="12">
        <f>IF(AND(ISNUMBER($L10),$L10&lt;&gt;""),IF(INDEX(Data!$L:$L,$L10)="","—",INDEX(Data!$L:$L,$L10)),"")</f>
        <v>0</v>
      </c>
      <c r="F10" s="12" t="str">
        <f>IF(AND(ISNUMBER($L10),$L10&lt;&gt;""),IF(INDEX(Data!$M:$M,$L10)="","—",INDEX(Data!$M:$M,$L10)),"")</f>
        <v>—</v>
      </c>
      <c r="G10" s="13" t="str">
        <f>IF(AND(ISNUMBER($L10),$L10&lt;&gt;""),IF(INDEX(Data!$N:$N,$L10)="","—",INDEX(Data!$N:$N,$L10)),"")</f>
        <v>—</v>
      </c>
      <c r="H10" s="14" t="str">
        <f>IF(AND(ISNUMBER($L10),$L10&lt;&gt;""),IF(INDEX(Data!$Q:$Q,$L10)="","—",INDEX(Data!$Q:$Q,$L10)),"")</f>
        <v>—</v>
      </c>
      <c r="I10" s="15" t="str">
        <f>IF(AND(ISNUMBER($L10),$L10&lt;&gt;""),INDEX(Data!$E:$E,$L10),"")</f>
        <v>100144</v>
      </c>
      <c r="J10" s="15" t="str">
        <f>IF(AND(ISNUMBER($L10),$L10&lt;&gt;""),INDEX(Data!$F:$F,$L10),"")</f>
        <v>95502397</v>
      </c>
      <c r="L10">
        <f>IFERROR(MATCH((YEAR($B$3)*10000+MONTH($B$3)*100+DAY($B$3))*1000+1,Data!$V:$V,0),"")</f>
        <v>908</v>
      </c>
    </row>
    <row r="11" spans="1:12" x14ac:dyDescent="0.2">
      <c r="A11" s="16" t="str">
        <f>IF(AND(ISNUMBER($L11),$L11&lt;&gt;""),INDEX(Data!$G:$G,$L11),"")</f>
        <v>Bond Light</v>
      </c>
      <c r="B11" s="17">
        <f>IF(AND(ISNUMBER($L11),$L11&lt;&gt;""),IF(INDEX(Data!$I:$I,$L11)="","—",INDEX(Data!$I:$I,$L11)),"")</f>
        <v>5</v>
      </c>
      <c r="C11" s="17">
        <f>IF(AND(ISNUMBER($L11),$L11&lt;&gt;""),INDEX(Data!$J:$J,$L11),"")</f>
        <v>0</v>
      </c>
      <c r="D11" s="17">
        <f>IF(AND(ISNUMBER($L11),$L11&lt;&gt;""),INDEX(Data!$K:$K,$L11),"")</f>
        <v>5</v>
      </c>
      <c r="E11" s="17">
        <f>IF(AND(ISNUMBER($L11),$L11&lt;&gt;""),IF(INDEX(Data!$L:$L,$L11)="","—",INDEX(Data!$L:$L,$L11)),"")</f>
        <v>0</v>
      </c>
      <c r="F11" s="17" t="str">
        <f>IF(AND(ISNUMBER($L11),$L11&lt;&gt;""),IF(INDEX(Data!$M:$M,$L11)="","—",INDEX(Data!$M:$M,$L11)),"")</f>
        <v>—</v>
      </c>
      <c r="G11" s="18" t="str">
        <f>IF(AND(ISNUMBER($L11),$L11&lt;&gt;""),IF(INDEX(Data!$N:$N,$L11)="","—",INDEX(Data!$N:$N,$L11)),"")</f>
        <v>—</v>
      </c>
      <c r="H11" s="19" t="str">
        <f>IF(AND(ISNUMBER($L11),$L11&lt;&gt;""),IF(INDEX(Data!$Q:$Q,$L11)="","—",INDEX(Data!$Q:$Q,$L11)),"")</f>
        <v>—</v>
      </c>
      <c r="I11" s="20" t="str">
        <f>IF(AND(ISNUMBER($L11),$L11&lt;&gt;""),INDEX(Data!$E:$E,$L11),"")</f>
        <v>105159</v>
      </c>
      <c r="J11" s="20" t="str">
        <f>IF(AND(ISNUMBER($L11),$L11&lt;&gt;""),INDEX(Data!$F:$F,$L11),"")</f>
        <v>9555277316275</v>
      </c>
      <c r="L11">
        <f>IFERROR(MATCH((YEAR($B$3)*10000+MONTH($B$3)*100+DAY($B$3))*1000+2,Data!$V:$V,0),"")</f>
        <v>909</v>
      </c>
    </row>
    <row r="12" spans="1:12" x14ac:dyDescent="0.2">
      <c r="A12" s="11" t="str">
        <f>IF(AND(ISNUMBER($L12),$L12&lt;&gt;""),INDEX(Data!$G:$G,$L12),"")</f>
        <v>Bond Red</v>
      </c>
      <c r="B12" s="12">
        <f>IF(AND(ISNUMBER($L12),$L12&lt;&gt;""),IF(INDEX(Data!$I:$I,$L12)="","—",INDEX(Data!$I:$I,$L12)),"")</f>
        <v>4</v>
      </c>
      <c r="C12" s="12">
        <f>IF(AND(ISNUMBER($L12),$L12&lt;&gt;""),INDEX(Data!$J:$J,$L12),"")</f>
        <v>0</v>
      </c>
      <c r="D12" s="12">
        <f>IF(AND(ISNUMBER($L12),$L12&lt;&gt;""),INDEX(Data!$K:$K,$L12),"")</f>
        <v>2</v>
      </c>
      <c r="E12" s="12">
        <f>IF(AND(ISNUMBER($L12),$L12&lt;&gt;""),IF(INDEX(Data!$L:$L,$L12)="","—",INDEX(Data!$L:$L,$L12)),"")</f>
        <v>2</v>
      </c>
      <c r="F12" s="12" t="str">
        <f>IF(AND(ISNUMBER($L12),$L12&lt;&gt;""),IF(INDEX(Data!$M:$M,$L12)="","—",INDEX(Data!$M:$M,$L12)),"")</f>
        <v>—</v>
      </c>
      <c r="G12" s="13" t="str">
        <f>IF(AND(ISNUMBER($L12),$L12&lt;&gt;""),IF(INDEX(Data!$N:$N,$L12)="","—",INDEX(Data!$N:$N,$L12)),"")</f>
        <v>—</v>
      </c>
      <c r="H12" s="14" t="str">
        <f>IF(AND(ISNUMBER($L12),$L12&lt;&gt;""),IF(INDEX(Data!$Q:$Q,$L12)="","—",INDEX(Data!$Q:$Q,$L12)),"")</f>
        <v>—</v>
      </c>
      <c r="I12" s="15" t="str">
        <f>IF(AND(ISNUMBER($L12),$L12&lt;&gt;""),INDEX(Data!$E:$E,$L12),"")</f>
        <v>105158</v>
      </c>
      <c r="J12" s="15" t="str">
        <f>IF(AND(ISNUMBER($L12),$L12&lt;&gt;""),INDEX(Data!$F:$F,$L12),"")</f>
        <v>9555277316251</v>
      </c>
      <c r="L12">
        <f>IFERROR(MATCH((YEAR($B$3)*10000+MONTH($B$3)*100+DAY($B$3))*1000+3,Data!$V:$V,0),"")</f>
        <v>910</v>
      </c>
    </row>
    <row r="13" spans="1:12" x14ac:dyDescent="0.2">
      <c r="A13" s="16" t="str">
        <f>IF(AND(ISNUMBER($L13),$L13&lt;&gt;""),INDEX(Data!$G:$G,$L13),"")</f>
        <v>Chesterfield Blue</v>
      </c>
      <c r="B13" s="17">
        <f>IF(AND(ISNUMBER($L13),$L13&lt;&gt;""),IF(INDEX(Data!$I:$I,$L13)="","—",INDEX(Data!$I:$I,$L13)),"")</f>
        <v>2</v>
      </c>
      <c r="C13" s="17">
        <f>IF(AND(ISNUMBER($L13),$L13&lt;&gt;""),INDEX(Data!$J:$J,$L13),"")</f>
        <v>0</v>
      </c>
      <c r="D13" s="17">
        <f>IF(AND(ISNUMBER($L13),$L13&lt;&gt;""),INDEX(Data!$K:$K,$L13),"")</f>
        <v>0</v>
      </c>
      <c r="E13" s="17">
        <f>IF(AND(ISNUMBER($L13),$L13&lt;&gt;""),IF(INDEX(Data!$L:$L,$L13)="","—",INDEX(Data!$L:$L,$L13)),"")</f>
        <v>2</v>
      </c>
      <c r="F13" s="17" t="str">
        <f>IF(AND(ISNUMBER($L13),$L13&lt;&gt;""),IF(INDEX(Data!$M:$M,$L13)="","—",INDEX(Data!$M:$M,$L13)),"")</f>
        <v>—</v>
      </c>
      <c r="G13" s="18" t="str">
        <f>IF(AND(ISNUMBER($L13),$L13&lt;&gt;""),IF(INDEX(Data!$N:$N,$L13)="","—",INDEX(Data!$N:$N,$L13)),"")</f>
        <v>—</v>
      </c>
      <c r="H13" s="19" t="str">
        <f>IF(AND(ISNUMBER($L13),$L13&lt;&gt;""),IF(INDEX(Data!$Q:$Q,$L13)="","—",INDEX(Data!$Q:$Q,$L13)),"")</f>
        <v>—</v>
      </c>
      <c r="I13" s="20" t="str">
        <f>IF(AND(ISNUMBER($L13),$L13&lt;&gt;""),INDEX(Data!$E:$E,$L13),"")</f>
        <v>100642</v>
      </c>
      <c r="J13" s="20" t="str">
        <f>IF(AND(ISNUMBER($L13),$L13&lt;&gt;""),INDEX(Data!$F:$F,$L13),"")</f>
        <v>88823393</v>
      </c>
      <c r="L13">
        <f>IFERROR(MATCH((YEAR($B$3)*10000+MONTH($B$3)*100+DAY($B$3))*1000+4,Data!$V:$V,0),"")</f>
        <v>911</v>
      </c>
    </row>
    <row r="14" spans="1:12" x14ac:dyDescent="0.2">
      <c r="A14" s="11" t="str">
        <f>IF(AND(ISNUMBER($L14),$L14&lt;&gt;""),INDEX(Data!$G:$G,$L14),"")</f>
        <v>Chesterfield Charcoal</v>
      </c>
      <c r="B14" s="12">
        <f>IF(AND(ISNUMBER($L14),$L14&lt;&gt;""),IF(INDEX(Data!$I:$I,$L14)="","—",INDEX(Data!$I:$I,$L14)),"")</f>
        <v>5</v>
      </c>
      <c r="C14" s="12">
        <f>IF(AND(ISNUMBER($L14),$L14&lt;&gt;""),INDEX(Data!$J:$J,$L14),"")</f>
        <v>0</v>
      </c>
      <c r="D14" s="12">
        <f>IF(AND(ISNUMBER($L14),$L14&lt;&gt;""),INDEX(Data!$K:$K,$L14),"")</f>
        <v>2</v>
      </c>
      <c r="E14" s="12">
        <f>IF(AND(ISNUMBER($L14),$L14&lt;&gt;""),IF(INDEX(Data!$L:$L,$L14)="","—",INDEX(Data!$L:$L,$L14)),"")</f>
        <v>3</v>
      </c>
      <c r="F14" s="12" t="str">
        <f>IF(AND(ISNUMBER($L14),$L14&lt;&gt;""),IF(INDEX(Data!$M:$M,$L14)="","—",INDEX(Data!$M:$M,$L14)),"")</f>
        <v>—</v>
      </c>
      <c r="G14" s="13" t="str">
        <f>IF(AND(ISNUMBER($L14),$L14&lt;&gt;""),IF(INDEX(Data!$N:$N,$L14)="","—",INDEX(Data!$N:$N,$L14)),"")</f>
        <v>—</v>
      </c>
      <c r="H14" s="14" t="str">
        <f>IF(AND(ISNUMBER($L14),$L14&lt;&gt;""),IF(INDEX(Data!$Q:$Q,$L14)="","—",INDEX(Data!$Q:$Q,$L14)),"")</f>
        <v>—</v>
      </c>
      <c r="I14" s="15" t="str">
        <f>IF(AND(ISNUMBER($L14),$L14&lt;&gt;""),INDEX(Data!$E:$E,$L14),"")</f>
        <v>103361</v>
      </c>
      <c r="J14" s="15" t="str">
        <f>IF(AND(ISNUMBER($L14),$L14&lt;&gt;""),INDEX(Data!$F:$F,$L14),"")</f>
        <v>9555277315254</v>
      </c>
      <c r="L14">
        <f>IFERROR(MATCH((YEAR($B$3)*10000+MONTH($B$3)*100+DAY($B$3))*1000+5,Data!$V:$V,0),"")</f>
        <v>912</v>
      </c>
    </row>
    <row r="15" spans="1:12" x14ac:dyDescent="0.2">
      <c r="A15" s="16" t="str">
        <f>IF(AND(ISNUMBER($L15),$L15&lt;&gt;""),INDEX(Data!$G:$G,$L15),"")</f>
        <v>Chesterfield Menthol</v>
      </c>
      <c r="B15" s="17">
        <f>IF(AND(ISNUMBER($L15),$L15&lt;&gt;""),IF(INDEX(Data!$I:$I,$L15)="","—",INDEX(Data!$I:$I,$L15)),"")</f>
        <v>12</v>
      </c>
      <c r="C15" s="17">
        <f>IF(AND(ISNUMBER($L15),$L15&lt;&gt;""),INDEX(Data!$J:$J,$L15),"")</f>
        <v>0</v>
      </c>
      <c r="D15" s="17">
        <f>IF(AND(ISNUMBER($L15),$L15&lt;&gt;""),INDEX(Data!$K:$K,$L15),"")</f>
        <v>11</v>
      </c>
      <c r="E15" s="17">
        <f>IF(AND(ISNUMBER($L15),$L15&lt;&gt;""),IF(INDEX(Data!$L:$L,$L15)="","—",INDEX(Data!$L:$L,$L15)),"")</f>
        <v>1</v>
      </c>
      <c r="F15" s="17" t="str">
        <f>IF(AND(ISNUMBER($L15),$L15&lt;&gt;""),IF(INDEX(Data!$M:$M,$L15)="","—",INDEX(Data!$M:$M,$L15)),"")</f>
        <v>—</v>
      </c>
      <c r="G15" s="18" t="str">
        <f>IF(AND(ISNUMBER($L15),$L15&lt;&gt;""),IF(INDEX(Data!$N:$N,$L15)="","—",INDEX(Data!$N:$N,$L15)),"")</f>
        <v>—</v>
      </c>
      <c r="H15" s="19" t="str">
        <f>IF(AND(ISNUMBER($L15),$L15&lt;&gt;""),IF(INDEX(Data!$Q:$Q,$L15)="","—",INDEX(Data!$Q:$Q,$L15)),"")</f>
        <v>—</v>
      </c>
      <c r="I15" s="20" t="str">
        <f>IF(AND(ISNUMBER($L15),$L15&lt;&gt;""),INDEX(Data!$E:$E,$L15),"")</f>
        <v>100638</v>
      </c>
      <c r="J15" s="20" t="str">
        <f>IF(AND(ISNUMBER($L15),$L15&lt;&gt;""),INDEX(Data!$F:$F,$L15),"")</f>
        <v>95510354</v>
      </c>
      <c r="L15">
        <f>IFERROR(MATCH((YEAR($B$3)*10000+MONTH($B$3)*100+DAY($B$3))*1000+6,Data!$V:$V,0),"")</f>
        <v>913</v>
      </c>
    </row>
    <row r="16" spans="1:12" x14ac:dyDescent="0.2">
      <c r="A16" s="11" t="str">
        <f>IF(AND(ISNUMBER($L16),$L16&lt;&gt;""),INDEX(Data!$G:$G,$L16),"")</f>
        <v>Chesterfield Purple</v>
      </c>
      <c r="B16" s="12">
        <f>IF(AND(ISNUMBER($L16),$L16&lt;&gt;""),IF(INDEX(Data!$I:$I,$L16)="","—",INDEX(Data!$I:$I,$L16)),"")</f>
        <v>6</v>
      </c>
      <c r="C16" s="12">
        <f>IF(AND(ISNUMBER($L16),$L16&lt;&gt;""),INDEX(Data!$J:$J,$L16),"")</f>
        <v>0</v>
      </c>
      <c r="D16" s="12">
        <f>IF(AND(ISNUMBER($L16),$L16&lt;&gt;""),INDEX(Data!$K:$K,$L16),"")</f>
        <v>6</v>
      </c>
      <c r="E16" s="12">
        <f>IF(AND(ISNUMBER($L16),$L16&lt;&gt;""),IF(INDEX(Data!$L:$L,$L16)="","—",INDEX(Data!$L:$L,$L16)),"")</f>
        <v>0</v>
      </c>
      <c r="F16" s="12" t="str">
        <f>IF(AND(ISNUMBER($L16),$L16&lt;&gt;""),IF(INDEX(Data!$M:$M,$L16)="","—",INDEX(Data!$M:$M,$L16)),"")</f>
        <v>—</v>
      </c>
      <c r="G16" s="13" t="str">
        <f>IF(AND(ISNUMBER($L16),$L16&lt;&gt;""),IF(INDEX(Data!$N:$N,$L16)="","—",INDEX(Data!$N:$N,$L16)),"")</f>
        <v>—</v>
      </c>
      <c r="H16" s="14" t="str">
        <f>IF(AND(ISNUMBER($L16),$L16&lt;&gt;""),IF(INDEX(Data!$Q:$Q,$L16)="","—",INDEX(Data!$Q:$Q,$L16)),"")</f>
        <v>—</v>
      </c>
      <c r="I16" s="15" t="str">
        <f>IF(AND(ISNUMBER($L16),$L16&lt;&gt;""),INDEX(Data!$E:$E,$L16),"")</f>
        <v>103526</v>
      </c>
      <c r="J16" s="15" t="str">
        <f>IF(AND(ISNUMBER($L16),$L16&lt;&gt;""),INDEX(Data!$F:$F,$L16),"")</f>
        <v>9555277315094</v>
      </c>
      <c r="L16">
        <f>IFERROR(MATCH((YEAR($B$3)*10000+MONTH($B$3)*100+DAY($B$3))*1000+7,Data!$V:$V,0),"")</f>
        <v>914</v>
      </c>
    </row>
    <row r="17" spans="1:12" x14ac:dyDescent="0.2">
      <c r="A17" s="16" t="str">
        <f>IF(AND(ISNUMBER($L17),$L17&lt;&gt;""),INDEX(Data!$G:$G,$L17),"")</f>
        <v>Chesterfield Red</v>
      </c>
      <c r="B17" s="17">
        <f>IF(AND(ISNUMBER($L17),$L17&lt;&gt;""),IF(INDEX(Data!$I:$I,$L17)="","—",INDEX(Data!$I:$I,$L17)),"")</f>
        <v>12</v>
      </c>
      <c r="C17" s="17">
        <f>IF(AND(ISNUMBER($L17),$L17&lt;&gt;""),INDEX(Data!$J:$J,$L17),"")</f>
        <v>10</v>
      </c>
      <c r="D17" s="17">
        <f>IF(AND(ISNUMBER($L17),$L17&lt;&gt;""),INDEX(Data!$K:$K,$L17),"")</f>
        <v>10</v>
      </c>
      <c r="E17" s="17">
        <f>IF(AND(ISNUMBER($L17),$L17&lt;&gt;""),IF(INDEX(Data!$L:$L,$L17)="","—",INDEX(Data!$L:$L,$L17)),"")</f>
        <v>12</v>
      </c>
      <c r="F17" s="17" t="str">
        <f>IF(AND(ISNUMBER($L17),$L17&lt;&gt;""),IF(INDEX(Data!$M:$M,$L17)="","—",INDEX(Data!$M:$M,$L17)),"")</f>
        <v>—</v>
      </c>
      <c r="G17" s="18" t="str">
        <f>IF(AND(ISNUMBER($L17),$L17&lt;&gt;""),IF(INDEX(Data!$N:$N,$L17)="","—",INDEX(Data!$N:$N,$L17)),"")</f>
        <v>—</v>
      </c>
      <c r="H17" s="19" t="str">
        <f>IF(AND(ISNUMBER($L17),$L17&lt;&gt;""),IF(INDEX(Data!$Q:$Q,$L17)="","—",INDEX(Data!$Q:$Q,$L17)),"")</f>
        <v>—</v>
      </c>
      <c r="I17" s="20" t="str">
        <f>IF(AND(ISNUMBER($L17),$L17&lt;&gt;""),INDEX(Data!$E:$E,$L17),"")</f>
        <v>100640</v>
      </c>
      <c r="J17" s="20" t="str">
        <f>IF(AND(ISNUMBER($L17),$L17&lt;&gt;""),INDEX(Data!$F:$F,$L17),"")</f>
        <v>88823386</v>
      </c>
      <c r="L17">
        <f>IFERROR(MATCH((YEAR($B$3)*10000+MONTH($B$3)*100+DAY($B$3))*1000+8,Data!$V:$V,0),"")</f>
        <v>915</v>
      </c>
    </row>
    <row r="18" spans="1:12" x14ac:dyDescent="0.2">
      <c r="A18" s="11" t="str">
        <f>IF(AND(ISNUMBER($L18),$L18&lt;&gt;""),INDEX(Data!$G:$G,$L18),"")</f>
        <v>Dunhill Blue</v>
      </c>
      <c r="B18" s="12">
        <f>IF(AND(ISNUMBER($L18),$L18&lt;&gt;""),IF(INDEX(Data!$I:$I,$L18)="","—",INDEX(Data!$I:$I,$L18)),"")</f>
        <v>18</v>
      </c>
      <c r="C18" s="12">
        <f>IF(AND(ISNUMBER($L18),$L18&lt;&gt;""),INDEX(Data!$J:$J,$L18),"")</f>
        <v>0</v>
      </c>
      <c r="D18" s="12">
        <f>IF(AND(ISNUMBER($L18),$L18&lt;&gt;""),INDEX(Data!$K:$K,$L18),"")</f>
        <v>25</v>
      </c>
      <c r="E18" s="12">
        <f>IF(AND(ISNUMBER($L18),$L18&lt;&gt;""),IF(INDEX(Data!$L:$L,$L18)="","—",INDEX(Data!$L:$L,$L18)),"")</f>
        <v>-7</v>
      </c>
      <c r="F18" s="12" t="str">
        <f>IF(AND(ISNUMBER($L18),$L18&lt;&gt;""),IF(INDEX(Data!$M:$M,$L18)="","—",INDEX(Data!$M:$M,$L18)),"")</f>
        <v>—</v>
      </c>
      <c r="G18" s="13" t="str">
        <f>IF(AND(ISNUMBER($L18),$L18&lt;&gt;""),IF(INDEX(Data!$N:$N,$L18)="","—",INDEX(Data!$N:$N,$L18)),"")</f>
        <v>—</v>
      </c>
      <c r="H18" s="14" t="str">
        <f>IF(AND(ISNUMBER($L18),$L18&lt;&gt;""),IF(INDEX(Data!$Q:$Q,$L18)="","—",INDEX(Data!$Q:$Q,$L18)),"")</f>
        <v>—</v>
      </c>
      <c r="I18" s="15" t="str">
        <f>IF(AND(ISNUMBER($L18),$L18&lt;&gt;""),INDEX(Data!$E:$E,$L18),"")</f>
        <v>104923</v>
      </c>
      <c r="J18" s="15" t="str">
        <f>IF(AND(ISNUMBER($L18),$L18&lt;&gt;""),INDEX(Data!$F:$F,$L18),"")</f>
        <v>9556109109386</v>
      </c>
      <c r="L18">
        <f>IFERROR(MATCH((YEAR($B$3)*10000+MONTH($B$3)*100+DAY($B$3))*1000+9,Data!$V:$V,0),"")</f>
        <v>916</v>
      </c>
    </row>
    <row r="19" spans="1:12" x14ac:dyDescent="0.2">
      <c r="A19" s="16" t="str">
        <f>IF(AND(ISNUMBER($L19),$L19&lt;&gt;""),INDEX(Data!$G:$G,$L19),"")</f>
        <v>Dunhill Boost</v>
      </c>
      <c r="B19" s="17">
        <f>IF(AND(ISNUMBER($L19),$L19&lt;&gt;""),IF(INDEX(Data!$I:$I,$L19)="","—",INDEX(Data!$I:$I,$L19)),"")</f>
        <v>12</v>
      </c>
      <c r="C19" s="17">
        <f>IF(AND(ISNUMBER($L19),$L19&lt;&gt;""),INDEX(Data!$J:$J,$L19),"")</f>
        <v>0</v>
      </c>
      <c r="D19" s="17">
        <f>IF(AND(ISNUMBER($L19),$L19&lt;&gt;""),INDEX(Data!$K:$K,$L19),"")</f>
        <v>12</v>
      </c>
      <c r="E19" s="17">
        <f>IF(AND(ISNUMBER($L19),$L19&lt;&gt;""),IF(INDEX(Data!$L:$L,$L19)="","—",INDEX(Data!$L:$L,$L19)),"")</f>
        <v>0</v>
      </c>
      <c r="F19" s="17" t="str">
        <f>IF(AND(ISNUMBER($L19),$L19&lt;&gt;""),IF(INDEX(Data!$M:$M,$L19)="","—",INDEX(Data!$M:$M,$L19)),"")</f>
        <v>—</v>
      </c>
      <c r="G19" s="18" t="str">
        <f>IF(AND(ISNUMBER($L19),$L19&lt;&gt;""),IF(INDEX(Data!$N:$N,$L19)="","—",INDEX(Data!$N:$N,$L19)),"")</f>
        <v>—</v>
      </c>
      <c r="H19" s="19" t="str">
        <f>IF(AND(ISNUMBER($L19),$L19&lt;&gt;""),IF(INDEX(Data!$Q:$Q,$L19)="","—",INDEX(Data!$Q:$Q,$L19)),"")</f>
        <v>—</v>
      </c>
      <c r="I19" s="20" t="str">
        <f>IF(AND(ISNUMBER($L19),$L19&lt;&gt;""),INDEX(Data!$E:$E,$L19),"")</f>
        <v>105169</v>
      </c>
      <c r="J19" s="20" t="str">
        <f>IF(AND(ISNUMBER($L19),$L19&lt;&gt;""),INDEX(Data!$F:$F,$L19),"")</f>
        <v>9556109109416</v>
      </c>
      <c r="L19">
        <f>IFERROR(MATCH((YEAR($B$3)*10000+MONTH($B$3)*100+DAY($B$3))*1000+10,Data!$V:$V,0),"")</f>
        <v>917</v>
      </c>
    </row>
    <row r="20" spans="1:12" x14ac:dyDescent="0.2">
      <c r="A20" s="11" t="str">
        <f>IF(AND(ISNUMBER($L20),$L20&lt;&gt;""),INDEX(Data!$G:$G,$L20),"")</f>
        <v>Dunhill Classic</v>
      </c>
      <c r="B20" s="12">
        <f>IF(AND(ISNUMBER($L20),$L20&lt;&gt;""),IF(INDEX(Data!$I:$I,$L20)="","—",INDEX(Data!$I:$I,$L20)),"")</f>
        <v>0</v>
      </c>
      <c r="C20" s="12">
        <f>IF(AND(ISNUMBER($L20),$L20&lt;&gt;""),INDEX(Data!$J:$J,$L20),"")</f>
        <v>20</v>
      </c>
      <c r="D20" s="12">
        <f>IF(AND(ISNUMBER($L20),$L20&lt;&gt;""),INDEX(Data!$K:$K,$L20),"")</f>
        <v>32</v>
      </c>
      <c r="E20" s="12">
        <f>IF(AND(ISNUMBER($L20),$L20&lt;&gt;""),IF(INDEX(Data!$L:$L,$L20)="","—",INDEX(Data!$L:$L,$L20)),"")</f>
        <v>-12</v>
      </c>
      <c r="F20" s="12" t="str">
        <f>IF(AND(ISNUMBER($L20),$L20&lt;&gt;""),IF(INDEX(Data!$M:$M,$L20)="","—",INDEX(Data!$M:$M,$L20)),"")</f>
        <v>—</v>
      </c>
      <c r="G20" s="13" t="str">
        <f>IF(AND(ISNUMBER($L20),$L20&lt;&gt;""),IF(INDEX(Data!$N:$N,$L20)="","—",INDEX(Data!$N:$N,$L20)),"")</f>
        <v>—</v>
      </c>
      <c r="H20" s="14" t="str">
        <f>IF(AND(ISNUMBER($L20),$L20&lt;&gt;""),IF(INDEX(Data!$Q:$Q,$L20)="","—",INDEX(Data!$Q:$Q,$L20)),"")</f>
        <v>—</v>
      </c>
      <c r="I20" s="15" t="str">
        <f>IF(AND(ISNUMBER($L20),$L20&lt;&gt;""),INDEX(Data!$E:$E,$L20),"")</f>
        <v>103732</v>
      </c>
      <c r="J20" s="15" t="str">
        <f>IF(AND(ISNUMBER($L20),$L20&lt;&gt;""),INDEX(Data!$F:$F,$L20),"")</f>
        <v>9556109106958</v>
      </c>
      <c r="L20">
        <f>IFERROR(MATCH((YEAR($B$3)*10000+MONTH($B$3)*100+DAY($B$3))*1000+11,Data!$V:$V,0),"")</f>
        <v>918</v>
      </c>
    </row>
    <row r="21" spans="1:12" x14ac:dyDescent="0.2">
      <c r="A21" s="16" t="str">
        <f>IF(AND(ISNUMBER($L21),$L21&lt;&gt;""),INDEX(Data!$G:$G,$L21),"")</f>
        <v>Dunhill Menthol</v>
      </c>
      <c r="B21" s="17">
        <f>IF(AND(ISNUMBER($L21),$L21&lt;&gt;""),IF(INDEX(Data!$I:$I,$L21)="","—",INDEX(Data!$I:$I,$L21)),"")</f>
        <v>11</v>
      </c>
      <c r="C21" s="17">
        <f>IF(AND(ISNUMBER($L21),$L21&lt;&gt;""),INDEX(Data!$J:$J,$L21),"")</f>
        <v>0</v>
      </c>
      <c r="D21" s="17">
        <f>IF(AND(ISNUMBER($L21),$L21&lt;&gt;""),INDEX(Data!$K:$K,$L21),"")</f>
        <v>9</v>
      </c>
      <c r="E21" s="17">
        <f>IF(AND(ISNUMBER($L21),$L21&lt;&gt;""),IF(INDEX(Data!$L:$L,$L21)="","—",INDEX(Data!$L:$L,$L21)),"")</f>
        <v>2</v>
      </c>
      <c r="F21" s="17" t="str">
        <f>IF(AND(ISNUMBER($L21),$L21&lt;&gt;""),IF(INDEX(Data!$M:$M,$L21)="","—",INDEX(Data!$M:$M,$L21)),"")</f>
        <v>—</v>
      </c>
      <c r="G21" s="18" t="str">
        <f>IF(AND(ISNUMBER($L21),$L21&lt;&gt;""),IF(INDEX(Data!$N:$N,$L21)="","—",INDEX(Data!$N:$N,$L21)),"")</f>
        <v>—</v>
      </c>
      <c r="H21" s="19" t="str">
        <f>IF(AND(ISNUMBER($L21),$L21&lt;&gt;""),IF(INDEX(Data!$Q:$Q,$L21)="","—",INDEX(Data!$Q:$Q,$L21)),"")</f>
        <v>—</v>
      </c>
      <c r="I21" s="20" t="str">
        <f>IF(AND(ISNUMBER($L21),$L21&lt;&gt;""),INDEX(Data!$E:$E,$L21),"")</f>
        <v>104924</v>
      </c>
      <c r="J21" s="20" t="str">
        <f>IF(AND(ISNUMBER($L21),$L21&lt;&gt;""),INDEX(Data!$F:$F,$L21),"")</f>
        <v>9556109109393</v>
      </c>
      <c r="L21">
        <f>IFERROR(MATCH((YEAR($B$3)*10000+MONTH($B$3)*100+DAY($B$3))*1000+12,Data!$V:$V,0),"")</f>
        <v>919</v>
      </c>
    </row>
    <row r="22" spans="1:12" x14ac:dyDescent="0.2">
      <c r="A22" s="11" t="str">
        <f>IF(AND(ISNUMBER($L22),$L22&lt;&gt;""),INDEX(Data!$G:$G,$L22),"")</f>
        <v>Dunhill Mix</v>
      </c>
      <c r="B22" s="12">
        <f>IF(AND(ISNUMBER($L22),$L22&lt;&gt;""),IF(INDEX(Data!$I:$I,$L22)="","—",INDEX(Data!$I:$I,$L22)),"")</f>
        <v>12</v>
      </c>
      <c r="C22" s="12">
        <f>IF(AND(ISNUMBER($L22),$L22&lt;&gt;""),INDEX(Data!$J:$J,$L22),"")</f>
        <v>0</v>
      </c>
      <c r="D22" s="12">
        <f>IF(AND(ISNUMBER($L22),$L22&lt;&gt;""),INDEX(Data!$K:$K,$L22),"")</f>
        <v>6</v>
      </c>
      <c r="E22" s="12">
        <f>IF(AND(ISNUMBER($L22),$L22&lt;&gt;""),IF(INDEX(Data!$L:$L,$L22)="","—",INDEX(Data!$L:$L,$L22)),"")</f>
        <v>6</v>
      </c>
      <c r="F22" s="12" t="str">
        <f>IF(AND(ISNUMBER($L22),$L22&lt;&gt;""),IF(INDEX(Data!$M:$M,$L22)="","—",INDEX(Data!$M:$M,$L22)),"")</f>
        <v>—</v>
      </c>
      <c r="G22" s="13" t="str">
        <f>IF(AND(ISNUMBER($L22),$L22&lt;&gt;""),IF(INDEX(Data!$N:$N,$L22)="","—",INDEX(Data!$N:$N,$L22)),"")</f>
        <v>—</v>
      </c>
      <c r="H22" s="14" t="str">
        <f>IF(AND(ISNUMBER($L22),$L22&lt;&gt;""),IF(INDEX(Data!$Q:$Q,$L22)="","—",INDEX(Data!$Q:$Q,$L22)),"")</f>
        <v>—</v>
      </c>
      <c r="I22" s="15" t="str">
        <f>IF(AND(ISNUMBER($L22),$L22&lt;&gt;""),INDEX(Data!$E:$E,$L22),"")</f>
        <v>105170</v>
      </c>
      <c r="J22" s="15" t="str">
        <f>IF(AND(ISNUMBER($L22),$L22&lt;&gt;""),INDEX(Data!$F:$F,$L22),"")</f>
        <v>9556109109423</v>
      </c>
      <c r="L22">
        <f>IFERROR(MATCH((YEAR($B$3)*10000+MONTH($B$3)*100+DAY($B$3))*1000+13,Data!$V:$V,0),"")</f>
        <v>920</v>
      </c>
    </row>
    <row r="23" spans="1:12" x14ac:dyDescent="0.2">
      <c r="A23" s="16" t="str">
        <f>IF(AND(ISNUMBER($L23),$L23&lt;&gt;""),INDEX(Data!$G:$G,$L23),"")</f>
        <v>Dunhill Red</v>
      </c>
      <c r="B23" s="17">
        <f>IF(AND(ISNUMBER($L23),$L23&lt;&gt;""),IF(INDEX(Data!$I:$I,$L23)="","—",INDEX(Data!$I:$I,$L23)),"")</f>
        <v>7</v>
      </c>
      <c r="C23" s="17">
        <f>IF(AND(ISNUMBER($L23),$L23&lt;&gt;""),INDEX(Data!$J:$J,$L23),"")</f>
        <v>0</v>
      </c>
      <c r="D23" s="17">
        <f>IF(AND(ISNUMBER($L23),$L23&lt;&gt;""),INDEX(Data!$K:$K,$L23),"")</f>
        <v>16</v>
      </c>
      <c r="E23" s="17">
        <f>IF(AND(ISNUMBER($L23),$L23&lt;&gt;""),IF(INDEX(Data!$L:$L,$L23)="","—",INDEX(Data!$L:$L,$L23)),"")</f>
        <v>-9</v>
      </c>
      <c r="F23" s="17" t="str">
        <f>IF(AND(ISNUMBER($L23),$L23&lt;&gt;""),IF(INDEX(Data!$M:$M,$L23)="","—",INDEX(Data!$M:$M,$L23)),"")</f>
        <v>—</v>
      </c>
      <c r="G23" s="18" t="str">
        <f>IF(AND(ISNUMBER($L23),$L23&lt;&gt;""),IF(INDEX(Data!$N:$N,$L23)="","—",INDEX(Data!$N:$N,$L23)),"")</f>
        <v>—</v>
      </c>
      <c r="H23" s="19" t="str">
        <f>IF(AND(ISNUMBER($L23),$L23&lt;&gt;""),IF(INDEX(Data!$Q:$Q,$L23)="","—",INDEX(Data!$Q:$Q,$L23)),"")</f>
        <v>—</v>
      </c>
      <c r="I23" s="20" t="str">
        <f>IF(AND(ISNUMBER($L23),$L23&lt;&gt;""),INDEX(Data!$E:$E,$L23),"")</f>
        <v>104922</v>
      </c>
      <c r="J23" s="20" t="str">
        <f>IF(AND(ISNUMBER($L23),$L23&lt;&gt;""),INDEX(Data!$F:$F,$L23),"")</f>
        <v>9556109109171</v>
      </c>
      <c r="L23">
        <f>IFERROR(MATCH((YEAR($B$3)*10000+MONTH($B$3)*100+DAY($B$3))*1000+14,Data!$V:$V,0),"")</f>
        <v>921</v>
      </c>
    </row>
    <row r="24" spans="1:12" x14ac:dyDescent="0.2">
      <c r="A24" s="11" t="str">
        <f>IF(AND(ISNUMBER($L24),$L24&lt;&gt;""),INDEX(Data!$G:$G,$L24),"")</f>
        <v>Dunhill Switch</v>
      </c>
      <c r="B24" s="12">
        <f>IF(AND(ISNUMBER($L24),$L24&lt;&gt;""),IF(INDEX(Data!$I:$I,$L24)="","—",INDEX(Data!$I:$I,$L24)),"")</f>
        <v>15</v>
      </c>
      <c r="C24" s="12">
        <f>IF(AND(ISNUMBER($L24),$L24&lt;&gt;""),INDEX(Data!$J:$J,$L24),"")</f>
        <v>0</v>
      </c>
      <c r="D24" s="12">
        <f>IF(AND(ISNUMBER($L24),$L24&lt;&gt;""),INDEX(Data!$K:$K,$L24),"")</f>
        <v>14</v>
      </c>
      <c r="E24" s="12">
        <f>IF(AND(ISNUMBER($L24),$L24&lt;&gt;""),IF(INDEX(Data!$L:$L,$L24)="","—",INDEX(Data!$L:$L,$L24)),"")</f>
        <v>1</v>
      </c>
      <c r="F24" s="12" t="str">
        <f>IF(AND(ISNUMBER($L24),$L24&lt;&gt;""),IF(INDEX(Data!$M:$M,$L24)="","—",INDEX(Data!$M:$M,$L24)),"")</f>
        <v>—</v>
      </c>
      <c r="G24" s="13" t="str">
        <f>IF(AND(ISNUMBER($L24),$L24&lt;&gt;""),IF(INDEX(Data!$N:$N,$L24)="","—",INDEX(Data!$N:$N,$L24)),"")</f>
        <v>—</v>
      </c>
      <c r="H24" s="14" t="str">
        <f>IF(AND(ISNUMBER($L24),$L24&lt;&gt;""),IF(INDEX(Data!$Q:$Q,$L24)="","—",INDEX(Data!$Q:$Q,$L24)),"")</f>
        <v>—</v>
      </c>
      <c r="I24" s="15" t="str">
        <f>IF(AND(ISNUMBER($L24),$L24&lt;&gt;""),INDEX(Data!$E:$E,$L24),"")</f>
        <v>105168</v>
      </c>
      <c r="J24" s="15" t="str">
        <f>IF(AND(ISNUMBER($L24),$L24&lt;&gt;""),INDEX(Data!$F:$F,$L24),"")</f>
        <v>9556109109409</v>
      </c>
      <c r="L24">
        <f>IFERROR(MATCH((YEAR($B$3)*10000+MONTH($B$3)*100+DAY($B$3))*1000+15,Data!$V:$V,0),"")</f>
        <v>922</v>
      </c>
    </row>
    <row r="25" spans="1:12" x14ac:dyDescent="0.2">
      <c r="A25" s="16" t="str">
        <f>IF(AND(ISNUMBER($L25),$L25&lt;&gt;""),INDEX(Data!$G:$G,$L25),"")</f>
        <v>Dunhill Zest</v>
      </c>
      <c r="B25" s="17">
        <f>IF(AND(ISNUMBER($L25),$L25&lt;&gt;""),IF(INDEX(Data!$I:$I,$L25)="","—",INDEX(Data!$I:$I,$L25)),"")</f>
        <v>10</v>
      </c>
      <c r="C25" s="17">
        <f>IF(AND(ISNUMBER($L25),$L25&lt;&gt;""),INDEX(Data!$J:$J,$L25),"")</f>
        <v>0</v>
      </c>
      <c r="D25" s="17">
        <f>IF(AND(ISNUMBER($L25),$L25&lt;&gt;""),INDEX(Data!$K:$K,$L25),"")</f>
        <v>8</v>
      </c>
      <c r="E25" s="17">
        <f>IF(AND(ISNUMBER($L25),$L25&lt;&gt;""),IF(INDEX(Data!$L:$L,$L25)="","—",INDEX(Data!$L:$L,$L25)),"")</f>
        <v>2</v>
      </c>
      <c r="F25" s="17" t="str">
        <f>IF(AND(ISNUMBER($L25),$L25&lt;&gt;""),IF(INDEX(Data!$M:$M,$L25)="","—",INDEX(Data!$M:$M,$L25)),"")</f>
        <v>—</v>
      </c>
      <c r="G25" s="18" t="str">
        <f>IF(AND(ISNUMBER($L25),$L25&lt;&gt;""),IF(INDEX(Data!$N:$N,$L25)="","—",INDEX(Data!$N:$N,$L25)),"")</f>
        <v>—</v>
      </c>
      <c r="H25" s="19" t="str">
        <f>IF(AND(ISNUMBER($L25),$L25&lt;&gt;""),IF(INDEX(Data!$Q:$Q,$L25)="","—",INDEX(Data!$Q:$Q,$L25)),"")</f>
        <v>—</v>
      </c>
      <c r="I25" s="20" t="str">
        <f>IF(AND(ISNUMBER($L25),$L25&lt;&gt;""),INDEX(Data!$E:$E,$L25),"")</f>
        <v>105171</v>
      </c>
      <c r="J25" s="20" t="str">
        <f>IF(AND(ISNUMBER($L25),$L25&lt;&gt;""),INDEX(Data!$F:$F,$L25),"")</f>
        <v>9556109109430</v>
      </c>
      <c r="L25">
        <f>IFERROR(MATCH((YEAR($B$3)*10000+MONTH($B$3)*100+DAY($B$3))*1000+16,Data!$V:$V,0),"")</f>
        <v>923</v>
      </c>
    </row>
    <row r="26" spans="1:12" x14ac:dyDescent="0.2">
      <c r="A26" s="11" t="str">
        <f>IF(AND(ISNUMBER($L26),$L26&lt;&gt;""),INDEX(Data!$G:$G,$L26),"")</f>
        <v>FIIT ALPINE</v>
      </c>
      <c r="B26" s="12">
        <f>IF(AND(ISNUMBER($L26),$L26&lt;&gt;""),IF(INDEX(Data!$I:$I,$L26)="","—",INDEX(Data!$I:$I,$L26)),"")</f>
        <v>12</v>
      </c>
      <c r="C26" s="12">
        <f>IF(AND(ISNUMBER($L26),$L26&lt;&gt;""),INDEX(Data!$J:$J,$L26),"")</f>
        <v>0</v>
      </c>
      <c r="D26" s="12">
        <f>IF(AND(ISNUMBER($L26),$L26&lt;&gt;""),INDEX(Data!$K:$K,$L26),"")</f>
        <v>12</v>
      </c>
      <c r="E26" s="12">
        <f>IF(AND(ISNUMBER($L26),$L26&lt;&gt;""),IF(INDEX(Data!$L:$L,$L26)="","—",INDEX(Data!$L:$L,$L26)),"")</f>
        <v>0</v>
      </c>
      <c r="F26" s="12" t="str">
        <f>IF(AND(ISNUMBER($L26),$L26&lt;&gt;""),IF(INDEX(Data!$M:$M,$L26)="","—",INDEX(Data!$M:$M,$L26)),"")</f>
        <v>—</v>
      </c>
      <c r="G26" s="13" t="str">
        <f>IF(AND(ISNUMBER($L26),$L26&lt;&gt;""),IF(INDEX(Data!$N:$N,$L26)="","—",INDEX(Data!$N:$N,$L26)),"")</f>
        <v>—</v>
      </c>
      <c r="H26" s="14" t="str">
        <f>IF(AND(ISNUMBER($L26),$L26&lt;&gt;""),IF(INDEX(Data!$Q:$Q,$L26)="","—",INDEX(Data!$Q:$Q,$L26)),"")</f>
        <v>—</v>
      </c>
      <c r="I26" s="15" t="str">
        <f>IF(AND(ISNUMBER($L26),$L26&lt;&gt;""),INDEX(Data!$E:$E,$L26),"")</f>
        <v>105740</v>
      </c>
      <c r="J26" s="15" t="str">
        <f>IF(AND(ISNUMBER($L26),$L26&lt;&gt;""),INDEX(Data!$F:$F,$L26),"")</f>
        <v>7622100698326</v>
      </c>
      <c r="L26">
        <f>IFERROR(MATCH((YEAR($B$3)*10000+MONTH($B$3)*100+DAY($B$3))*1000+17,Data!$V:$V,0),"")</f>
        <v>924</v>
      </c>
    </row>
    <row r="27" spans="1:12" x14ac:dyDescent="0.2">
      <c r="A27" s="16" t="str">
        <f>IF(AND(ISNUMBER($L27),$L27&lt;&gt;""),INDEX(Data!$G:$G,$L27),"")</f>
        <v>FIIT CRISP</v>
      </c>
      <c r="B27" s="17">
        <f>IF(AND(ISNUMBER($L27),$L27&lt;&gt;""),IF(INDEX(Data!$I:$I,$L27)="","—",INDEX(Data!$I:$I,$L27)),"")</f>
        <v>6</v>
      </c>
      <c r="C27" s="17">
        <f>IF(AND(ISNUMBER($L27),$L27&lt;&gt;""),INDEX(Data!$J:$J,$L27),"")</f>
        <v>0</v>
      </c>
      <c r="D27" s="17">
        <f>IF(AND(ISNUMBER($L27),$L27&lt;&gt;""),INDEX(Data!$K:$K,$L27),"")</f>
        <v>6</v>
      </c>
      <c r="E27" s="17">
        <f>IF(AND(ISNUMBER($L27),$L27&lt;&gt;""),IF(INDEX(Data!$L:$L,$L27)="","—",INDEX(Data!$L:$L,$L27)),"")</f>
        <v>0</v>
      </c>
      <c r="F27" s="17" t="str">
        <f>IF(AND(ISNUMBER($L27),$L27&lt;&gt;""),IF(INDEX(Data!$M:$M,$L27)="","—",INDEX(Data!$M:$M,$L27)),"")</f>
        <v>—</v>
      </c>
      <c r="G27" s="18" t="str">
        <f>IF(AND(ISNUMBER($L27),$L27&lt;&gt;""),IF(INDEX(Data!$N:$N,$L27)="","—",INDEX(Data!$N:$N,$L27)),"")</f>
        <v>—</v>
      </c>
      <c r="H27" s="19" t="str">
        <f>IF(AND(ISNUMBER($L27),$L27&lt;&gt;""),IF(INDEX(Data!$Q:$Q,$L27)="","—",INDEX(Data!$Q:$Q,$L27)),"")</f>
        <v>—</v>
      </c>
      <c r="I27" s="20" t="str">
        <f>IF(AND(ISNUMBER($L27),$L27&lt;&gt;""),INDEX(Data!$E:$E,$L27),"")</f>
        <v>105742</v>
      </c>
      <c r="J27" s="20" t="str">
        <f>IF(AND(ISNUMBER($L27),$L27&lt;&gt;""),INDEX(Data!$F:$F,$L27),"")</f>
        <v>7622100698418</v>
      </c>
      <c r="L27">
        <f>IFERROR(MATCH((YEAR($B$3)*10000+MONTH($B$3)*100+DAY($B$3))*1000+18,Data!$V:$V,0),"")</f>
        <v>925</v>
      </c>
    </row>
    <row r="28" spans="1:12" x14ac:dyDescent="0.2">
      <c r="A28" s="11" t="str">
        <f>IF(AND(ISNUMBER($L28),$L28&lt;&gt;""),INDEX(Data!$G:$G,$L28),"")</f>
        <v>FIIT REGULAR</v>
      </c>
      <c r="B28" s="12">
        <f>IF(AND(ISNUMBER($L28),$L28&lt;&gt;""),IF(INDEX(Data!$I:$I,$L28)="","—",INDEX(Data!$I:$I,$L28)),"")</f>
        <v>7</v>
      </c>
      <c r="C28" s="12">
        <f>IF(AND(ISNUMBER($L28),$L28&lt;&gt;""),INDEX(Data!$J:$J,$L28),"")</f>
        <v>0</v>
      </c>
      <c r="D28" s="12">
        <f>IF(AND(ISNUMBER($L28),$L28&lt;&gt;""),INDEX(Data!$K:$K,$L28),"")</f>
        <v>7</v>
      </c>
      <c r="E28" s="12">
        <f>IF(AND(ISNUMBER($L28),$L28&lt;&gt;""),IF(INDEX(Data!$L:$L,$L28)="","—",INDEX(Data!$L:$L,$L28)),"")</f>
        <v>0</v>
      </c>
      <c r="F28" s="12" t="str">
        <f>IF(AND(ISNUMBER($L28),$L28&lt;&gt;""),IF(INDEX(Data!$M:$M,$L28)="","—",INDEX(Data!$M:$M,$L28)),"")</f>
        <v>—</v>
      </c>
      <c r="G28" s="13" t="str">
        <f>IF(AND(ISNUMBER($L28),$L28&lt;&gt;""),IF(INDEX(Data!$N:$N,$L28)="","—",INDEX(Data!$N:$N,$L28)),"")</f>
        <v>—</v>
      </c>
      <c r="H28" s="14" t="str">
        <f>IF(AND(ISNUMBER($L28),$L28&lt;&gt;""),IF(INDEX(Data!$Q:$Q,$L28)="","—",INDEX(Data!$Q:$Q,$L28)),"")</f>
        <v>—</v>
      </c>
      <c r="I28" s="15" t="str">
        <f>IF(AND(ISNUMBER($L28),$L28&lt;&gt;""),INDEX(Data!$E:$E,$L28),"")</f>
        <v>105741</v>
      </c>
      <c r="J28" s="15" t="str">
        <f>IF(AND(ISNUMBER($L28),$L28&lt;&gt;""),INDEX(Data!$F:$F,$L28),"")</f>
        <v>7622100698388</v>
      </c>
      <c r="L28">
        <f>IFERROR(MATCH((YEAR($B$3)*10000+MONTH($B$3)*100+DAY($B$3))*1000+19,Data!$V:$V,0),"")</f>
        <v>926</v>
      </c>
    </row>
    <row r="29" spans="1:12" x14ac:dyDescent="0.2">
      <c r="A29" s="16" t="str">
        <f>IF(AND(ISNUMBER($L29),$L29&lt;&gt;""),INDEX(Data!$G:$G,$L29),"")</f>
        <v>ILUMA</v>
      </c>
      <c r="B29" s="17">
        <f>IF(AND(ISNUMBER($L29),$L29&lt;&gt;""),IF(INDEX(Data!$I:$I,$L29)="","—",INDEX(Data!$I:$I,$L29)),"")</f>
        <v>1</v>
      </c>
      <c r="C29" s="17">
        <f>IF(AND(ISNUMBER($L29),$L29&lt;&gt;""),INDEX(Data!$J:$J,$L29),"")</f>
        <v>0</v>
      </c>
      <c r="D29" s="17">
        <f>IF(AND(ISNUMBER($L29),$L29&lt;&gt;""),INDEX(Data!$K:$K,$L29),"")</f>
        <v>1</v>
      </c>
      <c r="E29" s="17">
        <f>IF(AND(ISNUMBER($L29),$L29&lt;&gt;""),IF(INDEX(Data!$L:$L,$L29)="","—",INDEX(Data!$L:$L,$L29)),"")</f>
        <v>0</v>
      </c>
      <c r="F29" s="17" t="str">
        <f>IF(AND(ISNUMBER($L29),$L29&lt;&gt;""),IF(INDEX(Data!$M:$M,$L29)="","—",INDEX(Data!$M:$M,$L29)),"")</f>
        <v>—</v>
      </c>
      <c r="G29" s="18" t="str">
        <f>IF(AND(ISNUMBER($L29),$L29&lt;&gt;""),IF(INDEX(Data!$N:$N,$L29)="","—",INDEX(Data!$N:$N,$L29)),"")</f>
        <v>—</v>
      </c>
      <c r="H29" s="19" t="str">
        <f>IF(AND(ISNUMBER($L29),$L29&lt;&gt;""),IF(INDEX(Data!$Q:$Q,$L29)="","—",INDEX(Data!$Q:$Q,$L29)),"")</f>
        <v>—</v>
      </c>
      <c r="I29" s="20" t="str">
        <f>IF(AND(ISNUMBER($L29),$L29&lt;&gt;""),INDEX(Data!$E:$E,$L29),"")</f>
        <v>107776</v>
      </c>
      <c r="J29" s="20" t="str">
        <f>IF(AND(ISNUMBER($L29),$L29&lt;&gt;""),INDEX(Data!$F:$F,$L29),"")</f>
        <v>7622100702832</v>
      </c>
      <c r="L29">
        <f>IFERROR(MATCH((YEAR($B$3)*10000+MONTH($B$3)*100+DAY($B$3))*1000+20,Data!$V:$V,0),"")</f>
        <v>927</v>
      </c>
    </row>
    <row r="30" spans="1:12" x14ac:dyDescent="0.2">
      <c r="A30" s="11" t="str">
        <f>IF(AND(ISNUMBER($L30),$L30&lt;&gt;""),INDEX(Data!$G:$G,$L30),"")</f>
        <v>Kyo Original</v>
      </c>
      <c r="B30" s="12">
        <f>IF(AND(ISNUMBER($L30),$L30&lt;&gt;""),IF(INDEX(Data!$I:$I,$L30)="","—",INDEX(Data!$I:$I,$L30)),"")</f>
        <v>4</v>
      </c>
      <c r="C30" s="12">
        <f>IF(AND(ISNUMBER($L30),$L30&lt;&gt;""),INDEX(Data!$J:$J,$L30),"")</f>
        <v>0</v>
      </c>
      <c r="D30" s="12">
        <f>IF(AND(ISNUMBER($L30),$L30&lt;&gt;""),INDEX(Data!$K:$K,$L30),"")</f>
        <v>3</v>
      </c>
      <c r="E30" s="12">
        <f>IF(AND(ISNUMBER($L30),$L30&lt;&gt;""),IF(INDEX(Data!$L:$L,$L30)="","—",INDEX(Data!$L:$L,$L30)),"")</f>
        <v>1</v>
      </c>
      <c r="F30" s="12" t="str">
        <f>IF(AND(ISNUMBER($L30),$L30&lt;&gt;""),IF(INDEX(Data!$M:$M,$L30)="","—",INDEX(Data!$M:$M,$L30)),"")</f>
        <v>—</v>
      </c>
      <c r="G30" s="13" t="str">
        <f>IF(AND(ISNUMBER($L30),$L30&lt;&gt;""),IF(INDEX(Data!$N:$N,$L30)="","—",INDEX(Data!$N:$N,$L30)),"")</f>
        <v>—</v>
      </c>
      <c r="H30" s="14" t="str">
        <f>IF(AND(ISNUMBER($L30),$L30&lt;&gt;""),IF(INDEX(Data!$Q:$Q,$L30)="","—",INDEX(Data!$Q:$Q,$L30)),"")</f>
        <v>—</v>
      </c>
      <c r="I30" s="15" t="str">
        <f>IF(AND(ISNUMBER($L30),$L30&lt;&gt;""),INDEX(Data!$E:$E,$L30),"")</f>
        <v>104726</v>
      </c>
      <c r="J30" s="15" t="str">
        <f>IF(AND(ISNUMBER($L30),$L30&lt;&gt;""),INDEX(Data!$F:$F,$L30),"")</f>
        <v>9556109109355</v>
      </c>
      <c r="L30">
        <f>IFERROR(MATCH((YEAR($B$3)*10000+MONTH($B$3)*100+DAY($B$3))*1000+21,Data!$V:$V,0),"")</f>
        <v>928</v>
      </c>
    </row>
    <row r="31" spans="1:12" x14ac:dyDescent="0.2">
      <c r="A31" s="16" t="str">
        <f>IF(AND(ISNUMBER($L31),$L31&lt;&gt;""),INDEX(Data!$G:$G,$L31),"")</f>
        <v>Kyo Silver</v>
      </c>
      <c r="B31" s="17">
        <f>IF(AND(ISNUMBER($L31),$L31&lt;&gt;""),IF(INDEX(Data!$I:$I,$L31)="","—",INDEX(Data!$I:$I,$L31)),"")</f>
        <v>4</v>
      </c>
      <c r="C31" s="17">
        <f>IF(AND(ISNUMBER($L31),$L31&lt;&gt;""),INDEX(Data!$J:$J,$L31),"")</f>
        <v>0</v>
      </c>
      <c r="D31" s="17">
        <f>IF(AND(ISNUMBER($L31),$L31&lt;&gt;""),INDEX(Data!$K:$K,$L31),"")</f>
        <v>4</v>
      </c>
      <c r="E31" s="17">
        <f>IF(AND(ISNUMBER($L31),$L31&lt;&gt;""),IF(INDEX(Data!$L:$L,$L31)="","—",INDEX(Data!$L:$L,$L31)),"")</f>
        <v>0</v>
      </c>
      <c r="F31" s="17" t="str">
        <f>IF(AND(ISNUMBER($L31),$L31&lt;&gt;""),IF(INDEX(Data!$M:$M,$L31)="","—",INDEX(Data!$M:$M,$L31)),"")</f>
        <v>—</v>
      </c>
      <c r="G31" s="18" t="str">
        <f>IF(AND(ISNUMBER($L31),$L31&lt;&gt;""),IF(INDEX(Data!$N:$N,$L31)="","—",INDEX(Data!$N:$N,$L31)),"")</f>
        <v>—</v>
      </c>
      <c r="H31" s="19" t="str">
        <f>IF(AND(ISNUMBER($L31),$L31&lt;&gt;""),IF(INDEX(Data!$Q:$Q,$L31)="","—",INDEX(Data!$Q:$Q,$L31)),"")</f>
        <v>—</v>
      </c>
      <c r="I31" s="20" t="str">
        <f>IF(AND(ISNUMBER($L31),$L31&lt;&gt;""),INDEX(Data!$E:$E,$L31),"")</f>
        <v>104727</v>
      </c>
      <c r="J31" s="20" t="str">
        <f>IF(AND(ISNUMBER($L31),$L31&lt;&gt;""),INDEX(Data!$F:$F,$L31),"")</f>
        <v>9556109109362</v>
      </c>
      <c r="L31">
        <f>IFERROR(MATCH((YEAR($B$3)*10000+MONTH($B$3)*100+DAY($B$3))*1000+22,Data!$V:$V,0),"")</f>
        <v>929</v>
      </c>
    </row>
    <row r="32" spans="1:12" x14ac:dyDescent="0.2">
      <c r="A32" s="11" t="str">
        <f>IF(AND(ISNUMBER($L32),$L32&lt;&gt;""),INDEX(Data!$G:$G,$L32),"")</f>
        <v>LD 100 Red</v>
      </c>
      <c r="B32" s="12">
        <f>IF(AND(ISNUMBER($L32),$L32&lt;&gt;""),IF(INDEX(Data!$I:$I,$L32)="","—",INDEX(Data!$I:$I,$L32)),"")</f>
        <v>9</v>
      </c>
      <c r="C32" s="12">
        <f>IF(AND(ISNUMBER($L32),$L32&lt;&gt;""),INDEX(Data!$J:$J,$L32),"")</f>
        <v>0</v>
      </c>
      <c r="D32" s="12">
        <f>IF(AND(ISNUMBER($L32),$L32&lt;&gt;""),INDEX(Data!$K:$K,$L32),"")</f>
        <v>10</v>
      </c>
      <c r="E32" s="12">
        <f>IF(AND(ISNUMBER($L32),$L32&lt;&gt;""),IF(INDEX(Data!$L:$L,$L32)="","—",INDEX(Data!$L:$L,$L32)),"")</f>
        <v>-1</v>
      </c>
      <c r="F32" s="12" t="str">
        <f>IF(AND(ISNUMBER($L32),$L32&lt;&gt;""),IF(INDEX(Data!$M:$M,$L32)="","—",INDEX(Data!$M:$M,$L32)),"")</f>
        <v>—</v>
      </c>
      <c r="G32" s="13" t="str">
        <f>IF(AND(ISNUMBER($L32),$L32&lt;&gt;""),IF(INDEX(Data!$N:$N,$L32)="","—",INDEX(Data!$N:$N,$L32)),"")</f>
        <v>—</v>
      </c>
      <c r="H32" s="14" t="str">
        <f>IF(AND(ISNUMBER($L32),$L32&lt;&gt;""),IF(INDEX(Data!$Q:$Q,$L32)="","—",INDEX(Data!$Q:$Q,$L32)),"")</f>
        <v>—</v>
      </c>
      <c r="I32" s="15" t="str">
        <f>IF(AND(ISNUMBER($L32),$L32&lt;&gt;""),INDEX(Data!$E:$E,$L32),"")</f>
        <v>107628</v>
      </c>
      <c r="J32" s="15" t="str">
        <f>IF(AND(ISNUMBER($L32),$L32&lt;&gt;""),INDEX(Data!$F:$F,$L32),"")</f>
        <v>9555900301227</v>
      </c>
      <c r="L32">
        <f>IFERROR(MATCH((YEAR($B$3)*10000+MONTH($B$3)*100+DAY($B$3))*1000+23,Data!$V:$V,0),"")</f>
        <v>930</v>
      </c>
    </row>
    <row r="33" spans="1:12" x14ac:dyDescent="0.2">
      <c r="A33" s="16" t="str">
        <f>IF(AND(ISNUMBER($L33),$L33&lt;&gt;""),INDEX(Data!$G:$G,$L33),"")</f>
        <v>LD Blue</v>
      </c>
      <c r="B33" s="17">
        <f>IF(AND(ISNUMBER($L33),$L33&lt;&gt;""),IF(INDEX(Data!$I:$I,$L33)="","—",INDEX(Data!$I:$I,$L33)),"")</f>
        <v>10</v>
      </c>
      <c r="C33" s="17">
        <f>IF(AND(ISNUMBER($L33),$L33&lt;&gt;""),INDEX(Data!$J:$J,$L33),"")</f>
        <v>0</v>
      </c>
      <c r="D33" s="17">
        <f>IF(AND(ISNUMBER($L33),$L33&lt;&gt;""),INDEX(Data!$K:$K,$L33),"")</f>
        <v>17</v>
      </c>
      <c r="E33" s="17">
        <f>IF(AND(ISNUMBER($L33),$L33&lt;&gt;""),IF(INDEX(Data!$L:$L,$L33)="","—",INDEX(Data!$L:$L,$L33)),"")</f>
        <v>-7</v>
      </c>
      <c r="F33" s="17" t="str">
        <f>IF(AND(ISNUMBER($L33),$L33&lt;&gt;""),IF(INDEX(Data!$M:$M,$L33)="","—",INDEX(Data!$M:$M,$L33)),"")</f>
        <v>—</v>
      </c>
      <c r="G33" s="18" t="str">
        <f>IF(AND(ISNUMBER($L33),$L33&lt;&gt;""),IF(INDEX(Data!$N:$N,$L33)="","—",INDEX(Data!$N:$N,$L33)),"")</f>
        <v>—</v>
      </c>
      <c r="H33" s="19" t="str">
        <f>IF(AND(ISNUMBER($L33),$L33&lt;&gt;""),IF(INDEX(Data!$Q:$Q,$L33)="","—",INDEX(Data!$Q:$Q,$L33)),"")</f>
        <v>—</v>
      </c>
      <c r="I33" s="20" t="str">
        <f>IF(AND(ISNUMBER($L33),$L33&lt;&gt;""),INDEX(Data!$E:$E,$L33),"")</f>
        <v>100758</v>
      </c>
      <c r="J33" s="20" t="str">
        <f>IF(AND(ISNUMBER($L33),$L33&lt;&gt;""),INDEX(Data!$F:$F,$L33),"")</f>
        <v>8885004830028</v>
      </c>
      <c r="L33">
        <f>IFERROR(MATCH((YEAR($B$3)*10000+MONTH($B$3)*100+DAY($B$3))*1000+24,Data!$V:$V,0),"")</f>
        <v>931</v>
      </c>
    </row>
    <row r="34" spans="1:12" x14ac:dyDescent="0.2">
      <c r="A34" s="11" t="str">
        <f>IF(AND(ISNUMBER($L34),$L34&lt;&gt;""),INDEX(Data!$G:$G,$L34),"")</f>
        <v>LD Menthol</v>
      </c>
      <c r="B34" s="12">
        <f>IF(AND(ISNUMBER($L34),$L34&lt;&gt;""),IF(INDEX(Data!$I:$I,$L34)="","—",INDEX(Data!$I:$I,$L34)),"")</f>
        <v>3</v>
      </c>
      <c r="C34" s="12">
        <f>IF(AND(ISNUMBER($L34),$L34&lt;&gt;""),INDEX(Data!$J:$J,$L34),"")</f>
        <v>0</v>
      </c>
      <c r="D34" s="12">
        <f>IF(AND(ISNUMBER($L34),$L34&lt;&gt;""),INDEX(Data!$K:$K,$L34),"")</f>
        <v>11</v>
      </c>
      <c r="E34" s="12">
        <f>IF(AND(ISNUMBER($L34),$L34&lt;&gt;""),IF(INDEX(Data!$L:$L,$L34)="","—",INDEX(Data!$L:$L,$L34)),"")</f>
        <v>-8</v>
      </c>
      <c r="F34" s="12" t="str">
        <f>IF(AND(ISNUMBER($L34),$L34&lt;&gt;""),IF(INDEX(Data!$M:$M,$L34)="","—",INDEX(Data!$M:$M,$L34)),"")</f>
        <v>—</v>
      </c>
      <c r="G34" s="13" t="str">
        <f>IF(AND(ISNUMBER($L34),$L34&lt;&gt;""),IF(INDEX(Data!$N:$N,$L34)="","—",INDEX(Data!$N:$N,$L34)),"")</f>
        <v>—</v>
      </c>
      <c r="H34" s="14" t="str">
        <f>IF(AND(ISNUMBER($L34),$L34&lt;&gt;""),IF(INDEX(Data!$Q:$Q,$L34)="","—",INDEX(Data!$Q:$Q,$L34)),"")</f>
        <v>—</v>
      </c>
      <c r="I34" s="15" t="str">
        <f>IF(AND(ISNUMBER($L34),$L34&lt;&gt;""),INDEX(Data!$E:$E,$L34),"")</f>
        <v>100760</v>
      </c>
      <c r="J34" s="15" t="str">
        <f>IF(AND(ISNUMBER($L34),$L34&lt;&gt;""),INDEX(Data!$F:$F,$L34),"")</f>
        <v>8885004830042</v>
      </c>
      <c r="L34">
        <f>IFERROR(MATCH((YEAR($B$3)*10000+MONTH($B$3)*100+DAY($B$3))*1000+25,Data!$V:$V,0),"")</f>
        <v>932</v>
      </c>
    </row>
    <row r="35" spans="1:12" x14ac:dyDescent="0.2">
      <c r="A35" s="16" t="str">
        <f>IF(AND(ISNUMBER($L35),$L35&lt;&gt;""),INDEX(Data!$G:$G,$L35),"")</f>
        <v>LD Purple</v>
      </c>
      <c r="B35" s="17">
        <f>IF(AND(ISNUMBER($L35),$L35&lt;&gt;""),IF(INDEX(Data!$I:$I,$L35)="","—",INDEX(Data!$I:$I,$L35)),"")</f>
        <v>3</v>
      </c>
      <c r="C35" s="17">
        <f>IF(AND(ISNUMBER($L35),$L35&lt;&gt;""),INDEX(Data!$J:$J,$L35),"")</f>
        <v>0</v>
      </c>
      <c r="D35" s="17">
        <f>IF(AND(ISNUMBER($L35),$L35&lt;&gt;""),INDEX(Data!$K:$K,$L35),"")</f>
        <v>9</v>
      </c>
      <c r="E35" s="17">
        <f>IF(AND(ISNUMBER($L35),$L35&lt;&gt;""),IF(INDEX(Data!$L:$L,$L35)="","—",INDEX(Data!$L:$L,$L35)),"")</f>
        <v>-6</v>
      </c>
      <c r="F35" s="17" t="str">
        <f>IF(AND(ISNUMBER($L35),$L35&lt;&gt;""),IF(INDEX(Data!$M:$M,$L35)="","—",INDEX(Data!$M:$M,$L35)),"")</f>
        <v>—</v>
      </c>
      <c r="G35" s="18" t="str">
        <f>IF(AND(ISNUMBER($L35),$L35&lt;&gt;""),IF(INDEX(Data!$N:$N,$L35)="","—",INDEX(Data!$N:$N,$L35)),"")</f>
        <v>—</v>
      </c>
      <c r="H35" s="19" t="str">
        <f>IF(AND(ISNUMBER($L35),$L35&lt;&gt;""),IF(INDEX(Data!$Q:$Q,$L35)="","—",INDEX(Data!$Q:$Q,$L35)),"")</f>
        <v>—</v>
      </c>
      <c r="I35" s="20" t="str">
        <f>IF(AND(ISNUMBER($L35),$L35&lt;&gt;""),INDEX(Data!$E:$E,$L35),"")</f>
        <v>104330</v>
      </c>
      <c r="J35" s="20" t="str">
        <f>IF(AND(ISNUMBER($L35),$L35&lt;&gt;""),INDEX(Data!$F:$F,$L35),"")</f>
        <v>9555900300565</v>
      </c>
      <c r="L35">
        <f>IFERROR(MATCH((YEAR($B$3)*10000+MONTH($B$3)*100+DAY($B$3))*1000+26,Data!$V:$V,0),"")</f>
        <v>933</v>
      </c>
    </row>
    <row r="36" spans="1:12" x14ac:dyDescent="0.2">
      <c r="A36" s="11" t="str">
        <f>IF(AND(ISNUMBER($L36),$L36&lt;&gt;""),INDEX(Data!$G:$G,$L36),"")</f>
        <v>LD Red</v>
      </c>
      <c r="B36" s="12">
        <f>IF(AND(ISNUMBER($L36),$L36&lt;&gt;""),IF(INDEX(Data!$I:$I,$L36)="","—",INDEX(Data!$I:$I,$L36)),"")</f>
        <v>14</v>
      </c>
      <c r="C36" s="12">
        <f>IF(AND(ISNUMBER($L36),$L36&lt;&gt;""),INDEX(Data!$J:$J,$L36),"")</f>
        <v>20</v>
      </c>
      <c r="D36" s="12">
        <f>IF(AND(ISNUMBER($L36),$L36&lt;&gt;""),INDEX(Data!$K:$K,$L36),"")</f>
        <v>17</v>
      </c>
      <c r="E36" s="12">
        <f>IF(AND(ISNUMBER($L36),$L36&lt;&gt;""),IF(INDEX(Data!$L:$L,$L36)="","—",INDEX(Data!$L:$L,$L36)),"")</f>
        <v>17</v>
      </c>
      <c r="F36" s="12" t="str">
        <f>IF(AND(ISNUMBER($L36),$L36&lt;&gt;""),IF(INDEX(Data!$M:$M,$L36)="","—",INDEX(Data!$M:$M,$L36)),"")</f>
        <v>—</v>
      </c>
      <c r="G36" s="13" t="str">
        <f>IF(AND(ISNUMBER($L36),$L36&lt;&gt;""),IF(INDEX(Data!$N:$N,$L36)="","—",INDEX(Data!$N:$N,$L36)),"")</f>
        <v>—</v>
      </c>
      <c r="H36" s="14" t="str">
        <f>IF(AND(ISNUMBER($L36),$L36&lt;&gt;""),IF(INDEX(Data!$Q:$Q,$L36)="","—",INDEX(Data!$Q:$Q,$L36)),"")</f>
        <v>—</v>
      </c>
      <c r="I36" s="15" t="str">
        <f>IF(AND(ISNUMBER($L36),$L36&lt;&gt;""),INDEX(Data!$E:$E,$L36),"")</f>
        <v>100756</v>
      </c>
      <c r="J36" s="15" t="str">
        <f>IF(AND(ISNUMBER($L36),$L36&lt;&gt;""),INDEX(Data!$F:$F,$L36),"")</f>
        <v>8885004830004</v>
      </c>
      <c r="L36">
        <f>IFERROR(MATCH((YEAR($B$3)*10000+MONTH($B$3)*100+DAY($B$3))*1000+27,Data!$V:$V,0),"")</f>
        <v>934</v>
      </c>
    </row>
    <row r="37" spans="1:12" x14ac:dyDescent="0.2">
      <c r="A37" s="16" t="str">
        <f>IF(AND(ISNUMBER($L37),$L37&lt;&gt;""),INDEX(Data!$G:$G,$L37),"")</f>
        <v>LD Zoom</v>
      </c>
      <c r="B37" s="17">
        <f>IF(AND(ISNUMBER($L37),$L37&lt;&gt;""),IF(INDEX(Data!$I:$I,$L37)="","—",INDEX(Data!$I:$I,$L37)),"")</f>
        <v>6</v>
      </c>
      <c r="C37" s="17">
        <f>IF(AND(ISNUMBER($L37),$L37&lt;&gt;""),INDEX(Data!$J:$J,$L37),"")</f>
        <v>0</v>
      </c>
      <c r="D37" s="17">
        <f>IF(AND(ISNUMBER($L37),$L37&lt;&gt;""),INDEX(Data!$K:$K,$L37),"")</f>
        <v>3</v>
      </c>
      <c r="E37" s="17">
        <f>IF(AND(ISNUMBER($L37),$L37&lt;&gt;""),IF(INDEX(Data!$L:$L,$L37)="","—",INDEX(Data!$L:$L,$L37)),"")</f>
        <v>3</v>
      </c>
      <c r="F37" s="17" t="str">
        <f>IF(AND(ISNUMBER($L37),$L37&lt;&gt;""),IF(INDEX(Data!$M:$M,$L37)="","—",INDEX(Data!$M:$M,$L37)),"")</f>
        <v>—</v>
      </c>
      <c r="G37" s="18" t="str">
        <f>IF(AND(ISNUMBER($L37),$L37&lt;&gt;""),IF(INDEX(Data!$N:$N,$L37)="","—",INDEX(Data!$N:$N,$L37)),"")</f>
        <v>—</v>
      </c>
      <c r="H37" s="19" t="str">
        <f>IF(AND(ISNUMBER($L37),$L37&lt;&gt;""),IF(INDEX(Data!$Q:$Q,$L37)="","—",INDEX(Data!$Q:$Q,$L37)),"")</f>
        <v>—</v>
      </c>
      <c r="I37" s="20" t="str">
        <f>IF(AND(ISNUMBER($L37),$L37&lt;&gt;""),INDEX(Data!$E:$E,$L37),"")</f>
        <v>100762</v>
      </c>
      <c r="J37" s="20" t="str">
        <f>IF(AND(ISNUMBER($L37),$L37&lt;&gt;""),INDEX(Data!$F:$F,$L37),"")</f>
        <v>9555900300121</v>
      </c>
      <c r="L37">
        <f>IFERROR(MATCH((YEAR($B$3)*10000+MONTH($B$3)*100+DAY($B$3))*1000+28,Data!$V:$V,0),"")</f>
        <v>935</v>
      </c>
    </row>
    <row r="38" spans="1:12" x14ac:dyDescent="0.2">
      <c r="A38" s="11" t="str">
        <f>IF(AND(ISNUMBER($L38),$L38&lt;&gt;""),INDEX(Data!$G:$G,$L38),"")</f>
        <v>Marlboro Black</v>
      </c>
      <c r="B38" s="12">
        <f>IF(AND(ISNUMBER($L38),$L38&lt;&gt;""),IF(INDEX(Data!$I:$I,$L38)="","—",INDEX(Data!$I:$I,$L38)),"")</f>
        <v>7</v>
      </c>
      <c r="C38" s="12">
        <f>IF(AND(ISNUMBER($L38),$L38&lt;&gt;""),INDEX(Data!$J:$J,$L38),"")</f>
        <v>0</v>
      </c>
      <c r="D38" s="12">
        <f>IF(AND(ISNUMBER($L38),$L38&lt;&gt;""),INDEX(Data!$K:$K,$L38),"")</f>
        <v>7</v>
      </c>
      <c r="E38" s="12">
        <f>IF(AND(ISNUMBER($L38),$L38&lt;&gt;""),IF(INDEX(Data!$L:$L,$L38)="","—",INDEX(Data!$L:$L,$L38)),"")</f>
        <v>0</v>
      </c>
      <c r="F38" s="12" t="str">
        <f>IF(AND(ISNUMBER($L38),$L38&lt;&gt;""),IF(INDEX(Data!$M:$M,$L38)="","—",INDEX(Data!$M:$M,$L38)),"")</f>
        <v>—</v>
      </c>
      <c r="G38" s="13" t="str">
        <f>IF(AND(ISNUMBER($L38),$L38&lt;&gt;""),IF(INDEX(Data!$N:$N,$L38)="","—",INDEX(Data!$N:$N,$L38)),"")</f>
        <v>—</v>
      </c>
      <c r="H38" s="14" t="str">
        <f>IF(AND(ISNUMBER($L38),$L38&lt;&gt;""),IF(INDEX(Data!$Q:$Q,$L38)="","—",INDEX(Data!$Q:$Q,$L38)),"")</f>
        <v>—</v>
      </c>
      <c r="I38" s="15" t="str">
        <f>IF(AND(ISNUMBER($L38),$L38&lt;&gt;""),INDEX(Data!$E:$E,$L38),"")</f>
        <v>100626</v>
      </c>
      <c r="J38" s="15" t="str">
        <f>IF(AND(ISNUMBER($L38),$L38&lt;&gt;""),INDEX(Data!$F:$F,$L38),"")</f>
        <v>95508788</v>
      </c>
      <c r="L38">
        <f>IFERROR(MATCH((YEAR($B$3)*10000+MONTH($B$3)*100+DAY($B$3))*1000+29,Data!$V:$V,0),"")</f>
        <v>936</v>
      </c>
    </row>
    <row r="39" spans="1:12" x14ac:dyDescent="0.2">
      <c r="A39" s="16" t="str">
        <f>IF(AND(ISNUMBER($L39),$L39&lt;&gt;""),INDEX(Data!$G:$G,$L39),"")</f>
        <v>Marlboro Double Burst</v>
      </c>
      <c r="B39" s="17">
        <f>IF(AND(ISNUMBER($L39),$L39&lt;&gt;""),IF(INDEX(Data!$I:$I,$L39)="","—",INDEX(Data!$I:$I,$L39)),"")</f>
        <v>10</v>
      </c>
      <c r="C39" s="17">
        <f>IF(AND(ISNUMBER($L39),$L39&lt;&gt;""),INDEX(Data!$J:$J,$L39),"")</f>
        <v>0</v>
      </c>
      <c r="D39" s="17">
        <f>IF(AND(ISNUMBER($L39),$L39&lt;&gt;""),INDEX(Data!$K:$K,$L39),"")</f>
        <v>10</v>
      </c>
      <c r="E39" s="17">
        <f>IF(AND(ISNUMBER($L39),$L39&lt;&gt;""),IF(INDEX(Data!$L:$L,$L39)="","—",INDEX(Data!$L:$L,$L39)),"")</f>
        <v>0</v>
      </c>
      <c r="F39" s="17" t="str">
        <f>IF(AND(ISNUMBER($L39),$L39&lt;&gt;""),IF(INDEX(Data!$M:$M,$L39)="","—",INDEX(Data!$M:$M,$L39)),"")</f>
        <v>—</v>
      </c>
      <c r="G39" s="18" t="str">
        <f>IF(AND(ISNUMBER($L39),$L39&lt;&gt;""),IF(INDEX(Data!$N:$N,$L39)="","—",INDEX(Data!$N:$N,$L39)),"")</f>
        <v>—</v>
      </c>
      <c r="H39" s="19" t="str">
        <f>IF(AND(ISNUMBER($L39),$L39&lt;&gt;""),IF(INDEX(Data!$Q:$Q,$L39)="","—",INDEX(Data!$Q:$Q,$L39)),"")</f>
        <v>—</v>
      </c>
      <c r="I39" s="20" t="str">
        <f>IF(AND(ISNUMBER($L39),$L39&lt;&gt;""),INDEX(Data!$E:$E,$L39),"")</f>
        <v>100630</v>
      </c>
      <c r="J39" s="20" t="str">
        <f>IF(AND(ISNUMBER($L39),$L39&lt;&gt;""),INDEX(Data!$F:$F,$L39),"")</f>
        <v>45163012</v>
      </c>
      <c r="L39">
        <f>IFERROR(MATCH((YEAR($B$3)*10000+MONTH($B$3)*100+DAY($B$3))*1000+30,Data!$V:$V,0),"")</f>
        <v>937</v>
      </c>
    </row>
    <row r="40" spans="1:12" x14ac:dyDescent="0.2">
      <c r="A40" s="11" t="str">
        <f>IF(AND(ISNUMBER($L40),$L40&lt;&gt;""),INDEX(Data!$G:$G,$L40),"")</f>
        <v>Marlboro Gold</v>
      </c>
      <c r="B40" s="12">
        <f>IF(AND(ISNUMBER($L40),$L40&lt;&gt;""),IF(INDEX(Data!$I:$I,$L40)="","—",INDEX(Data!$I:$I,$L40)),"")</f>
        <v>13</v>
      </c>
      <c r="C40" s="12">
        <f>IF(AND(ISNUMBER($L40),$L40&lt;&gt;""),INDEX(Data!$J:$J,$L40),"")</f>
        <v>0</v>
      </c>
      <c r="D40" s="12">
        <f>IF(AND(ISNUMBER($L40),$L40&lt;&gt;""),INDEX(Data!$K:$K,$L40),"")</f>
        <v>0</v>
      </c>
      <c r="E40" s="12">
        <f>IF(AND(ISNUMBER($L40),$L40&lt;&gt;""),IF(INDEX(Data!$L:$L,$L40)="","—",INDEX(Data!$L:$L,$L40)),"")</f>
        <v>13</v>
      </c>
      <c r="F40" s="12" t="str">
        <f>IF(AND(ISNUMBER($L40),$L40&lt;&gt;""),IF(INDEX(Data!$M:$M,$L40)="","—",INDEX(Data!$M:$M,$L40)),"")</f>
        <v>—</v>
      </c>
      <c r="G40" s="13" t="str">
        <f>IF(AND(ISNUMBER($L40),$L40&lt;&gt;""),IF(INDEX(Data!$N:$N,$L40)="","—",INDEX(Data!$N:$N,$L40)),"")</f>
        <v>—</v>
      </c>
      <c r="H40" s="14" t="str">
        <f>IF(AND(ISNUMBER($L40),$L40&lt;&gt;""),IF(INDEX(Data!$Q:$Q,$L40)="","—",INDEX(Data!$Q:$Q,$L40)),"")</f>
        <v>—</v>
      </c>
      <c r="I40" s="15" t="str">
        <f>IF(AND(ISNUMBER($L40),$L40&lt;&gt;""),INDEX(Data!$E:$E,$L40),"")</f>
        <v>100628</v>
      </c>
      <c r="J40" s="15" t="str">
        <f>IF(AND(ISNUMBER($L40),$L40&lt;&gt;""),INDEX(Data!$F:$F,$L40),"")</f>
        <v>76239878</v>
      </c>
      <c r="L40">
        <f>IFERROR(MATCH((YEAR($B$3)*10000+MONTH($B$3)*100+DAY($B$3))*1000+31,Data!$V:$V,0),"")</f>
        <v>938</v>
      </c>
    </row>
    <row r="41" spans="1:12" x14ac:dyDescent="0.2">
      <c r="A41" s="16" t="str">
        <f>IF(AND(ISNUMBER($L41),$L41&lt;&gt;""),INDEX(Data!$G:$G,$L41),"")</f>
        <v>Marlboro Ice</v>
      </c>
      <c r="B41" s="17">
        <f>IF(AND(ISNUMBER($L41),$L41&lt;&gt;""),IF(INDEX(Data!$I:$I,$L41)="","—",INDEX(Data!$I:$I,$L41)),"")</f>
        <v>18</v>
      </c>
      <c r="C41" s="17">
        <f>IF(AND(ISNUMBER($L41),$L41&lt;&gt;""),INDEX(Data!$J:$J,$L41),"")</f>
        <v>0</v>
      </c>
      <c r="D41" s="17">
        <f>IF(AND(ISNUMBER($L41),$L41&lt;&gt;""),INDEX(Data!$K:$K,$L41),"")</f>
        <v>17</v>
      </c>
      <c r="E41" s="17">
        <f>IF(AND(ISNUMBER($L41),$L41&lt;&gt;""),IF(INDEX(Data!$L:$L,$L41)="","—",INDEX(Data!$L:$L,$L41)),"")</f>
        <v>1</v>
      </c>
      <c r="F41" s="17" t="str">
        <f>IF(AND(ISNUMBER($L41),$L41&lt;&gt;""),IF(INDEX(Data!$M:$M,$L41)="","—",INDEX(Data!$M:$M,$L41)),"")</f>
        <v>—</v>
      </c>
      <c r="G41" s="18" t="str">
        <f>IF(AND(ISNUMBER($L41),$L41&lt;&gt;""),IF(INDEX(Data!$N:$N,$L41)="","—",INDEX(Data!$N:$N,$L41)),"")</f>
        <v>—</v>
      </c>
      <c r="H41" s="19" t="str">
        <f>IF(AND(ISNUMBER($L41),$L41&lt;&gt;""),IF(INDEX(Data!$Q:$Q,$L41)="","—",INDEX(Data!$Q:$Q,$L41)),"")</f>
        <v>—</v>
      </c>
      <c r="I41" s="20" t="str">
        <f>IF(AND(ISNUMBER($L41),$L41&lt;&gt;""),INDEX(Data!$E:$E,$L41),"")</f>
        <v>100624</v>
      </c>
      <c r="J41" s="20" t="str">
        <f>IF(AND(ISNUMBER($L41),$L41&lt;&gt;""),INDEX(Data!$F:$F,$L41),"")</f>
        <v>95509839</v>
      </c>
      <c r="L41">
        <f>IFERROR(MATCH((YEAR($B$3)*10000+MONTH($B$3)*100+DAY($B$3))*1000+32,Data!$V:$V,0),"")</f>
        <v>939</v>
      </c>
    </row>
    <row r="42" spans="1:12" x14ac:dyDescent="0.2">
      <c r="A42" s="11" t="str">
        <f>IF(AND(ISNUMBER($L42),$L42&lt;&gt;""),INDEX(Data!$G:$G,$L42),"")</f>
        <v>Marlboro Menthol</v>
      </c>
      <c r="B42" s="12">
        <f>IF(AND(ISNUMBER($L42),$L42&lt;&gt;""),IF(INDEX(Data!$I:$I,$L42)="","—",INDEX(Data!$I:$I,$L42)),"")</f>
        <v>9</v>
      </c>
      <c r="C42" s="12">
        <f>IF(AND(ISNUMBER($L42),$L42&lt;&gt;""),INDEX(Data!$J:$J,$L42),"")</f>
        <v>0</v>
      </c>
      <c r="D42" s="12">
        <f>IF(AND(ISNUMBER($L42),$L42&lt;&gt;""),INDEX(Data!$K:$K,$L42),"")</f>
        <v>9</v>
      </c>
      <c r="E42" s="12">
        <f>IF(AND(ISNUMBER($L42),$L42&lt;&gt;""),IF(INDEX(Data!$L:$L,$L42)="","—",INDEX(Data!$L:$L,$L42)),"")</f>
        <v>0</v>
      </c>
      <c r="F42" s="12" t="str">
        <f>IF(AND(ISNUMBER($L42),$L42&lt;&gt;""),IF(INDEX(Data!$M:$M,$L42)="","—",INDEX(Data!$M:$M,$L42)),"")</f>
        <v>—</v>
      </c>
      <c r="G42" s="13" t="str">
        <f>IF(AND(ISNUMBER($L42),$L42&lt;&gt;""),IF(INDEX(Data!$N:$N,$L42)="","—",INDEX(Data!$N:$N,$L42)),"")</f>
        <v>—</v>
      </c>
      <c r="H42" s="14" t="str">
        <f>IF(AND(ISNUMBER($L42),$L42&lt;&gt;""),IF(INDEX(Data!$Q:$Q,$L42)="","—",INDEX(Data!$Q:$Q,$L42)),"")</f>
        <v>—</v>
      </c>
      <c r="I42" s="15" t="str">
        <f>IF(AND(ISNUMBER($L42),$L42&lt;&gt;""),INDEX(Data!$E:$E,$L42),"")</f>
        <v>100632</v>
      </c>
      <c r="J42" s="15" t="str">
        <f>IF(AND(ISNUMBER($L42),$L42&lt;&gt;""),INDEX(Data!$F:$F,$L42),"")</f>
        <v>76239427</v>
      </c>
      <c r="L42">
        <f>IFERROR(MATCH((YEAR($B$3)*10000+MONTH($B$3)*100+DAY($B$3))*1000+33,Data!$V:$V,0),"")</f>
        <v>940</v>
      </c>
    </row>
    <row r="43" spans="1:12" x14ac:dyDescent="0.2">
      <c r="A43" s="16" t="str">
        <f>IF(AND(ISNUMBER($L43),$L43&lt;&gt;""),INDEX(Data!$G:$G,$L43),"")</f>
        <v>Marlboro Red</v>
      </c>
      <c r="B43" s="17">
        <f>IF(AND(ISNUMBER($L43),$L43&lt;&gt;""),IF(INDEX(Data!$I:$I,$L43)="","—",INDEX(Data!$I:$I,$L43)),"")</f>
        <v>10</v>
      </c>
      <c r="C43" s="17">
        <f>IF(AND(ISNUMBER($L43),$L43&lt;&gt;""),INDEX(Data!$J:$J,$L43),"")</f>
        <v>0</v>
      </c>
      <c r="D43" s="17">
        <f>IF(AND(ISNUMBER($L43),$L43&lt;&gt;""),INDEX(Data!$K:$K,$L43),"")</f>
        <v>9</v>
      </c>
      <c r="E43" s="17">
        <f>IF(AND(ISNUMBER($L43),$L43&lt;&gt;""),IF(INDEX(Data!$L:$L,$L43)="","—",INDEX(Data!$L:$L,$L43)),"")</f>
        <v>1</v>
      </c>
      <c r="F43" s="17" t="str">
        <f>IF(AND(ISNUMBER($L43),$L43&lt;&gt;""),IF(INDEX(Data!$M:$M,$L43)="","—",INDEX(Data!$M:$M,$L43)),"")</f>
        <v>—</v>
      </c>
      <c r="G43" s="18" t="str">
        <f>IF(AND(ISNUMBER($L43),$L43&lt;&gt;""),IF(INDEX(Data!$N:$N,$L43)="","—",INDEX(Data!$N:$N,$L43)),"")</f>
        <v>—</v>
      </c>
      <c r="H43" s="19" t="str">
        <f>IF(AND(ISNUMBER($L43),$L43&lt;&gt;""),IF(INDEX(Data!$Q:$Q,$L43)="","—",INDEX(Data!$Q:$Q,$L43)),"")</f>
        <v>—</v>
      </c>
      <c r="I43" s="20" t="str">
        <f>IF(AND(ISNUMBER($L43),$L43&lt;&gt;""),INDEX(Data!$E:$E,$L43),"")</f>
        <v>100634</v>
      </c>
      <c r="J43" s="20" t="str">
        <f>IF(AND(ISNUMBER($L43),$L43&lt;&gt;""),INDEX(Data!$F:$F,$L43),"")</f>
        <v>76164217</v>
      </c>
      <c r="L43">
        <f>IFERROR(MATCH((YEAR($B$3)*10000+MONTH($B$3)*100+DAY($B$3))*1000+34,Data!$V:$V,0),"")</f>
        <v>941</v>
      </c>
    </row>
    <row r="44" spans="1:12" x14ac:dyDescent="0.2">
      <c r="A44" s="11" t="str">
        <f>IF(AND(ISNUMBER($L44),$L44&lt;&gt;""),INDEX(Data!$G:$G,$L44),"")</f>
        <v>Marlboro Summer</v>
      </c>
      <c r="B44" s="12">
        <f>IF(AND(ISNUMBER($L44),$L44&lt;&gt;""),IF(INDEX(Data!$I:$I,$L44)="","—",INDEX(Data!$I:$I,$L44)),"")</f>
        <v>4</v>
      </c>
      <c r="C44" s="12">
        <f>IF(AND(ISNUMBER($L44),$L44&lt;&gt;""),INDEX(Data!$J:$J,$L44),"")</f>
        <v>0</v>
      </c>
      <c r="D44" s="12">
        <f>IF(AND(ISNUMBER($L44),$L44&lt;&gt;""),INDEX(Data!$K:$K,$L44),"")</f>
        <v>4</v>
      </c>
      <c r="E44" s="12">
        <f>IF(AND(ISNUMBER($L44),$L44&lt;&gt;""),IF(INDEX(Data!$L:$L,$L44)="","—",INDEX(Data!$L:$L,$L44)),"")</f>
        <v>0</v>
      </c>
      <c r="F44" s="12" t="str">
        <f>IF(AND(ISNUMBER($L44),$L44&lt;&gt;""),IF(INDEX(Data!$M:$M,$L44)="","—",INDEX(Data!$M:$M,$L44)),"")</f>
        <v>—</v>
      </c>
      <c r="G44" s="13" t="str">
        <f>IF(AND(ISNUMBER($L44),$L44&lt;&gt;""),IF(INDEX(Data!$N:$N,$L44)="","—",INDEX(Data!$N:$N,$L44)),"")</f>
        <v>—</v>
      </c>
      <c r="H44" s="14" t="str">
        <f>IF(AND(ISNUMBER($L44),$L44&lt;&gt;""),IF(INDEX(Data!$Q:$Q,$L44)="","—",INDEX(Data!$Q:$Q,$L44)),"")</f>
        <v>—</v>
      </c>
      <c r="I44" s="15" t="str">
        <f>IF(AND(ISNUMBER($L44),$L44&lt;&gt;""),INDEX(Data!$E:$E,$L44),"")</f>
        <v>106880</v>
      </c>
      <c r="J44" s="15" t="str">
        <f>IF(AND(ISNUMBER($L44),$L44&lt;&gt;""),INDEX(Data!$F:$F,$L44),"")</f>
        <v>7622100700364</v>
      </c>
      <c r="L44">
        <f>IFERROR(MATCH((YEAR($B$3)*10000+MONTH($B$3)*100+DAY($B$3))*1000+35,Data!$V:$V,0),"")</f>
        <v>942</v>
      </c>
    </row>
    <row r="45" spans="1:12" x14ac:dyDescent="0.2">
      <c r="A45" s="16" t="str">
        <f>IF(AND(ISNUMBER($L45),$L45&lt;&gt;""),INDEX(Data!$G:$G,$L45),"")</f>
        <v>Marlboro Tropical</v>
      </c>
      <c r="B45" s="17">
        <f>IF(AND(ISNUMBER($L45),$L45&lt;&gt;""),IF(INDEX(Data!$I:$I,$L45)="","—",INDEX(Data!$I:$I,$L45)),"")</f>
        <v>5</v>
      </c>
      <c r="C45" s="17">
        <f>IF(AND(ISNUMBER($L45),$L45&lt;&gt;""),INDEX(Data!$J:$J,$L45),"")</f>
        <v>0</v>
      </c>
      <c r="D45" s="17">
        <f>IF(AND(ISNUMBER($L45),$L45&lt;&gt;""),INDEX(Data!$K:$K,$L45),"")</f>
        <v>5</v>
      </c>
      <c r="E45" s="17">
        <f>IF(AND(ISNUMBER($L45),$L45&lt;&gt;""),IF(INDEX(Data!$L:$L,$L45)="","—",INDEX(Data!$L:$L,$L45)),"")</f>
        <v>0</v>
      </c>
      <c r="F45" s="17" t="str">
        <f>IF(AND(ISNUMBER($L45),$L45&lt;&gt;""),IF(INDEX(Data!$M:$M,$L45)="","—",INDEX(Data!$M:$M,$L45)),"")</f>
        <v>—</v>
      </c>
      <c r="G45" s="18" t="str">
        <f>IF(AND(ISNUMBER($L45),$L45&lt;&gt;""),IF(INDEX(Data!$N:$N,$L45)="","—",INDEX(Data!$N:$N,$L45)),"")</f>
        <v>—</v>
      </c>
      <c r="H45" s="19" t="str">
        <f>IF(AND(ISNUMBER($L45),$L45&lt;&gt;""),IF(INDEX(Data!$Q:$Q,$L45)="","—",INDEX(Data!$Q:$Q,$L45)),"")</f>
        <v>—</v>
      </c>
      <c r="I45" s="20" t="str">
        <f>IF(AND(ISNUMBER($L45),$L45&lt;&gt;""),INDEX(Data!$E:$E,$L45),"")</f>
        <v>106879</v>
      </c>
      <c r="J45" s="20" t="str">
        <f>IF(AND(ISNUMBER($L45),$L45&lt;&gt;""),INDEX(Data!$F:$F,$L45),"")</f>
        <v>7622100698937</v>
      </c>
      <c r="L45">
        <f>IFERROR(MATCH((YEAR($B$3)*10000+MONTH($B$3)*100+DAY($B$3))*1000+36,Data!$V:$V,0),"")</f>
        <v>943</v>
      </c>
    </row>
    <row r="46" spans="1:12" x14ac:dyDescent="0.2">
      <c r="A46" s="11" t="str">
        <f>IF(AND(ISNUMBER($L46),$L46&lt;&gt;""),INDEX(Data!$G:$G,$L46),"")</f>
        <v>Mevius Blue</v>
      </c>
      <c r="B46" s="12">
        <f>IF(AND(ISNUMBER($L46),$L46&lt;&gt;""),IF(INDEX(Data!$I:$I,$L46)="","—",INDEX(Data!$I:$I,$L46)),"")</f>
        <v>15</v>
      </c>
      <c r="C46" s="12">
        <f>IF(AND(ISNUMBER($L46),$L46&lt;&gt;""),INDEX(Data!$J:$J,$L46),"")</f>
        <v>0</v>
      </c>
      <c r="D46" s="12">
        <f>IF(AND(ISNUMBER($L46),$L46&lt;&gt;""),INDEX(Data!$K:$K,$L46),"")</f>
        <v>19</v>
      </c>
      <c r="E46" s="12">
        <f>IF(AND(ISNUMBER($L46),$L46&lt;&gt;""),IF(INDEX(Data!$L:$L,$L46)="","—",INDEX(Data!$L:$L,$L46)),"")</f>
        <v>-4</v>
      </c>
      <c r="F46" s="12" t="str">
        <f>IF(AND(ISNUMBER($L46),$L46&lt;&gt;""),IF(INDEX(Data!$M:$M,$L46)="","—",INDEX(Data!$M:$M,$L46)),"")</f>
        <v>—</v>
      </c>
      <c r="G46" s="13" t="str">
        <f>IF(AND(ISNUMBER($L46),$L46&lt;&gt;""),IF(INDEX(Data!$N:$N,$L46)="","—",INDEX(Data!$N:$N,$L46)),"")</f>
        <v>—</v>
      </c>
      <c r="H46" s="14" t="str">
        <f>IF(AND(ISNUMBER($L46),$L46&lt;&gt;""),IF(INDEX(Data!$Q:$Q,$L46)="","—",INDEX(Data!$Q:$Q,$L46)),"")</f>
        <v>—</v>
      </c>
      <c r="I46" s="15" t="str">
        <f>IF(AND(ISNUMBER($L46),$L46&lt;&gt;""),INDEX(Data!$E:$E,$L46),"")</f>
        <v>100730</v>
      </c>
      <c r="J46" s="15" t="str">
        <f>IF(AND(ISNUMBER($L46),$L46&lt;&gt;""),INDEX(Data!$F:$F,$L46),"")</f>
        <v>49401196</v>
      </c>
      <c r="L46">
        <f>IFERROR(MATCH((YEAR($B$3)*10000+MONTH($B$3)*100+DAY($B$3))*1000+37,Data!$V:$V,0),"")</f>
        <v>944</v>
      </c>
    </row>
    <row r="47" spans="1:12" x14ac:dyDescent="0.2">
      <c r="A47" s="16" t="str">
        <f>IF(AND(ISNUMBER($L47),$L47&lt;&gt;""),INDEX(Data!$G:$G,$L47),"")</f>
        <v>Mevius Duo</v>
      </c>
      <c r="B47" s="17">
        <f>IF(AND(ISNUMBER($L47),$L47&lt;&gt;""),IF(INDEX(Data!$I:$I,$L47)="","—",INDEX(Data!$I:$I,$L47)),"")</f>
        <v>2</v>
      </c>
      <c r="C47" s="17">
        <f>IF(AND(ISNUMBER($L47),$L47&lt;&gt;""),INDEX(Data!$J:$J,$L47),"")</f>
        <v>0</v>
      </c>
      <c r="D47" s="17">
        <f>IF(AND(ISNUMBER($L47),$L47&lt;&gt;""),INDEX(Data!$K:$K,$L47),"")</f>
        <v>2</v>
      </c>
      <c r="E47" s="17">
        <f>IF(AND(ISNUMBER($L47),$L47&lt;&gt;""),IF(INDEX(Data!$L:$L,$L47)="","—",INDEX(Data!$L:$L,$L47)),"")</f>
        <v>0</v>
      </c>
      <c r="F47" s="17" t="str">
        <f>IF(AND(ISNUMBER($L47),$L47&lt;&gt;""),IF(INDEX(Data!$M:$M,$L47)="","—",INDEX(Data!$M:$M,$L47)),"")</f>
        <v>—</v>
      </c>
      <c r="G47" s="18" t="str">
        <f>IF(AND(ISNUMBER($L47),$L47&lt;&gt;""),IF(INDEX(Data!$N:$N,$L47)="","—",INDEX(Data!$N:$N,$L47)),"")</f>
        <v>—</v>
      </c>
      <c r="H47" s="19" t="str">
        <f>IF(AND(ISNUMBER($L47),$L47&lt;&gt;""),IF(INDEX(Data!$Q:$Q,$L47)="","—",INDEX(Data!$Q:$Q,$L47)),"")</f>
        <v>—</v>
      </c>
      <c r="I47" s="20" t="str">
        <f>IF(AND(ISNUMBER($L47),$L47&lt;&gt;""),INDEX(Data!$E:$E,$L47),"")</f>
        <v>100732</v>
      </c>
      <c r="J47" s="20" t="str">
        <f>IF(AND(ISNUMBER($L47),$L47&lt;&gt;""),INDEX(Data!$F:$F,$L47),"")</f>
        <v>4033100054556</v>
      </c>
      <c r="L47">
        <f>IFERROR(MATCH((YEAR($B$3)*10000+MONTH($B$3)*100+DAY($B$3))*1000+38,Data!$V:$V,0),"")</f>
        <v>945</v>
      </c>
    </row>
    <row r="48" spans="1:12" x14ac:dyDescent="0.2">
      <c r="A48" s="11" t="str">
        <f>IF(AND(ISNUMBER($L48),$L48&lt;&gt;""),INDEX(Data!$G:$G,$L48),"")</f>
        <v>Mevius Kiwami</v>
      </c>
      <c r="B48" s="12">
        <f>IF(AND(ISNUMBER($L48),$L48&lt;&gt;""),IF(INDEX(Data!$I:$I,$L48)="","—",INDEX(Data!$I:$I,$L48)),"")</f>
        <v>2</v>
      </c>
      <c r="C48" s="12">
        <f>IF(AND(ISNUMBER($L48),$L48&lt;&gt;""),INDEX(Data!$J:$J,$L48),"")</f>
        <v>0</v>
      </c>
      <c r="D48" s="12">
        <f>IF(AND(ISNUMBER($L48),$L48&lt;&gt;""),INDEX(Data!$K:$K,$L48),"")</f>
        <v>1</v>
      </c>
      <c r="E48" s="12">
        <f>IF(AND(ISNUMBER($L48),$L48&lt;&gt;""),IF(INDEX(Data!$L:$L,$L48)="","—",INDEX(Data!$L:$L,$L48)),"")</f>
        <v>1</v>
      </c>
      <c r="F48" s="12" t="str">
        <f>IF(AND(ISNUMBER($L48),$L48&lt;&gt;""),IF(INDEX(Data!$M:$M,$L48)="","—",INDEX(Data!$M:$M,$L48)),"")</f>
        <v>—</v>
      </c>
      <c r="G48" s="13" t="str">
        <f>IF(AND(ISNUMBER($L48),$L48&lt;&gt;""),IF(INDEX(Data!$N:$N,$L48)="","—",INDEX(Data!$N:$N,$L48)),"")</f>
        <v>—</v>
      </c>
      <c r="H48" s="14" t="str">
        <f>IF(AND(ISNUMBER($L48),$L48&lt;&gt;""),IF(INDEX(Data!$Q:$Q,$L48)="","—",INDEX(Data!$Q:$Q,$L48)),"")</f>
        <v>—</v>
      </c>
      <c r="I48" s="15" t="str">
        <f>IF(AND(ISNUMBER($L48),$L48&lt;&gt;""),INDEX(Data!$E:$E,$L48),"")</f>
        <v>106489</v>
      </c>
      <c r="J48" s="15" t="str">
        <f>IF(AND(ISNUMBER($L48),$L48&lt;&gt;""),INDEX(Data!$F:$F,$L48),"")</f>
        <v>9555900301326</v>
      </c>
      <c r="L48">
        <f>IFERROR(MATCH((YEAR($B$3)*10000+MONTH($B$3)*100+DAY($B$3))*1000+39,Data!$V:$V,0),"")</f>
        <v>946</v>
      </c>
    </row>
    <row r="49" spans="1:12" x14ac:dyDescent="0.2">
      <c r="A49" s="16" t="str">
        <f>IF(AND(ISNUMBER($L49),$L49&lt;&gt;""),INDEX(Data!$G:$G,$L49),"")</f>
        <v>Mevius Menthol</v>
      </c>
      <c r="B49" s="17">
        <f>IF(AND(ISNUMBER($L49),$L49&lt;&gt;""),IF(INDEX(Data!$I:$I,$L49)="","—",INDEX(Data!$I:$I,$L49)),"")</f>
        <v>6</v>
      </c>
      <c r="C49" s="17">
        <f>IF(AND(ISNUMBER($L49),$L49&lt;&gt;""),INDEX(Data!$J:$J,$L49),"")</f>
        <v>0</v>
      </c>
      <c r="D49" s="17">
        <f>IF(AND(ISNUMBER($L49),$L49&lt;&gt;""),INDEX(Data!$K:$K,$L49),"")</f>
        <v>0</v>
      </c>
      <c r="E49" s="17">
        <f>IF(AND(ISNUMBER($L49),$L49&lt;&gt;""),IF(INDEX(Data!$L:$L,$L49)="","—",INDEX(Data!$L:$L,$L49)),"")</f>
        <v>6</v>
      </c>
      <c r="F49" s="17" t="str">
        <f>IF(AND(ISNUMBER($L49),$L49&lt;&gt;""),IF(INDEX(Data!$M:$M,$L49)="","—",INDEX(Data!$M:$M,$L49)),"")</f>
        <v>—</v>
      </c>
      <c r="G49" s="18" t="str">
        <f>IF(AND(ISNUMBER($L49),$L49&lt;&gt;""),IF(INDEX(Data!$N:$N,$L49)="","—",INDEX(Data!$N:$N,$L49)),"")</f>
        <v>—</v>
      </c>
      <c r="H49" s="19" t="str">
        <f>IF(AND(ISNUMBER($L49),$L49&lt;&gt;""),IF(INDEX(Data!$Q:$Q,$L49)="","—",INDEX(Data!$Q:$Q,$L49)),"")</f>
        <v>—</v>
      </c>
      <c r="I49" s="20" t="str">
        <f>IF(AND(ISNUMBER($L49),$L49&lt;&gt;""),INDEX(Data!$E:$E,$L49),"")</f>
        <v>100726</v>
      </c>
      <c r="J49" s="20" t="str">
        <f>IF(AND(ISNUMBER($L49),$L49&lt;&gt;""),INDEX(Data!$F:$F,$L49),"")</f>
        <v>01232135</v>
      </c>
      <c r="L49">
        <f>IFERROR(MATCH((YEAR($B$3)*10000+MONTH($B$3)*100+DAY($B$3))*1000+40,Data!$V:$V,0),"")</f>
        <v>947</v>
      </c>
    </row>
    <row r="50" spans="1:12" x14ac:dyDescent="0.2">
      <c r="A50" s="11" t="str">
        <f>IF(AND(ISNUMBER($L50),$L50&lt;&gt;""),INDEX(Data!$G:$G,$L50),"")</f>
        <v>Mevius Menthol White</v>
      </c>
      <c r="B50" s="12">
        <f>IF(AND(ISNUMBER($L50),$L50&lt;&gt;""),IF(INDEX(Data!$I:$I,$L50)="","—",INDEX(Data!$I:$I,$L50)),"")</f>
        <v>4</v>
      </c>
      <c r="C50" s="12">
        <f>IF(AND(ISNUMBER($L50),$L50&lt;&gt;""),INDEX(Data!$J:$J,$L50),"")</f>
        <v>0</v>
      </c>
      <c r="D50" s="12">
        <f>IF(AND(ISNUMBER($L50),$L50&lt;&gt;""),INDEX(Data!$K:$K,$L50),"")</f>
        <v>4</v>
      </c>
      <c r="E50" s="12">
        <f>IF(AND(ISNUMBER($L50),$L50&lt;&gt;""),IF(INDEX(Data!$L:$L,$L50)="","—",INDEX(Data!$L:$L,$L50)),"")</f>
        <v>0</v>
      </c>
      <c r="F50" s="12" t="str">
        <f>IF(AND(ISNUMBER($L50),$L50&lt;&gt;""),IF(INDEX(Data!$M:$M,$L50)="","—",INDEX(Data!$M:$M,$L50)),"")</f>
        <v>—</v>
      </c>
      <c r="G50" s="13" t="str">
        <f>IF(AND(ISNUMBER($L50),$L50&lt;&gt;""),IF(INDEX(Data!$N:$N,$L50)="","—",INDEX(Data!$N:$N,$L50)),"")</f>
        <v>—</v>
      </c>
      <c r="H50" s="14" t="str">
        <f>IF(AND(ISNUMBER($L50),$L50&lt;&gt;""),IF(INDEX(Data!$Q:$Q,$L50)="","—",INDEX(Data!$Q:$Q,$L50)),"")</f>
        <v>—</v>
      </c>
      <c r="I50" s="15" t="str">
        <f>IF(AND(ISNUMBER($L50),$L50&lt;&gt;""),INDEX(Data!$E:$E,$L50),"")</f>
        <v>100724</v>
      </c>
      <c r="J50" s="15" t="str">
        <f>IF(AND(ISNUMBER($L50),$L50&lt;&gt;""),INDEX(Data!$F:$F,$L50),"")</f>
        <v>01239730</v>
      </c>
      <c r="L50">
        <f>IFERROR(MATCH((YEAR($B$3)*10000+MONTH($B$3)*100+DAY($B$3))*1000+41,Data!$V:$V,0),"")</f>
        <v>948</v>
      </c>
    </row>
    <row r="51" spans="1:12" x14ac:dyDescent="0.2">
      <c r="A51" s="16" t="str">
        <f>IF(AND(ISNUMBER($L51),$L51&lt;&gt;""),INDEX(Data!$G:$G,$L51),"")</f>
        <v>Mevius Sky Blue</v>
      </c>
      <c r="B51" s="17">
        <f>IF(AND(ISNUMBER($L51),$L51&lt;&gt;""),IF(INDEX(Data!$I:$I,$L51)="","—",INDEX(Data!$I:$I,$L51)),"")</f>
        <v>17</v>
      </c>
      <c r="C51" s="17">
        <f>IF(AND(ISNUMBER($L51),$L51&lt;&gt;""),INDEX(Data!$J:$J,$L51),"")</f>
        <v>0</v>
      </c>
      <c r="D51" s="17">
        <f>IF(AND(ISNUMBER($L51),$L51&lt;&gt;""),INDEX(Data!$K:$K,$L51),"")</f>
        <v>13</v>
      </c>
      <c r="E51" s="17">
        <f>IF(AND(ISNUMBER($L51),$L51&lt;&gt;""),IF(INDEX(Data!$L:$L,$L51)="","—",INDEX(Data!$L:$L,$L51)),"")</f>
        <v>4</v>
      </c>
      <c r="F51" s="17" t="str">
        <f>IF(AND(ISNUMBER($L51),$L51&lt;&gt;""),IF(INDEX(Data!$M:$M,$L51)="","—",INDEX(Data!$M:$M,$L51)),"")</f>
        <v>—</v>
      </c>
      <c r="G51" s="18" t="str">
        <f>IF(AND(ISNUMBER($L51),$L51&lt;&gt;""),IF(INDEX(Data!$N:$N,$L51)="","—",INDEX(Data!$N:$N,$L51)),"")</f>
        <v>—</v>
      </c>
      <c r="H51" s="19" t="str">
        <f>IF(AND(ISNUMBER($L51),$L51&lt;&gt;""),IF(INDEX(Data!$Q:$Q,$L51)="","—",INDEX(Data!$Q:$Q,$L51)),"")</f>
        <v>—</v>
      </c>
      <c r="I51" s="20" t="str">
        <f>IF(AND(ISNUMBER($L51),$L51&lt;&gt;""),INDEX(Data!$E:$E,$L51),"")</f>
        <v>100734</v>
      </c>
      <c r="J51" s="20" t="str">
        <f>IF(AND(ISNUMBER($L51),$L51&lt;&gt;""),INDEX(Data!$F:$F,$L51),"")</f>
        <v>4902210200804</v>
      </c>
      <c r="L51">
        <f>IFERROR(MATCH((YEAR($B$3)*10000+MONTH($B$3)*100+DAY($B$3))*1000+42,Data!$V:$V,0),"")</f>
        <v>949</v>
      </c>
    </row>
    <row r="52" spans="1:12" x14ac:dyDescent="0.2">
      <c r="A52" s="11" t="str">
        <f>IF(AND(ISNUMBER($L52),$L52&lt;&gt;""),INDEX(Data!$G:$G,$L52),"")</f>
        <v>Mevius Wind Blue</v>
      </c>
      <c r="B52" s="12">
        <f>IF(AND(ISNUMBER($L52),$L52&lt;&gt;""),IF(INDEX(Data!$I:$I,$L52)="","—",INDEX(Data!$I:$I,$L52)),"")</f>
        <v>0</v>
      </c>
      <c r="C52" s="12">
        <f>IF(AND(ISNUMBER($L52),$L52&lt;&gt;""),INDEX(Data!$J:$J,$L52),"")</f>
        <v>0</v>
      </c>
      <c r="D52" s="12">
        <f>IF(AND(ISNUMBER($L52),$L52&lt;&gt;""),INDEX(Data!$K:$K,$L52),"")</f>
        <v>4</v>
      </c>
      <c r="E52" s="12">
        <f>IF(AND(ISNUMBER($L52),$L52&lt;&gt;""),IF(INDEX(Data!$L:$L,$L52)="","—",INDEX(Data!$L:$L,$L52)),"")</f>
        <v>-4</v>
      </c>
      <c r="F52" s="12" t="str">
        <f>IF(AND(ISNUMBER($L52),$L52&lt;&gt;""),IF(INDEX(Data!$M:$M,$L52)="","—",INDEX(Data!$M:$M,$L52)),"")</f>
        <v>—</v>
      </c>
      <c r="G52" s="13" t="str">
        <f>IF(AND(ISNUMBER($L52),$L52&lt;&gt;""),IF(INDEX(Data!$N:$N,$L52)="","—",INDEX(Data!$N:$N,$L52)),"")</f>
        <v>—</v>
      </c>
      <c r="H52" s="14" t="str">
        <f>IF(AND(ISNUMBER($L52),$L52&lt;&gt;""),IF(INDEX(Data!$Q:$Q,$L52)="","—",INDEX(Data!$Q:$Q,$L52)),"")</f>
        <v>—</v>
      </c>
      <c r="I52" s="15" t="str">
        <f>IF(AND(ISNUMBER($L52),$L52&lt;&gt;""),INDEX(Data!$E:$E,$L52),"")</f>
        <v>100736</v>
      </c>
      <c r="J52" s="15" t="str">
        <f>IF(AND(ISNUMBER($L52),$L52&lt;&gt;""),INDEX(Data!$F:$F,$L52),"")</f>
        <v>40329383</v>
      </c>
      <c r="L52">
        <f>IFERROR(MATCH((YEAR($B$3)*10000+MONTH($B$3)*100+DAY($B$3))*1000+43,Data!$V:$V,0),"")</f>
        <v>950</v>
      </c>
    </row>
    <row r="53" spans="1:12" x14ac:dyDescent="0.2">
      <c r="A53" s="16" t="str">
        <f>IF(AND(ISNUMBER($L53),$L53&lt;&gt;""),INDEX(Data!$G:$G,$L53),"")</f>
        <v>Mevius Yellow</v>
      </c>
      <c r="B53" s="17">
        <f>IF(AND(ISNUMBER($L53),$L53&lt;&gt;""),IF(INDEX(Data!$I:$I,$L53)="","—",INDEX(Data!$I:$I,$L53)),"")</f>
        <v>5</v>
      </c>
      <c r="C53" s="17">
        <f>IF(AND(ISNUMBER($L53),$L53&lt;&gt;""),INDEX(Data!$J:$J,$L53),"")</f>
        <v>0</v>
      </c>
      <c r="D53" s="17">
        <f>IF(AND(ISNUMBER($L53),$L53&lt;&gt;""),INDEX(Data!$K:$K,$L53),"")</f>
        <v>4</v>
      </c>
      <c r="E53" s="17">
        <f>IF(AND(ISNUMBER($L53),$L53&lt;&gt;""),IF(INDEX(Data!$L:$L,$L53)="","—",INDEX(Data!$L:$L,$L53)),"")</f>
        <v>1</v>
      </c>
      <c r="F53" s="17" t="str">
        <f>IF(AND(ISNUMBER($L53),$L53&lt;&gt;""),IF(INDEX(Data!$M:$M,$L53)="","—",INDEX(Data!$M:$M,$L53)),"")</f>
        <v>—</v>
      </c>
      <c r="G53" s="18" t="str">
        <f>IF(AND(ISNUMBER($L53),$L53&lt;&gt;""),IF(INDEX(Data!$N:$N,$L53)="","—",INDEX(Data!$N:$N,$L53)),"")</f>
        <v>—</v>
      </c>
      <c r="H53" s="19" t="str">
        <f>IF(AND(ISNUMBER($L53),$L53&lt;&gt;""),IF(INDEX(Data!$Q:$Q,$L53)="","—",INDEX(Data!$Q:$Q,$L53)),"")</f>
        <v>—</v>
      </c>
      <c r="I53" s="20" t="str">
        <f>IF(AND(ISNUMBER($L53),$L53&lt;&gt;""),INDEX(Data!$E:$E,$L53),"")</f>
        <v>107114</v>
      </c>
      <c r="J53" s="20" t="str">
        <f>IF(AND(ISNUMBER($L53),$L53&lt;&gt;""),INDEX(Data!$F:$F,$L53),"")</f>
        <v>95510569</v>
      </c>
      <c r="L53">
        <f>IFERROR(MATCH((YEAR($B$3)*10000+MONTH($B$3)*100+DAY($B$3))*1000+44,Data!$V:$V,0),"")</f>
        <v>951</v>
      </c>
    </row>
    <row r="54" spans="1:12" x14ac:dyDescent="0.2">
      <c r="A54" s="11" t="str">
        <f>IF(AND(ISNUMBER($L54),$L54&lt;&gt;""),INDEX(Data!$G:$G,$L54),"")</f>
        <v>Peter Stuyvesant Blue</v>
      </c>
      <c r="B54" s="12">
        <f>IF(AND(ISNUMBER($L54),$L54&lt;&gt;""),IF(INDEX(Data!$I:$I,$L54)="","—",INDEX(Data!$I:$I,$L54)),"")</f>
        <v>18</v>
      </c>
      <c r="C54" s="12">
        <f>IF(AND(ISNUMBER($L54),$L54&lt;&gt;""),INDEX(Data!$J:$J,$L54),"")</f>
        <v>0</v>
      </c>
      <c r="D54" s="12">
        <f>IF(AND(ISNUMBER($L54),$L54&lt;&gt;""),INDEX(Data!$K:$K,$L54),"")</f>
        <v>17</v>
      </c>
      <c r="E54" s="12">
        <f>IF(AND(ISNUMBER($L54),$L54&lt;&gt;""),IF(INDEX(Data!$L:$L,$L54)="","—",INDEX(Data!$L:$L,$L54)),"")</f>
        <v>1</v>
      </c>
      <c r="F54" s="12" t="str">
        <f>IF(AND(ISNUMBER($L54),$L54&lt;&gt;""),IF(INDEX(Data!$M:$M,$L54)="","—",INDEX(Data!$M:$M,$L54)),"")</f>
        <v>—</v>
      </c>
      <c r="G54" s="13" t="str">
        <f>IF(AND(ISNUMBER($L54),$L54&lt;&gt;""),IF(INDEX(Data!$N:$N,$L54)="","—",INDEX(Data!$N:$N,$L54)),"")</f>
        <v>—</v>
      </c>
      <c r="H54" s="14" t="str">
        <f>IF(AND(ISNUMBER($L54),$L54&lt;&gt;""),IF(INDEX(Data!$Q:$Q,$L54)="","—",INDEX(Data!$Q:$Q,$L54)),"")</f>
        <v>—</v>
      </c>
      <c r="I54" s="15" t="str">
        <f>IF(AND(ISNUMBER($L54),$L54&lt;&gt;""),INDEX(Data!$E:$E,$L54),"")</f>
        <v>100127</v>
      </c>
      <c r="J54" s="15" t="str">
        <f>IF(AND(ISNUMBER($L54),$L54&lt;&gt;""),INDEX(Data!$F:$F,$L54),"")</f>
        <v>9556109105722</v>
      </c>
      <c r="L54">
        <f>IFERROR(MATCH((YEAR($B$3)*10000+MONTH($B$3)*100+DAY($B$3))*1000+45,Data!$V:$V,0),"")</f>
        <v>952</v>
      </c>
    </row>
    <row r="55" spans="1:12" x14ac:dyDescent="0.2">
      <c r="A55" s="16" t="str">
        <f>IF(AND(ISNUMBER($L55),$L55&lt;&gt;""),INDEX(Data!$G:$G,$L55),"")</f>
        <v>Peter Stuyvesant Red</v>
      </c>
      <c r="B55" s="17">
        <f>IF(AND(ISNUMBER($L55),$L55&lt;&gt;""),IF(INDEX(Data!$I:$I,$L55)="","—",INDEX(Data!$I:$I,$L55)),"")</f>
        <v>9</v>
      </c>
      <c r="C55" s="17">
        <f>IF(AND(ISNUMBER($L55),$L55&lt;&gt;""),INDEX(Data!$J:$J,$L55),"")</f>
        <v>0</v>
      </c>
      <c r="D55" s="17">
        <f>IF(AND(ISNUMBER($L55),$L55&lt;&gt;""),INDEX(Data!$K:$K,$L55),"")</f>
        <v>13</v>
      </c>
      <c r="E55" s="17">
        <f>IF(AND(ISNUMBER($L55),$L55&lt;&gt;""),IF(INDEX(Data!$L:$L,$L55)="","—",INDEX(Data!$L:$L,$L55)),"")</f>
        <v>-4</v>
      </c>
      <c r="F55" s="17" t="str">
        <f>IF(AND(ISNUMBER($L55),$L55&lt;&gt;""),IF(INDEX(Data!$M:$M,$L55)="","—",INDEX(Data!$M:$M,$L55)),"")</f>
        <v>—</v>
      </c>
      <c r="G55" s="18" t="str">
        <f>IF(AND(ISNUMBER($L55),$L55&lt;&gt;""),IF(INDEX(Data!$N:$N,$L55)="","—",INDEX(Data!$N:$N,$L55)),"")</f>
        <v>—</v>
      </c>
      <c r="H55" s="19" t="str">
        <f>IF(AND(ISNUMBER($L55),$L55&lt;&gt;""),IF(INDEX(Data!$Q:$Q,$L55)="","—",INDEX(Data!$Q:$Q,$L55)),"")</f>
        <v>—</v>
      </c>
      <c r="I55" s="20" t="str">
        <f>IF(AND(ISNUMBER($L55),$L55&lt;&gt;""),INDEX(Data!$E:$E,$L55),"")</f>
        <v>100128</v>
      </c>
      <c r="J55" s="20" t="str">
        <f>IF(AND(ISNUMBER($L55),$L55&lt;&gt;""),INDEX(Data!$F:$F,$L55),"")</f>
        <v>9556109105715</v>
      </c>
      <c r="L55">
        <f>IFERROR(MATCH((YEAR($B$3)*10000+MONTH($B$3)*100+DAY($B$3))*1000+46,Data!$V:$V,0),"")</f>
        <v>953</v>
      </c>
    </row>
    <row r="56" spans="1:12" x14ac:dyDescent="0.2">
      <c r="A56" s="11" t="str">
        <f>IF(AND(ISNUMBER($L56),$L56&lt;&gt;""),INDEX(Data!$G:$G,$L56),"")</f>
        <v>Peter Stuyvesant Remix</v>
      </c>
      <c r="B56" s="12">
        <f>IF(AND(ISNUMBER($L56),$L56&lt;&gt;""),IF(INDEX(Data!$I:$I,$L56)="","—",INDEX(Data!$I:$I,$L56)),"")</f>
        <v>19</v>
      </c>
      <c r="C56" s="12">
        <f>IF(AND(ISNUMBER($L56),$L56&lt;&gt;""),INDEX(Data!$J:$J,$L56),"")</f>
        <v>0</v>
      </c>
      <c r="D56" s="12">
        <f>IF(AND(ISNUMBER($L56),$L56&lt;&gt;""),INDEX(Data!$K:$K,$L56),"")</f>
        <v>19</v>
      </c>
      <c r="E56" s="12">
        <f>IF(AND(ISNUMBER($L56),$L56&lt;&gt;""),IF(INDEX(Data!$L:$L,$L56)="","—",INDEX(Data!$L:$L,$L56)),"")</f>
        <v>0</v>
      </c>
      <c r="F56" s="12" t="str">
        <f>IF(AND(ISNUMBER($L56),$L56&lt;&gt;""),IF(INDEX(Data!$M:$M,$L56)="","—",INDEX(Data!$M:$M,$L56)),"")</f>
        <v>—</v>
      </c>
      <c r="G56" s="13" t="str">
        <f>IF(AND(ISNUMBER($L56),$L56&lt;&gt;""),IF(INDEX(Data!$N:$N,$L56)="","—",INDEX(Data!$N:$N,$L56)),"")</f>
        <v>—</v>
      </c>
      <c r="H56" s="14" t="str">
        <f>IF(AND(ISNUMBER($L56),$L56&lt;&gt;""),IF(INDEX(Data!$Q:$Q,$L56)="","—",INDEX(Data!$Q:$Q,$L56)),"")</f>
        <v>—</v>
      </c>
      <c r="I56" s="15" t="str">
        <f>IF(AND(ISNUMBER($L56),$L56&lt;&gt;""),INDEX(Data!$E:$E,$L56),"")</f>
        <v>100125</v>
      </c>
      <c r="J56" s="15" t="str">
        <f>IF(AND(ISNUMBER($L56),$L56&lt;&gt;""),INDEX(Data!$F:$F,$L56),"")</f>
        <v>9556109107481</v>
      </c>
      <c r="L56">
        <f>IFERROR(MATCH((YEAR($B$3)*10000+MONTH($B$3)*100+DAY($B$3))*1000+47,Data!$V:$V,0),"")</f>
        <v>954</v>
      </c>
    </row>
    <row r="57" spans="1:12" x14ac:dyDescent="0.2">
      <c r="A57" s="16" t="str">
        <f>IF(AND(ISNUMBER($L57),$L57&lt;&gt;""),INDEX(Data!$G:$G,$L57),"")</f>
        <v>Rothmans Blue</v>
      </c>
      <c r="B57" s="17">
        <f>IF(AND(ISNUMBER($L57),$L57&lt;&gt;""),IF(INDEX(Data!$I:$I,$L57)="","—",INDEX(Data!$I:$I,$L57)),"")</f>
        <v>13</v>
      </c>
      <c r="C57" s="17">
        <f>IF(AND(ISNUMBER($L57),$L57&lt;&gt;""),INDEX(Data!$J:$J,$L57),"")</f>
        <v>0</v>
      </c>
      <c r="D57" s="17">
        <f>IF(AND(ISNUMBER($L57),$L57&lt;&gt;""),INDEX(Data!$K:$K,$L57),"")</f>
        <v>19</v>
      </c>
      <c r="E57" s="17">
        <f>IF(AND(ISNUMBER($L57),$L57&lt;&gt;""),IF(INDEX(Data!$L:$L,$L57)="","—",INDEX(Data!$L:$L,$L57)),"")</f>
        <v>-6</v>
      </c>
      <c r="F57" s="17" t="str">
        <f>IF(AND(ISNUMBER($L57),$L57&lt;&gt;""),IF(INDEX(Data!$M:$M,$L57)="","—",INDEX(Data!$M:$M,$L57)),"")</f>
        <v>—</v>
      </c>
      <c r="G57" s="18" t="str">
        <f>IF(AND(ISNUMBER($L57),$L57&lt;&gt;""),IF(INDEX(Data!$N:$N,$L57)="","—",INDEX(Data!$N:$N,$L57)),"")</f>
        <v>—</v>
      </c>
      <c r="H57" s="19" t="str">
        <f>IF(AND(ISNUMBER($L57),$L57&lt;&gt;""),IF(INDEX(Data!$Q:$Q,$L57)="","—",INDEX(Data!$Q:$Q,$L57)),"")</f>
        <v>—</v>
      </c>
      <c r="I57" s="20" t="str">
        <f>IF(AND(ISNUMBER($L57),$L57&lt;&gt;""),INDEX(Data!$E:$E,$L57),"")</f>
        <v>100156</v>
      </c>
      <c r="J57" s="20" t="str">
        <f>IF(AND(ISNUMBER($L57),$L57&lt;&gt;""),INDEX(Data!$F:$F,$L57),"")</f>
        <v>9556109106712</v>
      </c>
      <c r="L57">
        <f>IFERROR(MATCH((YEAR($B$3)*10000+MONTH($B$3)*100+DAY($B$3))*1000+48,Data!$V:$V,0),"")</f>
        <v>955</v>
      </c>
    </row>
    <row r="58" spans="1:12" x14ac:dyDescent="0.2">
      <c r="A58" s="11" t="str">
        <f>IF(AND(ISNUMBER($L58),$L58&lt;&gt;""),INDEX(Data!$G:$G,$L58),"")</f>
        <v>Rothmans Charcoal</v>
      </c>
      <c r="B58" s="12">
        <f>IF(AND(ISNUMBER($L58),$L58&lt;&gt;""),IF(INDEX(Data!$I:$I,$L58)="","—",INDEX(Data!$I:$I,$L58)),"")</f>
        <v>6</v>
      </c>
      <c r="C58" s="12">
        <f>IF(AND(ISNUMBER($L58),$L58&lt;&gt;""),INDEX(Data!$J:$J,$L58),"")</f>
        <v>0</v>
      </c>
      <c r="D58" s="12">
        <f>IF(AND(ISNUMBER($L58),$L58&lt;&gt;""),INDEX(Data!$K:$K,$L58),"")</f>
        <v>14</v>
      </c>
      <c r="E58" s="12">
        <f>IF(AND(ISNUMBER($L58),$L58&lt;&gt;""),IF(INDEX(Data!$L:$L,$L58)="","—",INDEX(Data!$L:$L,$L58)),"")</f>
        <v>-8</v>
      </c>
      <c r="F58" s="12" t="str">
        <f>IF(AND(ISNUMBER($L58),$L58&lt;&gt;""),IF(INDEX(Data!$M:$M,$L58)="","—",INDEX(Data!$M:$M,$L58)),"")</f>
        <v>—</v>
      </c>
      <c r="G58" s="13" t="str">
        <f>IF(AND(ISNUMBER($L58),$L58&lt;&gt;""),IF(INDEX(Data!$N:$N,$L58)="","—",INDEX(Data!$N:$N,$L58)),"")</f>
        <v>—</v>
      </c>
      <c r="H58" s="14" t="str">
        <f>IF(AND(ISNUMBER($L58),$L58&lt;&gt;""),IF(INDEX(Data!$Q:$Q,$L58)="","—",INDEX(Data!$Q:$Q,$L58)),"")</f>
        <v>—</v>
      </c>
      <c r="I58" s="15" t="str">
        <f>IF(AND(ISNUMBER($L58),$L58&lt;&gt;""),INDEX(Data!$E:$E,$L58),"")</f>
        <v>104385</v>
      </c>
      <c r="J58" s="15" t="str">
        <f>IF(AND(ISNUMBER($L58),$L58&lt;&gt;""),INDEX(Data!$F:$F,$L58),"")</f>
        <v>9556109108006</v>
      </c>
      <c r="L58">
        <f>IFERROR(MATCH((YEAR($B$3)*10000+MONTH($B$3)*100+DAY($B$3))*1000+49,Data!$V:$V,0),"")</f>
        <v>956</v>
      </c>
    </row>
    <row r="59" spans="1:12" x14ac:dyDescent="0.2">
      <c r="A59" s="16" t="str">
        <f>IF(AND(ISNUMBER($L59),$L59&lt;&gt;""),INDEX(Data!$G:$G,$L59),"")</f>
        <v>Rothmans Kool Hokkaido Mint</v>
      </c>
      <c r="B59" s="17">
        <f>IF(AND(ISNUMBER($L59),$L59&lt;&gt;""),IF(INDEX(Data!$I:$I,$L59)="","—",INDEX(Data!$I:$I,$L59)),"")</f>
        <v>5</v>
      </c>
      <c r="C59" s="17">
        <f>IF(AND(ISNUMBER($L59),$L59&lt;&gt;""),INDEX(Data!$J:$J,$L59),"")</f>
        <v>0</v>
      </c>
      <c r="D59" s="17">
        <f>IF(AND(ISNUMBER($L59),$L59&lt;&gt;""),INDEX(Data!$K:$K,$L59),"")</f>
        <v>6</v>
      </c>
      <c r="E59" s="17">
        <f>IF(AND(ISNUMBER($L59),$L59&lt;&gt;""),IF(INDEX(Data!$L:$L,$L59)="","—",INDEX(Data!$L:$L,$L59)),"")</f>
        <v>-1</v>
      </c>
      <c r="F59" s="17" t="str">
        <f>IF(AND(ISNUMBER($L59),$L59&lt;&gt;""),IF(INDEX(Data!$M:$M,$L59)="","—",INDEX(Data!$M:$M,$L59)),"")</f>
        <v>—</v>
      </c>
      <c r="G59" s="18" t="str">
        <f>IF(AND(ISNUMBER($L59),$L59&lt;&gt;""),IF(INDEX(Data!$N:$N,$L59)="","—",INDEX(Data!$N:$N,$L59)),"")</f>
        <v>—</v>
      </c>
      <c r="H59" s="19" t="str">
        <f>IF(AND(ISNUMBER($L59),$L59&lt;&gt;""),IF(INDEX(Data!$Q:$Q,$L59)="","—",INDEX(Data!$Q:$Q,$L59)),"")</f>
        <v>—</v>
      </c>
      <c r="I59" s="20" t="str">
        <f>IF(AND(ISNUMBER($L59),$L59&lt;&gt;""),INDEX(Data!$E:$E,$L59),"")</f>
        <v>104555</v>
      </c>
      <c r="J59" s="20" t="str">
        <f>IF(AND(ISNUMBER($L59),$L59&lt;&gt;""),INDEX(Data!$F:$F,$L59),"")</f>
        <v>9556109108358</v>
      </c>
      <c r="L59">
        <f>IFERROR(MATCH((YEAR($B$3)*10000+MONTH($B$3)*100+DAY($B$3))*1000+50,Data!$V:$V,0),"")</f>
        <v>957</v>
      </c>
    </row>
    <row r="60" spans="1:12" x14ac:dyDescent="0.2">
      <c r="A60" s="11" t="str">
        <f>IF(AND(ISNUMBER($L60),$L60&lt;&gt;""),INDEX(Data!$G:$G,$L60),"")</f>
        <v>Rothmans Menthol</v>
      </c>
      <c r="B60" s="12">
        <f>IF(AND(ISNUMBER($L60),$L60&lt;&gt;""),IF(INDEX(Data!$I:$I,$L60)="","—",INDEX(Data!$I:$I,$L60)),"")</f>
        <v>6</v>
      </c>
      <c r="C60" s="12">
        <f>IF(AND(ISNUMBER($L60),$L60&lt;&gt;""),INDEX(Data!$J:$J,$L60),"")</f>
        <v>0</v>
      </c>
      <c r="D60" s="12">
        <f>IF(AND(ISNUMBER($L60),$L60&lt;&gt;""),INDEX(Data!$K:$K,$L60),"")</f>
        <v>4</v>
      </c>
      <c r="E60" s="12">
        <f>IF(AND(ISNUMBER($L60),$L60&lt;&gt;""),IF(INDEX(Data!$L:$L,$L60)="","—",INDEX(Data!$L:$L,$L60)),"")</f>
        <v>2</v>
      </c>
      <c r="F60" s="12" t="str">
        <f>IF(AND(ISNUMBER($L60),$L60&lt;&gt;""),IF(INDEX(Data!$M:$M,$L60)="","—",INDEX(Data!$M:$M,$L60)),"")</f>
        <v>—</v>
      </c>
      <c r="G60" s="13" t="str">
        <f>IF(AND(ISNUMBER($L60),$L60&lt;&gt;""),IF(INDEX(Data!$N:$N,$L60)="","—",INDEX(Data!$N:$N,$L60)),"")</f>
        <v>—</v>
      </c>
      <c r="H60" s="14" t="str">
        <f>IF(AND(ISNUMBER($L60),$L60&lt;&gt;""),IF(INDEX(Data!$Q:$Q,$L60)="","—",INDEX(Data!$Q:$Q,$L60)),"")</f>
        <v>—</v>
      </c>
      <c r="I60" s="15" t="str">
        <f>IF(AND(ISNUMBER($L60),$L60&lt;&gt;""),INDEX(Data!$E:$E,$L60),"")</f>
        <v>104429</v>
      </c>
      <c r="J60" s="15" t="str">
        <f>IF(AND(ISNUMBER($L60),$L60&lt;&gt;""),INDEX(Data!$F:$F,$L60),"")</f>
        <v>9556109108334</v>
      </c>
      <c r="L60">
        <f>IFERROR(MATCH((YEAR($B$3)*10000+MONTH($B$3)*100+DAY($B$3))*1000+51,Data!$V:$V,0),"")</f>
        <v>958</v>
      </c>
    </row>
    <row r="61" spans="1:12" x14ac:dyDescent="0.2">
      <c r="A61" s="16" t="str">
        <f>IF(AND(ISNUMBER($L61),$L61&lt;&gt;""),INDEX(Data!$G:$G,$L61),"")</f>
        <v>Rothmans Purple</v>
      </c>
      <c r="B61" s="17">
        <f>IF(AND(ISNUMBER($L61),$L61&lt;&gt;""),IF(INDEX(Data!$I:$I,$L61)="","—",INDEX(Data!$I:$I,$L61)),"")</f>
        <v>9</v>
      </c>
      <c r="C61" s="17">
        <f>IF(AND(ISNUMBER($L61),$L61&lt;&gt;""),INDEX(Data!$J:$J,$L61),"")</f>
        <v>0</v>
      </c>
      <c r="D61" s="17">
        <f>IF(AND(ISNUMBER($L61),$L61&lt;&gt;""),INDEX(Data!$K:$K,$L61),"")</f>
        <v>5</v>
      </c>
      <c r="E61" s="17">
        <f>IF(AND(ISNUMBER($L61),$L61&lt;&gt;""),IF(INDEX(Data!$L:$L,$L61)="","—",INDEX(Data!$L:$L,$L61)),"")</f>
        <v>4</v>
      </c>
      <c r="F61" s="17" t="str">
        <f>IF(AND(ISNUMBER($L61),$L61&lt;&gt;""),IF(INDEX(Data!$M:$M,$L61)="","—",INDEX(Data!$M:$M,$L61)),"")</f>
        <v>—</v>
      </c>
      <c r="G61" s="18" t="str">
        <f>IF(AND(ISNUMBER($L61),$L61&lt;&gt;""),IF(INDEX(Data!$N:$N,$L61)="","—",INDEX(Data!$N:$N,$L61)),"")</f>
        <v>—</v>
      </c>
      <c r="H61" s="19" t="str">
        <f>IF(AND(ISNUMBER($L61),$L61&lt;&gt;""),IF(INDEX(Data!$Q:$Q,$L61)="","—",INDEX(Data!$Q:$Q,$L61)),"")</f>
        <v>—</v>
      </c>
      <c r="I61" s="20" t="str">
        <f>IF(AND(ISNUMBER($L61),$L61&lt;&gt;""),INDEX(Data!$E:$E,$L61),"")</f>
        <v>103630</v>
      </c>
      <c r="J61" s="20" t="str">
        <f>IF(AND(ISNUMBER($L61),$L61&lt;&gt;""),INDEX(Data!$F:$F,$L61),"")</f>
        <v>9556109108310</v>
      </c>
      <c r="L61">
        <f>IFERROR(MATCH((YEAR($B$3)*10000+MONTH($B$3)*100+DAY($B$3))*1000+52,Data!$V:$V,0),"")</f>
        <v>959</v>
      </c>
    </row>
    <row r="62" spans="1:12" x14ac:dyDescent="0.2">
      <c r="A62" s="11" t="str">
        <f>IF(AND(ISNUMBER($L62),$L62&lt;&gt;""),INDEX(Data!$G:$G,$L62),"")</f>
        <v>Rothmans Red</v>
      </c>
      <c r="B62" s="12">
        <f>IF(AND(ISNUMBER($L62),$L62&lt;&gt;""),IF(INDEX(Data!$I:$I,$L62)="","—",INDEX(Data!$I:$I,$L62)),"")</f>
        <v>15</v>
      </c>
      <c r="C62" s="12">
        <f>IF(AND(ISNUMBER($L62),$L62&lt;&gt;""),INDEX(Data!$J:$J,$L62),"")</f>
        <v>0</v>
      </c>
      <c r="D62" s="12">
        <f>IF(AND(ISNUMBER($L62),$L62&lt;&gt;""),INDEX(Data!$K:$K,$L62),"")</f>
        <v>10</v>
      </c>
      <c r="E62" s="12">
        <f>IF(AND(ISNUMBER($L62),$L62&lt;&gt;""),IF(INDEX(Data!$L:$L,$L62)="","—",INDEX(Data!$L:$L,$L62)),"")</f>
        <v>5</v>
      </c>
      <c r="F62" s="12" t="str">
        <f>IF(AND(ISNUMBER($L62),$L62&lt;&gt;""),IF(INDEX(Data!$M:$M,$L62)="","—",INDEX(Data!$M:$M,$L62)),"")</f>
        <v>—</v>
      </c>
      <c r="G62" s="13" t="str">
        <f>IF(AND(ISNUMBER($L62),$L62&lt;&gt;""),IF(INDEX(Data!$N:$N,$L62)="","—",INDEX(Data!$N:$N,$L62)),"")</f>
        <v>—</v>
      </c>
      <c r="H62" s="14" t="str">
        <f>IF(AND(ISNUMBER($L62),$L62&lt;&gt;""),IF(INDEX(Data!$Q:$Q,$L62)="","—",INDEX(Data!$Q:$Q,$L62)),"")</f>
        <v>—</v>
      </c>
      <c r="I62" s="15" t="str">
        <f>IF(AND(ISNUMBER($L62),$L62&lt;&gt;""),INDEX(Data!$E:$E,$L62),"")</f>
        <v>100155</v>
      </c>
      <c r="J62" s="15" t="str">
        <f>IF(AND(ISNUMBER($L62),$L62&lt;&gt;""),INDEX(Data!$F:$F,$L62),"")</f>
        <v>9556109106330</v>
      </c>
      <c r="L62">
        <f>IFERROR(MATCH((YEAR($B$3)*10000+MONTH($B$3)*100+DAY($B$3))*1000+53,Data!$V:$V,0),"")</f>
        <v>960</v>
      </c>
    </row>
    <row r="63" spans="1:12" x14ac:dyDescent="0.2">
      <c r="A63" s="16" t="str">
        <f>IF(AND(ISNUMBER($L63),$L63&lt;&gt;""),INDEX(Data!$G:$G,$L63),"")</f>
        <v>Sampoerna Menthol</v>
      </c>
      <c r="B63" s="17">
        <f>IF(AND(ISNUMBER($L63),$L63&lt;&gt;""),IF(INDEX(Data!$I:$I,$L63)="","—",INDEX(Data!$I:$I,$L63)),"")</f>
        <v>7</v>
      </c>
      <c r="C63" s="17">
        <f>IF(AND(ISNUMBER($L63),$L63&lt;&gt;""),INDEX(Data!$J:$J,$L63),"")</f>
        <v>0</v>
      </c>
      <c r="D63" s="17">
        <f>IF(AND(ISNUMBER($L63),$L63&lt;&gt;""),INDEX(Data!$K:$K,$L63),"")</f>
        <v>7</v>
      </c>
      <c r="E63" s="17">
        <f>IF(AND(ISNUMBER($L63),$L63&lt;&gt;""),IF(INDEX(Data!$L:$L,$L63)="","—",INDEX(Data!$L:$L,$L63)),"")</f>
        <v>0</v>
      </c>
      <c r="F63" s="17" t="str">
        <f>IF(AND(ISNUMBER($L63),$L63&lt;&gt;""),IF(INDEX(Data!$M:$M,$L63)="","—",INDEX(Data!$M:$M,$L63)),"")</f>
        <v>—</v>
      </c>
      <c r="G63" s="18" t="str">
        <f>IF(AND(ISNUMBER($L63),$L63&lt;&gt;""),IF(INDEX(Data!$N:$N,$L63)="","—",INDEX(Data!$N:$N,$L63)),"")</f>
        <v>—</v>
      </c>
      <c r="H63" s="19" t="str">
        <f>IF(AND(ISNUMBER($L63),$L63&lt;&gt;""),IF(INDEX(Data!$Q:$Q,$L63)="","—",INDEX(Data!$Q:$Q,$L63)),"")</f>
        <v>—</v>
      </c>
      <c r="I63" s="20" t="str">
        <f>IF(AND(ISNUMBER($L63),$L63&lt;&gt;""),INDEX(Data!$E:$E,$L63),"")</f>
        <v>100646</v>
      </c>
      <c r="J63" s="20" t="str">
        <f>IF(AND(ISNUMBER($L63),$L63&lt;&gt;""),INDEX(Data!$F:$F,$L63),"")</f>
        <v>89990469</v>
      </c>
      <c r="L63">
        <f>IFERROR(MATCH((YEAR($B$3)*10000+MONTH($B$3)*100+DAY($B$3))*1000+54,Data!$V:$V,0),"")</f>
        <v>961</v>
      </c>
    </row>
    <row r="64" spans="1:12" x14ac:dyDescent="0.2">
      <c r="A64" s="11" t="str">
        <f>IF(AND(ISNUMBER($L64),$L64&lt;&gt;""),INDEX(Data!$G:$G,$L64),"")</f>
        <v>Sampoerna Red</v>
      </c>
      <c r="B64" s="12">
        <f>IF(AND(ISNUMBER($L64),$L64&lt;&gt;""),IF(INDEX(Data!$I:$I,$L64)="","—",INDEX(Data!$I:$I,$L64)),"")</f>
        <v>2</v>
      </c>
      <c r="C64" s="12">
        <f>IF(AND(ISNUMBER($L64),$L64&lt;&gt;""),INDEX(Data!$J:$J,$L64),"")</f>
        <v>0</v>
      </c>
      <c r="D64" s="12">
        <f>IF(AND(ISNUMBER($L64),$L64&lt;&gt;""),INDEX(Data!$K:$K,$L64),"")</f>
        <v>2</v>
      </c>
      <c r="E64" s="12">
        <f>IF(AND(ISNUMBER($L64),$L64&lt;&gt;""),IF(INDEX(Data!$L:$L,$L64)="","—",INDEX(Data!$L:$L,$L64)),"")</f>
        <v>0</v>
      </c>
      <c r="F64" s="12" t="str">
        <f>IF(AND(ISNUMBER($L64),$L64&lt;&gt;""),IF(INDEX(Data!$M:$M,$L64)="","—",INDEX(Data!$M:$M,$L64)),"")</f>
        <v>—</v>
      </c>
      <c r="G64" s="13" t="str">
        <f>IF(AND(ISNUMBER($L64),$L64&lt;&gt;""),IF(INDEX(Data!$N:$N,$L64)="","—",INDEX(Data!$N:$N,$L64)),"")</f>
        <v>—</v>
      </c>
      <c r="H64" s="14" t="str">
        <f>IF(AND(ISNUMBER($L64),$L64&lt;&gt;""),IF(INDEX(Data!$Q:$Q,$L64)="","—",INDEX(Data!$Q:$Q,$L64)),"")</f>
        <v>—</v>
      </c>
      <c r="I64" s="15" t="str">
        <f>IF(AND(ISNUMBER($L64),$L64&lt;&gt;""),INDEX(Data!$E:$E,$L64),"")</f>
        <v>100648</v>
      </c>
      <c r="J64" s="15" t="str">
        <f>IF(AND(ISNUMBER($L64),$L64&lt;&gt;""),INDEX(Data!$F:$F,$L64),"")</f>
        <v>89990568</v>
      </c>
      <c r="L64">
        <f>IFERROR(MATCH((YEAR($B$3)*10000+MONTH($B$3)*100+DAY($B$3))*1000+55,Data!$V:$V,0),"")</f>
        <v>962</v>
      </c>
    </row>
    <row r="65" spans="1:12" x14ac:dyDescent="0.2">
      <c r="A65" s="16" t="str">
        <f>IF(AND(ISNUMBER($L65),$L65&lt;&gt;""),INDEX(Data!$G:$G,$L65),"")</f>
        <v>TEREA AMBER</v>
      </c>
      <c r="B65" s="17">
        <f>IF(AND(ISNUMBER($L65),$L65&lt;&gt;""),IF(INDEX(Data!$I:$I,$L65)="","—",INDEX(Data!$I:$I,$L65)),"")</f>
        <v>13</v>
      </c>
      <c r="C65" s="17">
        <f>IF(AND(ISNUMBER($L65),$L65&lt;&gt;""),INDEX(Data!$J:$J,$L65),"")</f>
        <v>10</v>
      </c>
      <c r="D65" s="17">
        <f>IF(AND(ISNUMBER($L65),$L65&lt;&gt;""),INDEX(Data!$K:$K,$L65),"")</f>
        <v>11</v>
      </c>
      <c r="E65" s="17">
        <f>IF(AND(ISNUMBER($L65),$L65&lt;&gt;""),IF(INDEX(Data!$L:$L,$L65)="","—",INDEX(Data!$L:$L,$L65)),"")</f>
        <v>12</v>
      </c>
      <c r="F65" s="17" t="str">
        <f>IF(AND(ISNUMBER($L65),$L65&lt;&gt;""),IF(INDEX(Data!$M:$M,$L65)="","—",INDEX(Data!$M:$M,$L65)),"")</f>
        <v>—</v>
      </c>
      <c r="G65" s="18" t="str">
        <f>IF(AND(ISNUMBER($L65),$L65&lt;&gt;""),IF(INDEX(Data!$N:$N,$L65)="","—",INDEX(Data!$N:$N,$L65)),"")</f>
        <v>—</v>
      </c>
      <c r="H65" s="19" t="str">
        <f>IF(AND(ISNUMBER($L65),$L65&lt;&gt;""),IF(INDEX(Data!$Q:$Q,$L65)="","—",INDEX(Data!$Q:$Q,$L65)),"")</f>
        <v>—</v>
      </c>
      <c r="I65" s="20" t="str">
        <f>IF(AND(ISNUMBER($L65),$L65&lt;&gt;""),INDEX(Data!$E:$E,$L65),"")</f>
        <v>107089</v>
      </c>
      <c r="J65" s="20" t="str">
        <f>IF(AND(ISNUMBER($L65),$L65&lt;&gt;""),INDEX(Data!$F:$F,$L65),"")</f>
        <v>9555277316510</v>
      </c>
      <c r="L65">
        <f>IFERROR(MATCH((YEAR($B$3)*10000+MONTH($B$3)*100+DAY($B$3))*1000+56,Data!$V:$V,0),"")</f>
        <v>963</v>
      </c>
    </row>
    <row r="66" spans="1:12" x14ac:dyDescent="0.2">
      <c r="A66" s="11" t="str">
        <f>IF(AND(ISNUMBER($L66),$L66&lt;&gt;""),INDEX(Data!$G:$G,$L66),"")</f>
        <v>TEREA BLACK GREEN</v>
      </c>
      <c r="B66" s="12">
        <f>IF(AND(ISNUMBER($L66),$L66&lt;&gt;""),IF(INDEX(Data!$I:$I,$L66)="","—",INDEX(Data!$I:$I,$L66)),"")</f>
        <v>0</v>
      </c>
      <c r="C66" s="12">
        <f>IF(AND(ISNUMBER($L66),$L66&lt;&gt;""),INDEX(Data!$J:$J,$L66),"")</f>
        <v>0</v>
      </c>
      <c r="D66" s="12">
        <f>IF(AND(ISNUMBER($L66),$L66&lt;&gt;""),INDEX(Data!$K:$K,$L66),"")</f>
        <v>0</v>
      </c>
      <c r="E66" s="12">
        <f>IF(AND(ISNUMBER($L66),$L66&lt;&gt;""),IF(INDEX(Data!$L:$L,$L66)="","—",INDEX(Data!$L:$L,$L66)),"")</f>
        <v>0</v>
      </c>
      <c r="F66" s="12" t="str">
        <f>IF(AND(ISNUMBER($L66),$L66&lt;&gt;""),IF(INDEX(Data!$M:$M,$L66)="","—",INDEX(Data!$M:$M,$L66)),"")</f>
        <v>—</v>
      </c>
      <c r="G66" s="13" t="str">
        <f>IF(AND(ISNUMBER($L66),$L66&lt;&gt;""),IF(INDEX(Data!$N:$N,$L66)="","—",INDEX(Data!$N:$N,$L66)),"")</f>
        <v>—</v>
      </c>
      <c r="H66" s="14" t="str">
        <f>IF(AND(ISNUMBER($L66),$L66&lt;&gt;""),IF(INDEX(Data!$Q:$Q,$L66)="","—",INDEX(Data!$Q:$Q,$L66)),"")</f>
        <v>—</v>
      </c>
      <c r="I66" s="15" t="str">
        <f>IF(AND(ISNUMBER($L66),$L66&lt;&gt;""),INDEX(Data!$E:$E,$L66),"")</f>
        <v>107088</v>
      </c>
      <c r="J66" s="15" t="str">
        <f>IF(AND(ISNUMBER($L66),$L66&lt;&gt;""),INDEX(Data!$F:$F,$L66),"")</f>
        <v>7622100699521</v>
      </c>
      <c r="L66">
        <f>IFERROR(MATCH((YEAR($B$3)*10000+MONTH($B$3)*100+DAY($B$3))*1000+57,Data!$V:$V,0),"")</f>
        <v>964</v>
      </c>
    </row>
    <row r="67" spans="1:12" x14ac:dyDescent="0.2">
      <c r="A67" s="16" t="str">
        <f>IF(AND(ISNUMBER($L67),$L67&lt;&gt;""),INDEX(Data!$G:$G,$L67),"")</f>
        <v>TEREA BLACK PURPLE</v>
      </c>
      <c r="B67" s="17">
        <f>IF(AND(ISNUMBER($L67),$L67&lt;&gt;""),IF(INDEX(Data!$I:$I,$L67)="","—",INDEX(Data!$I:$I,$L67)),"")</f>
        <v>9</v>
      </c>
      <c r="C67" s="17">
        <f>IF(AND(ISNUMBER($L67),$L67&lt;&gt;""),INDEX(Data!$J:$J,$L67),"")</f>
        <v>0</v>
      </c>
      <c r="D67" s="17">
        <f>IF(AND(ISNUMBER($L67),$L67&lt;&gt;""),INDEX(Data!$K:$K,$L67),"")</f>
        <v>6</v>
      </c>
      <c r="E67" s="17">
        <f>IF(AND(ISNUMBER($L67),$L67&lt;&gt;""),IF(INDEX(Data!$L:$L,$L67)="","—",INDEX(Data!$L:$L,$L67)),"")</f>
        <v>3</v>
      </c>
      <c r="F67" s="17" t="str">
        <f>IF(AND(ISNUMBER($L67),$L67&lt;&gt;""),IF(INDEX(Data!$M:$M,$L67)="","—",INDEX(Data!$M:$M,$L67)),"")</f>
        <v>—</v>
      </c>
      <c r="G67" s="18" t="str">
        <f>IF(AND(ISNUMBER($L67),$L67&lt;&gt;""),IF(INDEX(Data!$N:$N,$L67)="","—",INDEX(Data!$N:$N,$L67)),"")</f>
        <v>—</v>
      </c>
      <c r="H67" s="19" t="str">
        <f>IF(AND(ISNUMBER($L67),$L67&lt;&gt;""),IF(INDEX(Data!$Q:$Q,$L67)="","—",INDEX(Data!$Q:$Q,$L67)),"")</f>
        <v>—</v>
      </c>
      <c r="I67" s="20" t="str">
        <f>IF(AND(ISNUMBER($L67),$L67&lt;&gt;""),INDEX(Data!$E:$E,$L67),"")</f>
        <v>107597</v>
      </c>
      <c r="J67" s="20" t="str">
        <f>IF(AND(ISNUMBER($L67),$L67&lt;&gt;""),INDEX(Data!$F:$F,$L67),"")</f>
        <v>7622100701637</v>
      </c>
      <c r="L67">
        <f>IFERROR(MATCH((YEAR($B$3)*10000+MONTH($B$3)*100+DAY($B$3))*1000+58,Data!$V:$V,0),"")</f>
        <v>965</v>
      </c>
    </row>
    <row r="68" spans="1:12" x14ac:dyDescent="0.2">
      <c r="A68" s="11" t="str">
        <f>IF(AND(ISNUMBER($L68),$L68&lt;&gt;""),INDEX(Data!$G:$G,$L68),"")</f>
        <v>TEREA BLACK YELLOW</v>
      </c>
      <c r="B68" s="12">
        <f>IF(AND(ISNUMBER($L68),$L68&lt;&gt;""),IF(INDEX(Data!$I:$I,$L68)="","—",INDEX(Data!$I:$I,$L68)),"")</f>
        <v>4</v>
      </c>
      <c r="C68" s="12">
        <f>IF(AND(ISNUMBER($L68),$L68&lt;&gt;""),INDEX(Data!$J:$J,$L68),"")</f>
        <v>10</v>
      </c>
      <c r="D68" s="12">
        <f>IF(AND(ISNUMBER($L68),$L68&lt;&gt;""),INDEX(Data!$K:$K,$L68),"")</f>
        <v>10</v>
      </c>
      <c r="E68" s="12">
        <f>IF(AND(ISNUMBER($L68),$L68&lt;&gt;""),IF(INDEX(Data!$L:$L,$L68)="","—",INDEX(Data!$L:$L,$L68)),"")</f>
        <v>4</v>
      </c>
      <c r="F68" s="12" t="str">
        <f>IF(AND(ISNUMBER($L68),$L68&lt;&gt;""),IF(INDEX(Data!$M:$M,$L68)="","—",INDEX(Data!$M:$M,$L68)),"")</f>
        <v>—</v>
      </c>
      <c r="G68" s="13" t="str">
        <f>IF(AND(ISNUMBER($L68),$L68&lt;&gt;""),IF(INDEX(Data!$N:$N,$L68)="","—",INDEX(Data!$N:$N,$L68)),"")</f>
        <v>—</v>
      </c>
      <c r="H68" s="14" t="str">
        <f>IF(AND(ISNUMBER($L68),$L68&lt;&gt;""),IF(INDEX(Data!$Q:$Q,$L68)="","—",INDEX(Data!$Q:$Q,$L68)),"")</f>
        <v>—</v>
      </c>
      <c r="I68" s="15" t="str">
        <f>IF(AND(ISNUMBER($L68),$L68&lt;&gt;""),INDEX(Data!$E:$E,$L68),"")</f>
        <v>107596</v>
      </c>
      <c r="J68" s="15" t="str">
        <f>IF(AND(ISNUMBER($L68),$L68&lt;&gt;""),INDEX(Data!$F:$F,$L68),"")</f>
        <v>7622100701620</v>
      </c>
      <c r="L68">
        <f>IFERROR(MATCH((YEAR($B$3)*10000+MONTH($B$3)*100+DAY($B$3))*1000+59,Data!$V:$V,0),"")</f>
        <v>966</v>
      </c>
    </row>
    <row r="69" spans="1:12" x14ac:dyDescent="0.2">
      <c r="A69" s="16" t="str">
        <f>IF(AND(ISNUMBER($L69),$L69&lt;&gt;""),INDEX(Data!$G:$G,$L69),"")</f>
        <v>TEREA BLUE</v>
      </c>
      <c r="B69" s="17">
        <f>IF(AND(ISNUMBER($L69),$L69&lt;&gt;""),IF(INDEX(Data!$I:$I,$L69)="","—",INDEX(Data!$I:$I,$L69)),"")</f>
        <v>20</v>
      </c>
      <c r="C69" s="17">
        <f>IF(AND(ISNUMBER($L69),$L69&lt;&gt;""),INDEX(Data!$J:$J,$L69),"")</f>
        <v>0</v>
      </c>
      <c r="D69" s="17">
        <f>IF(AND(ISNUMBER($L69),$L69&lt;&gt;""),INDEX(Data!$K:$K,$L69),"")</f>
        <v>11</v>
      </c>
      <c r="E69" s="17">
        <f>IF(AND(ISNUMBER($L69),$L69&lt;&gt;""),IF(INDEX(Data!$L:$L,$L69)="","—",INDEX(Data!$L:$L,$L69)),"")</f>
        <v>9</v>
      </c>
      <c r="F69" s="17" t="str">
        <f>IF(AND(ISNUMBER($L69),$L69&lt;&gt;""),IF(INDEX(Data!$M:$M,$L69)="","—",INDEX(Data!$M:$M,$L69)),"")</f>
        <v>—</v>
      </c>
      <c r="G69" s="18" t="str">
        <f>IF(AND(ISNUMBER($L69),$L69&lt;&gt;""),IF(INDEX(Data!$N:$N,$L69)="","—",INDEX(Data!$N:$N,$L69)),"")</f>
        <v>—</v>
      </c>
      <c r="H69" s="19" t="str">
        <f>IF(AND(ISNUMBER($L69),$L69&lt;&gt;""),IF(INDEX(Data!$Q:$Q,$L69)="","—",INDEX(Data!$Q:$Q,$L69)),"")</f>
        <v>—</v>
      </c>
      <c r="I69" s="20" t="str">
        <f>IF(AND(ISNUMBER($L69),$L69&lt;&gt;""),INDEX(Data!$E:$E,$L69),"")</f>
        <v>107094</v>
      </c>
      <c r="J69" s="20" t="str">
        <f>IF(AND(ISNUMBER($L69),$L69&lt;&gt;""),INDEX(Data!$F:$F,$L69),"")</f>
        <v>9555277316695</v>
      </c>
      <c r="L69">
        <f>IFERROR(MATCH((YEAR($B$3)*10000+MONTH($B$3)*100+DAY($B$3))*1000+60,Data!$V:$V,0),"")</f>
        <v>967</v>
      </c>
    </row>
    <row r="70" spans="1:12" x14ac:dyDescent="0.2">
      <c r="A70" s="11" t="str">
        <f>IF(AND(ISNUMBER($L70),$L70&lt;&gt;""),INDEX(Data!$G:$G,$L70),"")</f>
        <v>TEREA BLUEBERRY</v>
      </c>
      <c r="B70" s="12">
        <f>IF(AND(ISNUMBER($L70),$L70&lt;&gt;""),IF(INDEX(Data!$I:$I,$L70)="","—",INDEX(Data!$I:$I,$L70)),"")</f>
        <v>7</v>
      </c>
      <c r="C70" s="12">
        <f>IF(AND(ISNUMBER($L70),$L70&lt;&gt;""),INDEX(Data!$J:$J,$L70),"")</f>
        <v>0</v>
      </c>
      <c r="D70" s="12">
        <f>IF(AND(ISNUMBER($L70),$L70&lt;&gt;""),INDEX(Data!$K:$K,$L70),"")</f>
        <v>0</v>
      </c>
      <c r="E70" s="12">
        <f>IF(AND(ISNUMBER($L70),$L70&lt;&gt;""),IF(INDEX(Data!$L:$L,$L70)="","—",INDEX(Data!$L:$L,$L70)),"")</f>
        <v>7</v>
      </c>
      <c r="F70" s="12" t="str">
        <f>IF(AND(ISNUMBER($L70),$L70&lt;&gt;""),IF(INDEX(Data!$M:$M,$L70)="","—",INDEX(Data!$M:$M,$L70)),"")</f>
        <v>—</v>
      </c>
      <c r="G70" s="13" t="str">
        <f>IF(AND(ISNUMBER($L70),$L70&lt;&gt;""),IF(INDEX(Data!$N:$N,$L70)="","—",INDEX(Data!$N:$N,$L70)),"")</f>
        <v>—</v>
      </c>
      <c r="H70" s="14" t="str">
        <f>IF(AND(ISNUMBER($L70),$L70&lt;&gt;""),IF(INDEX(Data!$Q:$Q,$L70)="","—",INDEX(Data!$Q:$Q,$L70)),"")</f>
        <v>—</v>
      </c>
      <c r="I70" s="15" t="str">
        <f>IF(AND(ISNUMBER($L70),$L70&lt;&gt;""),INDEX(Data!$E:$E,$L70),"")</f>
        <v>107093</v>
      </c>
      <c r="J70" s="15" t="str">
        <f>IF(AND(ISNUMBER($L70),$L70&lt;&gt;""),INDEX(Data!$F:$F,$L70),"")</f>
        <v>9555277316664</v>
      </c>
      <c r="L70">
        <f>IFERROR(MATCH((YEAR($B$3)*10000+MONTH($B$3)*100+DAY($B$3))*1000+61,Data!$V:$V,0),"")</f>
        <v>968</v>
      </c>
    </row>
    <row r="71" spans="1:12" x14ac:dyDescent="0.2">
      <c r="A71" s="16" t="str">
        <f>IF(AND(ISNUMBER($L71),$L71&lt;&gt;""),INDEX(Data!$G:$G,$L71),"")</f>
        <v>TEREA GRAPE</v>
      </c>
      <c r="B71" s="17">
        <f>IF(AND(ISNUMBER($L71),$L71&lt;&gt;""),IF(INDEX(Data!$I:$I,$L71)="","—",INDEX(Data!$I:$I,$L71)),"")</f>
        <v>4</v>
      </c>
      <c r="C71" s="17">
        <f>IF(AND(ISNUMBER($L71),$L71&lt;&gt;""),INDEX(Data!$J:$J,$L71),"")</f>
        <v>0</v>
      </c>
      <c r="D71" s="17">
        <f>IF(AND(ISNUMBER($L71),$L71&lt;&gt;""),INDEX(Data!$K:$K,$L71),"")</f>
        <v>4</v>
      </c>
      <c r="E71" s="17">
        <f>IF(AND(ISNUMBER($L71),$L71&lt;&gt;""),IF(INDEX(Data!$L:$L,$L71)="","—",INDEX(Data!$L:$L,$L71)),"")</f>
        <v>0</v>
      </c>
      <c r="F71" s="17" t="str">
        <f>IF(AND(ISNUMBER($L71),$L71&lt;&gt;""),IF(INDEX(Data!$M:$M,$L71)="","—",INDEX(Data!$M:$M,$L71)),"")</f>
        <v>—</v>
      </c>
      <c r="G71" s="18" t="str">
        <f>IF(AND(ISNUMBER($L71),$L71&lt;&gt;""),IF(INDEX(Data!$N:$N,$L71)="","—",INDEX(Data!$N:$N,$L71)),"")</f>
        <v>—</v>
      </c>
      <c r="H71" s="19" t="str">
        <f>IF(AND(ISNUMBER($L71),$L71&lt;&gt;""),IF(INDEX(Data!$Q:$Q,$L71)="","—",INDEX(Data!$Q:$Q,$L71)),"")</f>
        <v>—</v>
      </c>
      <c r="I71" s="20" t="str">
        <f>IF(AND(ISNUMBER($L71),$L71&lt;&gt;""),INDEX(Data!$E:$E,$L71),"")</f>
        <v>108284</v>
      </c>
      <c r="J71" s="20" t="str">
        <f>IF(AND(ISNUMBER($L71),$L71&lt;&gt;""),INDEX(Data!$F:$F,$L71),"")</f>
        <v>7622100467281</v>
      </c>
      <c r="L71">
        <f>IFERROR(MATCH((YEAR($B$3)*10000+MONTH($B$3)*100+DAY($B$3))*1000+62,Data!$V:$V,0),"")</f>
        <v>969</v>
      </c>
    </row>
    <row r="72" spans="1:12" x14ac:dyDescent="0.2">
      <c r="A72" s="11" t="str">
        <f>IF(AND(ISNUMBER($L72),$L72&lt;&gt;""),INDEX(Data!$G:$G,$L72),"")</f>
        <v>TEREA KRETEK</v>
      </c>
      <c r="B72" s="12">
        <f>IF(AND(ISNUMBER($L72),$L72&lt;&gt;""),IF(INDEX(Data!$I:$I,$L72)="","—",INDEX(Data!$I:$I,$L72)),"")</f>
        <v>11</v>
      </c>
      <c r="C72" s="12">
        <f>IF(AND(ISNUMBER($L72),$L72&lt;&gt;""),INDEX(Data!$J:$J,$L72),"")</f>
        <v>0</v>
      </c>
      <c r="D72" s="12">
        <f>IF(AND(ISNUMBER($L72),$L72&lt;&gt;""),INDEX(Data!$K:$K,$L72),"")</f>
        <v>11</v>
      </c>
      <c r="E72" s="12">
        <f>IF(AND(ISNUMBER($L72),$L72&lt;&gt;""),IF(INDEX(Data!$L:$L,$L72)="","—",INDEX(Data!$L:$L,$L72)),"")</f>
        <v>0</v>
      </c>
      <c r="F72" s="12" t="str">
        <f>IF(AND(ISNUMBER($L72),$L72&lt;&gt;""),IF(INDEX(Data!$M:$M,$L72)="","—",INDEX(Data!$M:$M,$L72)),"")</f>
        <v>—</v>
      </c>
      <c r="G72" s="13" t="str">
        <f>IF(AND(ISNUMBER($L72),$L72&lt;&gt;""),IF(INDEX(Data!$N:$N,$L72)="","—",INDEX(Data!$N:$N,$L72)),"")</f>
        <v>—</v>
      </c>
      <c r="H72" s="14" t="str">
        <f>IF(AND(ISNUMBER($L72),$L72&lt;&gt;""),IF(INDEX(Data!$Q:$Q,$L72)="","—",INDEX(Data!$Q:$Q,$L72)),"")</f>
        <v>—</v>
      </c>
      <c r="I72" s="15" t="str">
        <f>IF(AND(ISNUMBER($L72),$L72&lt;&gt;""),INDEX(Data!$E:$E,$L72),"")</f>
        <v>108024</v>
      </c>
      <c r="J72" s="15" t="str">
        <f>IF(AND(ISNUMBER($L72),$L72&lt;&gt;""),INDEX(Data!$F:$F,$L72),"")</f>
        <v>7622100467199</v>
      </c>
      <c r="L72">
        <f>IFERROR(MATCH((YEAR($B$3)*10000+MONTH($B$3)*100+DAY($B$3))*1000+63,Data!$V:$V,0),"")</f>
        <v>970</v>
      </c>
    </row>
    <row r="73" spans="1:12" x14ac:dyDescent="0.2">
      <c r="A73" s="16" t="str">
        <f>IF(AND(ISNUMBER($L73),$L73&lt;&gt;""),INDEX(Data!$G:$G,$L73),"")</f>
        <v>TEREA KRETEK MULBERRY</v>
      </c>
      <c r="B73" s="17">
        <f>IF(AND(ISNUMBER($L73),$L73&lt;&gt;""),IF(INDEX(Data!$I:$I,$L73)="","—",INDEX(Data!$I:$I,$L73)),"")</f>
        <v>10</v>
      </c>
      <c r="C73" s="17">
        <f>IF(AND(ISNUMBER($L73),$L73&lt;&gt;""),INDEX(Data!$J:$J,$L73),"")</f>
        <v>0</v>
      </c>
      <c r="D73" s="17">
        <f>IF(AND(ISNUMBER($L73),$L73&lt;&gt;""),INDEX(Data!$K:$K,$L73),"")</f>
        <v>10</v>
      </c>
      <c r="E73" s="17">
        <f>IF(AND(ISNUMBER($L73),$L73&lt;&gt;""),IF(INDEX(Data!$L:$L,$L73)="","—",INDEX(Data!$L:$L,$L73)),"")</f>
        <v>0</v>
      </c>
      <c r="F73" s="17" t="str">
        <f>IF(AND(ISNUMBER($L73),$L73&lt;&gt;""),IF(INDEX(Data!$M:$M,$L73)="","—",INDEX(Data!$M:$M,$L73)),"")</f>
        <v>—</v>
      </c>
      <c r="G73" s="18" t="str">
        <f>IF(AND(ISNUMBER($L73),$L73&lt;&gt;""),IF(INDEX(Data!$N:$N,$L73)="","—",INDEX(Data!$N:$N,$L73)),"")</f>
        <v>—</v>
      </c>
      <c r="H73" s="19" t="str">
        <f>IF(AND(ISNUMBER($L73),$L73&lt;&gt;""),IF(INDEX(Data!$Q:$Q,$L73)="","—",INDEX(Data!$Q:$Q,$L73)),"")</f>
        <v>—</v>
      </c>
      <c r="I73" s="20" t="str">
        <f>IF(AND(ISNUMBER($L73),$L73&lt;&gt;""),INDEX(Data!$E:$E,$L73),"")</f>
        <v>108046</v>
      </c>
      <c r="J73" s="20" t="str">
        <f>IF(AND(ISNUMBER($L73),$L73&lt;&gt;""),INDEX(Data!$F:$F,$L73),"")</f>
        <v>7622100467229</v>
      </c>
      <c r="L73">
        <f>IFERROR(MATCH((YEAR($B$3)*10000+MONTH($B$3)*100+DAY($B$3))*1000+64,Data!$V:$V,0),"")</f>
        <v>971</v>
      </c>
    </row>
    <row r="74" spans="1:12" x14ac:dyDescent="0.2">
      <c r="A74" s="11" t="str">
        <f>IF(AND(ISNUMBER($L74),$L74&lt;&gt;""),INDEX(Data!$G:$G,$L74),"")</f>
        <v>TEREA LEMON</v>
      </c>
      <c r="B74" s="12">
        <f>IF(AND(ISNUMBER($L74),$L74&lt;&gt;""),IF(INDEX(Data!$I:$I,$L74)="","—",INDEX(Data!$I:$I,$L74)),"")</f>
        <v>0</v>
      </c>
      <c r="C74" s="12">
        <f>IF(AND(ISNUMBER($L74),$L74&lt;&gt;""),INDEX(Data!$J:$J,$L74),"")</f>
        <v>0</v>
      </c>
      <c r="D74" s="12">
        <f>IF(AND(ISNUMBER($L74),$L74&lt;&gt;""),INDEX(Data!$K:$K,$L74),"")</f>
        <v>0</v>
      </c>
      <c r="E74" s="12">
        <f>IF(AND(ISNUMBER($L74),$L74&lt;&gt;""),IF(INDEX(Data!$L:$L,$L74)="","—",INDEX(Data!$L:$L,$L74)),"")</f>
        <v>0</v>
      </c>
      <c r="F74" s="12" t="str">
        <f>IF(AND(ISNUMBER($L74),$L74&lt;&gt;""),IF(INDEX(Data!$M:$M,$L74)="","—",INDEX(Data!$M:$M,$L74)),"")</f>
        <v>—</v>
      </c>
      <c r="G74" s="13" t="str">
        <f>IF(AND(ISNUMBER($L74),$L74&lt;&gt;""),IF(INDEX(Data!$N:$N,$L74)="","—",INDEX(Data!$N:$N,$L74)),"")</f>
        <v>—</v>
      </c>
      <c r="H74" s="14" t="str">
        <f>IF(AND(ISNUMBER($L74),$L74&lt;&gt;""),IF(INDEX(Data!$Q:$Q,$L74)="","—",INDEX(Data!$Q:$Q,$L74)),"")</f>
        <v>—</v>
      </c>
      <c r="I74" s="15" t="str">
        <f>IF(AND(ISNUMBER($L74),$L74&lt;&gt;""),INDEX(Data!$E:$E,$L74),"")</f>
        <v>107092</v>
      </c>
      <c r="J74" s="15" t="str">
        <f>IF(AND(ISNUMBER($L74),$L74&lt;&gt;""),INDEX(Data!$F:$F,$L74),"")</f>
        <v>9555277316633</v>
      </c>
      <c r="L74">
        <f>IFERROR(MATCH((YEAR($B$3)*10000+MONTH($B$3)*100+DAY($B$3))*1000+65,Data!$V:$V,0),"")</f>
        <v>972</v>
      </c>
    </row>
    <row r="75" spans="1:12" x14ac:dyDescent="0.2">
      <c r="A75" s="16" t="str">
        <f>IF(AND(ISNUMBER($L75),$L75&lt;&gt;""),INDEX(Data!$G:$G,$L75),"")</f>
        <v>TEREA PASSION FRUIT</v>
      </c>
      <c r="B75" s="17">
        <f>IF(AND(ISNUMBER($L75),$L75&lt;&gt;""),IF(INDEX(Data!$I:$I,$L75)="","—",INDEX(Data!$I:$I,$L75)),"")</f>
        <v>1</v>
      </c>
      <c r="C75" s="17">
        <f>IF(AND(ISNUMBER($L75),$L75&lt;&gt;""),INDEX(Data!$J:$J,$L75),"")</f>
        <v>0</v>
      </c>
      <c r="D75" s="17">
        <f>IF(AND(ISNUMBER($L75),$L75&lt;&gt;""),INDEX(Data!$K:$K,$L75),"")</f>
        <v>0</v>
      </c>
      <c r="E75" s="17">
        <f>IF(AND(ISNUMBER($L75),$L75&lt;&gt;""),IF(INDEX(Data!$L:$L,$L75)="","—",INDEX(Data!$L:$L,$L75)),"")</f>
        <v>1</v>
      </c>
      <c r="F75" s="17" t="str">
        <f>IF(AND(ISNUMBER($L75),$L75&lt;&gt;""),IF(INDEX(Data!$M:$M,$L75)="","—",INDEX(Data!$M:$M,$L75)),"")</f>
        <v>—</v>
      </c>
      <c r="G75" s="18" t="str">
        <f>IF(AND(ISNUMBER($L75),$L75&lt;&gt;""),IF(INDEX(Data!$N:$N,$L75)="","—",INDEX(Data!$N:$N,$L75)),"")</f>
        <v>—</v>
      </c>
      <c r="H75" s="19" t="str">
        <f>IF(AND(ISNUMBER($L75),$L75&lt;&gt;""),IF(INDEX(Data!$Q:$Q,$L75)="","—",INDEX(Data!$Q:$Q,$L75)),"")</f>
        <v>—</v>
      </c>
      <c r="I75" s="20" t="str">
        <f>IF(AND(ISNUMBER($L75),$L75&lt;&gt;""),INDEX(Data!$E:$E,$L75),"")</f>
        <v>107392</v>
      </c>
      <c r="J75" s="20" t="str">
        <f>IF(AND(ISNUMBER($L75),$L75&lt;&gt;""),INDEX(Data!$F:$F,$L75),"")</f>
        <v>7622100701064</v>
      </c>
      <c r="L75">
        <f>IFERROR(MATCH((YEAR($B$3)*10000+MONTH($B$3)*100+DAY($B$3))*1000+66,Data!$V:$V,0),"")</f>
        <v>973</v>
      </c>
    </row>
    <row r="76" spans="1:12" x14ac:dyDescent="0.2">
      <c r="A76" s="11" t="str">
        <f>IF(AND(ISNUMBER($L76),$L76&lt;&gt;""),INDEX(Data!$G:$G,$L76),"")</f>
        <v>TEREA RASPBERRY ROSE</v>
      </c>
      <c r="B76" s="12">
        <f>IF(AND(ISNUMBER($L76),$L76&lt;&gt;""),IF(INDEX(Data!$I:$I,$L76)="","—",INDEX(Data!$I:$I,$L76)),"")</f>
        <v>8</v>
      </c>
      <c r="C76" s="12">
        <f>IF(AND(ISNUMBER($L76),$L76&lt;&gt;""),INDEX(Data!$J:$J,$L76),"")</f>
        <v>0</v>
      </c>
      <c r="D76" s="12">
        <f>IF(AND(ISNUMBER($L76),$L76&lt;&gt;""),INDEX(Data!$K:$K,$L76),"")</f>
        <v>8</v>
      </c>
      <c r="E76" s="12">
        <f>IF(AND(ISNUMBER($L76),$L76&lt;&gt;""),IF(INDEX(Data!$L:$L,$L76)="","—",INDEX(Data!$L:$L,$L76)),"")</f>
        <v>0</v>
      </c>
      <c r="F76" s="12" t="str">
        <f>IF(AND(ISNUMBER($L76),$L76&lt;&gt;""),IF(INDEX(Data!$M:$M,$L76)="","—",INDEX(Data!$M:$M,$L76)),"")</f>
        <v>—</v>
      </c>
      <c r="G76" s="13" t="str">
        <f>IF(AND(ISNUMBER($L76),$L76&lt;&gt;""),IF(INDEX(Data!$N:$N,$L76)="","—",INDEX(Data!$N:$N,$L76)),"")</f>
        <v>—</v>
      </c>
      <c r="H76" s="14" t="str">
        <f>IF(AND(ISNUMBER($L76),$L76&lt;&gt;""),IF(INDEX(Data!$Q:$Q,$L76)="","—",INDEX(Data!$Q:$Q,$L76)),"")</f>
        <v>—</v>
      </c>
      <c r="I76" s="15" t="str">
        <f>IF(AND(ISNUMBER($L76),$L76&lt;&gt;""),INDEX(Data!$E:$E,$L76),"")</f>
        <v>108285</v>
      </c>
      <c r="J76" s="15" t="str">
        <f>IF(AND(ISNUMBER($L76),$L76&lt;&gt;""),INDEX(Data!$F:$F,$L76),"")</f>
        <v>7622100467465</v>
      </c>
      <c r="L76">
        <f>IFERROR(MATCH((YEAR($B$3)*10000+MONTH($B$3)*100+DAY($B$3))*1000+67,Data!$V:$V,0),"")</f>
        <v>974</v>
      </c>
    </row>
    <row r="77" spans="1:12" x14ac:dyDescent="0.2">
      <c r="A77" s="16" t="str">
        <f>IF(AND(ISNUMBER($L77),$L77&lt;&gt;""),INDEX(Data!$G:$G,$L77),"")</f>
        <v>TEREA RUSSET</v>
      </c>
      <c r="B77" s="17">
        <f>IF(AND(ISNUMBER($L77),$L77&lt;&gt;""),IF(INDEX(Data!$I:$I,$L77)="","—",INDEX(Data!$I:$I,$L77)),"")</f>
        <v>18</v>
      </c>
      <c r="C77" s="17">
        <f>IF(AND(ISNUMBER($L77),$L77&lt;&gt;""),INDEX(Data!$J:$J,$L77),"")</f>
        <v>0</v>
      </c>
      <c r="D77" s="17">
        <f>IF(AND(ISNUMBER($L77),$L77&lt;&gt;""),INDEX(Data!$K:$K,$L77),"")</f>
        <v>15</v>
      </c>
      <c r="E77" s="17">
        <f>IF(AND(ISNUMBER($L77),$L77&lt;&gt;""),IF(INDEX(Data!$L:$L,$L77)="","—",INDEX(Data!$L:$L,$L77)),"")</f>
        <v>3</v>
      </c>
      <c r="F77" s="17" t="str">
        <f>IF(AND(ISNUMBER($L77),$L77&lt;&gt;""),IF(INDEX(Data!$M:$M,$L77)="","—",INDEX(Data!$M:$M,$L77)),"")</f>
        <v>—</v>
      </c>
      <c r="G77" s="18" t="str">
        <f>IF(AND(ISNUMBER($L77),$L77&lt;&gt;""),IF(INDEX(Data!$N:$N,$L77)="","—",INDEX(Data!$N:$N,$L77)),"")</f>
        <v>—</v>
      </c>
      <c r="H77" s="19" t="str">
        <f>IF(AND(ISNUMBER($L77),$L77&lt;&gt;""),IF(INDEX(Data!$Q:$Q,$L77)="","—",INDEX(Data!$Q:$Q,$L77)),"")</f>
        <v>—</v>
      </c>
      <c r="I77" s="20" t="str">
        <f>IF(AND(ISNUMBER($L77),$L77&lt;&gt;""),INDEX(Data!$E:$E,$L77),"")</f>
        <v>107075</v>
      </c>
      <c r="J77" s="20" t="str">
        <f>IF(AND(ISNUMBER($L77),$L77&lt;&gt;""),INDEX(Data!$F:$F,$L77),"")</f>
        <v>9555277310570</v>
      </c>
      <c r="L77">
        <f>IFERROR(MATCH((YEAR($B$3)*10000+MONTH($B$3)*100+DAY($B$3))*1000+68,Data!$V:$V,0),"")</f>
        <v>975</v>
      </c>
    </row>
    <row r="78" spans="1:12" x14ac:dyDescent="0.2">
      <c r="A78" s="11" t="str">
        <f>IF(AND(ISNUMBER($L78),$L78&lt;&gt;""),INDEX(Data!$G:$G,$L78),"")</f>
        <v>TEREA SIENNA</v>
      </c>
      <c r="B78" s="12">
        <f>IF(AND(ISNUMBER($L78),$L78&lt;&gt;""),IF(INDEX(Data!$I:$I,$L78)="","—",INDEX(Data!$I:$I,$L78)),"")</f>
        <v>23</v>
      </c>
      <c r="C78" s="12">
        <f>IF(AND(ISNUMBER($L78),$L78&lt;&gt;""),INDEX(Data!$J:$J,$L78),"")</f>
        <v>0</v>
      </c>
      <c r="D78" s="12">
        <f>IF(AND(ISNUMBER($L78),$L78&lt;&gt;""),INDEX(Data!$K:$K,$L78),"")</f>
        <v>21</v>
      </c>
      <c r="E78" s="12">
        <f>IF(AND(ISNUMBER($L78),$L78&lt;&gt;""),IF(INDEX(Data!$L:$L,$L78)="","—",INDEX(Data!$L:$L,$L78)),"")</f>
        <v>2</v>
      </c>
      <c r="F78" s="12" t="str">
        <f>IF(AND(ISNUMBER($L78),$L78&lt;&gt;""),IF(INDEX(Data!$M:$M,$L78)="","—",INDEX(Data!$M:$M,$L78)),"")</f>
        <v>—</v>
      </c>
      <c r="G78" s="13" t="str">
        <f>IF(AND(ISNUMBER($L78),$L78&lt;&gt;""),IF(INDEX(Data!$N:$N,$L78)="","—",INDEX(Data!$N:$N,$L78)),"")</f>
        <v>—</v>
      </c>
      <c r="H78" s="14" t="str">
        <f>IF(AND(ISNUMBER($L78),$L78&lt;&gt;""),IF(INDEX(Data!$Q:$Q,$L78)="","—",INDEX(Data!$Q:$Q,$L78)),"")</f>
        <v>—</v>
      </c>
      <c r="I78" s="15" t="str">
        <f>IF(AND(ISNUMBER($L78),$L78&lt;&gt;""),INDEX(Data!$E:$E,$L78),"")</f>
        <v>107091</v>
      </c>
      <c r="J78" s="15" t="str">
        <f>IF(AND(ISNUMBER($L78),$L78&lt;&gt;""),INDEX(Data!$F:$F,$L78),"")</f>
        <v>9555277316602</v>
      </c>
      <c r="L78">
        <f>IFERROR(MATCH((YEAR($B$3)*10000+MONTH($B$3)*100+DAY($B$3))*1000+69,Data!$V:$V,0),"")</f>
        <v>976</v>
      </c>
    </row>
    <row r="79" spans="1:12" x14ac:dyDescent="0.2">
      <c r="A79" s="16" t="str">
        <f>IF(AND(ISNUMBER($L79),$L79&lt;&gt;""),INDEX(Data!$G:$G,$L79),"")</f>
        <v>TEREA STRAWBERRY BASIL</v>
      </c>
      <c r="B79" s="17">
        <f>IF(AND(ISNUMBER($L79),$L79&lt;&gt;""),IF(INDEX(Data!$I:$I,$L79)="","—",INDEX(Data!$I:$I,$L79)),"")</f>
        <v>0</v>
      </c>
      <c r="C79" s="17">
        <f>IF(AND(ISNUMBER($L79),$L79&lt;&gt;""),INDEX(Data!$J:$J,$L79),"")</f>
        <v>0</v>
      </c>
      <c r="D79" s="17">
        <f>IF(AND(ISNUMBER($L79),$L79&lt;&gt;""),INDEX(Data!$K:$K,$L79),"")</f>
        <v>0</v>
      </c>
      <c r="E79" s="17">
        <f>IF(AND(ISNUMBER($L79),$L79&lt;&gt;""),IF(INDEX(Data!$L:$L,$L79)="","—",INDEX(Data!$L:$L,$L79)),"")</f>
        <v>0</v>
      </c>
      <c r="F79" s="17" t="str">
        <f>IF(AND(ISNUMBER($L79),$L79&lt;&gt;""),IF(INDEX(Data!$M:$M,$L79)="","—",INDEX(Data!$M:$M,$L79)),"")</f>
        <v>—</v>
      </c>
      <c r="G79" s="18" t="str">
        <f>IF(AND(ISNUMBER($L79),$L79&lt;&gt;""),IF(INDEX(Data!$N:$N,$L79)="","—",INDEX(Data!$N:$N,$L79)),"")</f>
        <v>—</v>
      </c>
      <c r="H79" s="19" t="str">
        <f>IF(AND(ISNUMBER($L79),$L79&lt;&gt;""),IF(INDEX(Data!$Q:$Q,$L79)="","—",INDEX(Data!$Q:$Q,$L79)),"")</f>
        <v>—</v>
      </c>
      <c r="I79" s="20" t="str">
        <f>IF(AND(ISNUMBER($L79),$L79&lt;&gt;""),INDEX(Data!$E:$E,$L79),"")</f>
        <v>107775</v>
      </c>
      <c r="J79" s="20" t="str">
        <f>IF(AND(ISNUMBER($L79),$L79&lt;&gt;""),INDEX(Data!$F:$F,$L79),"")</f>
        <v>7622100702672</v>
      </c>
      <c r="L79">
        <f>IFERROR(MATCH((YEAR($B$3)*10000+MONTH($B$3)*100+DAY($B$3))*1000+70,Data!$V:$V,0),"")</f>
        <v>977</v>
      </c>
    </row>
  </sheetData>
  <mergeCells count="3">
    <mergeCell ref="F1:J1"/>
    <mergeCell ref="A1:D1"/>
    <mergeCell ref="A7:J7"/>
  </mergeCells>
  <conditionalFormatting sqref="G10:H79">
    <cfRule type="expression" dxfId="16" priority="1" stopIfTrue="1">
      <formula>AND(ISNUMBER($G10),$G10=0)</formula>
    </cfRule>
    <cfRule type="expression" dxfId="15" priority="2" stopIfTrue="1">
      <formula>AND(ISNUMBER($G10),ABS($G10)&gt;=10)</formula>
    </cfRule>
    <cfRule type="expression" dxfId="14" priority="3" stopIfTrue="1">
      <formula>AND(ISNUMBER($G10),ABS($G10)&gt;=5)</formula>
    </cfRule>
    <cfRule type="expression" dxfId="13" priority="4" stopIfTrue="1">
      <formula>AND(ISNUMBER($G10),ABS($G10)&gt;=1)</formula>
    </cfRule>
  </conditionalFormatting>
  <printOptions horizontalCentered="1"/>
  <pageMargins left="0.4" right="0.4" top="0.5" bottom="0.5" header="0.5" footer="0.5"/>
  <pageSetup orientation="portrait"/>
  <headerFooter>
    <oddFooter>&amp;LCigarette reconciliation — &amp;A&amp;RPage &amp;P of &amp;N</oddFooter>
  </headerFooter>
  <extLst>
    <ext xmlns:x14="http://schemas.microsoft.com/office/spreadsheetml/2009/9/main" uri="{CCE6A557-97BC-4b89-ADB6-D9C93CAAB3DF}">
      <x14:dataValidations xmlns:xm="http://schemas.microsoft.com/office/excel/2006/main" count="1">
        <x14:dataValidation type="list" showErrorMessage="1" errorTitle="Not a counted day" error="Pick a trading day from the dropdown. Only days with a submitted count are in the list." xr:uid="{00000000-0002-0000-0000-000000000000}">
          <x14:formula1>
            <xm:f>Calc!$B$3:$B$62</xm:f>
          </x14:formula1>
          <xm:sqref>B3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24"/>
  <sheetViews>
    <sheetView workbookViewId="0">
      <pane xSplit="1" ySplit="4" topLeftCell="B55" activePane="bottomRight" state="frozen"/>
      <selection pane="topRight"/>
      <selection pane="bottomLeft"/>
      <selection pane="bottomRight"/>
    </sheetView>
  </sheetViews>
  <sheetFormatPr baseColWidth="10" defaultColWidth="8.83203125" defaultRowHeight="15" x14ac:dyDescent="0.2"/>
  <cols>
    <col min="1" max="1" width="30" customWidth="1"/>
    <col min="2" max="18" width="9.5" customWidth="1"/>
    <col min="20" max="20" width="13" hidden="1" customWidth="1"/>
  </cols>
  <sheetData>
    <row r="1" spans="1:20" ht="21" x14ac:dyDescent="0.25">
      <c r="A1" s="21" t="s">
        <v>20</v>
      </c>
    </row>
    <row r="2" spans="1:20" x14ac:dyDescent="0.2">
      <c r="A2" s="33" t="s">
        <v>21</v>
      </c>
      <c r="B2" s="30"/>
      <c r="C2" s="30"/>
      <c r="D2" s="30"/>
      <c r="E2" s="30"/>
      <c r="F2" s="30"/>
      <c r="G2" s="30"/>
      <c r="H2" s="30"/>
      <c r="I2" s="30"/>
      <c r="J2" s="30"/>
      <c r="K2" s="30"/>
      <c r="L2" s="30"/>
      <c r="M2" s="30"/>
      <c r="N2" s="30"/>
      <c r="O2" s="30"/>
      <c r="P2" s="30"/>
      <c r="Q2" s="30"/>
      <c r="R2" s="30"/>
    </row>
    <row r="4" spans="1:20" ht="26" customHeight="1" x14ac:dyDescent="0.2">
      <c r="A4" s="9" t="s">
        <v>10</v>
      </c>
      <c r="B4" s="22" t="str">
        <f>IF(Calc!$B$3="","",TEXT(Calc!$B$3,"dd mmm"))</f>
        <v>28 Sep</v>
      </c>
      <c r="C4" s="22" t="str">
        <f>IF(Calc!$B$4="","",TEXT(Calc!$B$4,"dd mmm"))</f>
        <v>27 Sep</v>
      </c>
      <c r="D4" s="22" t="str">
        <f>IF(Calc!$B$5="","",TEXT(Calc!$B$5,"dd mmm"))</f>
        <v>25 Sep</v>
      </c>
      <c r="E4" s="22" t="str">
        <f>IF(Calc!$B$6="","",TEXT(Calc!$B$6,"dd mmm"))</f>
        <v>24 Sep</v>
      </c>
      <c r="F4" s="22" t="str">
        <f>IF(Calc!$B$7="","",TEXT(Calc!$B$7,"dd mmm"))</f>
        <v>22 Sep</v>
      </c>
      <c r="G4" s="22" t="str">
        <f>IF(Calc!$B$8="","",TEXT(Calc!$B$8,"dd mmm"))</f>
        <v>21 Sep</v>
      </c>
      <c r="H4" s="22" t="str">
        <f>IF(Calc!$B$9="","",TEXT(Calc!$B$9,"dd mmm"))</f>
        <v>20 Sep</v>
      </c>
      <c r="I4" s="22" t="str">
        <f>IF(Calc!$B$10="","",TEXT(Calc!$B$10,"dd mmm"))</f>
        <v>18 Sep</v>
      </c>
      <c r="J4" s="22" t="str">
        <f>IF(Calc!$B$11="","",TEXT(Calc!$B$11,"dd mmm"))</f>
        <v>17 Sep</v>
      </c>
      <c r="K4" s="22" t="str">
        <f>IF(Calc!$B$12="","",TEXT(Calc!$B$12,"dd mmm"))</f>
        <v>16 Sep</v>
      </c>
      <c r="L4" s="22" t="str">
        <f>IF(Calc!$B$13="","",TEXT(Calc!$B$13,"dd mmm"))</f>
        <v>15 Sep</v>
      </c>
      <c r="M4" s="22" t="str">
        <f>IF(Calc!$B$14="","",TEXT(Calc!$B$14,"dd mmm"))</f>
        <v>14 Sep</v>
      </c>
      <c r="N4" s="22" t="str">
        <f>IF(Calc!$B$15="","",TEXT(Calc!$B$15,"dd mmm"))</f>
        <v>13 Sep</v>
      </c>
      <c r="O4" s="22" t="str">
        <f>IF(Calc!$B$16="","",TEXT(Calc!$B$16,"dd mmm"))</f>
        <v>12 Sep</v>
      </c>
      <c r="P4" s="22" t="s">
        <v>22</v>
      </c>
      <c r="Q4" s="22" t="s">
        <v>23</v>
      </c>
      <c r="R4" s="22" t="s">
        <v>24</v>
      </c>
    </row>
    <row r="5" spans="1:20" x14ac:dyDescent="0.2">
      <c r="A5" s="16" t="str">
        <f>IF(AND(ISNUMBER($T5),$T5&lt;&gt;""),INDEX(Calc!$S$3:$S$122,$T5),"")</f>
        <v>Dunhill Red</v>
      </c>
      <c r="B5" s="17" t="str">
        <f>IF(AND(ISNUMBER($T5),$T5&lt;&gt;""),IF(INDEX(Calc!$T$3:$T$122,$T5)="","—",INDEX(Calc!$T$3:$T$122,$T5)),"")</f>
        <v>—</v>
      </c>
      <c r="C5" s="17" t="str">
        <f>IF(AND(ISNUMBER($T5),$T5&lt;&gt;""),IF(INDEX(Calc!$U$3:$U$122,$T5)="","—",INDEX(Calc!$U$3:$U$122,$T5)),"")</f>
        <v>—</v>
      </c>
      <c r="D5" s="17" t="str">
        <f>IF(AND(ISNUMBER($T5),$T5&lt;&gt;""),IF(INDEX(Calc!$V$3:$V$122,$T5)="","—",INDEX(Calc!$V$3:$V$122,$T5)),"")</f>
        <v>—</v>
      </c>
      <c r="E5" s="17" t="str">
        <f>IF(AND(ISNUMBER($T5),$T5&lt;&gt;""),IF(INDEX(Calc!$W$3:$W$122,$T5)="","—",INDEX(Calc!$W$3:$W$122,$T5)),"")</f>
        <v>—</v>
      </c>
      <c r="F5" s="17" t="str">
        <f>IF(AND(ISNUMBER($T5),$T5&lt;&gt;""),IF(INDEX(Calc!$X$3:$X$122,$T5)="","—",INDEX(Calc!$X$3:$X$122,$T5)),"")</f>
        <v>—</v>
      </c>
      <c r="G5" s="17" t="str">
        <f>IF(AND(ISNUMBER($T5),$T5&lt;&gt;""),IF(INDEX(Calc!$Y$3:$Y$122,$T5)="","—",INDEX(Calc!$Y$3:$Y$122,$T5)),"")</f>
        <v>—</v>
      </c>
      <c r="H5" s="17" t="str">
        <f>IF(AND(ISNUMBER($T5),$T5&lt;&gt;""),IF(INDEX(Calc!$Z$3:$Z$122,$T5)="","—",INDEX(Calc!$Z$3:$Z$122,$T5)),"")</f>
        <v>—</v>
      </c>
      <c r="I5" s="17">
        <f>IF(AND(ISNUMBER($T5),$T5&lt;&gt;""),IF(INDEX(Calc!$AA$3:$AA$122,$T5)="","—",INDEX(Calc!$AA$3:$AA$122,$T5)),"")</f>
        <v>-1</v>
      </c>
      <c r="J5" s="17">
        <f>IF(AND(ISNUMBER($T5),$T5&lt;&gt;""),IF(INDEX(Calc!$AB$3:$AB$122,$T5)="","—",INDEX(Calc!$AB$3:$AB$122,$T5)),"")</f>
        <v>1</v>
      </c>
      <c r="K5" s="17">
        <f>IF(AND(ISNUMBER($T5),$T5&lt;&gt;""),IF(INDEX(Calc!$AC$3:$AC$122,$T5)="","—",INDEX(Calc!$AC$3:$AC$122,$T5)),"")</f>
        <v>-10</v>
      </c>
      <c r="L5" s="17">
        <f>IF(AND(ISNUMBER($T5),$T5&lt;&gt;""),IF(INDEX(Calc!$AD$3:$AD$122,$T5)="","—",INDEX(Calc!$AD$3:$AD$122,$T5)),"")</f>
        <v>1</v>
      </c>
      <c r="M5" s="17">
        <f>IF(AND(ISNUMBER($T5),$T5&lt;&gt;""),IF(INDEX(Calc!$AE$3:$AE$122,$T5)="","—",INDEX(Calc!$AE$3:$AE$122,$T5)),"")</f>
        <v>-11</v>
      </c>
      <c r="N5" s="17" t="str">
        <f>IF(AND(ISNUMBER($T5),$T5&lt;&gt;""),IF(INDEX(Calc!$AF$3:$AF$122,$T5)="","—",INDEX(Calc!$AF$3:$AF$122,$T5)),"")</f>
        <v>—</v>
      </c>
      <c r="O5" s="17" t="str">
        <f>IF(AND(ISNUMBER($T5),$T5&lt;&gt;""),IF(INDEX(Calc!$AG$3:$AG$122,$T5)="","—",INDEX(Calc!$AG$3:$AG$122,$T5)),"")</f>
        <v>—</v>
      </c>
      <c r="P5" s="18">
        <f>IF(AND(ISNUMBER($T5),$T5&lt;&gt;""),IF(INDEX(Calc!$AJ$3:$AJ$122,$T5)="","—",INDEX(Calc!$AJ$3:$AJ$122,$T5)),"")</f>
        <v>5</v>
      </c>
      <c r="Q5" s="18">
        <f>IF(AND(ISNUMBER($T5),$T5&lt;&gt;""),IF(INDEX(Calc!$AK$3:$AK$122,$T5)="","—",INDEX(Calc!$AK$3:$AK$122,$T5)),"")</f>
        <v>-20</v>
      </c>
      <c r="R5" s="17">
        <f>IF(AND(ISNUMBER($T5),$T5&lt;&gt;""),IF(INDEX(Calc!$AL$3:$AL$122,$T5)="","—",INDEX(Calc!$AL$3:$AL$122,$T5)),"")</f>
        <v>-11</v>
      </c>
      <c r="T5">
        <f>IFERROR(MATCH(1,Calc!$AN$3:$AN$122,0),"")</f>
        <v>14</v>
      </c>
    </row>
    <row r="6" spans="1:20" x14ac:dyDescent="0.2">
      <c r="A6" s="11" t="str">
        <f>IF(AND(ISNUMBER($T6),$T6&lt;&gt;""),INDEX(Calc!$S$3:$S$122,$T6),"")</f>
        <v>Dunhill Classic</v>
      </c>
      <c r="B6" s="12" t="str">
        <f>IF(AND(ISNUMBER($T6),$T6&lt;&gt;""),IF(INDEX(Calc!$T$3:$T$122,$T6)="","—",INDEX(Calc!$T$3:$T$122,$T6)),"")</f>
        <v>—</v>
      </c>
      <c r="C6" s="12" t="str">
        <f>IF(AND(ISNUMBER($T6),$T6&lt;&gt;""),IF(INDEX(Calc!$U$3:$U$122,$T6)="","—",INDEX(Calc!$U$3:$U$122,$T6)),"")</f>
        <v>—</v>
      </c>
      <c r="D6" s="12" t="str">
        <f>IF(AND(ISNUMBER($T6),$T6&lt;&gt;""),IF(INDEX(Calc!$V$3:$V$122,$T6)="","—",INDEX(Calc!$V$3:$V$122,$T6)),"")</f>
        <v>—</v>
      </c>
      <c r="E6" s="12" t="str">
        <f>IF(AND(ISNUMBER($T6),$T6&lt;&gt;""),IF(INDEX(Calc!$W$3:$W$122,$T6)="","—",INDEX(Calc!$W$3:$W$122,$T6)),"")</f>
        <v>—</v>
      </c>
      <c r="F6" s="12" t="str">
        <f>IF(AND(ISNUMBER($T6),$T6&lt;&gt;""),IF(INDEX(Calc!$X$3:$X$122,$T6)="","—",INDEX(Calc!$X$3:$X$122,$T6)),"")</f>
        <v>—</v>
      </c>
      <c r="G6" s="12" t="str">
        <f>IF(AND(ISNUMBER($T6),$T6&lt;&gt;""),IF(INDEX(Calc!$Y$3:$Y$122,$T6)="","—",INDEX(Calc!$Y$3:$Y$122,$T6)),"")</f>
        <v>—</v>
      </c>
      <c r="H6" s="12" t="str">
        <f>IF(AND(ISNUMBER($T6),$T6&lt;&gt;""),IF(INDEX(Calc!$Z$3:$Z$122,$T6)="","—",INDEX(Calc!$Z$3:$Z$122,$T6)),"")</f>
        <v>—</v>
      </c>
      <c r="I6" s="12">
        <f>IF(AND(ISNUMBER($T6),$T6&lt;&gt;""),IF(INDEX(Calc!$AA$3:$AA$122,$T6)="","—",INDEX(Calc!$AA$3:$AA$122,$T6)),"")</f>
        <v>-30</v>
      </c>
      <c r="J6" s="12">
        <f>IF(AND(ISNUMBER($T6),$T6&lt;&gt;""),IF(INDEX(Calc!$AB$3:$AB$122,$T6)="","—",INDEX(Calc!$AB$3:$AB$122,$T6)),"")</f>
        <v>0</v>
      </c>
      <c r="K6" s="12">
        <f>IF(AND(ISNUMBER($T6),$T6&lt;&gt;""),IF(INDEX(Calc!$AC$3:$AC$122,$T6)="","—",INDEX(Calc!$AC$3:$AC$122,$T6)),"")</f>
        <v>-30</v>
      </c>
      <c r="L6" s="12">
        <f>IF(AND(ISNUMBER($T6),$T6&lt;&gt;""),IF(INDEX(Calc!$AD$3:$AD$122,$T6)="","—",INDEX(Calc!$AD$3:$AD$122,$T6)),"")</f>
        <v>-30</v>
      </c>
      <c r="M6" s="12">
        <f>IF(AND(ISNUMBER($T6),$T6&lt;&gt;""),IF(INDEX(Calc!$AE$3:$AE$122,$T6)="","—",INDEX(Calc!$AE$3:$AE$122,$T6)),"")</f>
        <v>-20</v>
      </c>
      <c r="N6" s="12" t="str">
        <f>IF(AND(ISNUMBER($T6),$T6&lt;&gt;""),IF(INDEX(Calc!$AF$3:$AF$122,$T6)="","—",INDEX(Calc!$AF$3:$AF$122,$T6)),"")</f>
        <v>—</v>
      </c>
      <c r="O6" s="12" t="str">
        <f>IF(AND(ISNUMBER($T6),$T6&lt;&gt;""),IF(INDEX(Calc!$AG$3:$AG$122,$T6)="","—",INDEX(Calc!$AG$3:$AG$122,$T6)),"")</f>
        <v>—</v>
      </c>
      <c r="P6" s="13">
        <f>IF(AND(ISNUMBER($T6),$T6&lt;&gt;""),IF(INDEX(Calc!$AJ$3:$AJ$122,$T6)="","—",INDEX(Calc!$AJ$3:$AJ$122,$T6)),"")</f>
        <v>4</v>
      </c>
      <c r="Q6" s="13">
        <f>IF(AND(ISNUMBER($T6),$T6&lt;&gt;""),IF(INDEX(Calc!$AK$3:$AK$122,$T6)="","—",INDEX(Calc!$AK$3:$AK$122,$T6)),"")</f>
        <v>-110</v>
      </c>
      <c r="R6" s="12">
        <f>IF(AND(ISNUMBER($T6),$T6&lt;&gt;""),IF(INDEX(Calc!$AL$3:$AL$122,$T6)="","—",INDEX(Calc!$AL$3:$AL$122,$T6)),"")</f>
        <v>-30</v>
      </c>
      <c r="T6">
        <f>IFERROR(MATCH(2,Calc!$AN$3:$AN$122,0),"")</f>
        <v>11</v>
      </c>
    </row>
    <row r="7" spans="1:20" x14ac:dyDescent="0.2">
      <c r="A7" s="16" t="str">
        <f>IF(AND(ISNUMBER($T7),$T7&lt;&gt;""),INDEX(Calc!$S$3:$S$122,$T7),"")</f>
        <v>Mevius Blue</v>
      </c>
      <c r="B7" s="17" t="str">
        <f>IF(AND(ISNUMBER($T7),$T7&lt;&gt;""),IF(INDEX(Calc!$T$3:$T$122,$T7)="","—",INDEX(Calc!$T$3:$T$122,$T7)),"")</f>
        <v>—</v>
      </c>
      <c r="C7" s="17" t="str">
        <f>IF(AND(ISNUMBER($T7),$T7&lt;&gt;""),IF(INDEX(Calc!$U$3:$U$122,$T7)="","—",INDEX(Calc!$U$3:$U$122,$T7)),"")</f>
        <v>—</v>
      </c>
      <c r="D7" s="17" t="str">
        <f>IF(AND(ISNUMBER($T7),$T7&lt;&gt;""),IF(INDEX(Calc!$V$3:$V$122,$T7)="","—",INDEX(Calc!$V$3:$V$122,$T7)),"")</f>
        <v>—</v>
      </c>
      <c r="E7" s="17" t="str">
        <f>IF(AND(ISNUMBER($T7),$T7&lt;&gt;""),IF(INDEX(Calc!$W$3:$W$122,$T7)="","—",INDEX(Calc!$W$3:$W$122,$T7)),"")</f>
        <v>—</v>
      </c>
      <c r="F7" s="17" t="str">
        <f>IF(AND(ISNUMBER($T7),$T7&lt;&gt;""),IF(INDEX(Calc!$X$3:$X$122,$T7)="","—",INDEX(Calc!$X$3:$X$122,$T7)),"")</f>
        <v>—</v>
      </c>
      <c r="G7" s="17" t="str">
        <f>IF(AND(ISNUMBER($T7),$T7&lt;&gt;""),IF(INDEX(Calc!$Y$3:$Y$122,$T7)="","—",INDEX(Calc!$Y$3:$Y$122,$T7)),"")</f>
        <v>—</v>
      </c>
      <c r="H7" s="17" t="str">
        <f>IF(AND(ISNUMBER($T7),$T7&lt;&gt;""),IF(INDEX(Calc!$Z$3:$Z$122,$T7)="","—",INDEX(Calc!$Z$3:$Z$122,$T7)),"")</f>
        <v>—</v>
      </c>
      <c r="I7" s="17">
        <f>IF(AND(ISNUMBER($T7),$T7&lt;&gt;""),IF(INDEX(Calc!$AA$3:$AA$122,$T7)="","—",INDEX(Calc!$AA$3:$AA$122,$T7)),"")</f>
        <v>-1</v>
      </c>
      <c r="J7" s="17">
        <f>IF(AND(ISNUMBER($T7),$T7&lt;&gt;""),IF(INDEX(Calc!$AB$3:$AB$122,$T7)="","—",INDEX(Calc!$AB$3:$AB$122,$T7)),"")</f>
        <v>1</v>
      </c>
      <c r="K7" s="17">
        <f>IF(AND(ISNUMBER($T7),$T7&lt;&gt;""),IF(INDEX(Calc!$AC$3:$AC$122,$T7)="","—",INDEX(Calc!$AC$3:$AC$122,$T7)),"")</f>
        <v>0</v>
      </c>
      <c r="L7" s="17">
        <f>IF(AND(ISNUMBER($T7),$T7&lt;&gt;""),IF(INDEX(Calc!$AD$3:$AD$122,$T7)="","—",INDEX(Calc!$AD$3:$AD$122,$T7)),"")</f>
        <v>-20</v>
      </c>
      <c r="M7" s="17">
        <f>IF(AND(ISNUMBER($T7),$T7&lt;&gt;""),IF(INDEX(Calc!$AE$3:$AE$122,$T7)="","—",INDEX(Calc!$AE$3:$AE$122,$T7)),"")</f>
        <v>-10</v>
      </c>
      <c r="N7" s="17" t="str">
        <f>IF(AND(ISNUMBER($T7),$T7&lt;&gt;""),IF(INDEX(Calc!$AF$3:$AF$122,$T7)="","—",INDEX(Calc!$AF$3:$AF$122,$T7)),"")</f>
        <v>—</v>
      </c>
      <c r="O7" s="17" t="str">
        <f>IF(AND(ISNUMBER($T7),$T7&lt;&gt;""),IF(INDEX(Calc!$AG$3:$AG$122,$T7)="","—",INDEX(Calc!$AG$3:$AG$122,$T7)),"")</f>
        <v>—</v>
      </c>
      <c r="P7" s="18">
        <f>IF(AND(ISNUMBER($T7),$T7&lt;&gt;""),IF(INDEX(Calc!$AJ$3:$AJ$122,$T7)="","—",INDEX(Calc!$AJ$3:$AJ$122,$T7)),"")</f>
        <v>4</v>
      </c>
      <c r="Q7" s="18">
        <f>IF(AND(ISNUMBER($T7),$T7&lt;&gt;""),IF(INDEX(Calc!$AK$3:$AK$122,$T7)="","—",INDEX(Calc!$AK$3:$AK$122,$T7)),"")</f>
        <v>-30</v>
      </c>
      <c r="R7" s="17">
        <f>IF(AND(ISNUMBER($T7),$T7&lt;&gt;""),IF(INDEX(Calc!$AL$3:$AL$122,$T7)="","—",INDEX(Calc!$AL$3:$AL$122,$T7)),"")</f>
        <v>-20</v>
      </c>
      <c r="T7">
        <f>IFERROR(MATCH(3,Calc!$AN$3:$AN$122,0),"")</f>
        <v>37</v>
      </c>
    </row>
    <row r="8" spans="1:20" x14ac:dyDescent="0.2">
      <c r="A8" s="11" t="str">
        <f>IF(AND(ISNUMBER($T8),$T8&lt;&gt;""),INDEX(Calc!$S$3:$S$122,$T8),"")</f>
        <v>Chesterfield Red</v>
      </c>
      <c r="B8" s="12" t="str">
        <f>IF(AND(ISNUMBER($T8),$T8&lt;&gt;""),IF(INDEX(Calc!$T$3:$T$122,$T8)="","—",INDEX(Calc!$T$3:$T$122,$T8)),"")</f>
        <v>—</v>
      </c>
      <c r="C8" s="12" t="str">
        <f>IF(AND(ISNUMBER($T8),$T8&lt;&gt;""),IF(INDEX(Calc!$U$3:$U$122,$T8)="","—",INDEX(Calc!$U$3:$U$122,$T8)),"")</f>
        <v>—</v>
      </c>
      <c r="D8" s="12" t="str">
        <f>IF(AND(ISNUMBER($T8),$T8&lt;&gt;""),IF(INDEX(Calc!$V$3:$V$122,$T8)="","—",INDEX(Calc!$V$3:$V$122,$T8)),"")</f>
        <v>—</v>
      </c>
      <c r="E8" s="12" t="str">
        <f>IF(AND(ISNUMBER($T8),$T8&lt;&gt;""),IF(INDEX(Calc!$W$3:$W$122,$T8)="","—",INDEX(Calc!$W$3:$W$122,$T8)),"")</f>
        <v>—</v>
      </c>
      <c r="F8" s="12" t="str">
        <f>IF(AND(ISNUMBER($T8),$T8&lt;&gt;""),IF(INDEX(Calc!$X$3:$X$122,$T8)="","—",INDEX(Calc!$X$3:$X$122,$T8)),"")</f>
        <v>—</v>
      </c>
      <c r="G8" s="12" t="str">
        <f>IF(AND(ISNUMBER($T8),$T8&lt;&gt;""),IF(INDEX(Calc!$Y$3:$Y$122,$T8)="","—",INDEX(Calc!$Y$3:$Y$122,$T8)),"")</f>
        <v>—</v>
      </c>
      <c r="H8" s="12" t="str">
        <f>IF(AND(ISNUMBER($T8),$T8&lt;&gt;""),IF(INDEX(Calc!$Z$3:$Z$122,$T8)="","—",INDEX(Calc!$Z$3:$Z$122,$T8)),"")</f>
        <v>—</v>
      </c>
      <c r="I8" s="12">
        <f>IF(AND(ISNUMBER($T8),$T8&lt;&gt;""),IF(INDEX(Calc!$AA$3:$AA$122,$T8)="","—",INDEX(Calc!$AA$3:$AA$122,$T8)),"")</f>
        <v>-7</v>
      </c>
      <c r="J8" s="12">
        <f>IF(AND(ISNUMBER($T8),$T8&lt;&gt;""),IF(INDEX(Calc!$AB$3:$AB$122,$T8)="","—",INDEX(Calc!$AB$3:$AB$122,$T8)),"")</f>
        <v>0</v>
      </c>
      <c r="K8" s="12">
        <f>IF(AND(ISNUMBER($T8),$T8&lt;&gt;""),IF(INDEX(Calc!$AC$3:$AC$122,$T8)="","—",INDEX(Calc!$AC$3:$AC$122,$T8)),"")</f>
        <v>-10</v>
      </c>
      <c r="L8" s="12">
        <f>IF(AND(ISNUMBER($T8),$T8&lt;&gt;""),IF(INDEX(Calc!$AD$3:$AD$122,$T8)="","—",INDEX(Calc!$AD$3:$AD$122,$T8)),"")</f>
        <v>0</v>
      </c>
      <c r="M8" s="12">
        <f>IF(AND(ISNUMBER($T8),$T8&lt;&gt;""),IF(INDEX(Calc!$AE$3:$AE$122,$T8)="","—",INDEX(Calc!$AE$3:$AE$122,$T8)),"")</f>
        <v>-10</v>
      </c>
      <c r="N8" s="12" t="str">
        <f>IF(AND(ISNUMBER($T8),$T8&lt;&gt;""),IF(INDEX(Calc!$AF$3:$AF$122,$T8)="","—",INDEX(Calc!$AF$3:$AF$122,$T8)),"")</f>
        <v>—</v>
      </c>
      <c r="O8" s="12" t="str">
        <f>IF(AND(ISNUMBER($T8),$T8&lt;&gt;""),IF(INDEX(Calc!$AG$3:$AG$122,$T8)="","—",INDEX(Calc!$AG$3:$AG$122,$T8)),"")</f>
        <v>—</v>
      </c>
      <c r="P8" s="13">
        <f>IF(AND(ISNUMBER($T8),$T8&lt;&gt;""),IF(INDEX(Calc!$AJ$3:$AJ$122,$T8)="","—",INDEX(Calc!$AJ$3:$AJ$122,$T8)),"")</f>
        <v>3</v>
      </c>
      <c r="Q8" s="13">
        <f>IF(AND(ISNUMBER($T8),$T8&lt;&gt;""),IF(INDEX(Calc!$AK$3:$AK$122,$T8)="","—",INDEX(Calc!$AK$3:$AK$122,$T8)),"")</f>
        <v>-27</v>
      </c>
      <c r="R8" s="12">
        <f>IF(AND(ISNUMBER($T8),$T8&lt;&gt;""),IF(INDEX(Calc!$AL$3:$AL$122,$T8)="","—",INDEX(Calc!$AL$3:$AL$122,$T8)),"")</f>
        <v>-10</v>
      </c>
      <c r="T8">
        <f>IFERROR(MATCH(4,Calc!$AN$3:$AN$122,0),"")</f>
        <v>8</v>
      </c>
    </row>
    <row r="9" spans="1:20" x14ac:dyDescent="0.2">
      <c r="A9" s="16" t="str">
        <f>IF(AND(ISNUMBER($T9),$T9&lt;&gt;""),INDEX(Calc!$S$3:$S$122,$T9),"")</f>
        <v>LD Red</v>
      </c>
      <c r="B9" s="17" t="str">
        <f>IF(AND(ISNUMBER($T9),$T9&lt;&gt;""),IF(INDEX(Calc!$T$3:$T$122,$T9)="","—",INDEX(Calc!$T$3:$T$122,$T9)),"")</f>
        <v>—</v>
      </c>
      <c r="C9" s="17" t="str">
        <f>IF(AND(ISNUMBER($T9),$T9&lt;&gt;""),IF(INDEX(Calc!$U$3:$U$122,$T9)="","—",INDEX(Calc!$U$3:$U$122,$T9)),"")</f>
        <v>—</v>
      </c>
      <c r="D9" s="17" t="str">
        <f>IF(AND(ISNUMBER($T9),$T9&lt;&gt;""),IF(INDEX(Calc!$V$3:$V$122,$T9)="","—",INDEX(Calc!$V$3:$V$122,$T9)),"")</f>
        <v>—</v>
      </c>
      <c r="E9" s="17" t="str">
        <f>IF(AND(ISNUMBER($T9),$T9&lt;&gt;""),IF(INDEX(Calc!$W$3:$W$122,$T9)="","—",INDEX(Calc!$W$3:$W$122,$T9)),"")</f>
        <v>—</v>
      </c>
      <c r="F9" s="17" t="str">
        <f>IF(AND(ISNUMBER($T9),$T9&lt;&gt;""),IF(INDEX(Calc!$X$3:$X$122,$T9)="","—",INDEX(Calc!$X$3:$X$122,$T9)),"")</f>
        <v>—</v>
      </c>
      <c r="G9" s="17" t="str">
        <f>IF(AND(ISNUMBER($T9),$T9&lt;&gt;""),IF(INDEX(Calc!$Y$3:$Y$122,$T9)="","—",INDEX(Calc!$Y$3:$Y$122,$T9)),"")</f>
        <v>—</v>
      </c>
      <c r="H9" s="17" t="str">
        <f>IF(AND(ISNUMBER($T9),$T9&lt;&gt;""),IF(INDEX(Calc!$Z$3:$Z$122,$T9)="","—",INDEX(Calc!$Z$3:$Z$122,$T9)),"")</f>
        <v>—</v>
      </c>
      <c r="I9" s="17">
        <f>IF(AND(ISNUMBER($T9),$T9&lt;&gt;""),IF(INDEX(Calc!$AA$3:$AA$122,$T9)="","—",INDEX(Calc!$AA$3:$AA$122,$T9)),"")</f>
        <v>0</v>
      </c>
      <c r="J9" s="17">
        <f>IF(AND(ISNUMBER($T9),$T9&lt;&gt;""),IF(INDEX(Calc!$AB$3:$AB$122,$T9)="","—",INDEX(Calc!$AB$3:$AB$122,$T9)),"")</f>
        <v>0</v>
      </c>
      <c r="K9" s="17">
        <f>IF(AND(ISNUMBER($T9),$T9&lt;&gt;""),IF(INDEX(Calc!$AC$3:$AC$122,$T9)="","—",INDEX(Calc!$AC$3:$AC$122,$T9)),"")</f>
        <v>-1</v>
      </c>
      <c r="L9" s="17">
        <f>IF(AND(ISNUMBER($T9),$T9&lt;&gt;""),IF(INDEX(Calc!$AD$3:$AD$122,$T9)="","—",INDEX(Calc!$AD$3:$AD$122,$T9)),"")</f>
        <v>-10</v>
      </c>
      <c r="M9" s="17">
        <f>IF(AND(ISNUMBER($T9),$T9&lt;&gt;""),IF(INDEX(Calc!$AE$3:$AE$122,$T9)="","—",INDEX(Calc!$AE$3:$AE$122,$T9)),"")</f>
        <v>-10</v>
      </c>
      <c r="N9" s="17" t="str">
        <f>IF(AND(ISNUMBER($T9),$T9&lt;&gt;""),IF(INDEX(Calc!$AF$3:$AF$122,$T9)="","—",INDEX(Calc!$AF$3:$AF$122,$T9)),"")</f>
        <v>—</v>
      </c>
      <c r="O9" s="17" t="str">
        <f>IF(AND(ISNUMBER($T9),$T9&lt;&gt;""),IF(INDEX(Calc!$AG$3:$AG$122,$T9)="","—",INDEX(Calc!$AG$3:$AG$122,$T9)),"")</f>
        <v>—</v>
      </c>
      <c r="P9" s="18">
        <f>IF(AND(ISNUMBER($T9),$T9&lt;&gt;""),IF(INDEX(Calc!$AJ$3:$AJ$122,$T9)="","—",INDEX(Calc!$AJ$3:$AJ$122,$T9)),"")</f>
        <v>3</v>
      </c>
      <c r="Q9" s="18">
        <f>IF(AND(ISNUMBER($T9),$T9&lt;&gt;""),IF(INDEX(Calc!$AK$3:$AK$122,$T9)="","—",INDEX(Calc!$AK$3:$AK$122,$T9)),"")</f>
        <v>-21</v>
      </c>
      <c r="R9" s="17">
        <f>IF(AND(ISNUMBER($T9),$T9&lt;&gt;""),IF(INDEX(Calc!$AL$3:$AL$122,$T9)="","—",INDEX(Calc!$AL$3:$AL$122,$T9)),"")</f>
        <v>-10</v>
      </c>
      <c r="T9">
        <f>IFERROR(MATCH(5,Calc!$AN$3:$AN$122,0),"")</f>
        <v>27</v>
      </c>
    </row>
    <row r="10" spans="1:20" x14ac:dyDescent="0.2">
      <c r="A10" s="11" t="str">
        <f>IF(AND(ISNUMBER($T10),$T10&lt;&gt;""),INDEX(Calc!$S$3:$S$122,$T10),"")</f>
        <v>Winston Blue</v>
      </c>
      <c r="B10" s="12" t="str">
        <f>IF(AND(ISNUMBER($T10),$T10&lt;&gt;""),IF(INDEX(Calc!$T$3:$T$122,$T10)="","—",INDEX(Calc!$T$3:$T$122,$T10)),"")</f>
        <v>—</v>
      </c>
      <c r="C10" s="12" t="str">
        <f>IF(AND(ISNUMBER($T10),$T10&lt;&gt;""),IF(INDEX(Calc!$U$3:$U$122,$T10)="","—",INDEX(Calc!$U$3:$U$122,$T10)),"")</f>
        <v>—</v>
      </c>
      <c r="D10" s="12" t="str">
        <f>IF(AND(ISNUMBER($T10),$T10&lt;&gt;""),IF(INDEX(Calc!$V$3:$V$122,$T10)="","—",INDEX(Calc!$V$3:$V$122,$T10)),"")</f>
        <v>—</v>
      </c>
      <c r="E10" s="12" t="str">
        <f>IF(AND(ISNUMBER($T10),$T10&lt;&gt;""),IF(INDEX(Calc!$W$3:$W$122,$T10)="","—",INDEX(Calc!$W$3:$W$122,$T10)),"")</f>
        <v>—</v>
      </c>
      <c r="F10" s="12" t="str">
        <f>IF(AND(ISNUMBER($T10),$T10&lt;&gt;""),IF(INDEX(Calc!$X$3:$X$122,$T10)="","—",INDEX(Calc!$X$3:$X$122,$T10)),"")</f>
        <v>—</v>
      </c>
      <c r="G10" s="12" t="str">
        <f>IF(AND(ISNUMBER($T10),$T10&lt;&gt;""),IF(INDEX(Calc!$Y$3:$Y$122,$T10)="","—",INDEX(Calc!$Y$3:$Y$122,$T10)),"")</f>
        <v>—</v>
      </c>
      <c r="H10" s="12" t="str">
        <f>IF(AND(ISNUMBER($T10),$T10&lt;&gt;""),IF(INDEX(Calc!$Z$3:$Z$122,$T10)="","—",INDEX(Calc!$Z$3:$Z$122,$T10)),"")</f>
        <v>—</v>
      </c>
      <c r="I10" s="12">
        <f>IF(AND(ISNUMBER($T10),$T10&lt;&gt;""),IF(INDEX(Calc!$AA$3:$AA$122,$T10)="","—",INDEX(Calc!$AA$3:$AA$122,$T10)),"")</f>
        <v>1</v>
      </c>
      <c r="J10" s="12">
        <f>IF(AND(ISNUMBER($T10),$T10&lt;&gt;""),IF(INDEX(Calc!$AB$3:$AB$122,$T10)="","—",INDEX(Calc!$AB$3:$AB$122,$T10)),"")</f>
        <v>-2</v>
      </c>
      <c r="K10" s="12">
        <f>IF(AND(ISNUMBER($T10),$T10&lt;&gt;""),IF(INDEX(Calc!$AC$3:$AC$122,$T10)="","—",INDEX(Calc!$AC$3:$AC$122,$T10)),"")</f>
        <v>0</v>
      </c>
      <c r="L10" s="12">
        <f>IF(AND(ISNUMBER($T10),$T10&lt;&gt;""),IF(INDEX(Calc!$AD$3:$AD$122,$T10)="","—",INDEX(Calc!$AD$3:$AD$122,$T10)),"")</f>
        <v>0</v>
      </c>
      <c r="M10" s="12">
        <f>IF(AND(ISNUMBER($T10),$T10&lt;&gt;""),IF(INDEX(Calc!$AE$3:$AE$122,$T10)="","—",INDEX(Calc!$AE$3:$AE$122,$T10)),"")</f>
        <v>-20</v>
      </c>
      <c r="N10" s="12" t="str">
        <f>IF(AND(ISNUMBER($T10),$T10&lt;&gt;""),IF(INDEX(Calc!$AF$3:$AF$122,$T10)="","—",INDEX(Calc!$AF$3:$AF$122,$T10)),"")</f>
        <v>—</v>
      </c>
      <c r="O10" s="12" t="str">
        <f>IF(AND(ISNUMBER($T10),$T10&lt;&gt;""),IF(INDEX(Calc!$AG$3:$AG$122,$T10)="","—",INDEX(Calc!$AG$3:$AG$122,$T10)),"")</f>
        <v>—</v>
      </c>
      <c r="P10" s="13">
        <f>IF(AND(ISNUMBER($T10),$T10&lt;&gt;""),IF(INDEX(Calc!$AJ$3:$AJ$122,$T10)="","—",INDEX(Calc!$AJ$3:$AJ$122,$T10)),"")</f>
        <v>3</v>
      </c>
      <c r="Q10" s="13">
        <f>IF(AND(ISNUMBER($T10),$T10&lt;&gt;""),IF(INDEX(Calc!$AK$3:$AK$122,$T10)="","—",INDEX(Calc!$AK$3:$AK$122,$T10)),"")</f>
        <v>-21</v>
      </c>
      <c r="R10" s="12">
        <f>IF(AND(ISNUMBER($T10),$T10&lt;&gt;""),IF(INDEX(Calc!$AL$3:$AL$122,$T10)="","—",INDEX(Calc!$AL$3:$AL$122,$T10)),"")</f>
        <v>-20</v>
      </c>
      <c r="T10">
        <f>IFERROR(MATCH(6,Calc!$AN$3:$AN$122,0),"")</f>
        <v>73</v>
      </c>
    </row>
    <row r="11" spans="1:20" x14ac:dyDescent="0.2">
      <c r="A11" s="16" t="str">
        <f>IF(AND(ISNUMBER($T11),$T11&lt;&gt;""),INDEX(Calc!$S$3:$S$122,$T11),"")</f>
        <v>Marlboro Gold</v>
      </c>
      <c r="B11" s="17" t="str">
        <f>IF(AND(ISNUMBER($T11),$T11&lt;&gt;""),IF(INDEX(Calc!$T$3:$T$122,$T11)="","—",INDEX(Calc!$T$3:$T$122,$T11)),"")</f>
        <v>—</v>
      </c>
      <c r="C11" s="17" t="str">
        <f>IF(AND(ISNUMBER($T11),$T11&lt;&gt;""),IF(INDEX(Calc!$U$3:$U$122,$T11)="","—",INDEX(Calc!$U$3:$U$122,$T11)),"")</f>
        <v>—</v>
      </c>
      <c r="D11" s="17" t="str">
        <f>IF(AND(ISNUMBER($T11),$T11&lt;&gt;""),IF(INDEX(Calc!$V$3:$V$122,$T11)="","—",INDEX(Calc!$V$3:$V$122,$T11)),"")</f>
        <v>—</v>
      </c>
      <c r="E11" s="17" t="str">
        <f>IF(AND(ISNUMBER($T11),$T11&lt;&gt;""),IF(INDEX(Calc!$W$3:$W$122,$T11)="","—",INDEX(Calc!$W$3:$W$122,$T11)),"")</f>
        <v>—</v>
      </c>
      <c r="F11" s="17" t="str">
        <f>IF(AND(ISNUMBER($T11),$T11&lt;&gt;""),IF(INDEX(Calc!$X$3:$X$122,$T11)="","—",INDEX(Calc!$X$3:$X$122,$T11)),"")</f>
        <v>—</v>
      </c>
      <c r="G11" s="17" t="str">
        <f>IF(AND(ISNUMBER($T11),$T11&lt;&gt;""),IF(INDEX(Calc!$Y$3:$Y$122,$T11)="","—",INDEX(Calc!$Y$3:$Y$122,$T11)),"")</f>
        <v>—</v>
      </c>
      <c r="H11" s="17" t="str">
        <f>IF(AND(ISNUMBER($T11),$T11&lt;&gt;""),IF(INDEX(Calc!$Z$3:$Z$122,$T11)="","—",INDEX(Calc!$Z$3:$Z$122,$T11)),"")</f>
        <v>—</v>
      </c>
      <c r="I11" s="17">
        <f>IF(AND(ISNUMBER($T11),$T11&lt;&gt;""),IF(INDEX(Calc!$AA$3:$AA$122,$T11)="","—",INDEX(Calc!$AA$3:$AA$122,$T11)),"")</f>
        <v>-5</v>
      </c>
      <c r="J11" s="17">
        <f>IF(AND(ISNUMBER($T11),$T11&lt;&gt;""),IF(INDEX(Calc!$AB$3:$AB$122,$T11)="","—",INDEX(Calc!$AB$3:$AB$122,$T11)),"")</f>
        <v>-1</v>
      </c>
      <c r="K11" s="17">
        <f>IF(AND(ISNUMBER($T11),$T11&lt;&gt;""),IF(INDEX(Calc!$AC$3:$AC$122,$T11)="","—",INDEX(Calc!$AC$3:$AC$122,$T11)),"")</f>
        <v>0</v>
      </c>
      <c r="L11" s="17">
        <f>IF(AND(ISNUMBER($T11),$T11&lt;&gt;""),IF(INDEX(Calc!$AD$3:$AD$122,$T11)="","—",INDEX(Calc!$AD$3:$AD$122,$T11)),"")</f>
        <v>0</v>
      </c>
      <c r="M11" s="17">
        <f>IF(AND(ISNUMBER($T11),$T11&lt;&gt;""),IF(INDEX(Calc!$AE$3:$AE$122,$T11)="","—",INDEX(Calc!$AE$3:$AE$122,$T11)),"")</f>
        <v>-10</v>
      </c>
      <c r="N11" s="17" t="str">
        <f>IF(AND(ISNUMBER($T11),$T11&lt;&gt;""),IF(INDEX(Calc!$AF$3:$AF$122,$T11)="","—",INDEX(Calc!$AF$3:$AF$122,$T11)),"")</f>
        <v>—</v>
      </c>
      <c r="O11" s="17" t="str">
        <f>IF(AND(ISNUMBER($T11),$T11&lt;&gt;""),IF(INDEX(Calc!$AG$3:$AG$122,$T11)="","—",INDEX(Calc!$AG$3:$AG$122,$T11)),"")</f>
        <v>—</v>
      </c>
      <c r="P11" s="18">
        <f>IF(AND(ISNUMBER($T11),$T11&lt;&gt;""),IF(INDEX(Calc!$AJ$3:$AJ$122,$T11)="","—",INDEX(Calc!$AJ$3:$AJ$122,$T11)),"")</f>
        <v>3</v>
      </c>
      <c r="Q11" s="18">
        <f>IF(AND(ISNUMBER($T11),$T11&lt;&gt;""),IF(INDEX(Calc!$AK$3:$AK$122,$T11)="","—",INDEX(Calc!$AK$3:$AK$122,$T11)),"")</f>
        <v>-16</v>
      </c>
      <c r="R11" s="17">
        <f>IF(AND(ISNUMBER($T11),$T11&lt;&gt;""),IF(INDEX(Calc!$AL$3:$AL$122,$T11)="","—",INDEX(Calc!$AL$3:$AL$122,$T11)),"")</f>
        <v>-10</v>
      </c>
      <c r="T11">
        <f>IFERROR(MATCH(7,Calc!$AN$3:$AN$122,0),"")</f>
        <v>31</v>
      </c>
    </row>
    <row r="12" spans="1:20" x14ac:dyDescent="0.2">
      <c r="A12" s="11" t="str">
        <f>IF(AND(ISNUMBER($T12),$T12&lt;&gt;""),INDEX(Calc!$S$3:$S$122,$T12),"")</f>
        <v>LD Menthol</v>
      </c>
      <c r="B12" s="12" t="str">
        <f>IF(AND(ISNUMBER($T12),$T12&lt;&gt;""),IF(INDEX(Calc!$T$3:$T$122,$T12)="","—",INDEX(Calc!$T$3:$T$122,$T12)),"")</f>
        <v>—</v>
      </c>
      <c r="C12" s="12" t="str">
        <f>IF(AND(ISNUMBER($T12),$T12&lt;&gt;""),IF(INDEX(Calc!$U$3:$U$122,$T12)="","—",INDEX(Calc!$U$3:$U$122,$T12)),"")</f>
        <v>—</v>
      </c>
      <c r="D12" s="12" t="str">
        <f>IF(AND(ISNUMBER($T12),$T12&lt;&gt;""),IF(INDEX(Calc!$V$3:$V$122,$T12)="","—",INDEX(Calc!$V$3:$V$122,$T12)),"")</f>
        <v>—</v>
      </c>
      <c r="E12" s="12" t="str">
        <f>IF(AND(ISNUMBER($T12),$T12&lt;&gt;""),IF(INDEX(Calc!$W$3:$W$122,$T12)="","—",INDEX(Calc!$W$3:$W$122,$T12)),"")</f>
        <v>—</v>
      </c>
      <c r="F12" s="12" t="str">
        <f>IF(AND(ISNUMBER($T12),$T12&lt;&gt;""),IF(INDEX(Calc!$X$3:$X$122,$T12)="","—",INDEX(Calc!$X$3:$X$122,$T12)),"")</f>
        <v>—</v>
      </c>
      <c r="G12" s="12" t="str">
        <f>IF(AND(ISNUMBER($T12),$T12&lt;&gt;""),IF(INDEX(Calc!$Y$3:$Y$122,$T12)="","—",INDEX(Calc!$Y$3:$Y$122,$T12)),"")</f>
        <v>—</v>
      </c>
      <c r="H12" s="12" t="str">
        <f>IF(AND(ISNUMBER($T12),$T12&lt;&gt;""),IF(INDEX(Calc!$Z$3:$Z$122,$T12)="","—",INDEX(Calc!$Z$3:$Z$122,$T12)),"")</f>
        <v>—</v>
      </c>
      <c r="I12" s="12">
        <f>IF(AND(ISNUMBER($T12),$T12&lt;&gt;""),IF(INDEX(Calc!$AA$3:$AA$122,$T12)="","—",INDEX(Calc!$AA$3:$AA$122,$T12)),"")</f>
        <v>-12</v>
      </c>
      <c r="J12" s="12">
        <f>IF(AND(ISNUMBER($T12),$T12&lt;&gt;""),IF(INDEX(Calc!$AB$3:$AB$122,$T12)="","—",INDEX(Calc!$AB$3:$AB$122,$T12)),"")</f>
        <v>0</v>
      </c>
      <c r="K12" s="12">
        <f>IF(AND(ISNUMBER($T12),$T12&lt;&gt;""),IF(INDEX(Calc!$AC$3:$AC$122,$T12)="","—",INDEX(Calc!$AC$3:$AC$122,$T12)),"")</f>
        <v>0</v>
      </c>
      <c r="L12" s="12">
        <f>IF(AND(ISNUMBER($T12),$T12&lt;&gt;""),IF(INDEX(Calc!$AD$3:$AD$122,$T12)="","—",INDEX(Calc!$AD$3:$AD$122,$T12)),"")</f>
        <v>2</v>
      </c>
      <c r="M12" s="12">
        <f>IF(AND(ISNUMBER($T12),$T12&lt;&gt;""),IF(INDEX(Calc!$AE$3:$AE$122,$T12)="","—",INDEX(Calc!$AE$3:$AE$122,$T12)),"")</f>
        <v>-2</v>
      </c>
      <c r="N12" s="12" t="str">
        <f>IF(AND(ISNUMBER($T12),$T12&lt;&gt;""),IF(INDEX(Calc!$AF$3:$AF$122,$T12)="","—",INDEX(Calc!$AF$3:$AF$122,$T12)),"")</f>
        <v>—</v>
      </c>
      <c r="O12" s="12" t="str">
        <f>IF(AND(ISNUMBER($T12),$T12&lt;&gt;""),IF(INDEX(Calc!$AG$3:$AG$122,$T12)="","—",INDEX(Calc!$AG$3:$AG$122,$T12)),"")</f>
        <v>—</v>
      </c>
      <c r="P12" s="13">
        <f>IF(AND(ISNUMBER($T12),$T12&lt;&gt;""),IF(INDEX(Calc!$AJ$3:$AJ$122,$T12)="","—",INDEX(Calc!$AJ$3:$AJ$122,$T12)),"")</f>
        <v>3</v>
      </c>
      <c r="Q12" s="13">
        <f>IF(AND(ISNUMBER($T12),$T12&lt;&gt;""),IF(INDEX(Calc!$AK$3:$AK$122,$T12)="","—",INDEX(Calc!$AK$3:$AK$122,$T12)),"")</f>
        <v>-12</v>
      </c>
      <c r="R12" s="12">
        <f>IF(AND(ISNUMBER($T12),$T12&lt;&gt;""),IF(INDEX(Calc!$AL$3:$AL$122,$T12)="","—",INDEX(Calc!$AL$3:$AL$122,$T12)),"")</f>
        <v>-12</v>
      </c>
      <c r="T12">
        <f>IFERROR(MATCH(8,Calc!$AN$3:$AN$122,0),"")</f>
        <v>25</v>
      </c>
    </row>
    <row r="13" spans="1:20" x14ac:dyDescent="0.2">
      <c r="A13" s="16" t="str">
        <f>IF(AND(ISNUMBER($T13),$T13&lt;&gt;""),INDEX(Calc!$S$3:$S$122,$T13),"")</f>
        <v>Mevius Menthol</v>
      </c>
      <c r="B13" s="17" t="str">
        <f>IF(AND(ISNUMBER($T13),$T13&lt;&gt;""),IF(INDEX(Calc!$T$3:$T$122,$T13)="","—",INDEX(Calc!$T$3:$T$122,$T13)),"")</f>
        <v>—</v>
      </c>
      <c r="C13" s="17" t="str">
        <f>IF(AND(ISNUMBER($T13),$T13&lt;&gt;""),IF(INDEX(Calc!$U$3:$U$122,$T13)="","—",INDEX(Calc!$U$3:$U$122,$T13)),"")</f>
        <v>—</v>
      </c>
      <c r="D13" s="17" t="str">
        <f>IF(AND(ISNUMBER($T13),$T13&lt;&gt;""),IF(INDEX(Calc!$V$3:$V$122,$T13)="","—",INDEX(Calc!$V$3:$V$122,$T13)),"")</f>
        <v>—</v>
      </c>
      <c r="E13" s="17" t="str">
        <f>IF(AND(ISNUMBER($T13),$T13&lt;&gt;""),IF(INDEX(Calc!$W$3:$W$122,$T13)="","—",INDEX(Calc!$W$3:$W$122,$T13)),"")</f>
        <v>—</v>
      </c>
      <c r="F13" s="17" t="str">
        <f>IF(AND(ISNUMBER($T13),$T13&lt;&gt;""),IF(INDEX(Calc!$X$3:$X$122,$T13)="","—",INDEX(Calc!$X$3:$X$122,$T13)),"")</f>
        <v>—</v>
      </c>
      <c r="G13" s="17" t="str">
        <f>IF(AND(ISNUMBER($T13),$T13&lt;&gt;""),IF(INDEX(Calc!$Y$3:$Y$122,$T13)="","—",INDEX(Calc!$Y$3:$Y$122,$T13)),"")</f>
        <v>—</v>
      </c>
      <c r="H13" s="17" t="str">
        <f>IF(AND(ISNUMBER($T13),$T13&lt;&gt;""),IF(INDEX(Calc!$Z$3:$Z$122,$T13)="","—",INDEX(Calc!$Z$3:$Z$122,$T13)),"")</f>
        <v>—</v>
      </c>
      <c r="I13" s="17">
        <f>IF(AND(ISNUMBER($T13),$T13&lt;&gt;""),IF(INDEX(Calc!$AA$3:$AA$122,$T13)="","—",INDEX(Calc!$AA$3:$AA$122,$T13)),"")</f>
        <v>-3</v>
      </c>
      <c r="J13" s="17">
        <f>IF(AND(ISNUMBER($T13),$T13&lt;&gt;""),IF(INDEX(Calc!$AB$3:$AB$122,$T13)="","—",INDEX(Calc!$AB$3:$AB$122,$T13)),"")</f>
        <v>3</v>
      </c>
      <c r="K13" s="17">
        <f>IF(AND(ISNUMBER($T13),$T13&lt;&gt;""),IF(INDEX(Calc!$AC$3:$AC$122,$T13)="","—",INDEX(Calc!$AC$3:$AC$122,$T13)),"")</f>
        <v>0</v>
      </c>
      <c r="L13" s="17">
        <f>IF(AND(ISNUMBER($T13),$T13&lt;&gt;""),IF(INDEX(Calc!$AD$3:$AD$122,$T13)="","—",INDEX(Calc!$AD$3:$AD$122,$T13)),"")</f>
        <v>-10</v>
      </c>
      <c r="M13" s="17">
        <f>IF(AND(ISNUMBER($T13),$T13&lt;&gt;""),IF(INDEX(Calc!$AE$3:$AE$122,$T13)="","—",INDEX(Calc!$AE$3:$AE$122,$T13)),"")</f>
        <v>0</v>
      </c>
      <c r="N13" s="17" t="str">
        <f>IF(AND(ISNUMBER($T13),$T13&lt;&gt;""),IF(INDEX(Calc!$AF$3:$AF$122,$T13)="","—",INDEX(Calc!$AF$3:$AF$122,$T13)),"")</f>
        <v>—</v>
      </c>
      <c r="O13" s="17" t="str">
        <f>IF(AND(ISNUMBER($T13),$T13&lt;&gt;""),IF(INDEX(Calc!$AG$3:$AG$122,$T13)="","—",INDEX(Calc!$AG$3:$AG$122,$T13)),"")</f>
        <v>—</v>
      </c>
      <c r="P13" s="18">
        <f>IF(AND(ISNUMBER($T13),$T13&lt;&gt;""),IF(INDEX(Calc!$AJ$3:$AJ$122,$T13)="","—",INDEX(Calc!$AJ$3:$AJ$122,$T13)),"")</f>
        <v>3</v>
      </c>
      <c r="Q13" s="18">
        <f>IF(AND(ISNUMBER($T13),$T13&lt;&gt;""),IF(INDEX(Calc!$AK$3:$AK$122,$T13)="","—",INDEX(Calc!$AK$3:$AK$122,$T13)),"")</f>
        <v>-10</v>
      </c>
      <c r="R13" s="17">
        <f>IF(AND(ISNUMBER($T13),$T13&lt;&gt;""),IF(INDEX(Calc!$AL$3:$AL$122,$T13)="","—",INDEX(Calc!$AL$3:$AL$122,$T13)),"")</f>
        <v>-10</v>
      </c>
      <c r="T13">
        <f>IFERROR(MATCH(9,Calc!$AN$3:$AN$122,0),"")</f>
        <v>40</v>
      </c>
    </row>
    <row r="14" spans="1:20" x14ac:dyDescent="0.2">
      <c r="A14" s="11" t="str">
        <f>IF(AND(ISNUMBER($T14),$T14&lt;&gt;""),INDEX(Calc!$S$3:$S$122,$T14),"")</f>
        <v>LD Purple</v>
      </c>
      <c r="B14" s="12" t="str">
        <f>IF(AND(ISNUMBER($T14),$T14&lt;&gt;""),IF(INDEX(Calc!$T$3:$T$122,$T14)="","—",INDEX(Calc!$T$3:$T$122,$T14)),"")</f>
        <v>—</v>
      </c>
      <c r="C14" s="12" t="str">
        <f>IF(AND(ISNUMBER($T14),$T14&lt;&gt;""),IF(INDEX(Calc!$U$3:$U$122,$T14)="","—",INDEX(Calc!$U$3:$U$122,$T14)),"")</f>
        <v>—</v>
      </c>
      <c r="D14" s="12" t="str">
        <f>IF(AND(ISNUMBER($T14),$T14&lt;&gt;""),IF(INDEX(Calc!$V$3:$V$122,$T14)="","—",INDEX(Calc!$V$3:$V$122,$T14)),"")</f>
        <v>—</v>
      </c>
      <c r="E14" s="12" t="str">
        <f>IF(AND(ISNUMBER($T14),$T14&lt;&gt;""),IF(INDEX(Calc!$W$3:$W$122,$T14)="","—",INDEX(Calc!$W$3:$W$122,$T14)),"")</f>
        <v>—</v>
      </c>
      <c r="F14" s="12" t="str">
        <f>IF(AND(ISNUMBER($T14),$T14&lt;&gt;""),IF(INDEX(Calc!$X$3:$X$122,$T14)="","—",INDEX(Calc!$X$3:$X$122,$T14)),"")</f>
        <v>—</v>
      </c>
      <c r="G14" s="12" t="str">
        <f>IF(AND(ISNUMBER($T14),$T14&lt;&gt;""),IF(INDEX(Calc!$Y$3:$Y$122,$T14)="","—",INDEX(Calc!$Y$3:$Y$122,$T14)),"")</f>
        <v>—</v>
      </c>
      <c r="H14" s="12" t="str">
        <f>IF(AND(ISNUMBER($T14),$T14&lt;&gt;""),IF(INDEX(Calc!$Z$3:$Z$122,$T14)="","—",INDEX(Calc!$Z$3:$Z$122,$T14)),"")</f>
        <v>—</v>
      </c>
      <c r="I14" s="12">
        <f>IF(AND(ISNUMBER($T14),$T14&lt;&gt;""),IF(INDEX(Calc!$AA$3:$AA$122,$T14)="","—",INDEX(Calc!$AA$3:$AA$122,$T14)),"")</f>
        <v>3</v>
      </c>
      <c r="J14" s="12">
        <f>IF(AND(ISNUMBER($T14),$T14&lt;&gt;""),IF(INDEX(Calc!$AB$3:$AB$122,$T14)="","—",INDEX(Calc!$AB$3:$AB$122,$T14)),"")</f>
        <v>0</v>
      </c>
      <c r="K14" s="12">
        <f>IF(AND(ISNUMBER($T14),$T14&lt;&gt;""),IF(INDEX(Calc!$AC$3:$AC$122,$T14)="","—",INDEX(Calc!$AC$3:$AC$122,$T14)),"")</f>
        <v>1</v>
      </c>
      <c r="L14" s="12">
        <f>IF(AND(ISNUMBER($T14),$T14&lt;&gt;""),IF(INDEX(Calc!$AD$3:$AD$122,$T14)="","—",INDEX(Calc!$AD$3:$AD$122,$T14)),"")</f>
        <v>0</v>
      </c>
      <c r="M14" s="12">
        <f>IF(AND(ISNUMBER($T14),$T14&lt;&gt;""),IF(INDEX(Calc!$AE$3:$AE$122,$T14)="","—",INDEX(Calc!$AE$3:$AE$122,$T14)),"")</f>
        <v>-10</v>
      </c>
      <c r="N14" s="12" t="str">
        <f>IF(AND(ISNUMBER($T14),$T14&lt;&gt;""),IF(INDEX(Calc!$AF$3:$AF$122,$T14)="","—",INDEX(Calc!$AF$3:$AF$122,$T14)),"")</f>
        <v>—</v>
      </c>
      <c r="O14" s="12" t="str">
        <f>IF(AND(ISNUMBER($T14),$T14&lt;&gt;""),IF(INDEX(Calc!$AG$3:$AG$122,$T14)="","—",INDEX(Calc!$AG$3:$AG$122,$T14)),"")</f>
        <v>—</v>
      </c>
      <c r="P14" s="13">
        <f>IF(AND(ISNUMBER($T14),$T14&lt;&gt;""),IF(INDEX(Calc!$AJ$3:$AJ$122,$T14)="","—",INDEX(Calc!$AJ$3:$AJ$122,$T14)),"")</f>
        <v>3</v>
      </c>
      <c r="Q14" s="13">
        <f>IF(AND(ISNUMBER($T14),$T14&lt;&gt;""),IF(INDEX(Calc!$AK$3:$AK$122,$T14)="","—",INDEX(Calc!$AK$3:$AK$122,$T14)),"")</f>
        <v>-6</v>
      </c>
      <c r="R14" s="12">
        <f>IF(AND(ISNUMBER($T14),$T14&lt;&gt;""),IF(INDEX(Calc!$AL$3:$AL$122,$T14)="","—",INDEX(Calc!$AL$3:$AL$122,$T14)),"")</f>
        <v>-10</v>
      </c>
      <c r="T14">
        <f>IFERROR(MATCH(10,Calc!$AN$3:$AN$122,0),"")</f>
        <v>26</v>
      </c>
    </row>
    <row r="15" spans="1:20" x14ac:dyDescent="0.2">
      <c r="A15" s="16" t="str">
        <f>IF(AND(ISNUMBER($T15),$T15&lt;&gt;""),INDEX(Calc!$S$3:$S$122,$T15),"")</f>
        <v>LD Blue</v>
      </c>
      <c r="B15" s="17" t="str">
        <f>IF(AND(ISNUMBER($T15),$T15&lt;&gt;""),IF(INDEX(Calc!$T$3:$T$122,$T15)="","—",INDEX(Calc!$T$3:$T$122,$T15)),"")</f>
        <v>—</v>
      </c>
      <c r="C15" s="17" t="str">
        <f>IF(AND(ISNUMBER($T15),$T15&lt;&gt;""),IF(INDEX(Calc!$U$3:$U$122,$T15)="","—",INDEX(Calc!$U$3:$U$122,$T15)),"")</f>
        <v>—</v>
      </c>
      <c r="D15" s="17" t="str">
        <f>IF(AND(ISNUMBER($T15),$T15&lt;&gt;""),IF(INDEX(Calc!$V$3:$V$122,$T15)="","—",INDEX(Calc!$V$3:$V$122,$T15)),"")</f>
        <v>—</v>
      </c>
      <c r="E15" s="17" t="str">
        <f>IF(AND(ISNUMBER($T15),$T15&lt;&gt;""),IF(INDEX(Calc!$W$3:$W$122,$T15)="","—",INDEX(Calc!$W$3:$W$122,$T15)),"")</f>
        <v>—</v>
      </c>
      <c r="F15" s="17" t="str">
        <f>IF(AND(ISNUMBER($T15),$T15&lt;&gt;""),IF(INDEX(Calc!$X$3:$X$122,$T15)="","—",INDEX(Calc!$X$3:$X$122,$T15)),"")</f>
        <v>—</v>
      </c>
      <c r="G15" s="17" t="str">
        <f>IF(AND(ISNUMBER($T15),$T15&lt;&gt;""),IF(INDEX(Calc!$Y$3:$Y$122,$T15)="","—",INDEX(Calc!$Y$3:$Y$122,$T15)),"")</f>
        <v>—</v>
      </c>
      <c r="H15" s="17" t="str">
        <f>IF(AND(ISNUMBER($T15),$T15&lt;&gt;""),IF(INDEX(Calc!$Z$3:$Z$122,$T15)="","—",INDEX(Calc!$Z$3:$Z$122,$T15)),"")</f>
        <v>—</v>
      </c>
      <c r="I15" s="17">
        <f>IF(AND(ISNUMBER($T15),$T15&lt;&gt;""),IF(INDEX(Calc!$AA$3:$AA$122,$T15)="","—",INDEX(Calc!$AA$3:$AA$122,$T15)),"")</f>
        <v>-10</v>
      </c>
      <c r="J15" s="17">
        <f>IF(AND(ISNUMBER($T15),$T15&lt;&gt;""),IF(INDEX(Calc!$AB$3:$AB$122,$T15)="","—",INDEX(Calc!$AB$3:$AB$122,$T15)),"")</f>
        <v>0</v>
      </c>
      <c r="K15" s="17">
        <f>IF(AND(ISNUMBER($T15),$T15&lt;&gt;""),IF(INDEX(Calc!$AC$3:$AC$122,$T15)="","—",INDEX(Calc!$AC$3:$AC$122,$T15)),"")</f>
        <v>0</v>
      </c>
      <c r="L15" s="17">
        <f>IF(AND(ISNUMBER($T15),$T15&lt;&gt;""),IF(INDEX(Calc!$AD$3:$AD$122,$T15)="","—",INDEX(Calc!$AD$3:$AD$122,$T15)),"")</f>
        <v>-10</v>
      </c>
      <c r="M15" s="17">
        <f>IF(AND(ISNUMBER($T15),$T15&lt;&gt;""),IF(INDEX(Calc!$AE$3:$AE$122,$T15)="","—",INDEX(Calc!$AE$3:$AE$122,$T15)),"")</f>
        <v>0</v>
      </c>
      <c r="N15" s="17" t="str">
        <f>IF(AND(ISNUMBER($T15),$T15&lt;&gt;""),IF(INDEX(Calc!$AF$3:$AF$122,$T15)="","—",INDEX(Calc!$AF$3:$AF$122,$T15)),"")</f>
        <v>—</v>
      </c>
      <c r="O15" s="17" t="str">
        <f>IF(AND(ISNUMBER($T15),$T15&lt;&gt;""),IF(INDEX(Calc!$AG$3:$AG$122,$T15)="","—",INDEX(Calc!$AG$3:$AG$122,$T15)),"")</f>
        <v>—</v>
      </c>
      <c r="P15" s="18">
        <f>IF(AND(ISNUMBER($T15),$T15&lt;&gt;""),IF(INDEX(Calc!$AJ$3:$AJ$122,$T15)="","—",INDEX(Calc!$AJ$3:$AJ$122,$T15)),"")</f>
        <v>2</v>
      </c>
      <c r="Q15" s="18">
        <f>IF(AND(ISNUMBER($T15),$T15&lt;&gt;""),IF(INDEX(Calc!$AK$3:$AK$122,$T15)="","—",INDEX(Calc!$AK$3:$AK$122,$T15)),"")</f>
        <v>-20</v>
      </c>
      <c r="R15" s="17">
        <f>IF(AND(ISNUMBER($T15),$T15&lt;&gt;""),IF(INDEX(Calc!$AL$3:$AL$122,$T15)="","—",INDEX(Calc!$AL$3:$AL$122,$T15)),"")</f>
        <v>-10</v>
      </c>
      <c r="T15">
        <f>IFERROR(MATCH(11,Calc!$AN$3:$AN$122,0),"")</f>
        <v>24</v>
      </c>
    </row>
    <row r="16" spans="1:20" x14ac:dyDescent="0.2">
      <c r="A16" s="11" t="str">
        <f>IF(AND(ISNUMBER($T16),$T16&lt;&gt;""),INDEX(Calc!$S$3:$S$122,$T16),"")</f>
        <v>Mevius Sky Blue</v>
      </c>
      <c r="B16" s="12" t="str">
        <f>IF(AND(ISNUMBER($T16),$T16&lt;&gt;""),IF(INDEX(Calc!$T$3:$T$122,$T16)="","—",INDEX(Calc!$T$3:$T$122,$T16)),"")</f>
        <v>—</v>
      </c>
      <c r="C16" s="12" t="str">
        <f>IF(AND(ISNUMBER($T16),$T16&lt;&gt;""),IF(INDEX(Calc!$U$3:$U$122,$T16)="","—",INDEX(Calc!$U$3:$U$122,$T16)),"")</f>
        <v>—</v>
      </c>
      <c r="D16" s="12" t="str">
        <f>IF(AND(ISNUMBER($T16),$T16&lt;&gt;""),IF(INDEX(Calc!$V$3:$V$122,$T16)="","—",INDEX(Calc!$V$3:$V$122,$T16)),"")</f>
        <v>—</v>
      </c>
      <c r="E16" s="12" t="str">
        <f>IF(AND(ISNUMBER($T16),$T16&lt;&gt;""),IF(INDEX(Calc!$W$3:$W$122,$T16)="","—",INDEX(Calc!$W$3:$W$122,$T16)),"")</f>
        <v>—</v>
      </c>
      <c r="F16" s="12" t="str">
        <f>IF(AND(ISNUMBER($T16),$T16&lt;&gt;""),IF(INDEX(Calc!$X$3:$X$122,$T16)="","—",INDEX(Calc!$X$3:$X$122,$T16)),"")</f>
        <v>—</v>
      </c>
      <c r="G16" s="12" t="str">
        <f>IF(AND(ISNUMBER($T16),$T16&lt;&gt;""),IF(INDEX(Calc!$Y$3:$Y$122,$T16)="","—",INDEX(Calc!$Y$3:$Y$122,$T16)),"")</f>
        <v>—</v>
      </c>
      <c r="H16" s="12" t="str">
        <f>IF(AND(ISNUMBER($T16),$T16&lt;&gt;""),IF(INDEX(Calc!$Z$3:$Z$122,$T16)="","—",INDEX(Calc!$Z$3:$Z$122,$T16)),"")</f>
        <v>—</v>
      </c>
      <c r="I16" s="12">
        <f>IF(AND(ISNUMBER($T16),$T16&lt;&gt;""),IF(INDEX(Calc!$AA$3:$AA$122,$T16)="","—",INDEX(Calc!$AA$3:$AA$122,$T16)),"")</f>
        <v>0</v>
      </c>
      <c r="J16" s="12">
        <f>IF(AND(ISNUMBER($T16),$T16&lt;&gt;""),IF(INDEX(Calc!$AB$3:$AB$122,$T16)="","—",INDEX(Calc!$AB$3:$AB$122,$T16)),"")</f>
        <v>0</v>
      </c>
      <c r="K16" s="12">
        <f>IF(AND(ISNUMBER($T16),$T16&lt;&gt;""),IF(INDEX(Calc!$AC$3:$AC$122,$T16)="","—",INDEX(Calc!$AC$3:$AC$122,$T16)),"")</f>
        <v>0</v>
      </c>
      <c r="L16" s="12">
        <f>IF(AND(ISNUMBER($T16),$T16&lt;&gt;""),IF(INDEX(Calc!$AD$3:$AD$122,$T16)="","—",INDEX(Calc!$AD$3:$AD$122,$T16)),"")</f>
        <v>-10</v>
      </c>
      <c r="M16" s="12">
        <f>IF(AND(ISNUMBER($T16),$T16&lt;&gt;""),IF(INDEX(Calc!$AE$3:$AE$122,$T16)="","—",INDEX(Calc!$AE$3:$AE$122,$T16)),"")</f>
        <v>-10</v>
      </c>
      <c r="N16" s="12" t="str">
        <f>IF(AND(ISNUMBER($T16),$T16&lt;&gt;""),IF(INDEX(Calc!$AF$3:$AF$122,$T16)="","—",INDEX(Calc!$AF$3:$AF$122,$T16)),"")</f>
        <v>—</v>
      </c>
      <c r="O16" s="12" t="str">
        <f>IF(AND(ISNUMBER($T16),$T16&lt;&gt;""),IF(INDEX(Calc!$AG$3:$AG$122,$T16)="","—",INDEX(Calc!$AG$3:$AG$122,$T16)),"")</f>
        <v>—</v>
      </c>
      <c r="P16" s="13">
        <f>IF(AND(ISNUMBER($T16),$T16&lt;&gt;""),IF(INDEX(Calc!$AJ$3:$AJ$122,$T16)="","—",INDEX(Calc!$AJ$3:$AJ$122,$T16)),"")</f>
        <v>2</v>
      </c>
      <c r="Q16" s="13">
        <f>IF(AND(ISNUMBER($T16),$T16&lt;&gt;""),IF(INDEX(Calc!$AK$3:$AK$122,$T16)="","—",INDEX(Calc!$AK$3:$AK$122,$T16)),"")</f>
        <v>-20</v>
      </c>
      <c r="R16" s="12">
        <f>IF(AND(ISNUMBER($T16),$T16&lt;&gt;""),IF(INDEX(Calc!$AL$3:$AL$122,$T16)="","—",INDEX(Calc!$AL$3:$AL$122,$T16)),"")</f>
        <v>-10</v>
      </c>
      <c r="T16">
        <f>IFERROR(MATCH(12,Calc!$AN$3:$AN$122,0),"")</f>
        <v>42</v>
      </c>
    </row>
    <row r="17" spans="1:20" x14ac:dyDescent="0.2">
      <c r="A17" s="16" t="str">
        <f>IF(AND(ISNUMBER($T17),$T17&lt;&gt;""),INDEX(Calc!$S$3:$S$122,$T17),"")</f>
        <v>Rothmans Purple</v>
      </c>
      <c r="B17" s="17" t="str">
        <f>IF(AND(ISNUMBER($T17),$T17&lt;&gt;""),IF(INDEX(Calc!$T$3:$T$122,$T17)="","—",INDEX(Calc!$T$3:$T$122,$T17)),"")</f>
        <v>—</v>
      </c>
      <c r="C17" s="17" t="str">
        <f>IF(AND(ISNUMBER($T17),$T17&lt;&gt;""),IF(INDEX(Calc!$U$3:$U$122,$T17)="","—",INDEX(Calc!$U$3:$U$122,$T17)),"")</f>
        <v>—</v>
      </c>
      <c r="D17" s="17" t="str">
        <f>IF(AND(ISNUMBER($T17),$T17&lt;&gt;""),IF(INDEX(Calc!$V$3:$V$122,$T17)="","—",INDEX(Calc!$V$3:$V$122,$T17)),"")</f>
        <v>—</v>
      </c>
      <c r="E17" s="17" t="str">
        <f>IF(AND(ISNUMBER($T17),$T17&lt;&gt;""),IF(INDEX(Calc!$W$3:$W$122,$T17)="","—",INDEX(Calc!$W$3:$W$122,$T17)),"")</f>
        <v>—</v>
      </c>
      <c r="F17" s="17" t="str">
        <f>IF(AND(ISNUMBER($T17),$T17&lt;&gt;""),IF(INDEX(Calc!$X$3:$X$122,$T17)="","—",INDEX(Calc!$X$3:$X$122,$T17)),"")</f>
        <v>—</v>
      </c>
      <c r="G17" s="17" t="str">
        <f>IF(AND(ISNUMBER($T17),$T17&lt;&gt;""),IF(INDEX(Calc!$Y$3:$Y$122,$T17)="","—",INDEX(Calc!$Y$3:$Y$122,$T17)),"")</f>
        <v>—</v>
      </c>
      <c r="H17" s="17" t="str">
        <f>IF(AND(ISNUMBER($T17),$T17&lt;&gt;""),IF(INDEX(Calc!$Z$3:$Z$122,$T17)="","—",INDEX(Calc!$Z$3:$Z$122,$T17)),"")</f>
        <v>—</v>
      </c>
      <c r="I17" s="17">
        <f>IF(AND(ISNUMBER($T17),$T17&lt;&gt;""),IF(INDEX(Calc!$AA$3:$AA$122,$T17)="","—",INDEX(Calc!$AA$3:$AA$122,$T17)),"")</f>
        <v>0</v>
      </c>
      <c r="J17" s="17">
        <f>IF(AND(ISNUMBER($T17),$T17&lt;&gt;""),IF(INDEX(Calc!$AB$3:$AB$122,$T17)="","—",INDEX(Calc!$AB$3:$AB$122,$T17)),"")</f>
        <v>0</v>
      </c>
      <c r="K17" s="17">
        <f>IF(AND(ISNUMBER($T17),$T17&lt;&gt;""),IF(INDEX(Calc!$AC$3:$AC$122,$T17)="","—",INDEX(Calc!$AC$3:$AC$122,$T17)),"")</f>
        <v>-10</v>
      </c>
      <c r="L17" s="17">
        <f>IF(AND(ISNUMBER($T17),$T17&lt;&gt;""),IF(INDEX(Calc!$AD$3:$AD$122,$T17)="","—",INDEX(Calc!$AD$3:$AD$122,$T17)),"")</f>
        <v>0</v>
      </c>
      <c r="M17" s="17">
        <f>IF(AND(ISNUMBER($T17),$T17&lt;&gt;""),IF(INDEX(Calc!$AE$3:$AE$122,$T17)="","—",INDEX(Calc!$AE$3:$AE$122,$T17)),"")</f>
        <v>-10</v>
      </c>
      <c r="N17" s="17" t="str">
        <f>IF(AND(ISNUMBER($T17),$T17&lt;&gt;""),IF(INDEX(Calc!$AF$3:$AF$122,$T17)="","—",INDEX(Calc!$AF$3:$AF$122,$T17)),"")</f>
        <v>—</v>
      </c>
      <c r="O17" s="17" t="str">
        <f>IF(AND(ISNUMBER($T17),$T17&lt;&gt;""),IF(INDEX(Calc!$AG$3:$AG$122,$T17)="","—",INDEX(Calc!$AG$3:$AG$122,$T17)),"")</f>
        <v>—</v>
      </c>
      <c r="P17" s="18">
        <f>IF(AND(ISNUMBER($T17),$T17&lt;&gt;""),IF(INDEX(Calc!$AJ$3:$AJ$122,$T17)="","—",INDEX(Calc!$AJ$3:$AJ$122,$T17)),"")</f>
        <v>2</v>
      </c>
      <c r="Q17" s="18">
        <f>IF(AND(ISNUMBER($T17),$T17&lt;&gt;""),IF(INDEX(Calc!$AK$3:$AK$122,$T17)="","—",INDEX(Calc!$AK$3:$AK$122,$T17)),"")</f>
        <v>-20</v>
      </c>
      <c r="R17" s="17">
        <f>IF(AND(ISNUMBER($T17),$T17&lt;&gt;""),IF(INDEX(Calc!$AL$3:$AL$122,$T17)="","—",INDEX(Calc!$AL$3:$AL$122,$T17)),"")</f>
        <v>-10</v>
      </c>
      <c r="T17">
        <f>IFERROR(MATCH(13,Calc!$AN$3:$AN$122,0),"")</f>
        <v>52</v>
      </c>
    </row>
    <row r="18" spans="1:20" x14ac:dyDescent="0.2">
      <c r="A18" s="11" t="str">
        <f>IF(AND(ISNUMBER($T18),$T18&lt;&gt;""),INDEX(Calc!$S$3:$S$122,$T18),"")</f>
        <v>Dunhill Blue</v>
      </c>
      <c r="B18" s="12" t="str">
        <f>IF(AND(ISNUMBER($T18),$T18&lt;&gt;""),IF(INDEX(Calc!$T$3:$T$122,$T18)="","—",INDEX(Calc!$T$3:$T$122,$T18)),"")</f>
        <v>—</v>
      </c>
      <c r="C18" s="12" t="str">
        <f>IF(AND(ISNUMBER($T18),$T18&lt;&gt;""),IF(INDEX(Calc!$U$3:$U$122,$T18)="","—",INDEX(Calc!$U$3:$U$122,$T18)),"")</f>
        <v>—</v>
      </c>
      <c r="D18" s="12" t="str">
        <f>IF(AND(ISNUMBER($T18),$T18&lt;&gt;""),IF(INDEX(Calc!$V$3:$V$122,$T18)="","—",INDEX(Calc!$V$3:$V$122,$T18)),"")</f>
        <v>—</v>
      </c>
      <c r="E18" s="12" t="str">
        <f>IF(AND(ISNUMBER($T18),$T18&lt;&gt;""),IF(INDEX(Calc!$W$3:$W$122,$T18)="","—",INDEX(Calc!$W$3:$W$122,$T18)),"")</f>
        <v>—</v>
      </c>
      <c r="F18" s="12" t="str">
        <f>IF(AND(ISNUMBER($T18),$T18&lt;&gt;""),IF(INDEX(Calc!$X$3:$X$122,$T18)="","—",INDEX(Calc!$X$3:$X$122,$T18)),"")</f>
        <v>—</v>
      </c>
      <c r="G18" s="12" t="str">
        <f>IF(AND(ISNUMBER($T18),$T18&lt;&gt;""),IF(INDEX(Calc!$Y$3:$Y$122,$T18)="","—",INDEX(Calc!$Y$3:$Y$122,$T18)),"")</f>
        <v>—</v>
      </c>
      <c r="H18" s="12" t="str">
        <f>IF(AND(ISNUMBER($T18),$T18&lt;&gt;""),IF(INDEX(Calc!$Z$3:$Z$122,$T18)="","—",INDEX(Calc!$Z$3:$Z$122,$T18)),"")</f>
        <v>—</v>
      </c>
      <c r="I18" s="12">
        <f>IF(AND(ISNUMBER($T18),$T18&lt;&gt;""),IF(INDEX(Calc!$AA$3:$AA$122,$T18)="","—",INDEX(Calc!$AA$3:$AA$122,$T18)),"")</f>
        <v>-7</v>
      </c>
      <c r="J18" s="12">
        <f>IF(AND(ISNUMBER($T18),$T18&lt;&gt;""),IF(INDEX(Calc!$AB$3:$AB$122,$T18)="","—",INDEX(Calc!$AB$3:$AB$122,$T18)),"")</f>
        <v>12</v>
      </c>
      <c r="K18" s="12">
        <f>IF(AND(ISNUMBER($T18),$T18&lt;&gt;""),IF(INDEX(Calc!$AC$3:$AC$122,$T18)="","—",INDEX(Calc!$AC$3:$AC$122,$T18)),"")</f>
        <v>0</v>
      </c>
      <c r="L18" s="12">
        <f>IF(AND(ISNUMBER($T18),$T18&lt;&gt;""),IF(INDEX(Calc!$AD$3:$AD$122,$T18)="","—",INDEX(Calc!$AD$3:$AD$122,$T18)),"")</f>
        <v>0</v>
      </c>
      <c r="M18" s="12">
        <f>IF(AND(ISNUMBER($T18),$T18&lt;&gt;""),IF(INDEX(Calc!$AE$3:$AE$122,$T18)="","—",INDEX(Calc!$AE$3:$AE$122,$T18)),"")</f>
        <v>0</v>
      </c>
      <c r="N18" s="12" t="str">
        <f>IF(AND(ISNUMBER($T18),$T18&lt;&gt;""),IF(INDEX(Calc!$AF$3:$AF$122,$T18)="","—",INDEX(Calc!$AF$3:$AF$122,$T18)),"")</f>
        <v>—</v>
      </c>
      <c r="O18" s="12" t="str">
        <f>IF(AND(ISNUMBER($T18),$T18&lt;&gt;""),IF(INDEX(Calc!$AG$3:$AG$122,$T18)="","—",INDEX(Calc!$AG$3:$AG$122,$T18)),"")</f>
        <v>—</v>
      </c>
      <c r="P18" s="13">
        <f>IF(AND(ISNUMBER($T18),$T18&lt;&gt;""),IF(INDEX(Calc!$AJ$3:$AJ$122,$T18)="","—",INDEX(Calc!$AJ$3:$AJ$122,$T18)),"")</f>
        <v>2</v>
      </c>
      <c r="Q18" s="13">
        <f>IF(AND(ISNUMBER($T18),$T18&lt;&gt;""),IF(INDEX(Calc!$AK$3:$AK$122,$T18)="","—",INDEX(Calc!$AK$3:$AK$122,$T18)),"")</f>
        <v>5</v>
      </c>
      <c r="R18" s="12">
        <f>IF(AND(ISNUMBER($T18),$T18&lt;&gt;""),IF(INDEX(Calc!$AL$3:$AL$122,$T18)="","—",INDEX(Calc!$AL$3:$AL$122,$T18)),"")</f>
        <v>12</v>
      </c>
      <c r="T18">
        <f>IFERROR(MATCH(14,Calc!$AN$3:$AN$122,0),"")</f>
        <v>9</v>
      </c>
    </row>
    <row r="19" spans="1:20" x14ac:dyDescent="0.2">
      <c r="A19" s="16" t="str">
        <f>IF(AND(ISNUMBER($T19),$T19&lt;&gt;""),INDEX(Calc!$S$3:$S$122,$T19),"")</f>
        <v>Rothmans Blue</v>
      </c>
      <c r="B19" s="17" t="str">
        <f>IF(AND(ISNUMBER($T19),$T19&lt;&gt;""),IF(INDEX(Calc!$T$3:$T$122,$T19)="","—",INDEX(Calc!$T$3:$T$122,$T19)),"")</f>
        <v>—</v>
      </c>
      <c r="C19" s="17" t="str">
        <f>IF(AND(ISNUMBER($T19),$T19&lt;&gt;""),IF(INDEX(Calc!$U$3:$U$122,$T19)="","—",INDEX(Calc!$U$3:$U$122,$T19)),"")</f>
        <v>—</v>
      </c>
      <c r="D19" s="17" t="str">
        <f>IF(AND(ISNUMBER($T19),$T19&lt;&gt;""),IF(INDEX(Calc!$V$3:$V$122,$T19)="","—",INDEX(Calc!$V$3:$V$122,$T19)),"")</f>
        <v>—</v>
      </c>
      <c r="E19" s="17" t="str">
        <f>IF(AND(ISNUMBER($T19),$T19&lt;&gt;""),IF(INDEX(Calc!$W$3:$W$122,$T19)="","—",INDEX(Calc!$W$3:$W$122,$T19)),"")</f>
        <v>—</v>
      </c>
      <c r="F19" s="17" t="str">
        <f>IF(AND(ISNUMBER($T19),$T19&lt;&gt;""),IF(INDEX(Calc!$X$3:$X$122,$T19)="","—",INDEX(Calc!$X$3:$X$122,$T19)),"")</f>
        <v>—</v>
      </c>
      <c r="G19" s="17" t="str">
        <f>IF(AND(ISNUMBER($T19),$T19&lt;&gt;""),IF(INDEX(Calc!$Y$3:$Y$122,$T19)="","—",INDEX(Calc!$Y$3:$Y$122,$T19)),"")</f>
        <v>—</v>
      </c>
      <c r="H19" s="17" t="str">
        <f>IF(AND(ISNUMBER($T19),$T19&lt;&gt;""),IF(INDEX(Calc!$Z$3:$Z$122,$T19)="","—",INDEX(Calc!$Z$3:$Z$122,$T19)),"")</f>
        <v>—</v>
      </c>
      <c r="I19" s="17">
        <f>IF(AND(ISNUMBER($T19),$T19&lt;&gt;""),IF(INDEX(Calc!$AA$3:$AA$122,$T19)="","—",INDEX(Calc!$AA$3:$AA$122,$T19)),"")</f>
        <v>5</v>
      </c>
      <c r="J19" s="17">
        <f>IF(AND(ISNUMBER($T19),$T19&lt;&gt;""),IF(INDEX(Calc!$AB$3:$AB$122,$T19)="","—",INDEX(Calc!$AB$3:$AB$122,$T19)),"")</f>
        <v>-10</v>
      </c>
      <c r="K19" s="17">
        <f>IF(AND(ISNUMBER($T19),$T19&lt;&gt;""),IF(INDEX(Calc!$AC$3:$AC$122,$T19)="","—",INDEX(Calc!$AC$3:$AC$122,$T19)),"")</f>
        <v>0</v>
      </c>
      <c r="L19" s="17">
        <f>IF(AND(ISNUMBER($T19),$T19&lt;&gt;""),IF(INDEX(Calc!$AD$3:$AD$122,$T19)="","—",INDEX(Calc!$AD$3:$AD$122,$T19)),"")</f>
        <v>0</v>
      </c>
      <c r="M19" s="17">
        <f>IF(AND(ISNUMBER($T19),$T19&lt;&gt;""),IF(INDEX(Calc!$AE$3:$AE$122,$T19)="","—",INDEX(Calc!$AE$3:$AE$122,$T19)),"")</f>
        <v>0</v>
      </c>
      <c r="N19" s="17" t="str">
        <f>IF(AND(ISNUMBER($T19),$T19&lt;&gt;""),IF(INDEX(Calc!$AF$3:$AF$122,$T19)="","—",INDEX(Calc!$AF$3:$AF$122,$T19)),"")</f>
        <v>—</v>
      </c>
      <c r="O19" s="17" t="str">
        <f>IF(AND(ISNUMBER($T19),$T19&lt;&gt;""),IF(INDEX(Calc!$AG$3:$AG$122,$T19)="","—",INDEX(Calc!$AG$3:$AG$122,$T19)),"")</f>
        <v>—</v>
      </c>
      <c r="P19" s="18">
        <f>IF(AND(ISNUMBER($T19),$T19&lt;&gt;""),IF(INDEX(Calc!$AJ$3:$AJ$122,$T19)="","—",INDEX(Calc!$AJ$3:$AJ$122,$T19)),"")</f>
        <v>2</v>
      </c>
      <c r="Q19" s="18">
        <f>IF(AND(ISNUMBER($T19),$T19&lt;&gt;""),IF(INDEX(Calc!$AK$3:$AK$122,$T19)="","—",INDEX(Calc!$AK$3:$AK$122,$T19)),"")</f>
        <v>-5</v>
      </c>
      <c r="R19" s="17">
        <f>IF(AND(ISNUMBER($T19),$T19&lt;&gt;""),IF(INDEX(Calc!$AL$3:$AL$122,$T19)="","—",INDEX(Calc!$AL$3:$AL$122,$T19)),"")</f>
        <v>-10</v>
      </c>
      <c r="T19">
        <f>IFERROR(MATCH(15,Calc!$AN$3:$AN$122,0),"")</f>
        <v>48</v>
      </c>
    </row>
    <row r="20" spans="1:20" x14ac:dyDescent="0.2">
      <c r="A20" s="11" t="str">
        <f>IF(AND(ISNUMBER($T20),$T20&lt;&gt;""),INDEX(Calc!$S$3:$S$122,$T20),"")</f>
        <v>LD Zoom</v>
      </c>
      <c r="B20" s="12" t="str">
        <f>IF(AND(ISNUMBER($T20),$T20&lt;&gt;""),IF(INDEX(Calc!$T$3:$T$122,$T20)="","—",INDEX(Calc!$T$3:$T$122,$T20)),"")</f>
        <v>—</v>
      </c>
      <c r="C20" s="12" t="str">
        <f>IF(AND(ISNUMBER($T20),$T20&lt;&gt;""),IF(INDEX(Calc!$U$3:$U$122,$T20)="","—",INDEX(Calc!$U$3:$U$122,$T20)),"")</f>
        <v>—</v>
      </c>
      <c r="D20" s="12" t="str">
        <f>IF(AND(ISNUMBER($T20),$T20&lt;&gt;""),IF(INDEX(Calc!$V$3:$V$122,$T20)="","—",INDEX(Calc!$V$3:$V$122,$T20)),"")</f>
        <v>—</v>
      </c>
      <c r="E20" s="12" t="str">
        <f>IF(AND(ISNUMBER($T20),$T20&lt;&gt;""),IF(INDEX(Calc!$W$3:$W$122,$T20)="","—",INDEX(Calc!$W$3:$W$122,$T20)),"")</f>
        <v>—</v>
      </c>
      <c r="F20" s="12" t="str">
        <f>IF(AND(ISNUMBER($T20),$T20&lt;&gt;""),IF(INDEX(Calc!$X$3:$X$122,$T20)="","—",INDEX(Calc!$X$3:$X$122,$T20)),"")</f>
        <v>—</v>
      </c>
      <c r="G20" s="12" t="str">
        <f>IF(AND(ISNUMBER($T20),$T20&lt;&gt;""),IF(INDEX(Calc!$Y$3:$Y$122,$T20)="","—",INDEX(Calc!$Y$3:$Y$122,$T20)),"")</f>
        <v>—</v>
      </c>
      <c r="H20" s="12" t="str">
        <f>IF(AND(ISNUMBER($T20),$T20&lt;&gt;""),IF(INDEX(Calc!$Z$3:$Z$122,$T20)="","—",INDEX(Calc!$Z$3:$Z$122,$T20)),"")</f>
        <v>—</v>
      </c>
      <c r="I20" s="12">
        <f>IF(AND(ISNUMBER($T20),$T20&lt;&gt;""),IF(INDEX(Calc!$AA$3:$AA$122,$T20)="","—",INDEX(Calc!$AA$3:$AA$122,$T20)),"")</f>
        <v>-5</v>
      </c>
      <c r="J20" s="12">
        <f>IF(AND(ISNUMBER($T20),$T20&lt;&gt;""),IF(INDEX(Calc!$AB$3:$AB$122,$T20)="","—",INDEX(Calc!$AB$3:$AB$122,$T20)),"")</f>
        <v>6</v>
      </c>
      <c r="K20" s="12">
        <f>IF(AND(ISNUMBER($T20),$T20&lt;&gt;""),IF(INDEX(Calc!$AC$3:$AC$122,$T20)="","—",INDEX(Calc!$AC$3:$AC$122,$T20)),"")</f>
        <v>0</v>
      </c>
      <c r="L20" s="12">
        <f>IF(AND(ISNUMBER($T20),$T20&lt;&gt;""),IF(INDEX(Calc!$AD$3:$AD$122,$T20)="","—",INDEX(Calc!$AD$3:$AD$122,$T20)),"")</f>
        <v>0</v>
      </c>
      <c r="M20" s="12">
        <f>IF(AND(ISNUMBER($T20),$T20&lt;&gt;""),IF(INDEX(Calc!$AE$3:$AE$122,$T20)="","—",INDEX(Calc!$AE$3:$AE$122,$T20)),"")</f>
        <v>0</v>
      </c>
      <c r="N20" s="12" t="str">
        <f>IF(AND(ISNUMBER($T20),$T20&lt;&gt;""),IF(INDEX(Calc!$AF$3:$AF$122,$T20)="","—",INDEX(Calc!$AF$3:$AF$122,$T20)),"")</f>
        <v>—</v>
      </c>
      <c r="O20" s="12" t="str">
        <f>IF(AND(ISNUMBER($T20),$T20&lt;&gt;""),IF(INDEX(Calc!$AG$3:$AG$122,$T20)="","—",INDEX(Calc!$AG$3:$AG$122,$T20)),"")</f>
        <v>—</v>
      </c>
      <c r="P20" s="13">
        <f>IF(AND(ISNUMBER($T20),$T20&lt;&gt;""),IF(INDEX(Calc!$AJ$3:$AJ$122,$T20)="","—",INDEX(Calc!$AJ$3:$AJ$122,$T20)),"")</f>
        <v>2</v>
      </c>
      <c r="Q20" s="13">
        <f>IF(AND(ISNUMBER($T20),$T20&lt;&gt;""),IF(INDEX(Calc!$AK$3:$AK$122,$T20)="","—",INDEX(Calc!$AK$3:$AK$122,$T20)),"")</f>
        <v>1</v>
      </c>
      <c r="R20" s="12">
        <f>IF(AND(ISNUMBER($T20),$T20&lt;&gt;""),IF(INDEX(Calc!$AL$3:$AL$122,$T20)="","—",INDEX(Calc!$AL$3:$AL$122,$T20)),"")</f>
        <v>6</v>
      </c>
      <c r="T20">
        <f>IFERROR(MATCH(16,Calc!$AN$3:$AN$122,0),"")</f>
        <v>28</v>
      </c>
    </row>
    <row r="21" spans="1:20" x14ac:dyDescent="0.2">
      <c r="A21" s="16" t="str">
        <f>IF(AND(ISNUMBER($T21),$T21&lt;&gt;""),INDEX(Calc!$S$3:$S$122,$T21),"")</f>
        <v>Winston Red</v>
      </c>
      <c r="B21" s="17" t="str">
        <f>IF(AND(ISNUMBER($T21),$T21&lt;&gt;""),IF(INDEX(Calc!$T$3:$T$122,$T21)="","—",INDEX(Calc!$T$3:$T$122,$T21)),"")</f>
        <v>—</v>
      </c>
      <c r="C21" s="17" t="str">
        <f>IF(AND(ISNUMBER($T21),$T21&lt;&gt;""),IF(INDEX(Calc!$U$3:$U$122,$T21)="","—",INDEX(Calc!$U$3:$U$122,$T21)),"")</f>
        <v>—</v>
      </c>
      <c r="D21" s="17" t="str">
        <f>IF(AND(ISNUMBER($T21),$T21&lt;&gt;""),IF(INDEX(Calc!$V$3:$V$122,$T21)="","—",INDEX(Calc!$V$3:$V$122,$T21)),"")</f>
        <v>—</v>
      </c>
      <c r="E21" s="17" t="str">
        <f>IF(AND(ISNUMBER($T21),$T21&lt;&gt;""),IF(INDEX(Calc!$W$3:$W$122,$T21)="","—",INDEX(Calc!$W$3:$W$122,$T21)),"")</f>
        <v>—</v>
      </c>
      <c r="F21" s="17" t="str">
        <f>IF(AND(ISNUMBER($T21),$T21&lt;&gt;""),IF(INDEX(Calc!$X$3:$X$122,$T21)="","—",INDEX(Calc!$X$3:$X$122,$T21)),"")</f>
        <v>—</v>
      </c>
      <c r="G21" s="17" t="str">
        <f>IF(AND(ISNUMBER($T21),$T21&lt;&gt;""),IF(INDEX(Calc!$Y$3:$Y$122,$T21)="","—",INDEX(Calc!$Y$3:$Y$122,$T21)),"")</f>
        <v>—</v>
      </c>
      <c r="H21" s="17" t="str">
        <f>IF(AND(ISNUMBER($T21),$T21&lt;&gt;""),IF(INDEX(Calc!$Z$3:$Z$122,$T21)="","—",INDEX(Calc!$Z$3:$Z$122,$T21)),"")</f>
        <v>—</v>
      </c>
      <c r="I21" s="17">
        <f>IF(AND(ISNUMBER($T21),$T21&lt;&gt;""),IF(INDEX(Calc!$AA$3:$AA$122,$T21)="","—",INDEX(Calc!$AA$3:$AA$122,$T21)),"")</f>
        <v>-5</v>
      </c>
      <c r="J21" s="17">
        <f>IF(AND(ISNUMBER($T21),$T21&lt;&gt;""),IF(INDEX(Calc!$AB$3:$AB$122,$T21)="","—",INDEX(Calc!$AB$3:$AB$122,$T21)),"")</f>
        <v>4</v>
      </c>
      <c r="K21" s="17">
        <f>IF(AND(ISNUMBER($T21),$T21&lt;&gt;""),IF(INDEX(Calc!$AC$3:$AC$122,$T21)="","—",INDEX(Calc!$AC$3:$AC$122,$T21)),"")</f>
        <v>0</v>
      </c>
      <c r="L21" s="17">
        <f>IF(AND(ISNUMBER($T21),$T21&lt;&gt;""),IF(INDEX(Calc!$AD$3:$AD$122,$T21)="","—",INDEX(Calc!$AD$3:$AD$122,$T21)),"")</f>
        <v>0</v>
      </c>
      <c r="M21" s="17">
        <f>IF(AND(ISNUMBER($T21),$T21&lt;&gt;""),IF(INDEX(Calc!$AE$3:$AE$122,$T21)="","—",INDEX(Calc!$AE$3:$AE$122,$T21)),"")</f>
        <v>0</v>
      </c>
      <c r="N21" s="17" t="str">
        <f>IF(AND(ISNUMBER($T21),$T21&lt;&gt;""),IF(INDEX(Calc!$AF$3:$AF$122,$T21)="","—",INDEX(Calc!$AF$3:$AF$122,$T21)),"")</f>
        <v>—</v>
      </c>
      <c r="O21" s="17" t="str">
        <f>IF(AND(ISNUMBER($T21),$T21&lt;&gt;""),IF(INDEX(Calc!$AG$3:$AG$122,$T21)="","—",INDEX(Calc!$AG$3:$AG$122,$T21)),"")</f>
        <v>—</v>
      </c>
      <c r="P21" s="18">
        <f>IF(AND(ISNUMBER($T21),$T21&lt;&gt;""),IF(INDEX(Calc!$AJ$3:$AJ$122,$T21)="","—",INDEX(Calc!$AJ$3:$AJ$122,$T21)),"")</f>
        <v>2</v>
      </c>
      <c r="Q21" s="18">
        <f>IF(AND(ISNUMBER($T21),$T21&lt;&gt;""),IF(INDEX(Calc!$AK$3:$AK$122,$T21)="","—",INDEX(Calc!$AK$3:$AK$122,$T21)),"")</f>
        <v>-1</v>
      </c>
      <c r="R21" s="17">
        <f>IF(AND(ISNUMBER($T21),$T21&lt;&gt;""),IF(INDEX(Calc!$AL$3:$AL$122,$T21)="","—",INDEX(Calc!$AL$3:$AL$122,$T21)),"")</f>
        <v>-5</v>
      </c>
      <c r="T21">
        <f>IFERROR(MATCH(17,Calc!$AN$3:$AN$122,0),"")</f>
        <v>75</v>
      </c>
    </row>
    <row r="22" spans="1:20" x14ac:dyDescent="0.2">
      <c r="A22" s="11" t="str">
        <f>IF(AND(ISNUMBER($T22),$T22&lt;&gt;""),INDEX(Calc!$S$3:$S$122,$T22),"")</f>
        <v>Chesterfield Blue</v>
      </c>
      <c r="B22" s="12" t="str">
        <f>IF(AND(ISNUMBER($T22),$T22&lt;&gt;""),IF(INDEX(Calc!$T$3:$T$122,$T22)="","—",INDEX(Calc!$T$3:$T$122,$T22)),"")</f>
        <v>—</v>
      </c>
      <c r="C22" s="12" t="str">
        <f>IF(AND(ISNUMBER($T22),$T22&lt;&gt;""),IF(INDEX(Calc!$U$3:$U$122,$T22)="","—",INDEX(Calc!$U$3:$U$122,$T22)),"")</f>
        <v>—</v>
      </c>
      <c r="D22" s="12" t="str">
        <f>IF(AND(ISNUMBER($T22),$T22&lt;&gt;""),IF(INDEX(Calc!$V$3:$V$122,$T22)="","—",INDEX(Calc!$V$3:$V$122,$T22)),"")</f>
        <v>—</v>
      </c>
      <c r="E22" s="12" t="str">
        <f>IF(AND(ISNUMBER($T22),$T22&lt;&gt;""),IF(INDEX(Calc!$W$3:$W$122,$T22)="","—",INDEX(Calc!$W$3:$W$122,$T22)),"")</f>
        <v>—</v>
      </c>
      <c r="F22" s="12" t="str">
        <f>IF(AND(ISNUMBER($T22),$T22&lt;&gt;""),IF(INDEX(Calc!$X$3:$X$122,$T22)="","—",INDEX(Calc!$X$3:$X$122,$T22)),"")</f>
        <v>—</v>
      </c>
      <c r="G22" s="12" t="str">
        <f>IF(AND(ISNUMBER($T22),$T22&lt;&gt;""),IF(INDEX(Calc!$Y$3:$Y$122,$T22)="","—",INDEX(Calc!$Y$3:$Y$122,$T22)),"")</f>
        <v>—</v>
      </c>
      <c r="H22" s="12" t="str">
        <f>IF(AND(ISNUMBER($T22),$T22&lt;&gt;""),IF(INDEX(Calc!$Z$3:$Z$122,$T22)="","—",INDEX(Calc!$Z$3:$Z$122,$T22)),"")</f>
        <v>—</v>
      </c>
      <c r="I22" s="12">
        <f>IF(AND(ISNUMBER($T22),$T22&lt;&gt;""),IF(INDEX(Calc!$AA$3:$AA$122,$T22)="","—",INDEX(Calc!$AA$3:$AA$122,$T22)),"")</f>
        <v>-3</v>
      </c>
      <c r="J22" s="12">
        <f>IF(AND(ISNUMBER($T22),$T22&lt;&gt;""),IF(INDEX(Calc!$AB$3:$AB$122,$T22)="","—",INDEX(Calc!$AB$3:$AB$122,$T22)),"")</f>
        <v>3</v>
      </c>
      <c r="K22" s="12">
        <f>IF(AND(ISNUMBER($T22),$T22&lt;&gt;""),IF(INDEX(Calc!$AC$3:$AC$122,$T22)="","—",INDEX(Calc!$AC$3:$AC$122,$T22)),"")</f>
        <v>0</v>
      </c>
      <c r="L22" s="12">
        <f>IF(AND(ISNUMBER($T22),$T22&lt;&gt;""),IF(INDEX(Calc!$AD$3:$AD$122,$T22)="","—",INDEX(Calc!$AD$3:$AD$122,$T22)),"")</f>
        <v>0</v>
      </c>
      <c r="M22" s="12">
        <f>IF(AND(ISNUMBER($T22),$T22&lt;&gt;""),IF(INDEX(Calc!$AE$3:$AE$122,$T22)="","—",INDEX(Calc!$AE$3:$AE$122,$T22)),"")</f>
        <v>0</v>
      </c>
      <c r="N22" s="12" t="str">
        <f>IF(AND(ISNUMBER($T22),$T22&lt;&gt;""),IF(INDEX(Calc!$AF$3:$AF$122,$T22)="","—",INDEX(Calc!$AF$3:$AF$122,$T22)),"")</f>
        <v>—</v>
      </c>
      <c r="O22" s="12" t="str">
        <f>IF(AND(ISNUMBER($T22),$T22&lt;&gt;""),IF(INDEX(Calc!$AG$3:$AG$122,$T22)="","—",INDEX(Calc!$AG$3:$AG$122,$T22)),"")</f>
        <v>—</v>
      </c>
      <c r="P22" s="13">
        <f>IF(AND(ISNUMBER($T22),$T22&lt;&gt;""),IF(INDEX(Calc!$AJ$3:$AJ$122,$T22)="","—",INDEX(Calc!$AJ$3:$AJ$122,$T22)),"")</f>
        <v>2</v>
      </c>
      <c r="Q22" s="13">
        <f>IF(AND(ISNUMBER($T22),$T22&lt;&gt;""),IF(INDEX(Calc!$AK$3:$AK$122,$T22)="","—",INDEX(Calc!$AK$3:$AK$122,$T22)),"")</f>
        <v>0</v>
      </c>
      <c r="R22" s="12">
        <f>IF(AND(ISNUMBER($T22),$T22&lt;&gt;""),IF(INDEX(Calc!$AL$3:$AL$122,$T22)="","—",INDEX(Calc!$AL$3:$AL$122,$T22)),"")</f>
        <v>3</v>
      </c>
      <c r="T22">
        <f>IFERROR(MATCH(18,Calc!$AN$3:$AN$122,0),"")</f>
        <v>4</v>
      </c>
    </row>
    <row r="23" spans="1:20" x14ac:dyDescent="0.2">
      <c r="A23" s="16" t="str">
        <f>IF(AND(ISNUMBER($T23),$T23&lt;&gt;""),INDEX(Calc!$S$3:$S$122,$T23),"")</f>
        <v>LD 100 Red</v>
      </c>
      <c r="B23" s="17" t="str">
        <f>IF(AND(ISNUMBER($T23),$T23&lt;&gt;""),IF(INDEX(Calc!$T$3:$T$122,$T23)="","—",INDEX(Calc!$T$3:$T$122,$T23)),"")</f>
        <v>—</v>
      </c>
      <c r="C23" s="17" t="str">
        <f>IF(AND(ISNUMBER($T23),$T23&lt;&gt;""),IF(INDEX(Calc!$U$3:$U$122,$T23)="","—",INDEX(Calc!$U$3:$U$122,$T23)),"")</f>
        <v>—</v>
      </c>
      <c r="D23" s="17" t="str">
        <f>IF(AND(ISNUMBER($T23),$T23&lt;&gt;""),IF(INDEX(Calc!$V$3:$V$122,$T23)="","—",INDEX(Calc!$V$3:$V$122,$T23)),"")</f>
        <v>—</v>
      </c>
      <c r="E23" s="17" t="str">
        <f>IF(AND(ISNUMBER($T23),$T23&lt;&gt;""),IF(INDEX(Calc!$W$3:$W$122,$T23)="","—",INDEX(Calc!$W$3:$W$122,$T23)),"")</f>
        <v>—</v>
      </c>
      <c r="F23" s="17" t="str">
        <f>IF(AND(ISNUMBER($T23),$T23&lt;&gt;""),IF(INDEX(Calc!$X$3:$X$122,$T23)="","—",INDEX(Calc!$X$3:$X$122,$T23)),"")</f>
        <v>—</v>
      </c>
      <c r="G23" s="17" t="str">
        <f>IF(AND(ISNUMBER($T23),$T23&lt;&gt;""),IF(INDEX(Calc!$Y$3:$Y$122,$T23)="","—",INDEX(Calc!$Y$3:$Y$122,$T23)),"")</f>
        <v>—</v>
      </c>
      <c r="H23" s="17" t="str">
        <f>IF(AND(ISNUMBER($T23),$T23&lt;&gt;""),IF(INDEX(Calc!$Z$3:$Z$122,$T23)="","—",INDEX(Calc!$Z$3:$Z$122,$T23)),"")</f>
        <v>—</v>
      </c>
      <c r="I23" s="17">
        <f>IF(AND(ISNUMBER($T23),$T23&lt;&gt;""),IF(INDEX(Calc!$AA$3:$AA$122,$T23)="","—",INDEX(Calc!$AA$3:$AA$122,$T23)),"")</f>
        <v>-1</v>
      </c>
      <c r="J23" s="17">
        <f>IF(AND(ISNUMBER($T23),$T23&lt;&gt;""),IF(INDEX(Calc!$AB$3:$AB$122,$T23)="","—",INDEX(Calc!$AB$3:$AB$122,$T23)),"")</f>
        <v>1</v>
      </c>
      <c r="K23" s="17">
        <f>IF(AND(ISNUMBER($T23),$T23&lt;&gt;""),IF(INDEX(Calc!$AC$3:$AC$122,$T23)="","—",INDEX(Calc!$AC$3:$AC$122,$T23)),"")</f>
        <v>0</v>
      </c>
      <c r="L23" s="17">
        <f>IF(AND(ISNUMBER($T23),$T23&lt;&gt;""),IF(INDEX(Calc!$AD$3:$AD$122,$T23)="","—",INDEX(Calc!$AD$3:$AD$122,$T23)),"")</f>
        <v>0</v>
      </c>
      <c r="M23" s="17">
        <f>IF(AND(ISNUMBER($T23),$T23&lt;&gt;""),IF(INDEX(Calc!$AE$3:$AE$122,$T23)="","—",INDEX(Calc!$AE$3:$AE$122,$T23)),"")</f>
        <v>0</v>
      </c>
      <c r="N23" s="17" t="str">
        <f>IF(AND(ISNUMBER($T23),$T23&lt;&gt;""),IF(INDEX(Calc!$AF$3:$AF$122,$T23)="","—",INDEX(Calc!$AF$3:$AF$122,$T23)),"")</f>
        <v>—</v>
      </c>
      <c r="O23" s="17" t="str">
        <f>IF(AND(ISNUMBER($T23),$T23&lt;&gt;""),IF(INDEX(Calc!$AG$3:$AG$122,$T23)="","—",INDEX(Calc!$AG$3:$AG$122,$T23)),"")</f>
        <v>—</v>
      </c>
      <c r="P23" s="18">
        <f>IF(AND(ISNUMBER($T23),$T23&lt;&gt;""),IF(INDEX(Calc!$AJ$3:$AJ$122,$T23)="","—",INDEX(Calc!$AJ$3:$AJ$122,$T23)),"")</f>
        <v>2</v>
      </c>
      <c r="Q23" s="18">
        <f>IF(AND(ISNUMBER($T23),$T23&lt;&gt;""),IF(INDEX(Calc!$AK$3:$AK$122,$T23)="","—",INDEX(Calc!$AK$3:$AK$122,$T23)),"")</f>
        <v>0</v>
      </c>
      <c r="R23" s="17">
        <f>IF(AND(ISNUMBER($T23),$T23&lt;&gt;""),IF(INDEX(Calc!$AL$3:$AL$122,$T23)="","—",INDEX(Calc!$AL$3:$AL$122,$T23)),"")</f>
        <v>1</v>
      </c>
      <c r="T23">
        <f>IFERROR(MATCH(19,Calc!$AN$3:$AN$122,0),"")</f>
        <v>23</v>
      </c>
    </row>
    <row r="24" spans="1:20" x14ac:dyDescent="0.2">
      <c r="A24" s="11" t="str">
        <f>IF(AND(ISNUMBER($T24),$T24&lt;&gt;""),INDEX(Calc!$S$3:$S$122,$T24),"")</f>
        <v>Marlboro Black</v>
      </c>
      <c r="B24" s="12" t="str">
        <f>IF(AND(ISNUMBER($T24),$T24&lt;&gt;""),IF(INDEX(Calc!$T$3:$T$122,$T24)="","—",INDEX(Calc!$T$3:$T$122,$T24)),"")</f>
        <v>—</v>
      </c>
      <c r="C24" s="12" t="str">
        <f>IF(AND(ISNUMBER($T24),$T24&lt;&gt;""),IF(INDEX(Calc!$U$3:$U$122,$T24)="","—",INDEX(Calc!$U$3:$U$122,$T24)),"")</f>
        <v>—</v>
      </c>
      <c r="D24" s="12" t="str">
        <f>IF(AND(ISNUMBER($T24),$T24&lt;&gt;""),IF(INDEX(Calc!$V$3:$V$122,$T24)="","—",INDEX(Calc!$V$3:$V$122,$T24)),"")</f>
        <v>—</v>
      </c>
      <c r="E24" s="12" t="str">
        <f>IF(AND(ISNUMBER($T24),$T24&lt;&gt;""),IF(INDEX(Calc!$W$3:$W$122,$T24)="","—",INDEX(Calc!$W$3:$W$122,$T24)),"")</f>
        <v>—</v>
      </c>
      <c r="F24" s="12" t="str">
        <f>IF(AND(ISNUMBER($T24),$T24&lt;&gt;""),IF(INDEX(Calc!$X$3:$X$122,$T24)="","—",INDEX(Calc!$X$3:$X$122,$T24)),"")</f>
        <v>—</v>
      </c>
      <c r="G24" s="12" t="str">
        <f>IF(AND(ISNUMBER($T24),$T24&lt;&gt;""),IF(INDEX(Calc!$Y$3:$Y$122,$T24)="","—",INDEX(Calc!$Y$3:$Y$122,$T24)),"")</f>
        <v>—</v>
      </c>
      <c r="H24" s="12" t="str">
        <f>IF(AND(ISNUMBER($T24),$T24&lt;&gt;""),IF(INDEX(Calc!$Z$3:$Z$122,$T24)="","—",INDEX(Calc!$Z$3:$Z$122,$T24)),"")</f>
        <v>—</v>
      </c>
      <c r="I24" s="12">
        <f>IF(AND(ISNUMBER($T24),$T24&lt;&gt;""),IF(INDEX(Calc!$AA$3:$AA$122,$T24)="","—",INDEX(Calc!$AA$3:$AA$122,$T24)),"")</f>
        <v>-5</v>
      </c>
      <c r="J24" s="12">
        <f>IF(AND(ISNUMBER($T24),$T24&lt;&gt;""),IF(INDEX(Calc!$AB$3:$AB$122,$T24)="","—",INDEX(Calc!$AB$3:$AB$122,$T24)),"")</f>
        <v>5</v>
      </c>
      <c r="K24" s="12">
        <f>IF(AND(ISNUMBER($T24),$T24&lt;&gt;""),IF(INDEX(Calc!$AC$3:$AC$122,$T24)="","—",INDEX(Calc!$AC$3:$AC$122,$T24)),"")</f>
        <v>0</v>
      </c>
      <c r="L24" s="12">
        <f>IF(AND(ISNUMBER($T24),$T24&lt;&gt;""),IF(INDEX(Calc!$AD$3:$AD$122,$T24)="","—",INDEX(Calc!$AD$3:$AD$122,$T24)),"")</f>
        <v>0</v>
      </c>
      <c r="M24" s="12">
        <f>IF(AND(ISNUMBER($T24),$T24&lt;&gt;""),IF(INDEX(Calc!$AE$3:$AE$122,$T24)="","—",INDEX(Calc!$AE$3:$AE$122,$T24)),"")</f>
        <v>0</v>
      </c>
      <c r="N24" s="12" t="str">
        <f>IF(AND(ISNUMBER($T24),$T24&lt;&gt;""),IF(INDEX(Calc!$AF$3:$AF$122,$T24)="","—",INDEX(Calc!$AF$3:$AF$122,$T24)),"")</f>
        <v>—</v>
      </c>
      <c r="O24" s="12" t="str">
        <f>IF(AND(ISNUMBER($T24),$T24&lt;&gt;""),IF(INDEX(Calc!$AG$3:$AG$122,$T24)="","—",INDEX(Calc!$AG$3:$AG$122,$T24)),"")</f>
        <v>—</v>
      </c>
      <c r="P24" s="13">
        <f>IF(AND(ISNUMBER($T24),$T24&lt;&gt;""),IF(INDEX(Calc!$AJ$3:$AJ$122,$T24)="","—",INDEX(Calc!$AJ$3:$AJ$122,$T24)),"")</f>
        <v>2</v>
      </c>
      <c r="Q24" s="13">
        <f>IF(AND(ISNUMBER($T24),$T24&lt;&gt;""),IF(INDEX(Calc!$AK$3:$AK$122,$T24)="","—",INDEX(Calc!$AK$3:$AK$122,$T24)),"")</f>
        <v>0</v>
      </c>
      <c r="R24" s="12">
        <f>IF(AND(ISNUMBER($T24),$T24&lt;&gt;""),IF(INDEX(Calc!$AL$3:$AL$122,$T24)="","—",INDEX(Calc!$AL$3:$AL$122,$T24)),"")</f>
        <v>5</v>
      </c>
      <c r="T24">
        <f>IFERROR(MATCH(20,Calc!$AN$3:$AN$122,0),"")</f>
        <v>29</v>
      </c>
    </row>
    <row r="25" spans="1:20" x14ac:dyDescent="0.2">
      <c r="A25" s="16" t="str">
        <f>IF(AND(ISNUMBER($T25),$T25&lt;&gt;""),INDEX(Calc!$S$3:$S$122,$T25),"")</f>
        <v>Marlboro Ice</v>
      </c>
      <c r="B25" s="17" t="str">
        <f>IF(AND(ISNUMBER($T25),$T25&lt;&gt;""),IF(INDEX(Calc!$T$3:$T$122,$T25)="","—",INDEX(Calc!$T$3:$T$122,$T25)),"")</f>
        <v>—</v>
      </c>
      <c r="C25" s="17" t="str">
        <f>IF(AND(ISNUMBER($T25),$T25&lt;&gt;""),IF(INDEX(Calc!$U$3:$U$122,$T25)="","—",INDEX(Calc!$U$3:$U$122,$T25)),"")</f>
        <v>—</v>
      </c>
      <c r="D25" s="17" t="str">
        <f>IF(AND(ISNUMBER($T25),$T25&lt;&gt;""),IF(INDEX(Calc!$V$3:$V$122,$T25)="","—",INDEX(Calc!$V$3:$V$122,$T25)),"")</f>
        <v>—</v>
      </c>
      <c r="E25" s="17" t="str">
        <f>IF(AND(ISNUMBER($T25),$T25&lt;&gt;""),IF(INDEX(Calc!$W$3:$W$122,$T25)="","—",INDEX(Calc!$W$3:$W$122,$T25)),"")</f>
        <v>—</v>
      </c>
      <c r="F25" s="17" t="str">
        <f>IF(AND(ISNUMBER($T25),$T25&lt;&gt;""),IF(INDEX(Calc!$X$3:$X$122,$T25)="","—",INDEX(Calc!$X$3:$X$122,$T25)),"")</f>
        <v>—</v>
      </c>
      <c r="G25" s="17" t="str">
        <f>IF(AND(ISNUMBER($T25),$T25&lt;&gt;""),IF(INDEX(Calc!$Y$3:$Y$122,$T25)="","—",INDEX(Calc!$Y$3:$Y$122,$T25)),"")</f>
        <v>—</v>
      </c>
      <c r="H25" s="17" t="str">
        <f>IF(AND(ISNUMBER($T25),$T25&lt;&gt;""),IF(INDEX(Calc!$Z$3:$Z$122,$T25)="","—",INDEX(Calc!$Z$3:$Z$122,$T25)),"")</f>
        <v>—</v>
      </c>
      <c r="I25" s="17">
        <f>IF(AND(ISNUMBER($T25),$T25&lt;&gt;""),IF(INDEX(Calc!$AA$3:$AA$122,$T25)="","—",INDEX(Calc!$AA$3:$AA$122,$T25)),"")</f>
        <v>3</v>
      </c>
      <c r="J25" s="17">
        <f>IF(AND(ISNUMBER($T25),$T25&lt;&gt;""),IF(INDEX(Calc!$AB$3:$AB$122,$T25)="","—",INDEX(Calc!$AB$3:$AB$122,$T25)),"")</f>
        <v>-3</v>
      </c>
      <c r="K25" s="17">
        <f>IF(AND(ISNUMBER($T25),$T25&lt;&gt;""),IF(INDEX(Calc!$AC$3:$AC$122,$T25)="","—",INDEX(Calc!$AC$3:$AC$122,$T25)),"")</f>
        <v>0</v>
      </c>
      <c r="L25" s="17">
        <f>IF(AND(ISNUMBER($T25),$T25&lt;&gt;""),IF(INDEX(Calc!$AD$3:$AD$122,$T25)="","—",INDEX(Calc!$AD$3:$AD$122,$T25)),"")</f>
        <v>0</v>
      </c>
      <c r="M25" s="17">
        <f>IF(AND(ISNUMBER($T25),$T25&lt;&gt;""),IF(INDEX(Calc!$AE$3:$AE$122,$T25)="","—",INDEX(Calc!$AE$3:$AE$122,$T25)),"")</f>
        <v>0</v>
      </c>
      <c r="N25" s="17" t="str">
        <f>IF(AND(ISNUMBER($T25),$T25&lt;&gt;""),IF(INDEX(Calc!$AF$3:$AF$122,$T25)="","—",INDEX(Calc!$AF$3:$AF$122,$T25)),"")</f>
        <v>—</v>
      </c>
      <c r="O25" s="17" t="str">
        <f>IF(AND(ISNUMBER($T25),$T25&lt;&gt;""),IF(INDEX(Calc!$AG$3:$AG$122,$T25)="","—",INDEX(Calc!$AG$3:$AG$122,$T25)),"")</f>
        <v>—</v>
      </c>
      <c r="P25" s="18">
        <f>IF(AND(ISNUMBER($T25),$T25&lt;&gt;""),IF(INDEX(Calc!$AJ$3:$AJ$122,$T25)="","—",INDEX(Calc!$AJ$3:$AJ$122,$T25)),"")</f>
        <v>2</v>
      </c>
      <c r="Q25" s="18">
        <f>IF(AND(ISNUMBER($T25),$T25&lt;&gt;""),IF(INDEX(Calc!$AK$3:$AK$122,$T25)="","—",INDEX(Calc!$AK$3:$AK$122,$T25)),"")</f>
        <v>0</v>
      </c>
      <c r="R25" s="17">
        <f>IF(AND(ISNUMBER($T25),$T25&lt;&gt;""),IF(INDEX(Calc!$AL$3:$AL$122,$T25)="","—",INDEX(Calc!$AL$3:$AL$122,$T25)),"")</f>
        <v>3</v>
      </c>
      <c r="T25">
        <f>IFERROR(MATCH(21,Calc!$AN$3:$AN$122,0),"")</f>
        <v>32</v>
      </c>
    </row>
    <row r="26" spans="1:20" x14ac:dyDescent="0.2">
      <c r="A26" s="11" t="str">
        <f>IF(AND(ISNUMBER($T26),$T26&lt;&gt;""),INDEX(Calc!$S$3:$S$122,$T26),"")</f>
        <v>Marlboro Red</v>
      </c>
      <c r="B26" s="12" t="str">
        <f>IF(AND(ISNUMBER($T26),$T26&lt;&gt;""),IF(INDEX(Calc!$T$3:$T$122,$T26)="","—",INDEX(Calc!$T$3:$T$122,$T26)),"")</f>
        <v>—</v>
      </c>
      <c r="C26" s="12" t="str">
        <f>IF(AND(ISNUMBER($T26),$T26&lt;&gt;""),IF(INDEX(Calc!$U$3:$U$122,$T26)="","—",INDEX(Calc!$U$3:$U$122,$T26)),"")</f>
        <v>—</v>
      </c>
      <c r="D26" s="12" t="str">
        <f>IF(AND(ISNUMBER($T26),$T26&lt;&gt;""),IF(INDEX(Calc!$V$3:$V$122,$T26)="","—",INDEX(Calc!$V$3:$V$122,$T26)),"")</f>
        <v>—</v>
      </c>
      <c r="E26" s="12" t="str">
        <f>IF(AND(ISNUMBER($T26),$T26&lt;&gt;""),IF(INDEX(Calc!$W$3:$W$122,$T26)="","—",INDEX(Calc!$W$3:$W$122,$T26)),"")</f>
        <v>—</v>
      </c>
      <c r="F26" s="12" t="str">
        <f>IF(AND(ISNUMBER($T26),$T26&lt;&gt;""),IF(INDEX(Calc!$X$3:$X$122,$T26)="","—",INDEX(Calc!$X$3:$X$122,$T26)),"")</f>
        <v>—</v>
      </c>
      <c r="G26" s="12" t="str">
        <f>IF(AND(ISNUMBER($T26),$T26&lt;&gt;""),IF(INDEX(Calc!$Y$3:$Y$122,$T26)="","—",INDEX(Calc!$Y$3:$Y$122,$T26)),"")</f>
        <v>—</v>
      </c>
      <c r="H26" s="12" t="str">
        <f>IF(AND(ISNUMBER($T26),$T26&lt;&gt;""),IF(INDEX(Calc!$Z$3:$Z$122,$T26)="","—",INDEX(Calc!$Z$3:$Z$122,$T26)),"")</f>
        <v>—</v>
      </c>
      <c r="I26" s="12">
        <f>IF(AND(ISNUMBER($T26),$T26&lt;&gt;""),IF(INDEX(Calc!$AA$3:$AA$122,$T26)="","—",INDEX(Calc!$AA$3:$AA$122,$T26)),"")</f>
        <v>0</v>
      </c>
      <c r="J26" s="12">
        <f>IF(AND(ISNUMBER($T26),$T26&lt;&gt;""),IF(INDEX(Calc!$AB$3:$AB$122,$T26)="","—",INDEX(Calc!$AB$3:$AB$122,$T26)),"")</f>
        <v>10</v>
      </c>
      <c r="K26" s="12">
        <f>IF(AND(ISNUMBER($T26),$T26&lt;&gt;""),IF(INDEX(Calc!$AC$3:$AC$122,$T26)="","—",INDEX(Calc!$AC$3:$AC$122,$T26)),"")</f>
        <v>0</v>
      </c>
      <c r="L26" s="12">
        <f>IF(AND(ISNUMBER($T26),$T26&lt;&gt;""),IF(INDEX(Calc!$AD$3:$AD$122,$T26)="","—",INDEX(Calc!$AD$3:$AD$122,$T26)),"")</f>
        <v>0</v>
      </c>
      <c r="M26" s="12">
        <f>IF(AND(ISNUMBER($T26),$T26&lt;&gt;""),IF(INDEX(Calc!$AE$3:$AE$122,$T26)="","—",INDEX(Calc!$AE$3:$AE$122,$T26)),"")</f>
        <v>-10</v>
      </c>
      <c r="N26" s="12" t="str">
        <f>IF(AND(ISNUMBER($T26),$T26&lt;&gt;""),IF(INDEX(Calc!$AF$3:$AF$122,$T26)="","—",INDEX(Calc!$AF$3:$AF$122,$T26)),"")</f>
        <v>—</v>
      </c>
      <c r="O26" s="12" t="str">
        <f>IF(AND(ISNUMBER($T26),$T26&lt;&gt;""),IF(INDEX(Calc!$AG$3:$AG$122,$T26)="","—",INDEX(Calc!$AG$3:$AG$122,$T26)),"")</f>
        <v>—</v>
      </c>
      <c r="P26" s="13">
        <f>IF(AND(ISNUMBER($T26),$T26&lt;&gt;""),IF(INDEX(Calc!$AJ$3:$AJ$122,$T26)="","—",INDEX(Calc!$AJ$3:$AJ$122,$T26)),"")</f>
        <v>2</v>
      </c>
      <c r="Q26" s="13">
        <f>IF(AND(ISNUMBER($T26),$T26&lt;&gt;""),IF(INDEX(Calc!$AK$3:$AK$122,$T26)="","—",INDEX(Calc!$AK$3:$AK$122,$T26)),"")</f>
        <v>0</v>
      </c>
      <c r="R26" s="12">
        <f>IF(AND(ISNUMBER($T26),$T26&lt;&gt;""),IF(INDEX(Calc!$AL$3:$AL$122,$T26)="","—",INDEX(Calc!$AL$3:$AL$122,$T26)),"")</f>
        <v>10</v>
      </c>
      <c r="T26">
        <f>IFERROR(MATCH(22,Calc!$AN$3:$AN$122,0),"")</f>
        <v>34</v>
      </c>
    </row>
    <row r="27" spans="1:20" x14ac:dyDescent="0.2">
      <c r="A27" s="16" t="str">
        <f>IF(AND(ISNUMBER($T27),$T27&lt;&gt;""),INDEX(Calc!$S$3:$S$122,$T27),"")</f>
        <v>Mevius Wind Blue</v>
      </c>
      <c r="B27" s="17" t="str">
        <f>IF(AND(ISNUMBER($T27),$T27&lt;&gt;""),IF(INDEX(Calc!$T$3:$T$122,$T27)="","—",INDEX(Calc!$T$3:$T$122,$T27)),"")</f>
        <v>—</v>
      </c>
      <c r="C27" s="17" t="str">
        <f>IF(AND(ISNUMBER($T27),$T27&lt;&gt;""),IF(INDEX(Calc!$U$3:$U$122,$T27)="","—",INDEX(Calc!$U$3:$U$122,$T27)),"")</f>
        <v>—</v>
      </c>
      <c r="D27" s="17" t="str">
        <f>IF(AND(ISNUMBER($T27),$T27&lt;&gt;""),IF(INDEX(Calc!$V$3:$V$122,$T27)="","—",INDEX(Calc!$V$3:$V$122,$T27)),"")</f>
        <v>—</v>
      </c>
      <c r="E27" s="17" t="str">
        <f>IF(AND(ISNUMBER($T27),$T27&lt;&gt;""),IF(INDEX(Calc!$W$3:$W$122,$T27)="","—",INDEX(Calc!$W$3:$W$122,$T27)),"")</f>
        <v>—</v>
      </c>
      <c r="F27" s="17" t="str">
        <f>IF(AND(ISNUMBER($T27),$T27&lt;&gt;""),IF(INDEX(Calc!$X$3:$X$122,$T27)="","—",INDEX(Calc!$X$3:$X$122,$T27)),"")</f>
        <v>—</v>
      </c>
      <c r="G27" s="17" t="str">
        <f>IF(AND(ISNUMBER($T27),$T27&lt;&gt;""),IF(INDEX(Calc!$Y$3:$Y$122,$T27)="","—",INDEX(Calc!$Y$3:$Y$122,$T27)),"")</f>
        <v>—</v>
      </c>
      <c r="H27" s="17" t="str">
        <f>IF(AND(ISNUMBER($T27),$T27&lt;&gt;""),IF(INDEX(Calc!$Z$3:$Z$122,$T27)="","—",INDEX(Calc!$Z$3:$Z$122,$T27)),"")</f>
        <v>—</v>
      </c>
      <c r="I27" s="17">
        <f>IF(AND(ISNUMBER($T27),$T27&lt;&gt;""),IF(INDEX(Calc!$AA$3:$AA$122,$T27)="","—",INDEX(Calc!$AA$3:$AA$122,$T27)),"")</f>
        <v>0</v>
      </c>
      <c r="J27" s="17">
        <f>IF(AND(ISNUMBER($T27),$T27&lt;&gt;""),IF(INDEX(Calc!$AB$3:$AB$122,$T27)="","—",INDEX(Calc!$AB$3:$AB$122,$T27)),"")</f>
        <v>0</v>
      </c>
      <c r="K27" s="17">
        <f>IF(AND(ISNUMBER($T27),$T27&lt;&gt;""),IF(INDEX(Calc!$AC$3:$AC$122,$T27)="","—",INDEX(Calc!$AC$3:$AC$122,$T27)),"")</f>
        <v>0</v>
      </c>
      <c r="L27" s="17">
        <f>IF(AND(ISNUMBER($T27),$T27&lt;&gt;""),IF(INDEX(Calc!$AD$3:$AD$122,$T27)="","—",INDEX(Calc!$AD$3:$AD$122,$T27)),"")</f>
        <v>-2</v>
      </c>
      <c r="M27" s="17">
        <f>IF(AND(ISNUMBER($T27),$T27&lt;&gt;""),IF(INDEX(Calc!$AE$3:$AE$122,$T27)="","—",INDEX(Calc!$AE$3:$AE$122,$T27)),"")</f>
        <v>2</v>
      </c>
      <c r="N27" s="17" t="str">
        <f>IF(AND(ISNUMBER($T27),$T27&lt;&gt;""),IF(INDEX(Calc!$AF$3:$AF$122,$T27)="","—",INDEX(Calc!$AF$3:$AF$122,$T27)),"")</f>
        <v>—</v>
      </c>
      <c r="O27" s="17" t="str">
        <f>IF(AND(ISNUMBER($T27),$T27&lt;&gt;""),IF(INDEX(Calc!$AG$3:$AG$122,$T27)="","—",INDEX(Calc!$AG$3:$AG$122,$T27)),"")</f>
        <v>—</v>
      </c>
      <c r="P27" s="18">
        <f>IF(AND(ISNUMBER($T27),$T27&lt;&gt;""),IF(INDEX(Calc!$AJ$3:$AJ$122,$T27)="","—",INDEX(Calc!$AJ$3:$AJ$122,$T27)),"")</f>
        <v>2</v>
      </c>
      <c r="Q27" s="18">
        <f>IF(AND(ISNUMBER($T27),$T27&lt;&gt;""),IF(INDEX(Calc!$AK$3:$AK$122,$T27)="","—",INDEX(Calc!$AK$3:$AK$122,$T27)),"")</f>
        <v>0</v>
      </c>
      <c r="R27" s="17">
        <f>IF(AND(ISNUMBER($T27),$T27&lt;&gt;""),IF(INDEX(Calc!$AL$3:$AL$122,$T27)="","—",INDEX(Calc!$AL$3:$AL$122,$T27)),"")</f>
        <v>2</v>
      </c>
      <c r="T27">
        <f>IFERROR(MATCH(23,Calc!$AN$3:$AN$122,0),"")</f>
        <v>43</v>
      </c>
    </row>
    <row r="28" spans="1:20" x14ac:dyDescent="0.2">
      <c r="A28" s="11" t="str">
        <f>IF(AND(ISNUMBER($T28),$T28&lt;&gt;""),INDEX(Calc!$S$3:$S$122,$T28),"")</f>
        <v>Benson &amp; Hedges</v>
      </c>
      <c r="B28" s="12" t="str">
        <f>IF(AND(ISNUMBER($T28),$T28&lt;&gt;""),IF(INDEX(Calc!$T$3:$T$122,$T28)="","—",INDEX(Calc!$T$3:$T$122,$T28)),"")</f>
        <v>—</v>
      </c>
      <c r="C28" s="12" t="str">
        <f>IF(AND(ISNUMBER($T28),$T28&lt;&gt;""),IF(INDEX(Calc!$U$3:$U$122,$T28)="","—",INDEX(Calc!$U$3:$U$122,$T28)),"")</f>
        <v>—</v>
      </c>
      <c r="D28" s="12" t="str">
        <f>IF(AND(ISNUMBER($T28),$T28&lt;&gt;""),IF(INDEX(Calc!$V$3:$V$122,$T28)="","—",INDEX(Calc!$V$3:$V$122,$T28)),"")</f>
        <v>—</v>
      </c>
      <c r="E28" s="12" t="str">
        <f>IF(AND(ISNUMBER($T28),$T28&lt;&gt;""),IF(INDEX(Calc!$W$3:$W$122,$T28)="","—",INDEX(Calc!$W$3:$W$122,$T28)),"")</f>
        <v>—</v>
      </c>
      <c r="F28" s="12" t="str">
        <f>IF(AND(ISNUMBER($T28),$T28&lt;&gt;""),IF(INDEX(Calc!$X$3:$X$122,$T28)="","—",INDEX(Calc!$X$3:$X$122,$T28)),"")</f>
        <v>—</v>
      </c>
      <c r="G28" s="12" t="str">
        <f>IF(AND(ISNUMBER($T28),$T28&lt;&gt;""),IF(INDEX(Calc!$Y$3:$Y$122,$T28)="","—",INDEX(Calc!$Y$3:$Y$122,$T28)),"")</f>
        <v>—</v>
      </c>
      <c r="H28" s="12" t="str">
        <f>IF(AND(ISNUMBER($T28),$T28&lt;&gt;""),IF(INDEX(Calc!$Z$3:$Z$122,$T28)="","—",INDEX(Calc!$Z$3:$Z$122,$T28)),"")</f>
        <v>—</v>
      </c>
      <c r="I28" s="12">
        <f>IF(AND(ISNUMBER($T28),$T28&lt;&gt;""),IF(INDEX(Calc!$AA$3:$AA$122,$T28)="","—",INDEX(Calc!$AA$3:$AA$122,$T28)),"")</f>
        <v>0</v>
      </c>
      <c r="J28" s="12">
        <f>IF(AND(ISNUMBER($T28),$T28&lt;&gt;""),IF(INDEX(Calc!$AB$3:$AB$122,$T28)="","—",INDEX(Calc!$AB$3:$AB$122,$T28)),"")</f>
        <v>0</v>
      </c>
      <c r="K28" s="12">
        <f>IF(AND(ISNUMBER($T28),$T28&lt;&gt;""),IF(INDEX(Calc!$AC$3:$AC$122,$T28)="","—",INDEX(Calc!$AC$3:$AC$122,$T28)),"")</f>
        <v>0</v>
      </c>
      <c r="L28" s="12">
        <f>IF(AND(ISNUMBER($T28),$T28&lt;&gt;""),IF(INDEX(Calc!$AD$3:$AD$122,$T28)="","—",INDEX(Calc!$AD$3:$AD$122,$T28)),"")</f>
        <v>-10</v>
      </c>
      <c r="M28" s="12">
        <f>IF(AND(ISNUMBER($T28),$T28&lt;&gt;""),IF(INDEX(Calc!$AE$3:$AE$122,$T28)="","—",INDEX(Calc!$AE$3:$AE$122,$T28)),"")</f>
        <v>0</v>
      </c>
      <c r="N28" s="12" t="str">
        <f>IF(AND(ISNUMBER($T28),$T28&lt;&gt;""),IF(INDEX(Calc!$AF$3:$AF$122,$T28)="","—",INDEX(Calc!$AF$3:$AF$122,$T28)),"")</f>
        <v>—</v>
      </c>
      <c r="O28" s="12" t="str">
        <f>IF(AND(ISNUMBER($T28),$T28&lt;&gt;""),IF(INDEX(Calc!$AG$3:$AG$122,$T28)="","—",INDEX(Calc!$AG$3:$AG$122,$T28)),"")</f>
        <v>—</v>
      </c>
      <c r="P28" s="13">
        <f>IF(AND(ISNUMBER($T28),$T28&lt;&gt;""),IF(INDEX(Calc!$AJ$3:$AJ$122,$T28)="","—",INDEX(Calc!$AJ$3:$AJ$122,$T28)),"")</f>
        <v>1</v>
      </c>
      <c r="Q28" s="13">
        <f>IF(AND(ISNUMBER($T28),$T28&lt;&gt;""),IF(INDEX(Calc!$AK$3:$AK$122,$T28)="","—",INDEX(Calc!$AK$3:$AK$122,$T28)),"")</f>
        <v>-10</v>
      </c>
      <c r="R28" s="12">
        <f>IF(AND(ISNUMBER($T28),$T28&lt;&gt;""),IF(INDEX(Calc!$AL$3:$AL$122,$T28)="","—",INDEX(Calc!$AL$3:$AL$122,$T28)),"")</f>
        <v>-10</v>
      </c>
      <c r="T28">
        <f>IFERROR(MATCH(24,Calc!$AN$3:$AN$122,0),"")</f>
        <v>1</v>
      </c>
    </row>
    <row r="29" spans="1:20" x14ac:dyDescent="0.2">
      <c r="A29" s="16" t="str">
        <f>IF(AND(ISNUMBER($T29),$T29&lt;&gt;""),INDEX(Calc!$S$3:$S$122,$T29),"")</f>
        <v>Chesterfield Menthol</v>
      </c>
      <c r="B29" s="17" t="str">
        <f>IF(AND(ISNUMBER($T29),$T29&lt;&gt;""),IF(INDEX(Calc!$T$3:$T$122,$T29)="","—",INDEX(Calc!$T$3:$T$122,$T29)),"")</f>
        <v>—</v>
      </c>
      <c r="C29" s="17" t="str">
        <f>IF(AND(ISNUMBER($T29),$T29&lt;&gt;""),IF(INDEX(Calc!$U$3:$U$122,$T29)="","—",INDEX(Calc!$U$3:$U$122,$T29)),"")</f>
        <v>—</v>
      </c>
      <c r="D29" s="17" t="str">
        <f>IF(AND(ISNUMBER($T29),$T29&lt;&gt;""),IF(INDEX(Calc!$V$3:$V$122,$T29)="","—",INDEX(Calc!$V$3:$V$122,$T29)),"")</f>
        <v>—</v>
      </c>
      <c r="E29" s="17" t="str">
        <f>IF(AND(ISNUMBER($T29),$T29&lt;&gt;""),IF(INDEX(Calc!$W$3:$W$122,$T29)="","—",INDEX(Calc!$W$3:$W$122,$T29)),"")</f>
        <v>—</v>
      </c>
      <c r="F29" s="17" t="str">
        <f>IF(AND(ISNUMBER($T29),$T29&lt;&gt;""),IF(INDEX(Calc!$X$3:$X$122,$T29)="","—",INDEX(Calc!$X$3:$X$122,$T29)),"")</f>
        <v>—</v>
      </c>
      <c r="G29" s="17" t="str">
        <f>IF(AND(ISNUMBER($T29),$T29&lt;&gt;""),IF(INDEX(Calc!$Y$3:$Y$122,$T29)="","—",INDEX(Calc!$Y$3:$Y$122,$T29)),"")</f>
        <v>—</v>
      </c>
      <c r="H29" s="17" t="str">
        <f>IF(AND(ISNUMBER($T29),$T29&lt;&gt;""),IF(INDEX(Calc!$Z$3:$Z$122,$T29)="","—",INDEX(Calc!$Z$3:$Z$122,$T29)),"")</f>
        <v>—</v>
      </c>
      <c r="I29" s="17">
        <f>IF(AND(ISNUMBER($T29),$T29&lt;&gt;""),IF(INDEX(Calc!$AA$3:$AA$122,$T29)="","—",INDEX(Calc!$AA$3:$AA$122,$T29)),"")</f>
        <v>-10</v>
      </c>
      <c r="J29" s="17">
        <f>IF(AND(ISNUMBER($T29),$T29&lt;&gt;""),IF(INDEX(Calc!$AB$3:$AB$122,$T29)="","—",INDEX(Calc!$AB$3:$AB$122,$T29)),"")</f>
        <v>0</v>
      </c>
      <c r="K29" s="17">
        <f>IF(AND(ISNUMBER($T29),$T29&lt;&gt;""),IF(INDEX(Calc!$AC$3:$AC$122,$T29)="","—",INDEX(Calc!$AC$3:$AC$122,$T29)),"")</f>
        <v>0</v>
      </c>
      <c r="L29" s="17">
        <f>IF(AND(ISNUMBER($T29),$T29&lt;&gt;""),IF(INDEX(Calc!$AD$3:$AD$122,$T29)="","—",INDEX(Calc!$AD$3:$AD$122,$T29)),"")</f>
        <v>0</v>
      </c>
      <c r="M29" s="17">
        <f>IF(AND(ISNUMBER($T29),$T29&lt;&gt;""),IF(INDEX(Calc!$AE$3:$AE$122,$T29)="","—",INDEX(Calc!$AE$3:$AE$122,$T29)),"")</f>
        <v>0</v>
      </c>
      <c r="N29" s="17" t="str">
        <f>IF(AND(ISNUMBER($T29),$T29&lt;&gt;""),IF(INDEX(Calc!$AF$3:$AF$122,$T29)="","—",INDEX(Calc!$AF$3:$AF$122,$T29)),"")</f>
        <v>—</v>
      </c>
      <c r="O29" s="17" t="str">
        <f>IF(AND(ISNUMBER($T29),$T29&lt;&gt;""),IF(INDEX(Calc!$AG$3:$AG$122,$T29)="","—",INDEX(Calc!$AG$3:$AG$122,$T29)),"")</f>
        <v>—</v>
      </c>
      <c r="P29" s="18">
        <f>IF(AND(ISNUMBER($T29),$T29&lt;&gt;""),IF(INDEX(Calc!$AJ$3:$AJ$122,$T29)="","—",INDEX(Calc!$AJ$3:$AJ$122,$T29)),"")</f>
        <v>1</v>
      </c>
      <c r="Q29" s="18">
        <f>IF(AND(ISNUMBER($T29),$T29&lt;&gt;""),IF(INDEX(Calc!$AK$3:$AK$122,$T29)="","—",INDEX(Calc!$AK$3:$AK$122,$T29)),"")</f>
        <v>-10</v>
      </c>
      <c r="R29" s="17">
        <f>IF(AND(ISNUMBER($T29),$T29&lt;&gt;""),IF(INDEX(Calc!$AL$3:$AL$122,$T29)="","—",INDEX(Calc!$AL$3:$AL$122,$T29)),"")</f>
        <v>-10</v>
      </c>
      <c r="T29">
        <f>IFERROR(MATCH(25,Calc!$AN$3:$AN$122,0),"")</f>
        <v>6</v>
      </c>
    </row>
    <row r="30" spans="1:20" x14ac:dyDescent="0.2">
      <c r="A30" s="11" t="str">
        <f>IF(AND(ISNUMBER($T30),$T30&lt;&gt;""),INDEX(Calc!$S$3:$S$122,$T30),"")</f>
        <v>Marlboro Double Burst</v>
      </c>
      <c r="B30" s="12" t="str">
        <f>IF(AND(ISNUMBER($T30),$T30&lt;&gt;""),IF(INDEX(Calc!$T$3:$T$122,$T30)="","—",INDEX(Calc!$T$3:$T$122,$T30)),"")</f>
        <v>—</v>
      </c>
      <c r="C30" s="12" t="str">
        <f>IF(AND(ISNUMBER($T30),$T30&lt;&gt;""),IF(INDEX(Calc!$U$3:$U$122,$T30)="","—",INDEX(Calc!$U$3:$U$122,$T30)),"")</f>
        <v>—</v>
      </c>
      <c r="D30" s="12" t="str">
        <f>IF(AND(ISNUMBER($T30),$T30&lt;&gt;""),IF(INDEX(Calc!$V$3:$V$122,$T30)="","—",INDEX(Calc!$V$3:$V$122,$T30)),"")</f>
        <v>—</v>
      </c>
      <c r="E30" s="12" t="str">
        <f>IF(AND(ISNUMBER($T30),$T30&lt;&gt;""),IF(INDEX(Calc!$W$3:$W$122,$T30)="","—",INDEX(Calc!$W$3:$W$122,$T30)),"")</f>
        <v>—</v>
      </c>
      <c r="F30" s="12" t="str">
        <f>IF(AND(ISNUMBER($T30),$T30&lt;&gt;""),IF(INDEX(Calc!$X$3:$X$122,$T30)="","—",INDEX(Calc!$X$3:$X$122,$T30)),"")</f>
        <v>—</v>
      </c>
      <c r="G30" s="12" t="str">
        <f>IF(AND(ISNUMBER($T30),$T30&lt;&gt;""),IF(INDEX(Calc!$Y$3:$Y$122,$T30)="","—",INDEX(Calc!$Y$3:$Y$122,$T30)),"")</f>
        <v>—</v>
      </c>
      <c r="H30" s="12" t="str">
        <f>IF(AND(ISNUMBER($T30),$T30&lt;&gt;""),IF(INDEX(Calc!$Z$3:$Z$122,$T30)="","—",INDEX(Calc!$Z$3:$Z$122,$T30)),"")</f>
        <v>—</v>
      </c>
      <c r="I30" s="12">
        <f>IF(AND(ISNUMBER($T30),$T30&lt;&gt;""),IF(INDEX(Calc!$AA$3:$AA$122,$T30)="","—",INDEX(Calc!$AA$3:$AA$122,$T30)),"")</f>
        <v>-10</v>
      </c>
      <c r="J30" s="12">
        <f>IF(AND(ISNUMBER($T30),$T30&lt;&gt;""),IF(INDEX(Calc!$AB$3:$AB$122,$T30)="","—",INDEX(Calc!$AB$3:$AB$122,$T30)),"")</f>
        <v>0</v>
      </c>
      <c r="K30" s="12">
        <f>IF(AND(ISNUMBER($T30),$T30&lt;&gt;""),IF(INDEX(Calc!$AC$3:$AC$122,$T30)="","—",INDEX(Calc!$AC$3:$AC$122,$T30)),"")</f>
        <v>0</v>
      </c>
      <c r="L30" s="12">
        <f>IF(AND(ISNUMBER($T30),$T30&lt;&gt;""),IF(INDEX(Calc!$AD$3:$AD$122,$T30)="","—",INDEX(Calc!$AD$3:$AD$122,$T30)),"")</f>
        <v>0</v>
      </c>
      <c r="M30" s="12">
        <f>IF(AND(ISNUMBER($T30),$T30&lt;&gt;""),IF(INDEX(Calc!$AE$3:$AE$122,$T30)="","—",INDEX(Calc!$AE$3:$AE$122,$T30)),"")</f>
        <v>0</v>
      </c>
      <c r="N30" s="12" t="str">
        <f>IF(AND(ISNUMBER($T30),$T30&lt;&gt;""),IF(INDEX(Calc!$AF$3:$AF$122,$T30)="","—",INDEX(Calc!$AF$3:$AF$122,$T30)),"")</f>
        <v>—</v>
      </c>
      <c r="O30" s="12" t="str">
        <f>IF(AND(ISNUMBER($T30),$T30&lt;&gt;""),IF(INDEX(Calc!$AG$3:$AG$122,$T30)="","—",INDEX(Calc!$AG$3:$AG$122,$T30)),"")</f>
        <v>—</v>
      </c>
      <c r="P30" s="13">
        <f>IF(AND(ISNUMBER($T30),$T30&lt;&gt;""),IF(INDEX(Calc!$AJ$3:$AJ$122,$T30)="","—",INDEX(Calc!$AJ$3:$AJ$122,$T30)),"")</f>
        <v>1</v>
      </c>
      <c r="Q30" s="13">
        <f>IF(AND(ISNUMBER($T30),$T30&lt;&gt;""),IF(INDEX(Calc!$AK$3:$AK$122,$T30)="","—",INDEX(Calc!$AK$3:$AK$122,$T30)),"")</f>
        <v>-10</v>
      </c>
      <c r="R30" s="12">
        <f>IF(AND(ISNUMBER($T30),$T30&lt;&gt;""),IF(INDEX(Calc!$AL$3:$AL$122,$T30)="","—",INDEX(Calc!$AL$3:$AL$122,$T30)),"")</f>
        <v>-10</v>
      </c>
      <c r="T30">
        <f>IFERROR(MATCH(26,Calc!$AN$3:$AN$122,0),"")</f>
        <v>30</v>
      </c>
    </row>
    <row r="31" spans="1:20" x14ac:dyDescent="0.2">
      <c r="A31" s="16" t="str">
        <f>IF(AND(ISNUMBER($T31),$T31&lt;&gt;""),INDEX(Calc!$S$3:$S$122,$T31),"")</f>
        <v>Rothmans Charcoal</v>
      </c>
      <c r="B31" s="17" t="str">
        <f>IF(AND(ISNUMBER($T31),$T31&lt;&gt;""),IF(INDEX(Calc!$T$3:$T$122,$T31)="","—",INDEX(Calc!$T$3:$T$122,$T31)),"")</f>
        <v>—</v>
      </c>
      <c r="C31" s="17" t="str">
        <f>IF(AND(ISNUMBER($T31),$T31&lt;&gt;""),IF(INDEX(Calc!$U$3:$U$122,$T31)="","—",INDEX(Calc!$U$3:$U$122,$T31)),"")</f>
        <v>—</v>
      </c>
      <c r="D31" s="17" t="str">
        <f>IF(AND(ISNUMBER($T31),$T31&lt;&gt;""),IF(INDEX(Calc!$V$3:$V$122,$T31)="","—",INDEX(Calc!$V$3:$V$122,$T31)),"")</f>
        <v>—</v>
      </c>
      <c r="E31" s="17" t="str">
        <f>IF(AND(ISNUMBER($T31),$T31&lt;&gt;""),IF(INDEX(Calc!$W$3:$W$122,$T31)="","—",INDEX(Calc!$W$3:$W$122,$T31)),"")</f>
        <v>—</v>
      </c>
      <c r="F31" s="17" t="str">
        <f>IF(AND(ISNUMBER($T31),$T31&lt;&gt;""),IF(INDEX(Calc!$X$3:$X$122,$T31)="","—",INDEX(Calc!$X$3:$X$122,$T31)),"")</f>
        <v>—</v>
      </c>
      <c r="G31" s="17" t="str">
        <f>IF(AND(ISNUMBER($T31),$T31&lt;&gt;""),IF(INDEX(Calc!$Y$3:$Y$122,$T31)="","—",INDEX(Calc!$Y$3:$Y$122,$T31)),"")</f>
        <v>—</v>
      </c>
      <c r="H31" s="17" t="str">
        <f>IF(AND(ISNUMBER($T31),$T31&lt;&gt;""),IF(INDEX(Calc!$Z$3:$Z$122,$T31)="","—",INDEX(Calc!$Z$3:$Z$122,$T31)),"")</f>
        <v>—</v>
      </c>
      <c r="I31" s="17">
        <f>IF(AND(ISNUMBER($T31),$T31&lt;&gt;""),IF(INDEX(Calc!$AA$3:$AA$122,$T31)="","—",INDEX(Calc!$AA$3:$AA$122,$T31)),"")</f>
        <v>-10</v>
      </c>
      <c r="J31" s="17">
        <f>IF(AND(ISNUMBER($T31),$T31&lt;&gt;""),IF(INDEX(Calc!$AB$3:$AB$122,$T31)="","—",INDEX(Calc!$AB$3:$AB$122,$T31)),"")</f>
        <v>0</v>
      </c>
      <c r="K31" s="17">
        <f>IF(AND(ISNUMBER($T31),$T31&lt;&gt;""),IF(INDEX(Calc!$AC$3:$AC$122,$T31)="","—",INDEX(Calc!$AC$3:$AC$122,$T31)),"")</f>
        <v>0</v>
      </c>
      <c r="L31" s="17">
        <f>IF(AND(ISNUMBER($T31),$T31&lt;&gt;""),IF(INDEX(Calc!$AD$3:$AD$122,$T31)="","—",INDEX(Calc!$AD$3:$AD$122,$T31)),"")</f>
        <v>0</v>
      </c>
      <c r="M31" s="17">
        <f>IF(AND(ISNUMBER($T31),$T31&lt;&gt;""),IF(INDEX(Calc!$AE$3:$AE$122,$T31)="","—",INDEX(Calc!$AE$3:$AE$122,$T31)),"")</f>
        <v>0</v>
      </c>
      <c r="N31" s="17" t="str">
        <f>IF(AND(ISNUMBER($T31),$T31&lt;&gt;""),IF(INDEX(Calc!$AF$3:$AF$122,$T31)="","—",INDEX(Calc!$AF$3:$AF$122,$T31)),"")</f>
        <v>—</v>
      </c>
      <c r="O31" s="17" t="str">
        <f>IF(AND(ISNUMBER($T31),$T31&lt;&gt;""),IF(INDEX(Calc!$AG$3:$AG$122,$T31)="","—",INDEX(Calc!$AG$3:$AG$122,$T31)),"")</f>
        <v>—</v>
      </c>
      <c r="P31" s="18">
        <f>IF(AND(ISNUMBER($T31),$T31&lt;&gt;""),IF(INDEX(Calc!$AJ$3:$AJ$122,$T31)="","—",INDEX(Calc!$AJ$3:$AJ$122,$T31)),"")</f>
        <v>1</v>
      </c>
      <c r="Q31" s="18">
        <f>IF(AND(ISNUMBER($T31),$T31&lt;&gt;""),IF(INDEX(Calc!$AK$3:$AK$122,$T31)="","—",INDEX(Calc!$AK$3:$AK$122,$T31)),"")</f>
        <v>-10</v>
      </c>
      <c r="R31" s="17">
        <f>IF(AND(ISNUMBER($T31),$T31&lt;&gt;""),IF(INDEX(Calc!$AL$3:$AL$122,$T31)="","—",INDEX(Calc!$AL$3:$AL$122,$T31)),"")</f>
        <v>-10</v>
      </c>
      <c r="T31">
        <f>IFERROR(MATCH(27,Calc!$AN$3:$AN$122,0),"")</f>
        <v>49</v>
      </c>
    </row>
    <row r="32" spans="1:20" x14ac:dyDescent="0.2">
      <c r="A32" s="11" t="str">
        <f>IF(AND(ISNUMBER($T32),$T32&lt;&gt;""),INDEX(Calc!$S$3:$S$122,$T32),"")</f>
        <v>Marlboro Summer</v>
      </c>
      <c r="B32" s="12" t="str">
        <f>IF(AND(ISNUMBER($T32),$T32&lt;&gt;""),IF(INDEX(Calc!$T$3:$T$122,$T32)="","—",INDEX(Calc!$T$3:$T$122,$T32)),"")</f>
        <v>—</v>
      </c>
      <c r="C32" s="12" t="str">
        <f>IF(AND(ISNUMBER($T32),$T32&lt;&gt;""),IF(INDEX(Calc!$U$3:$U$122,$T32)="","—",INDEX(Calc!$U$3:$U$122,$T32)),"")</f>
        <v>—</v>
      </c>
      <c r="D32" s="12" t="str">
        <f>IF(AND(ISNUMBER($T32),$T32&lt;&gt;""),IF(INDEX(Calc!$V$3:$V$122,$T32)="","—",INDEX(Calc!$V$3:$V$122,$T32)),"")</f>
        <v>—</v>
      </c>
      <c r="E32" s="12" t="str">
        <f>IF(AND(ISNUMBER($T32),$T32&lt;&gt;""),IF(INDEX(Calc!$W$3:$W$122,$T32)="","—",INDEX(Calc!$W$3:$W$122,$T32)),"")</f>
        <v>—</v>
      </c>
      <c r="F32" s="12" t="str">
        <f>IF(AND(ISNUMBER($T32),$T32&lt;&gt;""),IF(INDEX(Calc!$X$3:$X$122,$T32)="","—",INDEX(Calc!$X$3:$X$122,$T32)),"")</f>
        <v>—</v>
      </c>
      <c r="G32" s="12" t="str">
        <f>IF(AND(ISNUMBER($T32),$T32&lt;&gt;""),IF(INDEX(Calc!$Y$3:$Y$122,$T32)="","—",INDEX(Calc!$Y$3:$Y$122,$T32)),"")</f>
        <v>—</v>
      </c>
      <c r="H32" s="12" t="str">
        <f>IF(AND(ISNUMBER($T32),$T32&lt;&gt;""),IF(INDEX(Calc!$Z$3:$Z$122,$T32)="","—",INDEX(Calc!$Z$3:$Z$122,$T32)),"")</f>
        <v>—</v>
      </c>
      <c r="I32" s="12">
        <f>IF(AND(ISNUMBER($T32),$T32&lt;&gt;""),IF(INDEX(Calc!$AA$3:$AA$122,$T32)="","—",INDEX(Calc!$AA$3:$AA$122,$T32)),"")</f>
        <v>-9</v>
      </c>
      <c r="J32" s="12">
        <f>IF(AND(ISNUMBER($T32),$T32&lt;&gt;""),IF(INDEX(Calc!$AB$3:$AB$122,$T32)="","—",INDEX(Calc!$AB$3:$AB$122,$T32)),"")</f>
        <v>0</v>
      </c>
      <c r="K32" s="12">
        <f>IF(AND(ISNUMBER($T32),$T32&lt;&gt;""),IF(INDEX(Calc!$AC$3:$AC$122,$T32)="","—",INDEX(Calc!$AC$3:$AC$122,$T32)),"")</f>
        <v>0</v>
      </c>
      <c r="L32" s="12">
        <f>IF(AND(ISNUMBER($T32),$T32&lt;&gt;""),IF(INDEX(Calc!$AD$3:$AD$122,$T32)="","—",INDEX(Calc!$AD$3:$AD$122,$T32)),"")</f>
        <v>0</v>
      </c>
      <c r="M32" s="12">
        <f>IF(AND(ISNUMBER($T32),$T32&lt;&gt;""),IF(INDEX(Calc!$AE$3:$AE$122,$T32)="","—",INDEX(Calc!$AE$3:$AE$122,$T32)),"")</f>
        <v>0</v>
      </c>
      <c r="N32" s="12" t="str">
        <f>IF(AND(ISNUMBER($T32),$T32&lt;&gt;""),IF(INDEX(Calc!$AF$3:$AF$122,$T32)="","—",INDEX(Calc!$AF$3:$AF$122,$T32)),"")</f>
        <v>—</v>
      </c>
      <c r="O32" s="12" t="str">
        <f>IF(AND(ISNUMBER($T32),$T32&lt;&gt;""),IF(INDEX(Calc!$AG$3:$AG$122,$T32)="","—",INDEX(Calc!$AG$3:$AG$122,$T32)),"")</f>
        <v>—</v>
      </c>
      <c r="P32" s="13">
        <f>IF(AND(ISNUMBER($T32),$T32&lt;&gt;""),IF(INDEX(Calc!$AJ$3:$AJ$122,$T32)="","—",INDEX(Calc!$AJ$3:$AJ$122,$T32)),"")</f>
        <v>1</v>
      </c>
      <c r="Q32" s="13">
        <f>IF(AND(ISNUMBER($T32),$T32&lt;&gt;""),IF(INDEX(Calc!$AK$3:$AK$122,$T32)="","—",INDEX(Calc!$AK$3:$AK$122,$T32)),"")</f>
        <v>-9</v>
      </c>
      <c r="R32" s="12">
        <f>IF(AND(ISNUMBER($T32),$T32&lt;&gt;""),IF(INDEX(Calc!$AL$3:$AL$122,$T32)="","—",INDEX(Calc!$AL$3:$AL$122,$T32)),"")</f>
        <v>-9</v>
      </c>
      <c r="T32">
        <f>IFERROR(MATCH(28,Calc!$AN$3:$AN$122,0),"")</f>
        <v>35</v>
      </c>
    </row>
    <row r="33" spans="1:20" x14ac:dyDescent="0.2">
      <c r="A33" s="16" t="str">
        <f>IF(AND(ISNUMBER($T33),$T33&lt;&gt;""),INDEX(Calc!$S$3:$S$122,$T33),"")</f>
        <v>Marlboro Tropical</v>
      </c>
      <c r="B33" s="17" t="str">
        <f>IF(AND(ISNUMBER($T33),$T33&lt;&gt;""),IF(INDEX(Calc!$T$3:$T$122,$T33)="","—",INDEX(Calc!$T$3:$T$122,$T33)),"")</f>
        <v>—</v>
      </c>
      <c r="C33" s="17" t="str">
        <f>IF(AND(ISNUMBER($T33),$T33&lt;&gt;""),IF(INDEX(Calc!$U$3:$U$122,$T33)="","—",INDEX(Calc!$U$3:$U$122,$T33)),"")</f>
        <v>—</v>
      </c>
      <c r="D33" s="17" t="str">
        <f>IF(AND(ISNUMBER($T33),$T33&lt;&gt;""),IF(INDEX(Calc!$V$3:$V$122,$T33)="","—",INDEX(Calc!$V$3:$V$122,$T33)),"")</f>
        <v>—</v>
      </c>
      <c r="E33" s="17" t="str">
        <f>IF(AND(ISNUMBER($T33),$T33&lt;&gt;""),IF(INDEX(Calc!$W$3:$W$122,$T33)="","—",INDEX(Calc!$W$3:$W$122,$T33)),"")</f>
        <v>—</v>
      </c>
      <c r="F33" s="17" t="str">
        <f>IF(AND(ISNUMBER($T33),$T33&lt;&gt;""),IF(INDEX(Calc!$X$3:$X$122,$T33)="","—",INDEX(Calc!$X$3:$X$122,$T33)),"")</f>
        <v>—</v>
      </c>
      <c r="G33" s="17" t="str">
        <f>IF(AND(ISNUMBER($T33),$T33&lt;&gt;""),IF(INDEX(Calc!$Y$3:$Y$122,$T33)="","—",INDEX(Calc!$Y$3:$Y$122,$T33)),"")</f>
        <v>—</v>
      </c>
      <c r="H33" s="17" t="str">
        <f>IF(AND(ISNUMBER($T33),$T33&lt;&gt;""),IF(INDEX(Calc!$Z$3:$Z$122,$T33)="","—",INDEX(Calc!$Z$3:$Z$122,$T33)),"")</f>
        <v>—</v>
      </c>
      <c r="I33" s="17">
        <f>IF(AND(ISNUMBER($T33),$T33&lt;&gt;""),IF(INDEX(Calc!$AA$3:$AA$122,$T33)="","—",INDEX(Calc!$AA$3:$AA$122,$T33)),"")</f>
        <v>-5</v>
      </c>
      <c r="J33" s="17">
        <f>IF(AND(ISNUMBER($T33),$T33&lt;&gt;""),IF(INDEX(Calc!$AB$3:$AB$122,$T33)="","—",INDEX(Calc!$AB$3:$AB$122,$T33)),"")</f>
        <v>0</v>
      </c>
      <c r="K33" s="17">
        <f>IF(AND(ISNUMBER($T33),$T33&lt;&gt;""),IF(INDEX(Calc!$AC$3:$AC$122,$T33)="","—",INDEX(Calc!$AC$3:$AC$122,$T33)),"")</f>
        <v>0</v>
      </c>
      <c r="L33" s="17">
        <f>IF(AND(ISNUMBER($T33),$T33&lt;&gt;""),IF(INDEX(Calc!$AD$3:$AD$122,$T33)="","—",INDEX(Calc!$AD$3:$AD$122,$T33)),"")</f>
        <v>0</v>
      </c>
      <c r="M33" s="17">
        <f>IF(AND(ISNUMBER($T33),$T33&lt;&gt;""),IF(INDEX(Calc!$AE$3:$AE$122,$T33)="","—",INDEX(Calc!$AE$3:$AE$122,$T33)),"")</f>
        <v>0</v>
      </c>
      <c r="N33" s="17" t="str">
        <f>IF(AND(ISNUMBER($T33),$T33&lt;&gt;""),IF(INDEX(Calc!$AF$3:$AF$122,$T33)="","—",INDEX(Calc!$AF$3:$AF$122,$T33)),"")</f>
        <v>—</v>
      </c>
      <c r="O33" s="17" t="str">
        <f>IF(AND(ISNUMBER($T33),$T33&lt;&gt;""),IF(INDEX(Calc!$AG$3:$AG$122,$T33)="","—",INDEX(Calc!$AG$3:$AG$122,$T33)),"")</f>
        <v>—</v>
      </c>
      <c r="P33" s="18">
        <f>IF(AND(ISNUMBER($T33),$T33&lt;&gt;""),IF(INDEX(Calc!$AJ$3:$AJ$122,$T33)="","—",INDEX(Calc!$AJ$3:$AJ$122,$T33)),"")</f>
        <v>1</v>
      </c>
      <c r="Q33" s="18">
        <f>IF(AND(ISNUMBER($T33),$T33&lt;&gt;""),IF(INDEX(Calc!$AK$3:$AK$122,$T33)="","—",INDEX(Calc!$AK$3:$AK$122,$T33)),"")</f>
        <v>-5</v>
      </c>
      <c r="R33" s="17">
        <f>IF(AND(ISNUMBER($T33),$T33&lt;&gt;""),IF(INDEX(Calc!$AL$3:$AL$122,$T33)="","—",INDEX(Calc!$AL$3:$AL$122,$T33)),"")</f>
        <v>-5</v>
      </c>
      <c r="T33">
        <f>IFERROR(MATCH(29,Calc!$AN$3:$AN$122,0),"")</f>
        <v>36</v>
      </c>
    </row>
    <row r="34" spans="1:20" x14ac:dyDescent="0.2">
      <c r="A34" s="11" t="str">
        <f>IF(AND(ISNUMBER($T34),$T34&lt;&gt;""),INDEX(Calc!$S$3:$S$122,$T34),"")</f>
        <v>Rothmans Kool Hokkaido Mint</v>
      </c>
      <c r="B34" s="12" t="str">
        <f>IF(AND(ISNUMBER($T34),$T34&lt;&gt;""),IF(INDEX(Calc!$T$3:$T$122,$T34)="","—",INDEX(Calc!$T$3:$T$122,$T34)),"")</f>
        <v>—</v>
      </c>
      <c r="C34" s="12" t="str">
        <f>IF(AND(ISNUMBER($T34),$T34&lt;&gt;""),IF(INDEX(Calc!$U$3:$U$122,$T34)="","—",INDEX(Calc!$U$3:$U$122,$T34)),"")</f>
        <v>—</v>
      </c>
      <c r="D34" s="12" t="str">
        <f>IF(AND(ISNUMBER($T34),$T34&lt;&gt;""),IF(INDEX(Calc!$V$3:$V$122,$T34)="","—",INDEX(Calc!$V$3:$V$122,$T34)),"")</f>
        <v>—</v>
      </c>
      <c r="E34" s="12" t="str">
        <f>IF(AND(ISNUMBER($T34),$T34&lt;&gt;""),IF(INDEX(Calc!$W$3:$W$122,$T34)="","—",INDEX(Calc!$W$3:$W$122,$T34)),"")</f>
        <v>—</v>
      </c>
      <c r="F34" s="12" t="str">
        <f>IF(AND(ISNUMBER($T34),$T34&lt;&gt;""),IF(INDEX(Calc!$X$3:$X$122,$T34)="","—",INDEX(Calc!$X$3:$X$122,$T34)),"")</f>
        <v>—</v>
      </c>
      <c r="G34" s="12" t="str">
        <f>IF(AND(ISNUMBER($T34),$T34&lt;&gt;""),IF(INDEX(Calc!$Y$3:$Y$122,$T34)="","—",INDEX(Calc!$Y$3:$Y$122,$T34)),"")</f>
        <v>—</v>
      </c>
      <c r="H34" s="12" t="str">
        <f>IF(AND(ISNUMBER($T34),$T34&lt;&gt;""),IF(INDEX(Calc!$Z$3:$Z$122,$T34)="","—",INDEX(Calc!$Z$3:$Z$122,$T34)),"")</f>
        <v>—</v>
      </c>
      <c r="I34" s="12">
        <f>IF(AND(ISNUMBER($T34),$T34&lt;&gt;""),IF(INDEX(Calc!$AA$3:$AA$122,$T34)="","—",INDEX(Calc!$AA$3:$AA$122,$T34)),"")</f>
        <v>0</v>
      </c>
      <c r="J34" s="12">
        <f>IF(AND(ISNUMBER($T34),$T34&lt;&gt;""),IF(INDEX(Calc!$AB$3:$AB$122,$T34)="","—",INDEX(Calc!$AB$3:$AB$122,$T34)),"")</f>
        <v>2</v>
      </c>
      <c r="K34" s="12">
        <f>IF(AND(ISNUMBER($T34),$T34&lt;&gt;""),IF(INDEX(Calc!$AC$3:$AC$122,$T34)="","—",INDEX(Calc!$AC$3:$AC$122,$T34)),"")</f>
        <v>0</v>
      </c>
      <c r="L34" s="12">
        <f>IF(AND(ISNUMBER($T34),$T34&lt;&gt;""),IF(INDEX(Calc!$AD$3:$AD$122,$T34)="","—",INDEX(Calc!$AD$3:$AD$122,$T34)),"")</f>
        <v>0</v>
      </c>
      <c r="M34" s="12">
        <f>IF(AND(ISNUMBER($T34),$T34&lt;&gt;""),IF(INDEX(Calc!$AE$3:$AE$122,$T34)="","—",INDEX(Calc!$AE$3:$AE$122,$T34)),"")</f>
        <v>0</v>
      </c>
      <c r="N34" s="12" t="str">
        <f>IF(AND(ISNUMBER($T34),$T34&lt;&gt;""),IF(INDEX(Calc!$AF$3:$AF$122,$T34)="","—",INDEX(Calc!$AF$3:$AF$122,$T34)),"")</f>
        <v>—</v>
      </c>
      <c r="O34" s="12" t="str">
        <f>IF(AND(ISNUMBER($T34),$T34&lt;&gt;""),IF(INDEX(Calc!$AG$3:$AG$122,$T34)="","—",INDEX(Calc!$AG$3:$AG$122,$T34)),"")</f>
        <v>—</v>
      </c>
      <c r="P34" s="13">
        <f>IF(AND(ISNUMBER($T34),$T34&lt;&gt;""),IF(INDEX(Calc!$AJ$3:$AJ$122,$T34)="","—",INDEX(Calc!$AJ$3:$AJ$122,$T34)),"")</f>
        <v>1</v>
      </c>
      <c r="Q34" s="13">
        <f>IF(AND(ISNUMBER($T34),$T34&lt;&gt;""),IF(INDEX(Calc!$AK$3:$AK$122,$T34)="","—",INDEX(Calc!$AK$3:$AK$122,$T34)),"")</f>
        <v>2</v>
      </c>
      <c r="R34" s="12">
        <f>IF(AND(ISNUMBER($T34),$T34&lt;&gt;""),IF(INDEX(Calc!$AL$3:$AL$122,$T34)="","—",INDEX(Calc!$AL$3:$AL$122,$T34)),"")</f>
        <v>2</v>
      </c>
      <c r="T34">
        <f>IFERROR(MATCH(30,Calc!$AN$3:$AN$122,0),"")</f>
        <v>50</v>
      </c>
    </row>
    <row r="35" spans="1:20" x14ac:dyDescent="0.2">
      <c r="A35" s="16" t="str">
        <f>IF(AND(ISNUMBER($T35),$T35&lt;&gt;""),INDEX(Calc!$S$3:$S$122,$T35),"")</f>
        <v>Peter Stuyvesant Remix</v>
      </c>
      <c r="B35" s="17" t="str">
        <f>IF(AND(ISNUMBER($T35),$T35&lt;&gt;""),IF(INDEX(Calc!$T$3:$T$122,$T35)="","—",INDEX(Calc!$T$3:$T$122,$T35)),"")</f>
        <v>—</v>
      </c>
      <c r="C35" s="17" t="str">
        <f>IF(AND(ISNUMBER($T35),$T35&lt;&gt;""),IF(INDEX(Calc!$U$3:$U$122,$T35)="","—",INDEX(Calc!$U$3:$U$122,$T35)),"")</f>
        <v>—</v>
      </c>
      <c r="D35" s="17" t="str">
        <f>IF(AND(ISNUMBER($T35),$T35&lt;&gt;""),IF(INDEX(Calc!$V$3:$V$122,$T35)="","—",INDEX(Calc!$V$3:$V$122,$T35)),"")</f>
        <v>—</v>
      </c>
      <c r="E35" s="17" t="str">
        <f>IF(AND(ISNUMBER($T35),$T35&lt;&gt;""),IF(INDEX(Calc!$W$3:$W$122,$T35)="","—",INDEX(Calc!$W$3:$W$122,$T35)),"")</f>
        <v>—</v>
      </c>
      <c r="F35" s="17" t="str">
        <f>IF(AND(ISNUMBER($T35),$T35&lt;&gt;""),IF(INDEX(Calc!$X$3:$X$122,$T35)="","—",INDEX(Calc!$X$3:$X$122,$T35)),"")</f>
        <v>—</v>
      </c>
      <c r="G35" s="17" t="str">
        <f>IF(AND(ISNUMBER($T35),$T35&lt;&gt;""),IF(INDEX(Calc!$Y$3:$Y$122,$T35)="","—",INDEX(Calc!$Y$3:$Y$122,$T35)),"")</f>
        <v>—</v>
      </c>
      <c r="H35" s="17" t="str">
        <f>IF(AND(ISNUMBER($T35),$T35&lt;&gt;""),IF(INDEX(Calc!$Z$3:$Z$122,$T35)="","—",INDEX(Calc!$Z$3:$Z$122,$T35)),"")</f>
        <v>—</v>
      </c>
      <c r="I35" s="17">
        <f>IF(AND(ISNUMBER($T35),$T35&lt;&gt;""),IF(INDEX(Calc!$AA$3:$AA$122,$T35)="","—",INDEX(Calc!$AA$3:$AA$122,$T35)),"")</f>
        <v>0</v>
      </c>
      <c r="J35" s="17">
        <f>IF(AND(ISNUMBER($T35),$T35&lt;&gt;""),IF(INDEX(Calc!$AB$3:$AB$122,$T35)="","—",INDEX(Calc!$AB$3:$AB$122,$T35)),"")</f>
        <v>1</v>
      </c>
      <c r="K35" s="17">
        <f>IF(AND(ISNUMBER($T35),$T35&lt;&gt;""),IF(INDEX(Calc!$AC$3:$AC$122,$T35)="","—",INDEX(Calc!$AC$3:$AC$122,$T35)),"")</f>
        <v>0</v>
      </c>
      <c r="L35" s="17">
        <f>IF(AND(ISNUMBER($T35),$T35&lt;&gt;""),IF(INDEX(Calc!$AD$3:$AD$122,$T35)="","—",INDEX(Calc!$AD$3:$AD$122,$T35)),"")</f>
        <v>0</v>
      </c>
      <c r="M35" s="17">
        <f>IF(AND(ISNUMBER($T35),$T35&lt;&gt;""),IF(INDEX(Calc!$AE$3:$AE$122,$T35)="","—",INDEX(Calc!$AE$3:$AE$122,$T35)),"")</f>
        <v>0</v>
      </c>
      <c r="N35" s="17" t="str">
        <f>IF(AND(ISNUMBER($T35),$T35&lt;&gt;""),IF(INDEX(Calc!$AF$3:$AF$122,$T35)="","—",INDEX(Calc!$AF$3:$AF$122,$T35)),"")</f>
        <v>—</v>
      </c>
      <c r="O35" s="17" t="str">
        <f>IF(AND(ISNUMBER($T35),$T35&lt;&gt;""),IF(INDEX(Calc!$AG$3:$AG$122,$T35)="","—",INDEX(Calc!$AG$3:$AG$122,$T35)),"")</f>
        <v>—</v>
      </c>
      <c r="P35" s="18">
        <f>IF(AND(ISNUMBER($T35),$T35&lt;&gt;""),IF(INDEX(Calc!$AJ$3:$AJ$122,$T35)="","—",INDEX(Calc!$AJ$3:$AJ$122,$T35)),"")</f>
        <v>1</v>
      </c>
      <c r="Q35" s="18">
        <f>IF(AND(ISNUMBER($T35),$T35&lt;&gt;""),IF(INDEX(Calc!$AK$3:$AK$122,$T35)="","—",INDEX(Calc!$AK$3:$AK$122,$T35)),"")</f>
        <v>1</v>
      </c>
      <c r="R35" s="17">
        <f>IF(AND(ISNUMBER($T35),$T35&lt;&gt;""),IF(INDEX(Calc!$AL$3:$AL$122,$T35)="","—",INDEX(Calc!$AL$3:$AL$122,$T35)),"")</f>
        <v>1</v>
      </c>
      <c r="T35">
        <f>IFERROR(MATCH(31,Calc!$AN$3:$AN$122,0),"")</f>
        <v>47</v>
      </c>
    </row>
    <row r="36" spans="1:20" x14ac:dyDescent="0.2">
      <c r="A36" s="11" t="str">
        <f>IF(AND(ISNUMBER($T36),$T36&lt;&gt;""),INDEX(Calc!$S$3:$S$122,$T36),"")</f>
        <v>Bond Light</v>
      </c>
      <c r="B36" s="12" t="str">
        <f>IF(AND(ISNUMBER($T36),$T36&lt;&gt;""),IF(INDEX(Calc!$T$3:$T$122,$T36)="","—",INDEX(Calc!$T$3:$T$122,$T36)),"")</f>
        <v>—</v>
      </c>
      <c r="C36" s="12" t="str">
        <f>IF(AND(ISNUMBER($T36),$T36&lt;&gt;""),IF(INDEX(Calc!$U$3:$U$122,$T36)="","—",INDEX(Calc!$U$3:$U$122,$T36)),"")</f>
        <v>—</v>
      </c>
      <c r="D36" s="12" t="str">
        <f>IF(AND(ISNUMBER($T36),$T36&lt;&gt;""),IF(INDEX(Calc!$V$3:$V$122,$T36)="","—",INDEX(Calc!$V$3:$V$122,$T36)),"")</f>
        <v>—</v>
      </c>
      <c r="E36" s="12" t="str">
        <f>IF(AND(ISNUMBER($T36),$T36&lt;&gt;""),IF(INDEX(Calc!$W$3:$W$122,$T36)="","—",INDEX(Calc!$W$3:$W$122,$T36)),"")</f>
        <v>—</v>
      </c>
      <c r="F36" s="12" t="str">
        <f>IF(AND(ISNUMBER($T36),$T36&lt;&gt;""),IF(INDEX(Calc!$X$3:$X$122,$T36)="","—",INDEX(Calc!$X$3:$X$122,$T36)),"")</f>
        <v>—</v>
      </c>
      <c r="G36" s="12" t="str">
        <f>IF(AND(ISNUMBER($T36),$T36&lt;&gt;""),IF(INDEX(Calc!$Y$3:$Y$122,$T36)="","—",INDEX(Calc!$Y$3:$Y$122,$T36)),"")</f>
        <v>—</v>
      </c>
      <c r="H36" s="12" t="str">
        <f>IF(AND(ISNUMBER($T36),$T36&lt;&gt;""),IF(INDEX(Calc!$Z$3:$Z$122,$T36)="","—",INDEX(Calc!$Z$3:$Z$122,$T36)),"")</f>
        <v>—</v>
      </c>
      <c r="I36" s="12">
        <f>IF(AND(ISNUMBER($T36),$T36&lt;&gt;""),IF(INDEX(Calc!$AA$3:$AA$122,$T36)="","—",INDEX(Calc!$AA$3:$AA$122,$T36)),"")</f>
        <v>0</v>
      </c>
      <c r="J36" s="12">
        <f>IF(AND(ISNUMBER($T36),$T36&lt;&gt;""),IF(INDEX(Calc!$AB$3:$AB$122,$T36)="","—",INDEX(Calc!$AB$3:$AB$122,$T36)),"")</f>
        <v>0</v>
      </c>
      <c r="K36" s="12">
        <f>IF(AND(ISNUMBER($T36),$T36&lt;&gt;""),IF(INDEX(Calc!$AC$3:$AC$122,$T36)="","—",INDEX(Calc!$AC$3:$AC$122,$T36)),"")</f>
        <v>0</v>
      </c>
      <c r="L36" s="12">
        <f>IF(AND(ISNUMBER($T36),$T36&lt;&gt;""),IF(INDEX(Calc!$AD$3:$AD$122,$T36)="","—",INDEX(Calc!$AD$3:$AD$122,$T36)),"")</f>
        <v>0</v>
      </c>
      <c r="M36" s="12">
        <f>IF(AND(ISNUMBER($T36),$T36&lt;&gt;""),IF(INDEX(Calc!$AE$3:$AE$122,$T36)="","—",INDEX(Calc!$AE$3:$AE$122,$T36)),"")</f>
        <v>0</v>
      </c>
      <c r="N36" s="12" t="str">
        <f>IF(AND(ISNUMBER($T36),$T36&lt;&gt;""),IF(INDEX(Calc!$AF$3:$AF$122,$T36)="","—",INDEX(Calc!$AF$3:$AF$122,$T36)),"")</f>
        <v>—</v>
      </c>
      <c r="O36" s="12" t="str">
        <f>IF(AND(ISNUMBER($T36),$T36&lt;&gt;""),IF(INDEX(Calc!$AG$3:$AG$122,$T36)="","—",INDEX(Calc!$AG$3:$AG$122,$T36)),"")</f>
        <v>—</v>
      </c>
      <c r="P36" s="13">
        <f>IF(AND(ISNUMBER($T36),$T36&lt;&gt;""),IF(INDEX(Calc!$AJ$3:$AJ$122,$T36)="","—",INDEX(Calc!$AJ$3:$AJ$122,$T36)),"")</f>
        <v>0</v>
      </c>
      <c r="Q36" s="13">
        <f>IF(AND(ISNUMBER($T36),$T36&lt;&gt;""),IF(INDEX(Calc!$AK$3:$AK$122,$T36)="","—",INDEX(Calc!$AK$3:$AK$122,$T36)),"")</f>
        <v>0</v>
      </c>
      <c r="R36" s="12">
        <f>IF(AND(ISNUMBER($T36),$T36&lt;&gt;""),IF(INDEX(Calc!$AL$3:$AL$122,$T36)="","—",INDEX(Calc!$AL$3:$AL$122,$T36)),"")</f>
        <v>0</v>
      </c>
      <c r="T36">
        <f>IFERROR(MATCH(32,Calc!$AN$3:$AN$122,0),"")</f>
        <v>2</v>
      </c>
    </row>
    <row r="37" spans="1:20" x14ac:dyDescent="0.2">
      <c r="A37" s="16" t="str">
        <f>IF(AND(ISNUMBER($T37),$T37&lt;&gt;""),INDEX(Calc!$S$3:$S$122,$T37),"")</f>
        <v>Bond Red</v>
      </c>
      <c r="B37" s="17" t="str">
        <f>IF(AND(ISNUMBER($T37),$T37&lt;&gt;""),IF(INDEX(Calc!$T$3:$T$122,$T37)="","—",INDEX(Calc!$T$3:$T$122,$T37)),"")</f>
        <v>—</v>
      </c>
      <c r="C37" s="17" t="str">
        <f>IF(AND(ISNUMBER($T37),$T37&lt;&gt;""),IF(INDEX(Calc!$U$3:$U$122,$T37)="","—",INDEX(Calc!$U$3:$U$122,$T37)),"")</f>
        <v>—</v>
      </c>
      <c r="D37" s="17" t="str">
        <f>IF(AND(ISNUMBER($T37),$T37&lt;&gt;""),IF(INDEX(Calc!$V$3:$V$122,$T37)="","—",INDEX(Calc!$V$3:$V$122,$T37)),"")</f>
        <v>—</v>
      </c>
      <c r="E37" s="17" t="str">
        <f>IF(AND(ISNUMBER($T37),$T37&lt;&gt;""),IF(INDEX(Calc!$W$3:$W$122,$T37)="","—",INDEX(Calc!$W$3:$W$122,$T37)),"")</f>
        <v>—</v>
      </c>
      <c r="F37" s="17" t="str">
        <f>IF(AND(ISNUMBER($T37),$T37&lt;&gt;""),IF(INDEX(Calc!$X$3:$X$122,$T37)="","—",INDEX(Calc!$X$3:$X$122,$T37)),"")</f>
        <v>—</v>
      </c>
      <c r="G37" s="17" t="str">
        <f>IF(AND(ISNUMBER($T37),$T37&lt;&gt;""),IF(INDEX(Calc!$Y$3:$Y$122,$T37)="","—",INDEX(Calc!$Y$3:$Y$122,$T37)),"")</f>
        <v>—</v>
      </c>
      <c r="H37" s="17" t="str">
        <f>IF(AND(ISNUMBER($T37),$T37&lt;&gt;""),IF(INDEX(Calc!$Z$3:$Z$122,$T37)="","—",INDEX(Calc!$Z$3:$Z$122,$T37)),"")</f>
        <v>—</v>
      </c>
      <c r="I37" s="17">
        <f>IF(AND(ISNUMBER($T37),$T37&lt;&gt;""),IF(INDEX(Calc!$AA$3:$AA$122,$T37)="","—",INDEX(Calc!$AA$3:$AA$122,$T37)),"")</f>
        <v>0</v>
      </c>
      <c r="J37" s="17">
        <f>IF(AND(ISNUMBER($T37),$T37&lt;&gt;""),IF(INDEX(Calc!$AB$3:$AB$122,$T37)="","—",INDEX(Calc!$AB$3:$AB$122,$T37)),"")</f>
        <v>0</v>
      </c>
      <c r="K37" s="17">
        <f>IF(AND(ISNUMBER($T37),$T37&lt;&gt;""),IF(INDEX(Calc!$AC$3:$AC$122,$T37)="","—",INDEX(Calc!$AC$3:$AC$122,$T37)),"")</f>
        <v>0</v>
      </c>
      <c r="L37" s="17">
        <f>IF(AND(ISNUMBER($T37),$T37&lt;&gt;""),IF(INDEX(Calc!$AD$3:$AD$122,$T37)="","—",INDEX(Calc!$AD$3:$AD$122,$T37)),"")</f>
        <v>0</v>
      </c>
      <c r="M37" s="17">
        <f>IF(AND(ISNUMBER($T37),$T37&lt;&gt;""),IF(INDEX(Calc!$AE$3:$AE$122,$T37)="","—",INDEX(Calc!$AE$3:$AE$122,$T37)),"")</f>
        <v>0</v>
      </c>
      <c r="N37" s="17" t="str">
        <f>IF(AND(ISNUMBER($T37),$T37&lt;&gt;""),IF(INDEX(Calc!$AF$3:$AF$122,$T37)="","—",INDEX(Calc!$AF$3:$AF$122,$T37)),"")</f>
        <v>—</v>
      </c>
      <c r="O37" s="17" t="str">
        <f>IF(AND(ISNUMBER($T37),$T37&lt;&gt;""),IF(INDEX(Calc!$AG$3:$AG$122,$T37)="","—",INDEX(Calc!$AG$3:$AG$122,$T37)),"")</f>
        <v>—</v>
      </c>
      <c r="P37" s="18">
        <f>IF(AND(ISNUMBER($T37),$T37&lt;&gt;""),IF(INDEX(Calc!$AJ$3:$AJ$122,$T37)="","—",INDEX(Calc!$AJ$3:$AJ$122,$T37)),"")</f>
        <v>0</v>
      </c>
      <c r="Q37" s="18">
        <f>IF(AND(ISNUMBER($T37),$T37&lt;&gt;""),IF(INDEX(Calc!$AK$3:$AK$122,$T37)="","—",INDEX(Calc!$AK$3:$AK$122,$T37)),"")</f>
        <v>0</v>
      </c>
      <c r="R37" s="17">
        <f>IF(AND(ISNUMBER($T37),$T37&lt;&gt;""),IF(INDEX(Calc!$AL$3:$AL$122,$T37)="","—",INDEX(Calc!$AL$3:$AL$122,$T37)),"")</f>
        <v>0</v>
      </c>
      <c r="T37">
        <f>IFERROR(MATCH(33,Calc!$AN$3:$AN$122,0),"")</f>
        <v>3</v>
      </c>
    </row>
    <row r="38" spans="1:20" x14ac:dyDescent="0.2">
      <c r="A38" s="11" t="str">
        <f>IF(AND(ISNUMBER($T38),$T38&lt;&gt;""),INDEX(Calc!$S$3:$S$122,$T38),"")</f>
        <v>Chesterfield Charcoal</v>
      </c>
      <c r="B38" s="12" t="str">
        <f>IF(AND(ISNUMBER($T38),$T38&lt;&gt;""),IF(INDEX(Calc!$T$3:$T$122,$T38)="","—",INDEX(Calc!$T$3:$T$122,$T38)),"")</f>
        <v>—</v>
      </c>
      <c r="C38" s="12" t="str">
        <f>IF(AND(ISNUMBER($T38),$T38&lt;&gt;""),IF(INDEX(Calc!$U$3:$U$122,$T38)="","—",INDEX(Calc!$U$3:$U$122,$T38)),"")</f>
        <v>—</v>
      </c>
      <c r="D38" s="12" t="str">
        <f>IF(AND(ISNUMBER($T38),$T38&lt;&gt;""),IF(INDEX(Calc!$V$3:$V$122,$T38)="","—",INDEX(Calc!$V$3:$V$122,$T38)),"")</f>
        <v>—</v>
      </c>
      <c r="E38" s="12" t="str">
        <f>IF(AND(ISNUMBER($T38),$T38&lt;&gt;""),IF(INDEX(Calc!$W$3:$W$122,$T38)="","—",INDEX(Calc!$W$3:$W$122,$T38)),"")</f>
        <v>—</v>
      </c>
      <c r="F38" s="12" t="str">
        <f>IF(AND(ISNUMBER($T38),$T38&lt;&gt;""),IF(INDEX(Calc!$X$3:$X$122,$T38)="","—",INDEX(Calc!$X$3:$X$122,$T38)),"")</f>
        <v>—</v>
      </c>
      <c r="G38" s="12" t="str">
        <f>IF(AND(ISNUMBER($T38),$T38&lt;&gt;""),IF(INDEX(Calc!$Y$3:$Y$122,$T38)="","—",INDEX(Calc!$Y$3:$Y$122,$T38)),"")</f>
        <v>—</v>
      </c>
      <c r="H38" s="12" t="str">
        <f>IF(AND(ISNUMBER($T38),$T38&lt;&gt;""),IF(INDEX(Calc!$Z$3:$Z$122,$T38)="","—",INDEX(Calc!$Z$3:$Z$122,$T38)),"")</f>
        <v>—</v>
      </c>
      <c r="I38" s="12">
        <f>IF(AND(ISNUMBER($T38),$T38&lt;&gt;""),IF(INDEX(Calc!$AA$3:$AA$122,$T38)="","—",INDEX(Calc!$AA$3:$AA$122,$T38)),"")</f>
        <v>0</v>
      </c>
      <c r="J38" s="12">
        <f>IF(AND(ISNUMBER($T38),$T38&lt;&gt;""),IF(INDEX(Calc!$AB$3:$AB$122,$T38)="","—",INDEX(Calc!$AB$3:$AB$122,$T38)),"")</f>
        <v>0</v>
      </c>
      <c r="K38" s="12">
        <f>IF(AND(ISNUMBER($T38),$T38&lt;&gt;""),IF(INDEX(Calc!$AC$3:$AC$122,$T38)="","—",INDEX(Calc!$AC$3:$AC$122,$T38)),"")</f>
        <v>0</v>
      </c>
      <c r="L38" s="12">
        <f>IF(AND(ISNUMBER($T38),$T38&lt;&gt;""),IF(INDEX(Calc!$AD$3:$AD$122,$T38)="","—",INDEX(Calc!$AD$3:$AD$122,$T38)),"")</f>
        <v>0</v>
      </c>
      <c r="M38" s="12">
        <f>IF(AND(ISNUMBER($T38),$T38&lt;&gt;""),IF(INDEX(Calc!$AE$3:$AE$122,$T38)="","—",INDEX(Calc!$AE$3:$AE$122,$T38)),"")</f>
        <v>0</v>
      </c>
      <c r="N38" s="12" t="str">
        <f>IF(AND(ISNUMBER($T38),$T38&lt;&gt;""),IF(INDEX(Calc!$AF$3:$AF$122,$T38)="","—",INDEX(Calc!$AF$3:$AF$122,$T38)),"")</f>
        <v>—</v>
      </c>
      <c r="O38" s="12" t="str">
        <f>IF(AND(ISNUMBER($T38),$T38&lt;&gt;""),IF(INDEX(Calc!$AG$3:$AG$122,$T38)="","—",INDEX(Calc!$AG$3:$AG$122,$T38)),"")</f>
        <v>—</v>
      </c>
      <c r="P38" s="13">
        <f>IF(AND(ISNUMBER($T38),$T38&lt;&gt;""),IF(INDEX(Calc!$AJ$3:$AJ$122,$T38)="","—",INDEX(Calc!$AJ$3:$AJ$122,$T38)),"")</f>
        <v>0</v>
      </c>
      <c r="Q38" s="13">
        <f>IF(AND(ISNUMBER($T38),$T38&lt;&gt;""),IF(INDEX(Calc!$AK$3:$AK$122,$T38)="","—",INDEX(Calc!$AK$3:$AK$122,$T38)),"")</f>
        <v>0</v>
      </c>
      <c r="R38" s="12">
        <f>IF(AND(ISNUMBER($T38),$T38&lt;&gt;""),IF(INDEX(Calc!$AL$3:$AL$122,$T38)="","—",INDEX(Calc!$AL$3:$AL$122,$T38)),"")</f>
        <v>0</v>
      </c>
      <c r="T38">
        <f>IFERROR(MATCH(34,Calc!$AN$3:$AN$122,0),"")</f>
        <v>5</v>
      </c>
    </row>
    <row r="39" spans="1:20" x14ac:dyDescent="0.2">
      <c r="A39" s="16" t="str">
        <f>IF(AND(ISNUMBER($T39),$T39&lt;&gt;""),INDEX(Calc!$S$3:$S$122,$T39),"")</f>
        <v>Chesterfield Purple</v>
      </c>
      <c r="B39" s="17" t="str">
        <f>IF(AND(ISNUMBER($T39),$T39&lt;&gt;""),IF(INDEX(Calc!$T$3:$T$122,$T39)="","—",INDEX(Calc!$T$3:$T$122,$T39)),"")</f>
        <v>—</v>
      </c>
      <c r="C39" s="17" t="str">
        <f>IF(AND(ISNUMBER($T39),$T39&lt;&gt;""),IF(INDEX(Calc!$U$3:$U$122,$T39)="","—",INDEX(Calc!$U$3:$U$122,$T39)),"")</f>
        <v>—</v>
      </c>
      <c r="D39" s="17" t="str">
        <f>IF(AND(ISNUMBER($T39),$T39&lt;&gt;""),IF(INDEX(Calc!$V$3:$V$122,$T39)="","—",INDEX(Calc!$V$3:$V$122,$T39)),"")</f>
        <v>—</v>
      </c>
      <c r="E39" s="17" t="str">
        <f>IF(AND(ISNUMBER($T39),$T39&lt;&gt;""),IF(INDEX(Calc!$W$3:$W$122,$T39)="","—",INDEX(Calc!$W$3:$W$122,$T39)),"")</f>
        <v>—</v>
      </c>
      <c r="F39" s="17" t="str">
        <f>IF(AND(ISNUMBER($T39),$T39&lt;&gt;""),IF(INDEX(Calc!$X$3:$X$122,$T39)="","—",INDEX(Calc!$X$3:$X$122,$T39)),"")</f>
        <v>—</v>
      </c>
      <c r="G39" s="17" t="str">
        <f>IF(AND(ISNUMBER($T39),$T39&lt;&gt;""),IF(INDEX(Calc!$Y$3:$Y$122,$T39)="","—",INDEX(Calc!$Y$3:$Y$122,$T39)),"")</f>
        <v>—</v>
      </c>
      <c r="H39" s="17" t="str">
        <f>IF(AND(ISNUMBER($T39),$T39&lt;&gt;""),IF(INDEX(Calc!$Z$3:$Z$122,$T39)="","—",INDEX(Calc!$Z$3:$Z$122,$T39)),"")</f>
        <v>—</v>
      </c>
      <c r="I39" s="17">
        <f>IF(AND(ISNUMBER($T39),$T39&lt;&gt;""),IF(INDEX(Calc!$AA$3:$AA$122,$T39)="","—",INDEX(Calc!$AA$3:$AA$122,$T39)),"")</f>
        <v>0</v>
      </c>
      <c r="J39" s="17">
        <f>IF(AND(ISNUMBER($T39),$T39&lt;&gt;""),IF(INDEX(Calc!$AB$3:$AB$122,$T39)="","—",INDEX(Calc!$AB$3:$AB$122,$T39)),"")</f>
        <v>0</v>
      </c>
      <c r="K39" s="17">
        <f>IF(AND(ISNUMBER($T39),$T39&lt;&gt;""),IF(INDEX(Calc!$AC$3:$AC$122,$T39)="","—",INDEX(Calc!$AC$3:$AC$122,$T39)),"")</f>
        <v>0</v>
      </c>
      <c r="L39" s="17">
        <f>IF(AND(ISNUMBER($T39),$T39&lt;&gt;""),IF(INDEX(Calc!$AD$3:$AD$122,$T39)="","—",INDEX(Calc!$AD$3:$AD$122,$T39)),"")</f>
        <v>0</v>
      </c>
      <c r="M39" s="17">
        <f>IF(AND(ISNUMBER($T39),$T39&lt;&gt;""),IF(INDEX(Calc!$AE$3:$AE$122,$T39)="","—",INDEX(Calc!$AE$3:$AE$122,$T39)),"")</f>
        <v>0</v>
      </c>
      <c r="N39" s="17" t="str">
        <f>IF(AND(ISNUMBER($T39),$T39&lt;&gt;""),IF(INDEX(Calc!$AF$3:$AF$122,$T39)="","—",INDEX(Calc!$AF$3:$AF$122,$T39)),"")</f>
        <v>—</v>
      </c>
      <c r="O39" s="17" t="str">
        <f>IF(AND(ISNUMBER($T39),$T39&lt;&gt;""),IF(INDEX(Calc!$AG$3:$AG$122,$T39)="","—",INDEX(Calc!$AG$3:$AG$122,$T39)),"")</f>
        <v>—</v>
      </c>
      <c r="P39" s="18">
        <f>IF(AND(ISNUMBER($T39),$T39&lt;&gt;""),IF(INDEX(Calc!$AJ$3:$AJ$122,$T39)="","—",INDEX(Calc!$AJ$3:$AJ$122,$T39)),"")</f>
        <v>0</v>
      </c>
      <c r="Q39" s="18">
        <f>IF(AND(ISNUMBER($T39),$T39&lt;&gt;""),IF(INDEX(Calc!$AK$3:$AK$122,$T39)="","—",INDEX(Calc!$AK$3:$AK$122,$T39)),"")</f>
        <v>0</v>
      </c>
      <c r="R39" s="17">
        <f>IF(AND(ISNUMBER($T39),$T39&lt;&gt;""),IF(INDEX(Calc!$AL$3:$AL$122,$T39)="","—",INDEX(Calc!$AL$3:$AL$122,$T39)),"")</f>
        <v>0</v>
      </c>
      <c r="T39">
        <f>IFERROR(MATCH(35,Calc!$AN$3:$AN$122,0),"")</f>
        <v>7</v>
      </c>
    </row>
    <row r="40" spans="1:20" x14ac:dyDescent="0.2">
      <c r="A40" s="11" t="str">
        <f>IF(AND(ISNUMBER($T40),$T40&lt;&gt;""),INDEX(Calc!$S$3:$S$122,$T40),"")</f>
        <v>Dunhill Boost</v>
      </c>
      <c r="B40" s="12" t="str">
        <f>IF(AND(ISNUMBER($T40),$T40&lt;&gt;""),IF(INDEX(Calc!$T$3:$T$122,$T40)="","—",INDEX(Calc!$T$3:$T$122,$T40)),"")</f>
        <v>—</v>
      </c>
      <c r="C40" s="12" t="str">
        <f>IF(AND(ISNUMBER($T40),$T40&lt;&gt;""),IF(INDEX(Calc!$U$3:$U$122,$T40)="","—",INDEX(Calc!$U$3:$U$122,$T40)),"")</f>
        <v>—</v>
      </c>
      <c r="D40" s="12" t="str">
        <f>IF(AND(ISNUMBER($T40),$T40&lt;&gt;""),IF(INDEX(Calc!$V$3:$V$122,$T40)="","—",INDEX(Calc!$V$3:$V$122,$T40)),"")</f>
        <v>—</v>
      </c>
      <c r="E40" s="12" t="str">
        <f>IF(AND(ISNUMBER($T40),$T40&lt;&gt;""),IF(INDEX(Calc!$W$3:$W$122,$T40)="","—",INDEX(Calc!$W$3:$W$122,$T40)),"")</f>
        <v>—</v>
      </c>
      <c r="F40" s="12" t="str">
        <f>IF(AND(ISNUMBER($T40),$T40&lt;&gt;""),IF(INDEX(Calc!$X$3:$X$122,$T40)="","—",INDEX(Calc!$X$3:$X$122,$T40)),"")</f>
        <v>—</v>
      </c>
      <c r="G40" s="12" t="str">
        <f>IF(AND(ISNUMBER($T40),$T40&lt;&gt;""),IF(INDEX(Calc!$Y$3:$Y$122,$T40)="","—",INDEX(Calc!$Y$3:$Y$122,$T40)),"")</f>
        <v>—</v>
      </c>
      <c r="H40" s="12" t="str">
        <f>IF(AND(ISNUMBER($T40),$T40&lt;&gt;""),IF(INDEX(Calc!$Z$3:$Z$122,$T40)="","—",INDEX(Calc!$Z$3:$Z$122,$T40)),"")</f>
        <v>—</v>
      </c>
      <c r="I40" s="12">
        <f>IF(AND(ISNUMBER($T40),$T40&lt;&gt;""),IF(INDEX(Calc!$AA$3:$AA$122,$T40)="","—",INDEX(Calc!$AA$3:$AA$122,$T40)),"")</f>
        <v>0</v>
      </c>
      <c r="J40" s="12">
        <f>IF(AND(ISNUMBER($T40),$T40&lt;&gt;""),IF(INDEX(Calc!$AB$3:$AB$122,$T40)="","—",INDEX(Calc!$AB$3:$AB$122,$T40)),"")</f>
        <v>0</v>
      </c>
      <c r="K40" s="12">
        <f>IF(AND(ISNUMBER($T40),$T40&lt;&gt;""),IF(INDEX(Calc!$AC$3:$AC$122,$T40)="","—",INDEX(Calc!$AC$3:$AC$122,$T40)),"")</f>
        <v>0</v>
      </c>
      <c r="L40" s="12">
        <f>IF(AND(ISNUMBER($T40),$T40&lt;&gt;""),IF(INDEX(Calc!$AD$3:$AD$122,$T40)="","—",INDEX(Calc!$AD$3:$AD$122,$T40)),"")</f>
        <v>0</v>
      </c>
      <c r="M40" s="12">
        <f>IF(AND(ISNUMBER($T40),$T40&lt;&gt;""),IF(INDEX(Calc!$AE$3:$AE$122,$T40)="","—",INDEX(Calc!$AE$3:$AE$122,$T40)),"")</f>
        <v>0</v>
      </c>
      <c r="N40" s="12" t="str">
        <f>IF(AND(ISNUMBER($T40),$T40&lt;&gt;""),IF(INDEX(Calc!$AF$3:$AF$122,$T40)="","—",INDEX(Calc!$AF$3:$AF$122,$T40)),"")</f>
        <v>—</v>
      </c>
      <c r="O40" s="12" t="str">
        <f>IF(AND(ISNUMBER($T40),$T40&lt;&gt;""),IF(INDEX(Calc!$AG$3:$AG$122,$T40)="","—",INDEX(Calc!$AG$3:$AG$122,$T40)),"")</f>
        <v>—</v>
      </c>
      <c r="P40" s="13">
        <f>IF(AND(ISNUMBER($T40),$T40&lt;&gt;""),IF(INDEX(Calc!$AJ$3:$AJ$122,$T40)="","—",INDEX(Calc!$AJ$3:$AJ$122,$T40)),"")</f>
        <v>0</v>
      </c>
      <c r="Q40" s="13">
        <f>IF(AND(ISNUMBER($T40),$T40&lt;&gt;""),IF(INDEX(Calc!$AK$3:$AK$122,$T40)="","—",INDEX(Calc!$AK$3:$AK$122,$T40)),"")</f>
        <v>0</v>
      </c>
      <c r="R40" s="12">
        <f>IF(AND(ISNUMBER($T40),$T40&lt;&gt;""),IF(INDEX(Calc!$AL$3:$AL$122,$T40)="","—",INDEX(Calc!$AL$3:$AL$122,$T40)),"")</f>
        <v>0</v>
      </c>
      <c r="T40">
        <f>IFERROR(MATCH(36,Calc!$AN$3:$AN$122,0),"")</f>
        <v>10</v>
      </c>
    </row>
    <row r="41" spans="1:20" x14ac:dyDescent="0.2">
      <c r="A41" s="16" t="str">
        <f>IF(AND(ISNUMBER($T41),$T41&lt;&gt;""),INDEX(Calc!$S$3:$S$122,$T41),"")</f>
        <v>Dunhill Menthol</v>
      </c>
      <c r="B41" s="17" t="str">
        <f>IF(AND(ISNUMBER($T41),$T41&lt;&gt;""),IF(INDEX(Calc!$T$3:$T$122,$T41)="","—",INDEX(Calc!$T$3:$T$122,$T41)),"")</f>
        <v>—</v>
      </c>
      <c r="C41" s="17" t="str">
        <f>IF(AND(ISNUMBER($T41),$T41&lt;&gt;""),IF(INDEX(Calc!$U$3:$U$122,$T41)="","—",INDEX(Calc!$U$3:$U$122,$T41)),"")</f>
        <v>—</v>
      </c>
      <c r="D41" s="17" t="str">
        <f>IF(AND(ISNUMBER($T41),$T41&lt;&gt;""),IF(INDEX(Calc!$V$3:$V$122,$T41)="","—",INDEX(Calc!$V$3:$V$122,$T41)),"")</f>
        <v>—</v>
      </c>
      <c r="E41" s="17" t="str">
        <f>IF(AND(ISNUMBER($T41),$T41&lt;&gt;""),IF(INDEX(Calc!$W$3:$W$122,$T41)="","—",INDEX(Calc!$W$3:$W$122,$T41)),"")</f>
        <v>—</v>
      </c>
      <c r="F41" s="17" t="str">
        <f>IF(AND(ISNUMBER($T41),$T41&lt;&gt;""),IF(INDEX(Calc!$X$3:$X$122,$T41)="","—",INDEX(Calc!$X$3:$X$122,$T41)),"")</f>
        <v>—</v>
      </c>
      <c r="G41" s="17" t="str">
        <f>IF(AND(ISNUMBER($T41),$T41&lt;&gt;""),IF(INDEX(Calc!$Y$3:$Y$122,$T41)="","—",INDEX(Calc!$Y$3:$Y$122,$T41)),"")</f>
        <v>—</v>
      </c>
      <c r="H41" s="17" t="str">
        <f>IF(AND(ISNUMBER($T41),$T41&lt;&gt;""),IF(INDEX(Calc!$Z$3:$Z$122,$T41)="","—",INDEX(Calc!$Z$3:$Z$122,$T41)),"")</f>
        <v>—</v>
      </c>
      <c r="I41" s="17">
        <f>IF(AND(ISNUMBER($T41),$T41&lt;&gt;""),IF(INDEX(Calc!$AA$3:$AA$122,$T41)="","—",INDEX(Calc!$AA$3:$AA$122,$T41)),"")</f>
        <v>0</v>
      </c>
      <c r="J41" s="17">
        <f>IF(AND(ISNUMBER($T41),$T41&lt;&gt;""),IF(INDEX(Calc!$AB$3:$AB$122,$T41)="","—",INDEX(Calc!$AB$3:$AB$122,$T41)),"")</f>
        <v>0</v>
      </c>
      <c r="K41" s="17">
        <f>IF(AND(ISNUMBER($T41),$T41&lt;&gt;""),IF(INDEX(Calc!$AC$3:$AC$122,$T41)="","—",INDEX(Calc!$AC$3:$AC$122,$T41)),"")</f>
        <v>0</v>
      </c>
      <c r="L41" s="17">
        <f>IF(AND(ISNUMBER($T41),$T41&lt;&gt;""),IF(INDEX(Calc!$AD$3:$AD$122,$T41)="","—",INDEX(Calc!$AD$3:$AD$122,$T41)),"")</f>
        <v>0</v>
      </c>
      <c r="M41" s="17">
        <f>IF(AND(ISNUMBER($T41),$T41&lt;&gt;""),IF(INDEX(Calc!$AE$3:$AE$122,$T41)="","—",INDEX(Calc!$AE$3:$AE$122,$T41)),"")</f>
        <v>0</v>
      </c>
      <c r="N41" s="17" t="str">
        <f>IF(AND(ISNUMBER($T41),$T41&lt;&gt;""),IF(INDEX(Calc!$AF$3:$AF$122,$T41)="","—",INDEX(Calc!$AF$3:$AF$122,$T41)),"")</f>
        <v>—</v>
      </c>
      <c r="O41" s="17" t="str">
        <f>IF(AND(ISNUMBER($T41),$T41&lt;&gt;""),IF(INDEX(Calc!$AG$3:$AG$122,$T41)="","—",INDEX(Calc!$AG$3:$AG$122,$T41)),"")</f>
        <v>—</v>
      </c>
      <c r="P41" s="18">
        <f>IF(AND(ISNUMBER($T41),$T41&lt;&gt;""),IF(INDEX(Calc!$AJ$3:$AJ$122,$T41)="","—",INDEX(Calc!$AJ$3:$AJ$122,$T41)),"")</f>
        <v>0</v>
      </c>
      <c r="Q41" s="18">
        <f>IF(AND(ISNUMBER($T41),$T41&lt;&gt;""),IF(INDEX(Calc!$AK$3:$AK$122,$T41)="","—",INDEX(Calc!$AK$3:$AK$122,$T41)),"")</f>
        <v>0</v>
      </c>
      <c r="R41" s="17">
        <f>IF(AND(ISNUMBER($T41),$T41&lt;&gt;""),IF(INDEX(Calc!$AL$3:$AL$122,$T41)="","—",INDEX(Calc!$AL$3:$AL$122,$T41)),"")</f>
        <v>0</v>
      </c>
      <c r="T41">
        <f>IFERROR(MATCH(37,Calc!$AN$3:$AN$122,0),"")</f>
        <v>12</v>
      </c>
    </row>
    <row r="42" spans="1:20" x14ac:dyDescent="0.2">
      <c r="A42" s="11" t="str">
        <f>IF(AND(ISNUMBER($T42),$T42&lt;&gt;""),INDEX(Calc!$S$3:$S$122,$T42),"")</f>
        <v>Dunhill Mix</v>
      </c>
      <c r="B42" s="12" t="str">
        <f>IF(AND(ISNUMBER($T42),$T42&lt;&gt;""),IF(INDEX(Calc!$T$3:$T$122,$T42)="","—",INDEX(Calc!$T$3:$T$122,$T42)),"")</f>
        <v>—</v>
      </c>
      <c r="C42" s="12" t="str">
        <f>IF(AND(ISNUMBER($T42),$T42&lt;&gt;""),IF(INDEX(Calc!$U$3:$U$122,$T42)="","—",INDEX(Calc!$U$3:$U$122,$T42)),"")</f>
        <v>—</v>
      </c>
      <c r="D42" s="12" t="str">
        <f>IF(AND(ISNUMBER($T42),$T42&lt;&gt;""),IF(INDEX(Calc!$V$3:$V$122,$T42)="","—",INDEX(Calc!$V$3:$V$122,$T42)),"")</f>
        <v>—</v>
      </c>
      <c r="E42" s="12" t="str">
        <f>IF(AND(ISNUMBER($T42),$T42&lt;&gt;""),IF(INDEX(Calc!$W$3:$W$122,$T42)="","—",INDEX(Calc!$W$3:$W$122,$T42)),"")</f>
        <v>—</v>
      </c>
      <c r="F42" s="12" t="str">
        <f>IF(AND(ISNUMBER($T42),$T42&lt;&gt;""),IF(INDEX(Calc!$X$3:$X$122,$T42)="","—",INDEX(Calc!$X$3:$X$122,$T42)),"")</f>
        <v>—</v>
      </c>
      <c r="G42" s="12" t="str">
        <f>IF(AND(ISNUMBER($T42),$T42&lt;&gt;""),IF(INDEX(Calc!$Y$3:$Y$122,$T42)="","—",INDEX(Calc!$Y$3:$Y$122,$T42)),"")</f>
        <v>—</v>
      </c>
      <c r="H42" s="12" t="str">
        <f>IF(AND(ISNUMBER($T42),$T42&lt;&gt;""),IF(INDEX(Calc!$Z$3:$Z$122,$T42)="","—",INDEX(Calc!$Z$3:$Z$122,$T42)),"")</f>
        <v>—</v>
      </c>
      <c r="I42" s="12">
        <f>IF(AND(ISNUMBER($T42),$T42&lt;&gt;""),IF(INDEX(Calc!$AA$3:$AA$122,$T42)="","—",INDEX(Calc!$AA$3:$AA$122,$T42)),"")</f>
        <v>0</v>
      </c>
      <c r="J42" s="12">
        <f>IF(AND(ISNUMBER($T42),$T42&lt;&gt;""),IF(INDEX(Calc!$AB$3:$AB$122,$T42)="","—",INDEX(Calc!$AB$3:$AB$122,$T42)),"")</f>
        <v>0</v>
      </c>
      <c r="K42" s="12">
        <f>IF(AND(ISNUMBER($T42),$T42&lt;&gt;""),IF(INDEX(Calc!$AC$3:$AC$122,$T42)="","—",INDEX(Calc!$AC$3:$AC$122,$T42)),"")</f>
        <v>0</v>
      </c>
      <c r="L42" s="12">
        <f>IF(AND(ISNUMBER($T42),$T42&lt;&gt;""),IF(INDEX(Calc!$AD$3:$AD$122,$T42)="","—",INDEX(Calc!$AD$3:$AD$122,$T42)),"")</f>
        <v>0</v>
      </c>
      <c r="M42" s="12">
        <f>IF(AND(ISNUMBER($T42),$T42&lt;&gt;""),IF(INDEX(Calc!$AE$3:$AE$122,$T42)="","—",INDEX(Calc!$AE$3:$AE$122,$T42)),"")</f>
        <v>0</v>
      </c>
      <c r="N42" s="12" t="str">
        <f>IF(AND(ISNUMBER($T42),$T42&lt;&gt;""),IF(INDEX(Calc!$AF$3:$AF$122,$T42)="","—",INDEX(Calc!$AF$3:$AF$122,$T42)),"")</f>
        <v>—</v>
      </c>
      <c r="O42" s="12" t="str">
        <f>IF(AND(ISNUMBER($T42),$T42&lt;&gt;""),IF(INDEX(Calc!$AG$3:$AG$122,$T42)="","—",INDEX(Calc!$AG$3:$AG$122,$T42)),"")</f>
        <v>—</v>
      </c>
      <c r="P42" s="13">
        <f>IF(AND(ISNUMBER($T42),$T42&lt;&gt;""),IF(INDEX(Calc!$AJ$3:$AJ$122,$T42)="","—",INDEX(Calc!$AJ$3:$AJ$122,$T42)),"")</f>
        <v>0</v>
      </c>
      <c r="Q42" s="13">
        <f>IF(AND(ISNUMBER($T42),$T42&lt;&gt;""),IF(INDEX(Calc!$AK$3:$AK$122,$T42)="","—",INDEX(Calc!$AK$3:$AK$122,$T42)),"")</f>
        <v>0</v>
      </c>
      <c r="R42" s="12">
        <f>IF(AND(ISNUMBER($T42),$T42&lt;&gt;""),IF(INDEX(Calc!$AL$3:$AL$122,$T42)="","—",INDEX(Calc!$AL$3:$AL$122,$T42)),"")</f>
        <v>0</v>
      </c>
      <c r="T42">
        <f>IFERROR(MATCH(38,Calc!$AN$3:$AN$122,0),"")</f>
        <v>13</v>
      </c>
    </row>
    <row r="43" spans="1:20" x14ac:dyDescent="0.2">
      <c r="A43" s="16" t="str">
        <f>IF(AND(ISNUMBER($T43),$T43&lt;&gt;""),INDEX(Calc!$S$3:$S$122,$T43),"")</f>
        <v>Dunhill Switch</v>
      </c>
      <c r="B43" s="17" t="str">
        <f>IF(AND(ISNUMBER($T43),$T43&lt;&gt;""),IF(INDEX(Calc!$T$3:$T$122,$T43)="","—",INDEX(Calc!$T$3:$T$122,$T43)),"")</f>
        <v>—</v>
      </c>
      <c r="C43" s="17" t="str">
        <f>IF(AND(ISNUMBER($T43),$T43&lt;&gt;""),IF(INDEX(Calc!$U$3:$U$122,$T43)="","—",INDEX(Calc!$U$3:$U$122,$T43)),"")</f>
        <v>—</v>
      </c>
      <c r="D43" s="17" t="str">
        <f>IF(AND(ISNUMBER($T43),$T43&lt;&gt;""),IF(INDEX(Calc!$V$3:$V$122,$T43)="","—",INDEX(Calc!$V$3:$V$122,$T43)),"")</f>
        <v>—</v>
      </c>
      <c r="E43" s="17" t="str">
        <f>IF(AND(ISNUMBER($T43),$T43&lt;&gt;""),IF(INDEX(Calc!$W$3:$W$122,$T43)="","—",INDEX(Calc!$W$3:$W$122,$T43)),"")</f>
        <v>—</v>
      </c>
      <c r="F43" s="17" t="str">
        <f>IF(AND(ISNUMBER($T43),$T43&lt;&gt;""),IF(INDEX(Calc!$X$3:$X$122,$T43)="","—",INDEX(Calc!$X$3:$X$122,$T43)),"")</f>
        <v>—</v>
      </c>
      <c r="G43" s="17" t="str">
        <f>IF(AND(ISNUMBER($T43),$T43&lt;&gt;""),IF(INDEX(Calc!$Y$3:$Y$122,$T43)="","—",INDEX(Calc!$Y$3:$Y$122,$T43)),"")</f>
        <v>—</v>
      </c>
      <c r="H43" s="17" t="str">
        <f>IF(AND(ISNUMBER($T43),$T43&lt;&gt;""),IF(INDEX(Calc!$Z$3:$Z$122,$T43)="","—",INDEX(Calc!$Z$3:$Z$122,$T43)),"")</f>
        <v>—</v>
      </c>
      <c r="I43" s="17">
        <f>IF(AND(ISNUMBER($T43),$T43&lt;&gt;""),IF(INDEX(Calc!$AA$3:$AA$122,$T43)="","—",INDEX(Calc!$AA$3:$AA$122,$T43)),"")</f>
        <v>0</v>
      </c>
      <c r="J43" s="17">
        <f>IF(AND(ISNUMBER($T43),$T43&lt;&gt;""),IF(INDEX(Calc!$AB$3:$AB$122,$T43)="","—",INDEX(Calc!$AB$3:$AB$122,$T43)),"")</f>
        <v>0</v>
      </c>
      <c r="K43" s="17">
        <f>IF(AND(ISNUMBER($T43),$T43&lt;&gt;""),IF(INDEX(Calc!$AC$3:$AC$122,$T43)="","—",INDEX(Calc!$AC$3:$AC$122,$T43)),"")</f>
        <v>0</v>
      </c>
      <c r="L43" s="17">
        <f>IF(AND(ISNUMBER($T43),$T43&lt;&gt;""),IF(INDEX(Calc!$AD$3:$AD$122,$T43)="","—",INDEX(Calc!$AD$3:$AD$122,$T43)),"")</f>
        <v>0</v>
      </c>
      <c r="M43" s="17">
        <f>IF(AND(ISNUMBER($T43),$T43&lt;&gt;""),IF(INDEX(Calc!$AE$3:$AE$122,$T43)="","—",INDEX(Calc!$AE$3:$AE$122,$T43)),"")</f>
        <v>0</v>
      </c>
      <c r="N43" s="17" t="str">
        <f>IF(AND(ISNUMBER($T43),$T43&lt;&gt;""),IF(INDEX(Calc!$AF$3:$AF$122,$T43)="","—",INDEX(Calc!$AF$3:$AF$122,$T43)),"")</f>
        <v>—</v>
      </c>
      <c r="O43" s="17" t="str">
        <f>IF(AND(ISNUMBER($T43),$T43&lt;&gt;""),IF(INDEX(Calc!$AG$3:$AG$122,$T43)="","—",INDEX(Calc!$AG$3:$AG$122,$T43)),"")</f>
        <v>—</v>
      </c>
      <c r="P43" s="18">
        <f>IF(AND(ISNUMBER($T43),$T43&lt;&gt;""),IF(INDEX(Calc!$AJ$3:$AJ$122,$T43)="","—",INDEX(Calc!$AJ$3:$AJ$122,$T43)),"")</f>
        <v>0</v>
      </c>
      <c r="Q43" s="18">
        <f>IF(AND(ISNUMBER($T43),$T43&lt;&gt;""),IF(INDEX(Calc!$AK$3:$AK$122,$T43)="","—",INDEX(Calc!$AK$3:$AK$122,$T43)),"")</f>
        <v>0</v>
      </c>
      <c r="R43" s="17">
        <f>IF(AND(ISNUMBER($T43),$T43&lt;&gt;""),IF(INDEX(Calc!$AL$3:$AL$122,$T43)="","—",INDEX(Calc!$AL$3:$AL$122,$T43)),"")</f>
        <v>0</v>
      </c>
      <c r="T43">
        <f>IFERROR(MATCH(39,Calc!$AN$3:$AN$122,0),"")</f>
        <v>15</v>
      </c>
    </row>
    <row r="44" spans="1:20" x14ac:dyDescent="0.2">
      <c r="A44" s="11" t="str">
        <f>IF(AND(ISNUMBER($T44),$T44&lt;&gt;""),INDEX(Calc!$S$3:$S$122,$T44),"")</f>
        <v>Dunhill Zest</v>
      </c>
      <c r="B44" s="12" t="str">
        <f>IF(AND(ISNUMBER($T44),$T44&lt;&gt;""),IF(INDEX(Calc!$T$3:$T$122,$T44)="","—",INDEX(Calc!$T$3:$T$122,$T44)),"")</f>
        <v>—</v>
      </c>
      <c r="C44" s="12" t="str">
        <f>IF(AND(ISNUMBER($T44),$T44&lt;&gt;""),IF(INDEX(Calc!$U$3:$U$122,$T44)="","—",INDEX(Calc!$U$3:$U$122,$T44)),"")</f>
        <v>—</v>
      </c>
      <c r="D44" s="12" t="str">
        <f>IF(AND(ISNUMBER($T44),$T44&lt;&gt;""),IF(INDEX(Calc!$V$3:$V$122,$T44)="","—",INDEX(Calc!$V$3:$V$122,$T44)),"")</f>
        <v>—</v>
      </c>
      <c r="E44" s="12" t="str">
        <f>IF(AND(ISNUMBER($T44),$T44&lt;&gt;""),IF(INDEX(Calc!$W$3:$W$122,$T44)="","—",INDEX(Calc!$W$3:$W$122,$T44)),"")</f>
        <v>—</v>
      </c>
      <c r="F44" s="12" t="str">
        <f>IF(AND(ISNUMBER($T44),$T44&lt;&gt;""),IF(INDEX(Calc!$X$3:$X$122,$T44)="","—",INDEX(Calc!$X$3:$X$122,$T44)),"")</f>
        <v>—</v>
      </c>
      <c r="G44" s="12" t="str">
        <f>IF(AND(ISNUMBER($T44),$T44&lt;&gt;""),IF(INDEX(Calc!$Y$3:$Y$122,$T44)="","—",INDEX(Calc!$Y$3:$Y$122,$T44)),"")</f>
        <v>—</v>
      </c>
      <c r="H44" s="12" t="str">
        <f>IF(AND(ISNUMBER($T44),$T44&lt;&gt;""),IF(INDEX(Calc!$Z$3:$Z$122,$T44)="","—",INDEX(Calc!$Z$3:$Z$122,$T44)),"")</f>
        <v>—</v>
      </c>
      <c r="I44" s="12">
        <f>IF(AND(ISNUMBER($T44),$T44&lt;&gt;""),IF(INDEX(Calc!$AA$3:$AA$122,$T44)="","—",INDEX(Calc!$AA$3:$AA$122,$T44)),"")</f>
        <v>0</v>
      </c>
      <c r="J44" s="12">
        <f>IF(AND(ISNUMBER($T44),$T44&lt;&gt;""),IF(INDEX(Calc!$AB$3:$AB$122,$T44)="","—",INDEX(Calc!$AB$3:$AB$122,$T44)),"")</f>
        <v>0</v>
      </c>
      <c r="K44" s="12">
        <f>IF(AND(ISNUMBER($T44),$T44&lt;&gt;""),IF(INDEX(Calc!$AC$3:$AC$122,$T44)="","—",INDEX(Calc!$AC$3:$AC$122,$T44)),"")</f>
        <v>0</v>
      </c>
      <c r="L44" s="12">
        <f>IF(AND(ISNUMBER($T44),$T44&lt;&gt;""),IF(INDEX(Calc!$AD$3:$AD$122,$T44)="","—",INDEX(Calc!$AD$3:$AD$122,$T44)),"")</f>
        <v>0</v>
      </c>
      <c r="M44" s="12">
        <f>IF(AND(ISNUMBER($T44),$T44&lt;&gt;""),IF(INDEX(Calc!$AE$3:$AE$122,$T44)="","—",INDEX(Calc!$AE$3:$AE$122,$T44)),"")</f>
        <v>0</v>
      </c>
      <c r="N44" s="12" t="str">
        <f>IF(AND(ISNUMBER($T44),$T44&lt;&gt;""),IF(INDEX(Calc!$AF$3:$AF$122,$T44)="","—",INDEX(Calc!$AF$3:$AF$122,$T44)),"")</f>
        <v>—</v>
      </c>
      <c r="O44" s="12" t="str">
        <f>IF(AND(ISNUMBER($T44),$T44&lt;&gt;""),IF(INDEX(Calc!$AG$3:$AG$122,$T44)="","—",INDEX(Calc!$AG$3:$AG$122,$T44)),"")</f>
        <v>—</v>
      </c>
      <c r="P44" s="13">
        <f>IF(AND(ISNUMBER($T44),$T44&lt;&gt;""),IF(INDEX(Calc!$AJ$3:$AJ$122,$T44)="","—",INDEX(Calc!$AJ$3:$AJ$122,$T44)),"")</f>
        <v>0</v>
      </c>
      <c r="Q44" s="13">
        <f>IF(AND(ISNUMBER($T44),$T44&lt;&gt;""),IF(INDEX(Calc!$AK$3:$AK$122,$T44)="","—",INDEX(Calc!$AK$3:$AK$122,$T44)),"")</f>
        <v>0</v>
      </c>
      <c r="R44" s="12">
        <f>IF(AND(ISNUMBER($T44),$T44&lt;&gt;""),IF(INDEX(Calc!$AL$3:$AL$122,$T44)="","—",INDEX(Calc!$AL$3:$AL$122,$T44)),"")</f>
        <v>0</v>
      </c>
      <c r="T44">
        <f>IFERROR(MATCH(40,Calc!$AN$3:$AN$122,0),"")</f>
        <v>16</v>
      </c>
    </row>
    <row r="45" spans="1:20" x14ac:dyDescent="0.2">
      <c r="A45" s="16" t="str">
        <f>IF(AND(ISNUMBER($T45),$T45&lt;&gt;""),INDEX(Calc!$S$3:$S$122,$T45),"")</f>
        <v>Kyo Original</v>
      </c>
      <c r="B45" s="17" t="str">
        <f>IF(AND(ISNUMBER($T45),$T45&lt;&gt;""),IF(INDEX(Calc!$T$3:$T$122,$T45)="","—",INDEX(Calc!$T$3:$T$122,$T45)),"")</f>
        <v>—</v>
      </c>
      <c r="C45" s="17" t="str">
        <f>IF(AND(ISNUMBER($T45),$T45&lt;&gt;""),IF(INDEX(Calc!$U$3:$U$122,$T45)="","—",INDEX(Calc!$U$3:$U$122,$T45)),"")</f>
        <v>—</v>
      </c>
      <c r="D45" s="17" t="str">
        <f>IF(AND(ISNUMBER($T45),$T45&lt;&gt;""),IF(INDEX(Calc!$V$3:$V$122,$T45)="","—",INDEX(Calc!$V$3:$V$122,$T45)),"")</f>
        <v>—</v>
      </c>
      <c r="E45" s="17" t="str">
        <f>IF(AND(ISNUMBER($T45),$T45&lt;&gt;""),IF(INDEX(Calc!$W$3:$W$122,$T45)="","—",INDEX(Calc!$W$3:$W$122,$T45)),"")</f>
        <v>—</v>
      </c>
      <c r="F45" s="17" t="str">
        <f>IF(AND(ISNUMBER($T45),$T45&lt;&gt;""),IF(INDEX(Calc!$X$3:$X$122,$T45)="","—",INDEX(Calc!$X$3:$X$122,$T45)),"")</f>
        <v>—</v>
      </c>
      <c r="G45" s="17" t="str">
        <f>IF(AND(ISNUMBER($T45),$T45&lt;&gt;""),IF(INDEX(Calc!$Y$3:$Y$122,$T45)="","—",INDEX(Calc!$Y$3:$Y$122,$T45)),"")</f>
        <v>—</v>
      </c>
      <c r="H45" s="17" t="str">
        <f>IF(AND(ISNUMBER($T45),$T45&lt;&gt;""),IF(INDEX(Calc!$Z$3:$Z$122,$T45)="","—",INDEX(Calc!$Z$3:$Z$122,$T45)),"")</f>
        <v>—</v>
      </c>
      <c r="I45" s="17">
        <f>IF(AND(ISNUMBER($T45),$T45&lt;&gt;""),IF(INDEX(Calc!$AA$3:$AA$122,$T45)="","—",INDEX(Calc!$AA$3:$AA$122,$T45)),"")</f>
        <v>0</v>
      </c>
      <c r="J45" s="17">
        <f>IF(AND(ISNUMBER($T45),$T45&lt;&gt;""),IF(INDEX(Calc!$AB$3:$AB$122,$T45)="","—",INDEX(Calc!$AB$3:$AB$122,$T45)),"")</f>
        <v>0</v>
      </c>
      <c r="K45" s="17">
        <f>IF(AND(ISNUMBER($T45),$T45&lt;&gt;""),IF(INDEX(Calc!$AC$3:$AC$122,$T45)="","—",INDEX(Calc!$AC$3:$AC$122,$T45)),"")</f>
        <v>0</v>
      </c>
      <c r="L45" s="17">
        <f>IF(AND(ISNUMBER($T45),$T45&lt;&gt;""),IF(INDEX(Calc!$AD$3:$AD$122,$T45)="","—",INDEX(Calc!$AD$3:$AD$122,$T45)),"")</f>
        <v>0</v>
      </c>
      <c r="M45" s="17">
        <f>IF(AND(ISNUMBER($T45),$T45&lt;&gt;""),IF(INDEX(Calc!$AE$3:$AE$122,$T45)="","—",INDEX(Calc!$AE$3:$AE$122,$T45)),"")</f>
        <v>0</v>
      </c>
      <c r="N45" s="17" t="str">
        <f>IF(AND(ISNUMBER($T45),$T45&lt;&gt;""),IF(INDEX(Calc!$AF$3:$AF$122,$T45)="","—",INDEX(Calc!$AF$3:$AF$122,$T45)),"")</f>
        <v>—</v>
      </c>
      <c r="O45" s="17" t="str">
        <f>IF(AND(ISNUMBER($T45),$T45&lt;&gt;""),IF(INDEX(Calc!$AG$3:$AG$122,$T45)="","—",INDEX(Calc!$AG$3:$AG$122,$T45)),"")</f>
        <v>—</v>
      </c>
      <c r="P45" s="18">
        <f>IF(AND(ISNUMBER($T45),$T45&lt;&gt;""),IF(INDEX(Calc!$AJ$3:$AJ$122,$T45)="","—",INDEX(Calc!$AJ$3:$AJ$122,$T45)),"")</f>
        <v>0</v>
      </c>
      <c r="Q45" s="18">
        <f>IF(AND(ISNUMBER($T45),$T45&lt;&gt;""),IF(INDEX(Calc!$AK$3:$AK$122,$T45)="","—",INDEX(Calc!$AK$3:$AK$122,$T45)),"")</f>
        <v>0</v>
      </c>
      <c r="R45" s="17">
        <f>IF(AND(ISNUMBER($T45),$T45&lt;&gt;""),IF(INDEX(Calc!$AL$3:$AL$122,$T45)="","—",INDEX(Calc!$AL$3:$AL$122,$T45)),"")</f>
        <v>0</v>
      </c>
      <c r="T45">
        <f>IFERROR(MATCH(41,Calc!$AN$3:$AN$122,0),"")</f>
        <v>21</v>
      </c>
    </row>
    <row r="46" spans="1:20" x14ac:dyDescent="0.2">
      <c r="A46" s="11" t="str">
        <f>IF(AND(ISNUMBER($T46),$T46&lt;&gt;""),INDEX(Calc!$S$3:$S$122,$T46),"")</f>
        <v>Kyo Silver</v>
      </c>
      <c r="B46" s="12" t="str">
        <f>IF(AND(ISNUMBER($T46),$T46&lt;&gt;""),IF(INDEX(Calc!$T$3:$T$122,$T46)="","—",INDEX(Calc!$T$3:$T$122,$T46)),"")</f>
        <v>—</v>
      </c>
      <c r="C46" s="12" t="str">
        <f>IF(AND(ISNUMBER($T46),$T46&lt;&gt;""),IF(INDEX(Calc!$U$3:$U$122,$T46)="","—",INDEX(Calc!$U$3:$U$122,$T46)),"")</f>
        <v>—</v>
      </c>
      <c r="D46" s="12" t="str">
        <f>IF(AND(ISNUMBER($T46),$T46&lt;&gt;""),IF(INDEX(Calc!$V$3:$V$122,$T46)="","—",INDEX(Calc!$V$3:$V$122,$T46)),"")</f>
        <v>—</v>
      </c>
      <c r="E46" s="12" t="str">
        <f>IF(AND(ISNUMBER($T46),$T46&lt;&gt;""),IF(INDEX(Calc!$W$3:$W$122,$T46)="","—",INDEX(Calc!$W$3:$W$122,$T46)),"")</f>
        <v>—</v>
      </c>
      <c r="F46" s="12" t="str">
        <f>IF(AND(ISNUMBER($T46),$T46&lt;&gt;""),IF(INDEX(Calc!$X$3:$X$122,$T46)="","—",INDEX(Calc!$X$3:$X$122,$T46)),"")</f>
        <v>—</v>
      </c>
      <c r="G46" s="12" t="str">
        <f>IF(AND(ISNUMBER($T46),$T46&lt;&gt;""),IF(INDEX(Calc!$Y$3:$Y$122,$T46)="","—",INDEX(Calc!$Y$3:$Y$122,$T46)),"")</f>
        <v>—</v>
      </c>
      <c r="H46" s="12" t="str">
        <f>IF(AND(ISNUMBER($T46),$T46&lt;&gt;""),IF(INDEX(Calc!$Z$3:$Z$122,$T46)="","—",INDEX(Calc!$Z$3:$Z$122,$T46)),"")</f>
        <v>—</v>
      </c>
      <c r="I46" s="12">
        <f>IF(AND(ISNUMBER($T46),$T46&lt;&gt;""),IF(INDEX(Calc!$AA$3:$AA$122,$T46)="","—",INDEX(Calc!$AA$3:$AA$122,$T46)),"")</f>
        <v>0</v>
      </c>
      <c r="J46" s="12">
        <f>IF(AND(ISNUMBER($T46),$T46&lt;&gt;""),IF(INDEX(Calc!$AB$3:$AB$122,$T46)="","—",INDEX(Calc!$AB$3:$AB$122,$T46)),"")</f>
        <v>0</v>
      </c>
      <c r="K46" s="12">
        <f>IF(AND(ISNUMBER($T46),$T46&lt;&gt;""),IF(INDEX(Calc!$AC$3:$AC$122,$T46)="","—",INDEX(Calc!$AC$3:$AC$122,$T46)),"")</f>
        <v>0</v>
      </c>
      <c r="L46" s="12">
        <f>IF(AND(ISNUMBER($T46),$T46&lt;&gt;""),IF(INDEX(Calc!$AD$3:$AD$122,$T46)="","—",INDEX(Calc!$AD$3:$AD$122,$T46)),"")</f>
        <v>0</v>
      </c>
      <c r="M46" s="12">
        <f>IF(AND(ISNUMBER($T46),$T46&lt;&gt;""),IF(INDEX(Calc!$AE$3:$AE$122,$T46)="","—",INDEX(Calc!$AE$3:$AE$122,$T46)),"")</f>
        <v>0</v>
      </c>
      <c r="N46" s="12" t="str">
        <f>IF(AND(ISNUMBER($T46),$T46&lt;&gt;""),IF(INDEX(Calc!$AF$3:$AF$122,$T46)="","—",INDEX(Calc!$AF$3:$AF$122,$T46)),"")</f>
        <v>—</v>
      </c>
      <c r="O46" s="12" t="str">
        <f>IF(AND(ISNUMBER($T46),$T46&lt;&gt;""),IF(INDEX(Calc!$AG$3:$AG$122,$T46)="","—",INDEX(Calc!$AG$3:$AG$122,$T46)),"")</f>
        <v>—</v>
      </c>
      <c r="P46" s="13">
        <f>IF(AND(ISNUMBER($T46),$T46&lt;&gt;""),IF(INDEX(Calc!$AJ$3:$AJ$122,$T46)="","—",INDEX(Calc!$AJ$3:$AJ$122,$T46)),"")</f>
        <v>0</v>
      </c>
      <c r="Q46" s="13">
        <f>IF(AND(ISNUMBER($T46),$T46&lt;&gt;""),IF(INDEX(Calc!$AK$3:$AK$122,$T46)="","—",INDEX(Calc!$AK$3:$AK$122,$T46)),"")</f>
        <v>0</v>
      </c>
      <c r="R46" s="12">
        <f>IF(AND(ISNUMBER($T46),$T46&lt;&gt;""),IF(INDEX(Calc!$AL$3:$AL$122,$T46)="","—",INDEX(Calc!$AL$3:$AL$122,$T46)),"")</f>
        <v>0</v>
      </c>
      <c r="T46">
        <f>IFERROR(MATCH(42,Calc!$AN$3:$AN$122,0),"")</f>
        <v>22</v>
      </c>
    </row>
    <row r="47" spans="1:20" x14ac:dyDescent="0.2">
      <c r="A47" s="16" t="str">
        <f>IF(AND(ISNUMBER($T47),$T47&lt;&gt;""),INDEX(Calc!$S$3:$S$122,$T47),"")</f>
        <v>Marlboro Menthol</v>
      </c>
      <c r="B47" s="17" t="str">
        <f>IF(AND(ISNUMBER($T47),$T47&lt;&gt;""),IF(INDEX(Calc!$T$3:$T$122,$T47)="","—",INDEX(Calc!$T$3:$T$122,$T47)),"")</f>
        <v>—</v>
      </c>
      <c r="C47" s="17" t="str">
        <f>IF(AND(ISNUMBER($T47),$T47&lt;&gt;""),IF(INDEX(Calc!$U$3:$U$122,$T47)="","—",INDEX(Calc!$U$3:$U$122,$T47)),"")</f>
        <v>—</v>
      </c>
      <c r="D47" s="17" t="str">
        <f>IF(AND(ISNUMBER($T47),$T47&lt;&gt;""),IF(INDEX(Calc!$V$3:$V$122,$T47)="","—",INDEX(Calc!$V$3:$V$122,$T47)),"")</f>
        <v>—</v>
      </c>
      <c r="E47" s="17" t="str">
        <f>IF(AND(ISNUMBER($T47),$T47&lt;&gt;""),IF(INDEX(Calc!$W$3:$W$122,$T47)="","—",INDEX(Calc!$W$3:$W$122,$T47)),"")</f>
        <v>—</v>
      </c>
      <c r="F47" s="17" t="str">
        <f>IF(AND(ISNUMBER($T47),$T47&lt;&gt;""),IF(INDEX(Calc!$X$3:$X$122,$T47)="","—",INDEX(Calc!$X$3:$X$122,$T47)),"")</f>
        <v>—</v>
      </c>
      <c r="G47" s="17" t="str">
        <f>IF(AND(ISNUMBER($T47),$T47&lt;&gt;""),IF(INDEX(Calc!$Y$3:$Y$122,$T47)="","—",INDEX(Calc!$Y$3:$Y$122,$T47)),"")</f>
        <v>—</v>
      </c>
      <c r="H47" s="17" t="str">
        <f>IF(AND(ISNUMBER($T47),$T47&lt;&gt;""),IF(INDEX(Calc!$Z$3:$Z$122,$T47)="","—",INDEX(Calc!$Z$3:$Z$122,$T47)),"")</f>
        <v>—</v>
      </c>
      <c r="I47" s="17">
        <f>IF(AND(ISNUMBER($T47),$T47&lt;&gt;""),IF(INDEX(Calc!$AA$3:$AA$122,$T47)="","—",INDEX(Calc!$AA$3:$AA$122,$T47)),"")</f>
        <v>0</v>
      </c>
      <c r="J47" s="17">
        <f>IF(AND(ISNUMBER($T47),$T47&lt;&gt;""),IF(INDEX(Calc!$AB$3:$AB$122,$T47)="","—",INDEX(Calc!$AB$3:$AB$122,$T47)),"")</f>
        <v>0</v>
      </c>
      <c r="K47" s="17">
        <f>IF(AND(ISNUMBER($T47),$T47&lt;&gt;""),IF(INDEX(Calc!$AC$3:$AC$122,$T47)="","—",INDEX(Calc!$AC$3:$AC$122,$T47)),"")</f>
        <v>0</v>
      </c>
      <c r="L47" s="17">
        <f>IF(AND(ISNUMBER($T47),$T47&lt;&gt;""),IF(INDEX(Calc!$AD$3:$AD$122,$T47)="","—",INDEX(Calc!$AD$3:$AD$122,$T47)),"")</f>
        <v>0</v>
      </c>
      <c r="M47" s="17">
        <f>IF(AND(ISNUMBER($T47),$T47&lt;&gt;""),IF(INDEX(Calc!$AE$3:$AE$122,$T47)="","—",INDEX(Calc!$AE$3:$AE$122,$T47)),"")</f>
        <v>0</v>
      </c>
      <c r="N47" s="17" t="str">
        <f>IF(AND(ISNUMBER($T47),$T47&lt;&gt;""),IF(INDEX(Calc!$AF$3:$AF$122,$T47)="","—",INDEX(Calc!$AF$3:$AF$122,$T47)),"")</f>
        <v>—</v>
      </c>
      <c r="O47" s="17" t="str">
        <f>IF(AND(ISNUMBER($T47),$T47&lt;&gt;""),IF(INDEX(Calc!$AG$3:$AG$122,$T47)="","—",INDEX(Calc!$AG$3:$AG$122,$T47)),"")</f>
        <v>—</v>
      </c>
      <c r="P47" s="18">
        <f>IF(AND(ISNUMBER($T47),$T47&lt;&gt;""),IF(INDEX(Calc!$AJ$3:$AJ$122,$T47)="","—",INDEX(Calc!$AJ$3:$AJ$122,$T47)),"")</f>
        <v>0</v>
      </c>
      <c r="Q47" s="18">
        <f>IF(AND(ISNUMBER($T47),$T47&lt;&gt;""),IF(INDEX(Calc!$AK$3:$AK$122,$T47)="","—",INDEX(Calc!$AK$3:$AK$122,$T47)),"")</f>
        <v>0</v>
      </c>
      <c r="R47" s="17">
        <f>IF(AND(ISNUMBER($T47),$T47&lt;&gt;""),IF(INDEX(Calc!$AL$3:$AL$122,$T47)="","—",INDEX(Calc!$AL$3:$AL$122,$T47)),"")</f>
        <v>0</v>
      </c>
      <c r="T47">
        <f>IFERROR(MATCH(43,Calc!$AN$3:$AN$122,0),"")</f>
        <v>33</v>
      </c>
    </row>
    <row r="48" spans="1:20" x14ac:dyDescent="0.2">
      <c r="A48" s="11" t="str">
        <f>IF(AND(ISNUMBER($T48),$T48&lt;&gt;""),INDEX(Calc!$S$3:$S$122,$T48),"")</f>
        <v>Mevius Duo</v>
      </c>
      <c r="B48" s="12" t="str">
        <f>IF(AND(ISNUMBER($T48),$T48&lt;&gt;""),IF(INDEX(Calc!$T$3:$T$122,$T48)="","—",INDEX(Calc!$T$3:$T$122,$T48)),"")</f>
        <v>—</v>
      </c>
      <c r="C48" s="12" t="str">
        <f>IF(AND(ISNUMBER($T48),$T48&lt;&gt;""),IF(INDEX(Calc!$U$3:$U$122,$T48)="","—",INDEX(Calc!$U$3:$U$122,$T48)),"")</f>
        <v>—</v>
      </c>
      <c r="D48" s="12" t="str">
        <f>IF(AND(ISNUMBER($T48),$T48&lt;&gt;""),IF(INDEX(Calc!$V$3:$V$122,$T48)="","—",INDEX(Calc!$V$3:$V$122,$T48)),"")</f>
        <v>—</v>
      </c>
      <c r="E48" s="12" t="str">
        <f>IF(AND(ISNUMBER($T48),$T48&lt;&gt;""),IF(INDEX(Calc!$W$3:$W$122,$T48)="","—",INDEX(Calc!$W$3:$W$122,$T48)),"")</f>
        <v>—</v>
      </c>
      <c r="F48" s="12" t="str">
        <f>IF(AND(ISNUMBER($T48),$T48&lt;&gt;""),IF(INDEX(Calc!$X$3:$X$122,$T48)="","—",INDEX(Calc!$X$3:$X$122,$T48)),"")</f>
        <v>—</v>
      </c>
      <c r="G48" s="12" t="str">
        <f>IF(AND(ISNUMBER($T48),$T48&lt;&gt;""),IF(INDEX(Calc!$Y$3:$Y$122,$T48)="","—",INDEX(Calc!$Y$3:$Y$122,$T48)),"")</f>
        <v>—</v>
      </c>
      <c r="H48" s="12" t="str">
        <f>IF(AND(ISNUMBER($T48),$T48&lt;&gt;""),IF(INDEX(Calc!$Z$3:$Z$122,$T48)="","—",INDEX(Calc!$Z$3:$Z$122,$T48)),"")</f>
        <v>—</v>
      </c>
      <c r="I48" s="12">
        <f>IF(AND(ISNUMBER($T48),$T48&lt;&gt;""),IF(INDEX(Calc!$AA$3:$AA$122,$T48)="","—",INDEX(Calc!$AA$3:$AA$122,$T48)),"")</f>
        <v>0</v>
      </c>
      <c r="J48" s="12">
        <f>IF(AND(ISNUMBER($T48),$T48&lt;&gt;""),IF(INDEX(Calc!$AB$3:$AB$122,$T48)="","—",INDEX(Calc!$AB$3:$AB$122,$T48)),"")</f>
        <v>0</v>
      </c>
      <c r="K48" s="12">
        <f>IF(AND(ISNUMBER($T48),$T48&lt;&gt;""),IF(INDEX(Calc!$AC$3:$AC$122,$T48)="","—",INDEX(Calc!$AC$3:$AC$122,$T48)),"")</f>
        <v>0</v>
      </c>
      <c r="L48" s="12">
        <f>IF(AND(ISNUMBER($T48),$T48&lt;&gt;""),IF(INDEX(Calc!$AD$3:$AD$122,$T48)="","—",INDEX(Calc!$AD$3:$AD$122,$T48)),"")</f>
        <v>0</v>
      </c>
      <c r="M48" s="12">
        <f>IF(AND(ISNUMBER($T48),$T48&lt;&gt;""),IF(INDEX(Calc!$AE$3:$AE$122,$T48)="","—",INDEX(Calc!$AE$3:$AE$122,$T48)),"")</f>
        <v>0</v>
      </c>
      <c r="N48" s="12" t="str">
        <f>IF(AND(ISNUMBER($T48),$T48&lt;&gt;""),IF(INDEX(Calc!$AF$3:$AF$122,$T48)="","—",INDEX(Calc!$AF$3:$AF$122,$T48)),"")</f>
        <v>—</v>
      </c>
      <c r="O48" s="12" t="str">
        <f>IF(AND(ISNUMBER($T48),$T48&lt;&gt;""),IF(INDEX(Calc!$AG$3:$AG$122,$T48)="","—",INDEX(Calc!$AG$3:$AG$122,$T48)),"")</f>
        <v>—</v>
      </c>
      <c r="P48" s="13">
        <f>IF(AND(ISNUMBER($T48),$T48&lt;&gt;""),IF(INDEX(Calc!$AJ$3:$AJ$122,$T48)="","—",INDEX(Calc!$AJ$3:$AJ$122,$T48)),"")</f>
        <v>0</v>
      </c>
      <c r="Q48" s="13">
        <f>IF(AND(ISNUMBER($T48),$T48&lt;&gt;""),IF(INDEX(Calc!$AK$3:$AK$122,$T48)="","—",INDEX(Calc!$AK$3:$AK$122,$T48)),"")</f>
        <v>0</v>
      </c>
      <c r="R48" s="12">
        <f>IF(AND(ISNUMBER($T48),$T48&lt;&gt;""),IF(INDEX(Calc!$AL$3:$AL$122,$T48)="","—",INDEX(Calc!$AL$3:$AL$122,$T48)),"")</f>
        <v>0</v>
      </c>
      <c r="T48">
        <f>IFERROR(MATCH(44,Calc!$AN$3:$AN$122,0),"")</f>
        <v>38</v>
      </c>
    </row>
    <row r="49" spans="1:20" x14ac:dyDescent="0.2">
      <c r="A49" s="16" t="str">
        <f>IF(AND(ISNUMBER($T49),$T49&lt;&gt;""),INDEX(Calc!$S$3:$S$122,$T49),"")</f>
        <v>Mevius Kiwami</v>
      </c>
      <c r="B49" s="17" t="str">
        <f>IF(AND(ISNUMBER($T49),$T49&lt;&gt;""),IF(INDEX(Calc!$T$3:$T$122,$T49)="","—",INDEX(Calc!$T$3:$T$122,$T49)),"")</f>
        <v>—</v>
      </c>
      <c r="C49" s="17" t="str">
        <f>IF(AND(ISNUMBER($T49),$T49&lt;&gt;""),IF(INDEX(Calc!$U$3:$U$122,$T49)="","—",INDEX(Calc!$U$3:$U$122,$T49)),"")</f>
        <v>—</v>
      </c>
      <c r="D49" s="17" t="str">
        <f>IF(AND(ISNUMBER($T49),$T49&lt;&gt;""),IF(INDEX(Calc!$V$3:$V$122,$T49)="","—",INDEX(Calc!$V$3:$V$122,$T49)),"")</f>
        <v>—</v>
      </c>
      <c r="E49" s="17" t="str">
        <f>IF(AND(ISNUMBER($T49),$T49&lt;&gt;""),IF(INDEX(Calc!$W$3:$W$122,$T49)="","—",INDEX(Calc!$W$3:$W$122,$T49)),"")</f>
        <v>—</v>
      </c>
      <c r="F49" s="17" t="str">
        <f>IF(AND(ISNUMBER($T49),$T49&lt;&gt;""),IF(INDEX(Calc!$X$3:$X$122,$T49)="","—",INDEX(Calc!$X$3:$X$122,$T49)),"")</f>
        <v>—</v>
      </c>
      <c r="G49" s="17" t="str">
        <f>IF(AND(ISNUMBER($T49),$T49&lt;&gt;""),IF(INDEX(Calc!$Y$3:$Y$122,$T49)="","—",INDEX(Calc!$Y$3:$Y$122,$T49)),"")</f>
        <v>—</v>
      </c>
      <c r="H49" s="17" t="str">
        <f>IF(AND(ISNUMBER($T49),$T49&lt;&gt;""),IF(INDEX(Calc!$Z$3:$Z$122,$T49)="","—",INDEX(Calc!$Z$3:$Z$122,$T49)),"")</f>
        <v>—</v>
      </c>
      <c r="I49" s="17">
        <f>IF(AND(ISNUMBER($T49),$T49&lt;&gt;""),IF(INDEX(Calc!$AA$3:$AA$122,$T49)="","—",INDEX(Calc!$AA$3:$AA$122,$T49)),"")</f>
        <v>0</v>
      </c>
      <c r="J49" s="17">
        <f>IF(AND(ISNUMBER($T49),$T49&lt;&gt;""),IF(INDEX(Calc!$AB$3:$AB$122,$T49)="","—",INDEX(Calc!$AB$3:$AB$122,$T49)),"")</f>
        <v>0</v>
      </c>
      <c r="K49" s="17">
        <f>IF(AND(ISNUMBER($T49),$T49&lt;&gt;""),IF(INDEX(Calc!$AC$3:$AC$122,$T49)="","—",INDEX(Calc!$AC$3:$AC$122,$T49)),"")</f>
        <v>0</v>
      </c>
      <c r="L49" s="17">
        <f>IF(AND(ISNUMBER($T49),$T49&lt;&gt;""),IF(INDEX(Calc!$AD$3:$AD$122,$T49)="","—",INDEX(Calc!$AD$3:$AD$122,$T49)),"")</f>
        <v>0</v>
      </c>
      <c r="M49" s="17">
        <f>IF(AND(ISNUMBER($T49),$T49&lt;&gt;""),IF(INDEX(Calc!$AE$3:$AE$122,$T49)="","—",INDEX(Calc!$AE$3:$AE$122,$T49)),"")</f>
        <v>0</v>
      </c>
      <c r="N49" s="17" t="str">
        <f>IF(AND(ISNUMBER($T49),$T49&lt;&gt;""),IF(INDEX(Calc!$AF$3:$AF$122,$T49)="","—",INDEX(Calc!$AF$3:$AF$122,$T49)),"")</f>
        <v>—</v>
      </c>
      <c r="O49" s="17" t="str">
        <f>IF(AND(ISNUMBER($T49),$T49&lt;&gt;""),IF(INDEX(Calc!$AG$3:$AG$122,$T49)="","—",INDEX(Calc!$AG$3:$AG$122,$T49)),"")</f>
        <v>—</v>
      </c>
      <c r="P49" s="18">
        <f>IF(AND(ISNUMBER($T49),$T49&lt;&gt;""),IF(INDEX(Calc!$AJ$3:$AJ$122,$T49)="","—",INDEX(Calc!$AJ$3:$AJ$122,$T49)),"")</f>
        <v>0</v>
      </c>
      <c r="Q49" s="18">
        <f>IF(AND(ISNUMBER($T49),$T49&lt;&gt;""),IF(INDEX(Calc!$AK$3:$AK$122,$T49)="","—",INDEX(Calc!$AK$3:$AK$122,$T49)),"")</f>
        <v>0</v>
      </c>
      <c r="R49" s="17">
        <f>IF(AND(ISNUMBER($T49),$T49&lt;&gt;""),IF(INDEX(Calc!$AL$3:$AL$122,$T49)="","—",INDEX(Calc!$AL$3:$AL$122,$T49)),"")</f>
        <v>0</v>
      </c>
      <c r="T49">
        <f>IFERROR(MATCH(45,Calc!$AN$3:$AN$122,0),"")</f>
        <v>39</v>
      </c>
    </row>
    <row r="50" spans="1:20" x14ac:dyDescent="0.2">
      <c r="A50" s="11" t="str">
        <f>IF(AND(ISNUMBER($T50),$T50&lt;&gt;""),INDEX(Calc!$S$3:$S$122,$T50),"")</f>
        <v>Mevius Menthol White</v>
      </c>
      <c r="B50" s="12" t="str">
        <f>IF(AND(ISNUMBER($T50),$T50&lt;&gt;""),IF(INDEX(Calc!$T$3:$T$122,$T50)="","—",INDEX(Calc!$T$3:$T$122,$T50)),"")</f>
        <v>—</v>
      </c>
      <c r="C50" s="12" t="str">
        <f>IF(AND(ISNUMBER($T50),$T50&lt;&gt;""),IF(INDEX(Calc!$U$3:$U$122,$T50)="","—",INDEX(Calc!$U$3:$U$122,$T50)),"")</f>
        <v>—</v>
      </c>
      <c r="D50" s="12" t="str">
        <f>IF(AND(ISNUMBER($T50),$T50&lt;&gt;""),IF(INDEX(Calc!$V$3:$V$122,$T50)="","—",INDEX(Calc!$V$3:$V$122,$T50)),"")</f>
        <v>—</v>
      </c>
      <c r="E50" s="12" t="str">
        <f>IF(AND(ISNUMBER($T50),$T50&lt;&gt;""),IF(INDEX(Calc!$W$3:$W$122,$T50)="","—",INDEX(Calc!$W$3:$W$122,$T50)),"")</f>
        <v>—</v>
      </c>
      <c r="F50" s="12" t="str">
        <f>IF(AND(ISNUMBER($T50),$T50&lt;&gt;""),IF(INDEX(Calc!$X$3:$X$122,$T50)="","—",INDEX(Calc!$X$3:$X$122,$T50)),"")</f>
        <v>—</v>
      </c>
      <c r="G50" s="12" t="str">
        <f>IF(AND(ISNUMBER($T50),$T50&lt;&gt;""),IF(INDEX(Calc!$Y$3:$Y$122,$T50)="","—",INDEX(Calc!$Y$3:$Y$122,$T50)),"")</f>
        <v>—</v>
      </c>
      <c r="H50" s="12" t="str">
        <f>IF(AND(ISNUMBER($T50),$T50&lt;&gt;""),IF(INDEX(Calc!$Z$3:$Z$122,$T50)="","—",INDEX(Calc!$Z$3:$Z$122,$T50)),"")</f>
        <v>—</v>
      </c>
      <c r="I50" s="12">
        <f>IF(AND(ISNUMBER($T50),$T50&lt;&gt;""),IF(INDEX(Calc!$AA$3:$AA$122,$T50)="","—",INDEX(Calc!$AA$3:$AA$122,$T50)),"")</f>
        <v>0</v>
      </c>
      <c r="J50" s="12">
        <f>IF(AND(ISNUMBER($T50),$T50&lt;&gt;""),IF(INDEX(Calc!$AB$3:$AB$122,$T50)="","—",INDEX(Calc!$AB$3:$AB$122,$T50)),"")</f>
        <v>0</v>
      </c>
      <c r="K50" s="12">
        <f>IF(AND(ISNUMBER($T50),$T50&lt;&gt;""),IF(INDEX(Calc!$AC$3:$AC$122,$T50)="","—",INDEX(Calc!$AC$3:$AC$122,$T50)),"")</f>
        <v>0</v>
      </c>
      <c r="L50" s="12">
        <f>IF(AND(ISNUMBER($T50),$T50&lt;&gt;""),IF(INDEX(Calc!$AD$3:$AD$122,$T50)="","—",INDEX(Calc!$AD$3:$AD$122,$T50)),"")</f>
        <v>0</v>
      </c>
      <c r="M50" s="12">
        <f>IF(AND(ISNUMBER($T50),$T50&lt;&gt;""),IF(INDEX(Calc!$AE$3:$AE$122,$T50)="","—",INDEX(Calc!$AE$3:$AE$122,$T50)),"")</f>
        <v>0</v>
      </c>
      <c r="N50" s="12" t="str">
        <f>IF(AND(ISNUMBER($T50),$T50&lt;&gt;""),IF(INDEX(Calc!$AF$3:$AF$122,$T50)="","—",INDEX(Calc!$AF$3:$AF$122,$T50)),"")</f>
        <v>—</v>
      </c>
      <c r="O50" s="12" t="str">
        <f>IF(AND(ISNUMBER($T50),$T50&lt;&gt;""),IF(INDEX(Calc!$AG$3:$AG$122,$T50)="","—",INDEX(Calc!$AG$3:$AG$122,$T50)),"")</f>
        <v>—</v>
      </c>
      <c r="P50" s="13">
        <f>IF(AND(ISNUMBER($T50),$T50&lt;&gt;""),IF(INDEX(Calc!$AJ$3:$AJ$122,$T50)="","—",INDEX(Calc!$AJ$3:$AJ$122,$T50)),"")</f>
        <v>0</v>
      </c>
      <c r="Q50" s="13">
        <f>IF(AND(ISNUMBER($T50),$T50&lt;&gt;""),IF(INDEX(Calc!$AK$3:$AK$122,$T50)="","—",INDEX(Calc!$AK$3:$AK$122,$T50)),"")</f>
        <v>0</v>
      </c>
      <c r="R50" s="12">
        <f>IF(AND(ISNUMBER($T50),$T50&lt;&gt;""),IF(INDEX(Calc!$AL$3:$AL$122,$T50)="","—",INDEX(Calc!$AL$3:$AL$122,$T50)),"")</f>
        <v>0</v>
      </c>
      <c r="T50">
        <f>IFERROR(MATCH(46,Calc!$AN$3:$AN$122,0),"")</f>
        <v>41</v>
      </c>
    </row>
    <row r="51" spans="1:20" x14ac:dyDescent="0.2">
      <c r="A51" s="16" t="str">
        <f>IF(AND(ISNUMBER($T51),$T51&lt;&gt;""),INDEX(Calc!$S$3:$S$122,$T51),"")</f>
        <v>Mevius Yellow</v>
      </c>
      <c r="B51" s="17" t="str">
        <f>IF(AND(ISNUMBER($T51),$T51&lt;&gt;""),IF(INDEX(Calc!$T$3:$T$122,$T51)="","—",INDEX(Calc!$T$3:$T$122,$T51)),"")</f>
        <v>—</v>
      </c>
      <c r="C51" s="17" t="str">
        <f>IF(AND(ISNUMBER($T51),$T51&lt;&gt;""),IF(INDEX(Calc!$U$3:$U$122,$T51)="","—",INDEX(Calc!$U$3:$U$122,$T51)),"")</f>
        <v>—</v>
      </c>
      <c r="D51" s="17" t="str">
        <f>IF(AND(ISNUMBER($T51),$T51&lt;&gt;""),IF(INDEX(Calc!$V$3:$V$122,$T51)="","—",INDEX(Calc!$V$3:$V$122,$T51)),"")</f>
        <v>—</v>
      </c>
      <c r="E51" s="17" t="str">
        <f>IF(AND(ISNUMBER($T51),$T51&lt;&gt;""),IF(INDEX(Calc!$W$3:$W$122,$T51)="","—",INDEX(Calc!$W$3:$W$122,$T51)),"")</f>
        <v>—</v>
      </c>
      <c r="F51" s="17" t="str">
        <f>IF(AND(ISNUMBER($T51),$T51&lt;&gt;""),IF(INDEX(Calc!$X$3:$X$122,$T51)="","—",INDEX(Calc!$X$3:$X$122,$T51)),"")</f>
        <v>—</v>
      </c>
      <c r="G51" s="17" t="str">
        <f>IF(AND(ISNUMBER($T51),$T51&lt;&gt;""),IF(INDEX(Calc!$Y$3:$Y$122,$T51)="","—",INDEX(Calc!$Y$3:$Y$122,$T51)),"")</f>
        <v>—</v>
      </c>
      <c r="H51" s="17" t="str">
        <f>IF(AND(ISNUMBER($T51),$T51&lt;&gt;""),IF(INDEX(Calc!$Z$3:$Z$122,$T51)="","—",INDEX(Calc!$Z$3:$Z$122,$T51)),"")</f>
        <v>—</v>
      </c>
      <c r="I51" s="17">
        <f>IF(AND(ISNUMBER($T51),$T51&lt;&gt;""),IF(INDEX(Calc!$AA$3:$AA$122,$T51)="","—",INDEX(Calc!$AA$3:$AA$122,$T51)),"")</f>
        <v>0</v>
      </c>
      <c r="J51" s="17">
        <f>IF(AND(ISNUMBER($T51),$T51&lt;&gt;""),IF(INDEX(Calc!$AB$3:$AB$122,$T51)="","—",INDEX(Calc!$AB$3:$AB$122,$T51)),"")</f>
        <v>0</v>
      </c>
      <c r="K51" s="17">
        <f>IF(AND(ISNUMBER($T51),$T51&lt;&gt;""),IF(INDEX(Calc!$AC$3:$AC$122,$T51)="","—",INDEX(Calc!$AC$3:$AC$122,$T51)),"")</f>
        <v>0</v>
      </c>
      <c r="L51" s="17">
        <f>IF(AND(ISNUMBER($T51),$T51&lt;&gt;""),IF(INDEX(Calc!$AD$3:$AD$122,$T51)="","—",INDEX(Calc!$AD$3:$AD$122,$T51)),"")</f>
        <v>0</v>
      </c>
      <c r="M51" s="17">
        <f>IF(AND(ISNUMBER($T51),$T51&lt;&gt;""),IF(INDEX(Calc!$AE$3:$AE$122,$T51)="","—",INDEX(Calc!$AE$3:$AE$122,$T51)),"")</f>
        <v>0</v>
      </c>
      <c r="N51" s="17" t="str">
        <f>IF(AND(ISNUMBER($T51),$T51&lt;&gt;""),IF(INDEX(Calc!$AF$3:$AF$122,$T51)="","—",INDEX(Calc!$AF$3:$AF$122,$T51)),"")</f>
        <v>—</v>
      </c>
      <c r="O51" s="17" t="str">
        <f>IF(AND(ISNUMBER($T51),$T51&lt;&gt;""),IF(INDEX(Calc!$AG$3:$AG$122,$T51)="","—",INDEX(Calc!$AG$3:$AG$122,$T51)),"")</f>
        <v>—</v>
      </c>
      <c r="P51" s="18">
        <f>IF(AND(ISNUMBER($T51),$T51&lt;&gt;""),IF(INDEX(Calc!$AJ$3:$AJ$122,$T51)="","—",INDEX(Calc!$AJ$3:$AJ$122,$T51)),"")</f>
        <v>0</v>
      </c>
      <c r="Q51" s="18">
        <f>IF(AND(ISNUMBER($T51),$T51&lt;&gt;""),IF(INDEX(Calc!$AK$3:$AK$122,$T51)="","—",INDEX(Calc!$AK$3:$AK$122,$T51)),"")</f>
        <v>0</v>
      </c>
      <c r="R51" s="17">
        <f>IF(AND(ISNUMBER($T51),$T51&lt;&gt;""),IF(INDEX(Calc!$AL$3:$AL$122,$T51)="","—",INDEX(Calc!$AL$3:$AL$122,$T51)),"")</f>
        <v>0</v>
      </c>
      <c r="T51">
        <f>IFERROR(MATCH(47,Calc!$AN$3:$AN$122,0),"")</f>
        <v>44</v>
      </c>
    </row>
    <row r="52" spans="1:20" x14ac:dyDescent="0.2">
      <c r="A52" s="11" t="str">
        <f>IF(AND(ISNUMBER($T52),$T52&lt;&gt;""),INDEX(Calc!$S$3:$S$122,$T52),"")</f>
        <v>Peter Stuyvesant Blue</v>
      </c>
      <c r="B52" s="12" t="str">
        <f>IF(AND(ISNUMBER($T52),$T52&lt;&gt;""),IF(INDEX(Calc!$T$3:$T$122,$T52)="","—",INDEX(Calc!$T$3:$T$122,$T52)),"")</f>
        <v>—</v>
      </c>
      <c r="C52" s="12" t="str">
        <f>IF(AND(ISNUMBER($T52),$T52&lt;&gt;""),IF(INDEX(Calc!$U$3:$U$122,$T52)="","—",INDEX(Calc!$U$3:$U$122,$T52)),"")</f>
        <v>—</v>
      </c>
      <c r="D52" s="12" t="str">
        <f>IF(AND(ISNUMBER($T52),$T52&lt;&gt;""),IF(INDEX(Calc!$V$3:$V$122,$T52)="","—",INDEX(Calc!$V$3:$V$122,$T52)),"")</f>
        <v>—</v>
      </c>
      <c r="E52" s="12" t="str">
        <f>IF(AND(ISNUMBER($T52),$T52&lt;&gt;""),IF(INDEX(Calc!$W$3:$W$122,$T52)="","—",INDEX(Calc!$W$3:$W$122,$T52)),"")</f>
        <v>—</v>
      </c>
      <c r="F52" s="12" t="str">
        <f>IF(AND(ISNUMBER($T52),$T52&lt;&gt;""),IF(INDEX(Calc!$X$3:$X$122,$T52)="","—",INDEX(Calc!$X$3:$X$122,$T52)),"")</f>
        <v>—</v>
      </c>
      <c r="G52" s="12" t="str">
        <f>IF(AND(ISNUMBER($T52),$T52&lt;&gt;""),IF(INDEX(Calc!$Y$3:$Y$122,$T52)="","—",INDEX(Calc!$Y$3:$Y$122,$T52)),"")</f>
        <v>—</v>
      </c>
      <c r="H52" s="12" t="str">
        <f>IF(AND(ISNUMBER($T52),$T52&lt;&gt;""),IF(INDEX(Calc!$Z$3:$Z$122,$T52)="","—",INDEX(Calc!$Z$3:$Z$122,$T52)),"")</f>
        <v>—</v>
      </c>
      <c r="I52" s="12">
        <f>IF(AND(ISNUMBER($T52),$T52&lt;&gt;""),IF(INDEX(Calc!$AA$3:$AA$122,$T52)="","—",INDEX(Calc!$AA$3:$AA$122,$T52)),"")</f>
        <v>0</v>
      </c>
      <c r="J52" s="12">
        <f>IF(AND(ISNUMBER($T52),$T52&lt;&gt;""),IF(INDEX(Calc!$AB$3:$AB$122,$T52)="","—",INDEX(Calc!$AB$3:$AB$122,$T52)),"")</f>
        <v>0</v>
      </c>
      <c r="K52" s="12">
        <f>IF(AND(ISNUMBER($T52),$T52&lt;&gt;""),IF(INDEX(Calc!$AC$3:$AC$122,$T52)="","—",INDEX(Calc!$AC$3:$AC$122,$T52)),"")</f>
        <v>0</v>
      </c>
      <c r="L52" s="12">
        <f>IF(AND(ISNUMBER($T52),$T52&lt;&gt;""),IF(INDEX(Calc!$AD$3:$AD$122,$T52)="","—",INDEX(Calc!$AD$3:$AD$122,$T52)),"")</f>
        <v>0</v>
      </c>
      <c r="M52" s="12">
        <f>IF(AND(ISNUMBER($T52),$T52&lt;&gt;""),IF(INDEX(Calc!$AE$3:$AE$122,$T52)="","—",INDEX(Calc!$AE$3:$AE$122,$T52)),"")</f>
        <v>0</v>
      </c>
      <c r="N52" s="12" t="str">
        <f>IF(AND(ISNUMBER($T52),$T52&lt;&gt;""),IF(INDEX(Calc!$AF$3:$AF$122,$T52)="","—",INDEX(Calc!$AF$3:$AF$122,$T52)),"")</f>
        <v>—</v>
      </c>
      <c r="O52" s="12" t="str">
        <f>IF(AND(ISNUMBER($T52),$T52&lt;&gt;""),IF(INDEX(Calc!$AG$3:$AG$122,$T52)="","—",INDEX(Calc!$AG$3:$AG$122,$T52)),"")</f>
        <v>—</v>
      </c>
      <c r="P52" s="13">
        <f>IF(AND(ISNUMBER($T52),$T52&lt;&gt;""),IF(INDEX(Calc!$AJ$3:$AJ$122,$T52)="","—",INDEX(Calc!$AJ$3:$AJ$122,$T52)),"")</f>
        <v>0</v>
      </c>
      <c r="Q52" s="13">
        <f>IF(AND(ISNUMBER($T52),$T52&lt;&gt;""),IF(INDEX(Calc!$AK$3:$AK$122,$T52)="","—",INDEX(Calc!$AK$3:$AK$122,$T52)),"")</f>
        <v>0</v>
      </c>
      <c r="R52" s="12">
        <f>IF(AND(ISNUMBER($T52),$T52&lt;&gt;""),IF(INDEX(Calc!$AL$3:$AL$122,$T52)="","—",INDEX(Calc!$AL$3:$AL$122,$T52)),"")</f>
        <v>0</v>
      </c>
      <c r="T52">
        <f>IFERROR(MATCH(48,Calc!$AN$3:$AN$122,0),"")</f>
        <v>45</v>
      </c>
    </row>
    <row r="53" spans="1:20" x14ac:dyDescent="0.2">
      <c r="A53" s="16" t="str">
        <f>IF(AND(ISNUMBER($T53),$T53&lt;&gt;""),INDEX(Calc!$S$3:$S$122,$T53),"")</f>
        <v>Peter Stuyvesant Red</v>
      </c>
      <c r="B53" s="17" t="str">
        <f>IF(AND(ISNUMBER($T53),$T53&lt;&gt;""),IF(INDEX(Calc!$T$3:$T$122,$T53)="","—",INDEX(Calc!$T$3:$T$122,$T53)),"")</f>
        <v>—</v>
      </c>
      <c r="C53" s="17" t="str">
        <f>IF(AND(ISNUMBER($T53),$T53&lt;&gt;""),IF(INDEX(Calc!$U$3:$U$122,$T53)="","—",INDEX(Calc!$U$3:$U$122,$T53)),"")</f>
        <v>—</v>
      </c>
      <c r="D53" s="17" t="str">
        <f>IF(AND(ISNUMBER($T53),$T53&lt;&gt;""),IF(INDEX(Calc!$V$3:$V$122,$T53)="","—",INDEX(Calc!$V$3:$V$122,$T53)),"")</f>
        <v>—</v>
      </c>
      <c r="E53" s="17" t="str">
        <f>IF(AND(ISNUMBER($T53),$T53&lt;&gt;""),IF(INDEX(Calc!$W$3:$W$122,$T53)="","—",INDEX(Calc!$W$3:$W$122,$T53)),"")</f>
        <v>—</v>
      </c>
      <c r="F53" s="17" t="str">
        <f>IF(AND(ISNUMBER($T53),$T53&lt;&gt;""),IF(INDEX(Calc!$X$3:$X$122,$T53)="","—",INDEX(Calc!$X$3:$X$122,$T53)),"")</f>
        <v>—</v>
      </c>
      <c r="G53" s="17" t="str">
        <f>IF(AND(ISNUMBER($T53),$T53&lt;&gt;""),IF(INDEX(Calc!$Y$3:$Y$122,$T53)="","—",INDEX(Calc!$Y$3:$Y$122,$T53)),"")</f>
        <v>—</v>
      </c>
      <c r="H53" s="17" t="str">
        <f>IF(AND(ISNUMBER($T53),$T53&lt;&gt;""),IF(INDEX(Calc!$Z$3:$Z$122,$T53)="","—",INDEX(Calc!$Z$3:$Z$122,$T53)),"")</f>
        <v>—</v>
      </c>
      <c r="I53" s="17">
        <f>IF(AND(ISNUMBER($T53),$T53&lt;&gt;""),IF(INDEX(Calc!$AA$3:$AA$122,$T53)="","—",INDEX(Calc!$AA$3:$AA$122,$T53)),"")</f>
        <v>0</v>
      </c>
      <c r="J53" s="17">
        <f>IF(AND(ISNUMBER($T53),$T53&lt;&gt;""),IF(INDEX(Calc!$AB$3:$AB$122,$T53)="","—",INDEX(Calc!$AB$3:$AB$122,$T53)),"")</f>
        <v>0</v>
      </c>
      <c r="K53" s="17">
        <f>IF(AND(ISNUMBER($T53),$T53&lt;&gt;""),IF(INDEX(Calc!$AC$3:$AC$122,$T53)="","—",INDEX(Calc!$AC$3:$AC$122,$T53)),"")</f>
        <v>0</v>
      </c>
      <c r="L53" s="17">
        <f>IF(AND(ISNUMBER($T53),$T53&lt;&gt;""),IF(INDEX(Calc!$AD$3:$AD$122,$T53)="","—",INDEX(Calc!$AD$3:$AD$122,$T53)),"")</f>
        <v>0</v>
      </c>
      <c r="M53" s="17">
        <f>IF(AND(ISNUMBER($T53),$T53&lt;&gt;""),IF(INDEX(Calc!$AE$3:$AE$122,$T53)="","—",INDEX(Calc!$AE$3:$AE$122,$T53)),"")</f>
        <v>0</v>
      </c>
      <c r="N53" s="17" t="str">
        <f>IF(AND(ISNUMBER($T53),$T53&lt;&gt;""),IF(INDEX(Calc!$AF$3:$AF$122,$T53)="","—",INDEX(Calc!$AF$3:$AF$122,$T53)),"")</f>
        <v>—</v>
      </c>
      <c r="O53" s="17" t="str">
        <f>IF(AND(ISNUMBER($T53),$T53&lt;&gt;""),IF(INDEX(Calc!$AG$3:$AG$122,$T53)="","—",INDEX(Calc!$AG$3:$AG$122,$T53)),"")</f>
        <v>—</v>
      </c>
      <c r="P53" s="18">
        <f>IF(AND(ISNUMBER($T53),$T53&lt;&gt;""),IF(INDEX(Calc!$AJ$3:$AJ$122,$T53)="","—",INDEX(Calc!$AJ$3:$AJ$122,$T53)),"")</f>
        <v>0</v>
      </c>
      <c r="Q53" s="18">
        <f>IF(AND(ISNUMBER($T53),$T53&lt;&gt;""),IF(INDEX(Calc!$AK$3:$AK$122,$T53)="","—",INDEX(Calc!$AK$3:$AK$122,$T53)),"")</f>
        <v>0</v>
      </c>
      <c r="R53" s="17">
        <f>IF(AND(ISNUMBER($T53),$T53&lt;&gt;""),IF(INDEX(Calc!$AL$3:$AL$122,$T53)="","—",INDEX(Calc!$AL$3:$AL$122,$T53)),"")</f>
        <v>0</v>
      </c>
      <c r="T53">
        <f>IFERROR(MATCH(49,Calc!$AN$3:$AN$122,0),"")</f>
        <v>46</v>
      </c>
    </row>
    <row r="54" spans="1:20" x14ac:dyDescent="0.2">
      <c r="A54" s="11" t="str">
        <f>IF(AND(ISNUMBER($T54),$T54&lt;&gt;""),INDEX(Calc!$S$3:$S$122,$T54),"")</f>
        <v>Rothmans Menthol</v>
      </c>
      <c r="B54" s="12" t="str">
        <f>IF(AND(ISNUMBER($T54),$T54&lt;&gt;""),IF(INDEX(Calc!$T$3:$T$122,$T54)="","—",INDEX(Calc!$T$3:$T$122,$T54)),"")</f>
        <v>—</v>
      </c>
      <c r="C54" s="12" t="str">
        <f>IF(AND(ISNUMBER($T54),$T54&lt;&gt;""),IF(INDEX(Calc!$U$3:$U$122,$T54)="","—",INDEX(Calc!$U$3:$U$122,$T54)),"")</f>
        <v>—</v>
      </c>
      <c r="D54" s="12" t="str">
        <f>IF(AND(ISNUMBER($T54),$T54&lt;&gt;""),IF(INDEX(Calc!$V$3:$V$122,$T54)="","—",INDEX(Calc!$V$3:$V$122,$T54)),"")</f>
        <v>—</v>
      </c>
      <c r="E54" s="12" t="str">
        <f>IF(AND(ISNUMBER($T54),$T54&lt;&gt;""),IF(INDEX(Calc!$W$3:$W$122,$T54)="","—",INDEX(Calc!$W$3:$W$122,$T54)),"")</f>
        <v>—</v>
      </c>
      <c r="F54" s="12" t="str">
        <f>IF(AND(ISNUMBER($T54),$T54&lt;&gt;""),IF(INDEX(Calc!$X$3:$X$122,$T54)="","—",INDEX(Calc!$X$3:$X$122,$T54)),"")</f>
        <v>—</v>
      </c>
      <c r="G54" s="12" t="str">
        <f>IF(AND(ISNUMBER($T54),$T54&lt;&gt;""),IF(INDEX(Calc!$Y$3:$Y$122,$T54)="","—",INDEX(Calc!$Y$3:$Y$122,$T54)),"")</f>
        <v>—</v>
      </c>
      <c r="H54" s="12" t="str">
        <f>IF(AND(ISNUMBER($T54),$T54&lt;&gt;""),IF(INDEX(Calc!$Z$3:$Z$122,$T54)="","—",INDEX(Calc!$Z$3:$Z$122,$T54)),"")</f>
        <v>—</v>
      </c>
      <c r="I54" s="12">
        <f>IF(AND(ISNUMBER($T54),$T54&lt;&gt;""),IF(INDEX(Calc!$AA$3:$AA$122,$T54)="","—",INDEX(Calc!$AA$3:$AA$122,$T54)),"")</f>
        <v>0</v>
      </c>
      <c r="J54" s="12">
        <f>IF(AND(ISNUMBER($T54),$T54&lt;&gt;""),IF(INDEX(Calc!$AB$3:$AB$122,$T54)="","—",INDEX(Calc!$AB$3:$AB$122,$T54)),"")</f>
        <v>0</v>
      </c>
      <c r="K54" s="12">
        <f>IF(AND(ISNUMBER($T54),$T54&lt;&gt;""),IF(INDEX(Calc!$AC$3:$AC$122,$T54)="","—",INDEX(Calc!$AC$3:$AC$122,$T54)),"")</f>
        <v>0</v>
      </c>
      <c r="L54" s="12">
        <f>IF(AND(ISNUMBER($T54),$T54&lt;&gt;""),IF(INDEX(Calc!$AD$3:$AD$122,$T54)="","—",INDEX(Calc!$AD$3:$AD$122,$T54)),"")</f>
        <v>0</v>
      </c>
      <c r="M54" s="12">
        <f>IF(AND(ISNUMBER($T54),$T54&lt;&gt;""),IF(INDEX(Calc!$AE$3:$AE$122,$T54)="","—",INDEX(Calc!$AE$3:$AE$122,$T54)),"")</f>
        <v>0</v>
      </c>
      <c r="N54" s="12" t="str">
        <f>IF(AND(ISNUMBER($T54),$T54&lt;&gt;""),IF(INDEX(Calc!$AF$3:$AF$122,$T54)="","—",INDEX(Calc!$AF$3:$AF$122,$T54)),"")</f>
        <v>—</v>
      </c>
      <c r="O54" s="12" t="str">
        <f>IF(AND(ISNUMBER($T54),$T54&lt;&gt;""),IF(INDEX(Calc!$AG$3:$AG$122,$T54)="","—",INDEX(Calc!$AG$3:$AG$122,$T54)),"")</f>
        <v>—</v>
      </c>
      <c r="P54" s="13">
        <f>IF(AND(ISNUMBER($T54),$T54&lt;&gt;""),IF(INDEX(Calc!$AJ$3:$AJ$122,$T54)="","—",INDEX(Calc!$AJ$3:$AJ$122,$T54)),"")</f>
        <v>0</v>
      </c>
      <c r="Q54" s="13">
        <f>IF(AND(ISNUMBER($T54),$T54&lt;&gt;""),IF(INDEX(Calc!$AK$3:$AK$122,$T54)="","—",INDEX(Calc!$AK$3:$AK$122,$T54)),"")</f>
        <v>0</v>
      </c>
      <c r="R54" s="12">
        <f>IF(AND(ISNUMBER($T54),$T54&lt;&gt;""),IF(INDEX(Calc!$AL$3:$AL$122,$T54)="","—",INDEX(Calc!$AL$3:$AL$122,$T54)),"")</f>
        <v>0</v>
      </c>
      <c r="T54">
        <f>IFERROR(MATCH(50,Calc!$AN$3:$AN$122,0),"")</f>
        <v>51</v>
      </c>
    </row>
    <row r="55" spans="1:20" x14ac:dyDescent="0.2">
      <c r="A55" s="16" t="str">
        <f>IF(AND(ISNUMBER($T55),$T55&lt;&gt;""),INDEX(Calc!$S$3:$S$122,$T55),"")</f>
        <v>Rothmans Red</v>
      </c>
      <c r="B55" s="17" t="str">
        <f>IF(AND(ISNUMBER($T55),$T55&lt;&gt;""),IF(INDEX(Calc!$T$3:$T$122,$T55)="","—",INDEX(Calc!$T$3:$T$122,$T55)),"")</f>
        <v>—</v>
      </c>
      <c r="C55" s="17" t="str">
        <f>IF(AND(ISNUMBER($T55),$T55&lt;&gt;""),IF(INDEX(Calc!$U$3:$U$122,$T55)="","—",INDEX(Calc!$U$3:$U$122,$T55)),"")</f>
        <v>—</v>
      </c>
      <c r="D55" s="17" t="str">
        <f>IF(AND(ISNUMBER($T55),$T55&lt;&gt;""),IF(INDEX(Calc!$V$3:$V$122,$T55)="","—",INDEX(Calc!$V$3:$V$122,$T55)),"")</f>
        <v>—</v>
      </c>
      <c r="E55" s="17" t="str">
        <f>IF(AND(ISNUMBER($T55),$T55&lt;&gt;""),IF(INDEX(Calc!$W$3:$W$122,$T55)="","—",INDEX(Calc!$W$3:$W$122,$T55)),"")</f>
        <v>—</v>
      </c>
      <c r="F55" s="17" t="str">
        <f>IF(AND(ISNUMBER($T55),$T55&lt;&gt;""),IF(INDEX(Calc!$X$3:$X$122,$T55)="","—",INDEX(Calc!$X$3:$X$122,$T55)),"")</f>
        <v>—</v>
      </c>
      <c r="G55" s="17" t="str">
        <f>IF(AND(ISNUMBER($T55),$T55&lt;&gt;""),IF(INDEX(Calc!$Y$3:$Y$122,$T55)="","—",INDEX(Calc!$Y$3:$Y$122,$T55)),"")</f>
        <v>—</v>
      </c>
      <c r="H55" s="17" t="str">
        <f>IF(AND(ISNUMBER($T55),$T55&lt;&gt;""),IF(INDEX(Calc!$Z$3:$Z$122,$T55)="","—",INDEX(Calc!$Z$3:$Z$122,$T55)),"")</f>
        <v>—</v>
      </c>
      <c r="I55" s="17">
        <f>IF(AND(ISNUMBER($T55),$T55&lt;&gt;""),IF(INDEX(Calc!$AA$3:$AA$122,$T55)="","—",INDEX(Calc!$AA$3:$AA$122,$T55)),"")</f>
        <v>0</v>
      </c>
      <c r="J55" s="17">
        <f>IF(AND(ISNUMBER($T55),$T55&lt;&gt;""),IF(INDEX(Calc!$AB$3:$AB$122,$T55)="","—",INDEX(Calc!$AB$3:$AB$122,$T55)),"")</f>
        <v>0</v>
      </c>
      <c r="K55" s="17">
        <f>IF(AND(ISNUMBER($T55),$T55&lt;&gt;""),IF(INDEX(Calc!$AC$3:$AC$122,$T55)="","—",INDEX(Calc!$AC$3:$AC$122,$T55)),"")</f>
        <v>0</v>
      </c>
      <c r="L55" s="17">
        <f>IF(AND(ISNUMBER($T55),$T55&lt;&gt;""),IF(INDEX(Calc!$AD$3:$AD$122,$T55)="","—",INDEX(Calc!$AD$3:$AD$122,$T55)),"")</f>
        <v>0</v>
      </c>
      <c r="M55" s="17">
        <f>IF(AND(ISNUMBER($T55),$T55&lt;&gt;""),IF(INDEX(Calc!$AE$3:$AE$122,$T55)="","—",INDEX(Calc!$AE$3:$AE$122,$T55)),"")</f>
        <v>0</v>
      </c>
      <c r="N55" s="17" t="str">
        <f>IF(AND(ISNUMBER($T55),$T55&lt;&gt;""),IF(INDEX(Calc!$AF$3:$AF$122,$T55)="","—",INDEX(Calc!$AF$3:$AF$122,$T55)),"")</f>
        <v>—</v>
      </c>
      <c r="O55" s="17" t="str">
        <f>IF(AND(ISNUMBER($T55),$T55&lt;&gt;""),IF(INDEX(Calc!$AG$3:$AG$122,$T55)="","—",INDEX(Calc!$AG$3:$AG$122,$T55)),"")</f>
        <v>—</v>
      </c>
      <c r="P55" s="18">
        <f>IF(AND(ISNUMBER($T55),$T55&lt;&gt;""),IF(INDEX(Calc!$AJ$3:$AJ$122,$T55)="","—",INDEX(Calc!$AJ$3:$AJ$122,$T55)),"")</f>
        <v>0</v>
      </c>
      <c r="Q55" s="18">
        <f>IF(AND(ISNUMBER($T55),$T55&lt;&gt;""),IF(INDEX(Calc!$AK$3:$AK$122,$T55)="","—",INDEX(Calc!$AK$3:$AK$122,$T55)),"")</f>
        <v>0</v>
      </c>
      <c r="R55" s="17">
        <f>IF(AND(ISNUMBER($T55),$T55&lt;&gt;""),IF(INDEX(Calc!$AL$3:$AL$122,$T55)="","—",INDEX(Calc!$AL$3:$AL$122,$T55)),"")</f>
        <v>0</v>
      </c>
      <c r="T55">
        <f>IFERROR(MATCH(51,Calc!$AN$3:$AN$122,0),"")</f>
        <v>53</v>
      </c>
    </row>
    <row r="56" spans="1:20" x14ac:dyDescent="0.2">
      <c r="A56" s="11" t="str">
        <f>IF(AND(ISNUMBER($T56),$T56&lt;&gt;""),INDEX(Calc!$S$3:$S$122,$T56),"")</f>
        <v>Sampoerna Menthol</v>
      </c>
      <c r="B56" s="12" t="str">
        <f>IF(AND(ISNUMBER($T56),$T56&lt;&gt;""),IF(INDEX(Calc!$T$3:$T$122,$T56)="","—",INDEX(Calc!$T$3:$T$122,$T56)),"")</f>
        <v>—</v>
      </c>
      <c r="C56" s="12" t="str">
        <f>IF(AND(ISNUMBER($T56),$T56&lt;&gt;""),IF(INDEX(Calc!$U$3:$U$122,$T56)="","—",INDEX(Calc!$U$3:$U$122,$T56)),"")</f>
        <v>—</v>
      </c>
      <c r="D56" s="12" t="str">
        <f>IF(AND(ISNUMBER($T56),$T56&lt;&gt;""),IF(INDEX(Calc!$V$3:$V$122,$T56)="","—",INDEX(Calc!$V$3:$V$122,$T56)),"")</f>
        <v>—</v>
      </c>
      <c r="E56" s="12" t="str">
        <f>IF(AND(ISNUMBER($T56),$T56&lt;&gt;""),IF(INDEX(Calc!$W$3:$W$122,$T56)="","—",INDEX(Calc!$W$3:$W$122,$T56)),"")</f>
        <v>—</v>
      </c>
      <c r="F56" s="12" t="str">
        <f>IF(AND(ISNUMBER($T56),$T56&lt;&gt;""),IF(INDEX(Calc!$X$3:$X$122,$T56)="","—",INDEX(Calc!$X$3:$X$122,$T56)),"")</f>
        <v>—</v>
      </c>
      <c r="G56" s="12" t="str">
        <f>IF(AND(ISNUMBER($T56),$T56&lt;&gt;""),IF(INDEX(Calc!$Y$3:$Y$122,$T56)="","—",INDEX(Calc!$Y$3:$Y$122,$T56)),"")</f>
        <v>—</v>
      </c>
      <c r="H56" s="12" t="str">
        <f>IF(AND(ISNUMBER($T56),$T56&lt;&gt;""),IF(INDEX(Calc!$Z$3:$Z$122,$T56)="","—",INDEX(Calc!$Z$3:$Z$122,$T56)),"")</f>
        <v>—</v>
      </c>
      <c r="I56" s="12">
        <f>IF(AND(ISNUMBER($T56),$T56&lt;&gt;""),IF(INDEX(Calc!$AA$3:$AA$122,$T56)="","—",INDEX(Calc!$AA$3:$AA$122,$T56)),"")</f>
        <v>0</v>
      </c>
      <c r="J56" s="12">
        <f>IF(AND(ISNUMBER($T56),$T56&lt;&gt;""),IF(INDEX(Calc!$AB$3:$AB$122,$T56)="","—",INDEX(Calc!$AB$3:$AB$122,$T56)),"")</f>
        <v>0</v>
      </c>
      <c r="K56" s="12">
        <f>IF(AND(ISNUMBER($T56),$T56&lt;&gt;""),IF(INDEX(Calc!$AC$3:$AC$122,$T56)="","—",INDEX(Calc!$AC$3:$AC$122,$T56)),"")</f>
        <v>0</v>
      </c>
      <c r="L56" s="12">
        <f>IF(AND(ISNUMBER($T56),$T56&lt;&gt;""),IF(INDEX(Calc!$AD$3:$AD$122,$T56)="","—",INDEX(Calc!$AD$3:$AD$122,$T56)),"")</f>
        <v>0</v>
      </c>
      <c r="M56" s="12">
        <f>IF(AND(ISNUMBER($T56),$T56&lt;&gt;""),IF(INDEX(Calc!$AE$3:$AE$122,$T56)="","—",INDEX(Calc!$AE$3:$AE$122,$T56)),"")</f>
        <v>0</v>
      </c>
      <c r="N56" s="12" t="str">
        <f>IF(AND(ISNUMBER($T56),$T56&lt;&gt;""),IF(INDEX(Calc!$AF$3:$AF$122,$T56)="","—",INDEX(Calc!$AF$3:$AF$122,$T56)),"")</f>
        <v>—</v>
      </c>
      <c r="O56" s="12" t="str">
        <f>IF(AND(ISNUMBER($T56),$T56&lt;&gt;""),IF(INDEX(Calc!$AG$3:$AG$122,$T56)="","—",INDEX(Calc!$AG$3:$AG$122,$T56)),"")</f>
        <v>—</v>
      </c>
      <c r="P56" s="13">
        <f>IF(AND(ISNUMBER($T56),$T56&lt;&gt;""),IF(INDEX(Calc!$AJ$3:$AJ$122,$T56)="","—",INDEX(Calc!$AJ$3:$AJ$122,$T56)),"")</f>
        <v>0</v>
      </c>
      <c r="Q56" s="13">
        <f>IF(AND(ISNUMBER($T56),$T56&lt;&gt;""),IF(INDEX(Calc!$AK$3:$AK$122,$T56)="","—",INDEX(Calc!$AK$3:$AK$122,$T56)),"")</f>
        <v>0</v>
      </c>
      <c r="R56" s="12">
        <f>IF(AND(ISNUMBER($T56),$T56&lt;&gt;""),IF(INDEX(Calc!$AL$3:$AL$122,$T56)="","—",INDEX(Calc!$AL$3:$AL$122,$T56)),"")</f>
        <v>0</v>
      </c>
      <c r="T56">
        <f>IFERROR(MATCH(52,Calc!$AN$3:$AN$122,0),"")</f>
        <v>54</v>
      </c>
    </row>
    <row r="57" spans="1:20" x14ac:dyDescent="0.2">
      <c r="A57" s="16" t="str">
        <f>IF(AND(ISNUMBER($T57),$T57&lt;&gt;""),INDEX(Calc!$S$3:$S$122,$T57),"")</f>
        <v>Sampoerna Red</v>
      </c>
      <c r="B57" s="17" t="str">
        <f>IF(AND(ISNUMBER($T57),$T57&lt;&gt;""),IF(INDEX(Calc!$T$3:$T$122,$T57)="","—",INDEX(Calc!$T$3:$T$122,$T57)),"")</f>
        <v>—</v>
      </c>
      <c r="C57" s="17" t="str">
        <f>IF(AND(ISNUMBER($T57),$T57&lt;&gt;""),IF(INDEX(Calc!$U$3:$U$122,$T57)="","—",INDEX(Calc!$U$3:$U$122,$T57)),"")</f>
        <v>—</v>
      </c>
      <c r="D57" s="17" t="str">
        <f>IF(AND(ISNUMBER($T57),$T57&lt;&gt;""),IF(INDEX(Calc!$V$3:$V$122,$T57)="","—",INDEX(Calc!$V$3:$V$122,$T57)),"")</f>
        <v>—</v>
      </c>
      <c r="E57" s="17" t="str">
        <f>IF(AND(ISNUMBER($T57),$T57&lt;&gt;""),IF(INDEX(Calc!$W$3:$W$122,$T57)="","—",INDEX(Calc!$W$3:$W$122,$T57)),"")</f>
        <v>—</v>
      </c>
      <c r="F57" s="17" t="str">
        <f>IF(AND(ISNUMBER($T57),$T57&lt;&gt;""),IF(INDEX(Calc!$X$3:$X$122,$T57)="","—",INDEX(Calc!$X$3:$X$122,$T57)),"")</f>
        <v>—</v>
      </c>
      <c r="G57" s="17" t="str">
        <f>IF(AND(ISNUMBER($T57),$T57&lt;&gt;""),IF(INDEX(Calc!$Y$3:$Y$122,$T57)="","—",INDEX(Calc!$Y$3:$Y$122,$T57)),"")</f>
        <v>—</v>
      </c>
      <c r="H57" s="17" t="str">
        <f>IF(AND(ISNUMBER($T57),$T57&lt;&gt;""),IF(INDEX(Calc!$Z$3:$Z$122,$T57)="","—",INDEX(Calc!$Z$3:$Z$122,$T57)),"")</f>
        <v>—</v>
      </c>
      <c r="I57" s="17">
        <f>IF(AND(ISNUMBER($T57),$T57&lt;&gt;""),IF(INDEX(Calc!$AA$3:$AA$122,$T57)="","—",INDEX(Calc!$AA$3:$AA$122,$T57)),"")</f>
        <v>0</v>
      </c>
      <c r="J57" s="17">
        <f>IF(AND(ISNUMBER($T57),$T57&lt;&gt;""),IF(INDEX(Calc!$AB$3:$AB$122,$T57)="","—",INDEX(Calc!$AB$3:$AB$122,$T57)),"")</f>
        <v>0</v>
      </c>
      <c r="K57" s="17">
        <f>IF(AND(ISNUMBER($T57),$T57&lt;&gt;""),IF(INDEX(Calc!$AC$3:$AC$122,$T57)="","—",INDEX(Calc!$AC$3:$AC$122,$T57)),"")</f>
        <v>0</v>
      </c>
      <c r="L57" s="17">
        <f>IF(AND(ISNUMBER($T57),$T57&lt;&gt;""),IF(INDEX(Calc!$AD$3:$AD$122,$T57)="","—",INDEX(Calc!$AD$3:$AD$122,$T57)),"")</f>
        <v>0</v>
      </c>
      <c r="M57" s="17">
        <f>IF(AND(ISNUMBER($T57),$T57&lt;&gt;""),IF(INDEX(Calc!$AE$3:$AE$122,$T57)="","—",INDEX(Calc!$AE$3:$AE$122,$T57)),"")</f>
        <v>0</v>
      </c>
      <c r="N57" s="17" t="str">
        <f>IF(AND(ISNUMBER($T57),$T57&lt;&gt;""),IF(INDEX(Calc!$AF$3:$AF$122,$T57)="","—",INDEX(Calc!$AF$3:$AF$122,$T57)),"")</f>
        <v>—</v>
      </c>
      <c r="O57" s="17" t="str">
        <f>IF(AND(ISNUMBER($T57),$T57&lt;&gt;""),IF(INDEX(Calc!$AG$3:$AG$122,$T57)="","—",INDEX(Calc!$AG$3:$AG$122,$T57)),"")</f>
        <v>—</v>
      </c>
      <c r="P57" s="18">
        <f>IF(AND(ISNUMBER($T57),$T57&lt;&gt;""),IF(INDEX(Calc!$AJ$3:$AJ$122,$T57)="","—",INDEX(Calc!$AJ$3:$AJ$122,$T57)),"")</f>
        <v>0</v>
      </c>
      <c r="Q57" s="18">
        <f>IF(AND(ISNUMBER($T57),$T57&lt;&gt;""),IF(INDEX(Calc!$AK$3:$AK$122,$T57)="","—",INDEX(Calc!$AK$3:$AK$122,$T57)),"")</f>
        <v>0</v>
      </c>
      <c r="R57" s="17">
        <f>IF(AND(ISNUMBER($T57),$T57&lt;&gt;""),IF(INDEX(Calc!$AL$3:$AL$122,$T57)="","—",INDEX(Calc!$AL$3:$AL$122,$T57)),"")</f>
        <v>0</v>
      </c>
      <c r="T57">
        <f>IFERROR(MATCH(53,Calc!$AN$3:$AN$122,0),"")</f>
        <v>55</v>
      </c>
    </row>
    <row r="58" spans="1:20" x14ac:dyDescent="0.2">
      <c r="A58" s="11" t="str">
        <f>IF(AND(ISNUMBER($T58),$T58&lt;&gt;""),INDEX(Calc!$S$3:$S$122,$T58),"")</f>
        <v>Winston Duo Berry</v>
      </c>
      <c r="B58" s="12" t="str">
        <f>IF(AND(ISNUMBER($T58),$T58&lt;&gt;""),IF(INDEX(Calc!$T$3:$T$122,$T58)="","—",INDEX(Calc!$T$3:$T$122,$T58)),"")</f>
        <v>—</v>
      </c>
      <c r="C58" s="12" t="str">
        <f>IF(AND(ISNUMBER($T58),$T58&lt;&gt;""),IF(INDEX(Calc!$U$3:$U$122,$T58)="","—",INDEX(Calc!$U$3:$U$122,$T58)),"")</f>
        <v>—</v>
      </c>
      <c r="D58" s="12" t="str">
        <f>IF(AND(ISNUMBER($T58),$T58&lt;&gt;""),IF(INDEX(Calc!$V$3:$V$122,$T58)="","—",INDEX(Calc!$V$3:$V$122,$T58)),"")</f>
        <v>—</v>
      </c>
      <c r="E58" s="12" t="str">
        <f>IF(AND(ISNUMBER($T58),$T58&lt;&gt;""),IF(INDEX(Calc!$W$3:$W$122,$T58)="","—",INDEX(Calc!$W$3:$W$122,$T58)),"")</f>
        <v>—</v>
      </c>
      <c r="F58" s="12" t="str">
        <f>IF(AND(ISNUMBER($T58),$T58&lt;&gt;""),IF(INDEX(Calc!$X$3:$X$122,$T58)="","—",INDEX(Calc!$X$3:$X$122,$T58)),"")</f>
        <v>—</v>
      </c>
      <c r="G58" s="12" t="str">
        <f>IF(AND(ISNUMBER($T58),$T58&lt;&gt;""),IF(INDEX(Calc!$Y$3:$Y$122,$T58)="","—",INDEX(Calc!$Y$3:$Y$122,$T58)),"")</f>
        <v>—</v>
      </c>
      <c r="H58" s="12" t="str">
        <f>IF(AND(ISNUMBER($T58),$T58&lt;&gt;""),IF(INDEX(Calc!$Z$3:$Z$122,$T58)="","—",INDEX(Calc!$Z$3:$Z$122,$T58)),"")</f>
        <v>—</v>
      </c>
      <c r="I58" s="12">
        <f>IF(AND(ISNUMBER($T58),$T58&lt;&gt;""),IF(INDEX(Calc!$AA$3:$AA$122,$T58)="","—",INDEX(Calc!$AA$3:$AA$122,$T58)),"")</f>
        <v>0</v>
      </c>
      <c r="J58" s="12">
        <f>IF(AND(ISNUMBER($T58),$T58&lt;&gt;""),IF(INDEX(Calc!$AB$3:$AB$122,$T58)="","—",INDEX(Calc!$AB$3:$AB$122,$T58)),"")</f>
        <v>0</v>
      </c>
      <c r="K58" s="12">
        <f>IF(AND(ISNUMBER($T58),$T58&lt;&gt;""),IF(INDEX(Calc!$AC$3:$AC$122,$T58)="","—",INDEX(Calc!$AC$3:$AC$122,$T58)),"")</f>
        <v>0</v>
      </c>
      <c r="L58" s="12">
        <f>IF(AND(ISNUMBER($T58),$T58&lt;&gt;""),IF(INDEX(Calc!$AD$3:$AD$122,$T58)="","—",INDEX(Calc!$AD$3:$AD$122,$T58)),"")</f>
        <v>0</v>
      </c>
      <c r="M58" s="12">
        <f>IF(AND(ISNUMBER($T58),$T58&lt;&gt;""),IF(INDEX(Calc!$AE$3:$AE$122,$T58)="","—",INDEX(Calc!$AE$3:$AE$122,$T58)),"")</f>
        <v>0</v>
      </c>
      <c r="N58" s="12" t="str">
        <f>IF(AND(ISNUMBER($T58),$T58&lt;&gt;""),IF(INDEX(Calc!$AF$3:$AF$122,$T58)="","—",INDEX(Calc!$AF$3:$AF$122,$T58)),"")</f>
        <v>—</v>
      </c>
      <c r="O58" s="12" t="str">
        <f>IF(AND(ISNUMBER($T58),$T58&lt;&gt;""),IF(INDEX(Calc!$AG$3:$AG$122,$T58)="","—",INDEX(Calc!$AG$3:$AG$122,$T58)),"")</f>
        <v>—</v>
      </c>
      <c r="P58" s="13">
        <f>IF(AND(ISNUMBER($T58),$T58&lt;&gt;""),IF(INDEX(Calc!$AJ$3:$AJ$122,$T58)="","—",INDEX(Calc!$AJ$3:$AJ$122,$T58)),"")</f>
        <v>0</v>
      </c>
      <c r="Q58" s="13">
        <f>IF(AND(ISNUMBER($T58),$T58&lt;&gt;""),IF(INDEX(Calc!$AK$3:$AK$122,$T58)="","—",INDEX(Calc!$AK$3:$AK$122,$T58)),"")</f>
        <v>0</v>
      </c>
      <c r="R58" s="12">
        <f>IF(AND(ISNUMBER($T58),$T58&lt;&gt;""),IF(INDEX(Calc!$AL$3:$AL$122,$T58)="","—",INDEX(Calc!$AL$3:$AL$122,$T58)),"")</f>
        <v>0</v>
      </c>
      <c r="T58">
        <f>IFERROR(MATCH(54,Calc!$AN$3:$AN$122,0),"")</f>
        <v>74</v>
      </c>
    </row>
    <row r="59" spans="1:20" x14ac:dyDescent="0.2">
      <c r="A59" s="16" t="str">
        <f>IF(AND(ISNUMBER($T59),$T59&lt;&gt;""),INDEX(Calc!$S$3:$S$122,$T59),"")</f>
        <v>FIIT ALPINE</v>
      </c>
      <c r="B59" s="17" t="str">
        <f>IF(AND(ISNUMBER($T59),$T59&lt;&gt;""),IF(INDEX(Calc!$T$3:$T$122,$T59)="","—",INDEX(Calc!$T$3:$T$122,$T59)),"")</f>
        <v>—</v>
      </c>
      <c r="C59" s="17" t="str">
        <f>IF(AND(ISNUMBER($T59),$T59&lt;&gt;""),IF(INDEX(Calc!$U$3:$U$122,$T59)="","—",INDEX(Calc!$U$3:$U$122,$T59)),"")</f>
        <v>—</v>
      </c>
      <c r="D59" s="17" t="str">
        <f>IF(AND(ISNUMBER($T59),$T59&lt;&gt;""),IF(INDEX(Calc!$V$3:$V$122,$T59)="","—",INDEX(Calc!$V$3:$V$122,$T59)),"")</f>
        <v>—</v>
      </c>
      <c r="E59" s="17" t="str">
        <f>IF(AND(ISNUMBER($T59),$T59&lt;&gt;""),IF(INDEX(Calc!$W$3:$W$122,$T59)="","—",INDEX(Calc!$W$3:$W$122,$T59)),"")</f>
        <v>—</v>
      </c>
      <c r="F59" s="17" t="str">
        <f>IF(AND(ISNUMBER($T59),$T59&lt;&gt;""),IF(INDEX(Calc!$X$3:$X$122,$T59)="","—",INDEX(Calc!$X$3:$X$122,$T59)),"")</f>
        <v>—</v>
      </c>
      <c r="G59" s="17" t="str">
        <f>IF(AND(ISNUMBER($T59),$T59&lt;&gt;""),IF(INDEX(Calc!$Y$3:$Y$122,$T59)="","—",INDEX(Calc!$Y$3:$Y$122,$T59)),"")</f>
        <v>—</v>
      </c>
      <c r="H59" s="17" t="str">
        <f>IF(AND(ISNUMBER($T59),$T59&lt;&gt;""),IF(INDEX(Calc!$Z$3:$Z$122,$T59)="","—",INDEX(Calc!$Z$3:$Z$122,$T59)),"")</f>
        <v>—</v>
      </c>
      <c r="I59" s="17" t="str">
        <f>IF(AND(ISNUMBER($T59),$T59&lt;&gt;""),IF(INDEX(Calc!$AA$3:$AA$122,$T59)="","—",INDEX(Calc!$AA$3:$AA$122,$T59)),"")</f>
        <v>—</v>
      </c>
      <c r="J59" s="17" t="str">
        <f>IF(AND(ISNUMBER($T59),$T59&lt;&gt;""),IF(INDEX(Calc!$AB$3:$AB$122,$T59)="","—",INDEX(Calc!$AB$3:$AB$122,$T59)),"")</f>
        <v>—</v>
      </c>
      <c r="K59" s="17" t="str">
        <f>IF(AND(ISNUMBER($T59),$T59&lt;&gt;""),IF(INDEX(Calc!$AC$3:$AC$122,$T59)="","—",INDEX(Calc!$AC$3:$AC$122,$T59)),"")</f>
        <v>—</v>
      </c>
      <c r="L59" s="17" t="str">
        <f>IF(AND(ISNUMBER($T59),$T59&lt;&gt;""),IF(INDEX(Calc!$AD$3:$AD$122,$T59)="","—",INDEX(Calc!$AD$3:$AD$122,$T59)),"")</f>
        <v>—</v>
      </c>
      <c r="M59" s="17" t="str">
        <f>IF(AND(ISNUMBER($T59),$T59&lt;&gt;""),IF(INDEX(Calc!$AE$3:$AE$122,$T59)="","—",INDEX(Calc!$AE$3:$AE$122,$T59)),"")</f>
        <v>—</v>
      </c>
      <c r="N59" s="17" t="str">
        <f>IF(AND(ISNUMBER($T59),$T59&lt;&gt;""),IF(INDEX(Calc!$AF$3:$AF$122,$T59)="","—",INDEX(Calc!$AF$3:$AF$122,$T59)),"")</f>
        <v>—</v>
      </c>
      <c r="O59" s="17" t="str">
        <f>IF(AND(ISNUMBER($T59),$T59&lt;&gt;""),IF(INDEX(Calc!$AG$3:$AG$122,$T59)="","—",INDEX(Calc!$AG$3:$AG$122,$T59)),"")</f>
        <v>—</v>
      </c>
      <c r="P59" s="18" t="str">
        <f>IF(AND(ISNUMBER($T59),$T59&lt;&gt;""),IF(INDEX(Calc!$AJ$3:$AJ$122,$T59)="","—",INDEX(Calc!$AJ$3:$AJ$122,$T59)),"")</f>
        <v>—</v>
      </c>
      <c r="Q59" s="18" t="str">
        <f>IF(AND(ISNUMBER($T59),$T59&lt;&gt;""),IF(INDEX(Calc!$AK$3:$AK$122,$T59)="","—",INDEX(Calc!$AK$3:$AK$122,$T59)),"")</f>
        <v>—</v>
      </c>
      <c r="R59" s="17" t="str">
        <f>IF(AND(ISNUMBER($T59),$T59&lt;&gt;""),IF(INDEX(Calc!$AL$3:$AL$122,$T59)="","—",INDEX(Calc!$AL$3:$AL$122,$T59)),"")</f>
        <v>—</v>
      </c>
      <c r="T59">
        <f>IFERROR(MATCH(55,Calc!$AN$3:$AN$122,0),"")</f>
        <v>17</v>
      </c>
    </row>
    <row r="60" spans="1:20" x14ac:dyDescent="0.2">
      <c r="A60" s="11" t="str">
        <f>IF(AND(ISNUMBER($T60),$T60&lt;&gt;""),INDEX(Calc!$S$3:$S$122,$T60),"")</f>
        <v>FIIT CRISP</v>
      </c>
      <c r="B60" s="12" t="str">
        <f>IF(AND(ISNUMBER($T60),$T60&lt;&gt;""),IF(INDEX(Calc!$T$3:$T$122,$T60)="","—",INDEX(Calc!$T$3:$T$122,$T60)),"")</f>
        <v>—</v>
      </c>
      <c r="C60" s="12" t="str">
        <f>IF(AND(ISNUMBER($T60),$T60&lt;&gt;""),IF(INDEX(Calc!$U$3:$U$122,$T60)="","—",INDEX(Calc!$U$3:$U$122,$T60)),"")</f>
        <v>—</v>
      </c>
      <c r="D60" s="12" t="str">
        <f>IF(AND(ISNUMBER($T60),$T60&lt;&gt;""),IF(INDEX(Calc!$V$3:$V$122,$T60)="","—",INDEX(Calc!$V$3:$V$122,$T60)),"")</f>
        <v>—</v>
      </c>
      <c r="E60" s="12" t="str">
        <f>IF(AND(ISNUMBER($T60),$T60&lt;&gt;""),IF(INDEX(Calc!$W$3:$W$122,$T60)="","—",INDEX(Calc!$W$3:$W$122,$T60)),"")</f>
        <v>—</v>
      </c>
      <c r="F60" s="12" t="str">
        <f>IF(AND(ISNUMBER($T60),$T60&lt;&gt;""),IF(INDEX(Calc!$X$3:$X$122,$T60)="","—",INDEX(Calc!$X$3:$X$122,$T60)),"")</f>
        <v>—</v>
      </c>
      <c r="G60" s="12" t="str">
        <f>IF(AND(ISNUMBER($T60),$T60&lt;&gt;""),IF(INDEX(Calc!$Y$3:$Y$122,$T60)="","—",INDEX(Calc!$Y$3:$Y$122,$T60)),"")</f>
        <v>—</v>
      </c>
      <c r="H60" s="12" t="str">
        <f>IF(AND(ISNUMBER($T60),$T60&lt;&gt;""),IF(INDEX(Calc!$Z$3:$Z$122,$T60)="","—",INDEX(Calc!$Z$3:$Z$122,$T60)),"")</f>
        <v>—</v>
      </c>
      <c r="I60" s="12" t="str">
        <f>IF(AND(ISNUMBER($T60),$T60&lt;&gt;""),IF(INDEX(Calc!$AA$3:$AA$122,$T60)="","—",INDEX(Calc!$AA$3:$AA$122,$T60)),"")</f>
        <v>—</v>
      </c>
      <c r="J60" s="12" t="str">
        <f>IF(AND(ISNUMBER($T60),$T60&lt;&gt;""),IF(INDEX(Calc!$AB$3:$AB$122,$T60)="","—",INDEX(Calc!$AB$3:$AB$122,$T60)),"")</f>
        <v>—</v>
      </c>
      <c r="K60" s="12" t="str">
        <f>IF(AND(ISNUMBER($T60),$T60&lt;&gt;""),IF(INDEX(Calc!$AC$3:$AC$122,$T60)="","—",INDEX(Calc!$AC$3:$AC$122,$T60)),"")</f>
        <v>—</v>
      </c>
      <c r="L60" s="12" t="str">
        <f>IF(AND(ISNUMBER($T60),$T60&lt;&gt;""),IF(INDEX(Calc!$AD$3:$AD$122,$T60)="","—",INDEX(Calc!$AD$3:$AD$122,$T60)),"")</f>
        <v>—</v>
      </c>
      <c r="M60" s="12" t="str">
        <f>IF(AND(ISNUMBER($T60),$T60&lt;&gt;""),IF(INDEX(Calc!$AE$3:$AE$122,$T60)="","—",INDEX(Calc!$AE$3:$AE$122,$T60)),"")</f>
        <v>—</v>
      </c>
      <c r="N60" s="12" t="str">
        <f>IF(AND(ISNUMBER($T60),$T60&lt;&gt;""),IF(INDEX(Calc!$AF$3:$AF$122,$T60)="","—",INDEX(Calc!$AF$3:$AF$122,$T60)),"")</f>
        <v>—</v>
      </c>
      <c r="O60" s="12" t="str">
        <f>IF(AND(ISNUMBER($T60),$T60&lt;&gt;""),IF(INDEX(Calc!$AG$3:$AG$122,$T60)="","—",INDEX(Calc!$AG$3:$AG$122,$T60)),"")</f>
        <v>—</v>
      </c>
      <c r="P60" s="13" t="str">
        <f>IF(AND(ISNUMBER($T60),$T60&lt;&gt;""),IF(INDEX(Calc!$AJ$3:$AJ$122,$T60)="","—",INDEX(Calc!$AJ$3:$AJ$122,$T60)),"")</f>
        <v>—</v>
      </c>
      <c r="Q60" s="13" t="str">
        <f>IF(AND(ISNUMBER($T60),$T60&lt;&gt;""),IF(INDEX(Calc!$AK$3:$AK$122,$T60)="","—",INDEX(Calc!$AK$3:$AK$122,$T60)),"")</f>
        <v>—</v>
      </c>
      <c r="R60" s="12" t="str">
        <f>IF(AND(ISNUMBER($T60),$T60&lt;&gt;""),IF(INDEX(Calc!$AL$3:$AL$122,$T60)="","—",INDEX(Calc!$AL$3:$AL$122,$T60)),"")</f>
        <v>—</v>
      </c>
      <c r="T60">
        <f>IFERROR(MATCH(56,Calc!$AN$3:$AN$122,0),"")</f>
        <v>18</v>
      </c>
    </row>
    <row r="61" spans="1:20" x14ac:dyDescent="0.2">
      <c r="A61" s="16" t="str">
        <f>IF(AND(ISNUMBER($T61),$T61&lt;&gt;""),INDEX(Calc!$S$3:$S$122,$T61),"")</f>
        <v>FIIT REGULAR</v>
      </c>
      <c r="B61" s="17" t="str">
        <f>IF(AND(ISNUMBER($T61),$T61&lt;&gt;""),IF(INDEX(Calc!$T$3:$T$122,$T61)="","—",INDEX(Calc!$T$3:$T$122,$T61)),"")</f>
        <v>—</v>
      </c>
      <c r="C61" s="17" t="str">
        <f>IF(AND(ISNUMBER($T61),$T61&lt;&gt;""),IF(INDEX(Calc!$U$3:$U$122,$T61)="","—",INDEX(Calc!$U$3:$U$122,$T61)),"")</f>
        <v>—</v>
      </c>
      <c r="D61" s="17" t="str">
        <f>IF(AND(ISNUMBER($T61),$T61&lt;&gt;""),IF(INDEX(Calc!$V$3:$V$122,$T61)="","—",INDEX(Calc!$V$3:$V$122,$T61)),"")</f>
        <v>—</v>
      </c>
      <c r="E61" s="17" t="str">
        <f>IF(AND(ISNUMBER($T61),$T61&lt;&gt;""),IF(INDEX(Calc!$W$3:$W$122,$T61)="","—",INDEX(Calc!$W$3:$W$122,$T61)),"")</f>
        <v>—</v>
      </c>
      <c r="F61" s="17" t="str">
        <f>IF(AND(ISNUMBER($T61),$T61&lt;&gt;""),IF(INDEX(Calc!$X$3:$X$122,$T61)="","—",INDEX(Calc!$X$3:$X$122,$T61)),"")</f>
        <v>—</v>
      </c>
      <c r="G61" s="17" t="str">
        <f>IF(AND(ISNUMBER($T61),$T61&lt;&gt;""),IF(INDEX(Calc!$Y$3:$Y$122,$T61)="","—",INDEX(Calc!$Y$3:$Y$122,$T61)),"")</f>
        <v>—</v>
      </c>
      <c r="H61" s="17" t="str">
        <f>IF(AND(ISNUMBER($T61),$T61&lt;&gt;""),IF(INDEX(Calc!$Z$3:$Z$122,$T61)="","—",INDEX(Calc!$Z$3:$Z$122,$T61)),"")</f>
        <v>—</v>
      </c>
      <c r="I61" s="17" t="str">
        <f>IF(AND(ISNUMBER($T61),$T61&lt;&gt;""),IF(INDEX(Calc!$AA$3:$AA$122,$T61)="","—",INDEX(Calc!$AA$3:$AA$122,$T61)),"")</f>
        <v>—</v>
      </c>
      <c r="J61" s="17" t="str">
        <f>IF(AND(ISNUMBER($T61),$T61&lt;&gt;""),IF(INDEX(Calc!$AB$3:$AB$122,$T61)="","—",INDEX(Calc!$AB$3:$AB$122,$T61)),"")</f>
        <v>—</v>
      </c>
      <c r="K61" s="17" t="str">
        <f>IF(AND(ISNUMBER($T61),$T61&lt;&gt;""),IF(INDEX(Calc!$AC$3:$AC$122,$T61)="","—",INDEX(Calc!$AC$3:$AC$122,$T61)),"")</f>
        <v>—</v>
      </c>
      <c r="L61" s="17" t="str">
        <f>IF(AND(ISNUMBER($T61),$T61&lt;&gt;""),IF(INDEX(Calc!$AD$3:$AD$122,$T61)="","—",INDEX(Calc!$AD$3:$AD$122,$T61)),"")</f>
        <v>—</v>
      </c>
      <c r="M61" s="17" t="str">
        <f>IF(AND(ISNUMBER($T61),$T61&lt;&gt;""),IF(INDEX(Calc!$AE$3:$AE$122,$T61)="","—",INDEX(Calc!$AE$3:$AE$122,$T61)),"")</f>
        <v>—</v>
      </c>
      <c r="N61" s="17" t="str">
        <f>IF(AND(ISNUMBER($T61),$T61&lt;&gt;""),IF(INDEX(Calc!$AF$3:$AF$122,$T61)="","—",INDEX(Calc!$AF$3:$AF$122,$T61)),"")</f>
        <v>—</v>
      </c>
      <c r="O61" s="17" t="str">
        <f>IF(AND(ISNUMBER($T61),$T61&lt;&gt;""),IF(INDEX(Calc!$AG$3:$AG$122,$T61)="","—",INDEX(Calc!$AG$3:$AG$122,$T61)),"")</f>
        <v>—</v>
      </c>
      <c r="P61" s="18" t="str">
        <f>IF(AND(ISNUMBER($T61),$T61&lt;&gt;""),IF(INDEX(Calc!$AJ$3:$AJ$122,$T61)="","—",INDEX(Calc!$AJ$3:$AJ$122,$T61)),"")</f>
        <v>—</v>
      </c>
      <c r="Q61" s="18" t="str">
        <f>IF(AND(ISNUMBER($T61),$T61&lt;&gt;""),IF(INDEX(Calc!$AK$3:$AK$122,$T61)="","—",INDEX(Calc!$AK$3:$AK$122,$T61)),"")</f>
        <v>—</v>
      </c>
      <c r="R61" s="17" t="str">
        <f>IF(AND(ISNUMBER($T61),$T61&lt;&gt;""),IF(INDEX(Calc!$AL$3:$AL$122,$T61)="","—",INDEX(Calc!$AL$3:$AL$122,$T61)),"")</f>
        <v>—</v>
      </c>
      <c r="T61">
        <f>IFERROR(MATCH(57,Calc!$AN$3:$AN$122,0),"")</f>
        <v>19</v>
      </c>
    </row>
    <row r="62" spans="1:20" x14ac:dyDescent="0.2">
      <c r="A62" s="11" t="str">
        <f>IF(AND(ISNUMBER($T62),$T62&lt;&gt;""),INDEX(Calc!$S$3:$S$122,$T62),"")</f>
        <v>ILUMA</v>
      </c>
      <c r="B62" s="12" t="str">
        <f>IF(AND(ISNUMBER($T62),$T62&lt;&gt;""),IF(INDEX(Calc!$T$3:$T$122,$T62)="","—",INDEX(Calc!$T$3:$T$122,$T62)),"")</f>
        <v>—</v>
      </c>
      <c r="C62" s="12" t="str">
        <f>IF(AND(ISNUMBER($T62),$T62&lt;&gt;""),IF(INDEX(Calc!$U$3:$U$122,$T62)="","—",INDEX(Calc!$U$3:$U$122,$T62)),"")</f>
        <v>—</v>
      </c>
      <c r="D62" s="12" t="str">
        <f>IF(AND(ISNUMBER($T62),$T62&lt;&gt;""),IF(INDEX(Calc!$V$3:$V$122,$T62)="","—",INDEX(Calc!$V$3:$V$122,$T62)),"")</f>
        <v>—</v>
      </c>
      <c r="E62" s="12" t="str">
        <f>IF(AND(ISNUMBER($T62),$T62&lt;&gt;""),IF(INDEX(Calc!$W$3:$W$122,$T62)="","—",INDEX(Calc!$W$3:$W$122,$T62)),"")</f>
        <v>—</v>
      </c>
      <c r="F62" s="12" t="str">
        <f>IF(AND(ISNUMBER($T62),$T62&lt;&gt;""),IF(INDEX(Calc!$X$3:$X$122,$T62)="","—",INDEX(Calc!$X$3:$X$122,$T62)),"")</f>
        <v>—</v>
      </c>
      <c r="G62" s="12" t="str">
        <f>IF(AND(ISNUMBER($T62),$T62&lt;&gt;""),IF(INDEX(Calc!$Y$3:$Y$122,$T62)="","—",INDEX(Calc!$Y$3:$Y$122,$T62)),"")</f>
        <v>—</v>
      </c>
      <c r="H62" s="12" t="str">
        <f>IF(AND(ISNUMBER($T62),$T62&lt;&gt;""),IF(INDEX(Calc!$Z$3:$Z$122,$T62)="","—",INDEX(Calc!$Z$3:$Z$122,$T62)),"")</f>
        <v>—</v>
      </c>
      <c r="I62" s="12" t="str">
        <f>IF(AND(ISNUMBER($T62),$T62&lt;&gt;""),IF(INDEX(Calc!$AA$3:$AA$122,$T62)="","—",INDEX(Calc!$AA$3:$AA$122,$T62)),"")</f>
        <v>—</v>
      </c>
      <c r="J62" s="12" t="str">
        <f>IF(AND(ISNUMBER($T62),$T62&lt;&gt;""),IF(INDEX(Calc!$AB$3:$AB$122,$T62)="","—",INDEX(Calc!$AB$3:$AB$122,$T62)),"")</f>
        <v>—</v>
      </c>
      <c r="K62" s="12" t="str">
        <f>IF(AND(ISNUMBER($T62),$T62&lt;&gt;""),IF(INDEX(Calc!$AC$3:$AC$122,$T62)="","—",INDEX(Calc!$AC$3:$AC$122,$T62)),"")</f>
        <v>—</v>
      </c>
      <c r="L62" s="12" t="str">
        <f>IF(AND(ISNUMBER($T62),$T62&lt;&gt;""),IF(INDEX(Calc!$AD$3:$AD$122,$T62)="","—",INDEX(Calc!$AD$3:$AD$122,$T62)),"")</f>
        <v>—</v>
      </c>
      <c r="M62" s="12" t="str">
        <f>IF(AND(ISNUMBER($T62),$T62&lt;&gt;""),IF(INDEX(Calc!$AE$3:$AE$122,$T62)="","—",INDEX(Calc!$AE$3:$AE$122,$T62)),"")</f>
        <v>—</v>
      </c>
      <c r="N62" s="12" t="str">
        <f>IF(AND(ISNUMBER($T62),$T62&lt;&gt;""),IF(INDEX(Calc!$AF$3:$AF$122,$T62)="","—",INDEX(Calc!$AF$3:$AF$122,$T62)),"")</f>
        <v>—</v>
      </c>
      <c r="O62" s="12" t="str">
        <f>IF(AND(ISNUMBER($T62),$T62&lt;&gt;""),IF(INDEX(Calc!$AG$3:$AG$122,$T62)="","—",INDEX(Calc!$AG$3:$AG$122,$T62)),"")</f>
        <v>—</v>
      </c>
      <c r="P62" s="13" t="str">
        <f>IF(AND(ISNUMBER($T62),$T62&lt;&gt;""),IF(INDEX(Calc!$AJ$3:$AJ$122,$T62)="","—",INDEX(Calc!$AJ$3:$AJ$122,$T62)),"")</f>
        <v>—</v>
      </c>
      <c r="Q62" s="13" t="str">
        <f>IF(AND(ISNUMBER($T62),$T62&lt;&gt;""),IF(INDEX(Calc!$AK$3:$AK$122,$T62)="","—",INDEX(Calc!$AK$3:$AK$122,$T62)),"")</f>
        <v>—</v>
      </c>
      <c r="R62" s="12" t="str">
        <f>IF(AND(ISNUMBER($T62),$T62&lt;&gt;""),IF(INDEX(Calc!$AL$3:$AL$122,$T62)="","—",INDEX(Calc!$AL$3:$AL$122,$T62)),"")</f>
        <v>—</v>
      </c>
      <c r="T62">
        <f>IFERROR(MATCH(58,Calc!$AN$3:$AN$122,0),"")</f>
        <v>20</v>
      </c>
    </row>
    <row r="63" spans="1:20" x14ac:dyDescent="0.2">
      <c r="A63" s="16" t="str">
        <f>IF(AND(ISNUMBER($T63),$T63&lt;&gt;""),INDEX(Calc!$S$3:$S$122,$T63),"")</f>
        <v>TEREA AMBER</v>
      </c>
      <c r="B63" s="17" t="str">
        <f>IF(AND(ISNUMBER($T63),$T63&lt;&gt;""),IF(INDEX(Calc!$T$3:$T$122,$T63)="","—",INDEX(Calc!$T$3:$T$122,$T63)),"")</f>
        <v>—</v>
      </c>
      <c r="C63" s="17" t="str">
        <f>IF(AND(ISNUMBER($T63),$T63&lt;&gt;""),IF(INDEX(Calc!$U$3:$U$122,$T63)="","—",INDEX(Calc!$U$3:$U$122,$T63)),"")</f>
        <v>—</v>
      </c>
      <c r="D63" s="17" t="str">
        <f>IF(AND(ISNUMBER($T63),$T63&lt;&gt;""),IF(INDEX(Calc!$V$3:$V$122,$T63)="","—",INDEX(Calc!$V$3:$V$122,$T63)),"")</f>
        <v>—</v>
      </c>
      <c r="E63" s="17" t="str">
        <f>IF(AND(ISNUMBER($T63),$T63&lt;&gt;""),IF(INDEX(Calc!$W$3:$W$122,$T63)="","—",INDEX(Calc!$W$3:$W$122,$T63)),"")</f>
        <v>—</v>
      </c>
      <c r="F63" s="17" t="str">
        <f>IF(AND(ISNUMBER($T63),$T63&lt;&gt;""),IF(INDEX(Calc!$X$3:$X$122,$T63)="","—",INDEX(Calc!$X$3:$X$122,$T63)),"")</f>
        <v>—</v>
      </c>
      <c r="G63" s="17" t="str">
        <f>IF(AND(ISNUMBER($T63),$T63&lt;&gt;""),IF(INDEX(Calc!$Y$3:$Y$122,$T63)="","—",INDEX(Calc!$Y$3:$Y$122,$T63)),"")</f>
        <v>—</v>
      </c>
      <c r="H63" s="17" t="str">
        <f>IF(AND(ISNUMBER($T63),$T63&lt;&gt;""),IF(INDEX(Calc!$Z$3:$Z$122,$T63)="","—",INDEX(Calc!$Z$3:$Z$122,$T63)),"")</f>
        <v>—</v>
      </c>
      <c r="I63" s="17" t="str">
        <f>IF(AND(ISNUMBER($T63),$T63&lt;&gt;""),IF(INDEX(Calc!$AA$3:$AA$122,$T63)="","—",INDEX(Calc!$AA$3:$AA$122,$T63)),"")</f>
        <v>—</v>
      </c>
      <c r="J63" s="17" t="str">
        <f>IF(AND(ISNUMBER($T63),$T63&lt;&gt;""),IF(INDEX(Calc!$AB$3:$AB$122,$T63)="","—",INDEX(Calc!$AB$3:$AB$122,$T63)),"")</f>
        <v>—</v>
      </c>
      <c r="K63" s="17" t="str">
        <f>IF(AND(ISNUMBER($T63),$T63&lt;&gt;""),IF(INDEX(Calc!$AC$3:$AC$122,$T63)="","—",INDEX(Calc!$AC$3:$AC$122,$T63)),"")</f>
        <v>—</v>
      </c>
      <c r="L63" s="17" t="str">
        <f>IF(AND(ISNUMBER($T63),$T63&lt;&gt;""),IF(INDEX(Calc!$AD$3:$AD$122,$T63)="","—",INDEX(Calc!$AD$3:$AD$122,$T63)),"")</f>
        <v>—</v>
      </c>
      <c r="M63" s="17" t="str">
        <f>IF(AND(ISNUMBER($T63),$T63&lt;&gt;""),IF(INDEX(Calc!$AE$3:$AE$122,$T63)="","—",INDEX(Calc!$AE$3:$AE$122,$T63)),"")</f>
        <v>—</v>
      </c>
      <c r="N63" s="17" t="str">
        <f>IF(AND(ISNUMBER($T63),$T63&lt;&gt;""),IF(INDEX(Calc!$AF$3:$AF$122,$T63)="","—",INDEX(Calc!$AF$3:$AF$122,$T63)),"")</f>
        <v>—</v>
      </c>
      <c r="O63" s="17" t="str">
        <f>IF(AND(ISNUMBER($T63),$T63&lt;&gt;""),IF(INDEX(Calc!$AG$3:$AG$122,$T63)="","—",INDEX(Calc!$AG$3:$AG$122,$T63)),"")</f>
        <v>—</v>
      </c>
      <c r="P63" s="18" t="str">
        <f>IF(AND(ISNUMBER($T63),$T63&lt;&gt;""),IF(INDEX(Calc!$AJ$3:$AJ$122,$T63)="","—",INDEX(Calc!$AJ$3:$AJ$122,$T63)),"")</f>
        <v>—</v>
      </c>
      <c r="Q63" s="18" t="str">
        <f>IF(AND(ISNUMBER($T63),$T63&lt;&gt;""),IF(INDEX(Calc!$AK$3:$AK$122,$T63)="","—",INDEX(Calc!$AK$3:$AK$122,$T63)),"")</f>
        <v>—</v>
      </c>
      <c r="R63" s="17" t="str">
        <f>IF(AND(ISNUMBER($T63),$T63&lt;&gt;""),IF(INDEX(Calc!$AL$3:$AL$122,$T63)="","—",INDEX(Calc!$AL$3:$AL$122,$T63)),"")</f>
        <v>—</v>
      </c>
      <c r="T63">
        <f>IFERROR(MATCH(59,Calc!$AN$3:$AN$122,0),"")</f>
        <v>56</v>
      </c>
    </row>
    <row r="64" spans="1:20" x14ac:dyDescent="0.2">
      <c r="A64" s="11" t="str">
        <f>IF(AND(ISNUMBER($T64),$T64&lt;&gt;""),INDEX(Calc!$S$3:$S$122,$T64),"")</f>
        <v>TEREA BLACK GREEN</v>
      </c>
      <c r="B64" s="12" t="str">
        <f>IF(AND(ISNUMBER($T64),$T64&lt;&gt;""),IF(INDEX(Calc!$T$3:$T$122,$T64)="","—",INDEX(Calc!$T$3:$T$122,$T64)),"")</f>
        <v>—</v>
      </c>
      <c r="C64" s="12" t="str">
        <f>IF(AND(ISNUMBER($T64),$T64&lt;&gt;""),IF(INDEX(Calc!$U$3:$U$122,$T64)="","—",INDEX(Calc!$U$3:$U$122,$T64)),"")</f>
        <v>—</v>
      </c>
      <c r="D64" s="12" t="str">
        <f>IF(AND(ISNUMBER($T64),$T64&lt;&gt;""),IF(INDEX(Calc!$V$3:$V$122,$T64)="","—",INDEX(Calc!$V$3:$V$122,$T64)),"")</f>
        <v>—</v>
      </c>
      <c r="E64" s="12" t="str">
        <f>IF(AND(ISNUMBER($T64),$T64&lt;&gt;""),IF(INDEX(Calc!$W$3:$W$122,$T64)="","—",INDEX(Calc!$W$3:$W$122,$T64)),"")</f>
        <v>—</v>
      </c>
      <c r="F64" s="12" t="str">
        <f>IF(AND(ISNUMBER($T64),$T64&lt;&gt;""),IF(INDEX(Calc!$X$3:$X$122,$T64)="","—",INDEX(Calc!$X$3:$X$122,$T64)),"")</f>
        <v>—</v>
      </c>
      <c r="G64" s="12" t="str">
        <f>IF(AND(ISNUMBER($T64),$T64&lt;&gt;""),IF(INDEX(Calc!$Y$3:$Y$122,$T64)="","—",INDEX(Calc!$Y$3:$Y$122,$T64)),"")</f>
        <v>—</v>
      </c>
      <c r="H64" s="12" t="str">
        <f>IF(AND(ISNUMBER($T64),$T64&lt;&gt;""),IF(INDEX(Calc!$Z$3:$Z$122,$T64)="","—",INDEX(Calc!$Z$3:$Z$122,$T64)),"")</f>
        <v>—</v>
      </c>
      <c r="I64" s="12" t="str">
        <f>IF(AND(ISNUMBER($T64),$T64&lt;&gt;""),IF(INDEX(Calc!$AA$3:$AA$122,$T64)="","—",INDEX(Calc!$AA$3:$AA$122,$T64)),"")</f>
        <v>—</v>
      </c>
      <c r="J64" s="12" t="str">
        <f>IF(AND(ISNUMBER($T64),$T64&lt;&gt;""),IF(INDEX(Calc!$AB$3:$AB$122,$T64)="","—",INDEX(Calc!$AB$3:$AB$122,$T64)),"")</f>
        <v>—</v>
      </c>
      <c r="K64" s="12" t="str">
        <f>IF(AND(ISNUMBER($T64),$T64&lt;&gt;""),IF(INDEX(Calc!$AC$3:$AC$122,$T64)="","—",INDEX(Calc!$AC$3:$AC$122,$T64)),"")</f>
        <v>—</v>
      </c>
      <c r="L64" s="12" t="str">
        <f>IF(AND(ISNUMBER($T64),$T64&lt;&gt;""),IF(INDEX(Calc!$AD$3:$AD$122,$T64)="","—",INDEX(Calc!$AD$3:$AD$122,$T64)),"")</f>
        <v>—</v>
      </c>
      <c r="M64" s="12" t="str">
        <f>IF(AND(ISNUMBER($T64),$T64&lt;&gt;""),IF(INDEX(Calc!$AE$3:$AE$122,$T64)="","—",INDEX(Calc!$AE$3:$AE$122,$T64)),"")</f>
        <v>—</v>
      </c>
      <c r="N64" s="12" t="str">
        <f>IF(AND(ISNUMBER($T64),$T64&lt;&gt;""),IF(INDEX(Calc!$AF$3:$AF$122,$T64)="","—",INDEX(Calc!$AF$3:$AF$122,$T64)),"")</f>
        <v>—</v>
      </c>
      <c r="O64" s="12" t="str">
        <f>IF(AND(ISNUMBER($T64),$T64&lt;&gt;""),IF(INDEX(Calc!$AG$3:$AG$122,$T64)="","—",INDEX(Calc!$AG$3:$AG$122,$T64)),"")</f>
        <v>—</v>
      </c>
      <c r="P64" s="13" t="str">
        <f>IF(AND(ISNUMBER($T64),$T64&lt;&gt;""),IF(INDEX(Calc!$AJ$3:$AJ$122,$T64)="","—",INDEX(Calc!$AJ$3:$AJ$122,$T64)),"")</f>
        <v>—</v>
      </c>
      <c r="Q64" s="13" t="str">
        <f>IF(AND(ISNUMBER($T64),$T64&lt;&gt;""),IF(INDEX(Calc!$AK$3:$AK$122,$T64)="","—",INDEX(Calc!$AK$3:$AK$122,$T64)),"")</f>
        <v>—</v>
      </c>
      <c r="R64" s="12" t="str">
        <f>IF(AND(ISNUMBER($T64),$T64&lt;&gt;""),IF(INDEX(Calc!$AL$3:$AL$122,$T64)="","—",INDEX(Calc!$AL$3:$AL$122,$T64)),"")</f>
        <v>—</v>
      </c>
      <c r="T64">
        <f>IFERROR(MATCH(60,Calc!$AN$3:$AN$122,0),"")</f>
        <v>57</v>
      </c>
    </row>
    <row r="65" spans="1:20" x14ac:dyDescent="0.2">
      <c r="A65" s="16" t="str">
        <f>IF(AND(ISNUMBER($T65),$T65&lt;&gt;""),INDEX(Calc!$S$3:$S$122,$T65),"")</f>
        <v>TEREA BLACK PURPLE</v>
      </c>
      <c r="B65" s="17" t="str">
        <f>IF(AND(ISNUMBER($T65),$T65&lt;&gt;""),IF(INDEX(Calc!$T$3:$T$122,$T65)="","—",INDEX(Calc!$T$3:$T$122,$T65)),"")</f>
        <v>—</v>
      </c>
      <c r="C65" s="17" t="str">
        <f>IF(AND(ISNUMBER($T65),$T65&lt;&gt;""),IF(INDEX(Calc!$U$3:$U$122,$T65)="","—",INDEX(Calc!$U$3:$U$122,$T65)),"")</f>
        <v>—</v>
      </c>
      <c r="D65" s="17" t="str">
        <f>IF(AND(ISNUMBER($T65),$T65&lt;&gt;""),IF(INDEX(Calc!$V$3:$V$122,$T65)="","—",INDEX(Calc!$V$3:$V$122,$T65)),"")</f>
        <v>—</v>
      </c>
      <c r="E65" s="17" t="str">
        <f>IF(AND(ISNUMBER($T65),$T65&lt;&gt;""),IF(INDEX(Calc!$W$3:$W$122,$T65)="","—",INDEX(Calc!$W$3:$W$122,$T65)),"")</f>
        <v>—</v>
      </c>
      <c r="F65" s="17" t="str">
        <f>IF(AND(ISNUMBER($T65),$T65&lt;&gt;""),IF(INDEX(Calc!$X$3:$X$122,$T65)="","—",INDEX(Calc!$X$3:$X$122,$T65)),"")</f>
        <v>—</v>
      </c>
      <c r="G65" s="17" t="str">
        <f>IF(AND(ISNUMBER($T65),$T65&lt;&gt;""),IF(INDEX(Calc!$Y$3:$Y$122,$T65)="","—",INDEX(Calc!$Y$3:$Y$122,$T65)),"")</f>
        <v>—</v>
      </c>
      <c r="H65" s="17" t="str">
        <f>IF(AND(ISNUMBER($T65),$T65&lt;&gt;""),IF(INDEX(Calc!$Z$3:$Z$122,$T65)="","—",INDEX(Calc!$Z$3:$Z$122,$T65)),"")</f>
        <v>—</v>
      </c>
      <c r="I65" s="17" t="str">
        <f>IF(AND(ISNUMBER($T65),$T65&lt;&gt;""),IF(INDEX(Calc!$AA$3:$AA$122,$T65)="","—",INDEX(Calc!$AA$3:$AA$122,$T65)),"")</f>
        <v>—</v>
      </c>
      <c r="J65" s="17" t="str">
        <f>IF(AND(ISNUMBER($T65),$T65&lt;&gt;""),IF(INDEX(Calc!$AB$3:$AB$122,$T65)="","—",INDEX(Calc!$AB$3:$AB$122,$T65)),"")</f>
        <v>—</v>
      </c>
      <c r="K65" s="17" t="str">
        <f>IF(AND(ISNUMBER($T65),$T65&lt;&gt;""),IF(INDEX(Calc!$AC$3:$AC$122,$T65)="","—",INDEX(Calc!$AC$3:$AC$122,$T65)),"")</f>
        <v>—</v>
      </c>
      <c r="L65" s="17" t="str">
        <f>IF(AND(ISNUMBER($T65),$T65&lt;&gt;""),IF(INDEX(Calc!$AD$3:$AD$122,$T65)="","—",INDEX(Calc!$AD$3:$AD$122,$T65)),"")</f>
        <v>—</v>
      </c>
      <c r="M65" s="17" t="str">
        <f>IF(AND(ISNUMBER($T65),$T65&lt;&gt;""),IF(INDEX(Calc!$AE$3:$AE$122,$T65)="","—",INDEX(Calc!$AE$3:$AE$122,$T65)),"")</f>
        <v>—</v>
      </c>
      <c r="N65" s="17" t="str">
        <f>IF(AND(ISNUMBER($T65),$T65&lt;&gt;""),IF(INDEX(Calc!$AF$3:$AF$122,$T65)="","—",INDEX(Calc!$AF$3:$AF$122,$T65)),"")</f>
        <v>—</v>
      </c>
      <c r="O65" s="17" t="str">
        <f>IF(AND(ISNUMBER($T65),$T65&lt;&gt;""),IF(INDEX(Calc!$AG$3:$AG$122,$T65)="","—",INDEX(Calc!$AG$3:$AG$122,$T65)),"")</f>
        <v>—</v>
      </c>
      <c r="P65" s="18" t="str">
        <f>IF(AND(ISNUMBER($T65),$T65&lt;&gt;""),IF(INDEX(Calc!$AJ$3:$AJ$122,$T65)="","—",INDEX(Calc!$AJ$3:$AJ$122,$T65)),"")</f>
        <v>—</v>
      </c>
      <c r="Q65" s="18" t="str">
        <f>IF(AND(ISNUMBER($T65),$T65&lt;&gt;""),IF(INDEX(Calc!$AK$3:$AK$122,$T65)="","—",INDEX(Calc!$AK$3:$AK$122,$T65)),"")</f>
        <v>—</v>
      </c>
      <c r="R65" s="17" t="str">
        <f>IF(AND(ISNUMBER($T65),$T65&lt;&gt;""),IF(INDEX(Calc!$AL$3:$AL$122,$T65)="","—",INDEX(Calc!$AL$3:$AL$122,$T65)),"")</f>
        <v>—</v>
      </c>
      <c r="T65">
        <f>IFERROR(MATCH(61,Calc!$AN$3:$AN$122,0),"")</f>
        <v>58</v>
      </c>
    </row>
    <row r="66" spans="1:20" x14ac:dyDescent="0.2">
      <c r="A66" s="11" t="str">
        <f>IF(AND(ISNUMBER($T66),$T66&lt;&gt;""),INDEX(Calc!$S$3:$S$122,$T66),"")</f>
        <v>TEREA BLACK YELLOW</v>
      </c>
      <c r="B66" s="12" t="str">
        <f>IF(AND(ISNUMBER($T66),$T66&lt;&gt;""),IF(INDEX(Calc!$T$3:$T$122,$T66)="","—",INDEX(Calc!$T$3:$T$122,$T66)),"")</f>
        <v>—</v>
      </c>
      <c r="C66" s="12" t="str">
        <f>IF(AND(ISNUMBER($T66),$T66&lt;&gt;""),IF(INDEX(Calc!$U$3:$U$122,$T66)="","—",INDEX(Calc!$U$3:$U$122,$T66)),"")</f>
        <v>—</v>
      </c>
      <c r="D66" s="12" t="str">
        <f>IF(AND(ISNUMBER($T66),$T66&lt;&gt;""),IF(INDEX(Calc!$V$3:$V$122,$T66)="","—",INDEX(Calc!$V$3:$V$122,$T66)),"")</f>
        <v>—</v>
      </c>
      <c r="E66" s="12" t="str">
        <f>IF(AND(ISNUMBER($T66),$T66&lt;&gt;""),IF(INDEX(Calc!$W$3:$W$122,$T66)="","—",INDEX(Calc!$W$3:$W$122,$T66)),"")</f>
        <v>—</v>
      </c>
      <c r="F66" s="12" t="str">
        <f>IF(AND(ISNUMBER($T66),$T66&lt;&gt;""),IF(INDEX(Calc!$X$3:$X$122,$T66)="","—",INDEX(Calc!$X$3:$X$122,$T66)),"")</f>
        <v>—</v>
      </c>
      <c r="G66" s="12" t="str">
        <f>IF(AND(ISNUMBER($T66),$T66&lt;&gt;""),IF(INDEX(Calc!$Y$3:$Y$122,$T66)="","—",INDEX(Calc!$Y$3:$Y$122,$T66)),"")</f>
        <v>—</v>
      </c>
      <c r="H66" s="12" t="str">
        <f>IF(AND(ISNUMBER($T66),$T66&lt;&gt;""),IF(INDEX(Calc!$Z$3:$Z$122,$T66)="","—",INDEX(Calc!$Z$3:$Z$122,$T66)),"")</f>
        <v>—</v>
      </c>
      <c r="I66" s="12" t="str">
        <f>IF(AND(ISNUMBER($T66),$T66&lt;&gt;""),IF(INDEX(Calc!$AA$3:$AA$122,$T66)="","—",INDEX(Calc!$AA$3:$AA$122,$T66)),"")</f>
        <v>—</v>
      </c>
      <c r="J66" s="12" t="str">
        <f>IF(AND(ISNUMBER($T66),$T66&lt;&gt;""),IF(INDEX(Calc!$AB$3:$AB$122,$T66)="","—",INDEX(Calc!$AB$3:$AB$122,$T66)),"")</f>
        <v>—</v>
      </c>
      <c r="K66" s="12" t="str">
        <f>IF(AND(ISNUMBER($T66),$T66&lt;&gt;""),IF(INDEX(Calc!$AC$3:$AC$122,$T66)="","—",INDEX(Calc!$AC$3:$AC$122,$T66)),"")</f>
        <v>—</v>
      </c>
      <c r="L66" s="12" t="str">
        <f>IF(AND(ISNUMBER($T66),$T66&lt;&gt;""),IF(INDEX(Calc!$AD$3:$AD$122,$T66)="","—",INDEX(Calc!$AD$3:$AD$122,$T66)),"")</f>
        <v>—</v>
      </c>
      <c r="M66" s="12" t="str">
        <f>IF(AND(ISNUMBER($T66),$T66&lt;&gt;""),IF(INDEX(Calc!$AE$3:$AE$122,$T66)="","—",INDEX(Calc!$AE$3:$AE$122,$T66)),"")</f>
        <v>—</v>
      </c>
      <c r="N66" s="12" t="str">
        <f>IF(AND(ISNUMBER($T66),$T66&lt;&gt;""),IF(INDEX(Calc!$AF$3:$AF$122,$T66)="","—",INDEX(Calc!$AF$3:$AF$122,$T66)),"")</f>
        <v>—</v>
      </c>
      <c r="O66" s="12" t="str">
        <f>IF(AND(ISNUMBER($T66),$T66&lt;&gt;""),IF(INDEX(Calc!$AG$3:$AG$122,$T66)="","—",INDEX(Calc!$AG$3:$AG$122,$T66)),"")</f>
        <v>—</v>
      </c>
      <c r="P66" s="13" t="str">
        <f>IF(AND(ISNUMBER($T66),$T66&lt;&gt;""),IF(INDEX(Calc!$AJ$3:$AJ$122,$T66)="","—",INDEX(Calc!$AJ$3:$AJ$122,$T66)),"")</f>
        <v>—</v>
      </c>
      <c r="Q66" s="13" t="str">
        <f>IF(AND(ISNUMBER($T66),$T66&lt;&gt;""),IF(INDEX(Calc!$AK$3:$AK$122,$T66)="","—",INDEX(Calc!$AK$3:$AK$122,$T66)),"")</f>
        <v>—</v>
      </c>
      <c r="R66" s="12" t="str">
        <f>IF(AND(ISNUMBER($T66),$T66&lt;&gt;""),IF(INDEX(Calc!$AL$3:$AL$122,$T66)="","—",INDEX(Calc!$AL$3:$AL$122,$T66)),"")</f>
        <v>—</v>
      </c>
      <c r="T66">
        <f>IFERROR(MATCH(62,Calc!$AN$3:$AN$122,0),"")</f>
        <v>59</v>
      </c>
    </row>
    <row r="67" spans="1:20" x14ac:dyDescent="0.2">
      <c r="A67" s="16" t="str">
        <f>IF(AND(ISNUMBER($T67),$T67&lt;&gt;""),INDEX(Calc!$S$3:$S$122,$T67),"")</f>
        <v>TEREA BLUE</v>
      </c>
      <c r="B67" s="17" t="str">
        <f>IF(AND(ISNUMBER($T67),$T67&lt;&gt;""),IF(INDEX(Calc!$T$3:$T$122,$T67)="","—",INDEX(Calc!$T$3:$T$122,$T67)),"")</f>
        <v>—</v>
      </c>
      <c r="C67" s="17" t="str">
        <f>IF(AND(ISNUMBER($T67),$T67&lt;&gt;""),IF(INDEX(Calc!$U$3:$U$122,$T67)="","—",INDEX(Calc!$U$3:$U$122,$T67)),"")</f>
        <v>—</v>
      </c>
      <c r="D67" s="17" t="str">
        <f>IF(AND(ISNUMBER($T67),$T67&lt;&gt;""),IF(INDEX(Calc!$V$3:$V$122,$T67)="","—",INDEX(Calc!$V$3:$V$122,$T67)),"")</f>
        <v>—</v>
      </c>
      <c r="E67" s="17" t="str">
        <f>IF(AND(ISNUMBER($T67),$T67&lt;&gt;""),IF(INDEX(Calc!$W$3:$W$122,$T67)="","—",INDEX(Calc!$W$3:$W$122,$T67)),"")</f>
        <v>—</v>
      </c>
      <c r="F67" s="17" t="str">
        <f>IF(AND(ISNUMBER($T67),$T67&lt;&gt;""),IF(INDEX(Calc!$X$3:$X$122,$T67)="","—",INDEX(Calc!$X$3:$X$122,$T67)),"")</f>
        <v>—</v>
      </c>
      <c r="G67" s="17" t="str">
        <f>IF(AND(ISNUMBER($T67),$T67&lt;&gt;""),IF(INDEX(Calc!$Y$3:$Y$122,$T67)="","—",INDEX(Calc!$Y$3:$Y$122,$T67)),"")</f>
        <v>—</v>
      </c>
      <c r="H67" s="17" t="str">
        <f>IF(AND(ISNUMBER($T67),$T67&lt;&gt;""),IF(INDEX(Calc!$Z$3:$Z$122,$T67)="","—",INDEX(Calc!$Z$3:$Z$122,$T67)),"")</f>
        <v>—</v>
      </c>
      <c r="I67" s="17" t="str">
        <f>IF(AND(ISNUMBER($T67),$T67&lt;&gt;""),IF(INDEX(Calc!$AA$3:$AA$122,$T67)="","—",INDEX(Calc!$AA$3:$AA$122,$T67)),"")</f>
        <v>—</v>
      </c>
      <c r="J67" s="17" t="str">
        <f>IF(AND(ISNUMBER($T67),$T67&lt;&gt;""),IF(INDEX(Calc!$AB$3:$AB$122,$T67)="","—",INDEX(Calc!$AB$3:$AB$122,$T67)),"")</f>
        <v>—</v>
      </c>
      <c r="K67" s="17" t="str">
        <f>IF(AND(ISNUMBER($T67),$T67&lt;&gt;""),IF(INDEX(Calc!$AC$3:$AC$122,$T67)="","—",INDEX(Calc!$AC$3:$AC$122,$T67)),"")</f>
        <v>—</v>
      </c>
      <c r="L67" s="17" t="str">
        <f>IF(AND(ISNUMBER($T67),$T67&lt;&gt;""),IF(INDEX(Calc!$AD$3:$AD$122,$T67)="","—",INDEX(Calc!$AD$3:$AD$122,$T67)),"")</f>
        <v>—</v>
      </c>
      <c r="M67" s="17" t="str">
        <f>IF(AND(ISNUMBER($T67),$T67&lt;&gt;""),IF(INDEX(Calc!$AE$3:$AE$122,$T67)="","—",INDEX(Calc!$AE$3:$AE$122,$T67)),"")</f>
        <v>—</v>
      </c>
      <c r="N67" s="17" t="str">
        <f>IF(AND(ISNUMBER($T67),$T67&lt;&gt;""),IF(INDEX(Calc!$AF$3:$AF$122,$T67)="","—",INDEX(Calc!$AF$3:$AF$122,$T67)),"")</f>
        <v>—</v>
      </c>
      <c r="O67" s="17" t="str">
        <f>IF(AND(ISNUMBER($T67),$T67&lt;&gt;""),IF(INDEX(Calc!$AG$3:$AG$122,$T67)="","—",INDEX(Calc!$AG$3:$AG$122,$T67)),"")</f>
        <v>—</v>
      </c>
      <c r="P67" s="18" t="str">
        <f>IF(AND(ISNUMBER($T67),$T67&lt;&gt;""),IF(INDEX(Calc!$AJ$3:$AJ$122,$T67)="","—",INDEX(Calc!$AJ$3:$AJ$122,$T67)),"")</f>
        <v>—</v>
      </c>
      <c r="Q67" s="18" t="str">
        <f>IF(AND(ISNUMBER($T67),$T67&lt;&gt;""),IF(INDEX(Calc!$AK$3:$AK$122,$T67)="","—",INDEX(Calc!$AK$3:$AK$122,$T67)),"")</f>
        <v>—</v>
      </c>
      <c r="R67" s="17" t="str">
        <f>IF(AND(ISNUMBER($T67),$T67&lt;&gt;""),IF(INDEX(Calc!$AL$3:$AL$122,$T67)="","—",INDEX(Calc!$AL$3:$AL$122,$T67)),"")</f>
        <v>—</v>
      </c>
      <c r="T67">
        <f>IFERROR(MATCH(63,Calc!$AN$3:$AN$122,0),"")</f>
        <v>60</v>
      </c>
    </row>
    <row r="68" spans="1:20" x14ac:dyDescent="0.2">
      <c r="A68" s="11" t="str">
        <f>IF(AND(ISNUMBER($T68),$T68&lt;&gt;""),INDEX(Calc!$S$3:$S$122,$T68),"")</f>
        <v>TEREA BLUEBERRY</v>
      </c>
      <c r="B68" s="12" t="str">
        <f>IF(AND(ISNUMBER($T68),$T68&lt;&gt;""),IF(INDEX(Calc!$T$3:$T$122,$T68)="","—",INDEX(Calc!$T$3:$T$122,$T68)),"")</f>
        <v>—</v>
      </c>
      <c r="C68" s="12" t="str">
        <f>IF(AND(ISNUMBER($T68),$T68&lt;&gt;""),IF(INDEX(Calc!$U$3:$U$122,$T68)="","—",INDEX(Calc!$U$3:$U$122,$T68)),"")</f>
        <v>—</v>
      </c>
      <c r="D68" s="12" t="str">
        <f>IF(AND(ISNUMBER($T68),$T68&lt;&gt;""),IF(INDEX(Calc!$V$3:$V$122,$T68)="","—",INDEX(Calc!$V$3:$V$122,$T68)),"")</f>
        <v>—</v>
      </c>
      <c r="E68" s="12" t="str">
        <f>IF(AND(ISNUMBER($T68),$T68&lt;&gt;""),IF(INDEX(Calc!$W$3:$W$122,$T68)="","—",INDEX(Calc!$W$3:$W$122,$T68)),"")</f>
        <v>—</v>
      </c>
      <c r="F68" s="12" t="str">
        <f>IF(AND(ISNUMBER($T68),$T68&lt;&gt;""),IF(INDEX(Calc!$X$3:$X$122,$T68)="","—",INDEX(Calc!$X$3:$X$122,$T68)),"")</f>
        <v>—</v>
      </c>
      <c r="G68" s="12" t="str">
        <f>IF(AND(ISNUMBER($T68),$T68&lt;&gt;""),IF(INDEX(Calc!$Y$3:$Y$122,$T68)="","—",INDEX(Calc!$Y$3:$Y$122,$T68)),"")</f>
        <v>—</v>
      </c>
      <c r="H68" s="12" t="str">
        <f>IF(AND(ISNUMBER($T68),$T68&lt;&gt;""),IF(INDEX(Calc!$Z$3:$Z$122,$T68)="","—",INDEX(Calc!$Z$3:$Z$122,$T68)),"")</f>
        <v>—</v>
      </c>
      <c r="I68" s="12" t="str">
        <f>IF(AND(ISNUMBER($T68),$T68&lt;&gt;""),IF(INDEX(Calc!$AA$3:$AA$122,$T68)="","—",INDEX(Calc!$AA$3:$AA$122,$T68)),"")</f>
        <v>—</v>
      </c>
      <c r="J68" s="12" t="str">
        <f>IF(AND(ISNUMBER($T68),$T68&lt;&gt;""),IF(INDEX(Calc!$AB$3:$AB$122,$T68)="","—",INDEX(Calc!$AB$3:$AB$122,$T68)),"")</f>
        <v>—</v>
      </c>
      <c r="K68" s="12" t="str">
        <f>IF(AND(ISNUMBER($T68),$T68&lt;&gt;""),IF(INDEX(Calc!$AC$3:$AC$122,$T68)="","—",INDEX(Calc!$AC$3:$AC$122,$T68)),"")</f>
        <v>—</v>
      </c>
      <c r="L68" s="12" t="str">
        <f>IF(AND(ISNUMBER($T68),$T68&lt;&gt;""),IF(INDEX(Calc!$AD$3:$AD$122,$T68)="","—",INDEX(Calc!$AD$3:$AD$122,$T68)),"")</f>
        <v>—</v>
      </c>
      <c r="M68" s="12" t="str">
        <f>IF(AND(ISNUMBER($T68),$T68&lt;&gt;""),IF(INDEX(Calc!$AE$3:$AE$122,$T68)="","—",INDEX(Calc!$AE$3:$AE$122,$T68)),"")</f>
        <v>—</v>
      </c>
      <c r="N68" s="12" t="str">
        <f>IF(AND(ISNUMBER($T68),$T68&lt;&gt;""),IF(INDEX(Calc!$AF$3:$AF$122,$T68)="","—",INDEX(Calc!$AF$3:$AF$122,$T68)),"")</f>
        <v>—</v>
      </c>
      <c r="O68" s="12" t="str">
        <f>IF(AND(ISNUMBER($T68),$T68&lt;&gt;""),IF(INDEX(Calc!$AG$3:$AG$122,$T68)="","—",INDEX(Calc!$AG$3:$AG$122,$T68)),"")</f>
        <v>—</v>
      </c>
      <c r="P68" s="13" t="str">
        <f>IF(AND(ISNUMBER($T68),$T68&lt;&gt;""),IF(INDEX(Calc!$AJ$3:$AJ$122,$T68)="","—",INDEX(Calc!$AJ$3:$AJ$122,$T68)),"")</f>
        <v>—</v>
      </c>
      <c r="Q68" s="13" t="str">
        <f>IF(AND(ISNUMBER($T68),$T68&lt;&gt;""),IF(INDEX(Calc!$AK$3:$AK$122,$T68)="","—",INDEX(Calc!$AK$3:$AK$122,$T68)),"")</f>
        <v>—</v>
      </c>
      <c r="R68" s="12" t="str">
        <f>IF(AND(ISNUMBER($T68),$T68&lt;&gt;""),IF(INDEX(Calc!$AL$3:$AL$122,$T68)="","—",INDEX(Calc!$AL$3:$AL$122,$T68)),"")</f>
        <v>—</v>
      </c>
      <c r="T68">
        <f>IFERROR(MATCH(64,Calc!$AN$3:$AN$122,0),"")</f>
        <v>61</v>
      </c>
    </row>
    <row r="69" spans="1:20" x14ac:dyDescent="0.2">
      <c r="A69" s="16" t="str">
        <f>IF(AND(ISNUMBER($T69),$T69&lt;&gt;""),INDEX(Calc!$S$3:$S$122,$T69),"")</f>
        <v>TEREA GRAPE</v>
      </c>
      <c r="B69" s="17" t="str">
        <f>IF(AND(ISNUMBER($T69),$T69&lt;&gt;""),IF(INDEX(Calc!$T$3:$T$122,$T69)="","—",INDEX(Calc!$T$3:$T$122,$T69)),"")</f>
        <v>—</v>
      </c>
      <c r="C69" s="17" t="str">
        <f>IF(AND(ISNUMBER($T69),$T69&lt;&gt;""),IF(INDEX(Calc!$U$3:$U$122,$T69)="","—",INDEX(Calc!$U$3:$U$122,$T69)),"")</f>
        <v>—</v>
      </c>
      <c r="D69" s="17" t="str">
        <f>IF(AND(ISNUMBER($T69),$T69&lt;&gt;""),IF(INDEX(Calc!$V$3:$V$122,$T69)="","—",INDEX(Calc!$V$3:$V$122,$T69)),"")</f>
        <v>—</v>
      </c>
      <c r="E69" s="17" t="str">
        <f>IF(AND(ISNUMBER($T69),$T69&lt;&gt;""),IF(INDEX(Calc!$W$3:$W$122,$T69)="","—",INDEX(Calc!$W$3:$W$122,$T69)),"")</f>
        <v>—</v>
      </c>
      <c r="F69" s="17" t="str">
        <f>IF(AND(ISNUMBER($T69),$T69&lt;&gt;""),IF(INDEX(Calc!$X$3:$X$122,$T69)="","—",INDEX(Calc!$X$3:$X$122,$T69)),"")</f>
        <v>—</v>
      </c>
      <c r="G69" s="17" t="str">
        <f>IF(AND(ISNUMBER($T69),$T69&lt;&gt;""),IF(INDEX(Calc!$Y$3:$Y$122,$T69)="","—",INDEX(Calc!$Y$3:$Y$122,$T69)),"")</f>
        <v>—</v>
      </c>
      <c r="H69" s="17" t="str">
        <f>IF(AND(ISNUMBER($T69),$T69&lt;&gt;""),IF(INDEX(Calc!$Z$3:$Z$122,$T69)="","—",INDEX(Calc!$Z$3:$Z$122,$T69)),"")</f>
        <v>—</v>
      </c>
      <c r="I69" s="17" t="str">
        <f>IF(AND(ISNUMBER($T69),$T69&lt;&gt;""),IF(INDEX(Calc!$AA$3:$AA$122,$T69)="","—",INDEX(Calc!$AA$3:$AA$122,$T69)),"")</f>
        <v>—</v>
      </c>
      <c r="J69" s="17" t="str">
        <f>IF(AND(ISNUMBER($T69),$T69&lt;&gt;""),IF(INDEX(Calc!$AB$3:$AB$122,$T69)="","—",INDEX(Calc!$AB$3:$AB$122,$T69)),"")</f>
        <v>—</v>
      </c>
      <c r="K69" s="17" t="str">
        <f>IF(AND(ISNUMBER($T69),$T69&lt;&gt;""),IF(INDEX(Calc!$AC$3:$AC$122,$T69)="","—",INDEX(Calc!$AC$3:$AC$122,$T69)),"")</f>
        <v>—</v>
      </c>
      <c r="L69" s="17" t="str">
        <f>IF(AND(ISNUMBER($T69),$T69&lt;&gt;""),IF(INDEX(Calc!$AD$3:$AD$122,$T69)="","—",INDEX(Calc!$AD$3:$AD$122,$T69)),"")</f>
        <v>—</v>
      </c>
      <c r="M69" s="17" t="str">
        <f>IF(AND(ISNUMBER($T69),$T69&lt;&gt;""),IF(INDEX(Calc!$AE$3:$AE$122,$T69)="","—",INDEX(Calc!$AE$3:$AE$122,$T69)),"")</f>
        <v>—</v>
      </c>
      <c r="N69" s="17" t="str">
        <f>IF(AND(ISNUMBER($T69),$T69&lt;&gt;""),IF(INDEX(Calc!$AF$3:$AF$122,$T69)="","—",INDEX(Calc!$AF$3:$AF$122,$T69)),"")</f>
        <v>—</v>
      </c>
      <c r="O69" s="17" t="str">
        <f>IF(AND(ISNUMBER($T69),$T69&lt;&gt;""),IF(INDEX(Calc!$AG$3:$AG$122,$T69)="","—",INDEX(Calc!$AG$3:$AG$122,$T69)),"")</f>
        <v>—</v>
      </c>
      <c r="P69" s="18" t="str">
        <f>IF(AND(ISNUMBER($T69),$T69&lt;&gt;""),IF(INDEX(Calc!$AJ$3:$AJ$122,$T69)="","—",INDEX(Calc!$AJ$3:$AJ$122,$T69)),"")</f>
        <v>—</v>
      </c>
      <c r="Q69" s="18" t="str">
        <f>IF(AND(ISNUMBER($T69),$T69&lt;&gt;""),IF(INDEX(Calc!$AK$3:$AK$122,$T69)="","—",INDEX(Calc!$AK$3:$AK$122,$T69)),"")</f>
        <v>—</v>
      </c>
      <c r="R69" s="17" t="str">
        <f>IF(AND(ISNUMBER($T69),$T69&lt;&gt;""),IF(INDEX(Calc!$AL$3:$AL$122,$T69)="","—",INDEX(Calc!$AL$3:$AL$122,$T69)),"")</f>
        <v>—</v>
      </c>
      <c r="T69">
        <f>IFERROR(MATCH(65,Calc!$AN$3:$AN$122,0),"")</f>
        <v>62</v>
      </c>
    </row>
    <row r="70" spans="1:20" x14ac:dyDescent="0.2">
      <c r="A70" s="11" t="str">
        <f>IF(AND(ISNUMBER($T70),$T70&lt;&gt;""),INDEX(Calc!$S$3:$S$122,$T70),"")</f>
        <v>TEREA KRETEK</v>
      </c>
      <c r="B70" s="12" t="str">
        <f>IF(AND(ISNUMBER($T70),$T70&lt;&gt;""),IF(INDEX(Calc!$T$3:$T$122,$T70)="","—",INDEX(Calc!$T$3:$T$122,$T70)),"")</f>
        <v>—</v>
      </c>
      <c r="C70" s="12" t="str">
        <f>IF(AND(ISNUMBER($T70),$T70&lt;&gt;""),IF(INDEX(Calc!$U$3:$U$122,$T70)="","—",INDEX(Calc!$U$3:$U$122,$T70)),"")</f>
        <v>—</v>
      </c>
      <c r="D70" s="12" t="str">
        <f>IF(AND(ISNUMBER($T70),$T70&lt;&gt;""),IF(INDEX(Calc!$V$3:$V$122,$T70)="","—",INDEX(Calc!$V$3:$V$122,$T70)),"")</f>
        <v>—</v>
      </c>
      <c r="E70" s="12" t="str">
        <f>IF(AND(ISNUMBER($T70),$T70&lt;&gt;""),IF(INDEX(Calc!$W$3:$W$122,$T70)="","—",INDEX(Calc!$W$3:$W$122,$T70)),"")</f>
        <v>—</v>
      </c>
      <c r="F70" s="12" t="str">
        <f>IF(AND(ISNUMBER($T70),$T70&lt;&gt;""),IF(INDEX(Calc!$X$3:$X$122,$T70)="","—",INDEX(Calc!$X$3:$X$122,$T70)),"")</f>
        <v>—</v>
      </c>
      <c r="G70" s="12" t="str">
        <f>IF(AND(ISNUMBER($T70),$T70&lt;&gt;""),IF(INDEX(Calc!$Y$3:$Y$122,$T70)="","—",INDEX(Calc!$Y$3:$Y$122,$T70)),"")</f>
        <v>—</v>
      </c>
      <c r="H70" s="12" t="str">
        <f>IF(AND(ISNUMBER($T70),$T70&lt;&gt;""),IF(INDEX(Calc!$Z$3:$Z$122,$T70)="","—",INDEX(Calc!$Z$3:$Z$122,$T70)),"")</f>
        <v>—</v>
      </c>
      <c r="I70" s="12" t="str">
        <f>IF(AND(ISNUMBER($T70),$T70&lt;&gt;""),IF(INDEX(Calc!$AA$3:$AA$122,$T70)="","—",INDEX(Calc!$AA$3:$AA$122,$T70)),"")</f>
        <v>—</v>
      </c>
      <c r="J70" s="12" t="str">
        <f>IF(AND(ISNUMBER($T70),$T70&lt;&gt;""),IF(INDEX(Calc!$AB$3:$AB$122,$T70)="","—",INDEX(Calc!$AB$3:$AB$122,$T70)),"")</f>
        <v>—</v>
      </c>
      <c r="K70" s="12" t="str">
        <f>IF(AND(ISNUMBER($T70),$T70&lt;&gt;""),IF(INDEX(Calc!$AC$3:$AC$122,$T70)="","—",INDEX(Calc!$AC$3:$AC$122,$T70)),"")</f>
        <v>—</v>
      </c>
      <c r="L70" s="12" t="str">
        <f>IF(AND(ISNUMBER($T70),$T70&lt;&gt;""),IF(INDEX(Calc!$AD$3:$AD$122,$T70)="","—",INDEX(Calc!$AD$3:$AD$122,$T70)),"")</f>
        <v>—</v>
      </c>
      <c r="M70" s="12" t="str">
        <f>IF(AND(ISNUMBER($T70),$T70&lt;&gt;""),IF(INDEX(Calc!$AE$3:$AE$122,$T70)="","—",INDEX(Calc!$AE$3:$AE$122,$T70)),"")</f>
        <v>—</v>
      </c>
      <c r="N70" s="12" t="str">
        <f>IF(AND(ISNUMBER($T70),$T70&lt;&gt;""),IF(INDEX(Calc!$AF$3:$AF$122,$T70)="","—",INDEX(Calc!$AF$3:$AF$122,$T70)),"")</f>
        <v>—</v>
      </c>
      <c r="O70" s="12" t="str">
        <f>IF(AND(ISNUMBER($T70),$T70&lt;&gt;""),IF(INDEX(Calc!$AG$3:$AG$122,$T70)="","—",INDEX(Calc!$AG$3:$AG$122,$T70)),"")</f>
        <v>—</v>
      </c>
      <c r="P70" s="13" t="str">
        <f>IF(AND(ISNUMBER($T70),$T70&lt;&gt;""),IF(INDEX(Calc!$AJ$3:$AJ$122,$T70)="","—",INDEX(Calc!$AJ$3:$AJ$122,$T70)),"")</f>
        <v>—</v>
      </c>
      <c r="Q70" s="13" t="str">
        <f>IF(AND(ISNUMBER($T70),$T70&lt;&gt;""),IF(INDEX(Calc!$AK$3:$AK$122,$T70)="","—",INDEX(Calc!$AK$3:$AK$122,$T70)),"")</f>
        <v>—</v>
      </c>
      <c r="R70" s="12" t="str">
        <f>IF(AND(ISNUMBER($T70),$T70&lt;&gt;""),IF(INDEX(Calc!$AL$3:$AL$122,$T70)="","—",INDEX(Calc!$AL$3:$AL$122,$T70)),"")</f>
        <v>—</v>
      </c>
      <c r="T70">
        <f>IFERROR(MATCH(66,Calc!$AN$3:$AN$122,0),"")</f>
        <v>63</v>
      </c>
    </row>
    <row r="71" spans="1:20" x14ac:dyDescent="0.2">
      <c r="A71" s="16" t="str">
        <f>IF(AND(ISNUMBER($T71),$T71&lt;&gt;""),INDEX(Calc!$S$3:$S$122,$T71),"")</f>
        <v>TEREA KRETEK MULBERRY</v>
      </c>
      <c r="B71" s="17" t="str">
        <f>IF(AND(ISNUMBER($T71),$T71&lt;&gt;""),IF(INDEX(Calc!$T$3:$T$122,$T71)="","—",INDEX(Calc!$T$3:$T$122,$T71)),"")</f>
        <v>—</v>
      </c>
      <c r="C71" s="17" t="str">
        <f>IF(AND(ISNUMBER($T71),$T71&lt;&gt;""),IF(INDEX(Calc!$U$3:$U$122,$T71)="","—",INDEX(Calc!$U$3:$U$122,$T71)),"")</f>
        <v>—</v>
      </c>
      <c r="D71" s="17" t="str">
        <f>IF(AND(ISNUMBER($T71),$T71&lt;&gt;""),IF(INDEX(Calc!$V$3:$V$122,$T71)="","—",INDEX(Calc!$V$3:$V$122,$T71)),"")</f>
        <v>—</v>
      </c>
      <c r="E71" s="17" t="str">
        <f>IF(AND(ISNUMBER($T71),$T71&lt;&gt;""),IF(INDEX(Calc!$W$3:$W$122,$T71)="","—",INDEX(Calc!$W$3:$W$122,$T71)),"")</f>
        <v>—</v>
      </c>
      <c r="F71" s="17" t="str">
        <f>IF(AND(ISNUMBER($T71),$T71&lt;&gt;""),IF(INDEX(Calc!$X$3:$X$122,$T71)="","—",INDEX(Calc!$X$3:$X$122,$T71)),"")</f>
        <v>—</v>
      </c>
      <c r="G71" s="17" t="str">
        <f>IF(AND(ISNUMBER($T71),$T71&lt;&gt;""),IF(INDEX(Calc!$Y$3:$Y$122,$T71)="","—",INDEX(Calc!$Y$3:$Y$122,$T71)),"")</f>
        <v>—</v>
      </c>
      <c r="H71" s="17" t="str">
        <f>IF(AND(ISNUMBER($T71),$T71&lt;&gt;""),IF(INDEX(Calc!$Z$3:$Z$122,$T71)="","—",INDEX(Calc!$Z$3:$Z$122,$T71)),"")</f>
        <v>—</v>
      </c>
      <c r="I71" s="17" t="str">
        <f>IF(AND(ISNUMBER($T71),$T71&lt;&gt;""),IF(INDEX(Calc!$AA$3:$AA$122,$T71)="","—",INDEX(Calc!$AA$3:$AA$122,$T71)),"")</f>
        <v>—</v>
      </c>
      <c r="J71" s="17" t="str">
        <f>IF(AND(ISNUMBER($T71),$T71&lt;&gt;""),IF(INDEX(Calc!$AB$3:$AB$122,$T71)="","—",INDEX(Calc!$AB$3:$AB$122,$T71)),"")</f>
        <v>—</v>
      </c>
      <c r="K71" s="17" t="str">
        <f>IF(AND(ISNUMBER($T71),$T71&lt;&gt;""),IF(INDEX(Calc!$AC$3:$AC$122,$T71)="","—",INDEX(Calc!$AC$3:$AC$122,$T71)),"")</f>
        <v>—</v>
      </c>
      <c r="L71" s="17" t="str">
        <f>IF(AND(ISNUMBER($T71),$T71&lt;&gt;""),IF(INDEX(Calc!$AD$3:$AD$122,$T71)="","—",INDEX(Calc!$AD$3:$AD$122,$T71)),"")</f>
        <v>—</v>
      </c>
      <c r="M71" s="17" t="str">
        <f>IF(AND(ISNUMBER($T71),$T71&lt;&gt;""),IF(INDEX(Calc!$AE$3:$AE$122,$T71)="","—",INDEX(Calc!$AE$3:$AE$122,$T71)),"")</f>
        <v>—</v>
      </c>
      <c r="N71" s="17" t="str">
        <f>IF(AND(ISNUMBER($T71),$T71&lt;&gt;""),IF(INDEX(Calc!$AF$3:$AF$122,$T71)="","—",INDEX(Calc!$AF$3:$AF$122,$T71)),"")</f>
        <v>—</v>
      </c>
      <c r="O71" s="17" t="str">
        <f>IF(AND(ISNUMBER($T71),$T71&lt;&gt;""),IF(INDEX(Calc!$AG$3:$AG$122,$T71)="","—",INDEX(Calc!$AG$3:$AG$122,$T71)),"")</f>
        <v>—</v>
      </c>
      <c r="P71" s="18" t="str">
        <f>IF(AND(ISNUMBER($T71),$T71&lt;&gt;""),IF(INDEX(Calc!$AJ$3:$AJ$122,$T71)="","—",INDEX(Calc!$AJ$3:$AJ$122,$T71)),"")</f>
        <v>—</v>
      </c>
      <c r="Q71" s="18" t="str">
        <f>IF(AND(ISNUMBER($T71),$T71&lt;&gt;""),IF(INDEX(Calc!$AK$3:$AK$122,$T71)="","—",INDEX(Calc!$AK$3:$AK$122,$T71)),"")</f>
        <v>—</v>
      </c>
      <c r="R71" s="17" t="str">
        <f>IF(AND(ISNUMBER($T71),$T71&lt;&gt;""),IF(INDEX(Calc!$AL$3:$AL$122,$T71)="","—",INDEX(Calc!$AL$3:$AL$122,$T71)),"")</f>
        <v>—</v>
      </c>
      <c r="T71">
        <f>IFERROR(MATCH(67,Calc!$AN$3:$AN$122,0),"")</f>
        <v>64</v>
      </c>
    </row>
    <row r="72" spans="1:20" x14ac:dyDescent="0.2">
      <c r="A72" s="11" t="str">
        <f>IF(AND(ISNUMBER($T72),$T72&lt;&gt;""),INDEX(Calc!$S$3:$S$122,$T72),"")</f>
        <v>TEREA LEMON</v>
      </c>
      <c r="B72" s="12" t="str">
        <f>IF(AND(ISNUMBER($T72),$T72&lt;&gt;""),IF(INDEX(Calc!$T$3:$T$122,$T72)="","—",INDEX(Calc!$T$3:$T$122,$T72)),"")</f>
        <v>—</v>
      </c>
      <c r="C72" s="12" t="str">
        <f>IF(AND(ISNUMBER($T72),$T72&lt;&gt;""),IF(INDEX(Calc!$U$3:$U$122,$T72)="","—",INDEX(Calc!$U$3:$U$122,$T72)),"")</f>
        <v>—</v>
      </c>
      <c r="D72" s="12" t="str">
        <f>IF(AND(ISNUMBER($T72),$T72&lt;&gt;""),IF(INDEX(Calc!$V$3:$V$122,$T72)="","—",INDEX(Calc!$V$3:$V$122,$T72)),"")</f>
        <v>—</v>
      </c>
      <c r="E72" s="12" t="str">
        <f>IF(AND(ISNUMBER($T72),$T72&lt;&gt;""),IF(INDEX(Calc!$W$3:$W$122,$T72)="","—",INDEX(Calc!$W$3:$W$122,$T72)),"")</f>
        <v>—</v>
      </c>
      <c r="F72" s="12" t="str">
        <f>IF(AND(ISNUMBER($T72),$T72&lt;&gt;""),IF(INDEX(Calc!$X$3:$X$122,$T72)="","—",INDEX(Calc!$X$3:$X$122,$T72)),"")</f>
        <v>—</v>
      </c>
      <c r="G72" s="12" t="str">
        <f>IF(AND(ISNUMBER($T72),$T72&lt;&gt;""),IF(INDEX(Calc!$Y$3:$Y$122,$T72)="","—",INDEX(Calc!$Y$3:$Y$122,$T72)),"")</f>
        <v>—</v>
      </c>
      <c r="H72" s="12" t="str">
        <f>IF(AND(ISNUMBER($T72),$T72&lt;&gt;""),IF(INDEX(Calc!$Z$3:$Z$122,$T72)="","—",INDEX(Calc!$Z$3:$Z$122,$T72)),"")</f>
        <v>—</v>
      </c>
      <c r="I72" s="12" t="str">
        <f>IF(AND(ISNUMBER($T72),$T72&lt;&gt;""),IF(INDEX(Calc!$AA$3:$AA$122,$T72)="","—",INDEX(Calc!$AA$3:$AA$122,$T72)),"")</f>
        <v>—</v>
      </c>
      <c r="J72" s="12" t="str">
        <f>IF(AND(ISNUMBER($T72),$T72&lt;&gt;""),IF(INDEX(Calc!$AB$3:$AB$122,$T72)="","—",INDEX(Calc!$AB$3:$AB$122,$T72)),"")</f>
        <v>—</v>
      </c>
      <c r="K72" s="12" t="str">
        <f>IF(AND(ISNUMBER($T72),$T72&lt;&gt;""),IF(INDEX(Calc!$AC$3:$AC$122,$T72)="","—",INDEX(Calc!$AC$3:$AC$122,$T72)),"")</f>
        <v>—</v>
      </c>
      <c r="L72" s="12" t="str">
        <f>IF(AND(ISNUMBER($T72),$T72&lt;&gt;""),IF(INDEX(Calc!$AD$3:$AD$122,$T72)="","—",INDEX(Calc!$AD$3:$AD$122,$T72)),"")</f>
        <v>—</v>
      </c>
      <c r="M72" s="12" t="str">
        <f>IF(AND(ISNUMBER($T72),$T72&lt;&gt;""),IF(INDEX(Calc!$AE$3:$AE$122,$T72)="","—",INDEX(Calc!$AE$3:$AE$122,$T72)),"")</f>
        <v>—</v>
      </c>
      <c r="N72" s="12" t="str">
        <f>IF(AND(ISNUMBER($T72),$T72&lt;&gt;""),IF(INDEX(Calc!$AF$3:$AF$122,$T72)="","—",INDEX(Calc!$AF$3:$AF$122,$T72)),"")</f>
        <v>—</v>
      </c>
      <c r="O72" s="12" t="str">
        <f>IF(AND(ISNUMBER($T72),$T72&lt;&gt;""),IF(INDEX(Calc!$AG$3:$AG$122,$T72)="","—",INDEX(Calc!$AG$3:$AG$122,$T72)),"")</f>
        <v>—</v>
      </c>
      <c r="P72" s="13" t="str">
        <f>IF(AND(ISNUMBER($T72),$T72&lt;&gt;""),IF(INDEX(Calc!$AJ$3:$AJ$122,$T72)="","—",INDEX(Calc!$AJ$3:$AJ$122,$T72)),"")</f>
        <v>—</v>
      </c>
      <c r="Q72" s="13" t="str">
        <f>IF(AND(ISNUMBER($T72),$T72&lt;&gt;""),IF(INDEX(Calc!$AK$3:$AK$122,$T72)="","—",INDEX(Calc!$AK$3:$AK$122,$T72)),"")</f>
        <v>—</v>
      </c>
      <c r="R72" s="12" t="str">
        <f>IF(AND(ISNUMBER($T72),$T72&lt;&gt;""),IF(INDEX(Calc!$AL$3:$AL$122,$T72)="","—",INDEX(Calc!$AL$3:$AL$122,$T72)),"")</f>
        <v>—</v>
      </c>
      <c r="T72">
        <f>IFERROR(MATCH(68,Calc!$AN$3:$AN$122,0),"")</f>
        <v>65</v>
      </c>
    </row>
    <row r="73" spans="1:20" x14ac:dyDescent="0.2">
      <c r="A73" s="16" t="str">
        <f>IF(AND(ISNUMBER($T73),$T73&lt;&gt;""),INDEX(Calc!$S$3:$S$122,$T73),"")</f>
        <v>TEREA PASSION FRUIT</v>
      </c>
      <c r="B73" s="17" t="str">
        <f>IF(AND(ISNUMBER($T73),$T73&lt;&gt;""),IF(INDEX(Calc!$T$3:$T$122,$T73)="","—",INDEX(Calc!$T$3:$T$122,$T73)),"")</f>
        <v>—</v>
      </c>
      <c r="C73" s="17" t="str">
        <f>IF(AND(ISNUMBER($T73),$T73&lt;&gt;""),IF(INDEX(Calc!$U$3:$U$122,$T73)="","—",INDEX(Calc!$U$3:$U$122,$T73)),"")</f>
        <v>—</v>
      </c>
      <c r="D73" s="17" t="str">
        <f>IF(AND(ISNUMBER($T73),$T73&lt;&gt;""),IF(INDEX(Calc!$V$3:$V$122,$T73)="","—",INDEX(Calc!$V$3:$V$122,$T73)),"")</f>
        <v>—</v>
      </c>
      <c r="E73" s="17" t="str">
        <f>IF(AND(ISNUMBER($T73),$T73&lt;&gt;""),IF(INDEX(Calc!$W$3:$W$122,$T73)="","—",INDEX(Calc!$W$3:$W$122,$T73)),"")</f>
        <v>—</v>
      </c>
      <c r="F73" s="17" t="str">
        <f>IF(AND(ISNUMBER($T73),$T73&lt;&gt;""),IF(INDEX(Calc!$X$3:$X$122,$T73)="","—",INDEX(Calc!$X$3:$X$122,$T73)),"")</f>
        <v>—</v>
      </c>
      <c r="G73" s="17" t="str">
        <f>IF(AND(ISNUMBER($T73),$T73&lt;&gt;""),IF(INDEX(Calc!$Y$3:$Y$122,$T73)="","—",INDEX(Calc!$Y$3:$Y$122,$T73)),"")</f>
        <v>—</v>
      </c>
      <c r="H73" s="17" t="str">
        <f>IF(AND(ISNUMBER($T73),$T73&lt;&gt;""),IF(INDEX(Calc!$Z$3:$Z$122,$T73)="","—",INDEX(Calc!$Z$3:$Z$122,$T73)),"")</f>
        <v>—</v>
      </c>
      <c r="I73" s="17" t="str">
        <f>IF(AND(ISNUMBER($T73),$T73&lt;&gt;""),IF(INDEX(Calc!$AA$3:$AA$122,$T73)="","—",INDEX(Calc!$AA$3:$AA$122,$T73)),"")</f>
        <v>—</v>
      </c>
      <c r="J73" s="17" t="str">
        <f>IF(AND(ISNUMBER($T73),$T73&lt;&gt;""),IF(INDEX(Calc!$AB$3:$AB$122,$T73)="","—",INDEX(Calc!$AB$3:$AB$122,$T73)),"")</f>
        <v>—</v>
      </c>
      <c r="K73" s="17" t="str">
        <f>IF(AND(ISNUMBER($T73),$T73&lt;&gt;""),IF(INDEX(Calc!$AC$3:$AC$122,$T73)="","—",INDEX(Calc!$AC$3:$AC$122,$T73)),"")</f>
        <v>—</v>
      </c>
      <c r="L73" s="17" t="str">
        <f>IF(AND(ISNUMBER($T73),$T73&lt;&gt;""),IF(INDEX(Calc!$AD$3:$AD$122,$T73)="","—",INDEX(Calc!$AD$3:$AD$122,$T73)),"")</f>
        <v>—</v>
      </c>
      <c r="M73" s="17" t="str">
        <f>IF(AND(ISNUMBER($T73),$T73&lt;&gt;""),IF(INDEX(Calc!$AE$3:$AE$122,$T73)="","—",INDEX(Calc!$AE$3:$AE$122,$T73)),"")</f>
        <v>—</v>
      </c>
      <c r="N73" s="17" t="str">
        <f>IF(AND(ISNUMBER($T73),$T73&lt;&gt;""),IF(INDEX(Calc!$AF$3:$AF$122,$T73)="","—",INDEX(Calc!$AF$3:$AF$122,$T73)),"")</f>
        <v>—</v>
      </c>
      <c r="O73" s="17" t="str">
        <f>IF(AND(ISNUMBER($T73),$T73&lt;&gt;""),IF(INDEX(Calc!$AG$3:$AG$122,$T73)="","—",INDEX(Calc!$AG$3:$AG$122,$T73)),"")</f>
        <v>—</v>
      </c>
      <c r="P73" s="18" t="str">
        <f>IF(AND(ISNUMBER($T73),$T73&lt;&gt;""),IF(INDEX(Calc!$AJ$3:$AJ$122,$T73)="","—",INDEX(Calc!$AJ$3:$AJ$122,$T73)),"")</f>
        <v>—</v>
      </c>
      <c r="Q73" s="18" t="str">
        <f>IF(AND(ISNUMBER($T73),$T73&lt;&gt;""),IF(INDEX(Calc!$AK$3:$AK$122,$T73)="","—",INDEX(Calc!$AK$3:$AK$122,$T73)),"")</f>
        <v>—</v>
      </c>
      <c r="R73" s="17" t="str">
        <f>IF(AND(ISNUMBER($T73),$T73&lt;&gt;""),IF(INDEX(Calc!$AL$3:$AL$122,$T73)="","—",INDEX(Calc!$AL$3:$AL$122,$T73)),"")</f>
        <v>—</v>
      </c>
      <c r="T73">
        <f>IFERROR(MATCH(69,Calc!$AN$3:$AN$122,0),"")</f>
        <v>66</v>
      </c>
    </row>
    <row r="74" spans="1:20" x14ac:dyDescent="0.2">
      <c r="A74" s="11" t="str">
        <f>IF(AND(ISNUMBER($T74),$T74&lt;&gt;""),INDEX(Calc!$S$3:$S$122,$T74),"")</f>
        <v>TEREA RASPBERRY ROSE</v>
      </c>
      <c r="B74" s="12" t="str">
        <f>IF(AND(ISNUMBER($T74),$T74&lt;&gt;""),IF(INDEX(Calc!$T$3:$T$122,$T74)="","—",INDEX(Calc!$T$3:$T$122,$T74)),"")</f>
        <v>—</v>
      </c>
      <c r="C74" s="12" t="str">
        <f>IF(AND(ISNUMBER($T74),$T74&lt;&gt;""),IF(INDEX(Calc!$U$3:$U$122,$T74)="","—",INDEX(Calc!$U$3:$U$122,$T74)),"")</f>
        <v>—</v>
      </c>
      <c r="D74" s="12" t="str">
        <f>IF(AND(ISNUMBER($T74),$T74&lt;&gt;""),IF(INDEX(Calc!$V$3:$V$122,$T74)="","—",INDEX(Calc!$V$3:$V$122,$T74)),"")</f>
        <v>—</v>
      </c>
      <c r="E74" s="12" t="str">
        <f>IF(AND(ISNUMBER($T74),$T74&lt;&gt;""),IF(INDEX(Calc!$W$3:$W$122,$T74)="","—",INDEX(Calc!$W$3:$W$122,$T74)),"")</f>
        <v>—</v>
      </c>
      <c r="F74" s="12" t="str">
        <f>IF(AND(ISNUMBER($T74),$T74&lt;&gt;""),IF(INDEX(Calc!$X$3:$X$122,$T74)="","—",INDEX(Calc!$X$3:$X$122,$T74)),"")</f>
        <v>—</v>
      </c>
      <c r="G74" s="12" t="str">
        <f>IF(AND(ISNUMBER($T74),$T74&lt;&gt;""),IF(INDEX(Calc!$Y$3:$Y$122,$T74)="","—",INDEX(Calc!$Y$3:$Y$122,$T74)),"")</f>
        <v>—</v>
      </c>
      <c r="H74" s="12" t="str">
        <f>IF(AND(ISNUMBER($T74),$T74&lt;&gt;""),IF(INDEX(Calc!$Z$3:$Z$122,$T74)="","—",INDEX(Calc!$Z$3:$Z$122,$T74)),"")</f>
        <v>—</v>
      </c>
      <c r="I74" s="12" t="str">
        <f>IF(AND(ISNUMBER($T74),$T74&lt;&gt;""),IF(INDEX(Calc!$AA$3:$AA$122,$T74)="","—",INDEX(Calc!$AA$3:$AA$122,$T74)),"")</f>
        <v>—</v>
      </c>
      <c r="J74" s="12" t="str">
        <f>IF(AND(ISNUMBER($T74),$T74&lt;&gt;""),IF(INDEX(Calc!$AB$3:$AB$122,$T74)="","—",INDEX(Calc!$AB$3:$AB$122,$T74)),"")</f>
        <v>—</v>
      </c>
      <c r="K74" s="12" t="str">
        <f>IF(AND(ISNUMBER($T74),$T74&lt;&gt;""),IF(INDEX(Calc!$AC$3:$AC$122,$T74)="","—",INDEX(Calc!$AC$3:$AC$122,$T74)),"")</f>
        <v>—</v>
      </c>
      <c r="L74" s="12" t="str">
        <f>IF(AND(ISNUMBER($T74),$T74&lt;&gt;""),IF(INDEX(Calc!$AD$3:$AD$122,$T74)="","—",INDEX(Calc!$AD$3:$AD$122,$T74)),"")</f>
        <v>—</v>
      </c>
      <c r="M74" s="12" t="str">
        <f>IF(AND(ISNUMBER($T74),$T74&lt;&gt;""),IF(INDEX(Calc!$AE$3:$AE$122,$T74)="","—",INDEX(Calc!$AE$3:$AE$122,$T74)),"")</f>
        <v>—</v>
      </c>
      <c r="N74" s="12" t="str">
        <f>IF(AND(ISNUMBER($T74),$T74&lt;&gt;""),IF(INDEX(Calc!$AF$3:$AF$122,$T74)="","—",INDEX(Calc!$AF$3:$AF$122,$T74)),"")</f>
        <v>—</v>
      </c>
      <c r="O74" s="12" t="str">
        <f>IF(AND(ISNUMBER($T74),$T74&lt;&gt;""),IF(INDEX(Calc!$AG$3:$AG$122,$T74)="","—",INDEX(Calc!$AG$3:$AG$122,$T74)),"")</f>
        <v>—</v>
      </c>
      <c r="P74" s="13" t="str">
        <f>IF(AND(ISNUMBER($T74),$T74&lt;&gt;""),IF(INDEX(Calc!$AJ$3:$AJ$122,$T74)="","—",INDEX(Calc!$AJ$3:$AJ$122,$T74)),"")</f>
        <v>—</v>
      </c>
      <c r="Q74" s="13" t="str">
        <f>IF(AND(ISNUMBER($T74),$T74&lt;&gt;""),IF(INDEX(Calc!$AK$3:$AK$122,$T74)="","—",INDEX(Calc!$AK$3:$AK$122,$T74)),"")</f>
        <v>—</v>
      </c>
      <c r="R74" s="12" t="str">
        <f>IF(AND(ISNUMBER($T74),$T74&lt;&gt;""),IF(INDEX(Calc!$AL$3:$AL$122,$T74)="","—",INDEX(Calc!$AL$3:$AL$122,$T74)),"")</f>
        <v>—</v>
      </c>
      <c r="T74">
        <f>IFERROR(MATCH(70,Calc!$AN$3:$AN$122,0),"")</f>
        <v>67</v>
      </c>
    </row>
    <row r="75" spans="1:20" x14ac:dyDescent="0.2">
      <c r="A75" s="16" t="str">
        <f>IF(AND(ISNUMBER($T75),$T75&lt;&gt;""),INDEX(Calc!$S$3:$S$122,$T75),"")</f>
        <v>TEREA RUSSET</v>
      </c>
      <c r="B75" s="17" t="str">
        <f>IF(AND(ISNUMBER($T75),$T75&lt;&gt;""),IF(INDEX(Calc!$T$3:$T$122,$T75)="","—",INDEX(Calc!$T$3:$T$122,$T75)),"")</f>
        <v>—</v>
      </c>
      <c r="C75" s="17" t="str">
        <f>IF(AND(ISNUMBER($T75),$T75&lt;&gt;""),IF(INDEX(Calc!$U$3:$U$122,$T75)="","—",INDEX(Calc!$U$3:$U$122,$T75)),"")</f>
        <v>—</v>
      </c>
      <c r="D75" s="17" t="str">
        <f>IF(AND(ISNUMBER($T75),$T75&lt;&gt;""),IF(INDEX(Calc!$V$3:$V$122,$T75)="","—",INDEX(Calc!$V$3:$V$122,$T75)),"")</f>
        <v>—</v>
      </c>
      <c r="E75" s="17" t="str">
        <f>IF(AND(ISNUMBER($T75),$T75&lt;&gt;""),IF(INDEX(Calc!$W$3:$W$122,$T75)="","—",INDEX(Calc!$W$3:$W$122,$T75)),"")</f>
        <v>—</v>
      </c>
      <c r="F75" s="17" t="str">
        <f>IF(AND(ISNUMBER($T75),$T75&lt;&gt;""),IF(INDEX(Calc!$X$3:$X$122,$T75)="","—",INDEX(Calc!$X$3:$X$122,$T75)),"")</f>
        <v>—</v>
      </c>
      <c r="G75" s="17" t="str">
        <f>IF(AND(ISNUMBER($T75),$T75&lt;&gt;""),IF(INDEX(Calc!$Y$3:$Y$122,$T75)="","—",INDEX(Calc!$Y$3:$Y$122,$T75)),"")</f>
        <v>—</v>
      </c>
      <c r="H75" s="17" t="str">
        <f>IF(AND(ISNUMBER($T75),$T75&lt;&gt;""),IF(INDEX(Calc!$Z$3:$Z$122,$T75)="","—",INDEX(Calc!$Z$3:$Z$122,$T75)),"")</f>
        <v>—</v>
      </c>
      <c r="I75" s="17" t="str">
        <f>IF(AND(ISNUMBER($T75),$T75&lt;&gt;""),IF(INDEX(Calc!$AA$3:$AA$122,$T75)="","—",INDEX(Calc!$AA$3:$AA$122,$T75)),"")</f>
        <v>—</v>
      </c>
      <c r="J75" s="17" t="str">
        <f>IF(AND(ISNUMBER($T75),$T75&lt;&gt;""),IF(INDEX(Calc!$AB$3:$AB$122,$T75)="","—",INDEX(Calc!$AB$3:$AB$122,$T75)),"")</f>
        <v>—</v>
      </c>
      <c r="K75" s="17" t="str">
        <f>IF(AND(ISNUMBER($T75),$T75&lt;&gt;""),IF(INDEX(Calc!$AC$3:$AC$122,$T75)="","—",INDEX(Calc!$AC$3:$AC$122,$T75)),"")</f>
        <v>—</v>
      </c>
      <c r="L75" s="17" t="str">
        <f>IF(AND(ISNUMBER($T75),$T75&lt;&gt;""),IF(INDEX(Calc!$AD$3:$AD$122,$T75)="","—",INDEX(Calc!$AD$3:$AD$122,$T75)),"")</f>
        <v>—</v>
      </c>
      <c r="M75" s="17" t="str">
        <f>IF(AND(ISNUMBER($T75),$T75&lt;&gt;""),IF(INDEX(Calc!$AE$3:$AE$122,$T75)="","—",INDEX(Calc!$AE$3:$AE$122,$T75)),"")</f>
        <v>—</v>
      </c>
      <c r="N75" s="17" t="str">
        <f>IF(AND(ISNUMBER($T75),$T75&lt;&gt;""),IF(INDEX(Calc!$AF$3:$AF$122,$T75)="","—",INDEX(Calc!$AF$3:$AF$122,$T75)),"")</f>
        <v>—</v>
      </c>
      <c r="O75" s="17" t="str">
        <f>IF(AND(ISNUMBER($T75),$T75&lt;&gt;""),IF(INDEX(Calc!$AG$3:$AG$122,$T75)="","—",INDEX(Calc!$AG$3:$AG$122,$T75)),"")</f>
        <v>—</v>
      </c>
      <c r="P75" s="18" t="str">
        <f>IF(AND(ISNUMBER($T75),$T75&lt;&gt;""),IF(INDEX(Calc!$AJ$3:$AJ$122,$T75)="","—",INDEX(Calc!$AJ$3:$AJ$122,$T75)),"")</f>
        <v>—</v>
      </c>
      <c r="Q75" s="18" t="str">
        <f>IF(AND(ISNUMBER($T75),$T75&lt;&gt;""),IF(INDEX(Calc!$AK$3:$AK$122,$T75)="","—",INDEX(Calc!$AK$3:$AK$122,$T75)),"")</f>
        <v>—</v>
      </c>
      <c r="R75" s="17" t="str">
        <f>IF(AND(ISNUMBER($T75),$T75&lt;&gt;""),IF(INDEX(Calc!$AL$3:$AL$122,$T75)="","—",INDEX(Calc!$AL$3:$AL$122,$T75)),"")</f>
        <v>—</v>
      </c>
      <c r="T75">
        <f>IFERROR(MATCH(71,Calc!$AN$3:$AN$122,0),"")</f>
        <v>68</v>
      </c>
    </row>
    <row r="76" spans="1:20" x14ac:dyDescent="0.2">
      <c r="A76" s="11" t="str">
        <f>IF(AND(ISNUMBER($T76),$T76&lt;&gt;""),INDEX(Calc!$S$3:$S$122,$T76),"")</f>
        <v>TEREA SIENNA</v>
      </c>
      <c r="B76" s="12" t="str">
        <f>IF(AND(ISNUMBER($T76),$T76&lt;&gt;""),IF(INDEX(Calc!$T$3:$T$122,$T76)="","—",INDEX(Calc!$T$3:$T$122,$T76)),"")</f>
        <v>—</v>
      </c>
      <c r="C76" s="12" t="str">
        <f>IF(AND(ISNUMBER($T76),$T76&lt;&gt;""),IF(INDEX(Calc!$U$3:$U$122,$T76)="","—",INDEX(Calc!$U$3:$U$122,$T76)),"")</f>
        <v>—</v>
      </c>
      <c r="D76" s="12" t="str">
        <f>IF(AND(ISNUMBER($T76),$T76&lt;&gt;""),IF(INDEX(Calc!$V$3:$V$122,$T76)="","—",INDEX(Calc!$V$3:$V$122,$T76)),"")</f>
        <v>—</v>
      </c>
      <c r="E76" s="12" t="str">
        <f>IF(AND(ISNUMBER($T76),$T76&lt;&gt;""),IF(INDEX(Calc!$W$3:$W$122,$T76)="","—",INDEX(Calc!$W$3:$W$122,$T76)),"")</f>
        <v>—</v>
      </c>
      <c r="F76" s="12" t="str">
        <f>IF(AND(ISNUMBER($T76),$T76&lt;&gt;""),IF(INDEX(Calc!$X$3:$X$122,$T76)="","—",INDEX(Calc!$X$3:$X$122,$T76)),"")</f>
        <v>—</v>
      </c>
      <c r="G76" s="12" t="str">
        <f>IF(AND(ISNUMBER($T76),$T76&lt;&gt;""),IF(INDEX(Calc!$Y$3:$Y$122,$T76)="","—",INDEX(Calc!$Y$3:$Y$122,$T76)),"")</f>
        <v>—</v>
      </c>
      <c r="H76" s="12" t="str">
        <f>IF(AND(ISNUMBER($T76),$T76&lt;&gt;""),IF(INDEX(Calc!$Z$3:$Z$122,$T76)="","—",INDEX(Calc!$Z$3:$Z$122,$T76)),"")</f>
        <v>—</v>
      </c>
      <c r="I76" s="12" t="str">
        <f>IF(AND(ISNUMBER($T76),$T76&lt;&gt;""),IF(INDEX(Calc!$AA$3:$AA$122,$T76)="","—",INDEX(Calc!$AA$3:$AA$122,$T76)),"")</f>
        <v>—</v>
      </c>
      <c r="J76" s="12" t="str">
        <f>IF(AND(ISNUMBER($T76),$T76&lt;&gt;""),IF(INDEX(Calc!$AB$3:$AB$122,$T76)="","—",INDEX(Calc!$AB$3:$AB$122,$T76)),"")</f>
        <v>—</v>
      </c>
      <c r="K76" s="12" t="str">
        <f>IF(AND(ISNUMBER($T76),$T76&lt;&gt;""),IF(INDEX(Calc!$AC$3:$AC$122,$T76)="","—",INDEX(Calc!$AC$3:$AC$122,$T76)),"")</f>
        <v>—</v>
      </c>
      <c r="L76" s="12" t="str">
        <f>IF(AND(ISNUMBER($T76),$T76&lt;&gt;""),IF(INDEX(Calc!$AD$3:$AD$122,$T76)="","—",INDEX(Calc!$AD$3:$AD$122,$T76)),"")</f>
        <v>—</v>
      </c>
      <c r="M76" s="12" t="str">
        <f>IF(AND(ISNUMBER($T76),$T76&lt;&gt;""),IF(INDEX(Calc!$AE$3:$AE$122,$T76)="","—",INDEX(Calc!$AE$3:$AE$122,$T76)),"")</f>
        <v>—</v>
      </c>
      <c r="N76" s="12" t="str">
        <f>IF(AND(ISNUMBER($T76),$T76&lt;&gt;""),IF(INDEX(Calc!$AF$3:$AF$122,$T76)="","—",INDEX(Calc!$AF$3:$AF$122,$T76)),"")</f>
        <v>—</v>
      </c>
      <c r="O76" s="12" t="str">
        <f>IF(AND(ISNUMBER($T76),$T76&lt;&gt;""),IF(INDEX(Calc!$AG$3:$AG$122,$T76)="","—",INDEX(Calc!$AG$3:$AG$122,$T76)),"")</f>
        <v>—</v>
      </c>
      <c r="P76" s="13" t="str">
        <f>IF(AND(ISNUMBER($T76),$T76&lt;&gt;""),IF(INDEX(Calc!$AJ$3:$AJ$122,$T76)="","—",INDEX(Calc!$AJ$3:$AJ$122,$T76)),"")</f>
        <v>—</v>
      </c>
      <c r="Q76" s="13" t="str">
        <f>IF(AND(ISNUMBER($T76),$T76&lt;&gt;""),IF(INDEX(Calc!$AK$3:$AK$122,$T76)="","—",INDEX(Calc!$AK$3:$AK$122,$T76)),"")</f>
        <v>—</v>
      </c>
      <c r="R76" s="12" t="str">
        <f>IF(AND(ISNUMBER($T76),$T76&lt;&gt;""),IF(INDEX(Calc!$AL$3:$AL$122,$T76)="","—",INDEX(Calc!$AL$3:$AL$122,$T76)),"")</f>
        <v>—</v>
      </c>
      <c r="T76">
        <f>IFERROR(MATCH(72,Calc!$AN$3:$AN$122,0),"")</f>
        <v>69</v>
      </c>
    </row>
    <row r="77" spans="1:20" x14ac:dyDescent="0.2">
      <c r="A77" s="16" t="str">
        <f>IF(AND(ISNUMBER($T77),$T77&lt;&gt;""),INDEX(Calc!$S$3:$S$122,$T77),"")</f>
        <v>TEREA STRAWBERRY BASIL</v>
      </c>
      <c r="B77" s="17" t="str">
        <f>IF(AND(ISNUMBER($T77),$T77&lt;&gt;""),IF(INDEX(Calc!$T$3:$T$122,$T77)="","—",INDEX(Calc!$T$3:$T$122,$T77)),"")</f>
        <v>—</v>
      </c>
      <c r="C77" s="17" t="str">
        <f>IF(AND(ISNUMBER($T77),$T77&lt;&gt;""),IF(INDEX(Calc!$U$3:$U$122,$T77)="","—",INDEX(Calc!$U$3:$U$122,$T77)),"")</f>
        <v>—</v>
      </c>
      <c r="D77" s="17" t="str">
        <f>IF(AND(ISNUMBER($T77),$T77&lt;&gt;""),IF(INDEX(Calc!$V$3:$V$122,$T77)="","—",INDEX(Calc!$V$3:$V$122,$T77)),"")</f>
        <v>—</v>
      </c>
      <c r="E77" s="17" t="str">
        <f>IF(AND(ISNUMBER($T77),$T77&lt;&gt;""),IF(INDEX(Calc!$W$3:$W$122,$T77)="","—",INDEX(Calc!$W$3:$W$122,$T77)),"")</f>
        <v>—</v>
      </c>
      <c r="F77" s="17" t="str">
        <f>IF(AND(ISNUMBER($T77),$T77&lt;&gt;""),IF(INDEX(Calc!$X$3:$X$122,$T77)="","—",INDEX(Calc!$X$3:$X$122,$T77)),"")</f>
        <v>—</v>
      </c>
      <c r="G77" s="17" t="str">
        <f>IF(AND(ISNUMBER($T77),$T77&lt;&gt;""),IF(INDEX(Calc!$Y$3:$Y$122,$T77)="","—",INDEX(Calc!$Y$3:$Y$122,$T77)),"")</f>
        <v>—</v>
      </c>
      <c r="H77" s="17" t="str">
        <f>IF(AND(ISNUMBER($T77),$T77&lt;&gt;""),IF(INDEX(Calc!$Z$3:$Z$122,$T77)="","—",INDEX(Calc!$Z$3:$Z$122,$T77)),"")</f>
        <v>—</v>
      </c>
      <c r="I77" s="17" t="str">
        <f>IF(AND(ISNUMBER($T77),$T77&lt;&gt;""),IF(INDEX(Calc!$AA$3:$AA$122,$T77)="","—",INDEX(Calc!$AA$3:$AA$122,$T77)),"")</f>
        <v>—</v>
      </c>
      <c r="J77" s="17" t="str">
        <f>IF(AND(ISNUMBER($T77),$T77&lt;&gt;""),IF(INDEX(Calc!$AB$3:$AB$122,$T77)="","—",INDEX(Calc!$AB$3:$AB$122,$T77)),"")</f>
        <v>—</v>
      </c>
      <c r="K77" s="17" t="str">
        <f>IF(AND(ISNUMBER($T77),$T77&lt;&gt;""),IF(INDEX(Calc!$AC$3:$AC$122,$T77)="","—",INDEX(Calc!$AC$3:$AC$122,$T77)),"")</f>
        <v>—</v>
      </c>
      <c r="L77" s="17" t="str">
        <f>IF(AND(ISNUMBER($T77),$T77&lt;&gt;""),IF(INDEX(Calc!$AD$3:$AD$122,$T77)="","—",INDEX(Calc!$AD$3:$AD$122,$T77)),"")</f>
        <v>—</v>
      </c>
      <c r="M77" s="17" t="str">
        <f>IF(AND(ISNUMBER($T77),$T77&lt;&gt;""),IF(INDEX(Calc!$AE$3:$AE$122,$T77)="","—",INDEX(Calc!$AE$3:$AE$122,$T77)),"")</f>
        <v>—</v>
      </c>
      <c r="N77" s="17" t="str">
        <f>IF(AND(ISNUMBER($T77),$T77&lt;&gt;""),IF(INDEX(Calc!$AF$3:$AF$122,$T77)="","—",INDEX(Calc!$AF$3:$AF$122,$T77)),"")</f>
        <v>—</v>
      </c>
      <c r="O77" s="17" t="str">
        <f>IF(AND(ISNUMBER($T77),$T77&lt;&gt;""),IF(INDEX(Calc!$AG$3:$AG$122,$T77)="","—",INDEX(Calc!$AG$3:$AG$122,$T77)),"")</f>
        <v>—</v>
      </c>
      <c r="P77" s="18" t="str">
        <f>IF(AND(ISNUMBER($T77),$T77&lt;&gt;""),IF(INDEX(Calc!$AJ$3:$AJ$122,$T77)="","—",INDEX(Calc!$AJ$3:$AJ$122,$T77)),"")</f>
        <v>—</v>
      </c>
      <c r="Q77" s="18" t="str">
        <f>IF(AND(ISNUMBER($T77),$T77&lt;&gt;""),IF(INDEX(Calc!$AK$3:$AK$122,$T77)="","—",INDEX(Calc!$AK$3:$AK$122,$T77)),"")</f>
        <v>—</v>
      </c>
      <c r="R77" s="17" t="str">
        <f>IF(AND(ISNUMBER($T77),$T77&lt;&gt;""),IF(INDEX(Calc!$AL$3:$AL$122,$T77)="","—",INDEX(Calc!$AL$3:$AL$122,$T77)),"")</f>
        <v>—</v>
      </c>
      <c r="T77">
        <f>IFERROR(MATCH(73,Calc!$AN$3:$AN$122,0),"")</f>
        <v>70</v>
      </c>
    </row>
    <row r="78" spans="1:20" x14ac:dyDescent="0.2">
      <c r="A78" s="11" t="str">
        <f>IF(AND(ISNUMBER($T78),$T78&lt;&gt;""),INDEX(Calc!$S$3:$S$122,$T78),"")</f>
        <v>TEREA TURQUOISE</v>
      </c>
      <c r="B78" s="12" t="str">
        <f>IF(AND(ISNUMBER($T78),$T78&lt;&gt;""),IF(INDEX(Calc!$T$3:$T$122,$T78)="","—",INDEX(Calc!$T$3:$T$122,$T78)),"")</f>
        <v>—</v>
      </c>
      <c r="C78" s="12" t="str">
        <f>IF(AND(ISNUMBER($T78),$T78&lt;&gt;""),IF(INDEX(Calc!$U$3:$U$122,$T78)="","—",INDEX(Calc!$U$3:$U$122,$T78)),"")</f>
        <v>—</v>
      </c>
      <c r="D78" s="12" t="str">
        <f>IF(AND(ISNUMBER($T78),$T78&lt;&gt;""),IF(INDEX(Calc!$V$3:$V$122,$T78)="","—",INDEX(Calc!$V$3:$V$122,$T78)),"")</f>
        <v>—</v>
      </c>
      <c r="E78" s="12" t="str">
        <f>IF(AND(ISNUMBER($T78),$T78&lt;&gt;""),IF(INDEX(Calc!$W$3:$W$122,$T78)="","—",INDEX(Calc!$W$3:$W$122,$T78)),"")</f>
        <v>—</v>
      </c>
      <c r="F78" s="12" t="str">
        <f>IF(AND(ISNUMBER($T78),$T78&lt;&gt;""),IF(INDEX(Calc!$X$3:$X$122,$T78)="","—",INDEX(Calc!$X$3:$X$122,$T78)),"")</f>
        <v>—</v>
      </c>
      <c r="G78" s="12" t="str">
        <f>IF(AND(ISNUMBER($T78),$T78&lt;&gt;""),IF(INDEX(Calc!$Y$3:$Y$122,$T78)="","—",INDEX(Calc!$Y$3:$Y$122,$T78)),"")</f>
        <v>—</v>
      </c>
      <c r="H78" s="12" t="str">
        <f>IF(AND(ISNUMBER($T78),$T78&lt;&gt;""),IF(INDEX(Calc!$Z$3:$Z$122,$T78)="","—",INDEX(Calc!$Z$3:$Z$122,$T78)),"")</f>
        <v>—</v>
      </c>
      <c r="I78" s="12" t="str">
        <f>IF(AND(ISNUMBER($T78),$T78&lt;&gt;""),IF(INDEX(Calc!$AA$3:$AA$122,$T78)="","—",INDEX(Calc!$AA$3:$AA$122,$T78)),"")</f>
        <v>—</v>
      </c>
      <c r="J78" s="12" t="str">
        <f>IF(AND(ISNUMBER($T78),$T78&lt;&gt;""),IF(INDEX(Calc!$AB$3:$AB$122,$T78)="","—",INDEX(Calc!$AB$3:$AB$122,$T78)),"")</f>
        <v>—</v>
      </c>
      <c r="K78" s="12" t="str">
        <f>IF(AND(ISNUMBER($T78),$T78&lt;&gt;""),IF(INDEX(Calc!$AC$3:$AC$122,$T78)="","—",INDEX(Calc!$AC$3:$AC$122,$T78)),"")</f>
        <v>—</v>
      </c>
      <c r="L78" s="12" t="str">
        <f>IF(AND(ISNUMBER($T78),$T78&lt;&gt;""),IF(INDEX(Calc!$AD$3:$AD$122,$T78)="","—",INDEX(Calc!$AD$3:$AD$122,$T78)),"")</f>
        <v>—</v>
      </c>
      <c r="M78" s="12" t="str">
        <f>IF(AND(ISNUMBER($T78),$T78&lt;&gt;""),IF(INDEX(Calc!$AE$3:$AE$122,$T78)="","—",INDEX(Calc!$AE$3:$AE$122,$T78)),"")</f>
        <v>—</v>
      </c>
      <c r="N78" s="12" t="str">
        <f>IF(AND(ISNUMBER($T78),$T78&lt;&gt;""),IF(INDEX(Calc!$AF$3:$AF$122,$T78)="","—",INDEX(Calc!$AF$3:$AF$122,$T78)),"")</f>
        <v>—</v>
      </c>
      <c r="O78" s="12" t="str">
        <f>IF(AND(ISNUMBER($T78),$T78&lt;&gt;""),IF(INDEX(Calc!$AG$3:$AG$122,$T78)="","—",INDEX(Calc!$AG$3:$AG$122,$T78)),"")</f>
        <v>—</v>
      </c>
      <c r="P78" s="13" t="str">
        <f>IF(AND(ISNUMBER($T78),$T78&lt;&gt;""),IF(INDEX(Calc!$AJ$3:$AJ$122,$T78)="","—",INDEX(Calc!$AJ$3:$AJ$122,$T78)),"")</f>
        <v>—</v>
      </c>
      <c r="Q78" s="13" t="str">
        <f>IF(AND(ISNUMBER($T78),$T78&lt;&gt;""),IF(INDEX(Calc!$AK$3:$AK$122,$T78)="","—",INDEX(Calc!$AK$3:$AK$122,$T78)),"")</f>
        <v>—</v>
      </c>
      <c r="R78" s="12" t="str">
        <f>IF(AND(ISNUMBER($T78),$T78&lt;&gt;""),IF(INDEX(Calc!$AL$3:$AL$122,$T78)="","—",INDEX(Calc!$AL$3:$AL$122,$T78)),"")</f>
        <v>—</v>
      </c>
      <c r="T78">
        <f>IFERROR(MATCH(74,Calc!$AN$3:$AN$122,0),"")</f>
        <v>71</v>
      </c>
    </row>
    <row r="79" spans="1:20" x14ac:dyDescent="0.2">
      <c r="A79" s="16" t="str">
        <f>IF(AND(ISNUMBER($T79),$T79&lt;&gt;""),INDEX(Calc!$S$3:$S$122,$T79),"")</f>
        <v>TEREA WATERMELON</v>
      </c>
      <c r="B79" s="17" t="str">
        <f>IF(AND(ISNUMBER($T79),$T79&lt;&gt;""),IF(INDEX(Calc!$T$3:$T$122,$T79)="","—",INDEX(Calc!$T$3:$T$122,$T79)),"")</f>
        <v>—</v>
      </c>
      <c r="C79" s="17" t="str">
        <f>IF(AND(ISNUMBER($T79),$T79&lt;&gt;""),IF(INDEX(Calc!$U$3:$U$122,$T79)="","—",INDEX(Calc!$U$3:$U$122,$T79)),"")</f>
        <v>—</v>
      </c>
      <c r="D79" s="17" t="str">
        <f>IF(AND(ISNUMBER($T79),$T79&lt;&gt;""),IF(INDEX(Calc!$V$3:$V$122,$T79)="","—",INDEX(Calc!$V$3:$V$122,$T79)),"")</f>
        <v>—</v>
      </c>
      <c r="E79" s="17" t="str">
        <f>IF(AND(ISNUMBER($T79),$T79&lt;&gt;""),IF(INDEX(Calc!$W$3:$W$122,$T79)="","—",INDEX(Calc!$W$3:$W$122,$T79)),"")</f>
        <v>—</v>
      </c>
      <c r="F79" s="17" t="str">
        <f>IF(AND(ISNUMBER($T79),$T79&lt;&gt;""),IF(INDEX(Calc!$X$3:$X$122,$T79)="","—",INDEX(Calc!$X$3:$X$122,$T79)),"")</f>
        <v>—</v>
      </c>
      <c r="G79" s="17" t="str">
        <f>IF(AND(ISNUMBER($T79),$T79&lt;&gt;""),IF(INDEX(Calc!$Y$3:$Y$122,$T79)="","—",INDEX(Calc!$Y$3:$Y$122,$T79)),"")</f>
        <v>—</v>
      </c>
      <c r="H79" s="17" t="str">
        <f>IF(AND(ISNUMBER($T79),$T79&lt;&gt;""),IF(INDEX(Calc!$Z$3:$Z$122,$T79)="","—",INDEX(Calc!$Z$3:$Z$122,$T79)),"")</f>
        <v>—</v>
      </c>
      <c r="I79" s="17" t="str">
        <f>IF(AND(ISNUMBER($T79),$T79&lt;&gt;""),IF(INDEX(Calc!$AA$3:$AA$122,$T79)="","—",INDEX(Calc!$AA$3:$AA$122,$T79)),"")</f>
        <v>—</v>
      </c>
      <c r="J79" s="17" t="str">
        <f>IF(AND(ISNUMBER($T79),$T79&lt;&gt;""),IF(INDEX(Calc!$AB$3:$AB$122,$T79)="","—",INDEX(Calc!$AB$3:$AB$122,$T79)),"")</f>
        <v>—</v>
      </c>
      <c r="K79" s="17" t="str">
        <f>IF(AND(ISNUMBER($T79),$T79&lt;&gt;""),IF(INDEX(Calc!$AC$3:$AC$122,$T79)="","—",INDEX(Calc!$AC$3:$AC$122,$T79)),"")</f>
        <v>—</v>
      </c>
      <c r="L79" s="17" t="str">
        <f>IF(AND(ISNUMBER($T79),$T79&lt;&gt;""),IF(INDEX(Calc!$AD$3:$AD$122,$T79)="","—",INDEX(Calc!$AD$3:$AD$122,$T79)),"")</f>
        <v>—</v>
      </c>
      <c r="M79" s="17" t="str">
        <f>IF(AND(ISNUMBER($T79),$T79&lt;&gt;""),IF(INDEX(Calc!$AE$3:$AE$122,$T79)="","—",INDEX(Calc!$AE$3:$AE$122,$T79)),"")</f>
        <v>—</v>
      </c>
      <c r="N79" s="17" t="str">
        <f>IF(AND(ISNUMBER($T79),$T79&lt;&gt;""),IF(INDEX(Calc!$AF$3:$AF$122,$T79)="","—",INDEX(Calc!$AF$3:$AF$122,$T79)),"")</f>
        <v>—</v>
      </c>
      <c r="O79" s="17" t="str">
        <f>IF(AND(ISNUMBER($T79),$T79&lt;&gt;""),IF(INDEX(Calc!$AG$3:$AG$122,$T79)="","—",INDEX(Calc!$AG$3:$AG$122,$T79)),"")</f>
        <v>—</v>
      </c>
      <c r="P79" s="18" t="str">
        <f>IF(AND(ISNUMBER($T79),$T79&lt;&gt;""),IF(INDEX(Calc!$AJ$3:$AJ$122,$T79)="","—",INDEX(Calc!$AJ$3:$AJ$122,$T79)),"")</f>
        <v>—</v>
      </c>
      <c r="Q79" s="18" t="str">
        <f>IF(AND(ISNUMBER($T79),$T79&lt;&gt;""),IF(INDEX(Calc!$AK$3:$AK$122,$T79)="","—",INDEX(Calc!$AK$3:$AK$122,$T79)),"")</f>
        <v>—</v>
      </c>
      <c r="R79" s="17" t="str">
        <f>IF(AND(ISNUMBER($T79),$T79&lt;&gt;""),IF(INDEX(Calc!$AL$3:$AL$122,$T79)="","—",INDEX(Calc!$AL$3:$AL$122,$T79)),"")</f>
        <v>—</v>
      </c>
      <c r="T79">
        <f>IFERROR(MATCH(75,Calc!$AN$3:$AN$122,0),"")</f>
        <v>72</v>
      </c>
    </row>
    <row r="80" spans="1:20" x14ac:dyDescent="0.2">
      <c r="A80" s="11" t="str">
        <f>IF(AND(ISNUMBER($T80),$T80&lt;&gt;""),INDEX(Calc!$S$3:$S$122,$T80),"")</f>
        <v/>
      </c>
      <c r="B80" s="12" t="str">
        <f>IF(AND(ISNUMBER($T80),$T80&lt;&gt;""),IF(INDEX(Calc!$T$3:$T$122,$T80)="","—",INDEX(Calc!$T$3:$T$122,$T80)),"")</f>
        <v/>
      </c>
      <c r="C80" s="12" t="str">
        <f>IF(AND(ISNUMBER($T80),$T80&lt;&gt;""),IF(INDEX(Calc!$U$3:$U$122,$T80)="","—",INDEX(Calc!$U$3:$U$122,$T80)),"")</f>
        <v/>
      </c>
      <c r="D80" s="12" t="str">
        <f>IF(AND(ISNUMBER($T80),$T80&lt;&gt;""),IF(INDEX(Calc!$V$3:$V$122,$T80)="","—",INDEX(Calc!$V$3:$V$122,$T80)),"")</f>
        <v/>
      </c>
      <c r="E80" s="12" t="str">
        <f>IF(AND(ISNUMBER($T80),$T80&lt;&gt;""),IF(INDEX(Calc!$W$3:$W$122,$T80)="","—",INDEX(Calc!$W$3:$W$122,$T80)),"")</f>
        <v/>
      </c>
      <c r="F80" s="12" t="str">
        <f>IF(AND(ISNUMBER($T80),$T80&lt;&gt;""),IF(INDEX(Calc!$X$3:$X$122,$T80)="","—",INDEX(Calc!$X$3:$X$122,$T80)),"")</f>
        <v/>
      </c>
      <c r="G80" s="12" t="str">
        <f>IF(AND(ISNUMBER($T80),$T80&lt;&gt;""),IF(INDEX(Calc!$Y$3:$Y$122,$T80)="","—",INDEX(Calc!$Y$3:$Y$122,$T80)),"")</f>
        <v/>
      </c>
      <c r="H80" s="12" t="str">
        <f>IF(AND(ISNUMBER($T80),$T80&lt;&gt;""),IF(INDEX(Calc!$Z$3:$Z$122,$T80)="","—",INDEX(Calc!$Z$3:$Z$122,$T80)),"")</f>
        <v/>
      </c>
      <c r="I80" s="12" t="str">
        <f>IF(AND(ISNUMBER($T80),$T80&lt;&gt;""),IF(INDEX(Calc!$AA$3:$AA$122,$T80)="","—",INDEX(Calc!$AA$3:$AA$122,$T80)),"")</f>
        <v/>
      </c>
      <c r="J80" s="12" t="str">
        <f>IF(AND(ISNUMBER($T80),$T80&lt;&gt;""),IF(INDEX(Calc!$AB$3:$AB$122,$T80)="","—",INDEX(Calc!$AB$3:$AB$122,$T80)),"")</f>
        <v/>
      </c>
      <c r="K80" s="12" t="str">
        <f>IF(AND(ISNUMBER($T80),$T80&lt;&gt;""),IF(INDEX(Calc!$AC$3:$AC$122,$T80)="","—",INDEX(Calc!$AC$3:$AC$122,$T80)),"")</f>
        <v/>
      </c>
      <c r="L80" s="12" t="str">
        <f>IF(AND(ISNUMBER($T80),$T80&lt;&gt;""),IF(INDEX(Calc!$AD$3:$AD$122,$T80)="","—",INDEX(Calc!$AD$3:$AD$122,$T80)),"")</f>
        <v/>
      </c>
      <c r="M80" s="12" t="str">
        <f>IF(AND(ISNUMBER($T80),$T80&lt;&gt;""),IF(INDEX(Calc!$AE$3:$AE$122,$T80)="","—",INDEX(Calc!$AE$3:$AE$122,$T80)),"")</f>
        <v/>
      </c>
      <c r="N80" s="12" t="str">
        <f>IF(AND(ISNUMBER($T80),$T80&lt;&gt;""),IF(INDEX(Calc!$AF$3:$AF$122,$T80)="","—",INDEX(Calc!$AF$3:$AF$122,$T80)),"")</f>
        <v/>
      </c>
      <c r="O80" s="12" t="str">
        <f>IF(AND(ISNUMBER($T80),$T80&lt;&gt;""),IF(INDEX(Calc!$AG$3:$AG$122,$T80)="","—",INDEX(Calc!$AG$3:$AG$122,$T80)),"")</f>
        <v/>
      </c>
      <c r="P80" s="13" t="str">
        <f>IF(AND(ISNUMBER($T80),$T80&lt;&gt;""),IF(INDEX(Calc!$AJ$3:$AJ$122,$T80)="","—",INDEX(Calc!$AJ$3:$AJ$122,$T80)),"")</f>
        <v/>
      </c>
      <c r="Q80" s="13" t="str">
        <f>IF(AND(ISNUMBER($T80),$T80&lt;&gt;""),IF(INDEX(Calc!$AK$3:$AK$122,$T80)="","—",INDEX(Calc!$AK$3:$AK$122,$T80)),"")</f>
        <v/>
      </c>
      <c r="R80" s="12" t="str">
        <f>IF(AND(ISNUMBER($T80),$T80&lt;&gt;""),IF(INDEX(Calc!$AL$3:$AL$122,$T80)="","—",INDEX(Calc!$AL$3:$AL$122,$T80)),"")</f>
        <v/>
      </c>
      <c r="T80" t="str">
        <f>IFERROR(MATCH(76,Calc!$AN$3:$AN$122,0),"")</f>
        <v/>
      </c>
    </row>
    <row r="81" spans="1:20" x14ac:dyDescent="0.2">
      <c r="A81" s="16" t="str">
        <f>IF(AND(ISNUMBER($T81),$T81&lt;&gt;""),INDEX(Calc!$S$3:$S$122,$T81),"")</f>
        <v/>
      </c>
      <c r="B81" s="17" t="str">
        <f>IF(AND(ISNUMBER($T81),$T81&lt;&gt;""),IF(INDEX(Calc!$T$3:$T$122,$T81)="","—",INDEX(Calc!$T$3:$T$122,$T81)),"")</f>
        <v/>
      </c>
      <c r="C81" s="17" t="str">
        <f>IF(AND(ISNUMBER($T81),$T81&lt;&gt;""),IF(INDEX(Calc!$U$3:$U$122,$T81)="","—",INDEX(Calc!$U$3:$U$122,$T81)),"")</f>
        <v/>
      </c>
      <c r="D81" s="17" t="str">
        <f>IF(AND(ISNUMBER($T81),$T81&lt;&gt;""),IF(INDEX(Calc!$V$3:$V$122,$T81)="","—",INDEX(Calc!$V$3:$V$122,$T81)),"")</f>
        <v/>
      </c>
      <c r="E81" s="17" t="str">
        <f>IF(AND(ISNUMBER($T81),$T81&lt;&gt;""),IF(INDEX(Calc!$W$3:$W$122,$T81)="","—",INDEX(Calc!$W$3:$W$122,$T81)),"")</f>
        <v/>
      </c>
      <c r="F81" s="17" t="str">
        <f>IF(AND(ISNUMBER($T81),$T81&lt;&gt;""),IF(INDEX(Calc!$X$3:$X$122,$T81)="","—",INDEX(Calc!$X$3:$X$122,$T81)),"")</f>
        <v/>
      </c>
      <c r="G81" s="17" t="str">
        <f>IF(AND(ISNUMBER($T81),$T81&lt;&gt;""),IF(INDEX(Calc!$Y$3:$Y$122,$T81)="","—",INDEX(Calc!$Y$3:$Y$122,$T81)),"")</f>
        <v/>
      </c>
      <c r="H81" s="17" t="str">
        <f>IF(AND(ISNUMBER($T81),$T81&lt;&gt;""),IF(INDEX(Calc!$Z$3:$Z$122,$T81)="","—",INDEX(Calc!$Z$3:$Z$122,$T81)),"")</f>
        <v/>
      </c>
      <c r="I81" s="17" t="str">
        <f>IF(AND(ISNUMBER($T81),$T81&lt;&gt;""),IF(INDEX(Calc!$AA$3:$AA$122,$T81)="","—",INDEX(Calc!$AA$3:$AA$122,$T81)),"")</f>
        <v/>
      </c>
      <c r="J81" s="17" t="str">
        <f>IF(AND(ISNUMBER($T81),$T81&lt;&gt;""),IF(INDEX(Calc!$AB$3:$AB$122,$T81)="","—",INDEX(Calc!$AB$3:$AB$122,$T81)),"")</f>
        <v/>
      </c>
      <c r="K81" s="17" t="str">
        <f>IF(AND(ISNUMBER($T81),$T81&lt;&gt;""),IF(INDEX(Calc!$AC$3:$AC$122,$T81)="","—",INDEX(Calc!$AC$3:$AC$122,$T81)),"")</f>
        <v/>
      </c>
      <c r="L81" s="17" t="str">
        <f>IF(AND(ISNUMBER($T81),$T81&lt;&gt;""),IF(INDEX(Calc!$AD$3:$AD$122,$T81)="","—",INDEX(Calc!$AD$3:$AD$122,$T81)),"")</f>
        <v/>
      </c>
      <c r="M81" s="17" t="str">
        <f>IF(AND(ISNUMBER($T81),$T81&lt;&gt;""),IF(INDEX(Calc!$AE$3:$AE$122,$T81)="","—",INDEX(Calc!$AE$3:$AE$122,$T81)),"")</f>
        <v/>
      </c>
      <c r="N81" s="17" t="str">
        <f>IF(AND(ISNUMBER($T81),$T81&lt;&gt;""),IF(INDEX(Calc!$AF$3:$AF$122,$T81)="","—",INDEX(Calc!$AF$3:$AF$122,$T81)),"")</f>
        <v/>
      </c>
      <c r="O81" s="17" t="str">
        <f>IF(AND(ISNUMBER($T81),$T81&lt;&gt;""),IF(INDEX(Calc!$AG$3:$AG$122,$T81)="","—",INDEX(Calc!$AG$3:$AG$122,$T81)),"")</f>
        <v/>
      </c>
      <c r="P81" s="18" t="str">
        <f>IF(AND(ISNUMBER($T81),$T81&lt;&gt;""),IF(INDEX(Calc!$AJ$3:$AJ$122,$T81)="","—",INDEX(Calc!$AJ$3:$AJ$122,$T81)),"")</f>
        <v/>
      </c>
      <c r="Q81" s="18" t="str">
        <f>IF(AND(ISNUMBER($T81),$T81&lt;&gt;""),IF(INDEX(Calc!$AK$3:$AK$122,$T81)="","—",INDEX(Calc!$AK$3:$AK$122,$T81)),"")</f>
        <v/>
      </c>
      <c r="R81" s="17" t="str">
        <f>IF(AND(ISNUMBER($T81),$T81&lt;&gt;""),IF(INDEX(Calc!$AL$3:$AL$122,$T81)="","—",INDEX(Calc!$AL$3:$AL$122,$T81)),"")</f>
        <v/>
      </c>
      <c r="T81" t="str">
        <f>IFERROR(MATCH(77,Calc!$AN$3:$AN$122,0),"")</f>
        <v/>
      </c>
    </row>
    <row r="82" spans="1:20" x14ac:dyDescent="0.2">
      <c r="A82" s="11" t="str">
        <f>IF(AND(ISNUMBER($T82),$T82&lt;&gt;""),INDEX(Calc!$S$3:$S$122,$T82),"")</f>
        <v/>
      </c>
      <c r="B82" s="12" t="str">
        <f>IF(AND(ISNUMBER($T82),$T82&lt;&gt;""),IF(INDEX(Calc!$T$3:$T$122,$T82)="","—",INDEX(Calc!$T$3:$T$122,$T82)),"")</f>
        <v/>
      </c>
      <c r="C82" s="12" t="str">
        <f>IF(AND(ISNUMBER($T82),$T82&lt;&gt;""),IF(INDEX(Calc!$U$3:$U$122,$T82)="","—",INDEX(Calc!$U$3:$U$122,$T82)),"")</f>
        <v/>
      </c>
      <c r="D82" s="12" t="str">
        <f>IF(AND(ISNUMBER($T82),$T82&lt;&gt;""),IF(INDEX(Calc!$V$3:$V$122,$T82)="","—",INDEX(Calc!$V$3:$V$122,$T82)),"")</f>
        <v/>
      </c>
      <c r="E82" s="12" t="str">
        <f>IF(AND(ISNUMBER($T82),$T82&lt;&gt;""),IF(INDEX(Calc!$W$3:$W$122,$T82)="","—",INDEX(Calc!$W$3:$W$122,$T82)),"")</f>
        <v/>
      </c>
      <c r="F82" s="12" t="str">
        <f>IF(AND(ISNUMBER($T82),$T82&lt;&gt;""),IF(INDEX(Calc!$X$3:$X$122,$T82)="","—",INDEX(Calc!$X$3:$X$122,$T82)),"")</f>
        <v/>
      </c>
      <c r="G82" s="12" t="str">
        <f>IF(AND(ISNUMBER($T82),$T82&lt;&gt;""),IF(INDEX(Calc!$Y$3:$Y$122,$T82)="","—",INDEX(Calc!$Y$3:$Y$122,$T82)),"")</f>
        <v/>
      </c>
      <c r="H82" s="12" t="str">
        <f>IF(AND(ISNUMBER($T82),$T82&lt;&gt;""),IF(INDEX(Calc!$Z$3:$Z$122,$T82)="","—",INDEX(Calc!$Z$3:$Z$122,$T82)),"")</f>
        <v/>
      </c>
      <c r="I82" s="12" t="str">
        <f>IF(AND(ISNUMBER($T82),$T82&lt;&gt;""),IF(INDEX(Calc!$AA$3:$AA$122,$T82)="","—",INDEX(Calc!$AA$3:$AA$122,$T82)),"")</f>
        <v/>
      </c>
      <c r="J82" s="12" t="str">
        <f>IF(AND(ISNUMBER($T82),$T82&lt;&gt;""),IF(INDEX(Calc!$AB$3:$AB$122,$T82)="","—",INDEX(Calc!$AB$3:$AB$122,$T82)),"")</f>
        <v/>
      </c>
      <c r="K82" s="12" t="str">
        <f>IF(AND(ISNUMBER($T82),$T82&lt;&gt;""),IF(INDEX(Calc!$AC$3:$AC$122,$T82)="","—",INDEX(Calc!$AC$3:$AC$122,$T82)),"")</f>
        <v/>
      </c>
      <c r="L82" s="12" t="str">
        <f>IF(AND(ISNUMBER($T82),$T82&lt;&gt;""),IF(INDEX(Calc!$AD$3:$AD$122,$T82)="","—",INDEX(Calc!$AD$3:$AD$122,$T82)),"")</f>
        <v/>
      </c>
      <c r="M82" s="12" t="str">
        <f>IF(AND(ISNUMBER($T82),$T82&lt;&gt;""),IF(INDEX(Calc!$AE$3:$AE$122,$T82)="","—",INDEX(Calc!$AE$3:$AE$122,$T82)),"")</f>
        <v/>
      </c>
      <c r="N82" s="12" t="str">
        <f>IF(AND(ISNUMBER($T82),$T82&lt;&gt;""),IF(INDEX(Calc!$AF$3:$AF$122,$T82)="","—",INDEX(Calc!$AF$3:$AF$122,$T82)),"")</f>
        <v/>
      </c>
      <c r="O82" s="12" t="str">
        <f>IF(AND(ISNUMBER($T82),$T82&lt;&gt;""),IF(INDEX(Calc!$AG$3:$AG$122,$T82)="","—",INDEX(Calc!$AG$3:$AG$122,$T82)),"")</f>
        <v/>
      </c>
      <c r="P82" s="13" t="str">
        <f>IF(AND(ISNUMBER($T82),$T82&lt;&gt;""),IF(INDEX(Calc!$AJ$3:$AJ$122,$T82)="","—",INDEX(Calc!$AJ$3:$AJ$122,$T82)),"")</f>
        <v/>
      </c>
      <c r="Q82" s="13" t="str">
        <f>IF(AND(ISNUMBER($T82),$T82&lt;&gt;""),IF(INDEX(Calc!$AK$3:$AK$122,$T82)="","—",INDEX(Calc!$AK$3:$AK$122,$T82)),"")</f>
        <v/>
      </c>
      <c r="R82" s="12" t="str">
        <f>IF(AND(ISNUMBER($T82),$T82&lt;&gt;""),IF(INDEX(Calc!$AL$3:$AL$122,$T82)="","—",INDEX(Calc!$AL$3:$AL$122,$T82)),"")</f>
        <v/>
      </c>
      <c r="T82" t="str">
        <f>IFERROR(MATCH(78,Calc!$AN$3:$AN$122,0),"")</f>
        <v/>
      </c>
    </row>
    <row r="83" spans="1:20" x14ac:dyDescent="0.2">
      <c r="A83" s="16" t="str">
        <f>IF(AND(ISNUMBER($T83),$T83&lt;&gt;""),INDEX(Calc!$S$3:$S$122,$T83),"")</f>
        <v/>
      </c>
      <c r="B83" s="17" t="str">
        <f>IF(AND(ISNUMBER($T83),$T83&lt;&gt;""),IF(INDEX(Calc!$T$3:$T$122,$T83)="","—",INDEX(Calc!$T$3:$T$122,$T83)),"")</f>
        <v/>
      </c>
      <c r="C83" s="17" t="str">
        <f>IF(AND(ISNUMBER($T83),$T83&lt;&gt;""),IF(INDEX(Calc!$U$3:$U$122,$T83)="","—",INDEX(Calc!$U$3:$U$122,$T83)),"")</f>
        <v/>
      </c>
      <c r="D83" s="17" t="str">
        <f>IF(AND(ISNUMBER($T83),$T83&lt;&gt;""),IF(INDEX(Calc!$V$3:$V$122,$T83)="","—",INDEX(Calc!$V$3:$V$122,$T83)),"")</f>
        <v/>
      </c>
      <c r="E83" s="17" t="str">
        <f>IF(AND(ISNUMBER($T83),$T83&lt;&gt;""),IF(INDEX(Calc!$W$3:$W$122,$T83)="","—",INDEX(Calc!$W$3:$W$122,$T83)),"")</f>
        <v/>
      </c>
      <c r="F83" s="17" t="str">
        <f>IF(AND(ISNUMBER($T83),$T83&lt;&gt;""),IF(INDEX(Calc!$X$3:$X$122,$T83)="","—",INDEX(Calc!$X$3:$X$122,$T83)),"")</f>
        <v/>
      </c>
      <c r="G83" s="17" t="str">
        <f>IF(AND(ISNUMBER($T83),$T83&lt;&gt;""),IF(INDEX(Calc!$Y$3:$Y$122,$T83)="","—",INDEX(Calc!$Y$3:$Y$122,$T83)),"")</f>
        <v/>
      </c>
      <c r="H83" s="17" t="str">
        <f>IF(AND(ISNUMBER($T83),$T83&lt;&gt;""),IF(INDEX(Calc!$Z$3:$Z$122,$T83)="","—",INDEX(Calc!$Z$3:$Z$122,$T83)),"")</f>
        <v/>
      </c>
      <c r="I83" s="17" t="str">
        <f>IF(AND(ISNUMBER($T83),$T83&lt;&gt;""),IF(INDEX(Calc!$AA$3:$AA$122,$T83)="","—",INDEX(Calc!$AA$3:$AA$122,$T83)),"")</f>
        <v/>
      </c>
      <c r="J83" s="17" t="str">
        <f>IF(AND(ISNUMBER($T83),$T83&lt;&gt;""),IF(INDEX(Calc!$AB$3:$AB$122,$T83)="","—",INDEX(Calc!$AB$3:$AB$122,$T83)),"")</f>
        <v/>
      </c>
      <c r="K83" s="17" t="str">
        <f>IF(AND(ISNUMBER($T83),$T83&lt;&gt;""),IF(INDEX(Calc!$AC$3:$AC$122,$T83)="","—",INDEX(Calc!$AC$3:$AC$122,$T83)),"")</f>
        <v/>
      </c>
      <c r="L83" s="17" t="str">
        <f>IF(AND(ISNUMBER($T83),$T83&lt;&gt;""),IF(INDEX(Calc!$AD$3:$AD$122,$T83)="","—",INDEX(Calc!$AD$3:$AD$122,$T83)),"")</f>
        <v/>
      </c>
      <c r="M83" s="17" t="str">
        <f>IF(AND(ISNUMBER($T83),$T83&lt;&gt;""),IF(INDEX(Calc!$AE$3:$AE$122,$T83)="","—",INDEX(Calc!$AE$3:$AE$122,$T83)),"")</f>
        <v/>
      </c>
      <c r="N83" s="17" t="str">
        <f>IF(AND(ISNUMBER($T83),$T83&lt;&gt;""),IF(INDEX(Calc!$AF$3:$AF$122,$T83)="","—",INDEX(Calc!$AF$3:$AF$122,$T83)),"")</f>
        <v/>
      </c>
      <c r="O83" s="17" t="str">
        <f>IF(AND(ISNUMBER($T83),$T83&lt;&gt;""),IF(INDEX(Calc!$AG$3:$AG$122,$T83)="","—",INDEX(Calc!$AG$3:$AG$122,$T83)),"")</f>
        <v/>
      </c>
      <c r="P83" s="18" t="str">
        <f>IF(AND(ISNUMBER($T83),$T83&lt;&gt;""),IF(INDEX(Calc!$AJ$3:$AJ$122,$T83)="","—",INDEX(Calc!$AJ$3:$AJ$122,$T83)),"")</f>
        <v/>
      </c>
      <c r="Q83" s="18" t="str">
        <f>IF(AND(ISNUMBER($T83),$T83&lt;&gt;""),IF(INDEX(Calc!$AK$3:$AK$122,$T83)="","—",INDEX(Calc!$AK$3:$AK$122,$T83)),"")</f>
        <v/>
      </c>
      <c r="R83" s="17" t="str">
        <f>IF(AND(ISNUMBER($T83),$T83&lt;&gt;""),IF(INDEX(Calc!$AL$3:$AL$122,$T83)="","—",INDEX(Calc!$AL$3:$AL$122,$T83)),"")</f>
        <v/>
      </c>
      <c r="T83" t="str">
        <f>IFERROR(MATCH(79,Calc!$AN$3:$AN$122,0),"")</f>
        <v/>
      </c>
    </row>
    <row r="84" spans="1:20" x14ac:dyDescent="0.2">
      <c r="A84" s="11" t="str">
        <f>IF(AND(ISNUMBER($T84),$T84&lt;&gt;""),INDEX(Calc!$S$3:$S$122,$T84),"")</f>
        <v/>
      </c>
      <c r="B84" s="12" t="str">
        <f>IF(AND(ISNUMBER($T84),$T84&lt;&gt;""),IF(INDEX(Calc!$T$3:$T$122,$T84)="","—",INDEX(Calc!$T$3:$T$122,$T84)),"")</f>
        <v/>
      </c>
      <c r="C84" s="12" t="str">
        <f>IF(AND(ISNUMBER($T84),$T84&lt;&gt;""),IF(INDEX(Calc!$U$3:$U$122,$T84)="","—",INDEX(Calc!$U$3:$U$122,$T84)),"")</f>
        <v/>
      </c>
      <c r="D84" s="12" t="str">
        <f>IF(AND(ISNUMBER($T84),$T84&lt;&gt;""),IF(INDEX(Calc!$V$3:$V$122,$T84)="","—",INDEX(Calc!$V$3:$V$122,$T84)),"")</f>
        <v/>
      </c>
      <c r="E84" s="12" t="str">
        <f>IF(AND(ISNUMBER($T84),$T84&lt;&gt;""),IF(INDEX(Calc!$W$3:$W$122,$T84)="","—",INDEX(Calc!$W$3:$W$122,$T84)),"")</f>
        <v/>
      </c>
      <c r="F84" s="12" t="str">
        <f>IF(AND(ISNUMBER($T84),$T84&lt;&gt;""),IF(INDEX(Calc!$X$3:$X$122,$T84)="","—",INDEX(Calc!$X$3:$X$122,$T84)),"")</f>
        <v/>
      </c>
      <c r="G84" s="12" t="str">
        <f>IF(AND(ISNUMBER($T84),$T84&lt;&gt;""),IF(INDEX(Calc!$Y$3:$Y$122,$T84)="","—",INDEX(Calc!$Y$3:$Y$122,$T84)),"")</f>
        <v/>
      </c>
      <c r="H84" s="12" t="str">
        <f>IF(AND(ISNUMBER($T84),$T84&lt;&gt;""),IF(INDEX(Calc!$Z$3:$Z$122,$T84)="","—",INDEX(Calc!$Z$3:$Z$122,$T84)),"")</f>
        <v/>
      </c>
      <c r="I84" s="12" t="str">
        <f>IF(AND(ISNUMBER($T84),$T84&lt;&gt;""),IF(INDEX(Calc!$AA$3:$AA$122,$T84)="","—",INDEX(Calc!$AA$3:$AA$122,$T84)),"")</f>
        <v/>
      </c>
      <c r="J84" s="12" t="str">
        <f>IF(AND(ISNUMBER($T84),$T84&lt;&gt;""),IF(INDEX(Calc!$AB$3:$AB$122,$T84)="","—",INDEX(Calc!$AB$3:$AB$122,$T84)),"")</f>
        <v/>
      </c>
      <c r="K84" s="12" t="str">
        <f>IF(AND(ISNUMBER($T84),$T84&lt;&gt;""),IF(INDEX(Calc!$AC$3:$AC$122,$T84)="","—",INDEX(Calc!$AC$3:$AC$122,$T84)),"")</f>
        <v/>
      </c>
      <c r="L84" s="12" t="str">
        <f>IF(AND(ISNUMBER($T84),$T84&lt;&gt;""),IF(INDEX(Calc!$AD$3:$AD$122,$T84)="","—",INDEX(Calc!$AD$3:$AD$122,$T84)),"")</f>
        <v/>
      </c>
      <c r="M84" s="12" t="str">
        <f>IF(AND(ISNUMBER($T84),$T84&lt;&gt;""),IF(INDEX(Calc!$AE$3:$AE$122,$T84)="","—",INDEX(Calc!$AE$3:$AE$122,$T84)),"")</f>
        <v/>
      </c>
      <c r="N84" s="12" t="str">
        <f>IF(AND(ISNUMBER($T84),$T84&lt;&gt;""),IF(INDEX(Calc!$AF$3:$AF$122,$T84)="","—",INDEX(Calc!$AF$3:$AF$122,$T84)),"")</f>
        <v/>
      </c>
      <c r="O84" s="12" t="str">
        <f>IF(AND(ISNUMBER($T84),$T84&lt;&gt;""),IF(INDEX(Calc!$AG$3:$AG$122,$T84)="","—",INDEX(Calc!$AG$3:$AG$122,$T84)),"")</f>
        <v/>
      </c>
      <c r="P84" s="13" t="str">
        <f>IF(AND(ISNUMBER($T84),$T84&lt;&gt;""),IF(INDEX(Calc!$AJ$3:$AJ$122,$T84)="","—",INDEX(Calc!$AJ$3:$AJ$122,$T84)),"")</f>
        <v/>
      </c>
      <c r="Q84" s="13" t="str">
        <f>IF(AND(ISNUMBER($T84),$T84&lt;&gt;""),IF(INDEX(Calc!$AK$3:$AK$122,$T84)="","—",INDEX(Calc!$AK$3:$AK$122,$T84)),"")</f>
        <v/>
      </c>
      <c r="R84" s="12" t="str">
        <f>IF(AND(ISNUMBER($T84),$T84&lt;&gt;""),IF(INDEX(Calc!$AL$3:$AL$122,$T84)="","—",INDEX(Calc!$AL$3:$AL$122,$T84)),"")</f>
        <v/>
      </c>
      <c r="T84" t="str">
        <f>IFERROR(MATCH(80,Calc!$AN$3:$AN$122,0),"")</f>
        <v/>
      </c>
    </row>
    <row r="85" spans="1:20" x14ac:dyDescent="0.2">
      <c r="A85" s="16" t="str">
        <f>IF(AND(ISNUMBER($T85),$T85&lt;&gt;""),INDEX(Calc!$S$3:$S$122,$T85),"")</f>
        <v/>
      </c>
      <c r="B85" s="17" t="str">
        <f>IF(AND(ISNUMBER($T85),$T85&lt;&gt;""),IF(INDEX(Calc!$T$3:$T$122,$T85)="","—",INDEX(Calc!$T$3:$T$122,$T85)),"")</f>
        <v/>
      </c>
      <c r="C85" s="17" t="str">
        <f>IF(AND(ISNUMBER($T85),$T85&lt;&gt;""),IF(INDEX(Calc!$U$3:$U$122,$T85)="","—",INDEX(Calc!$U$3:$U$122,$T85)),"")</f>
        <v/>
      </c>
      <c r="D85" s="17" t="str">
        <f>IF(AND(ISNUMBER($T85),$T85&lt;&gt;""),IF(INDEX(Calc!$V$3:$V$122,$T85)="","—",INDEX(Calc!$V$3:$V$122,$T85)),"")</f>
        <v/>
      </c>
      <c r="E85" s="17" t="str">
        <f>IF(AND(ISNUMBER($T85),$T85&lt;&gt;""),IF(INDEX(Calc!$W$3:$W$122,$T85)="","—",INDEX(Calc!$W$3:$W$122,$T85)),"")</f>
        <v/>
      </c>
      <c r="F85" s="17" t="str">
        <f>IF(AND(ISNUMBER($T85),$T85&lt;&gt;""),IF(INDEX(Calc!$X$3:$X$122,$T85)="","—",INDEX(Calc!$X$3:$X$122,$T85)),"")</f>
        <v/>
      </c>
      <c r="G85" s="17" t="str">
        <f>IF(AND(ISNUMBER($T85),$T85&lt;&gt;""),IF(INDEX(Calc!$Y$3:$Y$122,$T85)="","—",INDEX(Calc!$Y$3:$Y$122,$T85)),"")</f>
        <v/>
      </c>
      <c r="H85" s="17" t="str">
        <f>IF(AND(ISNUMBER($T85),$T85&lt;&gt;""),IF(INDEX(Calc!$Z$3:$Z$122,$T85)="","—",INDEX(Calc!$Z$3:$Z$122,$T85)),"")</f>
        <v/>
      </c>
      <c r="I85" s="17" t="str">
        <f>IF(AND(ISNUMBER($T85),$T85&lt;&gt;""),IF(INDEX(Calc!$AA$3:$AA$122,$T85)="","—",INDEX(Calc!$AA$3:$AA$122,$T85)),"")</f>
        <v/>
      </c>
      <c r="J85" s="17" t="str">
        <f>IF(AND(ISNUMBER($T85),$T85&lt;&gt;""),IF(INDEX(Calc!$AB$3:$AB$122,$T85)="","—",INDEX(Calc!$AB$3:$AB$122,$T85)),"")</f>
        <v/>
      </c>
      <c r="K85" s="17" t="str">
        <f>IF(AND(ISNUMBER($T85),$T85&lt;&gt;""),IF(INDEX(Calc!$AC$3:$AC$122,$T85)="","—",INDEX(Calc!$AC$3:$AC$122,$T85)),"")</f>
        <v/>
      </c>
      <c r="L85" s="17" t="str">
        <f>IF(AND(ISNUMBER($T85),$T85&lt;&gt;""),IF(INDEX(Calc!$AD$3:$AD$122,$T85)="","—",INDEX(Calc!$AD$3:$AD$122,$T85)),"")</f>
        <v/>
      </c>
      <c r="M85" s="17" t="str">
        <f>IF(AND(ISNUMBER($T85),$T85&lt;&gt;""),IF(INDEX(Calc!$AE$3:$AE$122,$T85)="","—",INDEX(Calc!$AE$3:$AE$122,$T85)),"")</f>
        <v/>
      </c>
      <c r="N85" s="17" t="str">
        <f>IF(AND(ISNUMBER($T85),$T85&lt;&gt;""),IF(INDEX(Calc!$AF$3:$AF$122,$T85)="","—",INDEX(Calc!$AF$3:$AF$122,$T85)),"")</f>
        <v/>
      </c>
      <c r="O85" s="17" t="str">
        <f>IF(AND(ISNUMBER($T85),$T85&lt;&gt;""),IF(INDEX(Calc!$AG$3:$AG$122,$T85)="","—",INDEX(Calc!$AG$3:$AG$122,$T85)),"")</f>
        <v/>
      </c>
      <c r="P85" s="18" t="str">
        <f>IF(AND(ISNUMBER($T85),$T85&lt;&gt;""),IF(INDEX(Calc!$AJ$3:$AJ$122,$T85)="","—",INDEX(Calc!$AJ$3:$AJ$122,$T85)),"")</f>
        <v/>
      </c>
      <c r="Q85" s="18" t="str">
        <f>IF(AND(ISNUMBER($T85),$T85&lt;&gt;""),IF(INDEX(Calc!$AK$3:$AK$122,$T85)="","—",INDEX(Calc!$AK$3:$AK$122,$T85)),"")</f>
        <v/>
      </c>
      <c r="R85" s="17" t="str">
        <f>IF(AND(ISNUMBER($T85),$T85&lt;&gt;""),IF(INDEX(Calc!$AL$3:$AL$122,$T85)="","—",INDEX(Calc!$AL$3:$AL$122,$T85)),"")</f>
        <v/>
      </c>
      <c r="T85" t="str">
        <f>IFERROR(MATCH(81,Calc!$AN$3:$AN$122,0),"")</f>
        <v/>
      </c>
    </row>
    <row r="86" spans="1:20" x14ac:dyDescent="0.2">
      <c r="A86" s="11" t="str">
        <f>IF(AND(ISNUMBER($T86),$T86&lt;&gt;""),INDEX(Calc!$S$3:$S$122,$T86),"")</f>
        <v/>
      </c>
      <c r="B86" s="12" t="str">
        <f>IF(AND(ISNUMBER($T86),$T86&lt;&gt;""),IF(INDEX(Calc!$T$3:$T$122,$T86)="","—",INDEX(Calc!$T$3:$T$122,$T86)),"")</f>
        <v/>
      </c>
      <c r="C86" s="12" t="str">
        <f>IF(AND(ISNUMBER($T86),$T86&lt;&gt;""),IF(INDEX(Calc!$U$3:$U$122,$T86)="","—",INDEX(Calc!$U$3:$U$122,$T86)),"")</f>
        <v/>
      </c>
      <c r="D86" s="12" t="str">
        <f>IF(AND(ISNUMBER($T86),$T86&lt;&gt;""),IF(INDEX(Calc!$V$3:$V$122,$T86)="","—",INDEX(Calc!$V$3:$V$122,$T86)),"")</f>
        <v/>
      </c>
      <c r="E86" s="12" t="str">
        <f>IF(AND(ISNUMBER($T86),$T86&lt;&gt;""),IF(INDEX(Calc!$W$3:$W$122,$T86)="","—",INDEX(Calc!$W$3:$W$122,$T86)),"")</f>
        <v/>
      </c>
      <c r="F86" s="12" t="str">
        <f>IF(AND(ISNUMBER($T86),$T86&lt;&gt;""),IF(INDEX(Calc!$X$3:$X$122,$T86)="","—",INDEX(Calc!$X$3:$X$122,$T86)),"")</f>
        <v/>
      </c>
      <c r="G86" s="12" t="str">
        <f>IF(AND(ISNUMBER($T86),$T86&lt;&gt;""),IF(INDEX(Calc!$Y$3:$Y$122,$T86)="","—",INDEX(Calc!$Y$3:$Y$122,$T86)),"")</f>
        <v/>
      </c>
      <c r="H86" s="12" t="str">
        <f>IF(AND(ISNUMBER($T86),$T86&lt;&gt;""),IF(INDEX(Calc!$Z$3:$Z$122,$T86)="","—",INDEX(Calc!$Z$3:$Z$122,$T86)),"")</f>
        <v/>
      </c>
      <c r="I86" s="12" t="str">
        <f>IF(AND(ISNUMBER($T86),$T86&lt;&gt;""),IF(INDEX(Calc!$AA$3:$AA$122,$T86)="","—",INDEX(Calc!$AA$3:$AA$122,$T86)),"")</f>
        <v/>
      </c>
      <c r="J86" s="12" t="str">
        <f>IF(AND(ISNUMBER($T86),$T86&lt;&gt;""),IF(INDEX(Calc!$AB$3:$AB$122,$T86)="","—",INDEX(Calc!$AB$3:$AB$122,$T86)),"")</f>
        <v/>
      </c>
      <c r="K86" s="12" t="str">
        <f>IF(AND(ISNUMBER($T86),$T86&lt;&gt;""),IF(INDEX(Calc!$AC$3:$AC$122,$T86)="","—",INDEX(Calc!$AC$3:$AC$122,$T86)),"")</f>
        <v/>
      </c>
      <c r="L86" s="12" t="str">
        <f>IF(AND(ISNUMBER($T86),$T86&lt;&gt;""),IF(INDEX(Calc!$AD$3:$AD$122,$T86)="","—",INDEX(Calc!$AD$3:$AD$122,$T86)),"")</f>
        <v/>
      </c>
      <c r="M86" s="12" t="str">
        <f>IF(AND(ISNUMBER($T86),$T86&lt;&gt;""),IF(INDEX(Calc!$AE$3:$AE$122,$T86)="","—",INDEX(Calc!$AE$3:$AE$122,$T86)),"")</f>
        <v/>
      </c>
      <c r="N86" s="12" t="str">
        <f>IF(AND(ISNUMBER($T86),$T86&lt;&gt;""),IF(INDEX(Calc!$AF$3:$AF$122,$T86)="","—",INDEX(Calc!$AF$3:$AF$122,$T86)),"")</f>
        <v/>
      </c>
      <c r="O86" s="12" t="str">
        <f>IF(AND(ISNUMBER($T86),$T86&lt;&gt;""),IF(INDEX(Calc!$AG$3:$AG$122,$T86)="","—",INDEX(Calc!$AG$3:$AG$122,$T86)),"")</f>
        <v/>
      </c>
      <c r="P86" s="13" t="str">
        <f>IF(AND(ISNUMBER($T86),$T86&lt;&gt;""),IF(INDEX(Calc!$AJ$3:$AJ$122,$T86)="","—",INDEX(Calc!$AJ$3:$AJ$122,$T86)),"")</f>
        <v/>
      </c>
      <c r="Q86" s="13" t="str">
        <f>IF(AND(ISNUMBER($T86),$T86&lt;&gt;""),IF(INDEX(Calc!$AK$3:$AK$122,$T86)="","—",INDEX(Calc!$AK$3:$AK$122,$T86)),"")</f>
        <v/>
      </c>
      <c r="R86" s="12" t="str">
        <f>IF(AND(ISNUMBER($T86),$T86&lt;&gt;""),IF(INDEX(Calc!$AL$3:$AL$122,$T86)="","—",INDEX(Calc!$AL$3:$AL$122,$T86)),"")</f>
        <v/>
      </c>
      <c r="T86" t="str">
        <f>IFERROR(MATCH(82,Calc!$AN$3:$AN$122,0),"")</f>
        <v/>
      </c>
    </row>
    <row r="87" spans="1:20" x14ac:dyDescent="0.2">
      <c r="A87" s="16" t="str">
        <f>IF(AND(ISNUMBER($T87),$T87&lt;&gt;""),INDEX(Calc!$S$3:$S$122,$T87),"")</f>
        <v/>
      </c>
      <c r="B87" s="17" t="str">
        <f>IF(AND(ISNUMBER($T87),$T87&lt;&gt;""),IF(INDEX(Calc!$T$3:$T$122,$T87)="","—",INDEX(Calc!$T$3:$T$122,$T87)),"")</f>
        <v/>
      </c>
      <c r="C87" s="17" t="str">
        <f>IF(AND(ISNUMBER($T87),$T87&lt;&gt;""),IF(INDEX(Calc!$U$3:$U$122,$T87)="","—",INDEX(Calc!$U$3:$U$122,$T87)),"")</f>
        <v/>
      </c>
      <c r="D87" s="17" t="str">
        <f>IF(AND(ISNUMBER($T87),$T87&lt;&gt;""),IF(INDEX(Calc!$V$3:$V$122,$T87)="","—",INDEX(Calc!$V$3:$V$122,$T87)),"")</f>
        <v/>
      </c>
      <c r="E87" s="17" t="str">
        <f>IF(AND(ISNUMBER($T87),$T87&lt;&gt;""),IF(INDEX(Calc!$W$3:$W$122,$T87)="","—",INDEX(Calc!$W$3:$W$122,$T87)),"")</f>
        <v/>
      </c>
      <c r="F87" s="17" t="str">
        <f>IF(AND(ISNUMBER($T87),$T87&lt;&gt;""),IF(INDEX(Calc!$X$3:$X$122,$T87)="","—",INDEX(Calc!$X$3:$X$122,$T87)),"")</f>
        <v/>
      </c>
      <c r="G87" s="17" t="str">
        <f>IF(AND(ISNUMBER($T87),$T87&lt;&gt;""),IF(INDEX(Calc!$Y$3:$Y$122,$T87)="","—",INDEX(Calc!$Y$3:$Y$122,$T87)),"")</f>
        <v/>
      </c>
      <c r="H87" s="17" t="str">
        <f>IF(AND(ISNUMBER($T87),$T87&lt;&gt;""),IF(INDEX(Calc!$Z$3:$Z$122,$T87)="","—",INDEX(Calc!$Z$3:$Z$122,$T87)),"")</f>
        <v/>
      </c>
      <c r="I87" s="17" t="str">
        <f>IF(AND(ISNUMBER($T87),$T87&lt;&gt;""),IF(INDEX(Calc!$AA$3:$AA$122,$T87)="","—",INDEX(Calc!$AA$3:$AA$122,$T87)),"")</f>
        <v/>
      </c>
      <c r="J87" s="17" t="str">
        <f>IF(AND(ISNUMBER($T87),$T87&lt;&gt;""),IF(INDEX(Calc!$AB$3:$AB$122,$T87)="","—",INDEX(Calc!$AB$3:$AB$122,$T87)),"")</f>
        <v/>
      </c>
      <c r="K87" s="17" t="str">
        <f>IF(AND(ISNUMBER($T87),$T87&lt;&gt;""),IF(INDEX(Calc!$AC$3:$AC$122,$T87)="","—",INDEX(Calc!$AC$3:$AC$122,$T87)),"")</f>
        <v/>
      </c>
      <c r="L87" s="17" t="str">
        <f>IF(AND(ISNUMBER($T87),$T87&lt;&gt;""),IF(INDEX(Calc!$AD$3:$AD$122,$T87)="","—",INDEX(Calc!$AD$3:$AD$122,$T87)),"")</f>
        <v/>
      </c>
      <c r="M87" s="17" t="str">
        <f>IF(AND(ISNUMBER($T87),$T87&lt;&gt;""),IF(INDEX(Calc!$AE$3:$AE$122,$T87)="","—",INDEX(Calc!$AE$3:$AE$122,$T87)),"")</f>
        <v/>
      </c>
      <c r="N87" s="17" t="str">
        <f>IF(AND(ISNUMBER($T87),$T87&lt;&gt;""),IF(INDEX(Calc!$AF$3:$AF$122,$T87)="","—",INDEX(Calc!$AF$3:$AF$122,$T87)),"")</f>
        <v/>
      </c>
      <c r="O87" s="17" t="str">
        <f>IF(AND(ISNUMBER($T87),$T87&lt;&gt;""),IF(INDEX(Calc!$AG$3:$AG$122,$T87)="","—",INDEX(Calc!$AG$3:$AG$122,$T87)),"")</f>
        <v/>
      </c>
      <c r="P87" s="18" t="str">
        <f>IF(AND(ISNUMBER($T87),$T87&lt;&gt;""),IF(INDEX(Calc!$AJ$3:$AJ$122,$T87)="","—",INDEX(Calc!$AJ$3:$AJ$122,$T87)),"")</f>
        <v/>
      </c>
      <c r="Q87" s="18" t="str">
        <f>IF(AND(ISNUMBER($T87),$T87&lt;&gt;""),IF(INDEX(Calc!$AK$3:$AK$122,$T87)="","—",INDEX(Calc!$AK$3:$AK$122,$T87)),"")</f>
        <v/>
      </c>
      <c r="R87" s="17" t="str">
        <f>IF(AND(ISNUMBER($T87),$T87&lt;&gt;""),IF(INDEX(Calc!$AL$3:$AL$122,$T87)="","—",INDEX(Calc!$AL$3:$AL$122,$T87)),"")</f>
        <v/>
      </c>
      <c r="T87" t="str">
        <f>IFERROR(MATCH(83,Calc!$AN$3:$AN$122,0),"")</f>
        <v/>
      </c>
    </row>
    <row r="88" spans="1:20" x14ac:dyDescent="0.2">
      <c r="A88" s="11" t="str">
        <f>IF(AND(ISNUMBER($T88),$T88&lt;&gt;""),INDEX(Calc!$S$3:$S$122,$T88),"")</f>
        <v/>
      </c>
      <c r="B88" s="12" t="str">
        <f>IF(AND(ISNUMBER($T88),$T88&lt;&gt;""),IF(INDEX(Calc!$T$3:$T$122,$T88)="","—",INDEX(Calc!$T$3:$T$122,$T88)),"")</f>
        <v/>
      </c>
      <c r="C88" s="12" t="str">
        <f>IF(AND(ISNUMBER($T88),$T88&lt;&gt;""),IF(INDEX(Calc!$U$3:$U$122,$T88)="","—",INDEX(Calc!$U$3:$U$122,$T88)),"")</f>
        <v/>
      </c>
      <c r="D88" s="12" t="str">
        <f>IF(AND(ISNUMBER($T88),$T88&lt;&gt;""),IF(INDEX(Calc!$V$3:$V$122,$T88)="","—",INDEX(Calc!$V$3:$V$122,$T88)),"")</f>
        <v/>
      </c>
      <c r="E88" s="12" t="str">
        <f>IF(AND(ISNUMBER($T88),$T88&lt;&gt;""),IF(INDEX(Calc!$W$3:$W$122,$T88)="","—",INDEX(Calc!$W$3:$W$122,$T88)),"")</f>
        <v/>
      </c>
      <c r="F88" s="12" t="str">
        <f>IF(AND(ISNUMBER($T88),$T88&lt;&gt;""),IF(INDEX(Calc!$X$3:$X$122,$T88)="","—",INDEX(Calc!$X$3:$X$122,$T88)),"")</f>
        <v/>
      </c>
      <c r="G88" s="12" t="str">
        <f>IF(AND(ISNUMBER($T88),$T88&lt;&gt;""),IF(INDEX(Calc!$Y$3:$Y$122,$T88)="","—",INDEX(Calc!$Y$3:$Y$122,$T88)),"")</f>
        <v/>
      </c>
      <c r="H88" s="12" t="str">
        <f>IF(AND(ISNUMBER($T88),$T88&lt;&gt;""),IF(INDEX(Calc!$Z$3:$Z$122,$T88)="","—",INDEX(Calc!$Z$3:$Z$122,$T88)),"")</f>
        <v/>
      </c>
      <c r="I88" s="12" t="str">
        <f>IF(AND(ISNUMBER($T88),$T88&lt;&gt;""),IF(INDEX(Calc!$AA$3:$AA$122,$T88)="","—",INDEX(Calc!$AA$3:$AA$122,$T88)),"")</f>
        <v/>
      </c>
      <c r="J88" s="12" t="str">
        <f>IF(AND(ISNUMBER($T88),$T88&lt;&gt;""),IF(INDEX(Calc!$AB$3:$AB$122,$T88)="","—",INDEX(Calc!$AB$3:$AB$122,$T88)),"")</f>
        <v/>
      </c>
      <c r="K88" s="12" t="str">
        <f>IF(AND(ISNUMBER($T88),$T88&lt;&gt;""),IF(INDEX(Calc!$AC$3:$AC$122,$T88)="","—",INDEX(Calc!$AC$3:$AC$122,$T88)),"")</f>
        <v/>
      </c>
      <c r="L88" s="12" t="str">
        <f>IF(AND(ISNUMBER($T88),$T88&lt;&gt;""),IF(INDEX(Calc!$AD$3:$AD$122,$T88)="","—",INDEX(Calc!$AD$3:$AD$122,$T88)),"")</f>
        <v/>
      </c>
      <c r="M88" s="12" t="str">
        <f>IF(AND(ISNUMBER($T88),$T88&lt;&gt;""),IF(INDEX(Calc!$AE$3:$AE$122,$T88)="","—",INDEX(Calc!$AE$3:$AE$122,$T88)),"")</f>
        <v/>
      </c>
      <c r="N88" s="12" t="str">
        <f>IF(AND(ISNUMBER($T88),$T88&lt;&gt;""),IF(INDEX(Calc!$AF$3:$AF$122,$T88)="","—",INDEX(Calc!$AF$3:$AF$122,$T88)),"")</f>
        <v/>
      </c>
      <c r="O88" s="12" t="str">
        <f>IF(AND(ISNUMBER($T88),$T88&lt;&gt;""),IF(INDEX(Calc!$AG$3:$AG$122,$T88)="","—",INDEX(Calc!$AG$3:$AG$122,$T88)),"")</f>
        <v/>
      </c>
      <c r="P88" s="13" t="str">
        <f>IF(AND(ISNUMBER($T88),$T88&lt;&gt;""),IF(INDEX(Calc!$AJ$3:$AJ$122,$T88)="","—",INDEX(Calc!$AJ$3:$AJ$122,$T88)),"")</f>
        <v/>
      </c>
      <c r="Q88" s="13" t="str">
        <f>IF(AND(ISNUMBER($T88),$T88&lt;&gt;""),IF(INDEX(Calc!$AK$3:$AK$122,$T88)="","—",INDEX(Calc!$AK$3:$AK$122,$T88)),"")</f>
        <v/>
      </c>
      <c r="R88" s="12" t="str">
        <f>IF(AND(ISNUMBER($T88),$T88&lt;&gt;""),IF(INDEX(Calc!$AL$3:$AL$122,$T88)="","—",INDEX(Calc!$AL$3:$AL$122,$T88)),"")</f>
        <v/>
      </c>
      <c r="T88" t="str">
        <f>IFERROR(MATCH(84,Calc!$AN$3:$AN$122,0),"")</f>
        <v/>
      </c>
    </row>
    <row r="89" spans="1:20" x14ac:dyDescent="0.2">
      <c r="A89" s="16" t="str">
        <f>IF(AND(ISNUMBER($T89),$T89&lt;&gt;""),INDEX(Calc!$S$3:$S$122,$T89),"")</f>
        <v/>
      </c>
      <c r="B89" s="17" t="str">
        <f>IF(AND(ISNUMBER($T89),$T89&lt;&gt;""),IF(INDEX(Calc!$T$3:$T$122,$T89)="","—",INDEX(Calc!$T$3:$T$122,$T89)),"")</f>
        <v/>
      </c>
      <c r="C89" s="17" t="str">
        <f>IF(AND(ISNUMBER($T89),$T89&lt;&gt;""),IF(INDEX(Calc!$U$3:$U$122,$T89)="","—",INDEX(Calc!$U$3:$U$122,$T89)),"")</f>
        <v/>
      </c>
      <c r="D89" s="17" t="str">
        <f>IF(AND(ISNUMBER($T89),$T89&lt;&gt;""),IF(INDEX(Calc!$V$3:$V$122,$T89)="","—",INDEX(Calc!$V$3:$V$122,$T89)),"")</f>
        <v/>
      </c>
      <c r="E89" s="17" t="str">
        <f>IF(AND(ISNUMBER($T89),$T89&lt;&gt;""),IF(INDEX(Calc!$W$3:$W$122,$T89)="","—",INDEX(Calc!$W$3:$W$122,$T89)),"")</f>
        <v/>
      </c>
      <c r="F89" s="17" t="str">
        <f>IF(AND(ISNUMBER($T89),$T89&lt;&gt;""),IF(INDEX(Calc!$X$3:$X$122,$T89)="","—",INDEX(Calc!$X$3:$X$122,$T89)),"")</f>
        <v/>
      </c>
      <c r="G89" s="17" t="str">
        <f>IF(AND(ISNUMBER($T89),$T89&lt;&gt;""),IF(INDEX(Calc!$Y$3:$Y$122,$T89)="","—",INDEX(Calc!$Y$3:$Y$122,$T89)),"")</f>
        <v/>
      </c>
      <c r="H89" s="17" t="str">
        <f>IF(AND(ISNUMBER($T89),$T89&lt;&gt;""),IF(INDEX(Calc!$Z$3:$Z$122,$T89)="","—",INDEX(Calc!$Z$3:$Z$122,$T89)),"")</f>
        <v/>
      </c>
      <c r="I89" s="17" t="str">
        <f>IF(AND(ISNUMBER($T89),$T89&lt;&gt;""),IF(INDEX(Calc!$AA$3:$AA$122,$T89)="","—",INDEX(Calc!$AA$3:$AA$122,$T89)),"")</f>
        <v/>
      </c>
      <c r="J89" s="17" t="str">
        <f>IF(AND(ISNUMBER($T89),$T89&lt;&gt;""),IF(INDEX(Calc!$AB$3:$AB$122,$T89)="","—",INDEX(Calc!$AB$3:$AB$122,$T89)),"")</f>
        <v/>
      </c>
      <c r="K89" s="17" t="str">
        <f>IF(AND(ISNUMBER($T89),$T89&lt;&gt;""),IF(INDEX(Calc!$AC$3:$AC$122,$T89)="","—",INDEX(Calc!$AC$3:$AC$122,$T89)),"")</f>
        <v/>
      </c>
      <c r="L89" s="17" t="str">
        <f>IF(AND(ISNUMBER($T89),$T89&lt;&gt;""),IF(INDEX(Calc!$AD$3:$AD$122,$T89)="","—",INDEX(Calc!$AD$3:$AD$122,$T89)),"")</f>
        <v/>
      </c>
      <c r="M89" s="17" t="str">
        <f>IF(AND(ISNUMBER($T89),$T89&lt;&gt;""),IF(INDEX(Calc!$AE$3:$AE$122,$T89)="","—",INDEX(Calc!$AE$3:$AE$122,$T89)),"")</f>
        <v/>
      </c>
      <c r="N89" s="17" t="str">
        <f>IF(AND(ISNUMBER($T89),$T89&lt;&gt;""),IF(INDEX(Calc!$AF$3:$AF$122,$T89)="","—",INDEX(Calc!$AF$3:$AF$122,$T89)),"")</f>
        <v/>
      </c>
      <c r="O89" s="17" t="str">
        <f>IF(AND(ISNUMBER($T89),$T89&lt;&gt;""),IF(INDEX(Calc!$AG$3:$AG$122,$T89)="","—",INDEX(Calc!$AG$3:$AG$122,$T89)),"")</f>
        <v/>
      </c>
      <c r="P89" s="18" t="str">
        <f>IF(AND(ISNUMBER($T89),$T89&lt;&gt;""),IF(INDEX(Calc!$AJ$3:$AJ$122,$T89)="","—",INDEX(Calc!$AJ$3:$AJ$122,$T89)),"")</f>
        <v/>
      </c>
      <c r="Q89" s="18" t="str">
        <f>IF(AND(ISNUMBER($T89),$T89&lt;&gt;""),IF(INDEX(Calc!$AK$3:$AK$122,$T89)="","—",INDEX(Calc!$AK$3:$AK$122,$T89)),"")</f>
        <v/>
      </c>
      <c r="R89" s="17" t="str">
        <f>IF(AND(ISNUMBER($T89),$T89&lt;&gt;""),IF(INDEX(Calc!$AL$3:$AL$122,$T89)="","—",INDEX(Calc!$AL$3:$AL$122,$T89)),"")</f>
        <v/>
      </c>
      <c r="T89" t="str">
        <f>IFERROR(MATCH(85,Calc!$AN$3:$AN$122,0),"")</f>
        <v/>
      </c>
    </row>
    <row r="90" spans="1:20" x14ac:dyDescent="0.2">
      <c r="A90" s="11" t="str">
        <f>IF(AND(ISNUMBER($T90),$T90&lt;&gt;""),INDEX(Calc!$S$3:$S$122,$T90),"")</f>
        <v/>
      </c>
      <c r="B90" s="12" t="str">
        <f>IF(AND(ISNUMBER($T90),$T90&lt;&gt;""),IF(INDEX(Calc!$T$3:$T$122,$T90)="","—",INDEX(Calc!$T$3:$T$122,$T90)),"")</f>
        <v/>
      </c>
      <c r="C90" s="12" t="str">
        <f>IF(AND(ISNUMBER($T90),$T90&lt;&gt;""),IF(INDEX(Calc!$U$3:$U$122,$T90)="","—",INDEX(Calc!$U$3:$U$122,$T90)),"")</f>
        <v/>
      </c>
      <c r="D90" s="12" t="str">
        <f>IF(AND(ISNUMBER($T90),$T90&lt;&gt;""),IF(INDEX(Calc!$V$3:$V$122,$T90)="","—",INDEX(Calc!$V$3:$V$122,$T90)),"")</f>
        <v/>
      </c>
      <c r="E90" s="12" t="str">
        <f>IF(AND(ISNUMBER($T90),$T90&lt;&gt;""),IF(INDEX(Calc!$W$3:$W$122,$T90)="","—",INDEX(Calc!$W$3:$W$122,$T90)),"")</f>
        <v/>
      </c>
      <c r="F90" s="12" t="str">
        <f>IF(AND(ISNUMBER($T90),$T90&lt;&gt;""),IF(INDEX(Calc!$X$3:$X$122,$T90)="","—",INDEX(Calc!$X$3:$X$122,$T90)),"")</f>
        <v/>
      </c>
      <c r="G90" s="12" t="str">
        <f>IF(AND(ISNUMBER($T90),$T90&lt;&gt;""),IF(INDEX(Calc!$Y$3:$Y$122,$T90)="","—",INDEX(Calc!$Y$3:$Y$122,$T90)),"")</f>
        <v/>
      </c>
      <c r="H90" s="12" t="str">
        <f>IF(AND(ISNUMBER($T90),$T90&lt;&gt;""),IF(INDEX(Calc!$Z$3:$Z$122,$T90)="","—",INDEX(Calc!$Z$3:$Z$122,$T90)),"")</f>
        <v/>
      </c>
      <c r="I90" s="12" t="str">
        <f>IF(AND(ISNUMBER($T90),$T90&lt;&gt;""),IF(INDEX(Calc!$AA$3:$AA$122,$T90)="","—",INDEX(Calc!$AA$3:$AA$122,$T90)),"")</f>
        <v/>
      </c>
      <c r="J90" s="12" t="str">
        <f>IF(AND(ISNUMBER($T90),$T90&lt;&gt;""),IF(INDEX(Calc!$AB$3:$AB$122,$T90)="","—",INDEX(Calc!$AB$3:$AB$122,$T90)),"")</f>
        <v/>
      </c>
      <c r="K90" s="12" t="str">
        <f>IF(AND(ISNUMBER($T90),$T90&lt;&gt;""),IF(INDEX(Calc!$AC$3:$AC$122,$T90)="","—",INDEX(Calc!$AC$3:$AC$122,$T90)),"")</f>
        <v/>
      </c>
      <c r="L90" s="12" t="str">
        <f>IF(AND(ISNUMBER($T90),$T90&lt;&gt;""),IF(INDEX(Calc!$AD$3:$AD$122,$T90)="","—",INDEX(Calc!$AD$3:$AD$122,$T90)),"")</f>
        <v/>
      </c>
      <c r="M90" s="12" t="str">
        <f>IF(AND(ISNUMBER($T90),$T90&lt;&gt;""),IF(INDEX(Calc!$AE$3:$AE$122,$T90)="","—",INDEX(Calc!$AE$3:$AE$122,$T90)),"")</f>
        <v/>
      </c>
      <c r="N90" s="12" t="str">
        <f>IF(AND(ISNUMBER($T90),$T90&lt;&gt;""),IF(INDEX(Calc!$AF$3:$AF$122,$T90)="","—",INDEX(Calc!$AF$3:$AF$122,$T90)),"")</f>
        <v/>
      </c>
      <c r="O90" s="12" t="str">
        <f>IF(AND(ISNUMBER($T90),$T90&lt;&gt;""),IF(INDEX(Calc!$AG$3:$AG$122,$T90)="","—",INDEX(Calc!$AG$3:$AG$122,$T90)),"")</f>
        <v/>
      </c>
      <c r="P90" s="13" t="str">
        <f>IF(AND(ISNUMBER($T90),$T90&lt;&gt;""),IF(INDEX(Calc!$AJ$3:$AJ$122,$T90)="","—",INDEX(Calc!$AJ$3:$AJ$122,$T90)),"")</f>
        <v/>
      </c>
      <c r="Q90" s="13" t="str">
        <f>IF(AND(ISNUMBER($T90),$T90&lt;&gt;""),IF(INDEX(Calc!$AK$3:$AK$122,$T90)="","—",INDEX(Calc!$AK$3:$AK$122,$T90)),"")</f>
        <v/>
      </c>
      <c r="R90" s="12" t="str">
        <f>IF(AND(ISNUMBER($T90),$T90&lt;&gt;""),IF(INDEX(Calc!$AL$3:$AL$122,$T90)="","—",INDEX(Calc!$AL$3:$AL$122,$T90)),"")</f>
        <v/>
      </c>
      <c r="T90" t="str">
        <f>IFERROR(MATCH(86,Calc!$AN$3:$AN$122,0),"")</f>
        <v/>
      </c>
    </row>
    <row r="91" spans="1:20" x14ac:dyDescent="0.2">
      <c r="A91" s="16" t="str">
        <f>IF(AND(ISNUMBER($T91),$T91&lt;&gt;""),INDEX(Calc!$S$3:$S$122,$T91),"")</f>
        <v/>
      </c>
      <c r="B91" s="17" t="str">
        <f>IF(AND(ISNUMBER($T91),$T91&lt;&gt;""),IF(INDEX(Calc!$T$3:$T$122,$T91)="","—",INDEX(Calc!$T$3:$T$122,$T91)),"")</f>
        <v/>
      </c>
      <c r="C91" s="17" t="str">
        <f>IF(AND(ISNUMBER($T91),$T91&lt;&gt;""),IF(INDEX(Calc!$U$3:$U$122,$T91)="","—",INDEX(Calc!$U$3:$U$122,$T91)),"")</f>
        <v/>
      </c>
      <c r="D91" s="17" t="str">
        <f>IF(AND(ISNUMBER($T91),$T91&lt;&gt;""),IF(INDEX(Calc!$V$3:$V$122,$T91)="","—",INDEX(Calc!$V$3:$V$122,$T91)),"")</f>
        <v/>
      </c>
      <c r="E91" s="17" t="str">
        <f>IF(AND(ISNUMBER($T91),$T91&lt;&gt;""),IF(INDEX(Calc!$W$3:$W$122,$T91)="","—",INDEX(Calc!$W$3:$W$122,$T91)),"")</f>
        <v/>
      </c>
      <c r="F91" s="17" t="str">
        <f>IF(AND(ISNUMBER($T91),$T91&lt;&gt;""),IF(INDEX(Calc!$X$3:$X$122,$T91)="","—",INDEX(Calc!$X$3:$X$122,$T91)),"")</f>
        <v/>
      </c>
      <c r="G91" s="17" t="str">
        <f>IF(AND(ISNUMBER($T91),$T91&lt;&gt;""),IF(INDEX(Calc!$Y$3:$Y$122,$T91)="","—",INDEX(Calc!$Y$3:$Y$122,$T91)),"")</f>
        <v/>
      </c>
      <c r="H91" s="17" t="str">
        <f>IF(AND(ISNUMBER($T91),$T91&lt;&gt;""),IF(INDEX(Calc!$Z$3:$Z$122,$T91)="","—",INDEX(Calc!$Z$3:$Z$122,$T91)),"")</f>
        <v/>
      </c>
      <c r="I91" s="17" t="str">
        <f>IF(AND(ISNUMBER($T91),$T91&lt;&gt;""),IF(INDEX(Calc!$AA$3:$AA$122,$T91)="","—",INDEX(Calc!$AA$3:$AA$122,$T91)),"")</f>
        <v/>
      </c>
      <c r="J91" s="17" t="str">
        <f>IF(AND(ISNUMBER($T91),$T91&lt;&gt;""),IF(INDEX(Calc!$AB$3:$AB$122,$T91)="","—",INDEX(Calc!$AB$3:$AB$122,$T91)),"")</f>
        <v/>
      </c>
      <c r="K91" s="17" t="str">
        <f>IF(AND(ISNUMBER($T91),$T91&lt;&gt;""),IF(INDEX(Calc!$AC$3:$AC$122,$T91)="","—",INDEX(Calc!$AC$3:$AC$122,$T91)),"")</f>
        <v/>
      </c>
      <c r="L91" s="17" t="str">
        <f>IF(AND(ISNUMBER($T91),$T91&lt;&gt;""),IF(INDEX(Calc!$AD$3:$AD$122,$T91)="","—",INDEX(Calc!$AD$3:$AD$122,$T91)),"")</f>
        <v/>
      </c>
      <c r="M91" s="17" t="str">
        <f>IF(AND(ISNUMBER($T91),$T91&lt;&gt;""),IF(INDEX(Calc!$AE$3:$AE$122,$T91)="","—",INDEX(Calc!$AE$3:$AE$122,$T91)),"")</f>
        <v/>
      </c>
      <c r="N91" s="17" t="str">
        <f>IF(AND(ISNUMBER($T91),$T91&lt;&gt;""),IF(INDEX(Calc!$AF$3:$AF$122,$T91)="","—",INDEX(Calc!$AF$3:$AF$122,$T91)),"")</f>
        <v/>
      </c>
      <c r="O91" s="17" t="str">
        <f>IF(AND(ISNUMBER($T91),$T91&lt;&gt;""),IF(INDEX(Calc!$AG$3:$AG$122,$T91)="","—",INDEX(Calc!$AG$3:$AG$122,$T91)),"")</f>
        <v/>
      </c>
      <c r="P91" s="18" t="str">
        <f>IF(AND(ISNUMBER($T91),$T91&lt;&gt;""),IF(INDEX(Calc!$AJ$3:$AJ$122,$T91)="","—",INDEX(Calc!$AJ$3:$AJ$122,$T91)),"")</f>
        <v/>
      </c>
      <c r="Q91" s="18" t="str">
        <f>IF(AND(ISNUMBER($T91),$T91&lt;&gt;""),IF(INDEX(Calc!$AK$3:$AK$122,$T91)="","—",INDEX(Calc!$AK$3:$AK$122,$T91)),"")</f>
        <v/>
      </c>
      <c r="R91" s="17" t="str">
        <f>IF(AND(ISNUMBER($T91),$T91&lt;&gt;""),IF(INDEX(Calc!$AL$3:$AL$122,$T91)="","—",INDEX(Calc!$AL$3:$AL$122,$T91)),"")</f>
        <v/>
      </c>
      <c r="T91" t="str">
        <f>IFERROR(MATCH(87,Calc!$AN$3:$AN$122,0),"")</f>
        <v/>
      </c>
    </row>
    <row r="92" spans="1:20" x14ac:dyDescent="0.2">
      <c r="A92" s="11" t="str">
        <f>IF(AND(ISNUMBER($T92),$T92&lt;&gt;""),INDEX(Calc!$S$3:$S$122,$T92),"")</f>
        <v/>
      </c>
      <c r="B92" s="12" t="str">
        <f>IF(AND(ISNUMBER($T92),$T92&lt;&gt;""),IF(INDEX(Calc!$T$3:$T$122,$T92)="","—",INDEX(Calc!$T$3:$T$122,$T92)),"")</f>
        <v/>
      </c>
      <c r="C92" s="12" t="str">
        <f>IF(AND(ISNUMBER($T92),$T92&lt;&gt;""),IF(INDEX(Calc!$U$3:$U$122,$T92)="","—",INDEX(Calc!$U$3:$U$122,$T92)),"")</f>
        <v/>
      </c>
      <c r="D92" s="12" t="str">
        <f>IF(AND(ISNUMBER($T92),$T92&lt;&gt;""),IF(INDEX(Calc!$V$3:$V$122,$T92)="","—",INDEX(Calc!$V$3:$V$122,$T92)),"")</f>
        <v/>
      </c>
      <c r="E92" s="12" t="str">
        <f>IF(AND(ISNUMBER($T92),$T92&lt;&gt;""),IF(INDEX(Calc!$W$3:$W$122,$T92)="","—",INDEX(Calc!$W$3:$W$122,$T92)),"")</f>
        <v/>
      </c>
      <c r="F92" s="12" t="str">
        <f>IF(AND(ISNUMBER($T92),$T92&lt;&gt;""),IF(INDEX(Calc!$X$3:$X$122,$T92)="","—",INDEX(Calc!$X$3:$X$122,$T92)),"")</f>
        <v/>
      </c>
      <c r="G92" s="12" t="str">
        <f>IF(AND(ISNUMBER($T92),$T92&lt;&gt;""),IF(INDEX(Calc!$Y$3:$Y$122,$T92)="","—",INDEX(Calc!$Y$3:$Y$122,$T92)),"")</f>
        <v/>
      </c>
      <c r="H92" s="12" t="str">
        <f>IF(AND(ISNUMBER($T92),$T92&lt;&gt;""),IF(INDEX(Calc!$Z$3:$Z$122,$T92)="","—",INDEX(Calc!$Z$3:$Z$122,$T92)),"")</f>
        <v/>
      </c>
      <c r="I92" s="12" t="str">
        <f>IF(AND(ISNUMBER($T92),$T92&lt;&gt;""),IF(INDEX(Calc!$AA$3:$AA$122,$T92)="","—",INDEX(Calc!$AA$3:$AA$122,$T92)),"")</f>
        <v/>
      </c>
      <c r="J92" s="12" t="str">
        <f>IF(AND(ISNUMBER($T92),$T92&lt;&gt;""),IF(INDEX(Calc!$AB$3:$AB$122,$T92)="","—",INDEX(Calc!$AB$3:$AB$122,$T92)),"")</f>
        <v/>
      </c>
      <c r="K92" s="12" t="str">
        <f>IF(AND(ISNUMBER($T92),$T92&lt;&gt;""),IF(INDEX(Calc!$AC$3:$AC$122,$T92)="","—",INDEX(Calc!$AC$3:$AC$122,$T92)),"")</f>
        <v/>
      </c>
      <c r="L92" s="12" t="str">
        <f>IF(AND(ISNUMBER($T92),$T92&lt;&gt;""),IF(INDEX(Calc!$AD$3:$AD$122,$T92)="","—",INDEX(Calc!$AD$3:$AD$122,$T92)),"")</f>
        <v/>
      </c>
      <c r="M92" s="12" t="str">
        <f>IF(AND(ISNUMBER($T92),$T92&lt;&gt;""),IF(INDEX(Calc!$AE$3:$AE$122,$T92)="","—",INDEX(Calc!$AE$3:$AE$122,$T92)),"")</f>
        <v/>
      </c>
      <c r="N92" s="12" t="str">
        <f>IF(AND(ISNUMBER($T92),$T92&lt;&gt;""),IF(INDEX(Calc!$AF$3:$AF$122,$T92)="","—",INDEX(Calc!$AF$3:$AF$122,$T92)),"")</f>
        <v/>
      </c>
      <c r="O92" s="12" t="str">
        <f>IF(AND(ISNUMBER($T92),$T92&lt;&gt;""),IF(INDEX(Calc!$AG$3:$AG$122,$T92)="","—",INDEX(Calc!$AG$3:$AG$122,$T92)),"")</f>
        <v/>
      </c>
      <c r="P92" s="13" t="str">
        <f>IF(AND(ISNUMBER($T92),$T92&lt;&gt;""),IF(INDEX(Calc!$AJ$3:$AJ$122,$T92)="","—",INDEX(Calc!$AJ$3:$AJ$122,$T92)),"")</f>
        <v/>
      </c>
      <c r="Q92" s="13" t="str">
        <f>IF(AND(ISNUMBER($T92),$T92&lt;&gt;""),IF(INDEX(Calc!$AK$3:$AK$122,$T92)="","—",INDEX(Calc!$AK$3:$AK$122,$T92)),"")</f>
        <v/>
      </c>
      <c r="R92" s="12" t="str">
        <f>IF(AND(ISNUMBER($T92),$T92&lt;&gt;""),IF(INDEX(Calc!$AL$3:$AL$122,$T92)="","—",INDEX(Calc!$AL$3:$AL$122,$T92)),"")</f>
        <v/>
      </c>
      <c r="T92" t="str">
        <f>IFERROR(MATCH(88,Calc!$AN$3:$AN$122,0),"")</f>
        <v/>
      </c>
    </row>
    <row r="93" spans="1:20" x14ac:dyDescent="0.2">
      <c r="A93" s="16" t="str">
        <f>IF(AND(ISNUMBER($T93),$T93&lt;&gt;""),INDEX(Calc!$S$3:$S$122,$T93),"")</f>
        <v/>
      </c>
      <c r="B93" s="17" t="str">
        <f>IF(AND(ISNUMBER($T93),$T93&lt;&gt;""),IF(INDEX(Calc!$T$3:$T$122,$T93)="","—",INDEX(Calc!$T$3:$T$122,$T93)),"")</f>
        <v/>
      </c>
      <c r="C93" s="17" t="str">
        <f>IF(AND(ISNUMBER($T93),$T93&lt;&gt;""),IF(INDEX(Calc!$U$3:$U$122,$T93)="","—",INDEX(Calc!$U$3:$U$122,$T93)),"")</f>
        <v/>
      </c>
      <c r="D93" s="17" t="str">
        <f>IF(AND(ISNUMBER($T93),$T93&lt;&gt;""),IF(INDEX(Calc!$V$3:$V$122,$T93)="","—",INDEX(Calc!$V$3:$V$122,$T93)),"")</f>
        <v/>
      </c>
      <c r="E93" s="17" t="str">
        <f>IF(AND(ISNUMBER($T93),$T93&lt;&gt;""),IF(INDEX(Calc!$W$3:$W$122,$T93)="","—",INDEX(Calc!$W$3:$W$122,$T93)),"")</f>
        <v/>
      </c>
      <c r="F93" s="17" t="str">
        <f>IF(AND(ISNUMBER($T93),$T93&lt;&gt;""),IF(INDEX(Calc!$X$3:$X$122,$T93)="","—",INDEX(Calc!$X$3:$X$122,$T93)),"")</f>
        <v/>
      </c>
      <c r="G93" s="17" t="str">
        <f>IF(AND(ISNUMBER($T93),$T93&lt;&gt;""),IF(INDEX(Calc!$Y$3:$Y$122,$T93)="","—",INDEX(Calc!$Y$3:$Y$122,$T93)),"")</f>
        <v/>
      </c>
      <c r="H93" s="17" t="str">
        <f>IF(AND(ISNUMBER($T93),$T93&lt;&gt;""),IF(INDEX(Calc!$Z$3:$Z$122,$T93)="","—",INDEX(Calc!$Z$3:$Z$122,$T93)),"")</f>
        <v/>
      </c>
      <c r="I93" s="17" t="str">
        <f>IF(AND(ISNUMBER($T93),$T93&lt;&gt;""),IF(INDEX(Calc!$AA$3:$AA$122,$T93)="","—",INDEX(Calc!$AA$3:$AA$122,$T93)),"")</f>
        <v/>
      </c>
      <c r="J93" s="17" t="str">
        <f>IF(AND(ISNUMBER($T93),$T93&lt;&gt;""),IF(INDEX(Calc!$AB$3:$AB$122,$T93)="","—",INDEX(Calc!$AB$3:$AB$122,$T93)),"")</f>
        <v/>
      </c>
      <c r="K93" s="17" t="str">
        <f>IF(AND(ISNUMBER($T93),$T93&lt;&gt;""),IF(INDEX(Calc!$AC$3:$AC$122,$T93)="","—",INDEX(Calc!$AC$3:$AC$122,$T93)),"")</f>
        <v/>
      </c>
      <c r="L93" s="17" t="str">
        <f>IF(AND(ISNUMBER($T93),$T93&lt;&gt;""),IF(INDEX(Calc!$AD$3:$AD$122,$T93)="","—",INDEX(Calc!$AD$3:$AD$122,$T93)),"")</f>
        <v/>
      </c>
      <c r="M93" s="17" t="str">
        <f>IF(AND(ISNUMBER($T93),$T93&lt;&gt;""),IF(INDEX(Calc!$AE$3:$AE$122,$T93)="","—",INDEX(Calc!$AE$3:$AE$122,$T93)),"")</f>
        <v/>
      </c>
      <c r="N93" s="17" t="str">
        <f>IF(AND(ISNUMBER($T93),$T93&lt;&gt;""),IF(INDEX(Calc!$AF$3:$AF$122,$T93)="","—",INDEX(Calc!$AF$3:$AF$122,$T93)),"")</f>
        <v/>
      </c>
      <c r="O93" s="17" t="str">
        <f>IF(AND(ISNUMBER($T93),$T93&lt;&gt;""),IF(INDEX(Calc!$AG$3:$AG$122,$T93)="","—",INDEX(Calc!$AG$3:$AG$122,$T93)),"")</f>
        <v/>
      </c>
      <c r="P93" s="18" t="str">
        <f>IF(AND(ISNUMBER($T93),$T93&lt;&gt;""),IF(INDEX(Calc!$AJ$3:$AJ$122,$T93)="","—",INDEX(Calc!$AJ$3:$AJ$122,$T93)),"")</f>
        <v/>
      </c>
      <c r="Q93" s="18" t="str">
        <f>IF(AND(ISNUMBER($T93),$T93&lt;&gt;""),IF(INDEX(Calc!$AK$3:$AK$122,$T93)="","—",INDEX(Calc!$AK$3:$AK$122,$T93)),"")</f>
        <v/>
      </c>
      <c r="R93" s="17" t="str">
        <f>IF(AND(ISNUMBER($T93),$T93&lt;&gt;""),IF(INDEX(Calc!$AL$3:$AL$122,$T93)="","—",INDEX(Calc!$AL$3:$AL$122,$T93)),"")</f>
        <v/>
      </c>
      <c r="T93" t="str">
        <f>IFERROR(MATCH(89,Calc!$AN$3:$AN$122,0),"")</f>
        <v/>
      </c>
    </row>
    <row r="94" spans="1:20" x14ac:dyDescent="0.2">
      <c r="A94" s="11" t="str">
        <f>IF(AND(ISNUMBER($T94),$T94&lt;&gt;""),INDEX(Calc!$S$3:$S$122,$T94),"")</f>
        <v/>
      </c>
      <c r="B94" s="12" t="str">
        <f>IF(AND(ISNUMBER($T94),$T94&lt;&gt;""),IF(INDEX(Calc!$T$3:$T$122,$T94)="","—",INDEX(Calc!$T$3:$T$122,$T94)),"")</f>
        <v/>
      </c>
      <c r="C94" s="12" t="str">
        <f>IF(AND(ISNUMBER($T94),$T94&lt;&gt;""),IF(INDEX(Calc!$U$3:$U$122,$T94)="","—",INDEX(Calc!$U$3:$U$122,$T94)),"")</f>
        <v/>
      </c>
      <c r="D94" s="12" t="str">
        <f>IF(AND(ISNUMBER($T94),$T94&lt;&gt;""),IF(INDEX(Calc!$V$3:$V$122,$T94)="","—",INDEX(Calc!$V$3:$V$122,$T94)),"")</f>
        <v/>
      </c>
      <c r="E94" s="12" t="str">
        <f>IF(AND(ISNUMBER($T94),$T94&lt;&gt;""),IF(INDEX(Calc!$W$3:$W$122,$T94)="","—",INDEX(Calc!$W$3:$W$122,$T94)),"")</f>
        <v/>
      </c>
      <c r="F94" s="12" t="str">
        <f>IF(AND(ISNUMBER($T94),$T94&lt;&gt;""),IF(INDEX(Calc!$X$3:$X$122,$T94)="","—",INDEX(Calc!$X$3:$X$122,$T94)),"")</f>
        <v/>
      </c>
      <c r="G94" s="12" t="str">
        <f>IF(AND(ISNUMBER($T94),$T94&lt;&gt;""),IF(INDEX(Calc!$Y$3:$Y$122,$T94)="","—",INDEX(Calc!$Y$3:$Y$122,$T94)),"")</f>
        <v/>
      </c>
      <c r="H94" s="12" t="str">
        <f>IF(AND(ISNUMBER($T94),$T94&lt;&gt;""),IF(INDEX(Calc!$Z$3:$Z$122,$T94)="","—",INDEX(Calc!$Z$3:$Z$122,$T94)),"")</f>
        <v/>
      </c>
      <c r="I94" s="12" t="str">
        <f>IF(AND(ISNUMBER($T94),$T94&lt;&gt;""),IF(INDEX(Calc!$AA$3:$AA$122,$T94)="","—",INDEX(Calc!$AA$3:$AA$122,$T94)),"")</f>
        <v/>
      </c>
      <c r="J94" s="12" t="str">
        <f>IF(AND(ISNUMBER($T94),$T94&lt;&gt;""),IF(INDEX(Calc!$AB$3:$AB$122,$T94)="","—",INDEX(Calc!$AB$3:$AB$122,$T94)),"")</f>
        <v/>
      </c>
      <c r="K94" s="12" t="str">
        <f>IF(AND(ISNUMBER($T94),$T94&lt;&gt;""),IF(INDEX(Calc!$AC$3:$AC$122,$T94)="","—",INDEX(Calc!$AC$3:$AC$122,$T94)),"")</f>
        <v/>
      </c>
      <c r="L94" s="12" t="str">
        <f>IF(AND(ISNUMBER($T94),$T94&lt;&gt;""),IF(INDEX(Calc!$AD$3:$AD$122,$T94)="","—",INDEX(Calc!$AD$3:$AD$122,$T94)),"")</f>
        <v/>
      </c>
      <c r="M94" s="12" t="str">
        <f>IF(AND(ISNUMBER($T94),$T94&lt;&gt;""),IF(INDEX(Calc!$AE$3:$AE$122,$T94)="","—",INDEX(Calc!$AE$3:$AE$122,$T94)),"")</f>
        <v/>
      </c>
      <c r="N94" s="12" t="str">
        <f>IF(AND(ISNUMBER($T94),$T94&lt;&gt;""),IF(INDEX(Calc!$AF$3:$AF$122,$T94)="","—",INDEX(Calc!$AF$3:$AF$122,$T94)),"")</f>
        <v/>
      </c>
      <c r="O94" s="12" t="str">
        <f>IF(AND(ISNUMBER($T94),$T94&lt;&gt;""),IF(INDEX(Calc!$AG$3:$AG$122,$T94)="","—",INDEX(Calc!$AG$3:$AG$122,$T94)),"")</f>
        <v/>
      </c>
      <c r="P94" s="13" t="str">
        <f>IF(AND(ISNUMBER($T94),$T94&lt;&gt;""),IF(INDEX(Calc!$AJ$3:$AJ$122,$T94)="","—",INDEX(Calc!$AJ$3:$AJ$122,$T94)),"")</f>
        <v/>
      </c>
      <c r="Q94" s="13" t="str">
        <f>IF(AND(ISNUMBER($T94),$T94&lt;&gt;""),IF(INDEX(Calc!$AK$3:$AK$122,$T94)="","—",INDEX(Calc!$AK$3:$AK$122,$T94)),"")</f>
        <v/>
      </c>
      <c r="R94" s="12" t="str">
        <f>IF(AND(ISNUMBER($T94),$T94&lt;&gt;""),IF(INDEX(Calc!$AL$3:$AL$122,$T94)="","—",INDEX(Calc!$AL$3:$AL$122,$T94)),"")</f>
        <v/>
      </c>
      <c r="T94" t="str">
        <f>IFERROR(MATCH(90,Calc!$AN$3:$AN$122,0),"")</f>
        <v/>
      </c>
    </row>
    <row r="95" spans="1:20" x14ac:dyDescent="0.2">
      <c r="A95" s="16" t="str">
        <f>IF(AND(ISNUMBER($T95),$T95&lt;&gt;""),INDEX(Calc!$S$3:$S$122,$T95),"")</f>
        <v/>
      </c>
      <c r="B95" s="17" t="str">
        <f>IF(AND(ISNUMBER($T95),$T95&lt;&gt;""),IF(INDEX(Calc!$T$3:$T$122,$T95)="","—",INDEX(Calc!$T$3:$T$122,$T95)),"")</f>
        <v/>
      </c>
      <c r="C95" s="17" t="str">
        <f>IF(AND(ISNUMBER($T95),$T95&lt;&gt;""),IF(INDEX(Calc!$U$3:$U$122,$T95)="","—",INDEX(Calc!$U$3:$U$122,$T95)),"")</f>
        <v/>
      </c>
      <c r="D95" s="17" t="str">
        <f>IF(AND(ISNUMBER($T95),$T95&lt;&gt;""),IF(INDEX(Calc!$V$3:$V$122,$T95)="","—",INDEX(Calc!$V$3:$V$122,$T95)),"")</f>
        <v/>
      </c>
      <c r="E95" s="17" t="str">
        <f>IF(AND(ISNUMBER($T95),$T95&lt;&gt;""),IF(INDEX(Calc!$W$3:$W$122,$T95)="","—",INDEX(Calc!$W$3:$W$122,$T95)),"")</f>
        <v/>
      </c>
      <c r="F95" s="17" t="str">
        <f>IF(AND(ISNUMBER($T95),$T95&lt;&gt;""),IF(INDEX(Calc!$X$3:$X$122,$T95)="","—",INDEX(Calc!$X$3:$X$122,$T95)),"")</f>
        <v/>
      </c>
      <c r="G95" s="17" t="str">
        <f>IF(AND(ISNUMBER($T95),$T95&lt;&gt;""),IF(INDEX(Calc!$Y$3:$Y$122,$T95)="","—",INDEX(Calc!$Y$3:$Y$122,$T95)),"")</f>
        <v/>
      </c>
      <c r="H95" s="17" t="str">
        <f>IF(AND(ISNUMBER($T95),$T95&lt;&gt;""),IF(INDEX(Calc!$Z$3:$Z$122,$T95)="","—",INDEX(Calc!$Z$3:$Z$122,$T95)),"")</f>
        <v/>
      </c>
      <c r="I95" s="17" t="str">
        <f>IF(AND(ISNUMBER($T95),$T95&lt;&gt;""),IF(INDEX(Calc!$AA$3:$AA$122,$T95)="","—",INDEX(Calc!$AA$3:$AA$122,$T95)),"")</f>
        <v/>
      </c>
      <c r="J95" s="17" t="str">
        <f>IF(AND(ISNUMBER($T95),$T95&lt;&gt;""),IF(INDEX(Calc!$AB$3:$AB$122,$T95)="","—",INDEX(Calc!$AB$3:$AB$122,$T95)),"")</f>
        <v/>
      </c>
      <c r="K95" s="17" t="str">
        <f>IF(AND(ISNUMBER($T95),$T95&lt;&gt;""),IF(INDEX(Calc!$AC$3:$AC$122,$T95)="","—",INDEX(Calc!$AC$3:$AC$122,$T95)),"")</f>
        <v/>
      </c>
      <c r="L95" s="17" t="str">
        <f>IF(AND(ISNUMBER($T95),$T95&lt;&gt;""),IF(INDEX(Calc!$AD$3:$AD$122,$T95)="","—",INDEX(Calc!$AD$3:$AD$122,$T95)),"")</f>
        <v/>
      </c>
      <c r="M95" s="17" t="str">
        <f>IF(AND(ISNUMBER($T95),$T95&lt;&gt;""),IF(INDEX(Calc!$AE$3:$AE$122,$T95)="","—",INDEX(Calc!$AE$3:$AE$122,$T95)),"")</f>
        <v/>
      </c>
      <c r="N95" s="17" t="str">
        <f>IF(AND(ISNUMBER($T95),$T95&lt;&gt;""),IF(INDEX(Calc!$AF$3:$AF$122,$T95)="","—",INDEX(Calc!$AF$3:$AF$122,$T95)),"")</f>
        <v/>
      </c>
      <c r="O95" s="17" t="str">
        <f>IF(AND(ISNUMBER($T95),$T95&lt;&gt;""),IF(INDEX(Calc!$AG$3:$AG$122,$T95)="","—",INDEX(Calc!$AG$3:$AG$122,$T95)),"")</f>
        <v/>
      </c>
      <c r="P95" s="18" t="str">
        <f>IF(AND(ISNUMBER($T95),$T95&lt;&gt;""),IF(INDEX(Calc!$AJ$3:$AJ$122,$T95)="","—",INDEX(Calc!$AJ$3:$AJ$122,$T95)),"")</f>
        <v/>
      </c>
      <c r="Q95" s="18" t="str">
        <f>IF(AND(ISNUMBER($T95),$T95&lt;&gt;""),IF(INDEX(Calc!$AK$3:$AK$122,$T95)="","—",INDEX(Calc!$AK$3:$AK$122,$T95)),"")</f>
        <v/>
      </c>
      <c r="R95" s="17" t="str">
        <f>IF(AND(ISNUMBER($T95),$T95&lt;&gt;""),IF(INDEX(Calc!$AL$3:$AL$122,$T95)="","—",INDEX(Calc!$AL$3:$AL$122,$T95)),"")</f>
        <v/>
      </c>
      <c r="T95" t="str">
        <f>IFERROR(MATCH(91,Calc!$AN$3:$AN$122,0),"")</f>
        <v/>
      </c>
    </row>
    <row r="96" spans="1:20" x14ac:dyDescent="0.2">
      <c r="A96" s="11" t="str">
        <f>IF(AND(ISNUMBER($T96),$T96&lt;&gt;""),INDEX(Calc!$S$3:$S$122,$T96),"")</f>
        <v/>
      </c>
      <c r="B96" s="12" t="str">
        <f>IF(AND(ISNUMBER($T96),$T96&lt;&gt;""),IF(INDEX(Calc!$T$3:$T$122,$T96)="","—",INDEX(Calc!$T$3:$T$122,$T96)),"")</f>
        <v/>
      </c>
      <c r="C96" s="12" t="str">
        <f>IF(AND(ISNUMBER($T96),$T96&lt;&gt;""),IF(INDEX(Calc!$U$3:$U$122,$T96)="","—",INDEX(Calc!$U$3:$U$122,$T96)),"")</f>
        <v/>
      </c>
      <c r="D96" s="12" t="str">
        <f>IF(AND(ISNUMBER($T96),$T96&lt;&gt;""),IF(INDEX(Calc!$V$3:$V$122,$T96)="","—",INDEX(Calc!$V$3:$V$122,$T96)),"")</f>
        <v/>
      </c>
      <c r="E96" s="12" t="str">
        <f>IF(AND(ISNUMBER($T96),$T96&lt;&gt;""),IF(INDEX(Calc!$W$3:$W$122,$T96)="","—",INDEX(Calc!$W$3:$W$122,$T96)),"")</f>
        <v/>
      </c>
      <c r="F96" s="12" t="str">
        <f>IF(AND(ISNUMBER($T96),$T96&lt;&gt;""),IF(INDEX(Calc!$X$3:$X$122,$T96)="","—",INDEX(Calc!$X$3:$X$122,$T96)),"")</f>
        <v/>
      </c>
      <c r="G96" s="12" t="str">
        <f>IF(AND(ISNUMBER($T96),$T96&lt;&gt;""),IF(INDEX(Calc!$Y$3:$Y$122,$T96)="","—",INDEX(Calc!$Y$3:$Y$122,$T96)),"")</f>
        <v/>
      </c>
      <c r="H96" s="12" t="str">
        <f>IF(AND(ISNUMBER($T96),$T96&lt;&gt;""),IF(INDEX(Calc!$Z$3:$Z$122,$T96)="","—",INDEX(Calc!$Z$3:$Z$122,$T96)),"")</f>
        <v/>
      </c>
      <c r="I96" s="12" t="str">
        <f>IF(AND(ISNUMBER($T96),$T96&lt;&gt;""),IF(INDEX(Calc!$AA$3:$AA$122,$T96)="","—",INDEX(Calc!$AA$3:$AA$122,$T96)),"")</f>
        <v/>
      </c>
      <c r="J96" s="12" t="str">
        <f>IF(AND(ISNUMBER($T96),$T96&lt;&gt;""),IF(INDEX(Calc!$AB$3:$AB$122,$T96)="","—",INDEX(Calc!$AB$3:$AB$122,$T96)),"")</f>
        <v/>
      </c>
      <c r="K96" s="12" t="str">
        <f>IF(AND(ISNUMBER($T96),$T96&lt;&gt;""),IF(INDEX(Calc!$AC$3:$AC$122,$T96)="","—",INDEX(Calc!$AC$3:$AC$122,$T96)),"")</f>
        <v/>
      </c>
      <c r="L96" s="12" t="str">
        <f>IF(AND(ISNUMBER($T96),$T96&lt;&gt;""),IF(INDEX(Calc!$AD$3:$AD$122,$T96)="","—",INDEX(Calc!$AD$3:$AD$122,$T96)),"")</f>
        <v/>
      </c>
      <c r="M96" s="12" t="str">
        <f>IF(AND(ISNUMBER($T96),$T96&lt;&gt;""),IF(INDEX(Calc!$AE$3:$AE$122,$T96)="","—",INDEX(Calc!$AE$3:$AE$122,$T96)),"")</f>
        <v/>
      </c>
      <c r="N96" s="12" t="str">
        <f>IF(AND(ISNUMBER($T96),$T96&lt;&gt;""),IF(INDEX(Calc!$AF$3:$AF$122,$T96)="","—",INDEX(Calc!$AF$3:$AF$122,$T96)),"")</f>
        <v/>
      </c>
      <c r="O96" s="12" t="str">
        <f>IF(AND(ISNUMBER($T96),$T96&lt;&gt;""),IF(INDEX(Calc!$AG$3:$AG$122,$T96)="","—",INDEX(Calc!$AG$3:$AG$122,$T96)),"")</f>
        <v/>
      </c>
      <c r="P96" s="13" t="str">
        <f>IF(AND(ISNUMBER($T96),$T96&lt;&gt;""),IF(INDEX(Calc!$AJ$3:$AJ$122,$T96)="","—",INDEX(Calc!$AJ$3:$AJ$122,$T96)),"")</f>
        <v/>
      </c>
      <c r="Q96" s="13" t="str">
        <f>IF(AND(ISNUMBER($T96),$T96&lt;&gt;""),IF(INDEX(Calc!$AK$3:$AK$122,$T96)="","—",INDEX(Calc!$AK$3:$AK$122,$T96)),"")</f>
        <v/>
      </c>
      <c r="R96" s="12" t="str">
        <f>IF(AND(ISNUMBER($T96),$T96&lt;&gt;""),IF(INDEX(Calc!$AL$3:$AL$122,$T96)="","—",INDEX(Calc!$AL$3:$AL$122,$T96)),"")</f>
        <v/>
      </c>
      <c r="T96" t="str">
        <f>IFERROR(MATCH(92,Calc!$AN$3:$AN$122,0),"")</f>
        <v/>
      </c>
    </row>
    <row r="97" spans="1:20" x14ac:dyDescent="0.2">
      <c r="A97" s="16" t="str">
        <f>IF(AND(ISNUMBER($T97),$T97&lt;&gt;""),INDEX(Calc!$S$3:$S$122,$T97),"")</f>
        <v/>
      </c>
      <c r="B97" s="17" t="str">
        <f>IF(AND(ISNUMBER($T97),$T97&lt;&gt;""),IF(INDEX(Calc!$T$3:$T$122,$T97)="","—",INDEX(Calc!$T$3:$T$122,$T97)),"")</f>
        <v/>
      </c>
      <c r="C97" s="17" t="str">
        <f>IF(AND(ISNUMBER($T97),$T97&lt;&gt;""),IF(INDEX(Calc!$U$3:$U$122,$T97)="","—",INDEX(Calc!$U$3:$U$122,$T97)),"")</f>
        <v/>
      </c>
      <c r="D97" s="17" t="str">
        <f>IF(AND(ISNUMBER($T97),$T97&lt;&gt;""),IF(INDEX(Calc!$V$3:$V$122,$T97)="","—",INDEX(Calc!$V$3:$V$122,$T97)),"")</f>
        <v/>
      </c>
      <c r="E97" s="17" t="str">
        <f>IF(AND(ISNUMBER($T97),$T97&lt;&gt;""),IF(INDEX(Calc!$W$3:$W$122,$T97)="","—",INDEX(Calc!$W$3:$W$122,$T97)),"")</f>
        <v/>
      </c>
      <c r="F97" s="17" t="str">
        <f>IF(AND(ISNUMBER($T97),$T97&lt;&gt;""),IF(INDEX(Calc!$X$3:$X$122,$T97)="","—",INDEX(Calc!$X$3:$X$122,$T97)),"")</f>
        <v/>
      </c>
      <c r="G97" s="17" t="str">
        <f>IF(AND(ISNUMBER($T97),$T97&lt;&gt;""),IF(INDEX(Calc!$Y$3:$Y$122,$T97)="","—",INDEX(Calc!$Y$3:$Y$122,$T97)),"")</f>
        <v/>
      </c>
      <c r="H97" s="17" t="str">
        <f>IF(AND(ISNUMBER($T97),$T97&lt;&gt;""),IF(INDEX(Calc!$Z$3:$Z$122,$T97)="","—",INDEX(Calc!$Z$3:$Z$122,$T97)),"")</f>
        <v/>
      </c>
      <c r="I97" s="17" t="str">
        <f>IF(AND(ISNUMBER($T97),$T97&lt;&gt;""),IF(INDEX(Calc!$AA$3:$AA$122,$T97)="","—",INDEX(Calc!$AA$3:$AA$122,$T97)),"")</f>
        <v/>
      </c>
      <c r="J97" s="17" t="str">
        <f>IF(AND(ISNUMBER($T97),$T97&lt;&gt;""),IF(INDEX(Calc!$AB$3:$AB$122,$T97)="","—",INDEX(Calc!$AB$3:$AB$122,$T97)),"")</f>
        <v/>
      </c>
      <c r="K97" s="17" t="str">
        <f>IF(AND(ISNUMBER($T97),$T97&lt;&gt;""),IF(INDEX(Calc!$AC$3:$AC$122,$T97)="","—",INDEX(Calc!$AC$3:$AC$122,$T97)),"")</f>
        <v/>
      </c>
      <c r="L97" s="17" t="str">
        <f>IF(AND(ISNUMBER($T97),$T97&lt;&gt;""),IF(INDEX(Calc!$AD$3:$AD$122,$T97)="","—",INDEX(Calc!$AD$3:$AD$122,$T97)),"")</f>
        <v/>
      </c>
      <c r="M97" s="17" t="str">
        <f>IF(AND(ISNUMBER($T97),$T97&lt;&gt;""),IF(INDEX(Calc!$AE$3:$AE$122,$T97)="","—",INDEX(Calc!$AE$3:$AE$122,$T97)),"")</f>
        <v/>
      </c>
      <c r="N97" s="17" t="str">
        <f>IF(AND(ISNUMBER($T97),$T97&lt;&gt;""),IF(INDEX(Calc!$AF$3:$AF$122,$T97)="","—",INDEX(Calc!$AF$3:$AF$122,$T97)),"")</f>
        <v/>
      </c>
      <c r="O97" s="17" t="str">
        <f>IF(AND(ISNUMBER($T97),$T97&lt;&gt;""),IF(INDEX(Calc!$AG$3:$AG$122,$T97)="","—",INDEX(Calc!$AG$3:$AG$122,$T97)),"")</f>
        <v/>
      </c>
      <c r="P97" s="18" t="str">
        <f>IF(AND(ISNUMBER($T97),$T97&lt;&gt;""),IF(INDEX(Calc!$AJ$3:$AJ$122,$T97)="","—",INDEX(Calc!$AJ$3:$AJ$122,$T97)),"")</f>
        <v/>
      </c>
      <c r="Q97" s="18" t="str">
        <f>IF(AND(ISNUMBER($T97),$T97&lt;&gt;""),IF(INDEX(Calc!$AK$3:$AK$122,$T97)="","—",INDEX(Calc!$AK$3:$AK$122,$T97)),"")</f>
        <v/>
      </c>
      <c r="R97" s="17" t="str">
        <f>IF(AND(ISNUMBER($T97),$T97&lt;&gt;""),IF(INDEX(Calc!$AL$3:$AL$122,$T97)="","—",INDEX(Calc!$AL$3:$AL$122,$T97)),"")</f>
        <v/>
      </c>
      <c r="T97" t="str">
        <f>IFERROR(MATCH(93,Calc!$AN$3:$AN$122,0),"")</f>
        <v/>
      </c>
    </row>
    <row r="98" spans="1:20" x14ac:dyDescent="0.2">
      <c r="A98" s="11" t="str">
        <f>IF(AND(ISNUMBER($T98),$T98&lt;&gt;""),INDEX(Calc!$S$3:$S$122,$T98),"")</f>
        <v/>
      </c>
      <c r="B98" s="12" t="str">
        <f>IF(AND(ISNUMBER($T98),$T98&lt;&gt;""),IF(INDEX(Calc!$T$3:$T$122,$T98)="","—",INDEX(Calc!$T$3:$T$122,$T98)),"")</f>
        <v/>
      </c>
      <c r="C98" s="12" t="str">
        <f>IF(AND(ISNUMBER($T98),$T98&lt;&gt;""),IF(INDEX(Calc!$U$3:$U$122,$T98)="","—",INDEX(Calc!$U$3:$U$122,$T98)),"")</f>
        <v/>
      </c>
      <c r="D98" s="12" t="str">
        <f>IF(AND(ISNUMBER($T98),$T98&lt;&gt;""),IF(INDEX(Calc!$V$3:$V$122,$T98)="","—",INDEX(Calc!$V$3:$V$122,$T98)),"")</f>
        <v/>
      </c>
      <c r="E98" s="12" t="str">
        <f>IF(AND(ISNUMBER($T98),$T98&lt;&gt;""),IF(INDEX(Calc!$W$3:$W$122,$T98)="","—",INDEX(Calc!$W$3:$W$122,$T98)),"")</f>
        <v/>
      </c>
      <c r="F98" s="12" t="str">
        <f>IF(AND(ISNUMBER($T98),$T98&lt;&gt;""),IF(INDEX(Calc!$X$3:$X$122,$T98)="","—",INDEX(Calc!$X$3:$X$122,$T98)),"")</f>
        <v/>
      </c>
      <c r="G98" s="12" t="str">
        <f>IF(AND(ISNUMBER($T98),$T98&lt;&gt;""),IF(INDEX(Calc!$Y$3:$Y$122,$T98)="","—",INDEX(Calc!$Y$3:$Y$122,$T98)),"")</f>
        <v/>
      </c>
      <c r="H98" s="12" t="str">
        <f>IF(AND(ISNUMBER($T98),$T98&lt;&gt;""),IF(INDEX(Calc!$Z$3:$Z$122,$T98)="","—",INDEX(Calc!$Z$3:$Z$122,$T98)),"")</f>
        <v/>
      </c>
      <c r="I98" s="12" t="str">
        <f>IF(AND(ISNUMBER($T98),$T98&lt;&gt;""),IF(INDEX(Calc!$AA$3:$AA$122,$T98)="","—",INDEX(Calc!$AA$3:$AA$122,$T98)),"")</f>
        <v/>
      </c>
      <c r="J98" s="12" t="str">
        <f>IF(AND(ISNUMBER($T98),$T98&lt;&gt;""),IF(INDEX(Calc!$AB$3:$AB$122,$T98)="","—",INDEX(Calc!$AB$3:$AB$122,$T98)),"")</f>
        <v/>
      </c>
      <c r="K98" s="12" t="str">
        <f>IF(AND(ISNUMBER($T98),$T98&lt;&gt;""),IF(INDEX(Calc!$AC$3:$AC$122,$T98)="","—",INDEX(Calc!$AC$3:$AC$122,$T98)),"")</f>
        <v/>
      </c>
      <c r="L98" s="12" t="str">
        <f>IF(AND(ISNUMBER($T98),$T98&lt;&gt;""),IF(INDEX(Calc!$AD$3:$AD$122,$T98)="","—",INDEX(Calc!$AD$3:$AD$122,$T98)),"")</f>
        <v/>
      </c>
      <c r="M98" s="12" t="str">
        <f>IF(AND(ISNUMBER($T98),$T98&lt;&gt;""),IF(INDEX(Calc!$AE$3:$AE$122,$T98)="","—",INDEX(Calc!$AE$3:$AE$122,$T98)),"")</f>
        <v/>
      </c>
      <c r="N98" s="12" t="str">
        <f>IF(AND(ISNUMBER($T98),$T98&lt;&gt;""),IF(INDEX(Calc!$AF$3:$AF$122,$T98)="","—",INDEX(Calc!$AF$3:$AF$122,$T98)),"")</f>
        <v/>
      </c>
      <c r="O98" s="12" t="str">
        <f>IF(AND(ISNUMBER($T98),$T98&lt;&gt;""),IF(INDEX(Calc!$AG$3:$AG$122,$T98)="","—",INDEX(Calc!$AG$3:$AG$122,$T98)),"")</f>
        <v/>
      </c>
      <c r="P98" s="13" t="str">
        <f>IF(AND(ISNUMBER($T98),$T98&lt;&gt;""),IF(INDEX(Calc!$AJ$3:$AJ$122,$T98)="","—",INDEX(Calc!$AJ$3:$AJ$122,$T98)),"")</f>
        <v/>
      </c>
      <c r="Q98" s="13" t="str">
        <f>IF(AND(ISNUMBER($T98),$T98&lt;&gt;""),IF(INDEX(Calc!$AK$3:$AK$122,$T98)="","—",INDEX(Calc!$AK$3:$AK$122,$T98)),"")</f>
        <v/>
      </c>
      <c r="R98" s="12" t="str">
        <f>IF(AND(ISNUMBER($T98),$T98&lt;&gt;""),IF(INDEX(Calc!$AL$3:$AL$122,$T98)="","—",INDEX(Calc!$AL$3:$AL$122,$T98)),"")</f>
        <v/>
      </c>
      <c r="T98" t="str">
        <f>IFERROR(MATCH(94,Calc!$AN$3:$AN$122,0),"")</f>
        <v/>
      </c>
    </row>
    <row r="99" spans="1:20" x14ac:dyDescent="0.2">
      <c r="A99" s="16" t="str">
        <f>IF(AND(ISNUMBER($T99),$T99&lt;&gt;""),INDEX(Calc!$S$3:$S$122,$T99),"")</f>
        <v/>
      </c>
      <c r="B99" s="17" t="str">
        <f>IF(AND(ISNUMBER($T99),$T99&lt;&gt;""),IF(INDEX(Calc!$T$3:$T$122,$T99)="","—",INDEX(Calc!$T$3:$T$122,$T99)),"")</f>
        <v/>
      </c>
      <c r="C99" s="17" t="str">
        <f>IF(AND(ISNUMBER($T99),$T99&lt;&gt;""),IF(INDEX(Calc!$U$3:$U$122,$T99)="","—",INDEX(Calc!$U$3:$U$122,$T99)),"")</f>
        <v/>
      </c>
      <c r="D99" s="17" t="str">
        <f>IF(AND(ISNUMBER($T99),$T99&lt;&gt;""),IF(INDEX(Calc!$V$3:$V$122,$T99)="","—",INDEX(Calc!$V$3:$V$122,$T99)),"")</f>
        <v/>
      </c>
      <c r="E99" s="17" t="str">
        <f>IF(AND(ISNUMBER($T99),$T99&lt;&gt;""),IF(INDEX(Calc!$W$3:$W$122,$T99)="","—",INDEX(Calc!$W$3:$W$122,$T99)),"")</f>
        <v/>
      </c>
      <c r="F99" s="17" t="str">
        <f>IF(AND(ISNUMBER($T99),$T99&lt;&gt;""),IF(INDEX(Calc!$X$3:$X$122,$T99)="","—",INDEX(Calc!$X$3:$X$122,$T99)),"")</f>
        <v/>
      </c>
      <c r="G99" s="17" t="str">
        <f>IF(AND(ISNUMBER($T99),$T99&lt;&gt;""),IF(INDEX(Calc!$Y$3:$Y$122,$T99)="","—",INDEX(Calc!$Y$3:$Y$122,$T99)),"")</f>
        <v/>
      </c>
      <c r="H99" s="17" t="str">
        <f>IF(AND(ISNUMBER($T99),$T99&lt;&gt;""),IF(INDEX(Calc!$Z$3:$Z$122,$T99)="","—",INDEX(Calc!$Z$3:$Z$122,$T99)),"")</f>
        <v/>
      </c>
      <c r="I99" s="17" t="str">
        <f>IF(AND(ISNUMBER($T99),$T99&lt;&gt;""),IF(INDEX(Calc!$AA$3:$AA$122,$T99)="","—",INDEX(Calc!$AA$3:$AA$122,$T99)),"")</f>
        <v/>
      </c>
      <c r="J99" s="17" t="str">
        <f>IF(AND(ISNUMBER($T99),$T99&lt;&gt;""),IF(INDEX(Calc!$AB$3:$AB$122,$T99)="","—",INDEX(Calc!$AB$3:$AB$122,$T99)),"")</f>
        <v/>
      </c>
      <c r="K99" s="17" t="str">
        <f>IF(AND(ISNUMBER($T99),$T99&lt;&gt;""),IF(INDEX(Calc!$AC$3:$AC$122,$T99)="","—",INDEX(Calc!$AC$3:$AC$122,$T99)),"")</f>
        <v/>
      </c>
      <c r="L99" s="17" t="str">
        <f>IF(AND(ISNUMBER($T99),$T99&lt;&gt;""),IF(INDEX(Calc!$AD$3:$AD$122,$T99)="","—",INDEX(Calc!$AD$3:$AD$122,$T99)),"")</f>
        <v/>
      </c>
      <c r="M99" s="17" t="str">
        <f>IF(AND(ISNUMBER($T99),$T99&lt;&gt;""),IF(INDEX(Calc!$AE$3:$AE$122,$T99)="","—",INDEX(Calc!$AE$3:$AE$122,$T99)),"")</f>
        <v/>
      </c>
      <c r="N99" s="17" t="str">
        <f>IF(AND(ISNUMBER($T99),$T99&lt;&gt;""),IF(INDEX(Calc!$AF$3:$AF$122,$T99)="","—",INDEX(Calc!$AF$3:$AF$122,$T99)),"")</f>
        <v/>
      </c>
      <c r="O99" s="17" t="str">
        <f>IF(AND(ISNUMBER($T99),$T99&lt;&gt;""),IF(INDEX(Calc!$AG$3:$AG$122,$T99)="","—",INDEX(Calc!$AG$3:$AG$122,$T99)),"")</f>
        <v/>
      </c>
      <c r="P99" s="18" t="str">
        <f>IF(AND(ISNUMBER($T99),$T99&lt;&gt;""),IF(INDEX(Calc!$AJ$3:$AJ$122,$T99)="","—",INDEX(Calc!$AJ$3:$AJ$122,$T99)),"")</f>
        <v/>
      </c>
      <c r="Q99" s="18" t="str">
        <f>IF(AND(ISNUMBER($T99),$T99&lt;&gt;""),IF(INDEX(Calc!$AK$3:$AK$122,$T99)="","—",INDEX(Calc!$AK$3:$AK$122,$T99)),"")</f>
        <v/>
      </c>
      <c r="R99" s="17" t="str">
        <f>IF(AND(ISNUMBER($T99),$T99&lt;&gt;""),IF(INDEX(Calc!$AL$3:$AL$122,$T99)="","—",INDEX(Calc!$AL$3:$AL$122,$T99)),"")</f>
        <v/>
      </c>
      <c r="T99" t="str">
        <f>IFERROR(MATCH(95,Calc!$AN$3:$AN$122,0),"")</f>
        <v/>
      </c>
    </row>
    <row r="100" spans="1:20" x14ac:dyDescent="0.2">
      <c r="A100" s="11" t="str">
        <f>IF(AND(ISNUMBER($T100),$T100&lt;&gt;""),INDEX(Calc!$S$3:$S$122,$T100),"")</f>
        <v/>
      </c>
      <c r="B100" s="12" t="str">
        <f>IF(AND(ISNUMBER($T100),$T100&lt;&gt;""),IF(INDEX(Calc!$T$3:$T$122,$T100)="","—",INDEX(Calc!$T$3:$T$122,$T100)),"")</f>
        <v/>
      </c>
      <c r="C100" s="12" t="str">
        <f>IF(AND(ISNUMBER($T100),$T100&lt;&gt;""),IF(INDEX(Calc!$U$3:$U$122,$T100)="","—",INDEX(Calc!$U$3:$U$122,$T100)),"")</f>
        <v/>
      </c>
      <c r="D100" s="12" t="str">
        <f>IF(AND(ISNUMBER($T100),$T100&lt;&gt;""),IF(INDEX(Calc!$V$3:$V$122,$T100)="","—",INDEX(Calc!$V$3:$V$122,$T100)),"")</f>
        <v/>
      </c>
      <c r="E100" s="12" t="str">
        <f>IF(AND(ISNUMBER($T100),$T100&lt;&gt;""),IF(INDEX(Calc!$W$3:$W$122,$T100)="","—",INDEX(Calc!$W$3:$W$122,$T100)),"")</f>
        <v/>
      </c>
      <c r="F100" s="12" t="str">
        <f>IF(AND(ISNUMBER($T100),$T100&lt;&gt;""),IF(INDEX(Calc!$X$3:$X$122,$T100)="","—",INDEX(Calc!$X$3:$X$122,$T100)),"")</f>
        <v/>
      </c>
      <c r="G100" s="12" t="str">
        <f>IF(AND(ISNUMBER($T100),$T100&lt;&gt;""),IF(INDEX(Calc!$Y$3:$Y$122,$T100)="","—",INDEX(Calc!$Y$3:$Y$122,$T100)),"")</f>
        <v/>
      </c>
      <c r="H100" s="12" t="str">
        <f>IF(AND(ISNUMBER($T100),$T100&lt;&gt;""),IF(INDEX(Calc!$Z$3:$Z$122,$T100)="","—",INDEX(Calc!$Z$3:$Z$122,$T100)),"")</f>
        <v/>
      </c>
      <c r="I100" s="12" t="str">
        <f>IF(AND(ISNUMBER($T100),$T100&lt;&gt;""),IF(INDEX(Calc!$AA$3:$AA$122,$T100)="","—",INDEX(Calc!$AA$3:$AA$122,$T100)),"")</f>
        <v/>
      </c>
      <c r="J100" s="12" t="str">
        <f>IF(AND(ISNUMBER($T100),$T100&lt;&gt;""),IF(INDEX(Calc!$AB$3:$AB$122,$T100)="","—",INDEX(Calc!$AB$3:$AB$122,$T100)),"")</f>
        <v/>
      </c>
      <c r="K100" s="12" t="str">
        <f>IF(AND(ISNUMBER($T100),$T100&lt;&gt;""),IF(INDEX(Calc!$AC$3:$AC$122,$T100)="","—",INDEX(Calc!$AC$3:$AC$122,$T100)),"")</f>
        <v/>
      </c>
      <c r="L100" s="12" t="str">
        <f>IF(AND(ISNUMBER($T100),$T100&lt;&gt;""),IF(INDEX(Calc!$AD$3:$AD$122,$T100)="","—",INDEX(Calc!$AD$3:$AD$122,$T100)),"")</f>
        <v/>
      </c>
      <c r="M100" s="12" t="str">
        <f>IF(AND(ISNUMBER($T100),$T100&lt;&gt;""),IF(INDEX(Calc!$AE$3:$AE$122,$T100)="","—",INDEX(Calc!$AE$3:$AE$122,$T100)),"")</f>
        <v/>
      </c>
      <c r="N100" s="12" t="str">
        <f>IF(AND(ISNUMBER($T100),$T100&lt;&gt;""),IF(INDEX(Calc!$AF$3:$AF$122,$T100)="","—",INDEX(Calc!$AF$3:$AF$122,$T100)),"")</f>
        <v/>
      </c>
      <c r="O100" s="12" t="str">
        <f>IF(AND(ISNUMBER($T100),$T100&lt;&gt;""),IF(INDEX(Calc!$AG$3:$AG$122,$T100)="","—",INDEX(Calc!$AG$3:$AG$122,$T100)),"")</f>
        <v/>
      </c>
      <c r="P100" s="13" t="str">
        <f>IF(AND(ISNUMBER($T100),$T100&lt;&gt;""),IF(INDEX(Calc!$AJ$3:$AJ$122,$T100)="","—",INDEX(Calc!$AJ$3:$AJ$122,$T100)),"")</f>
        <v/>
      </c>
      <c r="Q100" s="13" t="str">
        <f>IF(AND(ISNUMBER($T100),$T100&lt;&gt;""),IF(INDEX(Calc!$AK$3:$AK$122,$T100)="","—",INDEX(Calc!$AK$3:$AK$122,$T100)),"")</f>
        <v/>
      </c>
      <c r="R100" s="12" t="str">
        <f>IF(AND(ISNUMBER($T100),$T100&lt;&gt;""),IF(INDEX(Calc!$AL$3:$AL$122,$T100)="","—",INDEX(Calc!$AL$3:$AL$122,$T100)),"")</f>
        <v/>
      </c>
      <c r="T100" t="str">
        <f>IFERROR(MATCH(96,Calc!$AN$3:$AN$122,0),"")</f>
        <v/>
      </c>
    </row>
    <row r="101" spans="1:20" x14ac:dyDescent="0.2">
      <c r="A101" s="16" t="str">
        <f>IF(AND(ISNUMBER($T101),$T101&lt;&gt;""),INDEX(Calc!$S$3:$S$122,$T101),"")</f>
        <v/>
      </c>
      <c r="B101" s="17" t="str">
        <f>IF(AND(ISNUMBER($T101),$T101&lt;&gt;""),IF(INDEX(Calc!$T$3:$T$122,$T101)="","—",INDEX(Calc!$T$3:$T$122,$T101)),"")</f>
        <v/>
      </c>
      <c r="C101" s="17" t="str">
        <f>IF(AND(ISNUMBER($T101),$T101&lt;&gt;""),IF(INDEX(Calc!$U$3:$U$122,$T101)="","—",INDEX(Calc!$U$3:$U$122,$T101)),"")</f>
        <v/>
      </c>
      <c r="D101" s="17" t="str">
        <f>IF(AND(ISNUMBER($T101),$T101&lt;&gt;""),IF(INDEX(Calc!$V$3:$V$122,$T101)="","—",INDEX(Calc!$V$3:$V$122,$T101)),"")</f>
        <v/>
      </c>
      <c r="E101" s="17" t="str">
        <f>IF(AND(ISNUMBER($T101),$T101&lt;&gt;""),IF(INDEX(Calc!$W$3:$W$122,$T101)="","—",INDEX(Calc!$W$3:$W$122,$T101)),"")</f>
        <v/>
      </c>
      <c r="F101" s="17" t="str">
        <f>IF(AND(ISNUMBER($T101),$T101&lt;&gt;""),IF(INDEX(Calc!$X$3:$X$122,$T101)="","—",INDEX(Calc!$X$3:$X$122,$T101)),"")</f>
        <v/>
      </c>
      <c r="G101" s="17" t="str">
        <f>IF(AND(ISNUMBER($T101),$T101&lt;&gt;""),IF(INDEX(Calc!$Y$3:$Y$122,$T101)="","—",INDEX(Calc!$Y$3:$Y$122,$T101)),"")</f>
        <v/>
      </c>
      <c r="H101" s="17" t="str">
        <f>IF(AND(ISNUMBER($T101),$T101&lt;&gt;""),IF(INDEX(Calc!$Z$3:$Z$122,$T101)="","—",INDEX(Calc!$Z$3:$Z$122,$T101)),"")</f>
        <v/>
      </c>
      <c r="I101" s="17" t="str">
        <f>IF(AND(ISNUMBER($T101),$T101&lt;&gt;""),IF(INDEX(Calc!$AA$3:$AA$122,$T101)="","—",INDEX(Calc!$AA$3:$AA$122,$T101)),"")</f>
        <v/>
      </c>
      <c r="J101" s="17" t="str">
        <f>IF(AND(ISNUMBER($T101),$T101&lt;&gt;""),IF(INDEX(Calc!$AB$3:$AB$122,$T101)="","—",INDEX(Calc!$AB$3:$AB$122,$T101)),"")</f>
        <v/>
      </c>
      <c r="K101" s="17" t="str">
        <f>IF(AND(ISNUMBER($T101),$T101&lt;&gt;""),IF(INDEX(Calc!$AC$3:$AC$122,$T101)="","—",INDEX(Calc!$AC$3:$AC$122,$T101)),"")</f>
        <v/>
      </c>
      <c r="L101" s="17" t="str">
        <f>IF(AND(ISNUMBER($T101),$T101&lt;&gt;""),IF(INDEX(Calc!$AD$3:$AD$122,$T101)="","—",INDEX(Calc!$AD$3:$AD$122,$T101)),"")</f>
        <v/>
      </c>
      <c r="M101" s="17" t="str">
        <f>IF(AND(ISNUMBER($T101),$T101&lt;&gt;""),IF(INDEX(Calc!$AE$3:$AE$122,$T101)="","—",INDEX(Calc!$AE$3:$AE$122,$T101)),"")</f>
        <v/>
      </c>
      <c r="N101" s="17" t="str">
        <f>IF(AND(ISNUMBER($T101),$T101&lt;&gt;""),IF(INDEX(Calc!$AF$3:$AF$122,$T101)="","—",INDEX(Calc!$AF$3:$AF$122,$T101)),"")</f>
        <v/>
      </c>
      <c r="O101" s="17" t="str">
        <f>IF(AND(ISNUMBER($T101),$T101&lt;&gt;""),IF(INDEX(Calc!$AG$3:$AG$122,$T101)="","—",INDEX(Calc!$AG$3:$AG$122,$T101)),"")</f>
        <v/>
      </c>
      <c r="P101" s="18" t="str">
        <f>IF(AND(ISNUMBER($T101),$T101&lt;&gt;""),IF(INDEX(Calc!$AJ$3:$AJ$122,$T101)="","—",INDEX(Calc!$AJ$3:$AJ$122,$T101)),"")</f>
        <v/>
      </c>
      <c r="Q101" s="18" t="str">
        <f>IF(AND(ISNUMBER($T101),$T101&lt;&gt;""),IF(INDEX(Calc!$AK$3:$AK$122,$T101)="","—",INDEX(Calc!$AK$3:$AK$122,$T101)),"")</f>
        <v/>
      </c>
      <c r="R101" s="17" t="str">
        <f>IF(AND(ISNUMBER($T101),$T101&lt;&gt;""),IF(INDEX(Calc!$AL$3:$AL$122,$T101)="","—",INDEX(Calc!$AL$3:$AL$122,$T101)),"")</f>
        <v/>
      </c>
      <c r="T101" t="str">
        <f>IFERROR(MATCH(97,Calc!$AN$3:$AN$122,0),"")</f>
        <v/>
      </c>
    </row>
    <row r="102" spans="1:20" x14ac:dyDescent="0.2">
      <c r="A102" s="11" t="str">
        <f>IF(AND(ISNUMBER($T102),$T102&lt;&gt;""),INDEX(Calc!$S$3:$S$122,$T102),"")</f>
        <v/>
      </c>
      <c r="B102" s="12" t="str">
        <f>IF(AND(ISNUMBER($T102),$T102&lt;&gt;""),IF(INDEX(Calc!$T$3:$T$122,$T102)="","—",INDEX(Calc!$T$3:$T$122,$T102)),"")</f>
        <v/>
      </c>
      <c r="C102" s="12" t="str">
        <f>IF(AND(ISNUMBER($T102),$T102&lt;&gt;""),IF(INDEX(Calc!$U$3:$U$122,$T102)="","—",INDEX(Calc!$U$3:$U$122,$T102)),"")</f>
        <v/>
      </c>
      <c r="D102" s="12" t="str">
        <f>IF(AND(ISNUMBER($T102),$T102&lt;&gt;""),IF(INDEX(Calc!$V$3:$V$122,$T102)="","—",INDEX(Calc!$V$3:$V$122,$T102)),"")</f>
        <v/>
      </c>
      <c r="E102" s="12" t="str">
        <f>IF(AND(ISNUMBER($T102),$T102&lt;&gt;""),IF(INDEX(Calc!$W$3:$W$122,$T102)="","—",INDEX(Calc!$W$3:$W$122,$T102)),"")</f>
        <v/>
      </c>
      <c r="F102" s="12" t="str">
        <f>IF(AND(ISNUMBER($T102),$T102&lt;&gt;""),IF(INDEX(Calc!$X$3:$X$122,$T102)="","—",INDEX(Calc!$X$3:$X$122,$T102)),"")</f>
        <v/>
      </c>
      <c r="G102" s="12" t="str">
        <f>IF(AND(ISNUMBER($T102),$T102&lt;&gt;""),IF(INDEX(Calc!$Y$3:$Y$122,$T102)="","—",INDEX(Calc!$Y$3:$Y$122,$T102)),"")</f>
        <v/>
      </c>
      <c r="H102" s="12" t="str">
        <f>IF(AND(ISNUMBER($T102),$T102&lt;&gt;""),IF(INDEX(Calc!$Z$3:$Z$122,$T102)="","—",INDEX(Calc!$Z$3:$Z$122,$T102)),"")</f>
        <v/>
      </c>
      <c r="I102" s="12" t="str">
        <f>IF(AND(ISNUMBER($T102),$T102&lt;&gt;""),IF(INDEX(Calc!$AA$3:$AA$122,$T102)="","—",INDEX(Calc!$AA$3:$AA$122,$T102)),"")</f>
        <v/>
      </c>
      <c r="J102" s="12" t="str">
        <f>IF(AND(ISNUMBER($T102),$T102&lt;&gt;""),IF(INDEX(Calc!$AB$3:$AB$122,$T102)="","—",INDEX(Calc!$AB$3:$AB$122,$T102)),"")</f>
        <v/>
      </c>
      <c r="K102" s="12" t="str">
        <f>IF(AND(ISNUMBER($T102),$T102&lt;&gt;""),IF(INDEX(Calc!$AC$3:$AC$122,$T102)="","—",INDEX(Calc!$AC$3:$AC$122,$T102)),"")</f>
        <v/>
      </c>
      <c r="L102" s="12" t="str">
        <f>IF(AND(ISNUMBER($T102),$T102&lt;&gt;""),IF(INDEX(Calc!$AD$3:$AD$122,$T102)="","—",INDEX(Calc!$AD$3:$AD$122,$T102)),"")</f>
        <v/>
      </c>
      <c r="M102" s="12" t="str">
        <f>IF(AND(ISNUMBER($T102),$T102&lt;&gt;""),IF(INDEX(Calc!$AE$3:$AE$122,$T102)="","—",INDEX(Calc!$AE$3:$AE$122,$T102)),"")</f>
        <v/>
      </c>
      <c r="N102" s="12" t="str">
        <f>IF(AND(ISNUMBER($T102),$T102&lt;&gt;""),IF(INDEX(Calc!$AF$3:$AF$122,$T102)="","—",INDEX(Calc!$AF$3:$AF$122,$T102)),"")</f>
        <v/>
      </c>
      <c r="O102" s="12" t="str">
        <f>IF(AND(ISNUMBER($T102),$T102&lt;&gt;""),IF(INDEX(Calc!$AG$3:$AG$122,$T102)="","—",INDEX(Calc!$AG$3:$AG$122,$T102)),"")</f>
        <v/>
      </c>
      <c r="P102" s="13" t="str">
        <f>IF(AND(ISNUMBER($T102),$T102&lt;&gt;""),IF(INDEX(Calc!$AJ$3:$AJ$122,$T102)="","—",INDEX(Calc!$AJ$3:$AJ$122,$T102)),"")</f>
        <v/>
      </c>
      <c r="Q102" s="13" t="str">
        <f>IF(AND(ISNUMBER($T102),$T102&lt;&gt;""),IF(INDEX(Calc!$AK$3:$AK$122,$T102)="","—",INDEX(Calc!$AK$3:$AK$122,$T102)),"")</f>
        <v/>
      </c>
      <c r="R102" s="12" t="str">
        <f>IF(AND(ISNUMBER($T102),$T102&lt;&gt;""),IF(INDEX(Calc!$AL$3:$AL$122,$T102)="","—",INDEX(Calc!$AL$3:$AL$122,$T102)),"")</f>
        <v/>
      </c>
      <c r="T102" t="str">
        <f>IFERROR(MATCH(98,Calc!$AN$3:$AN$122,0),"")</f>
        <v/>
      </c>
    </row>
    <row r="103" spans="1:20" x14ac:dyDescent="0.2">
      <c r="A103" s="16" t="str">
        <f>IF(AND(ISNUMBER($T103),$T103&lt;&gt;""),INDEX(Calc!$S$3:$S$122,$T103),"")</f>
        <v/>
      </c>
      <c r="B103" s="17" t="str">
        <f>IF(AND(ISNUMBER($T103),$T103&lt;&gt;""),IF(INDEX(Calc!$T$3:$T$122,$T103)="","—",INDEX(Calc!$T$3:$T$122,$T103)),"")</f>
        <v/>
      </c>
      <c r="C103" s="17" t="str">
        <f>IF(AND(ISNUMBER($T103),$T103&lt;&gt;""),IF(INDEX(Calc!$U$3:$U$122,$T103)="","—",INDEX(Calc!$U$3:$U$122,$T103)),"")</f>
        <v/>
      </c>
      <c r="D103" s="17" t="str">
        <f>IF(AND(ISNUMBER($T103),$T103&lt;&gt;""),IF(INDEX(Calc!$V$3:$V$122,$T103)="","—",INDEX(Calc!$V$3:$V$122,$T103)),"")</f>
        <v/>
      </c>
      <c r="E103" s="17" t="str">
        <f>IF(AND(ISNUMBER($T103),$T103&lt;&gt;""),IF(INDEX(Calc!$W$3:$W$122,$T103)="","—",INDEX(Calc!$W$3:$W$122,$T103)),"")</f>
        <v/>
      </c>
      <c r="F103" s="17" t="str">
        <f>IF(AND(ISNUMBER($T103),$T103&lt;&gt;""),IF(INDEX(Calc!$X$3:$X$122,$T103)="","—",INDEX(Calc!$X$3:$X$122,$T103)),"")</f>
        <v/>
      </c>
      <c r="G103" s="17" t="str">
        <f>IF(AND(ISNUMBER($T103),$T103&lt;&gt;""),IF(INDEX(Calc!$Y$3:$Y$122,$T103)="","—",INDEX(Calc!$Y$3:$Y$122,$T103)),"")</f>
        <v/>
      </c>
      <c r="H103" s="17" t="str">
        <f>IF(AND(ISNUMBER($T103),$T103&lt;&gt;""),IF(INDEX(Calc!$Z$3:$Z$122,$T103)="","—",INDEX(Calc!$Z$3:$Z$122,$T103)),"")</f>
        <v/>
      </c>
      <c r="I103" s="17" t="str">
        <f>IF(AND(ISNUMBER($T103),$T103&lt;&gt;""),IF(INDEX(Calc!$AA$3:$AA$122,$T103)="","—",INDEX(Calc!$AA$3:$AA$122,$T103)),"")</f>
        <v/>
      </c>
      <c r="J103" s="17" t="str">
        <f>IF(AND(ISNUMBER($T103),$T103&lt;&gt;""),IF(INDEX(Calc!$AB$3:$AB$122,$T103)="","—",INDEX(Calc!$AB$3:$AB$122,$T103)),"")</f>
        <v/>
      </c>
      <c r="K103" s="17" t="str">
        <f>IF(AND(ISNUMBER($T103),$T103&lt;&gt;""),IF(INDEX(Calc!$AC$3:$AC$122,$T103)="","—",INDEX(Calc!$AC$3:$AC$122,$T103)),"")</f>
        <v/>
      </c>
      <c r="L103" s="17" t="str">
        <f>IF(AND(ISNUMBER($T103),$T103&lt;&gt;""),IF(INDEX(Calc!$AD$3:$AD$122,$T103)="","—",INDEX(Calc!$AD$3:$AD$122,$T103)),"")</f>
        <v/>
      </c>
      <c r="M103" s="17" t="str">
        <f>IF(AND(ISNUMBER($T103),$T103&lt;&gt;""),IF(INDEX(Calc!$AE$3:$AE$122,$T103)="","—",INDEX(Calc!$AE$3:$AE$122,$T103)),"")</f>
        <v/>
      </c>
      <c r="N103" s="17" t="str">
        <f>IF(AND(ISNUMBER($T103),$T103&lt;&gt;""),IF(INDEX(Calc!$AF$3:$AF$122,$T103)="","—",INDEX(Calc!$AF$3:$AF$122,$T103)),"")</f>
        <v/>
      </c>
      <c r="O103" s="17" t="str">
        <f>IF(AND(ISNUMBER($T103),$T103&lt;&gt;""),IF(INDEX(Calc!$AG$3:$AG$122,$T103)="","—",INDEX(Calc!$AG$3:$AG$122,$T103)),"")</f>
        <v/>
      </c>
      <c r="P103" s="18" t="str">
        <f>IF(AND(ISNUMBER($T103),$T103&lt;&gt;""),IF(INDEX(Calc!$AJ$3:$AJ$122,$T103)="","—",INDEX(Calc!$AJ$3:$AJ$122,$T103)),"")</f>
        <v/>
      </c>
      <c r="Q103" s="18" t="str">
        <f>IF(AND(ISNUMBER($T103),$T103&lt;&gt;""),IF(INDEX(Calc!$AK$3:$AK$122,$T103)="","—",INDEX(Calc!$AK$3:$AK$122,$T103)),"")</f>
        <v/>
      </c>
      <c r="R103" s="17" t="str">
        <f>IF(AND(ISNUMBER($T103),$T103&lt;&gt;""),IF(INDEX(Calc!$AL$3:$AL$122,$T103)="","—",INDEX(Calc!$AL$3:$AL$122,$T103)),"")</f>
        <v/>
      </c>
      <c r="T103" t="str">
        <f>IFERROR(MATCH(99,Calc!$AN$3:$AN$122,0),"")</f>
        <v/>
      </c>
    </row>
    <row r="104" spans="1:20" x14ac:dyDescent="0.2">
      <c r="A104" s="11" t="str">
        <f>IF(AND(ISNUMBER($T104),$T104&lt;&gt;""),INDEX(Calc!$S$3:$S$122,$T104),"")</f>
        <v/>
      </c>
      <c r="B104" s="12" t="str">
        <f>IF(AND(ISNUMBER($T104),$T104&lt;&gt;""),IF(INDEX(Calc!$T$3:$T$122,$T104)="","—",INDEX(Calc!$T$3:$T$122,$T104)),"")</f>
        <v/>
      </c>
      <c r="C104" s="12" t="str">
        <f>IF(AND(ISNUMBER($T104),$T104&lt;&gt;""),IF(INDEX(Calc!$U$3:$U$122,$T104)="","—",INDEX(Calc!$U$3:$U$122,$T104)),"")</f>
        <v/>
      </c>
      <c r="D104" s="12" t="str">
        <f>IF(AND(ISNUMBER($T104),$T104&lt;&gt;""),IF(INDEX(Calc!$V$3:$V$122,$T104)="","—",INDEX(Calc!$V$3:$V$122,$T104)),"")</f>
        <v/>
      </c>
      <c r="E104" s="12" t="str">
        <f>IF(AND(ISNUMBER($T104),$T104&lt;&gt;""),IF(INDEX(Calc!$W$3:$W$122,$T104)="","—",INDEX(Calc!$W$3:$W$122,$T104)),"")</f>
        <v/>
      </c>
      <c r="F104" s="12" t="str">
        <f>IF(AND(ISNUMBER($T104),$T104&lt;&gt;""),IF(INDEX(Calc!$X$3:$X$122,$T104)="","—",INDEX(Calc!$X$3:$X$122,$T104)),"")</f>
        <v/>
      </c>
      <c r="G104" s="12" t="str">
        <f>IF(AND(ISNUMBER($T104),$T104&lt;&gt;""),IF(INDEX(Calc!$Y$3:$Y$122,$T104)="","—",INDEX(Calc!$Y$3:$Y$122,$T104)),"")</f>
        <v/>
      </c>
      <c r="H104" s="12" t="str">
        <f>IF(AND(ISNUMBER($T104),$T104&lt;&gt;""),IF(INDEX(Calc!$Z$3:$Z$122,$T104)="","—",INDEX(Calc!$Z$3:$Z$122,$T104)),"")</f>
        <v/>
      </c>
      <c r="I104" s="12" t="str">
        <f>IF(AND(ISNUMBER($T104),$T104&lt;&gt;""),IF(INDEX(Calc!$AA$3:$AA$122,$T104)="","—",INDEX(Calc!$AA$3:$AA$122,$T104)),"")</f>
        <v/>
      </c>
      <c r="J104" s="12" t="str">
        <f>IF(AND(ISNUMBER($T104),$T104&lt;&gt;""),IF(INDEX(Calc!$AB$3:$AB$122,$T104)="","—",INDEX(Calc!$AB$3:$AB$122,$T104)),"")</f>
        <v/>
      </c>
      <c r="K104" s="12" t="str">
        <f>IF(AND(ISNUMBER($T104),$T104&lt;&gt;""),IF(INDEX(Calc!$AC$3:$AC$122,$T104)="","—",INDEX(Calc!$AC$3:$AC$122,$T104)),"")</f>
        <v/>
      </c>
      <c r="L104" s="12" t="str">
        <f>IF(AND(ISNUMBER($T104),$T104&lt;&gt;""),IF(INDEX(Calc!$AD$3:$AD$122,$T104)="","—",INDEX(Calc!$AD$3:$AD$122,$T104)),"")</f>
        <v/>
      </c>
      <c r="M104" s="12" t="str">
        <f>IF(AND(ISNUMBER($T104),$T104&lt;&gt;""),IF(INDEX(Calc!$AE$3:$AE$122,$T104)="","—",INDEX(Calc!$AE$3:$AE$122,$T104)),"")</f>
        <v/>
      </c>
      <c r="N104" s="12" t="str">
        <f>IF(AND(ISNUMBER($T104),$T104&lt;&gt;""),IF(INDEX(Calc!$AF$3:$AF$122,$T104)="","—",INDEX(Calc!$AF$3:$AF$122,$T104)),"")</f>
        <v/>
      </c>
      <c r="O104" s="12" t="str">
        <f>IF(AND(ISNUMBER($T104),$T104&lt;&gt;""),IF(INDEX(Calc!$AG$3:$AG$122,$T104)="","—",INDEX(Calc!$AG$3:$AG$122,$T104)),"")</f>
        <v/>
      </c>
      <c r="P104" s="13" t="str">
        <f>IF(AND(ISNUMBER($T104),$T104&lt;&gt;""),IF(INDEX(Calc!$AJ$3:$AJ$122,$T104)="","—",INDEX(Calc!$AJ$3:$AJ$122,$T104)),"")</f>
        <v/>
      </c>
      <c r="Q104" s="13" t="str">
        <f>IF(AND(ISNUMBER($T104),$T104&lt;&gt;""),IF(INDEX(Calc!$AK$3:$AK$122,$T104)="","—",INDEX(Calc!$AK$3:$AK$122,$T104)),"")</f>
        <v/>
      </c>
      <c r="R104" s="12" t="str">
        <f>IF(AND(ISNUMBER($T104),$T104&lt;&gt;""),IF(INDEX(Calc!$AL$3:$AL$122,$T104)="","—",INDEX(Calc!$AL$3:$AL$122,$T104)),"")</f>
        <v/>
      </c>
      <c r="T104" t="str">
        <f>IFERROR(MATCH(100,Calc!$AN$3:$AN$122,0),"")</f>
        <v/>
      </c>
    </row>
    <row r="105" spans="1:20" x14ac:dyDescent="0.2">
      <c r="A105" s="16" t="str">
        <f>IF(AND(ISNUMBER($T105),$T105&lt;&gt;""),INDEX(Calc!$S$3:$S$122,$T105),"")</f>
        <v/>
      </c>
      <c r="B105" s="17" t="str">
        <f>IF(AND(ISNUMBER($T105),$T105&lt;&gt;""),IF(INDEX(Calc!$T$3:$T$122,$T105)="","—",INDEX(Calc!$T$3:$T$122,$T105)),"")</f>
        <v/>
      </c>
      <c r="C105" s="17" t="str">
        <f>IF(AND(ISNUMBER($T105),$T105&lt;&gt;""),IF(INDEX(Calc!$U$3:$U$122,$T105)="","—",INDEX(Calc!$U$3:$U$122,$T105)),"")</f>
        <v/>
      </c>
      <c r="D105" s="17" t="str">
        <f>IF(AND(ISNUMBER($T105),$T105&lt;&gt;""),IF(INDEX(Calc!$V$3:$V$122,$T105)="","—",INDEX(Calc!$V$3:$V$122,$T105)),"")</f>
        <v/>
      </c>
      <c r="E105" s="17" t="str">
        <f>IF(AND(ISNUMBER($T105),$T105&lt;&gt;""),IF(INDEX(Calc!$W$3:$W$122,$T105)="","—",INDEX(Calc!$W$3:$W$122,$T105)),"")</f>
        <v/>
      </c>
      <c r="F105" s="17" t="str">
        <f>IF(AND(ISNUMBER($T105),$T105&lt;&gt;""),IF(INDEX(Calc!$X$3:$X$122,$T105)="","—",INDEX(Calc!$X$3:$X$122,$T105)),"")</f>
        <v/>
      </c>
      <c r="G105" s="17" t="str">
        <f>IF(AND(ISNUMBER($T105),$T105&lt;&gt;""),IF(INDEX(Calc!$Y$3:$Y$122,$T105)="","—",INDEX(Calc!$Y$3:$Y$122,$T105)),"")</f>
        <v/>
      </c>
      <c r="H105" s="17" t="str">
        <f>IF(AND(ISNUMBER($T105),$T105&lt;&gt;""),IF(INDEX(Calc!$Z$3:$Z$122,$T105)="","—",INDEX(Calc!$Z$3:$Z$122,$T105)),"")</f>
        <v/>
      </c>
      <c r="I105" s="17" t="str">
        <f>IF(AND(ISNUMBER($T105),$T105&lt;&gt;""),IF(INDEX(Calc!$AA$3:$AA$122,$T105)="","—",INDEX(Calc!$AA$3:$AA$122,$T105)),"")</f>
        <v/>
      </c>
      <c r="J105" s="17" t="str">
        <f>IF(AND(ISNUMBER($T105),$T105&lt;&gt;""),IF(INDEX(Calc!$AB$3:$AB$122,$T105)="","—",INDEX(Calc!$AB$3:$AB$122,$T105)),"")</f>
        <v/>
      </c>
      <c r="K105" s="17" t="str">
        <f>IF(AND(ISNUMBER($T105),$T105&lt;&gt;""),IF(INDEX(Calc!$AC$3:$AC$122,$T105)="","—",INDEX(Calc!$AC$3:$AC$122,$T105)),"")</f>
        <v/>
      </c>
      <c r="L105" s="17" t="str">
        <f>IF(AND(ISNUMBER($T105),$T105&lt;&gt;""),IF(INDEX(Calc!$AD$3:$AD$122,$T105)="","—",INDEX(Calc!$AD$3:$AD$122,$T105)),"")</f>
        <v/>
      </c>
      <c r="M105" s="17" t="str">
        <f>IF(AND(ISNUMBER($T105),$T105&lt;&gt;""),IF(INDEX(Calc!$AE$3:$AE$122,$T105)="","—",INDEX(Calc!$AE$3:$AE$122,$T105)),"")</f>
        <v/>
      </c>
      <c r="N105" s="17" t="str">
        <f>IF(AND(ISNUMBER($T105),$T105&lt;&gt;""),IF(INDEX(Calc!$AF$3:$AF$122,$T105)="","—",INDEX(Calc!$AF$3:$AF$122,$T105)),"")</f>
        <v/>
      </c>
      <c r="O105" s="17" t="str">
        <f>IF(AND(ISNUMBER($T105),$T105&lt;&gt;""),IF(INDEX(Calc!$AG$3:$AG$122,$T105)="","—",INDEX(Calc!$AG$3:$AG$122,$T105)),"")</f>
        <v/>
      </c>
      <c r="P105" s="18" t="str">
        <f>IF(AND(ISNUMBER($T105),$T105&lt;&gt;""),IF(INDEX(Calc!$AJ$3:$AJ$122,$T105)="","—",INDEX(Calc!$AJ$3:$AJ$122,$T105)),"")</f>
        <v/>
      </c>
      <c r="Q105" s="18" t="str">
        <f>IF(AND(ISNUMBER($T105),$T105&lt;&gt;""),IF(INDEX(Calc!$AK$3:$AK$122,$T105)="","—",INDEX(Calc!$AK$3:$AK$122,$T105)),"")</f>
        <v/>
      </c>
      <c r="R105" s="17" t="str">
        <f>IF(AND(ISNUMBER($T105),$T105&lt;&gt;""),IF(INDEX(Calc!$AL$3:$AL$122,$T105)="","—",INDEX(Calc!$AL$3:$AL$122,$T105)),"")</f>
        <v/>
      </c>
      <c r="T105" t="str">
        <f>IFERROR(MATCH(101,Calc!$AN$3:$AN$122,0),"")</f>
        <v/>
      </c>
    </row>
    <row r="106" spans="1:20" x14ac:dyDescent="0.2">
      <c r="A106" s="11" t="str">
        <f>IF(AND(ISNUMBER($T106),$T106&lt;&gt;""),INDEX(Calc!$S$3:$S$122,$T106),"")</f>
        <v/>
      </c>
      <c r="B106" s="12" t="str">
        <f>IF(AND(ISNUMBER($T106),$T106&lt;&gt;""),IF(INDEX(Calc!$T$3:$T$122,$T106)="","—",INDEX(Calc!$T$3:$T$122,$T106)),"")</f>
        <v/>
      </c>
      <c r="C106" s="12" t="str">
        <f>IF(AND(ISNUMBER($T106),$T106&lt;&gt;""),IF(INDEX(Calc!$U$3:$U$122,$T106)="","—",INDEX(Calc!$U$3:$U$122,$T106)),"")</f>
        <v/>
      </c>
      <c r="D106" s="12" t="str">
        <f>IF(AND(ISNUMBER($T106),$T106&lt;&gt;""),IF(INDEX(Calc!$V$3:$V$122,$T106)="","—",INDEX(Calc!$V$3:$V$122,$T106)),"")</f>
        <v/>
      </c>
      <c r="E106" s="12" t="str">
        <f>IF(AND(ISNUMBER($T106),$T106&lt;&gt;""),IF(INDEX(Calc!$W$3:$W$122,$T106)="","—",INDEX(Calc!$W$3:$W$122,$T106)),"")</f>
        <v/>
      </c>
      <c r="F106" s="12" t="str">
        <f>IF(AND(ISNUMBER($T106),$T106&lt;&gt;""),IF(INDEX(Calc!$X$3:$X$122,$T106)="","—",INDEX(Calc!$X$3:$X$122,$T106)),"")</f>
        <v/>
      </c>
      <c r="G106" s="12" t="str">
        <f>IF(AND(ISNUMBER($T106),$T106&lt;&gt;""),IF(INDEX(Calc!$Y$3:$Y$122,$T106)="","—",INDEX(Calc!$Y$3:$Y$122,$T106)),"")</f>
        <v/>
      </c>
      <c r="H106" s="12" t="str">
        <f>IF(AND(ISNUMBER($T106),$T106&lt;&gt;""),IF(INDEX(Calc!$Z$3:$Z$122,$T106)="","—",INDEX(Calc!$Z$3:$Z$122,$T106)),"")</f>
        <v/>
      </c>
      <c r="I106" s="12" t="str">
        <f>IF(AND(ISNUMBER($T106),$T106&lt;&gt;""),IF(INDEX(Calc!$AA$3:$AA$122,$T106)="","—",INDEX(Calc!$AA$3:$AA$122,$T106)),"")</f>
        <v/>
      </c>
      <c r="J106" s="12" t="str">
        <f>IF(AND(ISNUMBER($T106),$T106&lt;&gt;""),IF(INDEX(Calc!$AB$3:$AB$122,$T106)="","—",INDEX(Calc!$AB$3:$AB$122,$T106)),"")</f>
        <v/>
      </c>
      <c r="K106" s="12" t="str">
        <f>IF(AND(ISNUMBER($T106),$T106&lt;&gt;""),IF(INDEX(Calc!$AC$3:$AC$122,$T106)="","—",INDEX(Calc!$AC$3:$AC$122,$T106)),"")</f>
        <v/>
      </c>
      <c r="L106" s="12" t="str">
        <f>IF(AND(ISNUMBER($T106),$T106&lt;&gt;""),IF(INDEX(Calc!$AD$3:$AD$122,$T106)="","—",INDEX(Calc!$AD$3:$AD$122,$T106)),"")</f>
        <v/>
      </c>
      <c r="M106" s="12" t="str">
        <f>IF(AND(ISNUMBER($T106),$T106&lt;&gt;""),IF(INDEX(Calc!$AE$3:$AE$122,$T106)="","—",INDEX(Calc!$AE$3:$AE$122,$T106)),"")</f>
        <v/>
      </c>
      <c r="N106" s="12" t="str">
        <f>IF(AND(ISNUMBER($T106),$T106&lt;&gt;""),IF(INDEX(Calc!$AF$3:$AF$122,$T106)="","—",INDEX(Calc!$AF$3:$AF$122,$T106)),"")</f>
        <v/>
      </c>
      <c r="O106" s="12" t="str">
        <f>IF(AND(ISNUMBER($T106),$T106&lt;&gt;""),IF(INDEX(Calc!$AG$3:$AG$122,$T106)="","—",INDEX(Calc!$AG$3:$AG$122,$T106)),"")</f>
        <v/>
      </c>
      <c r="P106" s="13" t="str">
        <f>IF(AND(ISNUMBER($T106),$T106&lt;&gt;""),IF(INDEX(Calc!$AJ$3:$AJ$122,$T106)="","—",INDEX(Calc!$AJ$3:$AJ$122,$T106)),"")</f>
        <v/>
      </c>
      <c r="Q106" s="13" t="str">
        <f>IF(AND(ISNUMBER($T106),$T106&lt;&gt;""),IF(INDEX(Calc!$AK$3:$AK$122,$T106)="","—",INDEX(Calc!$AK$3:$AK$122,$T106)),"")</f>
        <v/>
      </c>
      <c r="R106" s="12" t="str">
        <f>IF(AND(ISNUMBER($T106),$T106&lt;&gt;""),IF(INDEX(Calc!$AL$3:$AL$122,$T106)="","—",INDEX(Calc!$AL$3:$AL$122,$T106)),"")</f>
        <v/>
      </c>
      <c r="T106" t="str">
        <f>IFERROR(MATCH(102,Calc!$AN$3:$AN$122,0),"")</f>
        <v/>
      </c>
    </row>
    <row r="107" spans="1:20" x14ac:dyDescent="0.2">
      <c r="A107" s="16" t="str">
        <f>IF(AND(ISNUMBER($T107),$T107&lt;&gt;""),INDEX(Calc!$S$3:$S$122,$T107),"")</f>
        <v/>
      </c>
      <c r="B107" s="17" t="str">
        <f>IF(AND(ISNUMBER($T107),$T107&lt;&gt;""),IF(INDEX(Calc!$T$3:$T$122,$T107)="","—",INDEX(Calc!$T$3:$T$122,$T107)),"")</f>
        <v/>
      </c>
      <c r="C107" s="17" t="str">
        <f>IF(AND(ISNUMBER($T107),$T107&lt;&gt;""),IF(INDEX(Calc!$U$3:$U$122,$T107)="","—",INDEX(Calc!$U$3:$U$122,$T107)),"")</f>
        <v/>
      </c>
      <c r="D107" s="17" t="str">
        <f>IF(AND(ISNUMBER($T107),$T107&lt;&gt;""),IF(INDEX(Calc!$V$3:$V$122,$T107)="","—",INDEX(Calc!$V$3:$V$122,$T107)),"")</f>
        <v/>
      </c>
      <c r="E107" s="17" t="str">
        <f>IF(AND(ISNUMBER($T107),$T107&lt;&gt;""),IF(INDEX(Calc!$W$3:$W$122,$T107)="","—",INDEX(Calc!$W$3:$W$122,$T107)),"")</f>
        <v/>
      </c>
      <c r="F107" s="17" t="str">
        <f>IF(AND(ISNUMBER($T107),$T107&lt;&gt;""),IF(INDEX(Calc!$X$3:$X$122,$T107)="","—",INDEX(Calc!$X$3:$X$122,$T107)),"")</f>
        <v/>
      </c>
      <c r="G107" s="17" t="str">
        <f>IF(AND(ISNUMBER($T107),$T107&lt;&gt;""),IF(INDEX(Calc!$Y$3:$Y$122,$T107)="","—",INDEX(Calc!$Y$3:$Y$122,$T107)),"")</f>
        <v/>
      </c>
      <c r="H107" s="17" t="str">
        <f>IF(AND(ISNUMBER($T107),$T107&lt;&gt;""),IF(INDEX(Calc!$Z$3:$Z$122,$T107)="","—",INDEX(Calc!$Z$3:$Z$122,$T107)),"")</f>
        <v/>
      </c>
      <c r="I107" s="17" t="str">
        <f>IF(AND(ISNUMBER($T107),$T107&lt;&gt;""),IF(INDEX(Calc!$AA$3:$AA$122,$T107)="","—",INDEX(Calc!$AA$3:$AA$122,$T107)),"")</f>
        <v/>
      </c>
      <c r="J107" s="17" t="str">
        <f>IF(AND(ISNUMBER($T107),$T107&lt;&gt;""),IF(INDEX(Calc!$AB$3:$AB$122,$T107)="","—",INDEX(Calc!$AB$3:$AB$122,$T107)),"")</f>
        <v/>
      </c>
      <c r="K107" s="17" t="str">
        <f>IF(AND(ISNUMBER($T107),$T107&lt;&gt;""),IF(INDEX(Calc!$AC$3:$AC$122,$T107)="","—",INDEX(Calc!$AC$3:$AC$122,$T107)),"")</f>
        <v/>
      </c>
      <c r="L107" s="17" t="str">
        <f>IF(AND(ISNUMBER($T107),$T107&lt;&gt;""),IF(INDEX(Calc!$AD$3:$AD$122,$T107)="","—",INDEX(Calc!$AD$3:$AD$122,$T107)),"")</f>
        <v/>
      </c>
      <c r="M107" s="17" t="str">
        <f>IF(AND(ISNUMBER($T107),$T107&lt;&gt;""),IF(INDEX(Calc!$AE$3:$AE$122,$T107)="","—",INDEX(Calc!$AE$3:$AE$122,$T107)),"")</f>
        <v/>
      </c>
      <c r="N107" s="17" t="str">
        <f>IF(AND(ISNUMBER($T107),$T107&lt;&gt;""),IF(INDEX(Calc!$AF$3:$AF$122,$T107)="","—",INDEX(Calc!$AF$3:$AF$122,$T107)),"")</f>
        <v/>
      </c>
      <c r="O107" s="17" t="str">
        <f>IF(AND(ISNUMBER($T107),$T107&lt;&gt;""),IF(INDEX(Calc!$AG$3:$AG$122,$T107)="","—",INDEX(Calc!$AG$3:$AG$122,$T107)),"")</f>
        <v/>
      </c>
      <c r="P107" s="18" t="str">
        <f>IF(AND(ISNUMBER($T107),$T107&lt;&gt;""),IF(INDEX(Calc!$AJ$3:$AJ$122,$T107)="","—",INDEX(Calc!$AJ$3:$AJ$122,$T107)),"")</f>
        <v/>
      </c>
      <c r="Q107" s="18" t="str">
        <f>IF(AND(ISNUMBER($T107),$T107&lt;&gt;""),IF(INDEX(Calc!$AK$3:$AK$122,$T107)="","—",INDEX(Calc!$AK$3:$AK$122,$T107)),"")</f>
        <v/>
      </c>
      <c r="R107" s="17" t="str">
        <f>IF(AND(ISNUMBER($T107),$T107&lt;&gt;""),IF(INDEX(Calc!$AL$3:$AL$122,$T107)="","—",INDEX(Calc!$AL$3:$AL$122,$T107)),"")</f>
        <v/>
      </c>
      <c r="T107" t="str">
        <f>IFERROR(MATCH(103,Calc!$AN$3:$AN$122,0),"")</f>
        <v/>
      </c>
    </row>
    <row r="108" spans="1:20" x14ac:dyDescent="0.2">
      <c r="A108" s="11" t="str">
        <f>IF(AND(ISNUMBER($T108),$T108&lt;&gt;""),INDEX(Calc!$S$3:$S$122,$T108),"")</f>
        <v/>
      </c>
      <c r="B108" s="12" t="str">
        <f>IF(AND(ISNUMBER($T108),$T108&lt;&gt;""),IF(INDEX(Calc!$T$3:$T$122,$T108)="","—",INDEX(Calc!$T$3:$T$122,$T108)),"")</f>
        <v/>
      </c>
      <c r="C108" s="12" t="str">
        <f>IF(AND(ISNUMBER($T108),$T108&lt;&gt;""),IF(INDEX(Calc!$U$3:$U$122,$T108)="","—",INDEX(Calc!$U$3:$U$122,$T108)),"")</f>
        <v/>
      </c>
      <c r="D108" s="12" t="str">
        <f>IF(AND(ISNUMBER($T108),$T108&lt;&gt;""),IF(INDEX(Calc!$V$3:$V$122,$T108)="","—",INDEX(Calc!$V$3:$V$122,$T108)),"")</f>
        <v/>
      </c>
      <c r="E108" s="12" t="str">
        <f>IF(AND(ISNUMBER($T108),$T108&lt;&gt;""),IF(INDEX(Calc!$W$3:$W$122,$T108)="","—",INDEX(Calc!$W$3:$W$122,$T108)),"")</f>
        <v/>
      </c>
      <c r="F108" s="12" t="str">
        <f>IF(AND(ISNUMBER($T108),$T108&lt;&gt;""),IF(INDEX(Calc!$X$3:$X$122,$T108)="","—",INDEX(Calc!$X$3:$X$122,$T108)),"")</f>
        <v/>
      </c>
      <c r="G108" s="12" t="str">
        <f>IF(AND(ISNUMBER($T108),$T108&lt;&gt;""),IF(INDEX(Calc!$Y$3:$Y$122,$T108)="","—",INDEX(Calc!$Y$3:$Y$122,$T108)),"")</f>
        <v/>
      </c>
      <c r="H108" s="12" t="str">
        <f>IF(AND(ISNUMBER($T108),$T108&lt;&gt;""),IF(INDEX(Calc!$Z$3:$Z$122,$T108)="","—",INDEX(Calc!$Z$3:$Z$122,$T108)),"")</f>
        <v/>
      </c>
      <c r="I108" s="12" t="str">
        <f>IF(AND(ISNUMBER($T108),$T108&lt;&gt;""),IF(INDEX(Calc!$AA$3:$AA$122,$T108)="","—",INDEX(Calc!$AA$3:$AA$122,$T108)),"")</f>
        <v/>
      </c>
      <c r="J108" s="12" t="str">
        <f>IF(AND(ISNUMBER($T108),$T108&lt;&gt;""),IF(INDEX(Calc!$AB$3:$AB$122,$T108)="","—",INDEX(Calc!$AB$3:$AB$122,$T108)),"")</f>
        <v/>
      </c>
      <c r="K108" s="12" t="str">
        <f>IF(AND(ISNUMBER($T108),$T108&lt;&gt;""),IF(INDEX(Calc!$AC$3:$AC$122,$T108)="","—",INDEX(Calc!$AC$3:$AC$122,$T108)),"")</f>
        <v/>
      </c>
      <c r="L108" s="12" t="str">
        <f>IF(AND(ISNUMBER($T108),$T108&lt;&gt;""),IF(INDEX(Calc!$AD$3:$AD$122,$T108)="","—",INDEX(Calc!$AD$3:$AD$122,$T108)),"")</f>
        <v/>
      </c>
      <c r="M108" s="12" t="str">
        <f>IF(AND(ISNUMBER($T108),$T108&lt;&gt;""),IF(INDEX(Calc!$AE$3:$AE$122,$T108)="","—",INDEX(Calc!$AE$3:$AE$122,$T108)),"")</f>
        <v/>
      </c>
      <c r="N108" s="12" t="str">
        <f>IF(AND(ISNUMBER($T108),$T108&lt;&gt;""),IF(INDEX(Calc!$AF$3:$AF$122,$T108)="","—",INDEX(Calc!$AF$3:$AF$122,$T108)),"")</f>
        <v/>
      </c>
      <c r="O108" s="12" t="str">
        <f>IF(AND(ISNUMBER($T108),$T108&lt;&gt;""),IF(INDEX(Calc!$AG$3:$AG$122,$T108)="","—",INDEX(Calc!$AG$3:$AG$122,$T108)),"")</f>
        <v/>
      </c>
      <c r="P108" s="13" t="str">
        <f>IF(AND(ISNUMBER($T108),$T108&lt;&gt;""),IF(INDEX(Calc!$AJ$3:$AJ$122,$T108)="","—",INDEX(Calc!$AJ$3:$AJ$122,$T108)),"")</f>
        <v/>
      </c>
      <c r="Q108" s="13" t="str">
        <f>IF(AND(ISNUMBER($T108),$T108&lt;&gt;""),IF(INDEX(Calc!$AK$3:$AK$122,$T108)="","—",INDEX(Calc!$AK$3:$AK$122,$T108)),"")</f>
        <v/>
      </c>
      <c r="R108" s="12" t="str">
        <f>IF(AND(ISNUMBER($T108),$T108&lt;&gt;""),IF(INDEX(Calc!$AL$3:$AL$122,$T108)="","—",INDEX(Calc!$AL$3:$AL$122,$T108)),"")</f>
        <v/>
      </c>
      <c r="T108" t="str">
        <f>IFERROR(MATCH(104,Calc!$AN$3:$AN$122,0),"")</f>
        <v/>
      </c>
    </row>
    <row r="109" spans="1:20" x14ac:dyDescent="0.2">
      <c r="A109" s="16" t="str">
        <f>IF(AND(ISNUMBER($T109),$T109&lt;&gt;""),INDEX(Calc!$S$3:$S$122,$T109),"")</f>
        <v/>
      </c>
      <c r="B109" s="17" t="str">
        <f>IF(AND(ISNUMBER($T109),$T109&lt;&gt;""),IF(INDEX(Calc!$T$3:$T$122,$T109)="","—",INDEX(Calc!$T$3:$T$122,$T109)),"")</f>
        <v/>
      </c>
      <c r="C109" s="17" t="str">
        <f>IF(AND(ISNUMBER($T109),$T109&lt;&gt;""),IF(INDEX(Calc!$U$3:$U$122,$T109)="","—",INDEX(Calc!$U$3:$U$122,$T109)),"")</f>
        <v/>
      </c>
      <c r="D109" s="17" t="str">
        <f>IF(AND(ISNUMBER($T109),$T109&lt;&gt;""),IF(INDEX(Calc!$V$3:$V$122,$T109)="","—",INDEX(Calc!$V$3:$V$122,$T109)),"")</f>
        <v/>
      </c>
      <c r="E109" s="17" t="str">
        <f>IF(AND(ISNUMBER($T109),$T109&lt;&gt;""),IF(INDEX(Calc!$W$3:$W$122,$T109)="","—",INDEX(Calc!$W$3:$W$122,$T109)),"")</f>
        <v/>
      </c>
      <c r="F109" s="17" t="str">
        <f>IF(AND(ISNUMBER($T109),$T109&lt;&gt;""),IF(INDEX(Calc!$X$3:$X$122,$T109)="","—",INDEX(Calc!$X$3:$X$122,$T109)),"")</f>
        <v/>
      </c>
      <c r="G109" s="17" t="str">
        <f>IF(AND(ISNUMBER($T109),$T109&lt;&gt;""),IF(INDEX(Calc!$Y$3:$Y$122,$T109)="","—",INDEX(Calc!$Y$3:$Y$122,$T109)),"")</f>
        <v/>
      </c>
      <c r="H109" s="17" t="str">
        <f>IF(AND(ISNUMBER($T109),$T109&lt;&gt;""),IF(INDEX(Calc!$Z$3:$Z$122,$T109)="","—",INDEX(Calc!$Z$3:$Z$122,$T109)),"")</f>
        <v/>
      </c>
      <c r="I109" s="17" t="str">
        <f>IF(AND(ISNUMBER($T109),$T109&lt;&gt;""),IF(INDEX(Calc!$AA$3:$AA$122,$T109)="","—",INDEX(Calc!$AA$3:$AA$122,$T109)),"")</f>
        <v/>
      </c>
      <c r="J109" s="17" t="str">
        <f>IF(AND(ISNUMBER($T109),$T109&lt;&gt;""),IF(INDEX(Calc!$AB$3:$AB$122,$T109)="","—",INDEX(Calc!$AB$3:$AB$122,$T109)),"")</f>
        <v/>
      </c>
      <c r="K109" s="17" t="str">
        <f>IF(AND(ISNUMBER($T109),$T109&lt;&gt;""),IF(INDEX(Calc!$AC$3:$AC$122,$T109)="","—",INDEX(Calc!$AC$3:$AC$122,$T109)),"")</f>
        <v/>
      </c>
      <c r="L109" s="17" t="str">
        <f>IF(AND(ISNUMBER($T109),$T109&lt;&gt;""),IF(INDEX(Calc!$AD$3:$AD$122,$T109)="","—",INDEX(Calc!$AD$3:$AD$122,$T109)),"")</f>
        <v/>
      </c>
      <c r="M109" s="17" t="str">
        <f>IF(AND(ISNUMBER($T109),$T109&lt;&gt;""),IF(INDEX(Calc!$AE$3:$AE$122,$T109)="","—",INDEX(Calc!$AE$3:$AE$122,$T109)),"")</f>
        <v/>
      </c>
      <c r="N109" s="17" t="str">
        <f>IF(AND(ISNUMBER($T109),$T109&lt;&gt;""),IF(INDEX(Calc!$AF$3:$AF$122,$T109)="","—",INDEX(Calc!$AF$3:$AF$122,$T109)),"")</f>
        <v/>
      </c>
      <c r="O109" s="17" t="str">
        <f>IF(AND(ISNUMBER($T109),$T109&lt;&gt;""),IF(INDEX(Calc!$AG$3:$AG$122,$T109)="","—",INDEX(Calc!$AG$3:$AG$122,$T109)),"")</f>
        <v/>
      </c>
      <c r="P109" s="18" t="str">
        <f>IF(AND(ISNUMBER($T109),$T109&lt;&gt;""),IF(INDEX(Calc!$AJ$3:$AJ$122,$T109)="","—",INDEX(Calc!$AJ$3:$AJ$122,$T109)),"")</f>
        <v/>
      </c>
      <c r="Q109" s="18" t="str">
        <f>IF(AND(ISNUMBER($T109),$T109&lt;&gt;""),IF(INDEX(Calc!$AK$3:$AK$122,$T109)="","—",INDEX(Calc!$AK$3:$AK$122,$T109)),"")</f>
        <v/>
      </c>
      <c r="R109" s="17" t="str">
        <f>IF(AND(ISNUMBER($T109),$T109&lt;&gt;""),IF(INDEX(Calc!$AL$3:$AL$122,$T109)="","—",INDEX(Calc!$AL$3:$AL$122,$T109)),"")</f>
        <v/>
      </c>
      <c r="T109" t="str">
        <f>IFERROR(MATCH(105,Calc!$AN$3:$AN$122,0),"")</f>
        <v/>
      </c>
    </row>
    <row r="110" spans="1:20" x14ac:dyDescent="0.2">
      <c r="A110" s="11" t="str">
        <f>IF(AND(ISNUMBER($T110),$T110&lt;&gt;""),INDEX(Calc!$S$3:$S$122,$T110),"")</f>
        <v/>
      </c>
      <c r="B110" s="12" t="str">
        <f>IF(AND(ISNUMBER($T110),$T110&lt;&gt;""),IF(INDEX(Calc!$T$3:$T$122,$T110)="","—",INDEX(Calc!$T$3:$T$122,$T110)),"")</f>
        <v/>
      </c>
      <c r="C110" s="12" t="str">
        <f>IF(AND(ISNUMBER($T110),$T110&lt;&gt;""),IF(INDEX(Calc!$U$3:$U$122,$T110)="","—",INDEX(Calc!$U$3:$U$122,$T110)),"")</f>
        <v/>
      </c>
      <c r="D110" s="12" t="str">
        <f>IF(AND(ISNUMBER($T110),$T110&lt;&gt;""),IF(INDEX(Calc!$V$3:$V$122,$T110)="","—",INDEX(Calc!$V$3:$V$122,$T110)),"")</f>
        <v/>
      </c>
      <c r="E110" s="12" t="str">
        <f>IF(AND(ISNUMBER($T110),$T110&lt;&gt;""),IF(INDEX(Calc!$W$3:$W$122,$T110)="","—",INDEX(Calc!$W$3:$W$122,$T110)),"")</f>
        <v/>
      </c>
      <c r="F110" s="12" t="str">
        <f>IF(AND(ISNUMBER($T110),$T110&lt;&gt;""),IF(INDEX(Calc!$X$3:$X$122,$T110)="","—",INDEX(Calc!$X$3:$X$122,$T110)),"")</f>
        <v/>
      </c>
      <c r="G110" s="12" t="str">
        <f>IF(AND(ISNUMBER($T110),$T110&lt;&gt;""),IF(INDEX(Calc!$Y$3:$Y$122,$T110)="","—",INDEX(Calc!$Y$3:$Y$122,$T110)),"")</f>
        <v/>
      </c>
      <c r="H110" s="12" t="str">
        <f>IF(AND(ISNUMBER($T110),$T110&lt;&gt;""),IF(INDEX(Calc!$Z$3:$Z$122,$T110)="","—",INDEX(Calc!$Z$3:$Z$122,$T110)),"")</f>
        <v/>
      </c>
      <c r="I110" s="12" t="str">
        <f>IF(AND(ISNUMBER($T110),$T110&lt;&gt;""),IF(INDEX(Calc!$AA$3:$AA$122,$T110)="","—",INDEX(Calc!$AA$3:$AA$122,$T110)),"")</f>
        <v/>
      </c>
      <c r="J110" s="12" t="str">
        <f>IF(AND(ISNUMBER($T110),$T110&lt;&gt;""),IF(INDEX(Calc!$AB$3:$AB$122,$T110)="","—",INDEX(Calc!$AB$3:$AB$122,$T110)),"")</f>
        <v/>
      </c>
      <c r="K110" s="12" t="str">
        <f>IF(AND(ISNUMBER($T110),$T110&lt;&gt;""),IF(INDEX(Calc!$AC$3:$AC$122,$T110)="","—",INDEX(Calc!$AC$3:$AC$122,$T110)),"")</f>
        <v/>
      </c>
      <c r="L110" s="12" t="str">
        <f>IF(AND(ISNUMBER($T110),$T110&lt;&gt;""),IF(INDEX(Calc!$AD$3:$AD$122,$T110)="","—",INDEX(Calc!$AD$3:$AD$122,$T110)),"")</f>
        <v/>
      </c>
      <c r="M110" s="12" t="str">
        <f>IF(AND(ISNUMBER($T110),$T110&lt;&gt;""),IF(INDEX(Calc!$AE$3:$AE$122,$T110)="","—",INDEX(Calc!$AE$3:$AE$122,$T110)),"")</f>
        <v/>
      </c>
      <c r="N110" s="12" t="str">
        <f>IF(AND(ISNUMBER($T110),$T110&lt;&gt;""),IF(INDEX(Calc!$AF$3:$AF$122,$T110)="","—",INDEX(Calc!$AF$3:$AF$122,$T110)),"")</f>
        <v/>
      </c>
      <c r="O110" s="12" t="str">
        <f>IF(AND(ISNUMBER($T110),$T110&lt;&gt;""),IF(INDEX(Calc!$AG$3:$AG$122,$T110)="","—",INDEX(Calc!$AG$3:$AG$122,$T110)),"")</f>
        <v/>
      </c>
      <c r="P110" s="13" t="str">
        <f>IF(AND(ISNUMBER($T110),$T110&lt;&gt;""),IF(INDEX(Calc!$AJ$3:$AJ$122,$T110)="","—",INDEX(Calc!$AJ$3:$AJ$122,$T110)),"")</f>
        <v/>
      </c>
      <c r="Q110" s="13" t="str">
        <f>IF(AND(ISNUMBER($T110),$T110&lt;&gt;""),IF(INDEX(Calc!$AK$3:$AK$122,$T110)="","—",INDEX(Calc!$AK$3:$AK$122,$T110)),"")</f>
        <v/>
      </c>
      <c r="R110" s="12" t="str">
        <f>IF(AND(ISNUMBER($T110),$T110&lt;&gt;""),IF(INDEX(Calc!$AL$3:$AL$122,$T110)="","—",INDEX(Calc!$AL$3:$AL$122,$T110)),"")</f>
        <v/>
      </c>
      <c r="T110" t="str">
        <f>IFERROR(MATCH(106,Calc!$AN$3:$AN$122,0),"")</f>
        <v/>
      </c>
    </row>
    <row r="111" spans="1:20" x14ac:dyDescent="0.2">
      <c r="A111" s="16" t="str">
        <f>IF(AND(ISNUMBER($T111),$T111&lt;&gt;""),INDEX(Calc!$S$3:$S$122,$T111),"")</f>
        <v/>
      </c>
      <c r="B111" s="17" t="str">
        <f>IF(AND(ISNUMBER($T111),$T111&lt;&gt;""),IF(INDEX(Calc!$T$3:$T$122,$T111)="","—",INDEX(Calc!$T$3:$T$122,$T111)),"")</f>
        <v/>
      </c>
      <c r="C111" s="17" t="str">
        <f>IF(AND(ISNUMBER($T111),$T111&lt;&gt;""),IF(INDEX(Calc!$U$3:$U$122,$T111)="","—",INDEX(Calc!$U$3:$U$122,$T111)),"")</f>
        <v/>
      </c>
      <c r="D111" s="17" t="str">
        <f>IF(AND(ISNUMBER($T111),$T111&lt;&gt;""),IF(INDEX(Calc!$V$3:$V$122,$T111)="","—",INDEX(Calc!$V$3:$V$122,$T111)),"")</f>
        <v/>
      </c>
      <c r="E111" s="17" t="str">
        <f>IF(AND(ISNUMBER($T111),$T111&lt;&gt;""),IF(INDEX(Calc!$W$3:$W$122,$T111)="","—",INDEX(Calc!$W$3:$W$122,$T111)),"")</f>
        <v/>
      </c>
      <c r="F111" s="17" t="str">
        <f>IF(AND(ISNUMBER($T111),$T111&lt;&gt;""),IF(INDEX(Calc!$X$3:$X$122,$T111)="","—",INDEX(Calc!$X$3:$X$122,$T111)),"")</f>
        <v/>
      </c>
      <c r="G111" s="17" t="str">
        <f>IF(AND(ISNUMBER($T111),$T111&lt;&gt;""),IF(INDEX(Calc!$Y$3:$Y$122,$T111)="","—",INDEX(Calc!$Y$3:$Y$122,$T111)),"")</f>
        <v/>
      </c>
      <c r="H111" s="17" t="str">
        <f>IF(AND(ISNUMBER($T111),$T111&lt;&gt;""),IF(INDEX(Calc!$Z$3:$Z$122,$T111)="","—",INDEX(Calc!$Z$3:$Z$122,$T111)),"")</f>
        <v/>
      </c>
      <c r="I111" s="17" t="str">
        <f>IF(AND(ISNUMBER($T111),$T111&lt;&gt;""),IF(INDEX(Calc!$AA$3:$AA$122,$T111)="","—",INDEX(Calc!$AA$3:$AA$122,$T111)),"")</f>
        <v/>
      </c>
      <c r="J111" s="17" t="str">
        <f>IF(AND(ISNUMBER($T111),$T111&lt;&gt;""),IF(INDEX(Calc!$AB$3:$AB$122,$T111)="","—",INDEX(Calc!$AB$3:$AB$122,$T111)),"")</f>
        <v/>
      </c>
      <c r="K111" s="17" t="str">
        <f>IF(AND(ISNUMBER($T111),$T111&lt;&gt;""),IF(INDEX(Calc!$AC$3:$AC$122,$T111)="","—",INDEX(Calc!$AC$3:$AC$122,$T111)),"")</f>
        <v/>
      </c>
      <c r="L111" s="17" t="str">
        <f>IF(AND(ISNUMBER($T111),$T111&lt;&gt;""),IF(INDEX(Calc!$AD$3:$AD$122,$T111)="","—",INDEX(Calc!$AD$3:$AD$122,$T111)),"")</f>
        <v/>
      </c>
      <c r="M111" s="17" t="str">
        <f>IF(AND(ISNUMBER($T111),$T111&lt;&gt;""),IF(INDEX(Calc!$AE$3:$AE$122,$T111)="","—",INDEX(Calc!$AE$3:$AE$122,$T111)),"")</f>
        <v/>
      </c>
      <c r="N111" s="17" t="str">
        <f>IF(AND(ISNUMBER($T111),$T111&lt;&gt;""),IF(INDEX(Calc!$AF$3:$AF$122,$T111)="","—",INDEX(Calc!$AF$3:$AF$122,$T111)),"")</f>
        <v/>
      </c>
      <c r="O111" s="17" t="str">
        <f>IF(AND(ISNUMBER($T111),$T111&lt;&gt;""),IF(INDEX(Calc!$AG$3:$AG$122,$T111)="","—",INDEX(Calc!$AG$3:$AG$122,$T111)),"")</f>
        <v/>
      </c>
      <c r="P111" s="18" t="str">
        <f>IF(AND(ISNUMBER($T111),$T111&lt;&gt;""),IF(INDEX(Calc!$AJ$3:$AJ$122,$T111)="","—",INDEX(Calc!$AJ$3:$AJ$122,$T111)),"")</f>
        <v/>
      </c>
      <c r="Q111" s="18" t="str">
        <f>IF(AND(ISNUMBER($T111),$T111&lt;&gt;""),IF(INDEX(Calc!$AK$3:$AK$122,$T111)="","—",INDEX(Calc!$AK$3:$AK$122,$T111)),"")</f>
        <v/>
      </c>
      <c r="R111" s="17" t="str">
        <f>IF(AND(ISNUMBER($T111),$T111&lt;&gt;""),IF(INDEX(Calc!$AL$3:$AL$122,$T111)="","—",INDEX(Calc!$AL$3:$AL$122,$T111)),"")</f>
        <v/>
      </c>
      <c r="T111" t="str">
        <f>IFERROR(MATCH(107,Calc!$AN$3:$AN$122,0),"")</f>
        <v/>
      </c>
    </row>
    <row r="112" spans="1:20" x14ac:dyDescent="0.2">
      <c r="A112" s="11" t="str">
        <f>IF(AND(ISNUMBER($T112),$T112&lt;&gt;""),INDEX(Calc!$S$3:$S$122,$T112),"")</f>
        <v/>
      </c>
      <c r="B112" s="12" t="str">
        <f>IF(AND(ISNUMBER($T112),$T112&lt;&gt;""),IF(INDEX(Calc!$T$3:$T$122,$T112)="","—",INDEX(Calc!$T$3:$T$122,$T112)),"")</f>
        <v/>
      </c>
      <c r="C112" s="12" t="str">
        <f>IF(AND(ISNUMBER($T112),$T112&lt;&gt;""),IF(INDEX(Calc!$U$3:$U$122,$T112)="","—",INDEX(Calc!$U$3:$U$122,$T112)),"")</f>
        <v/>
      </c>
      <c r="D112" s="12" t="str">
        <f>IF(AND(ISNUMBER($T112),$T112&lt;&gt;""),IF(INDEX(Calc!$V$3:$V$122,$T112)="","—",INDEX(Calc!$V$3:$V$122,$T112)),"")</f>
        <v/>
      </c>
      <c r="E112" s="12" t="str">
        <f>IF(AND(ISNUMBER($T112),$T112&lt;&gt;""),IF(INDEX(Calc!$W$3:$W$122,$T112)="","—",INDEX(Calc!$W$3:$W$122,$T112)),"")</f>
        <v/>
      </c>
      <c r="F112" s="12" t="str">
        <f>IF(AND(ISNUMBER($T112),$T112&lt;&gt;""),IF(INDEX(Calc!$X$3:$X$122,$T112)="","—",INDEX(Calc!$X$3:$X$122,$T112)),"")</f>
        <v/>
      </c>
      <c r="G112" s="12" t="str">
        <f>IF(AND(ISNUMBER($T112),$T112&lt;&gt;""),IF(INDEX(Calc!$Y$3:$Y$122,$T112)="","—",INDEX(Calc!$Y$3:$Y$122,$T112)),"")</f>
        <v/>
      </c>
      <c r="H112" s="12" t="str">
        <f>IF(AND(ISNUMBER($T112),$T112&lt;&gt;""),IF(INDEX(Calc!$Z$3:$Z$122,$T112)="","—",INDEX(Calc!$Z$3:$Z$122,$T112)),"")</f>
        <v/>
      </c>
      <c r="I112" s="12" t="str">
        <f>IF(AND(ISNUMBER($T112),$T112&lt;&gt;""),IF(INDEX(Calc!$AA$3:$AA$122,$T112)="","—",INDEX(Calc!$AA$3:$AA$122,$T112)),"")</f>
        <v/>
      </c>
      <c r="J112" s="12" t="str">
        <f>IF(AND(ISNUMBER($T112),$T112&lt;&gt;""),IF(INDEX(Calc!$AB$3:$AB$122,$T112)="","—",INDEX(Calc!$AB$3:$AB$122,$T112)),"")</f>
        <v/>
      </c>
      <c r="K112" s="12" t="str">
        <f>IF(AND(ISNUMBER($T112),$T112&lt;&gt;""),IF(INDEX(Calc!$AC$3:$AC$122,$T112)="","—",INDEX(Calc!$AC$3:$AC$122,$T112)),"")</f>
        <v/>
      </c>
      <c r="L112" s="12" t="str">
        <f>IF(AND(ISNUMBER($T112),$T112&lt;&gt;""),IF(INDEX(Calc!$AD$3:$AD$122,$T112)="","—",INDEX(Calc!$AD$3:$AD$122,$T112)),"")</f>
        <v/>
      </c>
      <c r="M112" s="12" t="str">
        <f>IF(AND(ISNUMBER($T112),$T112&lt;&gt;""),IF(INDEX(Calc!$AE$3:$AE$122,$T112)="","—",INDEX(Calc!$AE$3:$AE$122,$T112)),"")</f>
        <v/>
      </c>
      <c r="N112" s="12" t="str">
        <f>IF(AND(ISNUMBER($T112),$T112&lt;&gt;""),IF(INDEX(Calc!$AF$3:$AF$122,$T112)="","—",INDEX(Calc!$AF$3:$AF$122,$T112)),"")</f>
        <v/>
      </c>
      <c r="O112" s="12" t="str">
        <f>IF(AND(ISNUMBER($T112),$T112&lt;&gt;""),IF(INDEX(Calc!$AG$3:$AG$122,$T112)="","—",INDEX(Calc!$AG$3:$AG$122,$T112)),"")</f>
        <v/>
      </c>
      <c r="P112" s="13" t="str">
        <f>IF(AND(ISNUMBER($T112),$T112&lt;&gt;""),IF(INDEX(Calc!$AJ$3:$AJ$122,$T112)="","—",INDEX(Calc!$AJ$3:$AJ$122,$T112)),"")</f>
        <v/>
      </c>
      <c r="Q112" s="13" t="str">
        <f>IF(AND(ISNUMBER($T112),$T112&lt;&gt;""),IF(INDEX(Calc!$AK$3:$AK$122,$T112)="","—",INDEX(Calc!$AK$3:$AK$122,$T112)),"")</f>
        <v/>
      </c>
      <c r="R112" s="12" t="str">
        <f>IF(AND(ISNUMBER($T112),$T112&lt;&gt;""),IF(INDEX(Calc!$AL$3:$AL$122,$T112)="","—",INDEX(Calc!$AL$3:$AL$122,$T112)),"")</f>
        <v/>
      </c>
      <c r="T112" t="str">
        <f>IFERROR(MATCH(108,Calc!$AN$3:$AN$122,0),"")</f>
        <v/>
      </c>
    </row>
    <row r="113" spans="1:20" x14ac:dyDescent="0.2">
      <c r="A113" s="16" t="str">
        <f>IF(AND(ISNUMBER($T113),$T113&lt;&gt;""),INDEX(Calc!$S$3:$S$122,$T113),"")</f>
        <v/>
      </c>
      <c r="B113" s="17" t="str">
        <f>IF(AND(ISNUMBER($T113),$T113&lt;&gt;""),IF(INDEX(Calc!$T$3:$T$122,$T113)="","—",INDEX(Calc!$T$3:$T$122,$T113)),"")</f>
        <v/>
      </c>
      <c r="C113" s="17" t="str">
        <f>IF(AND(ISNUMBER($T113),$T113&lt;&gt;""),IF(INDEX(Calc!$U$3:$U$122,$T113)="","—",INDEX(Calc!$U$3:$U$122,$T113)),"")</f>
        <v/>
      </c>
      <c r="D113" s="17" t="str">
        <f>IF(AND(ISNUMBER($T113),$T113&lt;&gt;""),IF(INDEX(Calc!$V$3:$V$122,$T113)="","—",INDEX(Calc!$V$3:$V$122,$T113)),"")</f>
        <v/>
      </c>
      <c r="E113" s="17" t="str">
        <f>IF(AND(ISNUMBER($T113),$T113&lt;&gt;""),IF(INDEX(Calc!$W$3:$W$122,$T113)="","—",INDEX(Calc!$W$3:$W$122,$T113)),"")</f>
        <v/>
      </c>
      <c r="F113" s="17" t="str">
        <f>IF(AND(ISNUMBER($T113),$T113&lt;&gt;""),IF(INDEX(Calc!$X$3:$X$122,$T113)="","—",INDEX(Calc!$X$3:$X$122,$T113)),"")</f>
        <v/>
      </c>
      <c r="G113" s="17" t="str">
        <f>IF(AND(ISNUMBER($T113),$T113&lt;&gt;""),IF(INDEX(Calc!$Y$3:$Y$122,$T113)="","—",INDEX(Calc!$Y$3:$Y$122,$T113)),"")</f>
        <v/>
      </c>
      <c r="H113" s="17" t="str">
        <f>IF(AND(ISNUMBER($T113),$T113&lt;&gt;""),IF(INDEX(Calc!$Z$3:$Z$122,$T113)="","—",INDEX(Calc!$Z$3:$Z$122,$T113)),"")</f>
        <v/>
      </c>
      <c r="I113" s="17" t="str">
        <f>IF(AND(ISNUMBER($T113),$T113&lt;&gt;""),IF(INDEX(Calc!$AA$3:$AA$122,$T113)="","—",INDEX(Calc!$AA$3:$AA$122,$T113)),"")</f>
        <v/>
      </c>
      <c r="J113" s="17" t="str">
        <f>IF(AND(ISNUMBER($T113),$T113&lt;&gt;""),IF(INDEX(Calc!$AB$3:$AB$122,$T113)="","—",INDEX(Calc!$AB$3:$AB$122,$T113)),"")</f>
        <v/>
      </c>
      <c r="K113" s="17" t="str">
        <f>IF(AND(ISNUMBER($T113),$T113&lt;&gt;""),IF(INDEX(Calc!$AC$3:$AC$122,$T113)="","—",INDEX(Calc!$AC$3:$AC$122,$T113)),"")</f>
        <v/>
      </c>
      <c r="L113" s="17" t="str">
        <f>IF(AND(ISNUMBER($T113),$T113&lt;&gt;""),IF(INDEX(Calc!$AD$3:$AD$122,$T113)="","—",INDEX(Calc!$AD$3:$AD$122,$T113)),"")</f>
        <v/>
      </c>
      <c r="M113" s="17" t="str">
        <f>IF(AND(ISNUMBER($T113),$T113&lt;&gt;""),IF(INDEX(Calc!$AE$3:$AE$122,$T113)="","—",INDEX(Calc!$AE$3:$AE$122,$T113)),"")</f>
        <v/>
      </c>
      <c r="N113" s="17" t="str">
        <f>IF(AND(ISNUMBER($T113),$T113&lt;&gt;""),IF(INDEX(Calc!$AF$3:$AF$122,$T113)="","—",INDEX(Calc!$AF$3:$AF$122,$T113)),"")</f>
        <v/>
      </c>
      <c r="O113" s="17" t="str">
        <f>IF(AND(ISNUMBER($T113),$T113&lt;&gt;""),IF(INDEX(Calc!$AG$3:$AG$122,$T113)="","—",INDEX(Calc!$AG$3:$AG$122,$T113)),"")</f>
        <v/>
      </c>
      <c r="P113" s="18" t="str">
        <f>IF(AND(ISNUMBER($T113),$T113&lt;&gt;""),IF(INDEX(Calc!$AJ$3:$AJ$122,$T113)="","—",INDEX(Calc!$AJ$3:$AJ$122,$T113)),"")</f>
        <v/>
      </c>
      <c r="Q113" s="18" t="str">
        <f>IF(AND(ISNUMBER($T113),$T113&lt;&gt;""),IF(INDEX(Calc!$AK$3:$AK$122,$T113)="","—",INDEX(Calc!$AK$3:$AK$122,$T113)),"")</f>
        <v/>
      </c>
      <c r="R113" s="17" t="str">
        <f>IF(AND(ISNUMBER($T113),$T113&lt;&gt;""),IF(INDEX(Calc!$AL$3:$AL$122,$T113)="","—",INDEX(Calc!$AL$3:$AL$122,$T113)),"")</f>
        <v/>
      </c>
      <c r="T113" t="str">
        <f>IFERROR(MATCH(109,Calc!$AN$3:$AN$122,0),"")</f>
        <v/>
      </c>
    </row>
    <row r="114" spans="1:20" x14ac:dyDescent="0.2">
      <c r="A114" s="11" t="str">
        <f>IF(AND(ISNUMBER($T114),$T114&lt;&gt;""),INDEX(Calc!$S$3:$S$122,$T114),"")</f>
        <v/>
      </c>
      <c r="B114" s="12" t="str">
        <f>IF(AND(ISNUMBER($T114),$T114&lt;&gt;""),IF(INDEX(Calc!$T$3:$T$122,$T114)="","—",INDEX(Calc!$T$3:$T$122,$T114)),"")</f>
        <v/>
      </c>
      <c r="C114" s="12" t="str">
        <f>IF(AND(ISNUMBER($T114),$T114&lt;&gt;""),IF(INDEX(Calc!$U$3:$U$122,$T114)="","—",INDEX(Calc!$U$3:$U$122,$T114)),"")</f>
        <v/>
      </c>
      <c r="D114" s="12" t="str">
        <f>IF(AND(ISNUMBER($T114),$T114&lt;&gt;""),IF(INDEX(Calc!$V$3:$V$122,$T114)="","—",INDEX(Calc!$V$3:$V$122,$T114)),"")</f>
        <v/>
      </c>
      <c r="E114" s="12" t="str">
        <f>IF(AND(ISNUMBER($T114),$T114&lt;&gt;""),IF(INDEX(Calc!$W$3:$W$122,$T114)="","—",INDEX(Calc!$W$3:$W$122,$T114)),"")</f>
        <v/>
      </c>
      <c r="F114" s="12" t="str">
        <f>IF(AND(ISNUMBER($T114),$T114&lt;&gt;""),IF(INDEX(Calc!$X$3:$X$122,$T114)="","—",INDEX(Calc!$X$3:$X$122,$T114)),"")</f>
        <v/>
      </c>
      <c r="G114" s="12" t="str">
        <f>IF(AND(ISNUMBER($T114),$T114&lt;&gt;""),IF(INDEX(Calc!$Y$3:$Y$122,$T114)="","—",INDEX(Calc!$Y$3:$Y$122,$T114)),"")</f>
        <v/>
      </c>
      <c r="H114" s="12" t="str">
        <f>IF(AND(ISNUMBER($T114),$T114&lt;&gt;""),IF(INDEX(Calc!$Z$3:$Z$122,$T114)="","—",INDEX(Calc!$Z$3:$Z$122,$T114)),"")</f>
        <v/>
      </c>
      <c r="I114" s="12" t="str">
        <f>IF(AND(ISNUMBER($T114),$T114&lt;&gt;""),IF(INDEX(Calc!$AA$3:$AA$122,$T114)="","—",INDEX(Calc!$AA$3:$AA$122,$T114)),"")</f>
        <v/>
      </c>
      <c r="J114" s="12" t="str">
        <f>IF(AND(ISNUMBER($T114),$T114&lt;&gt;""),IF(INDEX(Calc!$AB$3:$AB$122,$T114)="","—",INDEX(Calc!$AB$3:$AB$122,$T114)),"")</f>
        <v/>
      </c>
      <c r="K114" s="12" t="str">
        <f>IF(AND(ISNUMBER($T114),$T114&lt;&gt;""),IF(INDEX(Calc!$AC$3:$AC$122,$T114)="","—",INDEX(Calc!$AC$3:$AC$122,$T114)),"")</f>
        <v/>
      </c>
      <c r="L114" s="12" t="str">
        <f>IF(AND(ISNUMBER($T114),$T114&lt;&gt;""),IF(INDEX(Calc!$AD$3:$AD$122,$T114)="","—",INDEX(Calc!$AD$3:$AD$122,$T114)),"")</f>
        <v/>
      </c>
      <c r="M114" s="12" t="str">
        <f>IF(AND(ISNUMBER($T114),$T114&lt;&gt;""),IF(INDEX(Calc!$AE$3:$AE$122,$T114)="","—",INDEX(Calc!$AE$3:$AE$122,$T114)),"")</f>
        <v/>
      </c>
      <c r="N114" s="12" t="str">
        <f>IF(AND(ISNUMBER($T114),$T114&lt;&gt;""),IF(INDEX(Calc!$AF$3:$AF$122,$T114)="","—",INDEX(Calc!$AF$3:$AF$122,$T114)),"")</f>
        <v/>
      </c>
      <c r="O114" s="12" t="str">
        <f>IF(AND(ISNUMBER($T114),$T114&lt;&gt;""),IF(INDEX(Calc!$AG$3:$AG$122,$T114)="","—",INDEX(Calc!$AG$3:$AG$122,$T114)),"")</f>
        <v/>
      </c>
      <c r="P114" s="13" t="str">
        <f>IF(AND(ISNUMBER($T114),$T114&lt;&gt;""),IF(INDEX(Calc!$AJ$3:$AJ$122,$T114)="","—",INDEX(Calc!$AJ$3:$AJ$122,$T114)),"")</f>
        <v/>
      </c>
      <c r="Q114" s="13" t="str">
        <f>IF(AND(ISNUMBER($T114),$T114&lt;&gt;""),IF(INDEX(Calc!$AK$3:$AK$122,$T114)="","—",INDEX(Calc!$AK$3:$AK$122,$T114)),"")</f>
        <v/>
      </c>
      <c r="R114" s="12" t="str">
        <f>IF(AND(ISNUMBER($T114),$T114&lt;&gt;""),IF(INDEX(Calc!$AL$3:$AL$122,$T114)="","—",INDEX(Calc!$AL$3:$AL$122,$T114)),"")</f>
        <v/>
      </c>
      <c r="T114" t="str">
        <f>IFERROR(MATCH(110,Calc!$AN$3:$AN$122,0),"")</f>
        <v/>
      </c>
    </row>
    <row r="115" spans="1:20" x14ac:dyDescent="0.2">
      <c r="A115" s="16" t="str">
        <f>IF(AND(ISNUMBER($T115),$T115&lt;&gt;""),INDEX(Calc!$S$3:$S$122,$T115),"")</f>
        <v/>
      </c>
      <c r="B115" s="17" t="str">
        <f>IF(AND(ISNUMBER($T115),$T115&lt;&gt;""),IF(INDEX(Calc!$T$3:$T$122,$T115)="","—",INDEX(Calc!$T$3:$T$122,$T115)),"")</f>
        <v/>
      </c>
      <c r="C115" s="17" t="str">
        <f>IF(AND(ISNUMBER($T115),$T115&lt;&gt;""),IF(INDEX(Calc!$U$3:$U$122,$T115)="","—",INDEX(Calc!$U$3:$U$122,$T115)),"")</f>
        <v/>
      </c>
      <c r="D115" s="17" t="str">
        <f>IF(AND(ISNUMBER($T115),$T115&lt;&gt;""),IF(INDEX(Calc!$V$3:$V$122,$T115)="","—",INDEX(Calc!$V$3:$V$122,$T115)),"")</f>
        <v/>
      </c>
      <c r="E115" s="17" t="str">
        <f>IF(AND(ISNUMBER($T115),$T115&lt;&gt;""),IF(INDEX(Calc!$W$3:$W$122,$T115)="","—",INDEX(Calc!$W$3:$W$122,$T115)),"")</f>
        <v/>
      </c>
      <c r="F115" s="17" t="str">
        <f>IF(AND(ISNUMBER($T115),$T115&lt;&gt;""),IF(INDEX(Calc!$X$3:$X$122,$T115)="","—",INDEX(Calc!$X$3:$X$122,$T115)),"")</f>
        <v/>
      </c>
      <c r="G115" s="17" t="str">
        <f>IF(AND(ISNUMBER($T115),$T115&lt;&gt;""),IF(INDEX(Calc!$Y$3:$Y$122,$T115)="","—",INDEX(Calc!$Y$3:$Y$122,$T115)),"")</f>
        <v/>
      </c>
      <c r="H115" s="17" t="str">
        <f>IF(AND(ISNUMBER($T115),$T115&lt;&gt;""),IF(INDEX(Calc!$Z$3:$Z$122,$T115)="","—",INDEX(Calc!$Z$3:$Z$122,$T115)),"")</f>
        <v/>
      </c>
      <c r="I115" s="17" t="str">
        <f>IF(AND(ISNUMBER($T115),$T115&lt;&gt;""),IF(INDEX(Calc!$AA$3:$AA$122,$T115)="","—",INDEX(Calc!$AA$3:$AA$122,$T115)),"")</f>
        <v/>
      </c>
      <c r="J115" s="17" t="str">
        <f>IF(AND(ISNUMBER($T115),$T115&lt;&gt;""),IF(INDEX(Calc!$AB$3:$AB$122,$T115)="","—",INDEX(Calc!$AB$3:$AB$122,$T115)),"")</f>
        <v/>
      </c>
      <c r="K115" s="17" t="str">
        <f>IF(AND(ISNUMBER($T115),$T115&lt;&gt;""),IF(INDEX(Calc!$AC$3:$AC$122,$T115)="","—",INDEX(Calc!$AC$3:$AC$122,$T115)),"")</f>
        <v/>
      </c>
      <c r="L115" s="17" t="str">
        <f>IF(AND(ISNUMBER($T115),$T115&lt;&gt;""),IF(INDEX(Calc!$AD$3:$AD$122,$T115)="","—",INDEX(Calc!$AD$3:$AD$122,$T115)),"")</f>
        <v/>
      </c>
      <c r="M115" s="17" t="str">
        <f>IF(AND(ISNUMBER($T115),$T115&lt;&gt;""),IF(INDEX(Calc!$AE$3:$AE$122,$T115)="","—",INDEX(Calc!$AE$3:$AE$122,$T115)),"")</f>
        <v/>
      </c>
      <c r="N115" s="17" t="str">
        <f>IF(AND(ISNUMBER($T115),$T115&lt;&gt;""),IF(INDEX(Calc!$AF$3:$AF$122,$T115)="","—",INDEX(Calc!$AF$3:$AF$122,$T115)),"")</f>
        <v/>
      </c>
      <c r="O115" s="17" t="str">
        <f>IF(AND(ISNUMBER($T115),$T115&lt;&gt;""),IF(INDEX(Calc!$AG$3:$AG$122,$T115)="","—",INDEX(Calc!$AG$3:$AG$122,$T115)),"")</f>
        <v/>
      </c>
      <c r="P115" s="18" t="str">
        <f>IF(AND(ISNUMBER($T115),$T115&lt;&gt;""),IF(INDEX(Calc!$AJ$3:$AJ$122,$T115)="","—",INDEX(Calc!$AJ$3:$AJ$122,$T115)),"")</f>
        <v/>
      </c>
      <c r="Q115" s="18" t="str">
        <f>IF(AND(ISNUMBER($T115),$T115&lt;&gt;""),IF(INDEX(Calc!$AK$3:$AK$122,$T115)="","—",INDEX(Calc!$AK$3:$AK$122,$T115)),"")</f>
        <v/>
      </c>
      <c r="R115" s="17" t="str">
        <f>IF(AND(ISNUMBER($T115),$T115&lt;&gt;""),IF(INDEX(Calc!$AL$3:$AL$122,$T115)="","—",INDEX(Calc!$AL$3:$AL$122,$T115)),"")</f>
        <v/>
      </c>
      <c r="T115" t="str">
        <f>IFERROR(MATCH(111,Calc!$AN$3:$AN$122,0),"")</f>
        <v/>
      </c>
    </row>
    <row r="116" spans="1:20" x14ac:dyDescent="0.2">
      <c r="A116" s="11" t="str">
        <f>IF(AND(ISNUMBER($T116),$T116&lt;&gt;""),INDEX(Calc!$S$3:$S$122,$T116),"")</f>
        <v/>
      </c>
      <c r="B116" s="12" t="str">
        <f>IF(AND(ISNUMBER($T116),$T116&lt;&gt;""),IF(INDEX(Calc!$T$3:$T$122,$T116)="","—",INDEX(Calc!$T$3:$T$122,$T116)),"")</f>
        <v/>
      </c>
      <c r="C116" s="12" t="str">
        <f>IF(AND(ISNUMBER($T116),$T116&lt;&gt;""),IF(INDEX(Calc!$U$3:$U$122,$T116)="","—",INDEX(Calc!$U$3:$U$122,$T116)),"")</f>
        <v/>
      </c>
      <c r="D116" s="12" t="str">
        <f>IF(AND(ISNUMBER($T116),$T116&lt;&gt;""),IF(INDEX(Calc!$V$3:$V$122,$T116)="","—",INDEX(Calc!$V$3:$V$122,$T116)),"")</f>
        <v/>
      </c>
      <c r="E116" s="12" t="str">
        <f>IF(AND(ISNUMBER($T116),$T116&lt;&gt;""),IF(INDEX(Calc!$W$3:$W$122,$T116)="","—",INDEX(Calc!$W$3:$W$122,$T116)),"")</f>
        <v/>
      </c>
      <c r="F116" s="12" t="str">
        <f>IF(AND(ISNUMBER($T116),$T116&lt;&gt;""),IF(INDEX(Calc!$X$3:$X$122,$T116)="","—",INDEX(Calc!$X$3:$X$122,$T116)),"")</f>
        <v/>
      </c>
      <c r="G116" s="12" t="str">
        <f>IF(AND(ISNUMBER($T116),$T116&lt;&gt;""),IF(INDEX(Calc!$Y$3:$Y$122,$T116)="","—",INDEX(Calc!$Y$3:$Y$122,$T116)),"")</f>
        <v/>
      </c>
      <c r="H116" s="12" t="str">
        <f>IF(AND(ISNUMBER($T116),$T116&lt;&gt;""),IF(INDEX(Calc!$Z$3:$Z$122,$T116)="","—",INDEX(Calc!$Z$3:$Z$122,$T116)),"")</f>
        <v/>
      </c>
      <c r="I116" s="12" t="str">
        <f>IF(AND(ISNUMBER($T116),$T116&lt;&gt;""),IF(INDEX(Calc!$AA$3:$AA$122,$T116)="","—",INDEX(Calc!$AA$3:$AA$122,$T116)),"")</f>
        <v/>
      </c>
      <c r="J116" s="12" t="str">
        <f>IF(AND(ISNUMBER($T116),$T116&lt;&gt;""),IF(INDEX(Calc!$AB$3:$AB$122,$T116)="","—",INDEX(Calc!$AB$3:$AB$122,$T116)),"")</f>
        <v/>
      </c>
      <c r="K116" s="12" t="str">
        <f>IF(AND(ISNUMBER($T116),$T116&lt;&gt;""),IF(INDEX(Calc!$AC$3:$AC$122,$T116)="","—",INDEX(Calc!$AC$3:$AC$122,$T116)),"")</f>
        <v/>
      </c>
      <c r="L116" s="12" t="str">
        <f>IF(AND(ISNUMBER($T116),$T116&lt;&gt;""),IF(INDEX(Calc!$AD$3:$AD$122,$T116)="","—",INDEX(Calc!$AD$3:$AD$122,$T116)),"")</f>
        <v/>
      </c>
      <c r="M116" s="12" t="str">
        <f>IF(AND(ISNUMBER($T116),$T116&lt;&gt;""),IF(INDEX(Calc!$AE$3:$AE$122,$T116)="","—",INDEX(Calc!$AE$3:$AE$122,$T116)),"")</f>
        <v/>
      </c>
      <c r="N116" s="12" t="str">
        <f>IF(AND(ISNUMBER($T116),$T116&lt;&gt;""),IF(INDEX(Calc!$AF$3:$AF$122,$T116)="","—",INDEX(Calc!$AF$3:$AF$122,$T116)),"")</f>
        <v/>
      </c>
      <c r="O116" s="12" t="str">
        <f>IF(AND(ISNUMBER($T116),$T116&lt;&gt;""),IF(INDEX(Calc!$AG$3:$AG$122,$T116)="","—",INDEX(Calc!$AG$3:$AG$122,$T116)),"")</f>
        <v/>
      </c>
      <c r="P116" s="13" t="str">
        <f>IF(AND(ISNUMBER($T116),$T116&lt;&gt;""),IF(INDEX(Calc!$AJ$3:$AJ$122,$T116)="","—",INDEX(Calc!$AJ$3:$AJ$122,$T116)),"")</f>
        <v/>
      </c>
      <c r="Q116" s="13" t="str">
        <f>IF(AND(ISNUMBER($T116),$T116&lt;&gt;""),IF(INDEX(Calc!$AK$3:$AK$122,$T116)="","—",INDEX(Calc!$AK$3:$AK$122,$T116)),"")</f>
        <v/>
      </c>
      <c r="R116" s="12" t="str">
        <f>IF(AND(ISNUMBER($T116),$T116&lt;&gt;""),IF(INDEX(Calc!$AL$3:$AL$122,$T116)="","—",INDEX(Calc!$AL$3:$AL$122,$T116)),"")</f>
        <v/>
      </c>
      <c r="T116" t="str">
        <f>IFERROR(MATCH(112,Calc!$AN$3:$AN$122,0),"")</f>
        <v/>
      </c>
    </row>
    <row r="117" spans="1:20" x14ac:dyDescent="0.2">
      <c r="A117" s="16" t="str">
        <f>IF(AND(ISNUMBER($T117),$T117&lt;&gt;""),INDEX(Calc!$S$3:$S$122,$T117),"")</f>
        <v/>
      </c>
      <c r="B117" s="17" t="str">
        <f>IF(AND(ISNUMBER($T117),$T117&lt;&gt;""),IF(INDEX(Calc!$T$3:$T$122,$T117)="","—",INDEX(Calc!$T$3:$T$122,$T117)),"")</f>
        <v/>
      </c>
      <c r="C117" s="17" t="str">
        <f>IF(AND(ISNUMBER($T117),$T117&lt;&gt;""),IF(INDEX(Calc!$U$3:$U$122,$T117)="","—",INDEX(Calc!$U$3:$U$122,$T117)),"")</f>
        <v/>
      </c>
      <c r="D117" s="17" t="str">
        <f>IF(AND(ISNUMBER($T117),$T117&lt;&gt;""),IF(INDEX(Calc!$V$3:$V$122,$T117)="","—",INDEX(Calc!$V$3:$V$122,$T117)),"")</f>
        <v/>
      </c>
      <c r="E117" s="17" t="str">
        <f>IF(AND(ISNUMBER($T117),$T117&lt;&gt;""),IF(INDEX(Calc!$W$3:$W$122,$T117)="","—",INDEX(Calc!$W$3:$W$122,$T117)),"")</f>
        <v/>
      </c>
      <c r="F117" s="17" t="str">
        <f>IF(AND(ISNUMBER($T117),$T117&lt;&gt;""),IF(INDEX(Calc!$X$3:$X$122,$T117)="","—",INDEX(Calc!$X$3:$X$122,$T117)),"")</f>
        <v/>
      </c>
      <c r="G117" s="17" t="str">
        <f>IF(AND(ISNUMBER($T117),$T117&lt;&gt;""),IF(INDEX(Calc!$Y$3:$Y$122,$T117)="","—",INDEX(Calc!$Y$3:$Y$122,$T117)),"")</f>
        <v/>
      </c>
      <c r="H117" s="17" t="str">
        <f>IF(AND(ISNUMBER($T117),$T117&lt;&gt;""),IF(INDEX(Calc!$Z$3:$Z$122,$T117)="","—",INDEX(Calc!$Z$3:$Z$122,$T117)),"")</f>
        <v/>
      </c>
      <c r="I117" s="17" t="str">
        <f>IF(AND(ISNUMBER($T117),$T117&lt;&gt;""),IF(INDEX(Calc!$AA$3:$AA$122,$T117)="","—",INDEX(Calc!$AA$3:$AA$122,$T117)),"")</f>
        <v/>
      </c>
      <c r="J117" s="17" t="str">
        <f>IF(AND(ISNUMBER($T117),$T117&lt;&gt;""),IF(INDEX(Calc!$AB$3:$AB$122,$T117)="","—",INDEX(Calc!$AB$3:$AB$122,$T117)),"")</f>
        <v/>
      </c>
      <c r="K117" s="17" t="str">
        <f>IF(AND(ISNUMBER($T117),$T117&lt;&gt;""),IF(INDEX(Calc!$AC$3:$AC$122,$T117)="","—",INDEX(Calc!$AC$3:$AC$122,$T117)),"")</f>
        <v/>
      </c>
      <c r="L117" s="17" t="str">
        <f>IF(AND(ISNUMBER($T117),$T117&lt;&gt;""),IF(INDEX(Calc!$AD$3:$AD$122,$T117)="","—",INDEX(Calc!$AD$3:$AD$122,$T117)),"")</f>
        <v/>
      </c>
      <c r="M117" s="17" t="str">
        <f>IF(AND(ISNUMBER($T117),$T117&lt;&gt;""),IF(INDEX(Calc!$AE$3:$AE$122,$T117)="","—",INDEX(Calc!$AE$3:$AE$122,$T117)),"")</f>
        <v/>
      </c>
      <c r="N117" s="17" t="str">
        <f>IF(AND(ISNUMBER($T117),$T117&lt;&gt;""),IF(INDEX(Calc!$AF$3:$AF$122,$T117)="","—",INDEX(Calc!$AF$3:$AF$122,$T117)),"")</f>
        <v/>
      </c>
      <c r="O117" s="17" t="str">
        <f>IF(AND(ISNUMBER($T117),$T117&lt;&gt;""),IF(INDEX(Calc!$AG$3:$AG$122,$T117)="","—",INDEX(Calc!$AG$3:$AG$122,$T117)),"")</f>
        <v/>
      </c>
      <c r="P117" s="18" t="str">
        <f>IF(AND(ISNUMBER($T117),$T117&lt;&gt;""),IF(INDEX(Calc!$AJ$3:$AJ$122,$T117)="","—",INDEX(Calc!$AJ$3:$AJ$122,$T117)),"")</f>
        <v/>
      </c>
      <c r="Q117" s="18" t="str">
        <f>IF(AND(ISNUMBER($T117),$T117&lt;&gt;""),IF(INDEX(Calc!$AK$3:$AK$122,$T117)="","—",INDEX(Calc!$AK$3:$AK$122,$T117)),"")</f>
        <v/>
      </c>
      <c r="R117" s="17" t="str">
        <f>IF(AND(ISNUMBER($T117),$T117&lt;&gt;""),IF(INDEX(Calc!$AL$3:$AL$122,$T117)="","—",INDEX(Calc!$AL$3:$AL$122,$T117)),"")</f>
        <v/>
      </c>
      <c r="T117" t="str">
        <f>IFERROR(MATCH(113,Calc!$AN$3:$AN$122,0),"")</f>
        <v/>
      </c>
    </row>
    <row r="118" spans="1:20" x14ac:dyDescent="0.2">
      <c r="A118" s="11" t="str">
        <f>IF(AND(ISNUMBER($T118),$T118&lt;&gt;""),INDEX(Calc!$S$3:$S$122,$T118),"")</f>
        <v/>
      </c>
      <c r="B118" s="12" t="str">
        <f>IF(AND(ISNUMBER($T118),$T118&lt;&gt;""),IF(INDEX(Calc!$T$3:$T$122,$T118)="","—",INDEX(Calc!$T$3:$T$122,$T118)),"")</f>
        <v/>
      </c>
      <c r="C118" s="12" t="str">
        <f>IF(AND(ISNUMBER($T118),$T118&lt;&gt;""),IF(INDEX(Calc!$U$3:$U$122,$T118)="","—",INDEX(Calc!$U$3:$U$122,$T118)),"")</f>
        <v/>
      </c>
      <c r="D118" s="12" t="str">
        <f>IF(AND(ISNUMBER($T118),$T118&lt;&gt;""),IF(INDEX(Calc!$V$3:$V$122,$T118)="","—",INDEX(Calc!$V$3:$V$122,$T118)),"")</f>
        <v/>
      </c>
      <c r="E118" s="12" t="str">
        <f>IF(AND(ISNUMBER($T118),$T118&lt;&gt;""),IF(INDEX(Calc!$W$3:$W$122,$T118)="","—",INDEX(Calc!$W$3:$W$122,$T118)),"")</f>
        <v/>
      </c>
      <c r="F118" s="12" t="str">
        <f>IF(AND(ISNUMBER($T118),$T118&lt;&gt;""),IF(INDEX(Calc!$X$3:$X$122,$T118)="","—",INDEX(Calc!$X$3:$X$122,$T118)),"")</f>
        <v/>
      </c>
      <c r="G118" s="12" t="str">
        <f>IF(AND(ISNUMBER($T118),$T118&lt;&gt;""),IF(INDEX(Calc!$Y$3:$Y$122,$T118)="","—",INDEX(Calc!$Y$3:$Y$122,$T118)),"")</f>
        <v/>
      </c>
      <c r="H118" s="12" t="str">
        <f>IF(AND(ISNUMBER($T118),$T118&lt;&gt;""),IF(INDEX(Calc!$Z$3:$Z$122,$T118)="","—",INDEX(Calc!$Z$3:$Z$122,$T118)),"")</f>
        <v/>
      </c>
      <c r="I118" s="12" t="str">
        <f>IF(AND(ISNUMBER($T118),$T118&lt;&gt;""),IF(INDEX(Calc!$AA$3:$AA$122,$T118)="","—",INDEX(Calc!$AA$3:$AA$122,$T118)),"")</f>
        <v/>
      </c>
      <c r="J118" s="12" t="str">
        <f>IF(AND(ISNUMBER($T118),$T118&lt;&gt;""),IF(INDEX(Calc!$AB$3:$AB$122,$T118)="","—",INDEX(Calc!$AB$3:$AB$122,$T118)),"")</f>
        <v/>
      </c>
      <c r="K118" s="12" t="str">
        <f>IF(AND(ISNUMBER($T118),$T118&lt;&gt;""),IF(INDEX(Calc!$AC$3:$AC$122,$T118)="","—",INDEX(Calc!$AC$3:$AC$122,$T118)),"")</f>
        <v/>
      </c>
      <c r="L118" s="12" t="str">
        <f>IF(AND(ISNUMBER($T118),$T118&lt;&gt;""),IF(INDEX(Calc!$AD$3:$AD$122,$T118)="","—",INDEX(Calc!$AD$3:$AD$122,$T118)),"")</f>
        <v/>
      </c>
      <c r="M118" s="12" t="str">
        <f>IF(AND(ISNUMBER($T118),$T118&lt;&gt;""),IF(INDEX(Calc!$AE$3:$AE$122,$T118)="","—",INDEX(Calc!$AE$3:$AE$122,$T118)),"")</f>
        <v/>
      </c>
      <c r="N118" s="12" t="str">
        <f>IF(AND(ISNUMBER($T118),$T118&lt;&gt;""),IF(INDEX(Calc!$AF$3:$AF$122,$T118)="","—",INDEX(Calc!$AF$3:$AF$122,$T118)),"")</f>
        <v/>
      </c>
      <c r="O118" s="12" t="str">
        <f>IF(AND(ISNUMBER($T118),$T118&lt;&gt;""),IF(INDEX(Calc!$AG$3:$AG$122,$T118)="","—",INDEX(Calc!$AG$3:$AG$122,$T118)),"")</f>
        <v/>
      </c>
      <c r="P118" s="13" t="str">
        <f>IF(AND(ISNUMBER($T118),$T118&lt;&gt;""),IF(INDEX(Calc!$AJ$3:$AJ$122,$T118)="","—",INDEX(Calc!$AJ$3:$AJ$122,$T118)),"")</f>
        <v/>
      </c>
      <c r="Q118" s="13" t="str">
        <f>IF(AND(ISNUMBER($T118),$T118&lt;&gt;""),IF(INDEX(Calc!$AK$3:$AK$122,$T118)="","—",INDEX(Calc!$AK$3:$AK$122,$T118)),"")</f>
        <v/>
      </c>
      <c r="R118" s="12" t="str">
        <f>IF(AND(ISNUMBER($T118),$T118&lt;&gt;""),IF(INDEX(Calc!$AL$3:$AL$122,$T118)="","—",INDEX(Calc!$AL$3:$AL$122,$T118)),"")</f>
        <v/>
      </c>
      <c r="T118" t="str">
        <f>IFERROR(MATCH(114,Calc!$AN$3:$AN$122,0),"")</f>
        <v/>
      </c>
    </row>
    <row r="119" spans="1:20" x14ac:dyDescent="0.2">
      <c r="A119" s="16" t="str">
        <f>IF(AND(ISNUMBER($T119),$T119&lt;&gt;""),INDEX(Calc!$S$3:$S$122,$T119),"")</f>
        <v/>
      </c>
      <c r="B119" s="17" t="str">
        <f>IF(AND(ISNUMBER($T119),$T119&lt;&gt;""),IF(INDEX(Calc!$T$3:$T$122,$T119)="","—",INDEX(Calc!$T$3:$T$122,$T119)),"")</f>
        <v/>
      </c>
      <c r="C119" s="17" t="str">
        <f>IF(AND(ISNUMBER($T119),$T119&lt;&gt;""),IF(INDEX(Calc!$U$3:$U$122,$T119)="","—",INDEX(Calc!$U$3:$U$122,$T119)),"")</f>
        <v/>
      </c>
      <c r="D119" s="17" t="str">
        <f>IF(AND(ISNUMBER($T119),$T119&lt;&gt;""),IF(INDEX(Calc!$V$3:$V$122,$T119)="","—",INDEX(Calc!$V$3:$V$122,$T119)),"")</f>
        <v/>
      </c>
      <c r="E119" s="17" t="str">
        <f>IF(AND(ISNUMBER($T119),$T119&lt;&gt;""),IF(INDEX(Calc!$W$3:$W$122,$T119)="","—",INDEX(Calc!$W$3:$W$122,$T119)),"")</f>
        <v/>
      </c>
      <c r="F119" s="17" t="str">
        <f>IF(AND(ISNUMBER($T119),$T119&lt;&gt;""),IF(INDEX(Calc!$X$3:$X$122,$T119)="","—",INDEX(Calc!$X$3:$X$122,$T119)),"")</f>
        <v/>
      </c>
      <c r="G119" s="17" t="str">
        <f>IF(AND(ISNUMBER($T119),$T119&lt;&gt;""),IF(INDEX(Calc!$Y$3:$Y$122,$T119)="","—",INDEX(Calc!$Y$3:$Y$122,$T119)),"")</f>
        <v/>
      </c>
      <c r="H119" s="17" t="str">
        <f>IF(AND(ISNUMBER($T119),$T119&lt;&gt;""),IF(INDEX(Calc!$Z$3:$Z$122,$T119)="","—",INDEX(Calc!$Z$3:$Z$122,$T119)),"")</f>
        <v/>
      </c>
      <c r="I119" s="17" t="str">
        <f>IF(AND(ISNUMBER($T119),$T119&lt;&gt;""),IF(INDEX(Calc!$AA$3:$AA$122,$T119)="","—",INDEX(Calc!$AA$3:$AA$122,$T119)),"")</f>
        <v/>
      </c>
      <c r="J119" s="17" t="str">
        <f>IF(AND(ISNUMBER($T119),$T119&lt;&gt;""),IF(INDEX(Calc!$AB$3:$AB$122,$T119)="","—",INDEX(Calc!$AB$3:$AB$122,$T119)),"")</f>
        <v/>
      </c>
      <c r="K119" s="17" t="str">
        <f>IF(AND(ISNUMBER($T119),$T119&lt;&gt;""),IF(INDEX(Calc!$AC$3:$AC$122,$T119)="","—",INDEX(Calc!$AC$3:$AC$122,$T119)),"")</f>
        <v/>
      </c>
      <c r="L119" s="17" t="str">
        <f>IF(AND(ISNUMBER($T119),$T119&lt;&gt;""),IF(INDEX(Calc!$AD$3:$AD$122,$T119)="","—",INDEX(Calc!$AD$3:$AD$122,$T119)),"")</f>
        <v/>
      </c>
      <c r="M119" s="17" t="str">
        <f>IF(AND(ISNUMBER($T119),$T119&lt;&gt;""),IF(INDEX(Calc!$AE$3:$AE$122,$T119)="","—",INDEX(Calc!$AE$3:$AE$122,$T119)),"")</f>
        <v/>
      </c>
      <c r="N119" s="17" t="str">
        <f>IF(AND(ISNUMBER($T119),$T119&lt;&gt;""),IF(INDEX(Calc!$AF$3:$AF$122,$T119)="","—",INDEX(Calc!$AF$3:$AF$122,$T119)),"")</f>
        <v/>
      </c>
      <c r="O119" s="17" t="str">
        <f>IF(AND(ISNUMBER($T119),$T119&lt;&gt;""),IF(INDEX(Calc!$AG$3:$AG$122,$T119)="","—",INDEX(Calc!$AG$3:$AG$122,$T119)),"")</f>
        <v/>
      </c>
      <c r="P119" s="18" t="str">
        <f>IF(AND(ISNUMBER($T119),$T119&lt;&gt;""),IF(INDEX(Calc!$AJ$3:$AJ$122,$T119)="","—",INDEX(Calc!$AJ$3:$AJ$122,$T119)),"")</f>
        <v/>
      </c>
      <c r="Q119" s="18" t="str">
        <f>IF(AND(ISNUMBER($T119),$T119&lt;&gt;""),IF(INDEX(Calc!$AK$3:$AK$122,$T119)="","—",INDEX(Calc!$AK$3:$AK$122,$T119)),"")</f>
        <v/>
      </c>
      <c r="R119" s="17" t="str">
        <f>IF(AND(ISNUMBER($T119),$T119&lt;&gt;""),IF(INDEX(Calc!$AL$3:$AL$122,$T119)="","—",INDEX(Calc!$AL$3:$AL$122,$T119)),"")</f>
        <v/>
      </c>
      <c r="T119" t="str">
        <f>IFERROR(MATCH(115,Calc!$AN$3:$AN$122,0),"")</f>
        <v/>
      </c>
    </row>
    <row r="120" spans="1:20" x14ac:dyDescent="0.2">
      <c r="A120" s="11" t="str">
        <f>IF(AND(ISNUMBER($T120),$T120&lt;&gt;""),INDEX(Calc!$S$3:$S$122,$T120),"")</f>
        <v/>
      </c>
      <c r="B120" s="12" t="str">
        <f>IF(AND(ISNUMBER($T120),$T120&lt;&gt;""),IF(INDEX(Calc!$T$3:$T$122,$T120)="","—",INDEX(Calc!$T$3:$T$122,$T120)),"")</f>
        <v/>
      </c>
      <c r="C120" s="12" t="str">
        <f>IF(AND(ISNUMBER($T120),$T120&lt;&gt;""),IF(INDEX(Calc!$U$3:$U$122,$T120)="","—",INDEX(Calc!$U$3:$U$122,$T120)),"")</f>
        <v/>
      </c>
      <c r="D120" s="12" t="str">
        <f>IF(AND(ISNUMBER($T120),$T120&lt;&gt;""),IF(INDEX(Calc!$V$3:$V$122,$T120)="","—",INDEX(Calc!$V$3:$V$122,$T120)),"")</f>
        <v/>
      </c>
      <c r="E120" s="12" t="str">
        <f>IF(AND(ISNUMBER($T120),$T120&lt;&gt;""),IF(INDEX(Calc!$W$3:$W$122,$T120)="","—",INDEX(Calc!$W$3:$W$122,$T120)),"")</f>
        <v/>
      </c>
      <c r="F120" s="12" t="str">
        <f>IF(AND(ISNUMBER($T120),$T120&lt;&gt;""),IF(INDEX(Calc!$X$3:$X$122,$T120)="","—",INDEX(Calc!$X$3:$X$122,$T120)),"")</f>
        <v/>
      </c>
      <c r="G120" s="12" t="str">
        <f>IF(AND(ISNUMBER($T120),$T120&lt;&gt;""),IF(INDEX(Calc!$Y$3:$Y$122,$T120)="","—",INDEX(Calc!$Y$3:$Y$122,$T120)),"")</f>
        <v/>
      </c>
      <c r="H120" s="12" t="str">
        <f>IF(AND(ISNUMBER($T120),$T120&lt;&gt;""),IF(INDEX(Calc!$Z$3:$Z$122,$T120)="","—",INDEX(Calc!$Z$3:$Z$122,$T120)),"")</f>
        <v/>
      </c>
      <c r="I120" s="12" t="str">
        <f>IF(AND(ISNUMBER($T120),$T120&lt;&gt;""),IF(INDEX(Calc!$AA$3:$AA$122,$T120)="","—",INDEX(Calc!$AA$3:$AA$122,$T120)),"")</f>
        <v/>
      </c>
      <c r="J120" s="12" t="str">
        <f>IF(AND(ISNUMBER($T120),$T120&lt;&gt;""),IF(INDEX(Calc!$AB$3:$AB$122,$T120)="","—",INDEX(Calc!$AB$3:$AB$122,$T120)),"")</f>
        <v/>
      </c>
      <c r="K120" s="12" t="str">
        <f>IF(AND(ISNUMBER($T120),$T120&lt;&gt;""),IF(INDEX(Calc!$AC$3:$AC$122,$T120)="","—",INDEX(Calc!$AC$3:$AC$122,$T120)),"")</f>
        <v/>
      </c>
      <c r="L120" s="12" t="str">
        <f>IF(AND(ISNUMBER($T120),$T120&lt;&gt;""),IF(INDEX(Calc!$AD$3:$AD$122,$T120)="","—",INDEX(Calc!$AD$3:$AD$122,$T120)),"")</f>
        <v/>
      </c>
      <c r="M120" s="12" t="str">
        <f>IF(AND(ISNUMBER($T120),$T120&lt;&gt;""),IF(INDEX(Calc!$AE$3:$AE$122,$T120)="","—",INDEX(Calc!$AE$3:$AE$122,$T120)),"")</f>
        <v/>
      </c>
      <c r="N120" s="12" t="str">
        <f>IF(AND(ISNUMBER($T120),$T120&lt;&gt;""),IF(INDEX(Calc!$AF$3:$AF$122,$T120)="","—",INDEX(Calc!$AF$3:$AF$122,$T120)),"")</f>
        <v/>
      </c>
      <c r="O120" s="12" t="str">
        <f>IF(AND(ISNUMBER($T120),$T120&lt;&gt;""),IF(INDEX(Calc!$AG$3:$AG$122,$T120)="","—",INDEX(Calc!$AG$3:$AG$122,$T120)),"")</f>
        <v/>
      </c>
      <c r="P120" s="13" t="str">
        <f>IF(AND(ISNUMBER($T120),$T120&lt;&gt;""),IF(INDEX(Calc!$AJ$3:$AJ$122,$T120)="","—",INDEX(Calc!$AJ$3:$AJ$122,$T120)),"")</f>
        <v/>
      </c>
      <c r="Q120" s="13" t="str">
        <f>IF(AND(ISNUMBER($T120),$T120&lt;&gt;""),IF(INDEX(Calc!$AK$3:$AK$122,$T120)="","—",INDEX(Calc!$AK$3:$AK$122,$T120)),"")</f>
        <v/>
      </c>
      <c r="R120" s="12" t="str">
        <f>IF(AND(ISNUMBER($T120),$T120&lt;&gt;""),IF(INDEX(Calc!$AL$3:$AL$122,$T120)="","—",INDEX(Calc!$AL$3:$AL$122,$T120)),"")</f>
        <v/>
      </c>
      <c r="T120" t="str">
        <f>IFERROR(MATCH(116,Calc!$AN$3:$AN$122,0),"")</f>
        <v/>
      </c>
    </row>
    <row r="121" spans="1:20" x14ac:dyDescent="0.2">
      <c r="A121" s="16" t="str">
        <f>IF(AND(ISNUMBER($T121),$T121&lt;&gt;""),INDEX(Calc!$S$3:$S$122,$T121),"")</f>
        <v/>
      </c>
      <c r="B121" s="17" t="str">
        <f>IF(AND(ISNUMBER($T121),$T121&lt;&gt;""),IF(INDEX(Calc!$T$3:$T$122,$T121)="","—",INDEX(Calc!$T$3:$T$122,$T121)),"")</f>
        <v/>
      </c>
      <c r="C121" s="17" t="str">
        <f>IF(AND(ISNUMBER($T121),$T121&lt;&gt;""),IF(INDEX(Calc!$U$3:$U$122,$T121)="","—",INDEX(Calc!$U$3:$U$122,$T121)),"")</f>
        <v/>
      </c>
      <c r="D121" s="17" t="str">
        <f>IF(AND(ISNUMBER($T121),$T121&lt;&gt;""),IF(INDEX(Calc!$V$3:$V$122,$T121)="","—",INDEX(Calc!$V$3:$V$122,$T121)),"")</f>
        <v/>
      </c>
      <c r="E121" s="17" t="str">
        <f>IF(AND(ISNUMBER($T121),$T121&lt;&gt;""),IF(INDEX(Calc!$W$3:$W$122,$T121)="","—",INDEX(Calc!$W$3:$W$122,$T121)),"")</f>
        <v/>
      </c>
      <c r="F121" s="17" t="str">
        <f>IF(AND(ISNUMBER($T121),$T121&lt;&gt;""),IF(INDEX(Calc!$X$3:$X$122,$T121)="","—",INDEX(Calc!$X$3:$X$122,$T121)),"")</f>
        <v/>
      </c>
      <c r="G121" s="17" t="str">
        <f>IF(AND(ISNUMBER($T121),$T121&lt;&gt;""),IF(INDEX(Calc!$Y$3:$Y$122,$T121)="","—",INDEX(Calc!$Y$3:$Y$122,$T121)),"")</f>
        <v/>
      </c>
      <c r="H121" s="17" t="str">
        <f>IF(AND(ISNUMBER($T121),$T121&lt;&gt;""),IF(INDEX(Calc!$Z$3:$Z$122,$T121)="","—",INDEX(Calc!$Z$3:$Z$122,$T121)),"")</f>
        <v/>
      </c>
      <c r="I121" s="17" t="str">
        <f>IF(AND(ISNUMBER($T121),$T121&lt;&gt;""),IF(INDEX(Calc!$AA$3:$AA$122,$T121)="","—",INDEX(Calc!$AA$3:$AA$122,$T121)),"")</f>
        <v/>
      </c>
      <c r="J121" s="17" t="str">
        <f>IF(AND(ISNUMBER($T121),$T121&lt;&gt;""),IF(INDEX(Calc!$AB$3:$AB$122,$T121)="","—",INDEX(Calc!$AB$3:$AB$122,$T121)),"")</f>
        <v/>
      </c>
      <c r="K121" s="17" t="str">
        <f>IF(AND(ISNUMBER($T121),$T121&lt;&gt;""),IF(INDEX(Calc!$AC$3:$AC$122,$T121)="","—",INDEX(Calc!$AC$3:$AC$122,$T121)),"")</f>
        <v/>
      </c>
      <c r="L121" s="17" t="str">
        <f>IF(AND(ISNUMBER($T121),$T121&lt;&gt;""),IF(INDEX(Calc!$AD$3:$AD$122,$T121)="","—",INDEX(Calc!$AD$3:$AD$122,$T121)),"")</f>
        <v/>
      </c>
      <c r="M121" s="17" t="str">
        <f>IF(AND(ISNUMBER($T121),$T121&lt;&gt;""),IF(INDEX(Calc!$AE$3:$AE$122,$T121)="","—",INDEX(Calc!$AE$3:$AE$122,$T121)),"")</f>
        <v/>
      </c>
      <c r="N121" s="17" t="str">
        <f>IF(AND(ISNUMBER($T121),$T121&lt;&gt;""),IF(INDEX(Calc!$AF$3:$AF$122,$T121)="","—",INDEX(Calc!$AF$3:$AF$122,$T121)),"")</f>
        <v/>
      </c>
      <c r="O121" s="17" t="str">
        <f>IF(AND(ISNUMBER($T121),$T121&lt;&gt;""),IF(INDEX(Calc!$AG$3:$AG$122,$T121)="","—",INDEX(Calc!$AG$3:$AG$122,$T121)),"")</f>
        <v/>
      </c>
      <c r="P121" s="18" t="str">
        <f>IF(AND(ISNUMBER($T121),$T121&lt;&gt;""),IF(INDEX(Calc!$AJ$3:$AJ$122,$T121)="","—",INDEX(Calc!$AJ$3:$AJ$122,$T121)),"")</f>
        <v/>
      </c>
      <c r="Q121" s="18" t="str">
        <f>IF(AND(ISNUMBER($T121),$T121&lt;&gt;""),IF(INDEX(Calc!$AK$3:$AK$122,$T121)="","—",INDEX(Calc!$AK$3:$AK$122,$T121)),"")</f>
        <v/>
      </c>
      <c r="R121" s="17" t="str">
        <f>IF(AND(ISNUMBER($T121),$T121&lt;&gt;""),IF(INDEX(Calc!$AL$3:$AL$122,$T121)="","—",INDEX(Calc!$AL$3:$AL$122,$T121)),"")</f>
        <v/>
      </c>
      <c r="T121" t="str">
        <f>IFERROR(MATCH(117,Calc!$AN$3:$AN$122,0),"")</f>
        <v/>
      </c>
    </row>
    <row r="122" spans="1:20" x14ac:dyDescent="0.2">
      <c r="A122" s="11" t="str">
        <f>IF(AND(ISNUMBER($T122),$T122&lt;&gt;""),INDEX(Calc!$S$3:$S$122,$T122),"")</f>
        <v/>
      </c>
      <c r="B122" s="12" t="str">
        <f>IF(AND(ISNUMBER($T122),$T122&lt;&gt;""),IF(INDEX(Calc!$T$3:$T$122,$T122)="","—",INDEX(Calc!$T$3:$T$122,$T122)),"")</f>
        <v/>
      </c>
      <c r="C122" s="12" t="str">
        <f>IF(AND(ISNUMBER($T122),$T122&lt;&gt;""),IF(INDEX(Calc!$U$3:$U$122,$T122)="","—",INDEX(Calc!$U$3:$U$122,$T122)),"")</f>
        <v/>
      </c>
      <c r="D122" s="12" t="str">
        <f>IF(AND(ISNUMBER($T122),$T122&lt;&gt;""),IF(INDEX(Calc!$V$3:$V$122,$T122)="","—",INDEX(Calc!$V$3:$V$122,$T122)),"")</f>
        <v/>
      </c>
      <c r="E122" s="12" t="str">
        <f>IF(AND(ISNUMBER($T122),$T122&lt;&gt;""),IF(INDEX(Calc!$W$3:$W$122,$T122)="","—",INDEX(Calc!$W$3:$W$122,$T122)),"")</f>
        <v/>
      </c>
      <c r="F122" s="12" t="str">
        <f>IF(AND(ISNUMBER($T122),$T122&lt;&gt;""),IF(INDEX(Calc!$X$3:$X$122,$T122)="","—",INDEX(Calc!$X$3:$X$122,$T122)),"")</f>
        <v/>
      </c>
      <c r="G122" s="12" t="str">
        <f>IF(AND(ISNUMBER($T122),$T122&lt;&gt;""),IF(INDEX(Calc!$Y$3:$Y$122,$T122)="","—",INDEX(Calc!$Y$3:$Y$122,$T122)),"")</f>
        <v/>
      </c>
      <c r="H122" s="12" t="str">
        <f>IF(AND(ISNUMBER($T122),$T122&lt;&gt;""),IF(INDEX(Calc!$Z$3:$Z$122,$T122)="","—",INDEX(Calc!$Z$3:$Z$122,$T122)),"")</f>
        <v/>
      </c>
      <c r="I122" s="12" t="str">
        <f>IF(AND(ISNUMBER($T122),$T122&lt;&gt;""),IF(INDEX(Calc!$AA$3:$AA$122,$T122)="","—",INDEX(Calc!$AA$3:$AA$122,$T122)),"")</f>
        <v/>
      </c>
      <c r="J122" s="12" t="str">
        <f>IF(AND(ISNUMBER($T122),$T122&lt;&gt;""),IF(INDEX(Calc!$AB$3:$AB$122,$T122)="","—",INDEX(Calc!$AB$3:$AB$122,$T122)),"")</f>
        <v/>
      </c>
      <c r="K122" s="12" t="str">
        <f>IF(AND(ISNUMBER($T122),$T122&lt;&gt;""),IF(INDEX(Calc!$AC$3:$AC$122,$T122)="","—",INDEX(Calc!$AC$3:$AC$122,$T122)),"")</f>
        <v/>
      </c>
      <c r="L122" s="12" t="str">
        <f>IF(AND(ISNUMBER($T122),$T122&lt;&gt;""),IF(INDEX(Calc!$AD$3:$AD$122,$T122)="","—",INDEX(Calc!$AD$3:$AD$122,$T122)),"")</f>
        <v/>
      </c>
      <c r="M122" s="12" t="str">
        <f>IF(AND(ISNUMBER($T122),$T122&lt;&gt;""),IF(INDEX(Calc!$AE$3:$AE$122,$T122)="","—",INDEX(Calc!$AE$3:$AE$122,$T122)),"")</f>
        <v/>
      </c>
      <c r="N122" s="12" t="str">
        <f>IF(AND(ISNUMBER($T122),$T122&lt;&gt;""),IF(INDEX(Calc!$AF$3:$AF$122,$T122)="","—",INDEX(Calc!$AF$3:$AF$122,$T122)),"")</f>
        <v/>
      </c>
      <c r="O122" s="12" t="str">
        <f>IF(AND(ISNUMBER($T122),$T122&lt;&gt;""),IF(INDEX(Calc!$AG$3:$AG$122,$T122)="","—",INDEX(Calc!$AG$3:$AG$122,$T122)),"")</f>
        <v/>
      </c>
      <c r="P122" s="13" t="str">
        <f>IF(AND(ISNUMBER($T122),$T122&lt;&gt;""),IF(INDEX(Calc!$AJ$3:$AJ$122,$T122)="","—",INDEX(Calc!$AJ$3:$AJ$122,$T122)),"")</f>
        <v/>
      </c>
      <c r="Q122" s="13" t="str">
        <f>IF(AND(ISNUMBER($T122),$T122&lt;&gt;""),IF(INDEX(Calc!$AK$3:$AK$122,$T122)="","—",INDEX(Calc!$AK$3:$AK$122,$T122)),"")</f>
        <v/>
      </c>
      <c r="R122" s="12" t="str">
        <f>IF(AND(ISNUMBER($T122),$T122&lt;&gt;""),IF(INDEX(Calc!$AL$3:$AL$122,$T122)="","—",INDEX(Calc!$AL$3:$AL$122,$T122)),"")</f>
        <v/>
      </c>
      <c r="T122" t="str">
        <f>IFERROR(MATCH(118,Calc!$AN$3:$AN$122,0),"")</f>
        <v/>
      </c>
    </row>
    <row r="123" spans="1:20" x14ac:dyDescent="0.2">
      <c r="A123" s="16" t="str">
        <f>IF(AND(ISNUMBER($T123),$T123&lt;&gt;""),INDEX(Calc!$S$3:$S$122,$T123),"")</f>
        <v/>
      </c>
      <c r="B123" s="17" t="str">
        <f>IF(AND(ISNUMBER($T123),$T123&lt;&gt;""),IF(INDEX(Calc!$T$3:$T$122,$T123)="","—",INDEX(Calc!$T$3:$T$122,$T123)),"")</f>
        <v/>
      </c>
      <c r="C123" s="17" t="str">
        <f>IF(AND(ISNUMBER($T123),$T123&lt;&gt;""),IF(INDEX(Calc!$U$3:$U$122,$T123)="","—",INDEX(Calc!$U$3:$U$122,$T123)),"")</f>
        <v/>
      </c>
      <c r="D123" s="17" t="str">
        <f>IF(AND(ISNUMBER($T123),$T123&lt;&gt;""),IF(INDEX(Calc!$V$3:$V$122,$T123)="","—",INDEX(Calc!$V$3:$V$122,$T123)),"")</f>
        <v/>
      </c>
      <c r="E123" s="17" t="str">
        <f>IF(AND(ISNUMBER($T123),$T123&lt;&gt;""),IF(INDEX(Calc!$W$3:$W$122,$T123)="","—",INDEX(Calc!$W$3:$W$122,$T123)),"")</f>
        <v/>
      </c>
      <c r="F123" s="17" t="str">
        <f>IF(AND(ISNUMBER($T123),$T123&lt;&gt;""),IF(INDEX(Calc!$X$3:$X$122,$T123)="","—",INDEX(Calc!$X$3:$X$122,$T123)),"")</f>
        <v/>
      </c>
      <c r="G123" s="17" t="str">
        <f>IF(AND(ISNUMBER($T123),$T123&lt;&gt;""),IF(INDEX(Calc!$Y$3:$Y$122,$T123)="","—",INDEX(Calc!$Y$3:$Y$122,$T123)),"")</f>
        <v/>
      </c>
      <c r="H123" s="17" t="str">
        <f>IF(AND(ISNUMBER($T123),$T123&lt;&gt;""),IF(INDEX(Calc!$Z$3:$Z$122,$T123)="","—",INDEX(Calc!$Z$3:$Z$122,$T123)),"")</f>
        <v/>
      </c>
      <c r="I123" s="17" t="str">
        <f>IF(AND(ISNUMBER($T123),$T123&lt;&gt;""),IF(INDEX(Calc!$AA$3:$AA$122,$T123)="","—",INDEX(Calc!$AA$3:$AA$122,$T123)),"")</f>
        <v/>
      </c>
      <c r="J123" s="17" t="str">
        <f>IF(AND(ISNUMBER($T123),$T123&lt;&gt;""),IF(INDEX(Calc!$AB$3:$AB$122,$T123)="","—",INDEX(Calc!$AB$3:$AB$122,$T123)),"")</f>
        <v/>
      </c>
      <c r="K123" s="17" t="str">
        <f>IF(AND(ISNUMBER($T123),$T123&lt;&gt;""),IF(INDEX(Calc!$AC$3:$AC$122,$T123)="","—",INDEX(Calc!$AC$3:$AC$122,$T123)),"")</f>
        <v/>
      </c>
      <c r="L123" s="17" t="str">
        <f>IF(AND(ISNUMBER($T123),$T123&lt;&gt;""),IF(INDEX(Calc!$AD$3:$AD$122,$T123)="","—",INDEX(Calc!$AD$3:$AD$122,$T123)),"")</f>
        <v/>
      </c>
      <c r="M123" s="17" t="str">
        <f>IF(AND(ISNUMBER($T123),$T123&lt;&gt;""),IF(INDEX(Calc!$AE$3:$AE$122,$T123)="","—",INDEX(Calc!$AE$3:$AE$122,$T123)),"")</f>
        <v/>
      </c>
      <c r="N123" s="17" t="str">
        <f>IF(AND(ISNUMBER($T123),$T123&lt;&gt;""),IF(INDEX(Calc!$AF$3:$AF$122,$T123)="","—",INDEX(Calc!$AF$3:$AF$122,$T123)),"")</f>
        <v/>
      </c>
      <c r="O123" s="17" t="str">
        <f>IF(AND(ISNUMBER($T123),$T123&lt;&gt;""),IF(INDEX(Calc!$AG$3:$AG$122,$T123)="","—",INDEX(Calc!$AG$3:$AG$122,$T123)),"")</f>
        <v/>
      </c>
      <c r="P123" s="18" t="str">
        <f>IF(AND(ISNUMBER($T123),$T123&lt;&gt;""),IF(INDEX(Calc!$AJ$3:$AJ$122,$T123)="","—",INDEX(Calc!$AJ$3:$AJ$122,$T123)),"")</f>
        <v/>
      </c>
      <c r="Q123" s="18" t="str">
        <f>IF(AND(ISNUMBER($T123),$T123&lt;&gt;""),IF(INDEX(Calc!$AK$3:$AK$122,$T123)="","—",INDEX(Calc!$AK$3:$AK$122,$T123)),"")</f>
        <v/>
      </c>
      <c r="R123" s="17" t="str">
        <f>IF(AND(ISNUMBER($T123),$T123&lt;&gt;""),IF(INDEX(Calc!$AL$3:$AL$122,$T123)="","—",INDEX(Calc!$AL$3:$AL$122,$T123)),"")</f>
        <v/>
      </c>
      <c r="T123" t="str">
        <f>IFERROR(MATCH(119,Calc!$AN$3:$AN$122,0),"")</f>
        <v/>
      </c>
    </row>
    <row r="124" spans="1:20" x14ac:dyDescent="0.2">
      <c r="A124" s="11" t="str">
        <f>IF(AND(ISNUMBER($T124),$T124&lt;&gt;""),INDEX(Calc!$S$3:$S$122,$T124),"")</f>
        <v/>
      </c>
      <c r="B124" s="12" t="str">
        <f>IF(AND(ISNUMBER($T124),$T124&lt;&gt;""),IF(INDEX(Calc!$T$3:$T$122,$T124)="","—",INDEX(Calc!$T$3:$T$122,$T124)),"")</f>
        <v/>
      </c>
      <c r="C124" s="12" t="str">
        <f>IF(AND(ISNUMBER($T124),$T124&lt;&gt;""),IF(INDEX(Calc!$U$3:$U$122,$T124)="","—",INDEX(Calc!$U$3:$U$122,$T124)),"")</f>
        <v/>
      </c>
      <c r="D124" s="12" t="str">
        <f>IF(AND(ISNUMBER($T124),$T124&lt;&gt;""),IF(INDEX(Calc!$V$3:$V$122,$T124)="","—",INDEX(Calc!$V$3:$V$122,$T124)),"")</f>
        <v/>
      </c>
      <c r="E124" s="12" t="str">
        <f>IF(AND(ISNUMBER($T124),$T124&lt;&gt;""),IF(INDEX(Calc!$W$3:$W$122,$T124)="","—",INDEX(Calc!$W$3:$W$122,$T124)),"")</f>
        <v/>
      </c>
      <c r="F124" s="12" t="str">
        <f>IF(AND(ISNUMBER($T124),$T124&lt;&gt;""),IF(INDEX(Calc!$X$3:$X$122,$T124)="","—",INDEX(Calc!$X$3:$X$122,$T124)),"")</f>
        <v/>
      </c>
      <c r="G124" s="12" t="str">
        <f>IF(AND(ISNUMBER($T124),$T124&lt;&gt;""),IF(INDEX(Calc!$Y$3:$Y$122,$T124)="","—",INDEX(Calc!$Y$3:$Y$122,$T124)),"")</f>
        <v/>
      </c>
      <c r="H124" s="12" t="str">
        <f>IF(AND(ISNUMBER($T124),$T124&lt;&gt;""),IF(INDEX(Calc!$Z$3:$Z$122,$T124)="","—",INDEX(Calc!$Z$3:$Z$122,$T124)),"")</f>
        <v/>
      </c>
      <c r="I124" s="12" t="str">
        <f>IF(AND(ISNUMBER($T124),$T124&lt;&gt;""),IF(INDEX(Calc!$AA$3:$AA$122,$T124)="","—",INDEX(Calc!$AA$3:$AA$122,$T124)),"")</f>
        <v/>
      </c>
      <c r="J124" s="12" t="str">
        <f>IF(AND(ISNUMBER($T124),$T124&lt;&gt;""),IF(INDEX(Calc!$AB$3:$AB$122,$T124)="","—",INDEX(Calc!$AB$3:$AB$122,$T124)),"")</f>
        <v/>
      </c>
      <c r="K124" s="12" t="str">
        <f>IF(AND(ISNUMBER($T124),$T124&lt;&gt;""),IF(INDEX(Calc!$AC$3:$AC$122,$T124)="","—",INDEX(Calc!$AC$3:$AC$122,$T124)),"")</f>
        <v/>
      </c>
      <c r="L124" s="12" t="str">
        <f>IF(AND(ISNUMBER($T124),$T124&lt;&gt;""),IF(INDEX(Calc!$AD$3:$AD$122,$T124)="","—",INDEX(Calc!$AD$3:$AD$122,$T124)),"")</f>
        <v/>
      </c>
      <c r="M124" s="12" t="str">
        <f>IF(AND(ISNUMBER($T124),$T124&lt;&gt;""),IF(INDEX(Calc!$AE$3:$AE$122,$T124)="","—",INDEX(Calc!$AE$3:$AE$122,$T124)),"")</f>
        <v/>
      </c>
      <c r="N124" s="12" t="str">
        <f>IF(AND(ISNUMBER($T124),$T124&lt;&gt;""),IF(INDEX(Calc!$AF$3:$AF$122,$T124)="","—",INDEX(Calc!$AF$3:$AF$122,$T124)),"")</f>
        <v/>
      </c>
      <c r="O124" s="12" t="str">
        <f>IF(AND(ISNUMBER($T124),$T124&lt;&gt;""),IF(INDEX(Calc!$AG$3:$AG$122,$T124)="","—",INDEX(Calc!$AG$3:$AG$122,$T124)),"")</f>
        <v/>
      </c>
      <c r="P124" s="13" t="str">
        <f>IF(AND(ISNUMBER($T124),$T124&lt;&gt;""),IF(INDEX(Calc!$AJ$3:$AJ$122,$T124)="","—",INDEX(Calc!$AJ$3:$AJ$122,$T124)),"")</f>
        <v/>
      </c>
      <c r="Q124" s="13" t="str">
        <f>IF(AND(ISNUMBER($T124),$T124&lt;&gt;""),IF(INDEX(Calc!$AK$3:$AK$122,$T124)="","—",INDEX(Calc!$AK$3:$AK$122,$T124)),"")</f>
        <v/>
      </c>
      <c r="R124" s="12" t="str">
        <f>IF(AND(ISNUMBER($T124),$T124&lt;&gt;""),IF(INDEX(Calc!$AL$3:$AL$122,$T124)="","—",INDEX(Calc!$AL$3:$AL$122,$T124)),"")</f>
        <v/>
      </c>
      <c r="T124" t="str">
        <f>IFERROR(MATCH(120,Calc!$AN$3:$AN$122,0),"")</f>
        <v/>
      </c>
    </row>
  </sheetData>
  <mergeCells count="1">
    <mergeCell ref="A2:R2"/>
  </mergeCells>
  <conditionalFormatting sqref="B5:Q124">
    <cfRule type="expression" dxfId="12" priority="1" stopIfTrue="1">
      <formula>AND(ISNUMBER(B5),B5=0)</formula>
    </cfRule>
    <cfRule type="expression" dxfId="11" priority="2" stopIfTrue="1">
      <formula>AND(ISNUMBER(B5),ABS(B5)&gt;=10)</formula>
    </cfRule>
    <cfRule type="expression" dxfId="10" priority="3" stopIfTrue="1">
      <formula>AND(ISNUMBER(B5),ABS(B5)&gt;=5)</formula>
    </cfRule>
    <cfRule type="expression" dxfId="9" priority="4" stopIfTrue="1">
      <formula>AND(ISNUMBER(B5),ABS(B5)&gt;=1)</formula>
    </cfRule>
  </conditionalFormatting>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9"/>
  <sheetViews>
    <sheetView showGridLines="0" workbookViewId="0"/>
  </sheetViews>
  <sheetFormatPr baseColWidth="10" defaultColWidth="8.83203125" defaultRowHeight="15" x14ac:dyDescent="0.2"/>
  <cols>
    <col min="1" max="1" width="112" customWidth="1"/>
  </cols>
  <sheetData>
    <row r="1" spans="1:1" ht="21" x14ac:dyDescent="0.25">
      <c r="A1" s="21" t="s">
        <v>25</v>
      </c>
    </row>
    <row r="2" spans="1:1" x14ac:dyDescent="0.2">
      <c r="A2" s="23"/>
    </row>
    <row r="3" spans="1:1" ht="16" x14ac:dyDescent="0.2">
      <c r="A3" s="24" t="s">
        <v>26</v>
      </c>
    </row>
    <row r="4" spans="1:1" ht="30" x14ac:dyDescent="0.2">
      <c r="A4" s="23" t="s">
        <v>27</v>
      </c>
    </row>
    <row r="5" spans="1:1" x14ac:dyDescent="0.2">
      <c r="A5" s="23" t="s">
        <v>28</v>
      </c>
    </row>
    <row r="6" spans="1:1" ht="30" x14ac:dyDescent="0.2">
      <c r="A6" s="23" t="s">
        <v>29</v>
      </c>
    </row>
    <row r="7" spans="1:1" x14ac:dyDescent="0.2">
      <c r="A7" s="23"/>
    </row>
    <row r="8" spans="1:1" ht="16" x14ac:dyDescent="0.2">
      <c r="A8" s="24" t="s">
        <v>30</v>
      </c>
    </row>
    <row r="9" spans="1:1" ht="30" x14ac:dyDescent="0.2">
      <c r="A9" s="23" t="s">
        <v>31</v>
      </c>
    </row>
    <row r="10" spans="1:1" x14ac:dyDescent="0.2">
      <c r="A10" s="23" t="s">
        <v>32</v>
      </c>
    </row>
    <row r="11" spans="1:1" x14ac:dyDescent="0.2">
      <c r="A11" s="23" t="s">
        <v>33</v>
      </c>
    </row>
    <row r="12" spans="1:1" x14ac:dyDescent="0.2">
      <c r="A12" s="23" t="s">
        <v>34</v>
      </c>
    </row>
    <row r="13" spans="1:1" x14ac:dyDescent="0.2">
      <c r="A13" s="23" t="s">
        <v>35</v>
      </c>
    </row>
    <row r="14" spans="1:1" x14ac:dyDescent="0.2">
      <c r="A14" s="23" t="s">
        <v>36</v>
      </c>
    </row>
    <row r="15" spans="1:1" x14ac:dyDescent="0.2">
      <c r="A15" s="23" t="s">
        <v>37</v>
      </c>
    </row>
    <row r="16" spans="1:1" x14ac:dyDescent="0.2">
      <c r="A16" s="23" t="s">
        <v>38</v>
      </c>
    </row>
    <row r="17" spans="1:1" x14ac:dyDescent="0.2">
      <c r="A17" s="23" t="s">
        <v>39</v>
      </c>
    </row>
    <row r="18" spans="1:1" x14ac:dyDescent="0.2">
      <c r="A18" s="23" t="s">
        <v>40</v>
      </c>
    </row>
    <row r="19" spans="1:1" x14ac:dyDescent="0.2">
      <c r="A19" s="23"/>
    </row>
    <row r="20" spans="1:1" ht="16" x14ac:dyDescent="0.2">
      <c r="A20" s="24" t="s">
        <v>41</v>
      </c>
    </row>
    <row r="21" spans="1:1" ht="30" x14ac:dyDescent="0.2">
      <c r="A21" s="23" t="s">
        <v>42</v>
      </c>
    </row>
    <row r="22" spans="1:1" x14ac:dyDescent="0.2">
      <c r="A22" s="23"/>
    </row>
    <row r="23" spans="1:1" ht="16" x14ac:dyDescent="0.2">
      <c r="A23" s="24" t="s">
        <v>43</v>
      </c>
    </row>
    <row r="24" spans="1:1" ht="45" x14ac:dyDescent="0.2">
      <c r="A24" s="23" t="s">
        <v>44</v>
      </c>
    </row>
    <row r="25" spans="1:1" x14ac:dyDescent="0.2">
      <c r="A25" s="23" t="s">
        <v>45</v>
      </c>
    </row>
    <row r="26" spans="1:1" x14ac:dyDescent="0.2">
      <c r="A26" s="23"/>
    </row>
    <row r="27" spans="1:1" ht="16" x14ac:dyDescent="0.2">
      <c r="A27" s="24" t="s">
        <v>46</v>
      </c>
    </row>
    <row r="28" spans="1:1" ht="30" x14ac:dyDescent="0.2">
      <c r="A28" s="23" t="s">
        <v>47</v>
      </c>
    </row>
    <row r="29" spans="1:1" ht="30" x14ac:dyDescent="0.2">
      <c r="A29" s="23" t="s">
        <v>48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255C2-CE18-A04E-9DB9-3E15DCCC0A84}">
  <dimension ref="A1:V982"/>
  <sheetViews>
    <sheetView topLeftCell="A161" workbookViewId="0">
      <selection sqref="A1:XFD1048576"/>
    </sheetView>
  </sheetViews>
  <sheetFormatPr baseColWidth="10" defaultRowHeight="15" x14ac:dyDescent="0.2"/>
  <cols>
    <col min="1" max="1" width="11.33203125" bestFit="1" customWidth="1"/>
    <col min="2" max="2" width="12.5" bestFit="1" customWidth="1"/>
    <col min="3" max="3" width="7" bestFit="1" customWidth="1"/>
    <col min="4" max="4" width="12" bestFit="1" customWidth="1"/>
    <col min="5" max="5" width="12.1640625" bestFit="1" customWidth="1"/>
    <col min="6" max="6" width="14.1640625" bestFit="1" customWidth="1"/>
    <col min="7" max="7" width="24.5" bestFit="1" customWidth="1"/>
    <col min="8" max="8" width="35.33203125" bestFit="1" customWidth="1"/>
    <col min="9" max="9" width="15" bestFit="1" customWidth="1"/>
    <col min="10" max="10" width="8.83203125" bestFit="1" customWidth="1"/>
    <col min="11" max="11" width="14" bestFit="1" customWidth="1"/>
    <col min="12" max="12" width="13.83203125" bestFit="1" customWidth="1"/>
    <col min="13" max="13" width="10.33203125" bestFit="1" customWidth="1"/>
    <col min="14" max="14" width="15.1640625" bestFit="1" customWidth="1"/>
    <col min="15" max="15" width="14.33203125" bestFit="1" customWidth="1"/>
    <col min="16" max="16" width="16.1640625" bestFit="1" customWidth="1"/>
    <col min="17" max="17" width="13.1640625" bestFit="1" customWidth="1"/>
    <col min="18" max="18" width="13.5" bestFit="1" customWidth="1"/>
    <col min="19" max="19" width="7" bestFit="1" customWidth="1"/>
    <col min="20" max="20" width="9.1640625" bestFit="1" customWidth="1"/>
    <col min="21" max="21" width="10.1640625" bestFit="1" customWidth="1"/>
    <col min="22" max="22" width="12.1640625" bestFit="1" customWidth="1"/>
  </cols>
  <sheetData>
    <row r="1" spans="1:22" x14ac:dyDescent="0.2">
      <c r="A1" t="s">
        <v>104</v>
      </c>
      <c r="B1" t="s">
        <v>105</v>
      </c>
      <c r="C1" t="s">
        <v>106</v>
      </c>
      <c r="D1" t="s">
        <v>107</v>
      </c>
      <c r="E1" t="s">
        <v>108</v>
      </c>
      <c r="F1" t="s">
        <v>109</v>
      </c>
      <c r="G1" t="s">
        <v>110</v>
      </c>
      <c r="H1" t="s">
        <v>111</v>
      </c>
      <c r="I1" t="s">
        <v>112</v>
      </c>
      <c r="J1" t="s">
        <v>113</v>
      </c>
      <c r="K1" t="s">
        <v>114</v>
      </c>
      <c r="L1" t="s">
        <v>115</v>
      </c>
      <c r="M1" t="s">
        <v>116</v>
      </c>
      <c r="N1" t="s">
        <v>117</v>
      </c>
      <c r="O1" t="s">
        <v>71</v>
      </c>
      <c r="P1" t="s">
        <v>118</v>
      </c>
      <c r="Q1" t="s">
        <v>119</v>
      </c>
      <c r="R1" t="s">
        <v>120</v>
      </c>
      <c r="S1" t="s">
        <v>103</v>
      </c>
      <c r="T1" t="s">
        <v>68</v>
      </c>
      <c r="U1" t="s">
        <v>83</v>
      </c>
      <c r="V1" t="s">
        <v>121</v>
      </c>
    </row>
    <row r="2" spans="1:22" x14ac:dyDescent="0.2">
      <c r="A2" s="34" t="s">
        <v>122</v>
      </c>
      <c r="B2" s="28">
        <v>46274</v>
      </c>
      <c r="C2" s="34"/>
      <c r="D2" s="34" t="s">
        <v>123</v>
      </c>
      <c r="E2" s="34" t="s">
        <v>124</v>
      </c>
      <c r="F2" s="34" t="s">
        <v>125</v>
      </c>
      <c r="G2" s="34" t="s">
        <v>126</v>
      </c>
      <c r="H2" s="34" t="s">
        <v>127</v>
      </c>
      <c r="J2">
        <v>0</v>
      </c>
      <c r="K2">
        <v>0</v>
      </c>
      <c r="M2">
        <v>1</v>
      </c>
      <c r="O2" s="28"/>
      <c r="R2">
        <v>-1</v>
      </c>
      <c r="S2">
        <v>1</v>
      </c>
      <c r="T2">
        <v>17</v>
      </c>
      <c r="U2">
        <v>1</v>
      </c>
      <c r="V2">
        <v>20260909001</v>
      </c>
    </row>
    <row r="3" spans="1:22" x14ac:dyDescent="0.2">
      <c r="A3" s="34" t="s">
        <v>122</v>
      </c>
      <c r="B3" s="28">
        <v>46274</v>
      </c>
      <c r="C3" s="34"/>
      <c r="D3" s="34" t="s">
        <v>123</v>
      </c>
      <c r="E3" s="34" t="s">
        <v>128</v>
      </c>
      <c r="F3" s="34" t="s">
        <v>129</v>
      </c>
      <c r="G3" s="34" t="s">
        <v>130</v>
      </c>
      <c r="H3" s="34" t="s">
        <v>131</v>
      </c>
      <c r="J3">
        <v>0</v>
      </c>
      <c r="K3">
        <v>0</v>
      </c>
      <c r="M3">
        <v>0</v>
      </c>
      <c r="O3" s="28"/>
      <c r="R3">
        <v>-1</v>
      </c>
      <c r="S3">
        <v>2</v>
      </c>
      <c r="T3">
        <v>17</v>
      </c>
      <c r="U3">
        <v>2</v>
      </c>
      <c r="V3">
        <v>20260909002</v>
      </c>
    </row>
    <row r="4" spans="1:22" x14ac:dyDescent="0.2">
      <c r="A4" s="34" t="s">
        <v>122</v>
      </c>
      <c r="B4" s="28">
        <v>46274</v>
      </c>
      <c r="C4" s="34"/>
      <c r="D4" s="34" t="s">
        <v>123</v>
      </c>
      <c r="E4" s="34" t="s">
        <v>132</v>
      </c>
      <c r="F4" s="34" t="s">
        <v>133</v>
      </c>
      <c r="G4" s="34" t="s">
        <v>134</v>
      </c>
      <c r="H4" s="34" t="s">
        <v>135</v>
      </c>
      <c r="J4">
        <v>0</v>
      </c>
      <c r="K4">
        <v>0</v>
      </c>
      <c r="M4">
        <v>0</v>
      </c>
      <c r="O4" s="28"/>
      <c r="R4">
        <v>-1</v>
      </c>
      <c r="S4">
        <v>3</v>
      </c>
      <c r="T4">
        <v>17</v>
      </c>
      <c r="U4">
        <v>3</v>
      </c>
      <c r="V4">
        <v>20260909003</v>
      </c>
    </row>
    <row r="5" spans="1:22" x14ac:dyDescent="0.2">
      <c r="A5" s="34" t="s">
        <v>122</v>
      </c>
      <c r="B5" s="28">
        <v>46274</v>
      </c>
      <c r="C5" s="34"/>
      <c r="D5" s="34" t="s">
        <v>123</v>
      </c>
      <c r="E5" s="34" t="s">
        <v>136</v>
      </c>
      <c r="F5" s="34" t="s">
        <v>137</v>
      </c>
      <c r="G5" s="34" t="s">
        <v>138</v>
      </c>
      <c r="H5" s="34" t="s">
        <v>139</v>
      </c>
      <c r="J5">
        <v>0</v>
      </c>
      <c r="K5">
        <v>0</v>
      </c>
      <c r="M5">
        <v>7</v>
      </c>
      <c r="O5" s="28"/>
      <c r="R5">
        <v>-1</v>
      </c>
      <c r="S5">
        <v>4</v>
      </c>
      <c r="T5">
        <v>17</v>
      </c>
      <c r="U5">
        <v>4</v>
      </c>
      <c r="V5">
        <v>20260909004</v>
      </c>
    </row>
    <row r="6" spans="1:22" x14ac:dyDescent="0.2">
      <c r="A6" s="34" t="s">
        <v>122</v>
      </c>
      <c r="B6" s="28">
        <v>46274</v>
      </c>
      <c r="C6" s="34"/>
      <c r="D6" s="34" t="s">
        <v>123</v>
      </c>
      <c r="E6" s="34" t="s">
        <v>140</v>
      </c>
      <c r="F6" s="34" t="s">
        <v>141</v>
      </c>
      <c r="G6" s="34" t="s">
        <v>142</v>
      </c>
      <c r="H6" s="34" t="s">
        <v>143</v>
      </c>
      <c r="J6">
        <v>0</v>
      </c>
      <c r="K6">
        <v>0</v>
      </c>
      <c r="M6">
        <v>0</v>
      </c>
      <c r="O6" s="28"/>
      <c r="R6">
        <v>-1</v>
      </c>
      <c r="S6">
        <v>5</v>
      </c>
      <c r="T6">
        <v>17</v>
      </c>
      <c r="U6">
        <v>5</v>
      </c>
      <c r="V6">
        <v>20260909005</v>
      </c>
    </row>
    <row r="7" spans="1:22" x14ac:dyDescent="0.2">
      <c r="A7" s="34" t="s">
        <v>122</v>
      </c>
      <c r="B7" s="28">
        <v>46274</v>
      </c>
      <c r="C7" s="34"/>
      <c r="D7" s="34" t="s">
        <v>123</v>
      </c>
      <c r="E7" s="34" t="s">
        <v>144</v>
      </c>
      <c r="F7" s="34" t="s">
        <v>145</v>
      </c>
      <c r="G7" s="34" t="s">
        <v>146</v>
      </c>
      <c r="H7" s="34" t="s">
        <v>147</v>
      </c>
      <c r="J7">
        <v>0</v>
      </c>
      <c r="K7">
        <v>0</v>
      </c>
      <c r="M7">
        <v>8</v>
      </c>
      <c r="O7" s="28"/>
      <c r="R7">
        <v>-1</v>
      </c>
      <c r="S7">
        <v>6</v>
      </c>
      <c r="T7">
        <v>17</v>
      </c>
      <c r="U7">
        <v>6</v>
      </c>
      <c r="V7">
        <v>20260909006</v>
      </c>
    </row>
    <row r="8" spans="1:22" x14ac:dyDescent="0.2">
      <c r="A8" s="34" t="s">
        <v>122</v>
      </c>
      <c r="B8" s="28">
        <v>46274</v>
      </c>
      <c r="C8" s="34"/>
      <c r="D8" s="34" t="s">
        <v>123</v>
      </c>
      <c r="E8" s="34" t="s">
        <v>148</v>
      </c>
      <c r="F8" s="34" t="s">
        <v>149</v>
      </c>
      <c r="G8" s="34" t="s">
        <v>150</v>
      </c>
      <c r="H8" s="34" t="s">
        <v>151</v>
      </c>
      <c r="J8">
        <v>0</v>
      </c>
      <c r="K8">
        <v>0</v>
      </c>
      <c r="M8">
        <v>1</v>
      </c>
      <c r="O8" s="28"/>
      <c r="R8">
        <v>-1</v>
      </c>
      <c r="S8">
        <v>7</v>
      </c>
      <c r="T8">
        <v>17</v>
      </c>
      <c r="U8">
        <v>7</v>
      </c>
      <c r="V8">
        <v>20260909007</v>
      </c>
    </row>
    <row r="9" spans="1:22" x14ac:dyDescent="0.2">
      <c r="A9" s="34" t="s">
        <v>122</v>
      </c>
      <c r="B9" s="28">
        <v>46274</v>
      </c>
      <c r="C9" s="34"/>
      <c r="D9" s="34" t="s">
        <v>123</v>
      </c>
      <c r="E9" s="34" t="s">
        <v>152</v>
      </c>
      <c r="F9" s="34" t="s">
        <v>153</v>
      </c>
      <c r="G9" s="34" t="s">
        <v>154</v>
      </c>
      <c r="H9" s="34" t="s">
        <v>155</v>
      </c>
      <c r="J9">
        <v>0</v>
      </c>
      <c r="K9">
        <v>0</v>
      </c>
      <c r="M9">
        <v>8</v>
      </c>
      <c r="O9" s="28"/>
      <c r="R9">
        <v>-1</v>
      </c>
      <c r="S9">
        <v>8</v>
      </c>
      <c r="T9">
        <v>17</v>
      </c>
      <c r="U9">
        <v>8</v>
      </c>
      <c r="V9">
        <v>20260909008</v>
      </c>
    </row>
    <row r="10" spans="1:22" x14ac:dyDescent="0.2">
      <c r="A10" s="34" t="s">
        <v>122</v>
      </c>
      <c r="B10" s="28">
        <v>46274</v>
      </c>
      <c r="C10" s="34"/>
      <c r="D10" s="34" t="s">
        <v>123</v>
      </c>
      <c r="E10" s="34" t="s">
        <v>156</v>
      </c>
      <c r="F10" s="34" t="s">
        <v>157</v>
      </c>
      <c r="G10" s="34" t="s">
        <v>158</v>
      </c>
      <c r="H10" s="34" t="s">
        <v>159</v>
      </c>
      <c r="J10">
        <v>0</v>
      </c>
      <c r="K10">
        <v>0</v>
      </c>
      <c r="M10">
        <v>8</v>
      </c>
      <c r="O10" s="28"/>
      <c r="R10">
        <v>-1</v>
      </c>
      <c r="S10">
        <v>9</v>
      </c>
      <c r="T10">
        <v>17</v>
      </c>
      <c r="U10">
        <v>9</v>
      </c>
      <c r="V10">
        <v>20260909009</v>
      </c>
    </row>
    <row r="11" spans="1:22" x14ac:dyDescent="0.2">
      <c r="A11" s="34" t="s">
        <v>122</v>
      </c>
      <c r="B11" s="28">
        <v>46274</v>
      </c>
      <c r="C11" s="34"/>
      <c r="D11" s="34" t="s">
        <v>123</v>
      </c>
      <c r="E11" s="34" t="s">
        <v>160</v>
      </c>
      <c r="F11" s="34" t="s">
        <v>161</v>
      </c>
      <c r="G11" s="34" t="s">
        <v>162</v>
      </c>
      <c r="H11" s="34" t="s">
        <v>163</v>
      </c>
      <c r="J11">
        <v>0</v>
      </c>
      <c r="K11">
        <v>0</v>
      </c>
      <c r="M11">
        <v>0</v>
      </c>
      <c r="O11" s="28"/>
      <c r="R11">
        <v>-1</v>
      </c>
      <c r="S11">
        <v>10</v>
      </c>
      <c r="T11">
        <v>17</v>
      </c>
      <c r="U11">
        <v>10</v>
      </c>
      <c r="V11">
        <v>20260909010</v>
      </c>
    </row>
    <row r="12" spans="1:22" x14ac:dyDescent="0.2">
      <c r="A12" s="34" t="s">
        <v>122</v>
      </c>
      <c r="B12" s="28">
        <v>46274</v>
      </c>
      <c r="C12" s="34"/>
      <c r="D12" s="34" t="s">
        <v>123</v>
      </c>
      <c r="E12" s="34" t="s">
        <v>164</v>
      </c>
      <c r="F12" s="34" t="s">
        <v>165</v>
      </c>
      <c r="G12" s="34" t="s">
        <v>166</v>
      </c>
      <c r="H12" s="34" t="s">
        <v>167</v>
      </c>
      <c r="J12">
        <v>0</v>
      </c>
      <c r="K12">
        <v>0</v>
      </c>
      <c r="M12">
        <v>32</v>
      </c>
      <c r="O12" s="28"/>
      <c r="R12">
        <v>-1</v>
      </c>
      <c r="S12">
        <v>11</v>
      </c>
      <c r="T12">
        <v>17</v>
      </c>
      <c r="U12">
        <v>11</v>
      </c>
      <c r="V12">
        <v>20260909011</v>
      </c>
    </row>
    <row r="13" spans="1:22" x14ac:dyDescent="0.2">
      <c r="A13" s="34" t="s">
        <v>122</v>
      </c>
      <c r="B13" s="28">
        <v>46274</v>
      </c>
      <c r="C13" s="34"/>
      <c r="D13" s="34" t="s">
        <v>123</v>
      </c>
      <c r="E13" s="34" t="s">
        <v>168</v>
      </c>
      <c r="F13" s="34" t="s">
        <v>169</v>
      </c>
      <c r="G13" s="34" t="s">
        <v>170</v>
      </c>
      <c r="H13" s="34" t="s">
        <v>171</v>
      </c>
      <c r="J13">
        <v>0</v>
      </c>
      <c r="K13">
        <v>0</v>
      </c>
      <c r="M13">
        <v>0</v>
      </c>
      <c r="O13" s="28"/>
      <c r="R13">
        <v>-1</v>
      </c>
      <c r="S13">
        <v>12</v>
      </c>
      <c r="T13">
        <v>17</v>
      </c>
      <c r="U13">
        <v>12</v>
      </c>
      <c r="V13">
        <v>20260909012</v>
      </c>
    </row>
    <row r="14" spans="1:22" x14ac:dyDescent="0.2">
      <c r="A14" s="34" t="s">
        <v>122</v>
      </c>
      <c r="B14" s="28">
        <v>46274</v>
      </c>
      <c r="C14" s="34"/>
      <c r="D14" s="34" t="s">
        <v>123</v>
      </c>
      <c r="E14" s="34" t="s">
        <v>172</v>
      </c>
      <c r="F14" s="34" t="s">
        <v>173</v>
      </c>
      <c r="G14" s="34" t="s">
        <v>174</v>
      </c>
      <c r="H14" s="34" t="s">
        <v>175</v>
      </c>
      <c r="J14">
        <v>0</v>
      </c>
      <c r="K14">
        <v>0</v>
      </c>
      <c r="M14">
        <v>1</v>
      </c>
      <c r="O14" s="28"/>
      <c r="R14">
        <v>-1</v>
      </c>
      <c r="S14">
        <v>13</v>
      </c>
      <c r="T14">
        <v>17</v>
      </c>
      <c r="U14">
        <v>13</v>
      </c>
      <c r="V14">
        <v>20260909013</v>
      </c>
    </row>
    <row r="15" spans="1:22" x14ac:dyDescent="0.2">
      <c r="A15" s="34" t="s">
        <v>122</v>
      </c>
      <c r="B15" s="28">
        <v>46274</v>
      </c>
      <c r="C15" s="34"/>
      <c r="D15" s="34" t="s">
        <v>123</v>
      </c>
      <c r="E15" s="34" t="s">
        <v>176</v>
      </c>
      <c r="F15" s="34" t="s">
        <v>177</v>
      </c>
      <c r="G15" s="34" t="s">
        <v>178</v>
      </c>
      <c r="H15" s="34" t="s">
        <v>179</v>
      </c>
      <c r="J15">
        <v>0</v>
      </c>
      <c r="K15">
        <v>0</v>
      </c>
      <c r="M15">
        <v>14</v>
      </c>
      <c r="O15" s="28"/>
      <c r="R15">
        <v>-1</v>
      </c>
      <c r="S15">
        <v>14</v>
      </c>
      <c r="T15">
        <v>17</v>
      </c>
      <c r="U15">
        <v>14</v>
      </c>
      <c r="V15">
        <v>20260909014</v>
      </c>
    </row>
    <row r="16" spans="1:22" x14ac:dyDescent="0.2">
      <c r="A16" s="34" t="s">
        <v>122</v>
      </c>
      <c r="B16" s="28">
        <v>46274</v>
      </c>
      <c r="C16" s="34"/>
      <c r="D16" s="34" t="s">
        <v>123</v>
      </c>
      <c r="E16" s="34" t="s">
        <v>180</v>
      </c>
      <c r="F16" s="34" t="s">
        <v>181</v>
      </c>
      <c r="G16" s="34" t="s">
        <v>182</v>
      </c>
      <c r="H16" s="34" t="s">
        <v>183</v>
      </c>
      <c r="J16">
        <v>0</v>
      </c>
      <c r="K16">
        <v>0</v>
      </c>
      <c r="M16">
        <v>0</v>
      </c>
      <c r="O16" s="28"/>
      <c r="R16">
        <v>-1</v>
      </c>
      <c r="S16">
        <v>15</v>
      </c>
      <c r="T16">
        <v>17</v>
      </c>
      <c r="U16">
        <v>15</v>
      </c>
      <c r="V16">
        <v>20260909015</v>
      </c>
    </row>
    <row r="17" spans="1:22" x14ac:dyDescent="0.2">
      <c r="A17" s="34" t="s">
        <v>122</v>
      </c>
      <c r="B17" s="28">
        <v>46274</v>
      </c>
      <c r="C17" s="34"/>
      <c r="D17" s="34" t="s">
        <v>123</v>
      </c>
      <c r="E17" s="34" t="s">
        <v>184</v>
      </c>
      <c r="F17" s="34" t="s">
        <v>185</v>
      </c>
      <c r="G17" s="34" t="s">
        <v>186</v>
      </c>
      <c r="H17" s="34" t="s">
        <v>187</v>
      </c>
      <c r="J17">
        <v>0</v>
      </c>
      <c r="K17">
        <v>0</v>
      </c>
      <c r="M17">
        <v>0</v>
      </c>
      <c r="O17" s="28"/>
      <c r="R17">
        <v>-1</v>
      </c>
      <c r="S17">
        <v>16</v>
      </c>
      <c r="T17">
        <v>17</v>
      </c>
      <c r="U17">
        <v>16</v>
      </c>
      <c r="V17">
        <v>20260909016</v>
      </c>
    </row>
    <row r="18" spans="1:22" x14ac:dyDescent="0.2">
      <c r="A18" s="34" t="s">
        <v>122</v>
      </c>
      <c r="B18" s="28">
        <v>46274</v>
      </c>
      <c r="C18" s="34"/>
      <c r="D18" s="34" t="s">
        <v>123</v>
      </c>
      <c r="E18" s="34" t="s">
        <v>188</v>
      </c>
      <c r="F18" s="34" t="s">
        <v>189</v>
      </c>
      <c r="G18" s="34" t="s">
        <v>190</v>
      </c>
      <c r="H18" s="34" t="s">
        <v>191</v>
      </c>
      <c r="J18">
        <v>0</v>
      </c>
      <c r="K18">
        <v>0</v>
      </c>
      <c r="M18">
        <v>0</v>
      </c>
      <c r="O18" s="28"/>
      <c r="R18">
        <v>-1</v>
      </c>
      <c r="S18">
        <v>17</v>
      </c>
      <c r="T18">
        <v>17</v>
      </c>
      <c r="U18">
        <v>21</v>
      </c>
      <c r="V18">
        <v>20260909017</v>
      </c>
    </row>
    <row r="19" spans="1:22" x14ac:dyDescent="0.2">
      <c r="A19" s="34" t="s">
        <v>122</v>
      </c>
      <c r="B19" s="28">
        <v>46274</v>
      </c>
      <c r="C19" s="34"/>
      <c r="D19" s="34" t="s">
        <v>123</v>
      </c>
      <c r="E19" s="34" t="s">
        <v>192</v>
      </c>
      <c r="F19" s="34" t="s">
        <v>193</v>
      </c>
      <c r="G19" s="34" t="s">
        <v>194</v>
      </c>
      <c r="H19" s="34" t="s">
        <v>195</v>
      </c>
      <c r="J19">
        <v>0</v>
      </c>
      <c r="K19">
        <v>0</v>
      </c>
      <c r="M19">
        <v>0</v>
      </c>
      <c r="O19" s="28"/>
      <c r="R19">
        <v>-1</v>
      </c>
      <c r="S19">
        <v>18</v>
      </c>
      <c r="T19">
        <v>17</v>
      </c>
      <c r="U19">
        <v>22</v>
      </c>
      <c r="V19">
        <v>20260909018</v>
      </c>
    </row>
    <row r="20" spans="1:22" x14ac:dyDescent="0.2">
      <c r="A20" s="34" t="s">
        <v>122</v>
      </c>
      <c r="B20" s="28">
        <v>46274</v>
      </c>
      <c r="C20" s="34"/>
      <c r="D20" s="34" t="s">
        <v>123</v>
      </c>
      <c r="E20" s="34" t="s">
        <v>196</v>
      </c>
      <c r="F20" s="34" t="s">
        <v>197</v>
      </c>
      <c r="G20" s="34" t="s">
        <v>198</v>
      </c>
      <c r="H20" s="34" t="s">
        <v>199</v>
      </c>
      <c r="J20">
        <v>0</v>
      </c>
      <c r="K20">
        <v>7</v>
      </c>
      <c r="M20">
        <v>0</v>
      </c>
      <c r="O20" s="28"/>
      <c r="R20">
        <v>-1</v>
      </c>
      <c r="S20">
        <v>19</v>
      </c>
      <c r="T20">
        <v>17</v>
      </c>
      <c r="U20">
        <v>23</v>
      </c>
      <c r="V20">
        <v>20260909019</v>
      </c>
    </row>
    <row r="21" spans="1:22" x14ac:dyDescent="0.2">
      <c r="A21" s="34" t="s">
        <v>122</v>
      </c>
      <c r="B21" s="28">
        <v>46274</v>
      </c>
      <c r="C21" s="34"/>
      <c r="D21" s="34" t="s">
        <v>123</v>
      </c>
      <c r="E21" s="34" t="s">
        <v>200</v>
      </c>
      <c r="F21" s="34" t="s">
        <v>201</v>
      </c>
      <c r="G21" s="34" t="s">
        <v>202</v>
      </c>
      <c r="H21" s="34" t="s">
        <v>203</v>
      </c>
      <c r="J21">
        <v>0</v>
      </c>
      <c r="K21">
        <v>0</v>
      </c>
      <c r="M21">
        <v>6</v>
      </c>
      <c r="O21" s="28"/>
      <c r="R21">
        <v>-1</v>
      </c>
      <c r="S21">
        <v>20</v>
      </c>
      <c r="T21">
        <v>17</v>
      </c>
      <c r="U21">
        <v>24</v>
      </c>
      <c r="V21">
        <v>20260909020</v>
      </c>
    </row>
    <row r="22" spans="1:22" x14ac:dyDescent="0.2">
      <c r="A22" s="34" t="s">
        <v>122</v>
      </c>
      <c r="B22" s="28">
        <v>46274</v>
      </c>
      <c r="C22" s="34"/>
      <c r="D22" s="34" t="s">
        <v>123</v>
      </c>
      <c r="E22" s="34" t="s">
        <v>204</v>
      </c>
      <c r="F22" s="34" t="s">
        <v>205</v>
      </c>
      <c r="G22" s="34" t="s">
        <v>206</v>
      </c>
      <c r="H22" s="34" t="s">
        <v>207</v>
      </c>
      <c r="J22">
        <v>0</v>
      </c>
      <c r="K22">
        <v>0</v>
      </c>
      <c r="M22">
        <v>4</v>
      </c>
      <c r="O22" s="28"/>
      <c r="R22">
        <v>-1</v>
      </c>
      <c r="S22">
        <v>21</v>
      </c>
      <c r="T22">
        <v>17</v>
      </c>
      <c r="U22">
        <v>25</v>
      </c>
      <c r="V22">
        <v>20260909021</v>
      </c>
    </row>
    <row r="23" spans="1:22" x14ac:dyDescent="0.2">
      <c r="A23" s="34" t="s">
        <v>122</v>
      </c>
      <c r="B23" s="28">
        <v>46274</v>
      </c>
      <c r="C23" s="34"/>
      <c r="D23" s="34" t="s">
        <v>123</v>
      </c>
      <c r="E23" s="34" t="s">
        <v>208</v>
      </c>
      <c r="F23" s="34" t="s">
        <v>209</v>
      </c>
      <c r="G23" s="34" t="s">
        <v>210</v>
      </c>
      <c r="H23" s="34" t="s">
        <v>211</v>
      </c>
      <c r="J23">
        <v>0</v>
      </c>
      <c r="K23">
        <v>0</v>
      </c>
      <c r="M23">
        <v>0</v>
      </c>
      <c r="O23" s="28"/>
      <c r="R23">
        <v>-1</v>
      </c>
      <c r="S23">
        <v>22</v>
      </c>
      <c r="T23">
        <v>17</v>
      </c>
      <c r="U23">
        <v>26</v>
      </c>
      <c r="V23">
        <v>20260909022</v>
      </c>
    </row>
    <row r="24" spans="1:22" x14ac:dyDescent="0.2">
      <c r="A24" s="34" t="s">
        <v>122</v>
      </c>
      <c r="B24" s="28">
        <v>46274</v>
      </c>
      <c r="C24" s="34"/>
      <c r="D24" s="34" t="s">
        <v>123</v>
      </c>
      <c r="E24" s="34" t="s">
        <v>212</v>
      </c>
      <c r="F24" s="34" t="s">
        <v>213</v>
      </c>
      <c r="G24" s="34" t="s">
        <v>214</v>
      </c>
      <c r="H24" s="34" t="s">
        <v>215</v>
      </c>
      <c r="J24">
        <v>0</v>
      </c>
      <c r="K24">
        <v>0</v>
      </c>
      <c r="M24">
        <v>5</v>
      </c>
      <c r="O24" s="28"/>
      <c r="R24">
        <v>-1</v>
      </c>
      <c r="S24">
        <v>23</v>
      </c>
      <c r="T24">
        <v>17</v>
      </c>
      <c r="U24">
        <v>27</v>
      </c>
      <c r="V24">
        <v>20260909023</v>
      </c>
    </row>
    <row r="25" spans="1:22" x14ac:dyDescent="0.2">
      <c r="A25" s="34" t="s">
        <v>122</v>
      </c>
      <c r="B25" s="28">
        <v>46274</v>
      </c>
      <c r="C25" s="34"/>
      <c r="D25" s="34" t="s">
        <v>123</v>
      </c>
      <c r="E25" s="34" t="s">
        <v>216</v>
      </c>
      <c r="F25" s="34" t="s">
        <v>217</v>
      </c>
      <c r="G25" s="34" t="s">
        <v>218</v>
      </c>
      <c r="H25" s="34" t="s">
        <v>219</v>
      </c>
      <c r="J25">
        <v>0</v>
      </c>
      <c r="K25">
        <v>0</v>
      </c>
      <c r="M25">
        <v>4</v>
      </c>
      <c r="O25" s="28"/>
      <c r="R25">
        <v>-1</v>
      </c>
      <c r="S25">
        <v>24</v>
      </c>
      <c r="T25">
        <v>17</v>
      </c>
      <c r="U25">
        <v>28</v>
      </c>
      <c r="V25">
        <v>20260909024</v>
      </c>
    </row>
    <row r="26" spans="1:22" x14ac:dyDescent="0.2">
      <c r="A26" s="34" t="s">
        <v>122</v>
      </c>
      <c r="B26" s="28">
        <v>46274</v>
      </c>
      <c r="C26" s="34"/>
      <c r="D26" s="34" t="s">
        <v>123</v>
      </c>
      <c r="E26" s="34" t="s">
        <v>220</v>
      </c>
      <c r="F26" s="34" t="s">
        <v>221</v>
      </c>
      <c r="G26" s="34" t="s">
        <v>222</v>
      </c>
      <c r="H26" s="34" t="s">
        <v>223</v>
      </c>
      <c r="J26">
        <v>0</v>
      </c>
      <c r="K26">
        <v>0</v>
      </c>
      <c r="M26">
        <v>1</v>
      </c>
      <c r="O26" s="28"/>
      <c r="R26">
        <v>-1</v>
      </c>
      <c r="S26">
        <v>25</v>
      </c>
      <c r="T26">
        <v>17</v>
      </c>
      <c r="U26">
        <v>29</v>
      </c>
      <c r="V26">
        <v>20260909025</v>
      </c>
    </row>
    <row r="27" spans="1:22" x14ac:dyDescent="0.2">
      <c r="A27" s="34" t="s">
        <v>122</v>
      </c>
      <c r="B27" s="28">
        <v>46274</v>
      </c>
      <c r="C27" s="34"/>
      <c r="D27" s="34" t="s">
        <v>123</v>
      </c>
      <c r="E27" s="34" t="s">
        <v>224</v>
      </c>
      <c r="F27" s="34" t="s">
        <v>225</v>
      </c>
      <c r="G27" s="34" t="s">
        <v>226</v>
      </c>
      <c r="H27" s="34" t="s">
        <v>227</v>
      </c>
      <c r="J27">
        <v>0</v>
      </c>
      <c r="K27">
        <v>0</v>
      </c>
      <c r="M27">
        <v>0</v>
      </c>
      <c r="O27" s="28"/>
      <c r="R27">
        <v>-1</v>
      </c>
      <c r="S27">
        <v>26</v>
      </c>
      <c r="T27">
        <v>17</v>
      </c>
      <c r="U27">
        <v>30</v>
      </c>
      <c r="V27">
        <v>20260909026</v>
      </c>
    </row>
    <row r="28" spans="1:22" x14ac:dyDescent="0.2">
      <c r="A28" s="34" t="s">
        <v>122</v>
      </c>
      <c r="B28" s="28">
        <v>46274</v>
      </c>
      <c r="C28" s="34"/>
      <c r="D28" s="34" t="s">
        <v>123</v>
      </c>
      <c r="E28" s="34" t="s">
        <v>228</v>
      </c>
      <c r="F28" s="34" t="s">
        <v>229</v>
      </c>
      <c r="G28" s="34" t="s">
        <v>230</v>
      </c>
      <c r="H28" s="34" t="s">
        <v>231</v>
      </c>
      <c r="J28">
        <v>0</v>
      </c>
      <c r="K28">
        <v>0</v>
      </c>
      <c r="M28">
        <v>4</v>
      </c>
      <c r="O28" s="28"/>
      <c r="R28">
        <v>-1</v>
      </c>
      <c r="S28">
        <v>27</v>
      </c>
      <c r="T28">
        <v>17</v>
      </c>
      <c r="U28">
        <v>31</v>
      </c>
      <c r="V28">
        <v>20260909027</v>
      </c>
    </row>
    <row r="29" spans="1:22" x14ac:dyDescent="0.2">
      <c r="A29" s="34" t="s">
        <v>122</v>
      </c>
      <c r="B29" s="28">
        <v>46274</v>
      </c>
      <c r="C29" s="34"/>
      <c r="D29" s="34" t="s">
        <v>123</v>
      </c>
      <c r="E29" s="34" t="s">
        <v>232</v>
      </c>
      <c r="F29" s="34" t="s">
        <v>233</v>
      </c>
      <c r="G29" s="34" t="s">
        <v>234</v>
      </c>
      <c r="H29" s="34" t="s">
        <v>235</v>
      </c>
      <c r="J29">
        <v>0</v>
      </c>
      <c r="K29">
        <v>0</v>
      </c>
      <c r="M29">
        <v>3</v>
      </c>
      <c r="O29" s="28"/>
      <c r="R29">
        <v>-1</v>
      </c>
      <c r="S29">
        <v>28</v>
      </c>
      <c r="T29">
        <v>17</v>
      </c>
      <c r="U29">
        <v>32</v>
      </c>
      <c r="V29">
        <v>20260909028</v>
      </c>
    </row>
    <row r="30" spans="1:22" x14ac:dyDescent="0.2">
      <c r="A30" s="34" t="s">
        <v>122</v>
      </c>
      <c r="B30" s="28">
        <v>46274</v>
      </c>
      <c r="C30" s="34"/>
      <c r="D30" s="34" t="s">
        <v>123</v>
      </c>
      <c r="E30" s="34" t="s">
        <v>236</v>
      </c>
      <c r="F30" s="34" t="s">
        <v>237</v>
      </c>
      <c r="G30" s="34" t="s">
        <v>238</v>
      </c>
      <c r="H30" s="34" t="s">
        <v>239</v>
      </c>
      <c r="J30">
        <v>0</v>
      </c>
      <c r="K30">
        <v>0</v>
      </c>
      <c r="M30">
        <v>2</v>
      </c>
      <c r="O30" s="28"/>
      <c r="R30">
        <v>-1</v>
      </c>
      <c r="S30">
        <v>29</v>
      </c>
      <c r="T30">
        <v>17</v>
      </c>
      <c r="U30">
        <v>33</v>
      </c>
      <c r="V30">
        <v>20260909029</v>
      </c>
    </row>
    <row r="31" spans="1:22" x14ac:dyDescent="0.2">
      <c r="A31" s="34" t="s">
        <v>122</v>
      </c>
      <c r="B31" s="28">
        <v>46274</v>
      </c>
      <c r="C31" s="34"/>
      <c r="D31" s="34" t="s">
        <v>123</v>
      </c>
      <c r="E31" s="34" t="s">
        <v>240</v>
      </c>
      <c r="F31" s="34" t="s">
        <v>241</v>
      </c>
      <c r="G31" s="34" t="s">
        <v>242</v>
      </c>
      <c r="H31" s="34" t="s">
        <v>243</v>
      </c>
      <c r="J31">
        <v>0</v>
      </c>
      <c r="K31">
        <v>0</v>
      </c>
      <c r="M31">
        <v>1</v>
      </c>
      <c r="O31" s="28"/>
      <c r="R31">
        <v>-1</v>
      </c>
      <c r="S31">
        <v>30</v>
      </c>
      <c r="T31">
        <v>17</v>
      </c>
      <c r="U31">
        <v>34</v>
      </c>
      <c r="V31">
        <v>20260909030</v>
      </c>
    </row>
    <row r="32" spans="1:22" x14ac:dyDescent="0.2">
      <c r="A32" s="34" t="s">
        <v>122</v>
      </c>
      <c r="B32" s="28">
        <v>46274</v>
      </c>
      <c r="C32" s="34"/>
      <c r="D32" s="34" t="s">
        <v>123</v>
      </c>
      <c r="E32" s="34" t="s">
        <v>244</v>
      </c>
      <c r="F32" s="34" t="s">
        <v>245</v>
      </c>
      <c r="G32" s="34" t="s">
        <v>246</v>
      </c>
      <c r="H32" s="34" t="s">
        <v>247</v>
      </c>
      <c r="J32">
        <v>0</v>
      </c>
      <c r="K32">
        <v>0</v>
      </c>
      <c r="M32">
        <v>0</v>
      </c>
      <c r="O32" s="28"/>
      <c r="R32">
        <v>-1</v>
      </c>
      <c r="S32">
        <v>31</v>
      </c>
      <c r="T32">
        <v>17</v>
      </c>
      <c r="U32">
        <v>35</v>
      </c>
      <c r="V32">
        <v>20260909031</v>
      </c>
    </row>
    <row r="33" spans="1:22" x14ac:dyDescent="0.2">
      <c r="A33" s="34" t="s">
        <v>122</v>
      </c>
      <c r="B33" s="28">
        <v>46274</v>
      </c>
      <c r="C33" s="34"/>
      <c r="D33" s="34" t="s">
        <v>123</v>
      </c>
      <c r="E33" s="34" t="s">
        <v>248</v>
      </c>
      <c r="F33" s="34" t="s">
        <v>249</v>
      </c>
      <c r="G33" s="34" t="s">
        <v>250</v>
      </c>
      <c r="H33" s="34" t="s">
        <v>251</v>
      </c>
      <c r="J33">
        <v>0</v>
      </c>
      <c r="K33">
        <v>0</v>
      </c>
      <c r="M33">
        <v>0</v>
      </c>
      <c r="O33" s="28"/>
      <c r="R33">
        <v>-1</v>
      </c>
      <c r="S33">
        <v>32</v>
      </c>
      <c r="T33">
        <v>17</v>
      </c>
      <c r="U33">
        <v>36</v>
      </c>
      <c r="V33">
        <v>20260909032</v>
      </c>
    </row>
    <row r="34" spans="1:22" x14ac:dyDescent="0.2">
      <c r="A34" s="34" t="s">
        <v>122</v>
      </c>
      <c r="B34" s="28">
        <v>46274</v>
      </c>
      <c r="C34" s="34"/>
      <c r="D34" s="34" t="s">
        <v>123</v>
      </c>
      <c r="E34" s="34" t="s">
        <v>252</v>
      </c>
      <c r="F34" s="34" t="s">
        <v>253</v>
      </c>
      <c r="G34" s="34" t="s">
        <v>254</v>
      </c>
      <c r="H34" s="34" t="s">
        <v>255</v>
      </c>
      <c r="J34">
        <v>0</v>
      </c>
      <c r="K34">
        <v>0</v>
      </c>
      <c r="M34">
        <v>6</v>
      </c>
      <c r="O34" s="28"/>
      <c r="R34">
        <v>-1</v>
      </c>
      <c r="S34">
        <v>33</v>
      </c>
      <c r="T34">
        <v>17</v>
      </c>
      <c r="U34">
        <v>37</v>
      </c>
      <c r="V34">
        <v>20260909033</v>
      </c>
    </row>
    <row r="35" spans="1:22" x14ac:dyDescent="0.2">
      <c r="A35" s="34" t="s">
        <v>122</v>
      </c>
      <c r="B35" s="28">
        <v>46274</v>
      </c>
      <c r="C35" s="34"/>
      <c r="D35" s="34" t="s">
        <v>123</v>
      </c>
      <c r="E35" s="34" t="s">
        <v>256</v>
      </c>
      <c r="F35" s="34" t="s">
        <v>257</v>
      </c>
      <c r="G35" s="34" t="s">
        <v>258</v>
      </c>
      <c r="H35" s="34" t="s">
        <v>259</v>
      </c>
      <c r="J35">
        <v>0</v>
      </c>
      <c r="K35">
        <v>0</v>
      </c>
      <c r="M35">
        <v>1</v>
      </c>
      <c r="O35" s="28"/>
      <c r="R35">
        <v>-1</v>
      </c>
      <c r="S35">
        <v>34</v>
      </c>
      <c r="T35">
        <v>17</v>
      </c>
      <c r="U35">
        <v>38</v>
      </c>
      <c r="V35">
        <v>20260909034</v>
      </c>
    </row>
    <row r="36" spans="1:22" x14ac:dyDescent="0.2">
      <c r="A36" s="34" t="s">
        <v>122</v>
      </c>
      <c r="B36" s="28">
        <v>46274</v>
      </c>
      <c r="C36" s="34"/>
      <c r="D36" s="34" t="s">
        <v>123</v>
      </c>
      <c r="E36" s="34" t="s">
        <v>260</v>
      </c>
      <c r="F36" s="34" t="s">
        <v>261</v>
      </c>
      <c r="G36" s="34" t="s">
        <v>262</v>
      </c>
      <c r="H36" s="34" t="s">
        <v>263</v>
      </c>
      <c r="J36">
        <v>0</v>
      </c>
      <c r="K36">
        <v>0</v>
      </c>
      <c r="M36">
        <v>1</v>
      </c>
      <c r="O36" s="28"/>
      <c r="R36">
        <v>-1</v>
      </c>
      <c r="S36">
        <v>35</v>
      </c>
      <c r="T36">
        <v>17</v>
      </c>
      <c r="U36">
        <v>39</v>
      </c>
      <c r="V36">
        <v>20260909035</v>
      </c>
    </row>
    <row r="37" spans="1:22" x14ac:dyDescent="0.2">
      <c r="A37" s="34" t="s">
        <v>122</v>
      </c>
      <c r="B37" s="28">
        <v>46274</v>
      </c>
      <c r="C37" s="34"/>
      <c r="D37" s="34" t="s">
        <v>123</v>
      </c>
      <c r="E37" s="34" t="s">
        <v>264</v>
      </c>
      <c r="F37" s="34" t="s">
        <v>265</v>
      </c>
      <c r="G37" s="34" t="s">
        <v>266</v>
      </c>
      <c r="H37" s="34" t="s">
        <v>267</v>
      </c>
      <c r="J37">
        <v>0</v>
      </c>
      <c r="K37">
        <v>0</v>
      </c>
      <c r="M37">
        <v>5</v>
      </c>
      <c r="O37" s="28"/>
      <c r="R37">
        <v>-1</v>
      </c>
      <c r="S37">
        <v>36</v>
      </c>
      <c r="T37">
        <v>17</v>
      </c>
      <c r="U37">
        <v>40</v>
      </c>
      <c r="V37">
        <v>20260909036</v>
      </c>
    </row>
    <row r="38" spans="1:22" x14ac:dyDescent="0.2">
      <c r="A38" s="34" t="s">
        <v>122</v>
      </c>
      <c r="B38" s="28">
        <v>46274</v>
      </c>
      <c r="C38" s="34"/>
      <c r="D38" s="34" t="s">
        <v>123</v>
      </c>
      <c r="E38" s="34" t="s">
        <v>268</v>
      </c>
      <c r="F38" s="34" t="s">
        <v>269</v>
      </c>
      <c r="G38" s="34" t="s">
        <v>270</v>
      </c>
      <c r="H38" s="34" t="s">
        <v>271</v>
      </c>
      <c r="J38">
        <v>0</v>
      </c>
      <c r="K38">
        <v>0</v>
      </c>
      <c r="M38">
        <v>0</v>
      </c>
      <c r="O38" s="28"/>
      <c r="R38">
        <v>-1</v>
      </c>
      <c r="S38">
        <v>37</v>
      </c>
      <c r="T38">
        <v>17</v>
      </c>
      <c r="U38">
        <v>41</v>
      </c>
      <c r="V38">
        <v>20260909037</v>
      </c>
    </row>
    <row r="39" spans="1:22" x14ac:dyDescent="0.2">
      <c r="A39" s="34" t="s">
        <v>122</v>
      </c>
      <c r="B39" s="28">
        <v>46274</v>
      </c>
      <c r="C39" s="34"/>
      <c r="D39" s="34" t="s">
        <v>123</v>
      </c>
      <c r="E39" s="34" t="s">
        <v>272</v>
      </c>
      <c r="F39" s="34" t="s">
        <v>341</v>
      </c>
      <c r="G39" s="34" t="s">
        <v>273</v>
      </c>
      <c r="H39" s="34" t="s">
        <v>274</v>
      </c>
      <c r="J39">
        <v>0</v>
      </c>
      <c r="K39">
        <v>0</v>
      </c>
      <c r="M39">
        <v>2</v>
      </c>
      <c r="O39" s="28"/>
      <c r="R39">
        <v>-1</v>
      </c>
      <c r="S39">
        <v>38</v>
      </c>
      <c r="T39">
        <v>17</v>
      </c>
      <c r="U39">
        <v>42</v>
      </c>
      <c r="V39">
        <v>20260909038</v>
      </c>
    </row>
    <row r="40" spans="1:22" x14ac:dyDescent="0.2">
      <c r="A40" s="34" t="s">
        <v>122</v>
      </c>
      <c r="B40" s="28">
        <v>46274</v>
      </c>
      <c r="C40" s="34"/>
      <c r="D40" s="34" t="s">
        <v>123</v>
      </c>
      <c r="E40" s="34" t="s">
        <v>275</v>
      </c>
      <c r="F40" s="34" t="s">
        <v>276</v>
      </c>
      <c r="G40" s="34" t="s">
        <v>277</v>
      </c>
      <c r="H40" s="34" t="s">
        <v>278</v>
      </c>
      <c r="J40">
        <v>0</v>
      </c>
      <c r="K40">
        <v>0</v>
      </c>
      <c r="M40">
        <v>0</v>
      </c>
      <c r="O40" s="28"/>
      <c r="R40">
        <v>-1</v>
      </c>
      <c r="S40">
        <v>39</v>
      </c>
      <c r="T40">
        <v>17</v>
      </c>
      <c r="U40">
        <v>43</v>
      </c>
      <c r="V40">
        <v>20260909039</v>
      </c>
    </row>
    <row r="41" spans="1:22" x14ac:dyDescent="0.2">
      <c r="A41" s="34" t="s">
        <v>122</v>
      </c>
      <c r="B41" s="28">
        <v>46274</v>
      </c>
      <c r="C41" s="34"/>
      <c r="D41" s="34" t="s">
        <v>123</v>
      </c>
      <c r="E41" s="34" t="s">
        <v>279</v>
      </c>
      <c r="F41" s="34" t="s">
        <v>280</v>
      </c>
      <c r="G41" s="34" t="s">
        <v>281</v>
      </c>
      <c r="H41" s="34" t="s">
        <v>282</v>
      </c>
      <c r="J41">
        <v>0</v>
      </c>
      <c r="K41">
        <v>0</v>
      </c>
      <c r="M41">
        <v>1</v>
      </c>
      <c r="O41" s="28"/>
      <c r="R41">
        <v>-1</v>
      </c>
      <c r="S41">
        <v>40</v>
      </c>
      <c r="T41">
        <v>17</v>
      </c>
      <c r="U41">
        <v>44</v>
      </c>
      <c r="V41">
        <v>20260909040</v>
      </c>
    </row>
    <row r="42" spans="1:22" x14ac:dyDescent="0.2">
      <c r="A42" s="34" t="s">
        <v>122</v>
      </c>
      <c r="B42" s="28">
        <v>46274</v>
      </c>
      <c r="C42" s="34"/>
      <c r="D42" s="34" t="s">
        <v>123</v>
      </c>
      <c r="E42" s="34" t="s">
        <v>283</v>
      </c>
      <c r="F42" s="34" t="s">
        <v>284</v>
      </c>
      <c r="G42" s="34" t="s">
        <v>285</v>
      </c>
      <c r="H42" s="34" t="s">
        <v>286</v>
      </c>
      <c r="J42">
        <v>0</v>
      </c>
      <c r="K42">
        <v>0</v>
      </c>
      <c r="M42">
        <v>0</v>
      </c>
      <c r="O42" s="28"/>
      <c r="R42">
        <v>-1</v>
      </c>
      <c r="S42">
        <v>41</v>
      </c>
      <c r="T42">
        <v>17</v>
      </c>
      <c r="U42">
        <v>45</v>
      </c>
      <c r="V42">
        <v>20260909041</v>
      </c>
    </row>
    <row r="43" spans="1:22" x14ac:dyDescent="0.2">
      <c r="A43" s="34" t="s">
        <v>122</v>
      </c>
      <c r="B43" s="28">
        <v>46274</v>
      </c>
      <c r="C43" s="34"/>
      <c r="D43" s="34" t="s">
        <v>123</v>
      </c>
      <c r="E43" s="34" t="s">
        <v>287</v>
      </c>
      <c r="F43" s="34" t="s">
        <v>288</v>
      </c>
      <c r="G43" s="34" t="s">
        <v>289</v>
      </c>
      <c r="H43" s="34" t="s">
        <v>290</v>
      </c>
      <c r="J43">
        <v>0</v>
      </c>
      <c r="K43">
        <v>0</v>
      </c>
      <c r="M43">
        <v>4</v>
      </c>
      <c r="O43" s="28"/>
      <c r="R43">
        <v>-1</v>
      </c>
      <c r="S43">
        <v>42</v>
      </c>
      <c r="T43">
        <v>17</v>
      </c>
      <c r="U43">
        <v>46</v>
      </c>
      <c r="V43">
        <v>20260909042</v>
      </c>
    </row>
    <row r="44" spans="1:22" x14ac:dyDescent="0.2">
      <c r="A44" s="34" t="s">
        <v>122</v>
      </c>
      <c r="B44" s="28">
        <v>46274</v>
      </c>
      <c r="C44" s="34"/>
      <c r="D44" s="34" t="s">
        <v>123</v>
      </c>
      <c r="E44" s="34" t="s">
        <v>291</v>
      </c>
      <c r="F44" s="34" t="s">
        <v>342</v>
      </c>
      <c r="G44" s="34" t="s">
        <v>292</v>
      </c>
      <c r="H44" s="34" t="s">
        <v>293</v>
      </c>
      <c r="J44">
        <v>0</v>
      </c>
      <c r="K44">
        <v>0</v>
      </c>
      <c r="M44">
        <v>0</v>
      </c>
      <c r="O44" s="28"/>
      <c r="R44">
        <v>-1</v>
      </c>
      <c r="S44">
        <v>43</v>
      </c>
      <c r="T44">
        <v>17</v>
      </c>
      <c r="U44">
        <v>47</v>
      </c>
      <c r="V44">
        <v>20260909043</v>
      </c>
    </row>
    <row r="45" spans="1:22" x14ac:dyDescent="0.2">
      <c r="A45" s="34" t="s">
        <v>122</v>
      </c>
      <c r="B45" s="28">
        <v>46274</v>
      </c>
      <c r="C45" s="34"/>
      <c r="D45" s="34" t="s">
        <v>123</v>
      </c>
      <c r="E45" s="34" t="s">
        <v>294</v>
      </c>
      <c r="F45" s="34" t="s">
        <v>295</v>
      </c>
      <c r="G45" s="34" t="s">
        <v>296</v>
      </c>
      <c r="H45" s="34" t="s">
        <v>297</v>
      </c>
      <c r="J45">
        <v>0</v>
      </c>
      <c r="K45">
        <v>0</v>
      </c>
      <c r="M45">
        <v>12</v>
      </c>
      <c r="O45" s="28"/>
      <c r="R45">
        <v>-1</v>
      </c>
      <c r="S45">
        <v>44</v>
      </c>
      <c r="T45">
        <v>17</v>
      </c>
      <c r="U45">
        <v>48</v>
      </c>
      <c r="V45">
        <v>20260909044</v>
      </c>
    </row>
    <row r="46" spans="1:22" x14ac:dyDescent="0.2">
      <c r="A46" s="34" t="s">
        <v>122</v>
      </c>
      <c r="B46" s="28">
        <v>46274</v>
      </c>
      <c r="C46" s="34"/>
      <c r="D46" s="34" t="s">
        <v>123</v>
      </c>
      <c r="E46" s="34" t="s">
        <v>298</v>
      </c>
      <c r="F46" s="34" t="s">
        <v>299</v>
      </c>
      <c r="G46" s="34" t="s">
        <v>300</v>
      </c>
      <c r="H46" s="34" t="s">
        <v>301</v>
      </c>
      <c r="J46">
        <v>0</v>
      </c>
      <c r="K46">
        <v>0</v>
      </c>
      <c r="M46">
        <v>0</v>
      </c>
      <c r="O46" s="28"/>
      <c r="R46">
        <v>-1</v>
      </c>
      <c r="S46">
        <v>45</v>
      </c>
      <c r="T46">
        <v>17</v>
      </c>
      <c r="U46">
        <v>49</v>
      </c>
      <c r="V46">
        <v>20260909045</v>
      </c>
    </row>
    <row r="47" spans="1:22" x14ac:dyDescent="0.2">
      <c r="A47" s="34" t="s">
        <v>122</v>
      </c>
      <c r="B47" s="28">
        <v>46274</v>
      </c>
      <c r="C47" s="34"/>
      <c r="D47" s="34" t="s">
        <v>123</v>
      </c>
      <c r="E47" s="34" t="s">
        <v>302</v>
      </c>
      <c r="F47" s="34" t="s">
        <v>303</v>
      </c>
      <c r="G47" s="34" t="s">
        <v>304</v>
      </c>
      <c r="H47" s="34" t="s">
        <v>305</v>
      </c>
      <c r="J47">
        <v>0</v>
      </c>
      <c r="K47">
        <v>0</v>
      </c>
      <c r="M47">
        <v>0</v>
      </c>
      <c r="O47" s="28"/>
      <c r="R47">
        <v>-1</v>
      </c>
      <c r="S47">
        <v>46</v>
      </c>
      <c r="T47">
        <v>17</v>
      </c>
      <c r="U47">
        <v>50</v>
      </c>
      <c r="V47">
        <v>20260909046</v>
      </c>
    </row>
    <row r="48" spans="1:22" x14ac:dyDescent="0.2">
      <c r="A48" s="34" t="s">
        <v>122</v>
      </c>
      <c r="B48" s="28">
        <v>46274</v>
      </c>
      <c r="C48" s="34"/>
      <c r="D48" s="34" t="s">
        <v>123</v>
      </c>
      <c r="E48" s="34" t="s">
        <v>306</v>
      </c>
      <c r="F48" s="34" t="s">
        <v>307</v>
      </c>
      <c r="G48" s="34" t="s">
        <v>308</v>
      </c>
      <c r="H48" s="34" t="s">
        <v>309</v>
      </c>
      <c r="J48">
        <v>0</v>
      </c>
      <c r="K48">
        <v>0</v>
      </c>
      <c r="M48">
        <v>0</v>
      </c>
      <c r="O48" s="28"/>
      <c r="R48">
        <v>-1</v>
      </c>
      <c r="S48">
        <v>47</v>
      </c>
      <c r="T48">
        <v>17</v>
      </c>
      <c r="U48">
        <v>51</v>
      </c>
      <c r="V48">
        <v>20260909047</v>
      </c>
    </row>
    <row r="49" spans="1:22" x14ac:dyDescent="0.2">
      <c r="A49" s="34" t="s">
        <v>122</v>
      </c>
      <c r="B49" s="28">
        <v>46274</v>
      </c>
      <c r="C49" s="34"/>
      <c r="D49" s="34" t="s">
        <v>123</v>
      </c>
      <c r="E49" s="34" t="s">
        <v>310</v>
      </c>
      <c r="F49" s="34" t="s">
        <v>311</v>
      </c>
      <c r="G49" s="34" t="s">
        <v>312</v>
      </c>
      <c r="H49" s="34" t="s">
        <v>313</v>
      </c>
      <c r="J49">
        <v>0</v>
      </c>
      <c r="K49">
        <v>0</v>
      </c>
      <c r="M49">
        <v>1</v>
      </c>
      <c r="O49" s="28"/>
      <c r="R49">
        <v>-1</v>
      </c>
      <c r="S49">
        <v>48</v>
      </c>
      <c r="T49">
        <v>17</v>
      </c>
      <c r="U49">
        <v>52</v>
      </c>
      <c r="V49">
        <v>20260909048</v>
      </c>
    </row>
    <row r="50" spans="1:22" x14ac:dyDescent="0.2">
      <c r="A50" s="34" t="s">
        <v>122</v>
      </c>
      <c r="B50" s="28">
        <v>46274</v>
      </c>
      <c r="C50" s="34"/>
      <c r="D50" s="34" t="s">
        <v>123</v>
      </c>
      <c r="E50" s="34" t="s">
        <v>314</v>
      </c>
      <c r="F50" s="34" t="s">
        <v>315</v>
      </c>
      <c r="G50" s="34" t="s">
        <v>316</v>
      </c>
      <c r="H50" s="34" t="s">
        <v>317</v>
      </c>
      <c r="J50">
        <v>0</v>
      </c>
      <c r="K50">
        <v>0</v>
      </c>
      <c r="M50">
        <v>2</v>
      </c>
      <c r="O50" s="28"/>
      <c r="R50">
        <v>-1</v>
      </c>
      <c r="S50">
        <v>49</v>
      </c>
      <c r="T50">
        <v>17</v>
      </c>
      <c r="U50">
        <v>53</v>
      </c>
      <c r="V50">
        <v>20260909049</v>
      </c>
    </row>
    <row r="51" spans="1:22" x14ac:dyDescent="0.2">
      <c r="A51" s="34" t="s">
        <v>122</v>
      </c>
      <c r="B51" s="28">
        <v>46274</v>
      </c>
      <c r="C51" s="34"/>
      <c r="D51" s="34" t="s">
        <v>123</v>
      </c>
      <c r="E51" s="34" t="s">
        <v>318</v>
      </c>
      <c r="F51" s="34" t="s">
        <v>319</v>
      </c>
      <c r="G51" s="34" t="s">
        <v>320</v>
      </c>
      <c r="H51" s="34" t="s">
        <v>321</v>
      </c>
      <c r="J51">
        <v>0</v>
      </c>
      <c r="K51">
        <v>0</v>
      </c>
      <c r="M51">
        <v>0</v>
      </c>
      <c r="O51" s="28"/>
      <c r="R51">
        <v>-1</v>
      </c>
      <c r="S51">
        <v>50</v>
      </c>
      <c r="T51">
        <v>17</v>
      </c>
      <c r="U51">
        <v>54</v>
      </c>
      <c r="V51">
        <v>20260909050</v>
      </c>
    </row>
    <row r="52" spans="1:22" x14ac:dyDescent="0.2">
      <c r="A52" s="34" t="s">
        <v>122</v>
      </c>
      <c r="B52" s="28">
        <v>46274</v>
      </c>
      <c r="C52" s="34"/>
      <c r="D52" s="34" t="s">
        <v>123</v>
      </c>
      <c r="E52" s="34" t="s">
        <v>322</v>
      </c>
      <c r="F52" s="34" t="s">
        <v>323</v>
      </c>
      <c r="G52" s="34" t="s">
        <v>324</v>
      </c>
      <c r="H52" s="34" t="s">
        <v>325</v>
      </c>
      <c r="J52">
        <v>0</v>
      </c>
      <c r="K52">
        <v>0</v>
      </c>
      <c r="M52">
        <v>0</v>
      </c>
      <c r="O52" s="28"/>
      <c r="R52">
        <v>-1</v>
      </c>
      <c r="S52">
        <v>51</v>
      </c>
      <c r="T52">
        <v>17</v>
      </c>
      <c r="U52">
        <v>55</v>
      </c>
      <c r="V52">
        <v>20260909051</v>
      </c>
    </row>
    <row r="53" spans="1:22" x14ac:dyDescent="0.2">
      <c r="A53" s="34" t="s">
        <v>122</v>
      </c>
      <c r="B53" s="28">
        <v>46274</v>
      </c>
      <c r="C53" s="34"/>
      <c r="D53" s="34" t="s">
        <v>123</v>
      </c>
      <c r="E53" s="34" t="s">
        <v>326</v>
      </c>
      <c r="F53" s="34" t="s">
        <v>327</v>
      </c>
      <c r="G53" s="34" t="s">
        <v>328</v>
      </c>
      <c r="H53" s="34" t="s">
        <v>329</v>
      </c>
      <c r="J53">
        <v>0</v>
      </c>
      <c r="K53">
        <v>0</v>
      </c>
      <c r="M53">
        <v>3</v>
      </c>
      <c r="O53" s="28"/>
      <c r="R53">
        <v>-1</v>
      </c>
      <c r="S53">
        <v>52</v>
      </c>
      <c r="T53">
        <v>17</v>
      </c>
      <c r="U53">
        <v>73</v>
      </c>
      <c r="V53">
        <v>20260909052</v>
      </c>
    </row>
    <row r="54" spans="1:22" x14ac:dyDescent="0.2">
      <c r="A54" s="34" t="s">
        <v>122</v>
      </c>
      <c r="B54" s="28">
        <v>46274</v>
      </c>
      <c r="C54" s="34"/>
      <c r="D54" s="34" t="s">
        <v>123</v>
      </c>
      <c r="E54" s="34" t="s">
        <v>330</v>
      </c>
      <c r="F54" s="34" t="s">
        <v>331</v>
      </c>
      <c r="G54" s="34" t="s">
        <v>332</v>
      </c>
      <c r="H54" s="34" t="s">
        <v>333</v>
      </c>
      <c r="J54">
        <v>0</v>
      </c>
      <c r="K54">
        <v>0</v>
      </c>
      <c r="M54">
        <v>0</v>
      </c>
      <c r="O54" s="28"/>
      <c r="R54">
        <v>-1</v>
      </c>
      <c r="S54">
        <v>53</v>
      </c>
      <c r="T54">
        <v>17</v>
      </c>
      <c r="U54">
        <v>74</v>
      </c>
      <c r="V54">
        <v>20260909053</v>
      </c>
    </row>
    <row r="55" spans="1:22" x14ac:dyDescent="0.2">
      <c r="A55" s="34" t="s">
        <v>122</v>
      </c>
      <c r="B55" s="28">
        <v>46274</v>
      </c>
      <c r="C55" s="34"/>
      <c r="D55" s="34" t="s">
        <v>123</v>
      </c>
      <c r="E55" s="34" t="s">
        <v>334</v>
      </c>
      <c r="F55" s="34" t="s">
        <v>335</v>
      </c>
      <c r="G55" s="34" t="s">
        <v>336</v>
      </c>
      <c r="H55" s="34" t="s">
        <v>337</v>
      </c>
      <c r="J55">
        <v>0</v>
      </c>
      <c r="K55">
        <v>0</v>
      </c>
      <c r="M55">
        <v>3</v>
      </c>
      <c r="O55" s="28"/>
      <c r="R55">
        <v>-1</v>
      </c>
      <c r="S55">
        <v>54</v>
      </c>
      <c r="T55">
        <v>17</v>
      </c>
      <c r="U55">
        <v>75</v>
      </c>
      <c r="V55">
        <v>20260909054</v>
      </c>
    </row>
    <row r="56" spans="1:22" x14ac:dyDescent="0.2">
      <c r="A56" s="34" t="s">
        <v>122</v>
      </c>
      <c r="B56" s="28">
        <v>46275</v>
      </c>
      <c r="C56" s="34"/>
      <c r="D56" s="34" t="s">
        <v>123</v>
      </c>
      <c r="E56" s="34" t="s">
        <v>124</v>
      </c>
      <c r="F56" s="34" t="s">
        <v>125</v>
      </c>
      <c r="G56" s="34" t="s">
        <v>126</v>
      </c>
      <c r="H56" s="34" t="s">
        <v>127</v>
      </c>
      <c r="I56">
        <v>0</v>
      </c>
      <c r="J56">
        <v>0</v>
      </c>
      <c r="K56">
        <v>1</v>
      </c>
      <c r="L56">
        <v>-1</v>
      </c>
      <c r="O56" s="28">
        <v>46274</v>
      </c>
      <c r="R56">
        <v>-1</v>
      </c>
      <c r="S56">
        <v>1</v>
      </c>
      <c r="T56">
        <v>16</v>
      </c>
      <c r="U56">
        <v>1</v>
      </c>
      <c r="V56">
        <v>20260910001</v>
      </c>
    </row>
    <row r="57" spans="1:22" x14ac:dyDescent="0.2">
      <c r="A57" s="34" t="s">
        <v>122</v>
      </c>
      <c r="B57" s="28">
        <v>46275</v>
      </c>
      <c r="C57" s="34"/>
      <c r="D57" s="34" t="s">
        <v>123</v>
      </c>
      <c r="E57" s="34" t="s">
        <v>128</v>
      </c>
      <c r="F57" s="34" t="s">
        <v>129</v>
      </c>
      <c r="G57" s="34" t="s">
        <v>130</v>
      </c>
      <c r="H57" s="34" t="s">
        <v>131</v>
      </c>
      <c r="I57">
        <v>0</v>
      </c>
      <c r="J57">
        <v>0</v>
      </c>
      <c r="K57">
        <v>1</v>
      </c>
      <c r="L57">
        <v>-1</v>
      </c>
      <c r="O57" s="28">
        <v>46274</v>
      </c>
      <c r="R57">
        <v>-1</v>
      </c>
      <c r="S57">
        <v>2</v>
      </c>
      <c r="T57">
        <v>16</v>
      </c>
      <c r="U57">
        <v>2</v>
      </c>
      <c r="V57">
        <v>20260910002</v>
      </c>
    </row>
    <row r="58" spans="1:22" x14ac:dyDescent="0.2">
      <c r="A58" s="34" t="s">
        <v>122</v>
      </c>
      <c r="B58" s="28">
        <v>46275</v>
      </c>
      <c r="C58" s="34"/>
      <c r="D58" s="34" t="s">
        <v>123</v>
      </c>
      <c r="E58" s="34" t="s">
        <v>132</v>
      </c>
      <c r="F58" s="34" t="s">
        <v>133</v>
      </c>
      <c r="G58" s="34" t="s">
        <v>134</v>
      </c>
      <c r="H58" s="34" t="s">
        <v>135</v>
      </c>
      <c r="I58">
        <v>0</v>
      </c>
      <c r="J58">
        <v>0</v>
      </c>
      <c r="K58">
        <v>1</v>
      </c>
      <c r="L58">
        <v>-1</v>
      </c>
      <c r="O58" s="28">
        <v>46274</v>
      </c>
      <c r="R58">
        <v>-1</v>
      </c>
      <c r="S58">
        <v>3</v>
      </c>
      <c r="T58">
        <v>16</v>
      </c>
      <c r="U58">
        <v>3</v>
      </c>
      <c r="V58">
        <v>20260910003</v>
      </c>
    </row>
    <row r="59" spans="1:22" x14ac:dyDescent="0.2">
      <c r="A59" s="34" t="s">
        <v>122</v>
      </c>
      <c r="B59" s="28">
        <v>46275</v>
      </c>
      <c r="C59" s="34"/>
      <c r="D59" s="34" t="s">
        <v>123</v>
      </c>
      <c r="E59" s="34" t="s">
        <v>136</v>
      </c>
      <c r="F59" s="34" t="s">
        <v>137</v>
      </c>
      <c r="G59" s="34" t="s">
        <v>138</v>
      </c>
      <c r="H59" s="34" t="s">
        <v>139</v>
      </c>
      <c r="I59">
        <v>0</v>
      </c>
      <c r="J59">
        <v>0</v>
      </c>
      <c r="K59">
        <v>1</v>
      </c>
      <c r="L59">
        <v>-1</v>
      </c>
      <c r="O59" s="28">
        <v>46274</v>
      </c>
      <c r="R59">
        <v>-1</v>
      </c>
      <c r="S59">
        <v>4</v>
      </c>
      <c r="T59">
        <v>16</v>
      </c>
      <c r="U59">
        <v>4</v>
      </c>
      <c r="V59">
        <v>20260910004</v>
      </c>
    </row>
    <row r="60" spans="1:22" x14ac:dyDescent="0.2">
      <c r="A60" s="34" t="s">
        <v>122</v>
      </c>
      <c r="B60" s="28">
        <v>46275</v>
      </c>
      <c r="C60" s="34"/>
      <c r="D60" s="34" t="s">
        <v>123</v>
      </c>
      <c r="E60" s="34" t="s">
        <v>140</v>
      </c>
      <c r="F60" s="34" t="s">
        <v>141</v>
      </c>
      <c r="G60" s="34" t="s">
        <v>142</v>
      </c>
      <c r="H60" s="34" t="s">
        <v>143</v>
      </c>
      <c r="I60">
        <v>0</v>
      </c>
      <c r="J60">
        <v>0</v>
      </c>
      <c r="K60">
        <v>1</v>
      </c>
      <c r="L60">
        <v>-1</v>
      </c>
      <c r="O60" s="28">
        <v>46274</v>
      </c>
      <c r="R60">
        <v>-1</v>
      </c>
      <c r="S60">
        <v>5</v>
      </c>
      <c r="T60">
        <v>16</v>
      </c>
      <c r="U60">
        <v>5</v>
      </c>
      <c r="V60">
        <v>20260910005</v>
      </c>
    </row>
    <row r="61" spans="1:22" x14ac:dyDescent="0.2">
      <c r="A61" s="34" t="s">
        <v>122</v>
      </c>
      <c r="B61" s="28">
        <v>46275</v>
      </c>
      <c r="C61" s="34"/>
      <c r="D61" s="34" t="s">
        <v>123</v>
      </c>
      <c r="E61" s="34" t="s">
        <v>144</v>
      </c>
      <c r="F61" s="34" t="s">
        <v>145</v>
      </c>
      <c r="G61" s="34" t="s">
        <v>146</v>
      </c>
      <c r="H61" s="34" t="s">
        <v>147</v>
      </c>
      <c r="I61">
        <v>0</v>
      </c>
      <c r="J61">
        <v>0</v>
      </c>
      <c r="K61">
        <v>1</v>
      </c>
      <c r="L61">
        <v>-1</v>
      </c>
      <c r="O61" s="28">
        <v>46274</v>
      </c>
      <c r="R61">
        <v>-1</v>
      </c>
      <c r="S61">
        <v>6</v>
      </c>
      <c r="T61">
        <v>16</v>
      </c>
      <c r="U61">
        <v>6</v>
      </c>
      <c r="V61">
        <v>20260910006</v>
      </c>
    </row>
    <row r="62" spans="1:22" x14ac:dyDescent="0.2">
      <c r="A62" s="34" t="s">
        <v>122</v>
      </c>
      <c r="B62" s="28">
        <v>46275</v>
      </c>
      <c r="C62" s="34"/>
      <c r="D62" s="34" t="s">
        <v>123</v>
      </c>
      <c r="E62" s="34" t="s">
        <v>148</v>
      </c>
      <c r="F62" s="34" t="s">
        <v>149</v>
      </c>
      <c r="G62" s="34" t="s">
        <v>150</v>
      </c>
      <c r="H62" s="34" t="s">
        <v>151</v>
      </c>
      <c r="I62">
        <v>0</v>
      </c>
      <c r="J62">
        <v>0</v>
      </c>
      <c r="K62">
        <v>3</v>
      </c>
      <c r="L62">
        <v>-3</v>
      </c>
      <c r="O62" s="28">
        <v>46274</v>
      </c>
      <c r="R62">
        <v>-1</v>
      </c>
      <c r="S62">
        <v>7</v>
      </c>
      <c r="T62">
        <v>16</v>
      </c>
      <c r="U62">
        <v>7</v>
      </c>
      <c r="V62">
        <v>20260910007</v>
      </c>
    </row>
    <row r="63" spans="1:22" x14ac:dyDescent="0.2">
      <c r="A63" s="34" t="s">
        <v>122</v>
      </c>
      <c r="B63" s="28">
        <v>46275</v>
      </c>
      <c r="C63" s="34"/>
      <c r="D63" s="34" t="s">
        <v>123</v>
      </c>
      <c r="E63" s="34" t="s">
        <v>152</v>
      </c>
      <c r="F63" s="34" t="s">
        <v>153</v>
      </c>
      <c r="G63" s="34" t="s">
        <v>154</v>
      </c>
      <c r="H63" s="34" t="s">
        <v>155</v>
      </c>
      <c r="I63">
        <v>0</v>
      </c>
      <c r="J63">
        <v>0</v>
      </c>
      <c r="K63">
        <v>1</v>
      </c>
      <c r="L63">
        <v>-1</v>
      </c>
      <c r="O63" s="28">
        <v>46274</v>
      </c>
      <c r="R63">
        <v>-1</v>
      </c>
      <c r="S63">
        <v>8</v>
      </c>
      <c r="T63">
        <v>16</v>
      </c>
      <c r="U63">
        <v>8</v>
      </c>
      <c r="V63">
        <v>20260910008</v>
      </c>
    </row>
    <row r="64" spans="1:22" x14ac:dyDescent="0.2">
      <c r="A64" s="34" t="s">
        <v>122</v>
      </c>
      <c r="B64" s="28">
        <v>46275</v>
      </c>
      <c r="C64" s="34"/>
      <c r="D64" s="34" t="s">
        <v>123</v>
      </c>
      <c r="E64" s="34" t="s">
        <v>156</v>
      </c>
      <c r="F64" s="34" t="s">
        <v>157</v>
      </c>
      <c r="G64" s="34" t="s">
        <v>158</v>
      </c>
      <c r="H64" s="34" t="s">
        <v>159</v>
      </c>
      <c r="I64">
        <v>0</v>
      </c>
      <c r="J64">
        <v>0</v>
      </c>
      <c r="K64">
        <v>3</v>
      </c>
      <c r="L64">
        <v>-3</v>
      </c>
      <c r="O64" s="28">
        <v>46274</v>
      </c>
      <c r="R64">
        <v>-1</v>
      </c>
      <c r="S64">
        <v>9</v>
      </c>
      <c r="T64">
        <v>16</v>
      </c>
      <c r="U64">
        <v>9</v>
      </c>
      <c r="V64">
        <v>20260910009</v>
      </c>
    </row>
    <row r="65" spans="1:22" x14ac:dyDescent="0.2">
      <c r="A65" s="34" t="s">
        <v>122</v>
      </c>
      <c r="B65" s="28">
        <v>46275</v>
      </c>
      <c r="C65" s="34"/>
      <c r="D65" s="34" t="s">
        <v>123</v>
      </c>
      <c r="E65" s="34" t="s">
        <v>160</v>
      </c>
      <c r="F65" s="34" t="s">
        <v>161</v>
      </c>
      <c r="G65" s="34" t="s">
        <v>162</v>
      </c>
      <c r="H65" s="34" t="s">
        <v>163</v>
      </c>
      <c r="I65">
        <v>0</v>
      </c>
      <c r="J65">
        <v>0</v>
      </c>
      <c r="K65">
        <v>1</v>
      </c>
      <c r="L65">
        <v>-1</v>
      </c>
      <c r="O65" s="28">
        <v>46274</v>
      </c>
      <c r="R65">
        <v>-1</v>
      </c>
      <c r="S65">
        <v>10</v>
      </c>
      <c r="T65">
        <v>16</v>
      </c>
      <c r="U65">
        <v>10</v>
      </c>
      <c r="V65">
        <v>20260910010</v>
      </c>
    </row>
    <row r="66" spans="1:22" x14ac:dyDescent="0.2">
      <c r="A66" s="34" t="s">
        <v>122</v>
      </c>
      <c r="B66" s="28">
        <v>46275</v>
      </c>
      <c r="C66" s="34"/>
      <c r="D66" s="34" t="s">
        <v>123</v>
      </c>
      <c r="E66" s="34" t="s">
        <v>164</v>
      </c>
      <c r="F66" s="34" t="s">
        <v>165</v>
      </c>
      <c r="G66" s="34" t="s">
        <v>166</v>
      </c>
      <c r="H66" s="34" t="s">
        <v>167</v>
      </c>
      <c r="I66">
        <v>0</v>
      </c>
      <c r="J66">
        <v>0</v>
      </c>
      <c r="K66">
        <v>2</v>
      </c>
      <c r="L66">
        <v>-2</v>
      </c>
      <c r="O66" s="28">
        <v>46274</v>
      </c>
      <c r="R66">
        <v>-1</v>
      </c>
      <c r="S66">
        <v>11</v>
      </c>
      <c r="T66">
        <v>16</v>
      </c>
      <c r="U66">
        <v>11</v>
      </c>
      <c r="V66">
        <v>20260910011</v>
      </c>
    </row>
    <row r="67" spans="1:22" x14ac:dyDescent="0.2">
      <c r="A67" s="34" t="s">
        <v>122</v>
      </c>
      <c r="B67" s="28">
        <v>46275</v>
      </c>
      <c r="C67" s="34"/>
      <c r="D67" s="34" t="s">
        <v>123</v>
      </c>
      <c r="E67" s="34" t="s">
        <v>168</v>
      </c>
      <c r="F67" s="34" t="s">
        <v>169</v>
      </c>
      <c r="G67" s="34" t="s">
        <v>170</v>
      </c>
      <c r="H67" s="34" t="s">
        <v>171</v>
      </c>
      <c r="I67">
        <v>0</v>
      </c>
      <c r="J67">
        <v>0</v>
      </c>
      <c r="K67">
        <v>3</v>
      </c>
      <c r="L67">
        <v>-3</v>
      </c>
      <c r="O67" s="28">
        <v>46274</v>
      </c>
      <c r="R67">
        <v>-1</v>
      </c>
      <c r="S67">
        <v>12</v>
      </c>
      <c r="T67">
        <v>16</v>
      </c>
      <c r="U67">
        <v>12</v>
      </c>
      <c r="V67">
        <v>20260910012</v>
      </c>
    </row>
    <row r="68" spans="1:22" x14ac:dyDescent="0.2">
      <c r="A68" s="34" t="s">
        <v>122</v>
      </c>
      <c r="B68" s="28">
        <v>46275</v>
      </c>
      <c r="C68" s="34"/>
      <c r="D68" s="34" t="s">
        <v>123</v>
      </c>
      <c r="E68" s="34" t="s">
        <v>172</v>
      </c>
      <c r="F68" s="34" t="s">
        <v>173</v>
      </c>
      <c r="G68" s="34" t="s">
        <v>174</v>
      </c>
      <c r="H68" s="34" t="s">
        <v>175</v>
      </c>
      <c r="I68">
        <v>0</v>
      </c>
      <c r="J68">
        <v>0</v>
      </c>
      <c r="K68">
        <v>1</v>
      </c>
      <c r="L68">
        <v>-1</v>
      </c>
      <c r="O68" s="28">
        <v>46274</v>
      </c>
      <c r="R68">
        <v>-1</v>
      </c>
      <c r="S68">
        <v>13</v>
      </c>
      <c r="T68">
        <v>16</v>
      </c>
      <c r="U68">
        <v>13</v>
      </c>
      <c r="V68">
        <v>20260910013</v>
      </c>
    </row>
    <row r="69" spans="1:22" x14ac:dyDescent="0.2">
      <c r="A69" s="34" t="s">
        <v>122</v>
      </c>
      <c r="B69" s="28">
        <v>46275</v>
      </c>
      <c r="C69" s="34"/>
      <c r="D69" s="34" t="s">
        <v>123</v>
      </c>
      <c r="E69" s="34" t="s">
        <v>176</v>
      </c>
      <c r="F69" s="34" t="s">
        <v>177</v>
      </c>
      <c r="G69" s="34" t="s">
        <v>178</v>
      </c>
      <c r="H69" s="34" t="s">
        <v>179</v>
      </c>
      <c r="I69">
        <v>0</v>
      </c>
      <c r="J69">
        <v>0</v>
      </c>
      <c r="K69">
        <v>1</v>
      </c>
      <c r="L69">
        <v>-1</v>
      </c>
      <c r="O69" s="28">
        <v>46274</v>
      </c>
      <c r="R69">
        <v>-1</v>
      </c>
      <c r="S69">
        <v>14</v>
      </c>
      <c r="T69">
        <v>16</v>
      </c>
      <c r="U69">
        <v>14</v>
      </c>
      <c r="V69">
        <v>20260910014</v>
      </c>
    </row>
    <row r="70" spans="1:22" x14ac:dyDescent="0.2">
      <c r="A70" s="34" t="s">
        <v>122</v>
      </c>
      <c r="B70" s="28">
        <v>46275</v>
      </c>
      <c r="C70" s="34"/>
      <c r="D70" s="34" t="s">
        <v>123</v>
      </c>
      <c r="E70" s="34" t="s">
        <v>180</v>
      </c>
      <c r="F70" s="34" t="s">
        <v>181</v>
      </c>
      <c r="G70" s="34" t="s">
        <v>182</v>
      </c>
      <c r="H70" s="34" t="s">
        <v>183</v>
      </c>
      <c r="I70">
        <v>0</v>
      </c>
      <c r="J70">
        <v>0</v>
      </c>
      <c r="K70">
        <v>2</v>
      </c>
      <c r="L70">
        <v>-2</v>
      </c>
      <c r="O70" s="28">
        <v>46274</v>
      </c>
      <c r="R70">
        <v>-1</v>
      </c>
      <c r="S70">
        <v>15</v>
      </c>
      <c r="T70">
        <v>16</v>
      </c>
      <c r="U70">
        <v>15</v>
      </c>
      <c r="V70">
        <v>20260910015</v>
      </c>
    </row>
    <row r="71" spans="1:22" x14ac:dyDescent="0.2">
      <c r="A71" s="34" t="s">
        <v>122</v>
      </c>
      <c r="B71" s="28">
        <v>46275</v>
      </c>
      <c r="C71" s="34"/>
      <c r="D71" s="34" t="s">
        <v>123</v>
      </c>
      <c r="E71" s="34" t="s">
        <v>184</v>
      </c>
      <c r="F71" s="34" t="s">
        <v>185</v>
      </c>
      <c r="G71" s="34" t="s">
        <v>186</v>
      </c>
      <c r="H71" s="34" t="s">
        <v>187</v>
      </c>
      <c r="I71">
        <v>0</v>
      </c>
      <c r="J71">
        <v>0</v>
      </c>
      <c r="K71">
        <v>1</v>
      </c>
      <c r="L71">
        <v>-1</v>
      </c>
      <c r="O71" s="28">
        <v>46274</v>
      </c>
      <c r="R71">
        <v>-1</v>
      </c>
      <c r="S71">
        <v>16</v>
      </c>
      <c r="T71">
        <v>16</v>
      </c>
      <c r="U71">
        <v>16</v>
      </c>
      <c r="V71">
        <v>20260910016</v>
      </c>
    </row>
    <row r="72" spans="1:22" x14ac:dyDescent="0.2">
      <c r="A72" s="34" t="s">
        <v>122</v>
      </c>
      <c r="B72" s="28">
        <v>46275</v>
      </c>
      <c r="C72" s="34"/>
      <c r="D72" s="34" t="s">
        <v>123</v>
      </c>
      <c r="E72" s="34" t="s">
        <v>188</v>
      </c>
      <c r="F72" s="34" t="s">
        <v>189</v>
      </c>
      <c r="G72" s="34" t="s">
        <v>190</v>
      </c>
      <c r="H72" s="34" t="s">
        <v>191</v>
      </c>
      <c r="I72">
        <v>0</v>
      </c>
      <c r="J72">
        <v>0</v>
      </c>
      <c r="K72">
        <v>1</v>
      </c>
      <c r="L72">
        <v>-1</v>
      </c>
      <c r="O72" s="28">
        <v>46274</v>
      </c>
      <c r="R72">
        <v>-1</v>
      </c>
      <c r="S72">
        <v>17</v>
      </c>
      <c r="T72">
        <v>16</v>
      </c>
      <c r="U72">
        <v>21</v>
      </c>
      <c r="V72">
        <v>20260910017</v>
      </c>
    </row>
    <row r="73" spans="1:22" x14ac:dyDescent="0.2">
      <c r="A73" s="34" t="s">
        <v>122</v>
      </c>
      <c r="B73" s="28">
        <v>46275</v>
      </c>
      <c r="C73" s="34"/>
      <c r="D73" s="34" t="s">
        <v>123</v>
      </c>
      <c r="E73" s="34" t="s">
        <v>192</v>
      </c>
      <c r="F73" s="34" t="s">
        <v>193</v>
      </c>
      <c r="G73" s="34" t="s">
        <v>194</v>
      </c>
      <c r="H73" s="34" t="s">
        <v>195</v>
      </c>
      <c r="I73">
        <v>0</v>
      </c>
      <c r="J73">
        <v>0</v>
      </c>
      <c r="K73">
        <v>1</v>
      </c>
      <c r="L73">
        <v>-1</v>
      </c>
      <c r="O73" s="28">
        <v>46274</v>
      </c>
      <c r="R73">
        <v>-1</v>
      </c>
      <c r="S73">
        <v>18</v>
      </c>
      <c r="T73">
        <v>16</v>
      </c>
      <c r="U73">
        <v>22</v>
      </c>
      <c r="V73">
        <v>20260910018</v>
      </c>
    </row>
    <row r="74" spans="1:22" x14ac:dyDescent="0.2">
      <c r="A74" s="34" t="s">
        <v>122</v>
      </c>
      <c r="B74" s="28">
        <v>46275</v>
      </c>
      <c r="C74" s="34"/>
      <c r="D74" s="34" t="s">
        <v>123</v>
      </c>
      <c r="E74" s="34" t="s">
        <v>196</v>
      </c>
      <c r="F74" s="34" t="s">
        <v>197</v>
      </c>
      <c r="G74" s="34" t="s">
        <v>198</v>
      </c>
      <c r="H74" s="34" t="s">
        <v>199</v>
      </c>
      <c r="I74">
        <v>7</v>
      </c>
      <c r="J74">
        <v>0</v>
      </c>
      <c r="K74">
        <v>11</v>
      </c>
      <c r="L74">
        <v>-4</v>
      </c>
      <c r="O74" s="28">
        <v>46274</v>
      </c>
      <c r="R74">
        <v>-1</v>
      </c>
      <c r="S74">
        <v>19</v>
      </c>
      <c r="T74">
        <v>16</v>
      </c>
      <c r="U74">
        <v>23</v>
      </c>
      <c r="V74">
        <v>20260910019</v>
      </c>
    </row>
    <row r="75" spans="1:22" x14ac:dyDescent="0.2">
      <c r="A75" s="34" t="s">
        <v>122</v>
      </c>
      <c r="B75" s="28">
        <v>46275</v>
      </c>
      <c r="C75" s="34"/>
      <c r="D75" s="34" t="s">
        <v>123</v>
      </c>
      <c r="E75" s="34" t="s">
        <v>200</v>
      </c>
      <c r="F75" s="34" t="s">
        <v>201</v>
      </c>
      <c r="G75" s="34" t="s">
        <v>202</v>
      </c>
      <c r="H75" s="34" t="s">
        <v>203</v>
      </c>
      <c r="I75">
        <v>0</v>
      </c>
      <c r="J75">
        <v>0</v>
      </c>
      <c r="K75">
        <v>1</v>
      </c>
      <c r="L75">
        <v>-1</v>
      </c>
      <c r="O75" s="28">
        <v>46274</v>
      </c>
      <c r="R75">
        <v>-1</v>
      </c>
      <c r="S75">
        <v>20</v>
      </c>
      <c r="T75">
        <v>16</v>
      </c>
      <c r="U75">
        <v>24</v>
      </c>
      <c r="V75">
        <v>20260910020</v>
      </c>
    </row>
    <row r="76" spans="1:22" x14ac:dyDescent="0.2">
      <c r="A76" s="34" t="s">
        <v>122</v>
      </c>
      <c r="B76" s="28">
        <v>46275</v>
      </c>
      <c r="C76" s="34"/>
      <c r="D76" s="34" t="s">
        <v>123</v>
      </c>
      <c r="E76" s="34" t="s">
        <v>204</v>
      </c>
      <c r="F76" s="34" t="s">
        <v>205</v>
      </c>
      <c r="G76" s="34" t="s">
        <v>206</v>
      </c>
      <c r="H76" s="34" t="s">
        <v>207</v>
      </c>
      <c r="I76">
        <v>0</v>
      </c>
      <c r="J76">
        <v>0</v>
      </c>
      <c r="K76">
        <v>1</v>
      </c>
      <c r="L76">
        <v>-1</v>
      </c>
      <c r="O76" s="28">
        <v>46274</v>
      </c>
      <c r="R76">
        <v>-1</v>
      </c>
      <c r="S76">
        <v>21</v>
      </c>
      <c r="T76">
        <v>16</v>
      </c>
      <c r="U76">
        <v>25</v>
      </c>
      <c r="V76">
        <v>20260910021</v>
      </c>
    </row>
    <row r="77" spans="1:22" x14ac:dyDescent="0.2">
      <c r="A77" s="34" t="s">
        <v>122</v>
      </c>
      <c r="B77" s="28">
        <v>46275</v>
      </c>
      <c r="C77" s="34"/>
      <c r="D77" s="34" t="s">
        <v>123</v>
      </c>
      <c r="E77" s="34" t="s">
        <v>208</v>
      </c>
      <c r="F77" s="34" t="s">
        <v>209</v>
      </c>
      <c r="G77" s="34" t="s">
        <v>210</v>
      </c>
      <c r="H77" s="34" t="s">
        <v>211</v>
      </c>
      <c r="I77">
        <v>0</v>
      </c>
      <c r="J77">
        <v>0</v>
      </c>
      <c r="K77">
        <v>1</v>
      </c>
      <c r="L77">
        <v>-1</v>
      </c>
      <c r="O77" s="28">
        <v>46274</v>
      </c>
      <c r="R77">
        <v>-1</v>
      </c>
      <c r="S77">
        <v>22</v>
      </c>
      <c r="T77">
        <v>16</v>
      </c>
      <c r="U77">
        <v>26</v>
      </c>
      <c r="V77">
        <v>20260910022</v>
      </c>
    </row>
    <row r="78" spans="1:22" x14ac:dyDescent="0.2">
      <c r="A78" s="34" t="s">
        <v>122</v>
      </c>
      <c r="B78" s="28">
        <v>46275</v>
      </c>
      <c r="C78" s="34"/>
      <c r="D78" s="34" t="s">
        <v>123</v>
      </c>
      <c r="E78" s="34" t="s">
        <v>212</v>
      </c>
      <c r="F78" s="34" t="s">
        <v>213</v>
      </c>
      <c r="G78" s="34" t="s">
        <v>214</v>
      </c>
      <c r="H78" s="34" t="s">
        <v>215</v>
      </c>
      <c r="I78">
        <v>0</v>
      </c>
      <c r="J78">
        <v>0</v>
      </c>
      <c r="K78">
        <v>11</v>
      </c>
      <c r="L78">
        <v>-11</v>
      </c>
      <c r="O78" s="28">
        <v>46274</v>
      </c>
      <c r="R78">
        <v>-1</v>
      </c>
      <c r="S78">
        <v>23</v>
      </c>
      <c r="T78">
        <v>16</v>
      </c>
      <c r="U78">
        <v>27</v>
      </c>
      <c r="V78">
        <v>20260910023</v>
      </c>
    </row>
    <row r="79" spans="1:22" x14ac:dyDescent="0.2">
      <c r="A79" s="34" t="s">
        <v>122</v>
      </c>
      <c r="B79" s="28">
        <v>46275</v>
      </c>
      <c r="C79" s="34"/>
      <c r="D79" s="34" t="s">
        <v>123</v>
      </c>
      <c r="E79" s="34" t="s">
        <v>216</v>
      </c>
      <c r="F79" s="34" t="s">
        <v>217</v>
      </c>
      <c r="G79" s="34" t="s">
        <v>218</v>
      </c>
      <c r="H79" s="34" t="s">
        <v>219</v>
      </c>
      <c r="I79">
        <v>0</v>
      </c>
      <c r="J79">
        <v>0</v>
      </c>
      <c r="K79">
        <v>1</v>
      </c>
      <c r="L79">
        <v>-1</v>
      </c>
      <c r="O79" s="28">
        <v>46274</v>
      </c>
      <c r="R79">
        <v>-1</v>
      </c>
      <c r="S79">
        <v>24</v>
      </c>
      <c r="T79">
        <v>16</v>
      </c>
      <c r="U79">
        <v>28</v>
      </c>
      <c r="V79">
        <v>20260910024</v>
      </c>
    </row>
    <row r="80" spans="1:22" x14ac:dyDescent="0.2">
      <c r="A80" s="34" t="s">
        <v>122</v>
      </c>
      <c r="B80" s="28">
        <v>46275</v>
      </c>
      <c r="C80" s="34"/>
      <c r="D80" s="34" t="s">
        <v>123</v>
      </c>
      <c r="E80" s="34" t="s">
        <v>220</v>
      </c>
      <c r="F80" s="34" t="s">
        <v>221</v>
      </c>
      <c r="G80" s="34" t="s">
        <v>222</v>
      </c>
      <c r="H80" s="34" t="s">
        <v>223</v>
      </c>
      <c r="I80">
        <v>0</v>
      </c>
      <c r="J80">
        <v>0</v>
      </c>
      <c r="K80">
        <v>11</v>
      </c>
      <c r="L80">
        <v>-11</v>
      </c>
      <c r="O80" s="28">
        <v>46274</v>
      </c>
      <c r="R80">
        <v>-1</v>
      </c>
      <c r="S80">
        <v>25</v>
      </c>
      <c r="T80">
        <v>16</v>
      </c>
      <c r="U80">
        <v>29</v>
      </c>
      <c r="V80">
        <v>20260910025</v>
      </c>
    </row>
    <row r="81" spans="1:22" x14ac:dyDescent="0.2">
      <c r="A81" s="34" t="s">
        <v>122</v>
      </c>
      <c r="B81" s="28">
        <v>46275</v>
      </c>
      <c r="C81" s="34"/>
      <c r="D81" s="34" t="s">
        <v>123</v>
      </c>
      <c r="E81" s="34" t="s">
        <v>224</v>
      </c>
      <c r="F81" s="34" t="s">
        <v>225</v>
      </c>
      <c r="G81" s="34" t="s">
        <v>226</v>
      </c>
      <c r="H81" s="34" t="s">
        <v>227</v>
      </c>
      <c r="I81">
        <v>0</v>
      </c>
      <c r="J81">
        <v>0</v>
      </c>
      <c r="K81">
        <v>1</v>
      </c>
      <c r="L81">
        <v>-1</v>
      </c>
      <c r="O81" s="28">
        <v>46274</v>
      </c>
      <c r="R81">
        <v>-1</v>
      </c>
      <c r="S81">
        <v>26</v>
      </c>
      <c r="T81">
        <v>16</v>
      </c>
      <c r="U81">
        <v>30</v>
      </c>
      <c r="V81">
        <v>20260910026</v>
      </c>
    </row>
    <row r="82" spans="1:22" x14ac:dyDescent="0.2">
      <c r="A82" s="34" t="s">
        <v>122</v>
      </c>
      <c r="B82" s="28">
        <v>46275</v>
      </c>
      <c r="C82" s="34"/>
      <c r="D82" s="34" t="s">
        <v>123</v>
      </c>
      <c r="E82" s="34" t="s">
        <v>228</v>
      </c>
      <c r="F82" s="34" t="s">
        <v>229</v>
      </c>
      <c r="G82" s="34" t="s">
        <v>230</v>
      </c>
      <c r="H82" s="34" t="s">
        <v>231</v>
      </c>
      <c r="I82">
        <v>0</v>
      </c>
      <c r="J82">
        <v>0</v>
      </c>
      <c r="K82">
        <v>1</v>
      </c>
      <c r="L82">
        <v>-1</v>
      </c>
      <c r="O82" s="28">
        <v>46274</v>
      </c>
      <c r="R82">
        <v>-1</v>
      </c>
      <c r="S82">
        <v>27</v>
      </c>
      <c r="T82">
        <v>16</v>
      </c>
      <c r="U82">
        <v>31</v>
      </c>
      <c r="V82">
        <v>20260910027</v>
      </c>
    </row>
    <row r="83" spans="1:22" x14ac:dyDescent="0.2">
      <c r="A83" s="34" t="s">
        <v>122</v>
      </c>
      <c r="B83" s="28">
        <v>46275</v>
      </c>
      <c r="C83" s="34"/>
      <c r="D83" s="34" t="s">
        <v>123</v>
      </c>
      <c r="E83" s="34" t="s">
        <v>232</v>
      </c>
      <c r="F83" s="34" t="s">
        <v>233</v>
      </c>
      <c r="G83" s="34" t="s">
        <v>234</v>
      </c>
      <c r="H83" s="34" t="s">
        <v>235</v>
      </c>
      <c r="I83">
        <v>0</v>
      </c>
      <c r="J83">
        <v>0</v>
      </c>
      <c r="K83">
        <v>1</v>
      </c>
      <c r="L83">
        <v>-1</v>
      </c>
      <c r="O83" s="28">
        <v>46274</v>
      </c>
      <c r="R83">
        <v>-1</v>
      </c>
      <c r="S83">
        <v>28</v>
      </c>
      <c r="T83">
        <v>16</v>
      </c>
      <c r="U83">
        <v>32</v>
      </c>
      <c r="V83">
        <v>20260910028</v>
      </c>
    </row>
    <row r="84" spans="1:22" x14ac:dyDescent="0.2">
      <c r="A84" s="34" t="s">
        <v>122</v>
      </c>
      <c r="B84" s="28">
        <v>46275</v>
      </c>
      <c r="C84" s="34"/>
      <c r="D84" s="34" t="s">
        <v>123</v>
      </c>
      <c r="E84" s="34" t="s">
        <v>236</v>
      </c>
      <c r="F84" s="34" t="s">
        <v>237</v>
      </c>
      <c r="G84" s="34" t="s">
        <v>238</v>
      </c>
      <c r="H84" s="34" t="s">
        <v>239</v>
      </c>
      <c r="I84">
        <v>0</v>
      </c>
      <c r="J84">
        <v>0</v>
      </c>
      <c r="K84">
        <v>1</v>
      </c>
      <c r="L84">
        <v>-1</v>
      </c>
      <c r="O84" s="28">
        <v>46274</v>
      </c>
      <c r="R84">
        <v>-1</v>
      </c>
      <c r="S84">
        <v>29</v>
      </c>
      <c r="T84">
        <v>16</v>
      </c>
      <c r="U84">
        <v>33</v>
      </c>
      <c r="V84">
        <v>20260910029</v>
      </c>
    </row>
    <row r="85" spans="1:22" x14ac:dyDescent="0.2">
      <c r="A85" s="34" t="s">
        <v>122</v>
      </c>
      <c r="B85" s="28">
        <v>46275</v>
      </c>
      <c r="C85" s="34"/>
      <c r="D85" s="34" t="s">
        <v>123</v>
      </c>
      <c r="E85" s="34" t="s">
        <v>240</v>
      </c>
      <c r="F85" s="34" t="s">
        <v>241</v>
      </c>
      <c r="G85" s="34" t="s">
        <v>242</v>
      </c>
      <c r="H85" s="34" t="s">
        <v>243</v>
      </c>
      <c r="I85">
        <v>0</v>
      </c>
      <c r="J85">
        <v>0</v>
      </c>
      <c r="K85">
        <v>1</v>
      </c>
      <c r="L85">
        <v>-1</v>
      </c>
      <c r="O85" s="28">
        <v>46274</v>
      </c>
      <c r="R85">
        <v>-1</v>
      </c>
      <c r="S85">
        <v>30</v>
      </c>
      <c r="T85">
        <v>16</v>
      </c>
      <c r="U85">
        <v>34</v>
      </c>
      <c r="V85">
        <v>20260910030</v>
      </c>
    </row>
    <row r="86" spans="1:22" x14ac:dyDescent="0.2">
      <c r="A86" s="34" t="s">
        <v>122</v>
      </c>
      <c r="B86" s="28">
        <v>46275</v>
      </c>
      <c r="C86" s="34"/>
      <c r="D86" s="34" t="s">
        <v>123</v>
      </c>
      <c r="E86" s="34" t="s">
        <v>244</v>
      </c>
      <c r="F86" s="34" t="s">
        <v>245</v>
      </c>
      <c r="G86" s="34" t="s">
        <v>246</v>
      </c>
      <c r="H86" s="34" t="s">
        <v>247</v>
      </c>
      <c r="I86">
        <v>0</v>
      </c>
      <c r="J86">
        <v>0</v>
      </c>
      <c r="K86">
        <v>1</v>
      </c>
      <c r="L86">
        <v>-1</v>
      </c>
      <c r="O86" s="28">
        <v>46274</v>
      </c>
      <c r="R86">
        <v>-1</v>
      </c>
      <c r="S86">
        <v>31</v>
      </c>
      <c r="T86">
        <v>16</v>
      </c>
      <c r="U86">
        <v>35</v>
      </c>
      <c r="V86">
        <v>20260910031</v>
      </c>
    </row>
    <row r="87" spans="1:22" x14ac:dyDescent="0.2">
      <c r="A87" s="34" t="s">
        <v>122</v>
      </c>
      <c r="B87" s="28">
        <v>46275</v>
      </c>
      <c r="C87" s="34"/>
      <c r="D87" s="34" t="s">
        <v>123</v>
      </c>
      <c r="E87" s="34" t="s">
        <v>248</v>
      </c>
      <c r="F87" s="34" t="s">
        <v>249</v>
      </c>
      <c r="G87" s="34" t="s">
        <v>250</v>
      </c>
      <c r="H87" s="34" t="s">
        <v>251</v>
      </c>
      <c r="I87">
        <v>0</v>
      </c>
      <c r="J87">
        <v>0</v>
      </c>
      <c r="K87">
        <v>1</v>
      </c>
      <c r="L87">
        <v>-1</v>
      </c>
      <c r="O87" s="28">
        <v>46274</v>
      </c>
      <c r="R87">
        <v>-1</v>
      </c>
      <c r="S87">
        <v>32</v>
      </c>
      <c r="T87">
        <v>16</v>
      </c>
      <c r="U87">
        <v>36</v>
      </c>
      <c r="V87">
        <v>20260910032</v>
      </c>
    </row>
    <row r="88" spans="1:22" x14ac:dyDescent="0.2">
      <c r="A88" s="34" t="s">
        <v>122</v>
      </c>
      <c r="B88" s="28">
        <v>46275</v>
      </c>
      <c r="C88" s="34"/>
      <c r="D88" s="34" t="s">
        <v>123</v>
      </c>
      <c r="E88" s="34" t="s">
        <v>252</v>
      </c>
      <c r="F88" s="34" t="s">
        <v>253</v>
      </c>
      <c r="G88" s="34" t="s">
        <v>254</v>
      </c>
      <c r="H88" s="34" t="s">
        <v>255</v>
      </c>
      <c r="I88">
        <v>0</v>
      </c>
      <c r="J88">
        <v>0</v>
      </c>
      <c r="K88">
        <v>1</v>
      </c>
      <c r="L88">
        <v>-1</v>
      </c>
      <c r="O88" s="28">
        <v>46274</v>
      </c>
      <c r="R88">
        <v>-1</v>
      </c>
      <c r="S88">
        <v>33</v>
      </c>
      <c r="T88">
        <v>16</v>
      </c>
      <c r="U88">
        <v>37</v>
      </c>
      <c r="V88">
        <v>20260910033</v>
      </c>
    </row>
    <row r="89" spans="1:22" x14ac:dyDescent="0.2">
      <c r="A89" s="34" t="s">
        <v>122</v>
      </c>
      <c r="B89" s="28">
        <v>46275</v>
      </c>
      <c r="C89" s="34"/>
      <c r="D89" s="34" t="s">
        <v>123</v>
      </c>
      <c r="E89" s="34" t="s">
        <v>256</v>
      </c>
      <c r="F89" s="34" t="s">
        <v>257</v>
      </c>
      <c r="G89" s="34" t="s">
        <v>258</v>
      </c>
      <c r="H89" s="34" t="s">
        <v>259</v>
      </c>
      <c r="I89">
        <v>0</v>
      </c>
      <c r="J89">
        <v>0</v>
      </c>
      <c r="K89">
        <v>4</v>
      </c>
      <c r="L89">
        <v>-4</v>
      </c>
      <c r="O89" s="28">
        <v>46274</v>
      </c>
      <c r="R89">
        <v>-1</v>
      </c>
      <c r="S89">
        <v>34</v>
      </c>
      <c r="T89">
        <v>16</v>
      </c>
      <c r="U89">
        <v>38</v>
      </c>
      <c r="V89">
        <v>20260910034</v>
      </c>
    </row>
    <row r="90" spans="1:22" x14ac:dyDescent="0.2">
      <c r="A90" s="34" t="s">
        <v>122</v>
      </c>
      <c r="B90" s="28">
        <v>46275</v>
      </c>
      <c r="C90" s="34"/>
      <c r="D90" s="34" t="s">
        <v>123</v>
      </c>
      <c r="E90" s="34" t="s">
        <v>260</v>
      </c>
      <c r="F90" s="34" t="s">
        <v>261</v>
      </c>
      <c r="G90" s="34" t="s">
        <v>262</v>
      </c>
      <c r="H90" s="34" t="s">
        <v>263</v>
      </c>
      <c r="I90">
        <v>0</v>
      </c>
      <c r="J90">
        <v>0</v>
      </c>
      <c r="K90">
        <v>4</v>
      </c>
      <c r="L90">
        <v>-4</v>
      </c>
      <c r="O90" s="28">
        <v>46274</v>
      </c>
      <c r="R90">
        <v>-1</v>
      </c>
      <c r="S90">
        <v>35</v>
      </c>
      <c r="T90">
        <v>16</v>
      </c>
      <c r="U90">
        <v>39</v>
      </c>
      <c r="V90">
        <v>20260910035</v>
      </c>
    </row>
    <row r="91" spans="1:22" x14ac:dyDescent="0.2">
      <c r="A91" s="34" t="s">
        <v>122</v>
      </c>
      <c r="B91" s="28">
        <v>46275</v>
      </c>
      <c r="C91" s="34"/>
      <c r="D91" s="34" t="s">
        <v>123</v>
      </c>
      <c r="E91" s="34" t="s">
        <v>264</v>
      </c>
      <c r="F91" s="34" t="s">
        <v>265</v>
      </c>
      <c r="G91" s="34" t="s">
        <v>266</v>
      </c>
      <c r="H91" s="34" t="s">
        <v>267</v>
      </c>
      <c r="I91">
        <v>0</v>
      </c>
      <c r="J91">
        <v>0</v>
      </c>
      <c r="K91">
        <v>4</v>
      </c>
      <c r="L91">
        <v>-4</v>
      </c>
      <c r="O91" s="28">
        <v>46274</v>
      </c>
      <c r="R91">
        <v>-1</v>
      </c>
      <c r="S91">
        <v>36</v>
      </c>
      <c r="T91">
        <v>16</v>
      </c>
      <c r="U91">
        <v>40</v>
      </c>
      <c r="V91">
        <v>20260910036</v>
      </c>
    </row>
    <row r="92" spans="1:22" x14ac:dyDescent="0.2">
      <c r="A92" s="34" t="s">
        <v>122</v>
      </c>
      <c r="B92" s="28">
        <v>46275</v>
      </c>
      <c r="C92" s="34"/>
      <c r="D92" s="34" t="s">
        <v>123</v>
      </c>
      <c r="E92" s="34" t="s">
        <v>268</v>
      </c>
      <c r="F92" s="34" t="s">
        <v>269</v>
      </c>
      <c r="G92" s="34" t="s">
        <v>270</v>
      </c>
      <c r="H92" s="34" t="s">
        <v>271</v>
      </c>
      <c r="I92">
        <v>0</v>
      </c>
      <c r="J92">
        <v>0</v>
      </c>
      <c r="K92">
        <v>1</v>
      </c>
      <c r="L92">
        <v>-1</v>
      </c>
      <c r="O92" s="28">
        <v>46274</v>
      </c>
      <c r="R92">
        <v>-1</v>
      </c>
      <c r="S92">
        <v>37</v>
      </c>
      <c r="T92">
        <v>16</v>
      </c>
      <c r="U92">
        <v>41</v>
      </c>
      <c r="V92">
        <v>20260910037</v>
      </c>
    </row>
    <row r="93" spans="1:22" x14ac:dyDescent="0.2">
      <c r="A93" s="34" t="s">
        <v>122</v>
      </c>
      <c r="B93" s="28">
        <v>46275</v>
      </c>
      <c r="C93" s="34"/>
      <c r="D93" s="34" t="s">
        <v>123</v>
      </c>
      <c r="E93" s="34" t="s">
        <v>272</v>
      </c>
      <c r="F93" s="34" t="s">
        <v>341</v>
      </c>
      <c r="G93" s="34" t="s">
        <v>273</v>
      </c>
      <c r="H93" s="34" t="s">
        <v>274</v>
      </c>
      <c r="I93">
        <v>0</v>
      </c>
      <c r="J93">
        <v>0</v>
      </c>
      <c r="K93">
        <v>1</v>
      </c>
      <c r="L93">
        <v>-1</v>
      </c>
      <c r="O93" s="28">
        <v>46274</v>
      </c>
      <c r="R93">
        <v>-1</v>
      </c>
      <c r="S93">
        <v>38</v>
      </c>
      <c r="T93">
        <v>16</v>
      </c>
      <c r="U93">
        <v>42</v>
      </c>
      <c r="V93">
        <v>20260910038</v>
      </c>
    </row>
    <row r="94" spans="1:22" x14ac:dyDescent="0.2">
      <c r="A94" s="34" t="s">
        <v>122</v>
      </c>
      <c r="B94" s="28">
        <v>46275</v>
      </c>
      <c r="C94" s="34"/>
      <c r="D94" s="34" t="s">
        <v>123</v>
      </c>
      <c r="E94" s="34" t="s">
        <v>275</v>
      </c>
      <c r="F94" s="34" t="s">
        <v>276</v>
      </c>
      <c r="G94" s="34" t="s">
        <v>277</v>
      </c>
      <c r="H94" s="34" t="s">
        <v>278</v>
      </c>
      <c r="I94">
        <v>0</v>
      </c>
      <c r="J94">
        <v>0</v>
      </c>
      <c r="K94">
        <v>1</v>
      </c>
      <c r="L94">
        <v>-1</v>
      </c>
      <c r="O94" s="28">
        <v>46274</v>
      </c>
      <c r="R94">
        <v>-1</v>
      </c>
      <c r="S94">
        <v>39</v>
      </c>
      <c r="T94">
        <v>16</v>
      </c>
      <c r="U94">
        <v>43</v>
      </c>
      <c r="V94">
        <v>20260910039</v>
      </c>
    </row>
    <row r="95" spans="1:22" x14ac:dyDescent="0.2">
      <c r="A95" s="34" t="s">
        <v>122</v>
      </c>
      <c r="B95" s="28">
        <v>46275</v>
      </c>
      <c r="C95" s="34"/>
      <c r="D95" s="34" t="s">
        <v>123</v>
      </c>
      <c r="E95" s="34" t="s">
        <v>279</v>
      </c>
      <c r="F95" s="34" t="s">
        <v>280</v>
      </c>
      <c r="G95" s="34" t="s">
        <v>281</v>
      </c>
      <c r="H95" s="34" t="s">
        <v>282</v>
      </c>
      <c r="I95">
        <v>0</v>
      </c>
      <c r="J95">
        <v>0</v>
      </c>
      <c r="K95">
        <v>1</v>
      </c>
      <c r="L95">
        <v>-1</v>
      </c>
      <c r="O95" s="28">
        <v>46274</v>
      </c>
      <c r="R95">
        <v>-1</v>
      </c>
      <c r="S95">
        <v>40</v>
      </c>
      <c r="T95">
        <v>16</v>
      </c>
      <c r="U95">
        <v>44</v>
      </c>
      <c r="V95">
        <v>20260910040</v>
      </c>
    </row>
    <row r="96" spans="1:22" x14ac:dyDescent="0.2">
      <c r="A96" s="34" t="s">
        <v>122</v>
      </c>
      <c r="B96" s="28">
        <v>46275</v>
      </c>
      <c r="C96" s="34"/>
      <c r="D96" s="34" t="s">
        <v>123</v>
      </c>
      <c r="E96" s="34" t="s">
        <v>283</v>
      </c>
      <c r="F96" s="34" t="s">
        <v>284</v>
      </c>
      <c r="G96" s="34" t="s">
        <v>285</v>
      </c>
      <c r="H96" s="34" t="s">
        <v>286</v>
      </c>
      <c r="I96">
        <v>0</v>
      </c>
      <c r="J96">
        <v>0</v>
      </c>
      <c r="K96">
        <v>1</v>
      </c>
      <c r="L96">
        <v>-1</v>
      </c>
      <c r="O96" s="28">
        <v>46274</v>
      </c>
      <c r="R96">
        <v>-1</v>
      </c>
      <c r="S96">
        <v>41</v>
      </c>
      <c r="T96">
        <v>16</v>
      </c>
      <c r="U96">
        <v>45</v>
      </c>
      <c r="V96">
        <v>20260910041</v>
      </c>
    </row>
    <row r="97" spans="1:22" x14ac:dyDescent="0.2">
      <c r="A97" s="34" t="s">
        <v>122</v>
      </c>
      <c r="B97" s="28">
        <v>46275</v>
      </c>
      <c r="C97" s="34"/>
      <c r="D97" s="34" t="s">
        <v>123</v>
      </c>
      <c r="E97" s="34" t="s">
        <v>287</v>
      </c>
      <c r="F97" s="34" t="s">
        <v>288</v>
      </c>
      <c r="G97" s="34" t="s">
        <v>289</v>
      </c>
      <c r="H97" s="34" t="s">
        <v>290</v>
      </c>
      <c r="I97">
        <v>0</v>
      </c>
      <c r="J97">
        <v>0</v>
      </c>
      <c r="K97">
        <v>1</v>
      </c>
      <c r="L97">
        <v>-1</v>
      </c>
      <c r="O97" s="28">
        <v>46274</v>
      </c>
      <c r="R97">
        <v>-1</v>
      </c>
      <c r="S97">
        <v>42</v>
      </c>
      <c r="T97">
        <v>16</v>
      </c>
      <c r="U97">
        <v>46</v>
      </c>
      <c r="V97">
        <v>20260910042</v>
      </c>
    </row>
    <row r="98" spans="1:22" x14ac:dyDescent="0.2">
      <c r="A98" s="34" t="s">
        <v>122</v>
      </c>
      <c r="B98" s="28">
        <v>46275</v>
      </c>
      <c r="C98" s="34"/>
      <c r="D98" s="34" t="s">
        <v>123</v>
      </c>
      <c r="E98" s="34" t="s">
        <v>291</v>
      </c>
      <c r="F98" s="34" t="s">
        <v>342</v>
      </c>
      <c r="G98" s="34" t="s">
        <v>292</v>
      </c>
      <c r="H98" s="34" t="s">
        <v>293</v>
      </c>
      <c r="I98">
        <v>0</v>
      </c>
      <c r="J98">
        <v>0</v>
      </c>
      <c r="K98">
        <v>1</v>
      </c>
      <c r="L98">
        <v>-1</v>
      </c>
      <c r="O98" s="28">
        <v>46274</v>
      </c>
      <c r="R98">
        <v>-1</v>
      </c>
      <c r="S98">
        <v>43</v>
      </c>
      <c r="T98">
        <v>16</v>
      </c>
      <c r="U98">
        <v>47</v>
      </c>
      <c r="V98">
        <v>20260910043</v>
      </c>
    </row>
    <row r="99" spans="1:22" x14ac:dyDescent="0.2">
      <c r="A99" s="34" t="s">
        <v>122</v>
      </c>
      <c r="B99" s="28">
        <v>46275</v>
      </c>
      <c r="C99" s="34"/>
      <c r="D99" s="34" t="s">
        <v>123</v>
      </c>
      <c r="E99" s="34" t="s">
        <v>294</v>
      </c>
      <c r="F99" s="34" t="s">
        <v>295</v>
      </c>
      <c r="G99" s="34" t="s">
        <v>296</v>
      </c>
      <c r="H99" s="34" t="s">
        <v>297</v>
      </c>
      <c r="I99">
        <v>0</v>
      </c>
      <c r="J99">
        <v>0</v>
      </c>
      <c r="K99">
        <v>1</v>
      </c>
      <c r="L99">
        <v>-1</v>
      </c>
      <c r="O99" s="28">
        <v>46274</v>
      </c>
      <c r="R99">
        <v>-1</v>
      </c>
      <c r="S99">
        <v>44</v>
      </c>
      <c r="T99">
        <v>16</v>
      </c>
      <c r="U99">
        <v>48</v>
      </c>
      <c r="V99">
        <v>20260910044</v>
      </c>
    </row>
    <row r="100" spans="1:22" x14ac:dyDescent="0.2">
      <c r="A100" s="34" t="s">
        <v>122</v>
      </c>
      <c r="B100" s="28">
        <v>46275</v>
      </c>
      <c r="C100" s="34"/>
      <c r="D100" s="34" t="s">
        <v>123</v>
      </c>
      <c r="E100" s="34" t="s">
        <v>298</v>
      </c>
      <c r="F100" s="34" t="s">
        <v>299</v>
      </c>
      <c r="G100" s="34" t="s">
        <v>300</v>
      </c>
      <c r="H100" s="34" t="s">
        <v>301</v>
      </c>
      <c r="I100">
        <v>0</v>
      </c>
      <c r="J100">
        <v>0</v>
      </c>
      <c r="K100">
        <v>1</v>
      </c>
      <c r="L100">
        <v>-1</v>
      </c>
      <c r="O100" s="28">
        <v>46274</v>
      </c>
      <c r="R100">
        <v>-1</v>
      </c>
      <c r="S100">
        <v>45</v>
      </c>
      <c r="T100">
        <v>16</v>
      </c>
      <c r="U100">
        <v>49</v>
      </c>
      <c r="V100">
        <v>20260910045</v>
      </c>
    </row>
    <row r="101" spans="1:22" x14ac:dyDescent="0.2">
      <c r="A101" s="34" t="s">
        <v>122</v>
      </c>
      <c r="B101" s="28">
        <v>46275</v>
      </c>
      <c r="C101" s="34"/>
      <c r="D101" s="34" t="s">
        <v>123</v>
      </c>
      <c r="E101" s="34" t="s">
        <v>302</v>
      </c>
      <c r="F101" s="34" t="s">
        <v>303</v>
      </c>
      <c r="G101" s="34" t="s">
        <v>304</v>
      </c>
      <c r="H101" s="34" t="s">
        <v>305</v>
      </c>
      <c r="I101">
        <v>0</v>
      </c>
      <c r="J101">
        <v>0</v>
      </c>
      <c r="K101">
        <v>1</v>
      </c>
      <c r="L101">
        <v>-1</v>
      </c>
      <c r="O101" s="28">
        <v>46274</v>
      </c>
      <c r="R101">
        <v>-1</v>
      </c>
      <c r="S101">
        <v>46</v>
      </c>
      <c r="T101">
        <v>16</v>
      </c>
      <c r="U101">
        <v>50</v>
      </c>
      <c r="V101">
        <v>20260910046</v>
      </c>
    </row>
    <row r="102" spans="1:22" x14ac:dyDescent="0.2">
      <c r="A102" s="34" t="s">
        <v>122</v>
      </c>
      <c r="B102" s="28">
        <v>46275</v>
      </c>
      <c r="C102" s="34"/>
      <c r="D102" s="34" t="s">
        <v>123</v>
      </c>
      <c r="E102" s="34" t="s">
        <v>306</v>
      </c>
      <c r="F102" s="34" t="s">
        <v>307</v>
      </c>
      <c r="G102" s="34" t="s">
        <v>308</v>
      </c>
      <c r="H102" s="34" t="s">
        <v>309</v>
      </c>
      <c r="I102">
        <v>0</v>
      </c>
      <c r="J102">
        <v>0</v>
      </c>
      <c r="K102">
        <v>1</v>
      </c>
      <c r="L102">
        <v>-1</v>
      </c>
      <c r="O102" s="28">
        <v>46274</v>
      </c>
      <c r="R102">
        <v>-1</v>
      </c>
      <c r="S102">
        <v>47</v>
      </c>
      <c r="T102">
        <v>16</v>
      </c>
      <c r="U102">
        <v>51</v>
      </c>
      <c r="V102">
        <v>20260910047</v>
      </c>
    </row>
    <row r="103" spans="1:22" x14ac:dyDescent="0.2">
      <c r="A103" s="34" t="s">
        <v>122</v>
      </c>
      <c r="B103" s="28">
        <v>46275</v>
      </c>
      <c r="C103" s="34"/>
      <c r="D103" s="34" t="s">
        <v>123</v>
      </c>
      <c r="E103" s="34" t="s">
        <v>310</v>
      </c>
      <c r="F103" s="34" t="s">
        <v>311</v>
      </c>
      <c r="G103" s="34" t="s">
        <v>312</v>
      </c>
      <c r="H103" s="34" t="s">
        <v>313</v>
      </c>
      <c r="I103">
        <v>0</v>
      </c>
      <c r="J103">
        <v>0</v>
      </c>
      <c r="K103">
        <v>1</v>
      </c>
      <c r="L103">
        <v>-1</v>
      </c>
      <c r="O103" s="28">
        <v>46274</v>
      </c>
      <c r="R103">
        <v>-1</v>
      </c>
      <c r="S103">
        <v>48</v>
      </c>
      <c r="T103">
        <v>16</v>
      </c>
      <c r="U103">
        <v>52</v>
      </c>
      <c r="V103">
        <v>20260910048</v>
      </c>
    </row>
    <row r="104" spans="1:22" x14ac:dyDescent="0.2">
      <c r="A104" s="34" t="s">
        <v>122</v>
      </c>
      <c r="B104" s="28">
        <v>46275</v>
      </c>
      <c r="C104" s="34"/>
      <c r="D104" s="34" t="s">
        <v>123</v>
      </c>
      <c r="E104" s="34" t="s">
        <v>314</v>
      </c>
      <c r="F104" s="34" t="s">
        <v>315</v>
      </c>
      <c r="G104" s="34" t="s">
        <v>316</v>
      </c>
      <c r="H104" s="34" t="s">
        <v>317</v>
      </c>
      <c r="I104">
        <v>0</v>
      </c>
      <c r="J104">
        <v>0</v>
      </c>
      <c r="K104">
        <v>1</v>
      </c>
      <c r="L104">
        <v>-1</v>
      </c>
      <c r="O104" s="28">
        <v>46274</v>
      </c>
      <c r="R104">
        <v>-1</v>
      </c>
      <c r="S104">
        <v>49</v>
      </c>
      <c r="T104">
        <v>16</v>
      </c>
      <c r="U104">
        <v>53</v>
      </c>
      <c r="V104">
        <v>20260910049</v>
      </c>
    </row>
    <row r="105" spans="1:22" x14ac:dyDescent="0.2">
      <c r="A105" s="34" t="s">
        <v>122</v>
      </c>
      <c r="B105" s="28">
        <v>46275</v>
      </c>
      <c r="C105" s="34"/>
      <c r="D105" s="34" t="s">
        <v>123</v>
      </c>
      <c r="E105" s="34" t="s">
        <v>318</v>
      </c>
      <c r="F105" s="34" t="s">
        <v>319</v>
      </c>
      <c r="G105" s="34" t="s">
        <v>320</v>
      </c>
      <c r="H105" s="34" t="s">
        <v>321</v>
      </c>
      <c r="I105">
        <v>0</v>
      </c>
      <c r="J105">
        <v>0</v>
      </c>
      <c r="K105">
        <v>1</v>
      </c>
      <c r="L105">
        <v>-1</v>
      </c>
      <c r="O105" s="28">
        <v>46274</v>
      </c>
      <c r="R105">
        <v>-1</v>
      </c>
      <c r="S105">
        <v>50</v>
      </c>
      <c r="T105">
        <v>16</v>
      </c>
      <c r="U105">
        <v>54</v>
      </c>
      <c r="V105">
        <v>20260910050</v>
      </c>
    </row>
    <row r="106" spans="1:22" x14ac:dyDescent="0.2">
      <c r="A106" s="34" t="s">
        <v>122</v>
      </c>
      <c r="B106" s="28">
        <v>46275</v>
      </c>
      <c r="C106" s="34"/>
      <c r="D106" s="34" t="s">
        <v>123</v>
      </c>
      <c r="E106" s="34" t="s">
        <v>322</v>
      </c>
      <c r="F106" s="34" t="s">
        <v>323</v>
      </c>
      <c r="G106" s="34" t="s">
        <v>324</v>
      </c>
      <c r="H106" s="34" t="s">
        <v>325</v>
      </c>
      <c r="I106">
        <v>0</v>
      </c>
      <c r="J106">
        <v>0</v>
      </c>
      <c r="K106">
        <v>1</v>
      </c>
      <c r="L106">
        <v>-1</v>
      </c>
      <c r="O106" s="28">
        <v>46274</v>
      </c>
      <c r="R106">
        <v>-1</v>
      </c>
      <c r="S106">
        <v>51</v>
      </c>
      <c r="T106">
        <v>16</v>
      </c>
      <c r="U106">
        <v>55</v>
      </c>
      <c r="V106">
        <v>20260910051</v>
      </c>
    </row>
    <row r="107" spans="1:22" x14ac:dyDescent="0.2">
      <c r="A107" s="34" t="s">
        <v>122</v>
      </c>
      <c r="B107" s="28">
        <v>46275</v>
      </c>
      <c r="C107" s="34"/>
      <c r="D107" s="34" t="s">
        <v>123</v>
      </c>
      <c r="E107" s="34" t="s">
        <v>326</v>
      </c>
      <c r="F107" s="34" t="s">
        <v>327</v>
      </c>
      <c r="G107" s="34" t="s">
        <v>328</v>
      </c>
      <c r="H107" s="34" t="s">
        <v>329</v>
      </c>
      <c r="I107">
        <v>0</v>
      </c>
      <c r="J107">
        <v>0</v>
      </c>
      <c r="K107">
        <v>1</v>
      </c>
      <c r="L107">
        <v>-1</v>
      </c>
      <c r="O107" s="28">
        <v>46274</v>
      </c>
      <c r="R107">
        <v>-1</v>
      </c>
      <c r="S107">
        <v>52</v>
      </c>
      <c r="T107">
        <v>16</v>
      </c>
      <c r="U107">
        <v>73</v>
      </c>
      <c r="V107">
        <v>20260910052</v>
      </c>
    </row>
    <row r="108" spans="1:22" x14ac:dyDescent="0.2">
      <c r="A108" s="34" t="s">
        <v>122</v>
      </c>
      <c r="B108" s="28">
        <v>46275</v>
      </c>
      <c r="C108" s="34"/>
      <c r="D108" s="34" t="s">
        <v>123</v>
      </c>
      <c r="E108" s="34" t="s">
        <v>330</v>
      </c>
      <c r="F108" s="34" t="s">
        <v>331</v>
      </c>
      <c r="G108" s="34" t="s">
        <v>332</v>
      </c>
      <c r="H108" s="34" t="s">
        <v>333</v>
      </c>
      <c r="I108">
        <v>0</v>
      </c>
      <c r="J108">
        <v>0</v>
      </c>
      <c r="K108">
        <v>1</v>
      </c>
      <c r="L108">
        <v>-1</v>
      </c>
      <c r="O108" s="28">
        <v>46274</v>
      </c>
      <c r="R108">
        <v>-1</v>
      </c>
      <c r="S108">
        <v>53</v>
      </c>
      <c r="T108">
        <v>16</v>
      </c>
      <c r="U108">
        <v>74</v>
      </c>
      <c r="V108">
        <v>20260910053</v>
      </c>
    </row>
    <row r="109" spans="1:22" x14ac:dyDescent="0.2">
      <c r="A109" s="34" t="s">
        <v>122</v>
      </c>
      <c r="B109" s="28">
        <v>46275</v>
      </c>
      <c r="C109" s="34"/>
      <c r="D109" s="34" t="s">
        <v>123</v>
      </c>
      <c r="E109" s="34" t="s">
        <v>334</v>
      </c>
      <c r="F109" s="34" t="s">
        <v>335</v>
      </c>
      <c r="G109" s="34" t="s">
        <v>336</v>
      </c>
      <c r="H109" s="34" t="s">
        <v>337</v>
      </c>
      <c r="I109">
        <v>0</v>
      </c>
      <c r="J109">
        <v>0</v>
      </c>
      <c r="K109">
        <v>1</v>
      </c>
      <c r="L109">
        <v>-1</v>
      </c>
      <c r="O109" s="28">
        <v>46274</v>
      </c>
      <c r="R109">
        <v>-1</v>
      </c>
      <c r="S109">
        <v>54</v>
      </c>
      <c r="T109">
        <v>16</v>
      </c>
      <c r="U109">
        <v>75</v>
      </c>
      <c r="V109">
        <v>20260910054</v>
      </c>
    </row>
    <row r="110" spans="1:22" x14ac:dyDescent="0.2">
      <c r="A110" s="34" t="s">
        <v>122</v>
      </c>
      <c r="B110" s="28">
        <v>46276</v>
      </c>
      <c r="C110" s="34"/>
      <c r="D110" s="34" t="s">
        <v>338</v>
      </c>
      <c r="E110" s="34" t="s">
        <v>124</v>
      </c>
      <c r="F110" s="34" t="s">
        <v>125</v>
      </c>
      <c r="G110" s="34" t="s">
        <v>126</v>
      </c>
      <c r="H110" s="34" t="s">
        <v>127</v>
      </c>
      <c r="I110">
        <v>1</v>
      </c>
      <c r="J110">
        <v>0</v>
      </c>
      <c r="K110">
        <v>7</v>
      </c>
      <c r="L110">
        <v>-6</v>
      </c>
      <c r="O110" s="28">
        <v>46275</v>
      </c>
      <c r="R110">
        <v>-1</v>
      </c>
      <c r="S110">
        <v>1</v>
      </c>
      <c r="T110">
        <v>15</v>
      </c>
      <c r="U110">
        <v>1</v>
      </c>
      <c r="V110">
        <v>20260911001</v>
      </c>
    </row>
    <row r="111" spans="1:22" x14ac:dyDescent="0.2">
      <c r="A111" s="34" t="s">
        <v>122</v>
      </c>
      <c r="B111" s="28">
        <v>46276</v>
      </c>
      <c r="C111" s="34"/>
      <c r="D111" s="34" t="s">
        <v>338</v>
      </c>
      <c r="E111" s="34" t="s">
        <v>128</v>
      </c>
      <c r="F111" s="34" t="s">
        <v>129</v>
      </c>
      <c r="G111" s="34" t="s">
        <v>130</v>
      </c>
      <c r="H111" s="34" t="s">
        <v>131</v>
      </c>
      <c r="I111">
        <v>1</v>
      </c>
      <c r="J111">
        <v>0</v>
      </c>
      <c r="K111">
        <v>5</v>
      </c>
      <c r="L111">
        <v>-4</v>
      </c>
      <c r="O111" s="28">
        <v>46275</v>
      </c>
      <c r="R111">
        <v>-1</v>
      </c>
      <c r="S111">
        <v>2</v>
      </c>
      <c r="T111">
        <v>15</v>
      </c>
      <c r="U111">
        <v>2</v>
      </c>
      <c r="V111">
        <v>20260911002</v>
      </c>
    </row>
    <row r="112" spans="1:22" x14ac:dyDescent="0.2">
      <c r="A112" s="34" t="s">
        <v>122</v>
      </c>
      <c r="B112" s="28">
        <v>46276</v>
      </c>
      <c r="C112" s="34"/>
      <c r="D112" s="34" t="s">
        <v>338</v>
      </c>
      <c r="E112" s="34" t="s">
        <v>132</v>
      </c>
      <c r="F112" s="34" t="s">
        <v>133</v>
      </c>
      <c r="G112" s="34" t="s">
        <v>134</v>
      </c>
      <c r="H112" s="34" t="s">
        <v>135</v>
      </c>
      <c r="I112">
        <v>1</v>
      </c>
      <c r="J112">
        <v>0</v>
      </c>
      <c r="K112">
        <v>4</v>
      </c>
      <c r="L112">
        <v>-3</v>
      </c>
      <c r="O112" s="28">
        <v>46275</v>
      </c>
      <c r="R112">
        <v>-1</v>
      </c>
      <c r="S112">
        <v>3</v>
      </c>
      <c r="T112">
        <v>15</v>
      </c>
      <c r="U112">
        <v>3</v>
      </c>
      <c r="V112">
        <v>20260911003</v>
      </c>
    </row>
    <row r="113" spans="1:22" x14ac:dyDescent="0.2">
      <c r="A113" s="34" t="s">
        <v>122</v>
      </c>
      <c r="B113" s="28">
        <v>46276</v>
      </c>
      <c r="C113" s="34"/>
      <c r="D113" s="34" t="s">
        <v>338</v>
      </c>
      <c r="E113" s="34" t="s">
        <v>136</v>
      </c>
      <c r="F113" s="34" t="s">
        <v>137</v>
      </c>
      <c r="G113" s="34" t="s">
        <v>138</v>
      </c>
      <c r="H113" s="34" t="s">
        <v>139</v>
      </c>
      <c r="I113">
        <v>1</v>
      </c>
      <c r="J113">
        <v>0</v>
      </c>
      <c r="K113">
        <v>8</v>
      </c>
      <c r="L113">
        <v>-7</v>
      </c>
      <c r="O113" s="28">
        <v>46275</v>
      </c>
      <c r="R113">
        <v>-1</v>
      </c>
      <c r="S113">
        <v>4</v>
      </c>
      <c r="T113">
        <v>15</v>
      </c>
      <c r="U113">
        <v>4</v>
      </c>
      <c r="V113">
        <v>20260911004</v>
      </c>
    </row>
    <row r="114" spans="1:22" x14ac:dyDescent="0.2">
      <c r="A114" s="34" t="s">
        <v>122</v>
      </c>
      <c r="B114" s="28">
        <v>46276</v>
      </c>
      <c r="C114" s="34"/>
      <c r="D114" s="34" t="s">
        <v>338</v>
      </c>
      <c r="E114" s="34" t="s">
        <v>140</v>
      </c>
      <c r="F114" s="34" t="s">
        <v>141</v>
      </c>
      <c r="G114" s="34" t="s">
        <v>142</v>
      </c>
      <c r="H114" s="34" t="s">
        <v>143</v>
      </c>
      <c r="I114">
        <v>1</v>
      </c>
      <c r="J114">
        <v>0</v>
      </c>
      <c r="K114">
        <v>5</v>
      </c>
      <c r="L114">
        <v>-4</v>
      </c>
      <c r="O114" s="28">
        <v>46275</v>
      </c>
      <c r="R114">
        <v>-1</v>
      </c>
      <c r="S114">
        <v>5</v>
      </c>
      <c r="T114">
        <v>15</v>
      </c>
      <c r="U114">
        <v>5</v>
      </c>
      <c r="V114">
        <v>20260911005</v>
      </c>
    </row>
    <row r="115" spans="1:22" x14ac:dyDescent="0.2">
      <c r="A115" s="34" t="s">
        <v>122</v>
      </c>
      <c r="B115" s="28">
        <v>46276</v>
      </c>
      <c r="C115" s="34"/>
      <c r="D115" s="34" t="s">
        <v>338</v>
      </c>
      <c r="E115" s="34" t="s">
        <v>144</v>
      </c>
      <c r="F115" s="34" t="s">
        <v>145</v>
      </c>
      <c r="G115" s="34" t="s">
        <v>146</v>
      </c>
      <c r="H115" s="34" t="s">
        <v>147</v>
      </c>
      <c r="I115">
        <v>1</v>
      </c>
      <c r="J115">
        <v>0</v>
      </c>
      <c r="K115">
        <v>10</v>
      </c>
      <c r="L115">
        <v>-9</v>
      </c>
      <c r="O115" s="28">
        <v>46275</v>
      </c>
      <c r="R115">
        <v>-1</v>
      </c>
      <c r="S115">
        <v>6</v>
      </c>
      <c r="T115">
        <v>15</v>
      </c>
      <c r="U115">
        <v>6</v>
      </c>
      <c r="V115">
        <v>20260911006</v>
      </c>
    </row>
    <row r="116" spans="1:22" x14ac:dyDescent="0.2">
      <c r="A116" s="34" t="s">
        <v>122</v>
      </c>
      <c r="B116" s="28">
        <v>46276</v>
      </c>
      <c r="C116" s="34"/>
      <c r="D116" s="34" t="s">
        <v>338</v>
      </c>
      <c r="E116" s="34" t="s">
        <v>148</v>
      </c>
      <c r="F116" s="34" t="s">
        <v>149</v>
      </c>
      <c r="G116" s="34" t="s">
        <v>150</v>
      </c>
      <c r="H116" s="34" t="s">
        <v>151</v>
      </c>
      <c r="I116">
        <v>3</v>
      </c>
      <c r="J116">
        <v>0</v>
      </c>
      <c r="K116">
        <v>4</v>
      </c>
      <c r="L116">
        <v>-1</v>
      </c>
      <c r="O116" s="28">
        <v>46275</v>
      </c>
      <c r="R116">
        <v>-1</v>
      </c>
      <c r="S116">
        <v>7</v>
      </c>
      <c r="T116">
        <v>15</v>
      </c>
      <c r="U116">
        <v>7</v>
      </c>
      <c r="V116">
        <v>20260911007</v>
      </c>
    </row>
    <row r="117" spans="1:22" x14ac:dyDescent="0.2">
      <c r="A117" s="34" t="s">
        <v>122</v>
      </c>
      <c r="B117" s="28">
        <v>46276</v>
      </c>
      <c r="C117" s="34"/>
      <c r="D117" s="34" t="s">
        <v>338</v>
      </c>
      <c r="E117" s="34" t="s">
        <v>152</v>
      </c>
      <c r="F117" s="34" t="s">
        <v>153</v>
      </c>
      <c r="G117" s="34" t="s">
        <v>154</v>
      </c>
      <c r="H117" s="34" t="s">
        <v>155</v>
      </c>
      <c r="I117">
        <v>1</v>
      </c>
      <c r="J117">
        <v>0</v>
      </c>
      <c r="K117">
        <v>6</v>
      </c>
      <c r="L117">
        <v>-5</v>
      </c>
      <c r="O117" s="28">
        <v>46275</v>
      </c>
      <c r="R117">
        <v>-1</v>
      </c>
      <c r="S117">
        <v>8</v>
      </c>
      <c r="T117">
        <v>15</v>
      </c>
      <c r="U117">
        <v>8</v>
      </c>
      <c r="V117">
        <v>20260911008</v>
      </c>
    </row>
    <row r="118" spans="1:22" x14ac:dyDescent="0.2">
      <c r="A118" s="34" t="s">
        <v>122</v>
      </c>
      <c r="B118" s="28">
        <v>46276</v>
      </c>
      <c r="C118" s="34"/>
      <c r="D118" s="34" t="s">
        <v>338</v>
      </c>
      <c r="E118" s="34" t="s">
        <v>156</v>
      </c>
      <c r="F118" s="34" t="s">
        <v>157</v>
      </c>
      <c r="G118" s="34" t="s">
        <v>158</v>
      </c>
      <c r="H118" s="34" t="s">
        <v>159</v>
      </c>
      <c r="I118">
        <v>3</v>
      </c>
      <c r="J118">
        <v>0</v>
      </c>
      <c r="K118">
        <v>12</v>
      </c>
      <c r="L118">
        <v>-9</v>
      </c>
      <c r="O118" s="28">
        <v>46275</v>
      </c>
      <c r="R118">
        <v>-1</v>
      </c>
      <c r="S118">
        <v>9</v>
      </c>
      <c r="T118">
        <v>15</v>
      </c>
      <c r="U118">
        <v>9</v>
      </c>
      <c r="V118">
        <v>20260911009</v>
      </c>
    </row>
    <row r="119" spans="1:22" x14ac:dyDescent="0.2">
      <c r="A119" s="34" t="s">
        <v>122</v>
      </c>
      <c r="B119" s="28">
        <v>46276</v>
      </c>
      <c r="C119" s="34"/>
      <c r="D119" s="34" t="s">
        <v>338</v>
      </c>
      <c r="E119" s="34" t="s">
        <v>160</v>
      </c>
      <c r="F119" s="34" t="s">
        <v>161</v>
      </c>
      <c r="G119" s="34" t="s">
        <v>162</v>
      </c>
      <c r="H119" s="34" t="s">
        <v>163</v>
      </c>
      <c r="I119">
        <v>1</v>
      </c>
      <c r="J119">
        <v>0</v>
      </c>
      <c r="K119">
        <v>8</v>
      </c>
      <c r="L119">
        <v>-7</v>
      </c>
      <c r="O119" s="28">
        <v>46275</v>
      </c>
      <c r="R119">
        <v>-1</v>
      </c>
      <c r="S119">
        <v>10</v>
      </c>
      <c r="T119">
        <v>15</v>
      </c>
      <c r="U119">
        <v>10</v>
      </c>
      <c r="V119">
        <v>20260911010</v>
      </c>
    </row>
    <row r="120" spans="1:22" x14ac:dyDescent="0.2">
      <c r="A120" s="34" t="s">
        <v>122</v>
      </c>
      <c r="B120" s="28">
        <v>46276</v>
      </c>
      <c r="C120" s="34"/>
      <c r="D120" s="34" t="s">
        <v>338</v>
      </c>
      <c r="E120" s="34" t="s">
        <v>164</v>
      </c>
      <c r="F120" s="34" t="s">
        <v>165</v>
      </c>
      <c r="G120" s="34" t="s">
        <v>166</v>
      </c>
      <c r="H120" s="34" t="s">
        <v>167</v>
      </c>
      <c r="I120">
        <v>2</v>
      </c>
      <c r="J120">
        <v>0</v>
      </c>
      <c r="K120">
        <v>34</v>
      </c>
      <c r="L120">
        <v>-32</v>
      </c>
      <c r="O120" s="28">
        <v>46275</v>
      </c>
      <c r="R120">
        <v>-1</v>
      </c>
      <c r="S120">
        <v>11</v>
      </c>
      <c r="T120">
        <v>15</v>
      </c>
      <c r="U120">
        <v>11</v>
      </c>
      <c r="V120">
        <v>20260911011</v>
      </c>
    </row>
    <row r="121" spans="1:22" x14ac:dyDescent="0.2">
      <c r="A121" s="34" t="s">
        <v>122</v>
      </c>
      <c r="B121" s="28">
        <v>46276</v>
      </c>
      <c r="C121" s="34"/>
      <c r="D121" s="34" t="s">
        <v>338</v>
      </c>
      <c r="E121" s="34" t="s">
        <v>168</v>
      </c>
      <c r="F121" s="34" t="s">
        <v>169</v>
      </c>
      <c r="G121" s="34" t="s">
        <v>170</v>
      </c>
      <c r="H121" s="34" t="s">
        <v>171</v>
      </c>
      <c r="I121">
        <v>3</v>
      </c>
      <c r="J121">
        <v>0</v>
      </c>
      <c r="K121">
        <v>15</v>
      </c>
      <c r="L121">
        <v>-12</v>
      </c>
      <c r="O121" s="28">
        <v>46275</v>
      </c>
      <c r="R121">
        <v>-1</v>
      </c>
      <c r="S121">
        <v>12</v>
      </c>
      <c r="T121">
        <v>15</v>
      </c>
      <c r="U121">
        <v>12</v>
      </c>
      <c r="V121">
        <v>20260911012</v>
      </c>
    </row>
    <row r="122" spans="1:22" x14ac:dyDescent="0.2">
      <c r="A122" s="34" t="s">
        <v>122</v>
      </c>
      <c r="B122" s="28">
        <v>46276</v>
      </c>
      <c r="C122" s="34"/>
      <c r="D122" s="34" t="s">
        <v>338</v>
      </c>
      <c r="E122" s="34" t="s">
        <v>172</v>
      </c>
      <c r="F122" s="34" t="s">
        <v>173</v>
      </c>
      <c r="G122" s="34" t="s">
        <v>174</v>
      </c>
      <c r="H122" s="34" t="s">
        <v>175</v>
      </c>
      <c r="I122">
        <v>1</v>
      </c>
      <c r="J122">
        <v>0</v>
      </c>
      <c r="K122">
        <v>18</v>
      </c>
      <c r="L122">
        <v>-17</v>
      </c>
      <c r="O122" s="28">
        <v>46275</v>
      </c>
      <c r="R122">
        <v>-1</v>
      </c>
      <c r="S122">
        <v>13</v>
      </c>
      <c r="T122">
        <v>15</v>
      </c>
      <c r="U122">
        <v>13</v>
      </c>
      <c r="V122">
        <v>20260911013</v>
      </c>
    </row>
    <row r="123" spans="1:22" x14ac:dyDescent="0.2">
      <c r="A123" s="34" t="s">
        <v>122</v>
      </c>
      <c r="B123" s="28">
        <v>46276</v>
      </c>
      <c r="C123" s="34"/>
      <c r="D123" s="34" t="s">
        <v>338</v>
      </c>
      <c r="E123" s="34" t="s">
        <v>176</v>
      </c>
      <c r="F123" s="34" t="s">
        <v>177</v>
      </c>
      <c r="G123" s="34" t="s">
        <v>178</v>
      </c>
      <c r="H123" s="34" t="s">
        <v>179</v>
      </c>
      <c r="I123">
        <v>1</v>
      </c>
      <c r="J123">
        <v>0</v>
      </c>
      <c r="K123">
        <v>8</v>
      </c>
      <c r="L123">
        <v>-7</v>
      </c>
      <c r="O123" s="28">
        <v>46275</v>
      </c>
      <c r="R123">
        <v>-1</v>
      </c>
      <c r="S123">
        <v>14</v>
      </c>
      <c r="T123">
        <v>15</v>
      </c>
      <c r="U123">
        <v>14</v>
      </c>
      <c r="V123">
        <v>20260911014</v>
      </c>
    </row>
    <row r="124" spans="1:22" x14ac:dyDescent="0.2">
      <c r="A124" s="34" t="s">
        <v>122</v>
      </c>
      <c r="B124" s="28">
        <v>46276</v>
      </c>
      <c r="C124" s="34"/>
      <c r="D124" s="34" t="s">
        <v>338</v>
      </c>
      <c r="E124" s="34" t="s">
        <v>180</v>
      </c>
      <c r="F124" s="34" t="s">
        <v>181</v>
      </c>
      <c r="G124" s="34" t="s">
        <v>182</v>
      </c>
      <c r="H124" s="34" t="s">
        <v>183</v>
      </c>
      <c r="I124">
        <v>2</v>
      </c>
      <c r="J124">
        <v>0</v>
      </c>
      <c r="K124">
        <v>12</v>
      </c>
      <c r="L124">
        <v>-10</v>
      </c>
      <c r="O124" s="28">
        <v>46275</v>
      </c>
      <c r="R124">
        <v>-1</v>
      </c>
      <c r="S124">
        <v>15</v>
      </c>
      <c r="T124">
        <v>15</v>
      </c>
      <c r="U124">
        <v>15</v>
      </c>
      <c r="V124">
        <v>20260911015</v>
      </c>
    </row>
    <row r="125" spans="1:22" x14ac:dyDescent="0.2">
      <c r="A125" s="34" t="s">
        <v>122</v>
      </c>
      <c r="B125" s="28">
        <v>46276</v>
      </c>
      <c r="C125" s="34"/>
      <c r="D125" s="34" t="s">
        <v>338</v>
      </c>
      <c r="E125" s="34" t="s">
        <v>184</v>
      </c>
      <c r="F125" s="34" t="s">
        <v>185</v>
      </c>
      <c r="G125" s="34" t="s">
        <v>186</v>
      </c>
      <c r="H125" s="34" t="s">
        <v>187</v>
      </c>
      <c r="I125">
        <v>1</v>
      </c>
      <c r="J125">
        <v>0</v>
      </c>
      <c r="K125">
        <v>15</v>
      </c>
      <c r="L125">
        <v>-14</v>
      </c>
      <c r="O125" s="28">
        <v>46275</v>
      </c>
      <c r="R125">
        <v>-1</v>
      </c>
      <c r="S125">
        <v>16</v>
      </c>
      <c r="T125">
        <v>15</v>
      </c>
      <c r="U125">
        <v>16</v>
      </c>
      <c r="V125">
        <v>20260911016</v>
      </c>
    </row>
    <row r="126" spans="1:22" x14ac:dyDescent="0.2">
      <c r="A126" s="34" t="s">
        <v>122</v>
      </c>
      <c r="B126" s="28">
        <v>46276</v>
      </c>
      <c r="C126" s="34"/>
      <c r="D126" s="34" t="s">
        <v>338</v>
      </c>
      <c r="E126" s="34" t="s">
        <v>188</v>
      </c>
      <c r="F126" s="34" t="s">
        <v>189</v>
      </c>
      <c r="G126" s="34" t="s">
        <v>190</v>
      </c>
      <c r="H126" s="34" t="s">
        <v>191</v>
      </c>
      <c r="I126">
        <v>1</v>
      </c>
      <c r="J126">
        <v>0</v>
      </c>
      <c r="K126">
        <v>8</v>
      </c>
      <c r="L126">
        <v>-7</v>
      </c>
      <c r="O126" s="28">
        <v>46275</v>
      </c>
      <c r="R126">
        <v>-1</v>
      </c>
      <c r="S126">
        <v>17</v>
      </c>
      <c r="T126">
        <v>15</v>
      </c>
      <c r="U126">
        <v>21</v>
      </c>
      <c r="V126">
        <v>20260911017</v>
      </c>
    </row>
    <row r="127" spans="1:22" x14ac:dyDescent="0.2">
      <c r="A127" s="34" t="s">
        <v>122</v>
      </c>
      <c r="B127" s="28">
        <v>46276</v>
      </c>
      <c r="C127" s="34"/>
      <c r="D127" s="34" t="s">
        <v>338</v>
      </c>
      <c r="E127" s="34" t="s">
        <v>192</v>
      </c>
      <c r="F127" s="34" t="s">
        <v>193</v>
      </c>
      <c r="G127" s="34" t="s">
        <v>194</v>
      </c>
      <c r="H127" s="34" t="s">
        <v>195</v>
      </c>
      <c r="I127">
        <v>1</v>
      </c>
      <c r="J127">
        <v>0</v>
      </c>
      <c r="K127">
        <v>4</v>
      </c>
      <c r="L127">
        <v>-3</v>
      </c>
      <c r="O127" s="28">
        <v>46275</v>
      </c>
      <c r="R127">
        <v>-1</v>
      </c>
      <c r="S127">
        <v>18</v>
      </c>
      <c r="T127">
        <v>15</v>
      </c>
      <c r="U127">
        <v>22</v>
      </c>
      <c r="V127">
        <v>20260911018</v>
      </c>
    </row>
    <row r="128" spans="1:22" x14ac:dyDescent="0.2">
      <c r="A128" s="34" t="s">
        <v>122</v>
      </c>
      <c r="B128" s="28">
        <v>46276</v>
      </c>
      <c r="C128" s="34"/>
      <c r="D128" s="34" t="s">
        <v>338</v>
      </c>
      <c r="E128" s="34" t="s">
        <v>196</v>
      </c>
      <c r="F128" s="34" t="s">
        <v>197</v>
      </c>
      <c r="G128" s="34" t="s">
        <v>198</v>
      </c>
      <c r="H128" s="34" t="s">
        <v>199</v>
      </c>
      <c r="I128">
        <v>11</v>
      </c>
      <c r="J128">
        <v>0</v>
      </c>
      <c r="K128">
        <v>6</v>
      </c>
      <c r="L128">
        <v>5</v>
      </c>
      <c r="O128" s="28">
        <v>46275</v>
      </c>
      <c r="R128">
        <v>-1</v>
      </c>
      <c r="S128">
        <v>19</v>
      </c>
      <c r="T128">
        <v>15</v>
      </c>
      <c r="U128">
        <v>23</v>
      </c>
      <c r="V128">
        <v>20260911019</v>
      </c>
    </row>
    <row r="129" spans="1:22" x14ac:dyDescent="0.2">
      <c r="A129" s="34" t="s">
        <v>122</v>
      </c>
      <c r="B129" s="28">
        <v>46276</v>
      </c>
      <c r="C129" s="34"/>
      <c r="D129" s="34" t="s">
        <v>338</v>
      </c>
      <c r="E129" s="34" t="s">
        <v>200</v>
      </c>
      <c r="F129" s="34" t="s">
        <v>201</v>
      </c>
      <c r="G129" s="34" t="s">
        <v>202</v>
      </c>
      <c r="H129" s="34" t="s">
        <v>203</v>
      </c>
      <c r="I129">
        <v>1</v>
      </c>
      <c r="J129">
        <v>0</v>
      </c>
      <c r="K129">
        <v>11</v>
      </c>
      <c r="L129">
        <v>-10</v>
      </c>
      <c r="O129" s="28">
        <v>46275</v>
      </c>
      <c r="R129">
        <v>-1</v>
      </c>
      <c r="S129">
        <v>20</v>
      </c>
      <c r="T129">
        <v>15</v>
      </c>
      <c r="U129">
        <v>24</v>
      </c>
      <c r="V129">
        <v>20260911020</v>
      </c>
    </row>
    <row r="130" spans="1:22" x14ac:dyDescent="0.2">
      <c r="A130" s="34" t="s">
        <v>122</v>
      </c>
      <c r="B130" s="28">
        <v>46276</v>
      </c>
      <c r="C130" s="34"/>
      <c r="D130" s="34" t="s">
        <v>338</v>
      </c>
      <c r="E130" s="34" t="s">
        <v>204</v>
      </c>
      <c r="F130" s="34" t="s">
        <v>205</v>
      </c>
      <c r="G130" s="34" t="s">
        <v>206</v>
      </c>
      <c r="H130" s="34" t="s">
        <v>207</v>
      </c>
      <c r="I130">
        <v>1</v>
      </c>
      <c r="J130">
        <v>0</v>
      </c>
      <c r="K130">
        <v>4</v>
      </c>
      <c r="L130">
        <v>-3</v>
      </c>
      <c r="O130" s="28">
        <v>46275</v>
      </c>
      <c r="R130">
        <v>-1</v>
      </c>
      <c r="S130">
        <v>21</v>
      </c>
      <c r="T130">
        <v>15</v>
      </c>
      <c r="U130">
        <v>25</v>
      </c>
      <c r="V130">
        <v>20260911021</v>
      </c>
    </row>
    <row r="131" spans="1:22" x14ac:dyDescent="0.2">
      <c r="A131" s="34" t="s">
        <v>122</v>
      </c>
      <c r="B131" s="28">
        <v>46276</v>
      </c>
      <c r="C131" s="34"/>
      <c r="D131" s="34" t="s">
        <v>338</v>
      </c>
      <c r="E131" s="34" t="s">
        <v>208</v>
      </c>
      <c r="F131" s="34" t="s">
        <v>209</v>
      </c>
      <c r="G131" s="34" t="s">
        <v>210</v>
      </c>
      <c r="H131" s="34" t="s">
        <v>211</v>
      </c>
      <c r="I131">
        <v>1</v>
      </c>
      <c r="J131">
        <v>0</v>
      </c>
      <c r="K131">
        <v>2</v>
      </c>
      <c r="L131">
        <v>-1</v>
      </c>
      <c r="O131" s="28">
        <v>46275</v>
      </c>
      <c r="R131">
        <v>-1</v>
      </c>
      <c r="S131">
        <v>22</v>
      </c>
      <c r="T131">
        <v>15</v>
      </c>
      <c r="U131">
        <v>26</v>
      </c>
      <c r="V131">
        <v>20260911022</v>
      </c>
    </row>
    <row r="132" spans="1:22" x14ac:dyDescent="0.2">
      <c r="A132" s="34" t="s">
        <v>122</v>
      </c>
      <c r="B132" s="28">
        <v>46276</v>
      </c>
      <c r="C132" s="34"/>
      <c r="D132" s="34" t="s">
        <v>338</v>
      </c>
      <c r="E132" s="34" t="s">
        <v>212</v>
      </c>
      <c r="F132" s="34" t="s">
        <v>213</v>
      </c>
      <c r="G132" s="34" t="s">
        <v>214</v>
      </c>
      <c r="H132" s="34" t="s">
        <v>215</v>
      </c>
      <c r="I132">
        <v>11</v>
      </c>
      <c r="J132">
        <v>0</v>
      </c>
      <c r="K132">
        <v>7</v>
      </c>
      <c r="L132">
        <v>4</v>
      </c>
      <c r="O132" s="28">
        <v>46275</v>
      </c>
      <c r="R132">
        <v>-1</v>
      </c>
      <c r="S132">
        <v>23</v>
      </c>
      <c r="T132">
        <v>15</v>
      </c>
      <c r="U132">
        <v>27</v>
      </c>
      <c r="V132">
        <v>20260911023</v>
      </c>
    </row>
    <row r="133" spans="1:22" x14ac:dyDescent="0.2">
      <c r="A133" s="34" t="s">
        <v>122</v>
      </c>
      <c r="B133" s="28">
        <v>46276</v>
      </c>
      <c r="C133" s="34"/>
      <c r="D133" s="34" t="s">
        <v>338</v>
      </c>
      <c r="E133" s="34" t="s">
        <v>216</v>
      </c>
      <c r="F133" s="34" t="s">
        <v>217</v>
      </c>
      <c r="G133" s="34" t="s">
        <v>218</v>
      </c>
      <c r="H133" s="34" t="s">
        <v>219</v>
      </c>
      <c r="I133">
        <v>1</v>
      </c>
      <c r="J133">
        <v>0</v>
      </c>
      <c r="K133">
        <v>11</v>
      </c>
      <c r="L133">
        <v>-10</v>
      </c>
      <c r="O133" s="28">
        <v>46275</v>
      </c>
      <c r="R133">
        <v>-1</v>
      </c>
      <c r="S133">
        <v>24</v>
      </c>
      <c r="T133">
        <v>15</v>
      </c>
      <c r="U133">
        <v>28</v>
      </c>
      <c r="V133">
        <v>20260911024</v>
      </c>
    </row>
    <row r="134" spans="1:22" x14ac:dyDescent="0.2">
      <c r="A134" s="34" t="s">
        <v>122</v>
      </c>
      <c r="B134" s="28">
        <v>46276</v>
      </c>
      <c r="C134" s="34"/>
      <c r="D134" s="34" t="s">
        <v>338</v>
      </c>
      <c r="E134" s="34" t="s">
        <v>220</v>
      </c>
      <c r="F134" s="34" t="s">
        <v>221</v>
      </c>
      <c r="G134" s="34" t="s">
        <v>222</v>
      </c>
      <c r="H134" s="34" t="s">
        <v>223</v>
      </c>
      <c r="I134">
        <v>11</v>
      </c>
      <c r="J134">
        <v>0</v>
      </c>
      <c r="K134">
        <v>13</v>
      </c>
      <c r="L134">
        <v>-2</v>
      </c>
      <c r="O134" s="28">
        <v>46275</v>
      </c>
      <c r="R134">
        <v>-1</v>
      </c>
      <c r="S134">
        <v>25</v>
      </c>
      <c r="T134">
        <v>15</v>
      </c>
      <c r="U134">
        <v>29</v>
      </c>
      <c r="V134">
        <v>20260911025</v>
      </c>
    </row>
    <row r="135" spans="1:22" x14ac:dyDescent="0.2">
      <c r="A135" s="34" t="s">
        <v>122</v>
      </c>
      <c r="B135" s="28">
        <v>46276</v>
      </c>
      <c r="C135" s="34"/>
      <c r="D135" s="34" t="s">
        <v>338</v>
      </c>
      <c r="E135" s="34" t="s">
        <v>224</v>
      </c>
      <c r="F135" s="34" t="s">
        <v>225</v>
      </c>
      <c r="G135" s="34" t="s">
        <v>226</v>
      </c>
      <c r="H135" s="34" t="s">
        <v>227</v>
      </c>
      <c r="I135">
        <v>1</v>
      </c>
      <c r="J135">
        <v>0</v>
      </c>
      <c r="K135">
        <v>7</v>
      </c>
      <c r="L135">
        <v>-6</v>
      </c>
      <c r="O135" s="28">
        <v>46275</v>
      </c>
      <c r="R135">
        <v>-1</v>
      </c>
      <c r="S135">
        <v>26</v>
      </c>
      <c r="T135">
        <v>15</v>
      </c>
      <c r="U135">
        <v>30</v>
      </c>
      <c r="V135">
        <v>20260911026</v>
      </c>
    </row>
    <row r="136" spans="1:22" x14ac:dyDescent="0.2">
      <c r="A136" s="34" t="s">
        <v>122</v>
      </c>
      <c r="B136" s="28">
        <v>46276</v>
      </c>
      <c r="C136" s="34"/>
      <c r="D136" s="34" t="s">
        <v>338</v>
      </c>
      <c r="E136" s="34" t="s">
        <v>228</v>
      </c>
      <c r="F136" s="34" t="s">
        <v>229</v>
      </c>
      <c r="G136" s="34" t="s">
        <v>230</v>
      </c>
      <c r="H136" s="34" t="s">
        <v>231</v>
      </c>
      <c r="I136">
        <v>1</v>
      </c>
      <c r="J136">
        <v>0</v>
      </c>
      <c r="K136">
        <v>4</v>
      </c>
      <c r="L136">
        <v>-3</v>
      </c>
      <c r="O136" s="28">
        <v>46275</v>
      </c>
      <c r="R136">
        <v>-1</v>
      </c>
      <c r="S136">
        <v>27</v>
      </c>
      <c r="T136">
        <v>15</v>
      </c>
      <c r="U136">
        <v>31</v>
      </c>
      <c r="V136">
        <v>20260911027</v>
      </c>
    </row>
    <row r="137" spans="1:22" x14ac:dyDescent="0.2">
      <c r="A137" s="34" t="s">
        <v>122</v>
      </c>
      <c r="B137" s="28">
        <v>46276</v>
      </c>
      <c r="C137" s="34"/>
      <c r="D137" s="34" t="s">
        <v>338</v>
      </c>
      <c r="E137" s="34" t="s">
        <v>232</v>
      </c>
      <c r="F137" s="34" t="s">
        <v>233</v>
      </c>
      <c r="G137" s="34" t="s">
        <v>234</v>
      </c>
      <c r="H137" s="34" t="s">
        <v>235</v>
      </c>
      <c r="I137">
        <v>1</v>
      </c>
      <c r="J137">
        <v>0</v>
      </c>
      <c r="K137">
        <v>7</v>
      </c>
      <c r="L137">
        <v>-6</v>
      </c>
      <c r="O137" s="28">
        <v>46275</v>
      </c>
      <c r="R137">
        <v>-1</v>
      </c>
      <c r="S137">
        <v>28</v>
      </c>
      <c r="T137">
        <v>15</v>
      </c>
      <c r="U137">
        <v>32</v>
      </c>
      <c r="V137">
        <v>20260911028</v>
      </c>
    </row>
    <row r="138" spans="1:22" x14ac:dyDescent="0.2">
      <c r="A138" s="34" t="s">
        <v>122</v>
      </c>
      <c r="B138" s="28">
        <v>46276</v>
      </c>
      <c r="C138" s="34"/>
      <c r="D138" s="34" t="s">
        <v>338</v>
      </c>
      <c r="E138" s="34" t="s">
        <v>236</v>
      </c>
      <c r="F138" s="34" t="s">
        <v>237</v>
      </c>
      <c r="G138" s="34" t="s">
        <v>238</v>
      </c>
      <c r="H138" s="34" t="s">
        <v>239</v>
      </c>
      <c r="I138">
        <v>1</v>
      </c>
      <c r="J138">
        <v>0</v>
      </c>
      <c r="K138">
        <v>4</v>
      </c>
      <c r="L138">
        <v>-3</v>
      </c>
      <c r="O138" s="28">
        <v>46275</v>
      </c>
      <c r="R138">
        <v>-1</v>
      </c>
      <c r="S138">
        <v>29</v>
      </c>
      <c r="T138">
        <v>15</v>
      </c>
      <c r="U138">
        <v>33</v>
      </c>
      <c r="V138">
        <v>20260911029</v>
      </c>
    </row>
    <row r="139" spans="1:22" x14ac:dyDescent="0.2">
      <c r="A139" s="34" t="s">
        <v>122</v>
      </c>
      <c r="B139" s="28">
        <v>46276</v>
      </c>
      <c r="C139" s="34"/>
      <c r="D139" s="34" t="s">
        <v>338</v>
      </c>
      <c r="E139" s="34" t="s">
        <v>240</v>
      </c>
      <c r="F139" s="34" t="s">
        <v>241</v>
      </c>
      <c r="G139" s="34" t="s">
        <v>242</v>
      </c>
      <c r="H139" s="34" t="s">
        <v>243</v>
      </c>
      <c r="I139">
        <v>1</v>
      </c>
      <c r="J139">
        <v>0</v>
      </c>
      <c r="K139">
        <v>10</v>
      </c>
      <c r="L139">
        <v>-9</v>
      </c>
      <c r="O139" s="28">
        <v>46275</v>
      </c>
      <c r="R139">
        <v>-1</v>
      </c>
      <c r="S139">
        <v>30</v>
      </c>
      <c r="T139">
        <v>15</v>
      </c>
      <c r="U139">
        <v>34</v>
      </c>
      <c r="V139">
        <v>20260911030</v>
      </c>
    </row>
    <row r="140" spans="1:22" x14ac:dyDescent="0.2">
      <c r="A140" s="34" t="s">
        <v>122</v>
      </c>
      <c r="B140" s="28">
        <v>46276</v>
      </c>
      <c r="C140" s="34"/>
      <c r="D140" s="34" t="s">
        <v>338</v>
      </c>
      <c r="E140" s="34" t="s">
        <v>244</v>
      </c>
      <c r="F140" s="34" t="s">
        <v>245</v>
      </c>
      <c r="G140" s="34" t="s">
        <v>246</v>
      </c>
      <c r="H140" s="34" t="s">
        <v>247</v>
      </c>
      <c r="I140">
        <v>1</v>
      </c>
      <c r="J140">
        <v>0</v>
      </c>
      <c r="K140">
        <v>5</v>
      </c>
      <c r="L140">
        <v>-4</v>
      </c>
      <c r="O140" s="28">
        <v>46275</v>
      </c>
      <c r="R140">
        <v>-1</v>
      </c>
      <c r="S140">
        <v>31</v>
      </c>
      <c r="T140">
        <v>15</v>
      </c>
      <c r="U140">
        <v>35</v>
      </c>
      <c r="V140">
        <v>20260911031</v>
      </c>
    </row>
    <row r="141" spans="1:22" x14ac:dyDescent="0.2">
      <c r="A141" s="34" t="s">
        <v>122</v>
      </c>
      <c r="B141" s="28">
        <v>46276</v>
      </c>
      <c r="C141" s="34"/>
      <c r="D141" s="34" t="s">
        <v>338</v>
      </c>
      <c r="E141" s="34" t="s">
        <v>248</v>
      </c>
      <c r="F141" s="34" t="s">
        <v>249</v>
      </c>
      <c r="G141" s="34" t="s">
        <v>250</v>
      </c>
      <c r="H141" s="34" t="s">
        <v>251</v>
      </c>
      <c r="I141">
        <v>1</v>
      </c>
      <c r="J141">
        <v>0</v>
      </c>
      <c r="K141">
        <v>4</v>
      </c>
      <c r="L141">
        <v>-3</v>
      </c>
      <c r="O141" s="28">
        <v>46275</v>
      </c>
      <c r="R141">
        <v>-1</v>
      </c>
      <c r="S141">
        <v>32</v>
      </c>
      <c r="T141">
        <v>15</v>
      </c>
      <c r="U141">
        <v>36</v>
      </c>
      <c r="V141">
        <v>20260911032</v>
      </c>
    </row>
    <row r="142" spans="1:22" x14ac:dyDescent="0.2">
      <c r="A142" s="34" t="s">
        <v>122</v>
      </c>
      <c r="B142" s="28">
        <v>46276</v>
      </c>
      <c r="C142" s="34"/>
      <c r="D142" s="34" t="s">
        <v>338</v>
      </c>
      <c r="E142" s="34" t="s">
        <v>252</v>
      </c>
      <c r="F142" s="34" t="s">
        <v>253</v>
      </c>
      <c r="G142" s="34" t="s">
        <v>254</v>
      </c>
      <c r="H142" s="34" t="s">
        <v>255</v>
      </c>
      <c r="I142">
        <v>1</v>
      </c>
      <c r="J142">
        <v>0</v>
      </c>
      <c r="K142">
        <v>4</v>
      </c>
      <c r="L142">
        <v>-3</v>
      </c>
      <c r="O142" s="28">
        <v>46275</v>
      </c>
      <c r="R142">
        <v>-1</v>
      </c>
      <c r="S142">
        <v>33</v>
      </c>
      <c r="T142">
        <v>15</v>
      </c>
      <c r="U142">
        <v>37</v>
      </c>
      <c r="V142">
        <v>20260911033</v>
      </c>
    </row>
    <row r="143" spans="1:22" x14ac:dyDescent="0.2">
      <c r="A143" s="34" t="s">
        <v>122</v>
      </c>
      <c r="B143" s="28">
        <v>46276</v>
      </c>
      <c r="C143" s="34"/>
      <c r="D143" s="34" t="s">
        <v>338</v>
      </c>
      <c r="E143" s="34" t="s">
        <v>256</v>
      </c>
      <c r="F143" s="34" t="s">
        <v>257</v>
      </c>
      <c r="G143" s="34" t="s">
        <v>258</v>
      </c>
      <c r="H143" s="34" t="s">
        <v>259</v>
      </c>
      <c r="I143">
        <v>4</v>
      </c>
      <c r="J143">
        <v>0</v>
      </c>
      <c r="K143">
        <v>4</v>
      </c>
      <c r="L143">
        <v>0</v>
      </c>
      <c r="O143" s="28">
        <v>46275</v>
      </c>
      <c r="R143">
        <v>-1</v>
      </c>
      <c r="S143">
        <v>34</v>
      </c>
      <c r="T143">
        <v>15</v>
      </c>
      <c r="U143">
        <v>38</v>
      </c>
      <c r="V143">
        <v>20260911034</v>
      </c>
    </row>
    <row r="144" spans="1:22" x14ac:dyDescent="0.2">
      <c r="A144" s="34" t="s">
        <v>122</v>
      </c>
      <c r="B144" s="28">
        <v>46276</v>
      </c>
      <c r="C144" s="34"/>
      <c r="D144" s="34" t="s">
        <v>338</v>
      </c>
      <c r="E144" s="34" t="s">
        <v>260</v>
      </c>
      <c r="F144" s="34" t="s">
        <v>261</v>
      </c>
      <c r="G144" s="34" t="s">
        <v>262</v>
      </c>
      <c r="H144" s="34" t="s">
        <v>263</v>
      </c>
      <c r="I144">
        <v>4</v>
      </c>
      <c r="J144">
        <v>0</v>
      </c>
      <c r="K144">
        <v>6</v>
      </c>
      <c r="L144">
        <v>-2</v>
      </c>
      <c r="O144" s="28">
        <v>46275</v>
      </c>
      <c r="R144">
        <v>-1</v>
      </c>
      <c r="S144">
        <v>35</v>
      </c>
      <c r="T144">
        <v>15</v>
      </c>
      <c r="U144">
        <v>39</v>
      </c>
      <c r="V144">
        <v>20260911035</v>
      </c>
    </row>
    <row r="145" spans="1:22" x14ac:dyDescent="0.2">
      <c r="A145" s="34" t="s">
        <v>122</v>
      </c>
      <c r="B145" s="28">
        <v>46276</v>
      </c>
      <c r="C145" s="34"/>
      <c r="D145" s="34" t="s">
        <v>338</v>
      </c>
      <c r="E145" s="34" t="s">
        <v>264</v>
      </c>
      <c r="F145" s="34" t="s">
        <v>265</v>
      </c>
      <c r="G145" s="34" t="s">
        <v>266</v>
      </c>
      <c r="H145" s="34" t="s">
        <v>267</v>
      </c>
      <c r="I145">
        <v>4</v>
      </c>
      <c r="J145">
        <v>0</v>
      </c>
      <c r="K145">
        <v>8</v>
      </c>
      <c r="L145">
        <v>-4</v>
      </c>
      <c r="O145" s="28">
        <v>46275</v>
      </c>
      <c r="R145">
        <v>-1</v>
      </c>
      <c r="S145">
        <v>36</v>
      </c>
      <c r="T145">
        <v>15</v>
      </c>
      <c r="U145">
        <v>40</v>
      </c>
      <c r="V145">
        <v>20260911036</v>
      </c>
    </row>
    <row r="146" spans="1:22" x14ac:dyDescent="0.2">
      <c r="A146" s="34" t="s">
        <v>122</v>
      </c>
      <c r="B146" s="28">
        <v>46276</v>
      </c>
      <c r="C146" s="34"/>
      <c r="D146" s="34" t="s">
        <v>338</v>
      </c>
      <c r="E146" s="34" t="s">
        <v>268</v>
      </c>
      <c r="F146" s="34" t="s">
        <v>269</v>
      </c>
      <c r="G146" s="34" t="s">
        <v>270</v>
      </c>
      <c r="H146" s="34" t="s">
        <v>271</v>
      </c>
      <c r="I146">
        <v>1</v>
      </c>
      <c r="J146">
        <v>0</v>
      </c>
      <c r="K146">
        <v>6</v>
      </c>
      <c r="L146">
        <v>-5</v>
      </c>
      <c r="O146" s="28">
        <v>46275</v>
      </c>
      <c r="R146">
        <v>-1</v>
      </c>
      <c r="S146">
        <v>37</v>
      </c>
      <c r="T146">
        <v>15</v>
      </c>
      <c r="U146">
        <v>41</v>
      </c>
      <c r="V146">
        <v>20260911037</v>
      </c>
    </row>
    <row r="147" spans="1:22" x14ac:dyDescent="0.2">
      <c r="A147" s="34" t="s">
        <v>122</v>
      </c>
      <c r="B147" s="28">
        <v>46276</v>
      </c>
      <c r="C147" s="34"/>
      <c r="D147" s="34" t="s">
        <v>338</v>
      </c>
      <c r="E147" s="34" t="s">
        <v>272</v>
      </c>
      <c r="F147" s="34" t="s">
        <v>341</v>
      </c>
      <c r="G147" s="34" t="s">
        <v>273</v>
      </c>
      <c r="H147" s="34" t="s">
        <v>274</v>
      </c>
      <c r="I147">
        <v>1</v>
      </c>
      <c r="J147">
        <v>0</v>
      </c>
      <c r="K147">
        <v>5</v>
      </c>
      <c r="L147">
        <v>-4</v>
      </c>
      <c r="O147" s="28">
        <v>46275</v>
      </c>
      <c r="R147">
        <v>-1</v>
      </c>
      <c r="S147">
        <v>38</v>
      </c>
      <c r="T147">
        <v>15</v>
      </c>
      <c r="U147">
        <v>42</v>
      </c>
      <c r="V147">
        <v>20260911038</v>
      </c>
    </row>
    <row r="148" spans="1:22" x14ac:dyDescent="0.2">
      <c r="A148" s="34" t="s">
        <v>122</v>
      </c>
      <c r="B148" s="28">
        <v>46276</v>
      </c>
      <c r="C148" s="34"/>
      <c r="D148" s="34" t="s">
        <v>338</v>
      </c>
      <c r="E148" s="34" t="s">
        <v>275</v>
      </c>
      <c r="F148" s="34" t="s">
        <v>276</v>
      </c>
      <c r="G148" s="34" t="s">
        <v>277</v>
      </c>
      <c r="H148" s="34" t="s">
        <v>278</v>
      </c>
      <c r="I148">
        <v>1</v>
      </c>
      <c r="J148">
        <v>0</v>
      </c>
      <c r="K148">
        <v>6</v>
      </c>
      <c r="L148">
        <v>-5</v>
      </c>
      <c r="O148" s="28">
        <v>46275</v>
      </c>
      <c r="R148">
        <v>-1</v>
      </c>
      <c r="S148">
        <v>39</v>
      </c>
      <c r="T148">
        <v>15</v>
      </c>
      <c r="U148">
        <v>43</v>
      </c>
      <c r="V148">
        <v>20260911039</v>
      </c>
    </row>
    <row r="149" spans="1:22" x14ac:dyDescent="0.2">
      <c r="A149" s="34" t="s">
        <v>122</v>
      </c>
      <c r="B149" s="28">
        <v>46276</v>
      </c>
      <c r="C149" s="34"/>
      <c r="D149" s="34" t="s">
        <v>338</v>
      </c>
      <c r="E149" s="34" t="s">
        <v>279</v>
      </c>
      <c r="F149" s="34" t="s">
        <v>280</v>
      </c>
      <c r="G149" s="34" t="s">
        <v>281</v>
      </c>
      <c r="H149" s="34" t="s">
        <v>282</v>
      </c>
      <c r="I149">
        <v>1</v>
      </c>
      <c r="J149">
        <v>0</v>
      </c>
      <c r="K149">
        <v>6</v>
      </c>
      <c r="L149">
        <v>-5</v>
      </c>
      <c r="O149" s="28">
        <v>46275</v>
      </c>
      <c r="R149">
        <v>-1</v>
      </c>
      <c r="S149">
        <v>40</v>
      </c>
      <c r="T149">
        <v>15</v>
      </c>
      <c r="U149">
        <v>44</v>
      </c>
      <c r="V149">
        <v>20260911040</v>
      </c>
    </row>
    <row r="150" spans="1:22" x14ac:dyDescent="0.2">
      <c r="A150" s="34" t="s">
        <v>122</v>
      </c>
      <c r="B150" s="28">
        <v>46276</v>
      </c>
      <c r="C150" s="34"/>
      <c r="D150" s="34" t="s">
        <v>338</v>
      </c>
      <c r="E150" s="34" t="s">
        <v>283</v>
      </c>
      <c r="F150" s="34" t="s">
        <v>284</v>
      </c>
      <c r="G150" s="34" t="s">
        <v>285</v>
      </c>
      <c r="H150" s="34" t="s">
        <v>286</v>
      </c>
      <c r="I150">
        <v>1</v>
      </c>
      <c r="J150">
        <v>0</v>
      </c>
      <c r="K150">
        <v>17</v>
      </c>
      <c r="L150">
        <v>-16</v>
      </c>
      <c r="O150" s="28">
        <v>46275</v>
      </c>
      <c r="R150">
        <v>-1</v>
      </c>
      <c r="S150">
        <v>41</v>
      </c>
      <c r="T150">
        <v>15</v>
      </c>
      <c r="U150">
        <v>45</v>
      </c>
      <c r="V150">
        <v>20260911041</v>
      </c>
    </row>
    <row r="151" spans="1:22" x14ac:dyDescent="0.2">
      <c r="A151" s="34" t="s">
        <v>122</v>
      </c>
      <c r="B151" s="28">
        <v>46276</v>
      </c>
      <c r="C151" s="34"/>
      <c r="D151" s="34" t="s">
        <v>338</v>
      </c>
      <c r="E151" s="34" t="s">
        <v>287</v>
      </c>
      <c r="F151" s="34" t="s">
        <v>288</v>
      </c>
      <c r="G151" s="34" t="s">
        <v>289</v>
      </c>
      <c r="H151" s="34" t="s">
        <v>290</v>
      </c>
      <c r="I151">
        <v>1</v>
      </c>
      <c r="J151">
        <v>0</v>
      </c>
      <c r="K151">
        <v>36</v>
      </c>
      <c r="L151">
        <v>-35</v>
      </c>
      <c r="O151" s="28">
        <v>46275</v>
      </c>
      <c r="R151">
        <v>-1</v>
      </c>
      <c r="S151">
        <v>42</v>
      </c>
      <c r="T151">
        <v>15</v>
      </c>
      <c r="U151">
        <v>46</v>
      </c>
      <c r="V151">
        <v>20260911042</v>
      </c>
    </row>
    <row r="152" spans="1:22" x14ac:dyDescent="0.2">
      <c r="A152" s="34" t="s">
        <v>122</v>
      </c>
      <c r="B152" s="28">
        <v>46276</v>
      </c>
      <c r="C152" s="34"/>
      <c r="D152" s="34" t="s">
        <v>338</v>
      </c>
      <c r="E152" s="34" t="s">
        <v>291</v>
      </c>
      <c r="F152" s="34" t="s">
        <v>342</v>
      </c>
      <c r="G152" s="34" t="s">
        <v>292</v>
      </c>
      <c r="H152" s="34" t="s">
        <v>293</v>
      </c>
      <c r="I152">
        <v>1</v>
      </c>
      <c r="J152">
        <v>0</v>
      </c>
      <c r="K152">
        <v>23</v>
      </c>
      <c r="L152">
        <v>-22</v>
      </c>
      <c r="O152" s="28">
        <v>46275</v>
      </c>
      <c r="R152">
        <v>-1</v>
      </c>
      <c r="S152">
        <v>43</v>
      </c>
      <c r="T152">
        <v>15</v>
      </c>
      <c r="U152">
        <v>47</v>
      </c>
      <c r="V152">
        <v>20260911043</v>
      </c>
    </row>
    <row r="153" spans="1:22" x14ac:dyDescent="0.2">
      <c r="A153" s="34" t="s">
        <v>122</v>
      </c>
      <c r="B153" s="28">
        <v>46276</v>
      </c>
      <c r="C153" s="34"/>
      <c r="D153" s="34" t="s">
        <v>338</v>
      </c>
      <c r="E153" s="34" t="s">
        <v>294</v>
      </c>
      <c r="F153" s="34" t="s">
        <v>295</v>
      </c>
      <c r="G153" s="34" t="s">
        <v>296</v>
      </c>
      <c r="H153" s="34" t="s">
        <v>297</v>
      </c>
      <c r="I153">
        <v>1</v>
      </c>
      <c r="J153">
        <v>0</v>
      </c>
      <c r="K153">
        <v>13</v>
      </c>
      <c r="L153">
        <v>-12</v>
      </c>
      <c r="O153" s="28">
        <v>46275</v>
      </c>
      <c r="R153">
        <v>-1</v>
      </c>
      <c r="S153">
        <v>44</v>
      </c>
      <c r="T153">
        <v>15</v>
      </c>
      <c r="U153">
        <v>48</v>
      </c>
      <c r="V153">
        <v>20260911044</v>
      </c>
    </row>
    <row r="154" spans="1:22" x14ac:dyDescent="0.2">
      <c r="A154" s="34" t="s">
        <v>122</v>
      </c>
      <c r="B154" s="28">
        <v>46276</v>
      </c>
      <c r="C154" s="34"/>
      <c r="D154" s="34" t="s">
        <v>338</v>
      </c>
      <c r="E154" s="34" t="s">
        <v>298</v>
      </c>
      <c r="F154" s="34" t="s">
        <v>299</v>
      </c>
      <c r="G154" s="34" t="s">
        <v>300</v>
      </c>
      <c r="H154" s="34" t="s">
        <v>301</v>
      </c>
      <c r="I154">
        <v>1</v>
      </c>
      <c r="J154">
        <v>0</v>
      </c>
      <c r="K154">
        <v>14</v>
      </c>
      <c r="L154">
        <v>-13</v>
      </c>
      <c r="O154" s="28">
        <v>46275</v>
      </c>
      <c r="R154">
        <v>-1</v>
      </c>
      <c r="S154">
        <v>45</v>
      </c>
      <c r="T154">
        <v>15</v>
      </c>
      <c r="U154">
        <v>49</v>
      </c>
      <c r="V154">
        <v>20260911045</v>
      </c>
    </row>
    <row r="155" spans="1:22" x14ac:dyDescent="0.2">
      <c r="A155" s="34" t="s">
        <v>122</v>
      </c>
      <c r="B155" s="28">
        <v>46276</v>
      </c>
      <c r="C155" s="34"/>
      <c r="D155" s="34" t="s">
        <v>338</v>
      </c>
      <c r="E155" s="34" t="s">
        <v>302</v>
      </c>
      <c r="F155" s="34" t="s">
        <v>303</v>
      </c>
      <c r="G155" s="34" t="s">
        <v>304</v>
      </c>
      <c r="H155" s="34" t="s">
        <v>305</v>
      </c>
      <c r="I155">
        <v>1</v>
      </c>
      <c r="J155">
        <v>0</v>
      </c>
      <c r="K155">
        <v>9</v>
      </c>
      <c r="L155">
        <v>-8</v>
      </c>
      <c r="O155" s="28">
        <v>46275</v>
      </c>
      <c r="R155">
        <v>-1</v>
      </c>
      <c r="S155">
        <v>46</v>
      </c>
      <c r="T155">
        <v>15</v>
      </c>
      <c r="U155">
        <v>50</v>
      </c>
      <c r="V155">
        <v>20260911046</v>
      </c>
    </row>
    <row r="156" spans="1:22" x14ac:dyDescent="0.2">
      <c r="A156" s="34" t="s">
        <v>122</v>
      </c>
      <c r="B156" s="28">
        <v>46276</v>
      </c>
      <c r="C156" s="34"/>
      <c r="D156" s="34" t="s">
        <v>338</v>
      </c>
      <c r="E156" s="34" t="s">
        <v>306</v>
      </c>
      <c r="F156" s="34" t="s">
        <v>307</v>
      </c>
      <c r="G156" s="34" t="s">
        <v>308</v>
      </c>
      <c r="H156" s="34" t="s">
        <v>309</v>
      </c>
      <c r="I156">
        <v>1</v>
      </c>
      <c r="J156">
        <v>0</v>
      </c>
      <c r="K156">
        <v>11</v>
      </c>
      <c r="L156">
        <v>-10</v>
      </c>
      <c r="O156" s="28">
        <v>46275</v>
      </c>
      <c r="R156">
        <v>-1</v>
      </c>
      <c r="S156">
        <v>47</v>
      </c>
      <c r="T156">
        <v>15</v>
      </c>
      <c r="U156">
        <v>51</v>
      </c>
      <c r="V156">
        <v>20260911047</v>
      </c>
    </row>
    <row r="157" spans="1:22" x14ac:dyDescent="0.2">
      <c r="A157" s="34" t="s">
        <v>122</v>
      </c>
      <c r="B157" s="28">
        <v>46276</v>
      </c>
      <c r="C157" s="34"/>
      <c r="D157" s="34" t="s">
        <v>338</v>
      </c>
      <c r="E157" s="34" t="s">
        <v>310</v>
      </c>
      <c r="F157" s="34" t="s">
        <v>311</v>
      </c>
      <c r="G157" s="34" t="s">
        <v>312</v>
      </c>
      <c r="H157" s="34" t="s">
        <v>313</v>
      </c>
      <c r="I157">
        <v>1</v>
      </c>
      <c r="J157">
        <v>0</v>
      </c>
      <c r="K157">
        <v>7</v>
      </c>
      <c r="L157">
        <v>-6</v>
      </c>
      <c r="O157" s="28">
        <v>46275</v>
      </c>
      <c r="R157">
        <v>-1</v>
      </c>
      <c r="S157">
        <v>48</v>
      </c>
      <c r="T157">
        <v>15</v>
      </c>
      <c r="U157">
        <v>52</v>
      </c>
      <c r="V157">
        <v>20260911048</v>
      </c>
    </row>
    <row r="158" spans="1:22" x14ac:dyDescent="0.2">
      <c r="A158" s="34" t="s">
        <v>122</v>
      </c>
      <c r="B158" s="28">
        <v>46276</v>
      </c>
      <c r="C158" s="34"/>
      <c r="D158" s="34" t="s">
        <v>338</v>
      </c>
      <c r="E158" s="34" t="s">
        <v>314</v>
      </c>
      <c r="F158" s="34" t="s">
        <v>315</v>
      </c>
      <c r="G158" s="34" t="s">
        <v>316</v>
      </c>
      <c r="H158" s="34" t="s">
        <v>317</v>
      </c>
      <c r="I158">
        <v>1</v>
      </c>
      <c r="J158">
        <v>0</v>
      </c>
      <c r="K158">
        <v>15</v>
      </c>
      <c r="L158">
        <v>-14</v>
      </c>
      <c r="O158" s="28">
        <v>46275</v>
      </c>
      <c r="R158">
        <v>-1</v>
      </c>
      <c r="S158">
        <v>49</v>
      </c>
      <c r="T158">
        <v>15</v>
      </c>
      <c r="U158">
        <v>53</v>
      </c>
      <c r="V158">
        <v>20260911049</v>
      </c>
    </row>
    <row r="159" spans="1:22" x14ac:dyDescent="0.2">
      <c r="A159" s="34" t="s">
        <v>122</v>
      </c>
      <c r="B159" s="28">
        <v>46276</v>
      </c>
      <c r="C159" s="34"/>
      <c r="D159" s="34" t="s">
        <v>338</v>
      </c>
      <c r="E159" s="34" t="s">
        <v>318</v>
      </c>
      <c r="F159" s="34" t="s">
        <v>319</v>
      </c>
      <c r="G159" s="34" t="s">
        <v>320</v>
      </c>
      <c r="H159" s="34" t="s">
        <v>321</v>
      </c>
      <c r="I159">
        <v>1</v>
      </c>
      <c r="J159">
        <v>0</v>
      </c>
      <c r="K159">
        <v>8</v>
      </c>
      <c r="L159">
        <v>-7</v>
      </c>
      <c r="O159" s="28">
        <v>46275</v>
      </c>
      <c r="R159">
        <v>-1</v>
      </c>
      <c r="S159">
        <v>50</v>
      </c>
      <c r="T159">
        <v>15</v>
      </c>
      <c r="U159">
        <v>54</v>
      </c>
      <c r="V159">
        <v>20260911050</v>
      </c>
    </row>
    <row r="160" spans="1:22" x14ac:dyDescent="0.2">
      <c r="A160" s="34" t="s">
        <v>122</v>
      </c>
      <c r="B160" s="28">
        <v>46276</v>
      </c>
      <c r="C160" s="34"/>
      <c r="D160" s="34" t="s">
        <v>338</v>
      </c>
      <c r="E160" s="34" t="s">
        <v>322</v>
      </c>
      <c r="F160" s="34" t="s">
        <v>323</v>
      </c>
      <c r="G160" s="34" t="s">
        <v>324</v>
      </c>
      <c r="H160" s="34" t="s">
        <v>325</v>
      </c>
      <c r="I160">
        <v>1</v>
      </c>
      <c r="J160">
        <v>0</v>
      </c>
      <c r="K160">
        <v>8</v>
      </c>
      <c r="L160">
        <v>-7</v>
      </c>
      <c r="O160" s="28">
        <v>46275</v>
      </c>
      <c r="R160">
        <v>-1</v>
      </c>
      <c r="S160">
        <v>51</v>
      </c>
      <c r="T160">
        <v>15</v>
      </c>
      <c r="U160">
        <v>55</v>
      </c>
      <c r="V160">
        <v>20260911051</v>
      </c>
    </row>
    <row r="161" spans="1:22" x14ac:dyDescent="0.2">
      <c r="A161" s="34" t="s">
        <v>122</v>
      </c>
      <c r="B161" s="28">
        <v>46276</v>
      </c>
      <c r="C161" s="34"/>
      <c r="D161" s="34" t="s">
        <v>338</v>
      </c>
      <c r="E161" s="34" t="s">
        <v>326</v>
      </c>
      <c r="F161" s="34" t="s">
        <v>327</v>
      </c>
      <c r="G161" s="34" t="s">
        <v>328</v>
      </c>
      <c r="H161" s="34" t="s">
        <v>329</v>
      </c>
      <c r="I161">
        <v>1</v>
      </c>
      <c r="J161">
        <v>0</v>
      </c>
      <c r="K161">
        <v>5</v>
      </c>
      <c r="L161">
        <v>-4</v>
      </c>
      <c r="O161" s="28">
        <v>46275</v>
      </c>
      <c r="R161">
        <v>-1</v>
      </c>
      <c r="S161">
        <v>52</v>
      </c>
      <c r="T161">
        <v>15</v>
      </c>
      <c r="U161">
        <v>73</v>
      </c>
      <c r="V161">
        <v>20260911052</v>
      </c>
    </row>
    <row r="162" spans="1:22" x14ac:dyDescent="0.2">
      <c r="A162" s="34" t="s">
        <v>122</v>
      </c>
      <c r="B162" s="28">
        <v>46276</v>
      </c>
      <c r="C162" s="34"/>
      <c r="D162" s="34" t="s">
        <v>338</v>
      </c>
      <c r="E162" s="34" t="s">
        <v>330</v>
      </c>
      <c r="F162" s="34" t="s">
        <v>331</v>
      </c>
      <c r="G162" s="34" t="s">
        <v>332</v>
      </c>
      <c r="H162" s="34" t="s">
        <v>333</v>
      </c>
      <c r="I162">
        <v>1</v>
      </c>
      <c r="J162">
        <v>0</v>
      </c>
      <c r="K162">
        <v>5</v>
      </c>
      <c r="L162">
        <v>-4</v>
      </c>
      <c r="O162" s="28">
        <v>46275</v>
      </c>
      <c r="R162">
        <v>-1</v>
      </c>
      <c r="S162">
        <v>53</v>
      </c>
      <c r="T162">
        <v>15</v>
      </c>
      <c r="U162">
        <v>74</v>
      </c>
      <c r="V162">
        <v>20260911053</v>
      </c>
    </row>
    <row r="163" spans="1:22" x14ac:dyDescent="0.2">
      <c r="A163" s="34" t="s">
        <v>122</v>
      </c>
      <c r="B163" s="28">
        <v>46276</v>
      </c>
      <c r="C163" s="34"/>
      <c r="D163" s="34" t="s">
        <v>338</v>
      </c>
      <c r="E163" s="34" t="s">
        <v>334</v>
      </c>
      <c r="F163" s="34" t="s">
        <v>335</v>
      </c>
      <c r="G163" s="34" t="s">
        <v>336</v>
      </c>
      <c r="H163" s="34" t="s">
        <v>337</v>
      </c>
      <c r="I163">
        <v>1</v>
      </c>
      <c r="J163">
        <v>0</v>
      </c>
      <c r="K163">
        <v>15</v>
      </c>
      <c r="L163">
        <v>-14</v>
      </c>
      <c r="O163" s="28">
        <v>46275</v>
      </c>
      <c r="R163">
        <v>-1</v>
      </c>
      <c r="S163">
        <v>54</v>
      </c>
      <c r="T163">
        <v>15</v>
      </c>
      <c r="U163">
        <v>75</v>
      </c>
      <c r="V163">
        <v>20260911054</v>
      </c>
    </row>
    <row r="164" spans="1:22" x14ac:dyDescent="0.2">
      <c r="A164" s="34" t="s">
        <v>122</v>
      </c>
      <c r="B164" s="28">
        <v>46277</v>
      </c>
      <c r="C164" s="34"/>
      <c r="D164" s="34" t="s">
        <v>338</v>
      </c>
      <c r="E164" s="34" t="s">
        <v>124</v>
      </c>
      <c r="F164" s="34" t="s">
        <v>125</v>
      </c>
      <c r="G164" s="34" t="s">
        <v>126</v>
      </c>
      <c r="H164" s="34" t="s">
        <v>127</v>
      </c>
      <c r="I164">
        <v>7</v>
      </c>
      <c r="J164">
        <v>0</v>
      </c>
      <c r="K164">
        <v>6</v>
      </c>
      <c r="L164">
        <v>1</v>
      </c>
      <c r="O164" s="28">
        <v>46276</v>
      </c>
      <c r="R164">
        <v>-1</v>
      </c>
      <c r="S164">
        <v>1</v>
      </c>
      <c r="T164">
        <v>14</v>
      </c>
      <c r="U164">
        <v>1</v>
      </c>
      <c r="V164">
        <v>20260912001</v>
      </c>
    </row>
    <row r="165" spans="1:22" x14ac:dyDescent="0.2">
      <c r="A165" s="34" t="s">
        <v>122</v>
      </c>
      <c r="B165" s="28">
        <v>46277</v>
      </c>
      <c r="C165" s="34"/>
      <c r="D165" s="34" t="s">
        <v>338</v>
      </c>
      <c r="E165" s="34" t="s">
        <v>128</v>
      </c>
      <c r="F165" s="34" t="s">
        <v>129</v>
      </c>
      <c r="G165" s="34" t="s">
        <v>130</v>
      </c>
      <c r="H165" s="34" t="s">
        <v>131</v>
      </c>
      <c r="I165">
        <v>5</v>
      </c>
      <c r="J165">
        <v>0</v>
      </c>
      <c r="K165">
        <v>5</v>
      </c>
      <c r="L165">
        <v>0</v>
      </c>
      <c r="O165" s="28">
        <v>46276</v>
      </c>
      <c r="R165">
        <v>-1</v>
      </c>
      <c r="S165">
        <v>2</v>
      </c>
      <c r="T165">
        <v>14</v>
      </c>
      <c r="U165">
        <v>2</v>
      </c>
      <c r="V165">
        <v>20260912002</v>
      </c>
    </row>
    <row r="166" spans="1:22" x14ac:dyDescent="0.2">
      <c r="A166" s="34" t="s">
        <v>122</v>
      </c>
      <c r="B166" s="28">
        <v>46277</v>
      </c>
      <c r="C166" s="34"/>
      <c r="D166" s="34" t="s">
        <v>338</v>
      </c>
      <c r="E166" s="34" t="s">
        <v>132</v>
      </c>
      <c r="F166" s="34" t="s">
        <v>133</v>
      </c>
      <c r="G166" s="34" t="s">
        <v>134</v>
      </c>
      <c r="H166" s="34" t="s">
        <v>135</v>
      </c>
      <c r="I166">
        <v>4</v>
      </c>
      <c r="J166">
        <v>0</v>
      </c>
      <c r="K166">
        <v>4</v>
      </c>
      <c r="L166">
        <v>0</v>
      </c>
      <c r="O166" s="28">
        <v>46276</v>
      </c>
      <c r="R166">
        <v>-1</v>
      </c>
      <c r="S166">
        <v>3</v>
      </c>
      <c r="T166">
        <v>14</v>
      </c>
      <c r="U166">
        <v>3</v>
      </c>
      <c r="V166">
        <v>20260912003</v>
      </c>
    </row>
    <row r="167" spans="1:22" x14ac:dyDescent="0.2">
      <c r="A167" s="34" t="s">
        <v>122</v>
      </c>
      <c r="B167" s="28">
        <v>46277</v>
      </c>
      <c r="C167" s="34"/>
      <c r="D167" s="34" t="s">
        <v>338</v>
      </c>
      <c r="E167" s="34" t="s">
        <v>136</v>
      </c>
      <c r="F167" s="34" t="s">
        <v>137</v>
      </c>
      <c r="G167" s="34" t="s">
        <v>138</v>
      </c>
      <c r="H167" s="34" t="s">
        <v>139</v>
      </c>
      <c r="I167">
        <v>8</v>
      </c>
      <c r="J167">
        <v>0</v>
      </c>
      <c r="K167">
        <v>0</v>
      </c>
      <c r="L167">
        <v>8</v>
      </c>
      <c r="O167" s="28">
        <v>46276</v>
      </c>
      <c r="R167">
        <v>-1</v>
      </c>
      <c r="S167">
        <v>4</v>
      </c>
      <c r="T167">
        <v>14</v>
      </c>
      <c r="U167">
        <v>4</v>
      </c>
      <c r="V167">
        <v>20260912004</v>
      </c>
    </row>
    <row r="168" spans="1:22" x14ac:dyDescent="0.2">
      <c r="A168" s="34" t="s">
        <v>122</v>
      </c>
      <c r="B168" s="28">
        <v>46277</v>
      </c>
      <c r="C168" s="34"/>
      <c r="D168" s="34" t="s">
        <v>338</v>
      </c>
      <c r="E168" s="34" t="s">
        <v>140</v>
      </c>
      <c r="F168" s="34" t="s">
        <v>141</v>
      </c>
      <c r="G168" s="34" t="s">
        <v>142</v>
      </c>
      <c r="H168" s="34" t="s">
        <v>143</v>
      </c>
      <c r="I168">
        <v>5</v>
      </c>
      <c r="J168">
        <v>0</v>
      </c>
      <c r="K168">
        <v>4</v>
      </c>
      <c r="L168">
        <v>1</v>
      </c>
      <c r="O168" s="28">
        <v>46276</v>
      </c>
      <c r="R168">
        <v>-1</v>
      </c>
      <c r="S168">
        <v>5</v>
      </c>
      <c r="T168">
        <v>14</v>
      </c>
      <c r="U168">
        <v>5</v>
      </c>
      <c r="V168">
        <v>20260912005</v>
      </c>
    </row>
    <row r="169" spans="1:22" x14ac:dyDescent="0.2">
      <c r="A169" s="34" t="s">
        <v>122</v>
      </c>
      <c r="B169" s="28">
        <v>46277</v>
      </c>
      <c r="C169" s="34"/>
      <c r="D169" s="34" t="s">
        <v>338</v>
      </c>
      <c r="E169" s="34" t="s">
        <v>144</v>
      </c>
      <c r="F169" s="34" t="s">
        <v>145</v>
      </c>
      <c r="G169" s="34" t="s">
        <v>146</v>
      </c>
      <c r="H169" s="34" t="s">
        <v>147</v>
      </c>
      <c r="I169">
        <v>10</v>
      </c>
      <c r="J169">
        <v>0</v>
      </c>
      <c r="K169">
        <v>8</v>
      </c>
      <c r="L169">
        <v>2</v>
      </c>
      <c r="O169" s="28">
        <v>46276</v>
      </c>
      <c r="R169">
        <v>-1</v>
      </c>
      <c r="S169">
        <v>6</v>
      </c>
      <c r="T169">
        <v>14</v>
      </c>
      <c r="U169">
        <v>6</v>
      </c>
      <c r="V169">
        <v>20260912006</v>
      </c>
    </row>
    <row r="170" spans="1:22" x14ac:dyDescent="0.2">
      <c r="A170" s="34" t="s">
        <v>122</v>
      </c>
      <c r="B170" s="28">
        <v>46277</v>
      </c>
      <c r="C170" s="34"/>
      <c r="D170" s="34" t="s">
        <v>338</v>
      </c>
      <c r="E170" s="34" t="s">
        <v>148</v>
      </c>
      <c r="F170" s="34" t="s">
        <v>149</v>
      </c>
      <c r="G170" s="34" t="s">
        <v>150</v>
      </c>
      <c r="H170" s="34" t="s">
        <v>151</v>
      </c>
      <c r="I170">
        <v>4</v>
      </c>
      <c r="J170">
        <v>0</v>
      </c>
      <c r="K170">
        <v>4</v>
      </c>
      <c r="L170">
        <v>0</v>
      </c>
      <c r="O170" s="28">
        <v>46276</v>
      </c>
      <c r="R170">
        <v>-1</v>
      </c>
      <c r="S170">
        <v>7</v>
      </c>
      <c r="T170">
        <v>14</v>
      </c>
      <c r="U170">
        <v>7</v>
      </c>
      <c r="V170">
        <v>20260912007</v>
      </c>
    </row>
    <row r="171" spans="1:22" x14ac:dyDescent="0.2">
      <c r="A171" s="34" t="s">
        <v>122</v>
      </c>
      <c r="B171" s="28">
        <v>46277</v>
      </c>
      <c r="C171" s="34"/>
      <c r="D171" s="34" t="s">
        <v>338</v>
      </c>
      <c r="E171" s="34" t="s">
        <v>152</v>
      </c>
      <c r="F171" s="34" t="s">
        <v>153</v>
      </c>
      <c r="G171" s="34" t="s">
        <v>154</v>
      </c>
      <c r="H171" s="34" t="s">
        <v>155</v>
      </c>
      <c r="I171">
        <v>6</v>
      </c>
      <c r="J171">
        <v>0</v>
      </c>
      <c r="K171">
        <v>6</v>
      </c>
      <c r="L171">
        <v>0</v>
      </c>
      <c r="O171" s="28">
        <v>46276</v>
      </c>
      <c r="R171">
        <v>-1</v>
      </c>
      <c r="S171">
        <v>8</v>
      </c>
      <c r="T171">
        <v>14</v>
      </c>
      <c r="U171">
        <v>8</v>
      </c>
      <c r="V171">
        <v>20260912008</v>
      </c>
    </row>
    <row r="172" spans="1:22" x14ac:dyDescent="0.2">
      <c r="A172" s="34" t="s">
        <v>122</v>
      </c>
      <c r="B172" s="28">
        <v>46277</v>
      </c>
      <c r="C172" s="34"/>
      <c r="D172" s="34" t="s">
        <v>338</v>
      </c>
      <c r="E172" s="34" t="s">
        <v>156</v>
      </c>
      <c r="F172" s="34" t="s">
        <v>157</v>
      </c>
      <c r="G172" s="34" t="s">
        <v>158</v>
      </c>
      <c r="H172" s="34" t="s">
        <v>159</v>
      </c>
      <c r="I172">
        <v>12</v>
      </c>
      <c r="J172">
        <v>0</v>
      </c>
      <c r="K172">
        <v>9</v>
      </c>
      <c r="L172">
        <v>3</v>
      </c>
      <c r="O172" s="28">
        <v>46276</v>
      </c>
      <c r="R172">
        <v>-1</v>
      </c>
      <c r="S172">
        <v>9</v>
      </c>
      <c r="T172">
        <v>14</v>
      </c>
      <c r="U172">
        <v>9</v>
      </c>
      <c r="V172">
        <v>20260912009</v>
      </c>
    </row>
    <row r="173" spans="1:22" x14ac:dyDescent="0.2">
      <c r="A173" s="34" t="s">
        <v>122</v>
      </c>
      <c r="B173" s="28">
        <v>46277</v>
      </c>
      <c r="C173" s="34"/>
      <c r="D173" s="34" t="s">
        <v>338</v>
      </c>
      <c r="E173" s="34" t="s">
        <v>160</v>
      </c>
      <c r="F173" s="34" t="s">
        <v>161</v>
      </c>
      <c r="G173" s="34" t="s">
        <v>162</v>
      </c>
      <c r="H173" s="34" t="s">
        <v>163</v>
      </c>
      <c r="I173">
        <v>8</v>
      </c>
      <c r="J173">
        <v>0</v>
      </c>
      <c r="K173">
        <v>8</v>
      </c>
      <c r="L173">
        <v>0</v>
      </c>
      <c r="O173" s="28">
        <v>46276</v>
      </c>
      <c r="R173">
        <v>-1</v>
      </c>
      <c r="S173">
        <v>10</v>
      </c>
      <c r="T173">
        <v>14</v>
      </c>
      <c r="U173">
        <v>10</v>
      </c>
      <c r="V173">
        <v>20260912010</v>
      </c>
    </row>
    <row r="174" spans="1:22" x14ac:dyDescent="0.2">
      <c r="A174" s="34" t="s">
        <v>122</v>
      </c>
      <c r="B174" s="28">
        <v>46277</v>
      </c>
      <c r="C174" s="34"/>
      <c r="D174" s="34" t="s">
        <v>338</v>
      </c>
      <c r="E174" s="34" t="s">
        <v>164</v>
      </c>
      <c r="F174" s="34" t="s">
        <v>165</v>
      </c>
      <c r="G174" s="34" t="s">
        <v>166</v>
      </c>
      <c r="H174" s="34" t="s">
        <v>167</v>
      </c>
      <c r="I174">
        <v>34</v>
      </c>
      <c r="J174">
        <v>0</v>
      </c>
      <c r="K174">
        <v>37</v>
      </c>
      <c r="L174">
        <v>-3</v>
      </c>
      <c r="O174" s="28">
        <v>46276</v>
      </c>
      <c r="R174">
        <v>-1</v>
      </c>
      <c r="S174">
        <v>11</v>
      </c>
      <c r="T174">
        <v>14</v>
      </c>
      <c r="U174">
        <v>11</v>
      </c>
      <c r="V174">
        <v>20260912011</v>
      </c>
    </row>
    <row r="175" spans="1:22" x14ac:dyDescent="0.2">
      <c r="A175" s="34" t="s">
        <v>122</v>
      </c>
      <c r="B175" s="28">
        <v>46277</v>
      </c>
      <c r="C175" s="34"/>
      <c r="D175" s="34" t="s">
        <v>338</v>
      </c>
      <c r="E175" s="34" t="s">
        <v>168</v>
      </c>
      <c r="F175" s="34" t="s">
        <v>169</v>
      </c>
      <c r="G175" s="34" t="s">
        <v>170</v>
      </c>
      <c r="H175" s="34" t="s">
        <v>171</v>
      </c>
      <c r="I175">
        <v>15</v>
      </c>
      <c r="J175">
        <v>0</v>
      </c>
      <c r="K175">
        <v>15</v>
      </c>
      <c r="L175">
        <v>0</v>
      </c>
      <c r="O175" s="28">
        <v>46276</v>
      </c>
      <c r="R175">
        <v>-1</v>
      </c>
      <c r="S175">
        <v>12</v>
      </c>
      <c r="T175">
        <v>14</v>
      </c>
      <c r="U175">
        <v>12</v>
      </c>
      <c r="V175">
        <v>20260912012</v>
      </c>
    </row>
    <row r="176" spans="1:22" x14ac:dyDescent="0.2">
      <c r="A176" s="34" t="s">
        <v>122</v>
      </c>
      <c r="B176" s="28">
        <v>46277</v>
      </c>
      <c r="C176" s="34"/>
      <c r="D176" s="34" t="s">
        <v>338</v>
      </c>
      <c r="E176" s="34" t="s">
        <v>172</v>
      </c>
      <c r="F176" s="34" t="s">
        <v>173</v>
      </c>
      <c r="G176" s="34" t="s">
        <v>174</v>
      </c>
      <c r="H176" s="34" t="s">
        <v>175</v>
      </c>
      <c r="I176">
        <v>18</v>
      </c>
      <c r="J176">
        <v>0</v>
      </c>
      <c r="K176">
        <v>18</v>
      </c>
      <c r="L176">
        <v>0</v>
      </c>
      <c r="O176" s="28">
        <v>46276</v>
      </c>
      <c r="R176">
        <v>-1</v>
      </c>
      <c r="S176">
        <v>13</v>
      </c>
      <c r="T176">
        <v>14</v>
      </c>
      <c r="U176">
        <v>13</v>
      </c>
      <c r="V176">
        <v>20260912013</v>
      </c>
    </row>
    <row r="177" spans="1:22" x14ac:dyDescent="0.2">
      <c r="A177" s="34" t="s">
        <v>122</v>
      </c>
      <c r="B177" s="28">
        <v>46277</v>
      </c>
      <c r="C177" s="34"/>
      <c r="D177" s="34" t="s">
        <v>338</v>
      </c>
      <c r="E177" s="34" t="s">
        <v>176</v>
      </c>
      <c r="F177" s="34" t="s">
        <v>177</v>
      </c>
      <c r="G177" s="34" t="s">
        <v>178</v>
      </c>
      <c r="H177" s="34" t="s">
        <v>179</v>
      </c>
      <c r="I177">
        <v>8</v>
      </c>
      <c r="J177">
        <v>0</v>
      </c>
      <c r="K177">
        <v>24</v>
      </c>
      <c r="L177">
        <v>-16</v>
      </c>
      <c r="O177" s="28">
        <v>46276</v>
      </c>
      <c r="R177">
        <v>-1</v>
      </c>
      <c r="S177">
        <v>14</v>
      </c>
      <c r="T177">
        <v>14</v>
      </c>
      <c r="U177">
        <v>14</v>
      </c>
      <c r="V177">
        <v>20260912014</v>
      </c>
    </row>
    <row r="178" spans="1:22" x14ac:dyDescent="0.2">
      <c r="A178" s="34" t="s">
        <v>122</v>
      </c>
      <c r="B178" s="28">
        <v>46277</v>
      </c>
      <c r="C178" s="34"/>
      <c r="D178" s="34" t="s">
        <v>338</v>
      </c>
      <c r="E178" s="34" t="s">
        <v>180</v>
      </c>
      <c r="F178" s="34" t="s">
        <v>181</v>
      </c>
      <c r="G178" s="34" t="s">
        <v>182</v>
      </c>
      <c r="H178" s="34" t="s">
        <v>183</v>
      </c>
      <c r="I178">
        <v>12</v>
      </c>
      <c r="J178">
        <v>0</v>
      </c>
      <c r="K178">
        <v>12</v>
      </c>
      <c r="L178">
        <v>0</v>
      </c>
      <c r="O178" s="28">
        <v>46276</v>
      </c>
      <c r="R178">
        <v>-1</v>
      </c>
      <c r="S178">
        <v>15</v>
      </c>
      <c r="T178">
        <v>14</v>
      </c>
      <c r="U178">
        <v>15</v>
      </c>
      <c r="V178">
        <v>20260912015</v>
      </c>
    </row>
    <row r="179" spans="1:22" x14ac:dyDescent="0.2">
      <c r="A179" s="34" t="s">
        <v>122</v>
      </c>
      <c r="B179" s="28">
        <v>46277</v>
      </c>
      <c r="C179" s="34"/>
      <c r="D179" s="34" t="s">
        <v>338</v>
      </c>
      <c r="E179" s="34" t="s">
        <v>184</v>
      </c>
      <c r="F179" s="34" t="s">
        <v>185</v>
      </c>
      <c r="G179" s="34" t="s">
        <v>186</v>
      </c>
      <c r="H179" s="34" t="s">
        <v>187</v>
      </c>
      <c r="I179">
        <v>15</v>
      </c>
      <c r="J179">
        <v>0</v>
      </c>
      <c r="K179">
        <v>15</v>
      </c>
      <c r="L179">
        <v>0</v>
      </c>
      <c r="O179" s="28">
        <v>46276</v>
      </c>
      <c r="R179">
        <v>-1</v>
      </c>
      <c r="S179">
        <v>16</v>
      </c>
      <c r="T179">
        <v>14</v>
      </c>
      <c r="U179">
        <v>16</v>
      </c>
      <c r="V179">
        <v>20260912016</v>
      </c>
    </row>
    <row r="180" spans="1:22" x14ac:dyDescent="0.2">
      <c r="A180" s="34" t="s">
        <v>122</v>
      </c>
      <c r="B180" s="28">
        <v>46277</v>
      </c>
      <c r="C180" s="34"/>
      <c r="D180" s="34" t="s">
        <v>338</v>
      </c>
      <c r="E180" s="34" t="s">
        <v>188</v>
      </c>
      <c r="F180" s="34" t="s">
        <v>189</v>
      </c>
      <c r="G180" s="34" t="s">
        <v>190</v>
      </c>
      <c r="H180" s="34" t="s">
        <v>191</v>
      </c>
      <c r="I180">
        <v>8</v>
      </c>
      <c r="J180">
        <v>0</v>
      </c>
      <c r="K180">
        <v>7</v>
      </c>
      <c r="L180">
        <v>1</v>
      </c>
      <c r="O180" s="28">
        <v>46276</v>
      </c>
      <c r="R180">
        <v>-1</v>
      </c>
      <c r="S180">
        <v>17</v>
      </c>
      <c r="T180">
        <v>14</v>
      </c>
      <c r="U180">
        <v>21</v>
      </c>
      <c r="V180">
        <v>20260912017</v>
      </c>
    </row>
    <row r="181" spans="1:22" x14ac:dyDescent="0.2">
      <c r="A181" s="34" t="s">
        <v>122</v>
      </c>
      <c r="B181" s="28">
        <v>46277</v>
      </c>
      <c r="C181" s="34"/>
      <c r="D181" s="34" t="s">
        <v>338</v>
      </c>
      <c r="E181" s="34" t="s">
        <v>192</v>
      </c>
      <c r="F181" s="34" t="s">
        <v>193</v>
      </c>
      <c r="G181" s="34" t="s">
        <v>194</v>
      </c>
      <c r="H181" s="34" t="s">
        <v>195</v>
      </c>
      <c r="I181">
        <v>4</v>
      </c>
      <c r="J181">
        <v>0</v>
      </c>
      <c r="K181">
        <v>4</v>
      </c>
      <c r="L181">
        <v>0</v>
      </c>
      <c r="O181" s="28">
        <v>46276</v>
      </c>
      <c r="R181">
        <v>-1</v>
      </c>
      <c r="S181">
        <v>18</v>
      </c>
      <c r="T181">
        <v>14</v>
      </c>
      <c r="U181">
        <v>22</v>
      </c>
      <c r="V181">
        <v>20260912018</v>
      </c>
    </row>
    <row r="182" spans="1:22" x14ac:dyDescent="0.2">
      <c r="A182" s="34" t="s">
        <v>122</v>
      </c>
      <c r="B182" s="28">
        <v>46277</v>
      </c>
      <c r="C182" s="34"/>
      <c r="D182" s="34" t="s">
        <v>338</v>
      </c>
      <c r="E182" s="34" t="s">
        <v>196</v>
      </c>
      <c r="F182" s="34" t="s">
        <v>197</v>
      </c>
      <c r="G182" s="34" t="s">
        <v>198</v>
      </c>
      <c r="H182" s="34" t="s">
        <v>199</v>
      </c>
      <c r="I182">
        <v>6</v>
      </c>
      <c r="J182">
        <v>0</v>
      </c>
      <c r="K182">
        <v>6</v>
      </c>
      <c r="L182">
        <v>0</v>
      </c>
      <c r="O182" s="28">
        <v>46276</v>
      </c>
      <c r="R182">
        <v>-1</v>
      </c>
      <c r="S182">
        <v>19</v>
      </c>
      <c r="T182">
        <v>14</v>
      </c>
      <c r="U182">
        <v>23</v>
      </c>
      <c r="V182">
        <v>20260912019</v>
      </c>
    </row>
    <row r="183" spans="1:22" x14ac:dyDescent="0.2">
      <c r="A183" s="34" t="s">
        <v>122</v>
      </c>
      <c r="B183" s="28">
        <v>46277</v>
      </c>
      <c r="C183" s="34"/>
      <c r="D183" s="34" t="s">
        <v>338</v>
      </c>
      <c r="E183" s="34" t="s">
        <v>200</v>
      </c>
      <c r="F183" s="34" t="s">
        <v>201</v>
      </c>
      <c r="G183" s="34" t="s">
        <v>202</v>
      </c>
      <c r="H183" s="34" t="s">
        <v>203</v>
      </c>
      <c r="I183">
        <v>11</v>
      </c>
      <c r="J183">
        <v>0</v>
      </c>
      <c r="K183">
        <v>28</v>
      </c>
      <c r="L183">
        <v>-17</v>
      </c>
      <c r="O183" s="28">
        <v>46276</v>
      </c>
      <c r="R183">
        <v>-1</v>
      </c>
      <c r="S183">
        <v>20</v>
      </c>
      <c r="T183">
        <v>14</v>
      </c>
      <c r="U183">
        <v>24</v>
      </c>
      <c r="V183">
        <v>20260912020</v>
      </c>
    </row>
    <row r="184" spans="1:22" x14ac:dyDescent="0.2">
      <c r="A184" s="34" t="s">
        <v>122</v>
      </c>
      <c r="B184" s="28">
        <v>46277</v>
      </c>
      <c r="C184" s="34"/>
      <c r="D184" s="34" t="s">
        <v>338</v>
      </c>
      <c r="E184" s="34" t="s">
        <v>204</v>
      </c>
      <c r="F184" s="34" t="s">
        <v>205</v>
      </c>
      <c r="G184" s="34" t="s">
        <v>206</v>
      </c>
      <c r="H184" s="34" t="s">
        <v>207</v>
      </c>
      <c r="I184">
        <v>4</v>
      </c>
      <c r="J184">
        <v>0</v>
      </c>
      <c r="K184">
        <v>13</v>
      </c>
      <c r="L184">
        <v>-9</v>
      </c>
      <c r="O184" s="28">
        <v>46276</v>
      </c>
      <c r="R184">
        <v>-1</v>
      </c>
      <c r="S184">
        <v>21</v>
      </c>
      <c r="T184">
        <v>14</v>
      </c>
      <c r="U184">
        <v>25</v>
      </c>
      <c r="V184">
        <v>20260912021</v>
      </c>
    </row>
    <row r="185" spans="1:22" x14ac:dyDescent="0.2">
      <c r="A185" s="34" t="s">
        <v>122</v>
      </c>
      <c r="B185" s="28">
        <v>46277</v>
      </c>
      <c r="C185" s="34"/>
      <c r="D185" s="34" t="s">
        <v>338</v>
      </c>
      <c r="E185" s="34" t="s">
        <v>208</v>
      </c>
      <c r="F185" s="34" t="s">
        <v>209</v>
      </c>
      <c r="G185" s="34" t="s">
        <v>210</v>
      </c>
      <c r="H185" s="34" t="s">
        <v>211</v>
      </c>
      <c r="I185">
        <v>2</v>
      </c>
      <c r="J185">
        <v>0</v>
      </c>
      <c r="K185">
        <v>12</v>
      </c>
      <c r="L185">
        <v>-10</v>
      </c>
      <c r="O185" s="28">
        <v>46276</v>
      </c>
      <c r="R185">
        <v>-1</v>
      </c>
      <c r="S185">
        <v>22</v>
      </c>
      <c r="T185">
        <v>14</v>
      </c>
      <c r="U185">
        <v>26</v>
      </c>
      <c r="V185">
        <v>20260912022</v>
      </c>
    </row>
    <row r="186" spans="1:22" x14ac:dyDescent="0.2">
      <c r="A186" s="34" t="s">
        <v>122</v>
      </c>
      <c r="B186" s="28">
        <v>46277</v>
      </c>
      <c r="C186" s="34"/>
      <c r="D186" s="34" t="s">
        <v>338</v>
      </c>
      <c r="E186" s="34" t="s">
        <v>212</v>
      </c>
      <c r="F186" s="34" t="s">
        <v>213</v>
      </c>
      <c r="G186" s="34" t="s">
        <v>214</v>
      </c>
      <c r="H186" s="34" t="s">
        <v>215</v>
      </c>
      <c r="I186">
        <v>7</v>
      </c>
      <c r="J186">
        <v>0</v>
      </c>
      <c r="K186">
        <v>2</v>
      </c>
      <c r="L186">
        <v>5</v>
      </c>
      <c r="O186" s="28">
        <v>46276</v>
      </c>
      <c r="R186">
        <v>-1</v>
      </c>
      <c r="S186">
        <v>23</v>
      </c>
      <c r="T186">
        <v>14</v>
      </c>
      <c r="U186">
        <v>27</v>
      </c>
      <c r="V186">
        <v>20260912023</v>
      </c>
    </row>
    <row r="187" spans="1:22" x14ac:dyDescent="0.2">
      <c r="A187" s="34" t="s">
        <v>122</v>
      </c>
      <c r="B187" s="28">
        <v>46277</v>
      </c>
      <c r="C187" s="34"/>
      <c r="D187" s="34" t="s">
        <v>338</v>
      </c>
      <c r="E187" s="34" t="s">
        <v>216</v>
      </c>
      <c r="F187" s="34" t="s">
        <v>217</v>
      </c>
      <c r="G187" s="34" t="s">
        <v>218</v>
      </c>
      <c r="H187" s="34" t="s">
        <v>219</v>
      </c>
      <c r="I187">
        <v>11</v>
      </c>
      <c r="J187">
        <v>0</v>
      </c>
      <c r="K187">
        <v>10</v>
      </c>
      <c r="L187">
        <v>1</v>
      </c>
      <c r="O187" s="28">
        <v>46276</v>
      </c>
      <c r="R187">
        <v>-1</v>
      </c>
      <c r="S187">
        <v>24</v>
      </c>
      <c r="T187">
        <v>14</v>
      </c>
      <c r="U187">
        <v>28</v>
      </c>
      <c r="V187">
        <v>20260912024</v>
      </c>
    </row>
    <row r="188" spans="1:22" x14ac:dyDescent="0.2">
      <c r="A188" s="34" t="s">
        <v>122</v>
      </c>
      <c r="B188" s="28">
        <v>46277</v>
      </c>
      <c r="C188" s="34"/>
      <c r="D188" s="34" t="s">
        <v>338</v>
      </c>
      <c r="E188" s="34" t="s">
        <v>220</v>
      </c>
      <c r="F188" s="34" t="s">
        <v>221</v>
      </c>
      <c r="G188" s="34" t="s">
        <v>222</v>
      </c>
      <c r="H188" s="34" t="s">
        <v>223</v>
      </c>
      <c r="I188">
        <v>13</v>
      </c>
      <c r="J188">
        <v>0</v>
      </c>
      <c r="K188">
        <v>13</v>
      </c>
      <c r="L188">
        <v>0</v>
      </c>
      <c r="O188" s="28">
        <v>46276</v>
      </c>
      <c r="R188">
        <v>-1</v>
      </c>
      <c r="S188">
        <v>25</v>
      </c>
      <c r="T188">
        <v>14</v>
      </c>
      <c r="U188">
        <v>29</v>
      </c>
      <c r="V188">
        <v>20260912025</v>
      </c>
    </row>
    <row r="189" spans="1:22" x14ac:dyDescent="0.2">
      <c r="A189" s="34" t="s">
        <v>122</v>
      </c>
      <c r="B189" s="28">
        <v>46277</v>
      </c>
      <c r="C189" s="34"/>
      <c r="D189" s="34" t="s">
        <v>338</v>
      </c>
      <c r="E189" s="34" t="s">
        <v>224</v>
      </c>
      <c r="F189" s="34" t="s">
        <v>225</v>
      </c>
      <c r="G189" s="34" t="s">
        <v>226</v>
      </c>
      <c r="H189" s="34" t="s">
        <v>227</v>
      </c>
      <c r="I189">
        <v>7</v>
      </c>
      <c r="J189">
        <v>0</v>
      </c>
      <c r="K189">
        <v>7</v>
      </c>
      <c r="L189">
        <v>0</v>
      </c>
      <c r="O189" s="28">
        <v>46276</v>
      </c>
      <c r="R189">
        <v>-1</v>
      </c>
      <c r="S189">
        <v>26</v>
      </c>
      <c r="T189">
        <v>14</v>
      </c>
      <c r="U189">
        <v>30</v>
      </c>
      <c r="V189">
        <v>20260912026</v>
      </c>
    </row>
    <row r="190" spans="1:22" x14ac:dyDescent="0.2">
      <c r="A190" s="34" t="s">
        <v>122</v>
      </c>
      <c r="B190" s="28">
        <v>46277</v>
      </c>
      <c r="C190" s="34"/>
      <c r="D190" s="34" t="s">
        <v>338</v>
      </c>
      <c r="E190" s="34" t="s">
        <v>228</v>
      </c>
      <c r="F190" s="34" t="s">
        <v>229</v>
      </c>
      <c r="G190" s="34" t="s">
        <v>230</v>
      </c>
      <c r="H190" s="34" t="s">
        <v>231</v>
      </c>
      <c r="I190">
        <v>4</v>
      </c>
      <c r="J190">
        <v>0</v>
      </c>
      <c r="K190">
        <v>8</v>
      </c>
      <c r="L190">
        <v>-4</v>
      </c>
      <c r="O190" s="28">
        <v>46276</v>
      </c>
      <c r="R190">
        <v>-1</v>
      </c>
      <c r="S190">
        <v>27</v>
      </c>
      <c r="T190">
        <v>14</v>
      </c>
      <c r="U190">
        <v>31</v>
      </c>
      <c r="V190">
        <v>20260912027</v>
      </c>
    </row>
    <row r="191" spans="1:22" x14ac:dyDescent="0.2">
      <c r="A191" s="34" t="s">
        <v>122</v>
      </c>
      <c r="B191" s="28">
        <v>46277</v>
      </c>
      <c r="C191" s="34"/>
      <c r="D191" s="34" t="s">
        <v>338</v>
      </c>
      <c r="E191" s="34" t="s">
        <v>232</v>
      </c>
      <c r="F191" s="34" t="s">
        <v>233</v>
      </c>
      <c r="G191" s="34" t="s">
        <v>234</v>
      </c>
      <c r="H191" s="34" t="s">
        <v>235</v>
      </c>
      <c r="I191">
        <v>7</v>
      </c>
      <c r="J191">
        <v>0</v>
      </c>
      <c r="K191">
        <v>2</v>
      </c>
      <c r="L191">
        <v>5</v>
      </c>
      <c r="O191" s="28">
        <v>46276</v>
      </c>
      <c r="R191">
        <v>-1</v>
      </c>
      <c r="S191">
        <v>28</v>
      </c>
      <c r="T191">
        <v>14</v>
      </c>
      <c r="U191">
        <v>32</v>
      </c>
      <c r="V191">
        <v>20260912028</v>
      </c>
    </row>
    <row r="192" spans="1:22" x14ac:dyDescent="0.2">
      <c r="A192" s="34" t="s">
        <v>122</v>
      </c>
      <c r="B192" s="28">
        <v>46277</v>
      </c>
      <c r="C192" s="34"/>
      <c r="D192" s="34" t="s">
        <v>338</v>
      </c>
      <c r="E192" s="34" t="s">
        <v>236</v>
      </c>
      <c r="F192" s="34" t="s">
        <v>237</v>
      </c>
      <c r="G192" s="34" t="s">
        <v>238</v>
      </c>
      <c r="H192" s="34" t="s">
        <v>239</v>
      </c>
      <c r="I192">
        <v>4</v>
      </c>
      <c r="J192">
        <v>0</v>
      </c>
      <c r="K192">
        <v>9</v>
      </c>
      <c r="L192">
        <v>-5</v>
      </c>
      <c r="O192" s="28">
        <v>46276</v>
      </c>
      <c r="R192">
        <v>-1</v>
      </c>
      <c r="S192">
        <v>29</v>
      </c>
      <c r="T192">
        <v>14</v>
      </c>
      <c r="U192">
        <v>33</v>
      </c>
      <c r="V192">
        <v>20260912029</v>
      </c>
    </row>
    <row r="193" spans="1:22" x14ac:dyDescent="0.2">
      <c r="A193" s="34" t="s">
        <v>122</v>
      </c>
      <c r="B193" s="28">
        <v>46277</v>
      </c>
      <c r="C193" s="34"/>
      <c r="D193" s="34" t="s">
        <v>338</v>
      </c>
      <c r="E193" s="34" t="s">
        <v>240</v>
      </c>
      <c r="F193" s="34" t="s">
        <v>241</v>
      </c>
      <c r="G193" s="34" t="s">
        <v>242</v>
      </c>
      <c r="H193" s="34" t="s">
        <v>243</v>
      </c>
      <c r="I193">
        <v>10</v>
      </c>
      <c r="J193">
        <v>0</v>
      </c>
      <c r="K193">
        <v>12</v>
      </c>
      <c r="L193">
        <v>-2</v>
      </c>
      <c r="O193" s="28">
        <v>46276</v>
      </c>
      <c r="R193">
        <v>-1</v>
      </c>
      <c r="S193">
        <v>30</v>
      </c>
      <c r="T193">
        <v>14</v>
      </c>
      <c r="U193">
        <v>34</v>
      </c>
      <c r="V193">
        <v>20260912030</v>
      </c>
    </row>
    <row r="194" spans="1:22" x14ac:dyDescent="0.2">
      <c r="A194" s="34" t="s">
        <v>122</v>
      </c>
      <c r="B194" s="28">
        <v>46277</v>
      </c>
      <c r="C194" s="34"/>
      <c r="D194" s="34" t="s">
        <v>338</v>
      </c>
      <c r="E194" s="34" t="s">
        <v>244</v>
      </c>
      <c r="F194" s="34" t="s">
        <v>245</v>
      </c>
      <c r="G194" s="34" t="s">
        <v>246</v>
      </c>
      <c r="H194" s="34" t="s">
        <v>247</v>
      </c>
      <c r="I194">
        <v>5</v>
      </c>
      <c r="J194">
        <v>0</v>
      </c>
      <c r="K194">
        <v>5</v>
      </c>
      <c r="L194">
        <v>0</v>
      </c>
      <c r="O194" s="28">
        <v>46276</v>
      </c>
      <c r="R194">
        <v>-1</v>
      </c>
      <c r="S194">
        <v>31</v>
      </c>
      <c r="T194">
        <v>14</v>
      </c>
      <c r="U194">
        <v>35</v>
      </c>
      <c r="V194">
        <v>20260912031</v>
      </c>
    </row>
    <row r="195" spans="1:22" x14ac:dyDescent="0.2">
      <c r="A195" s="34" t="s">
        <v>122</v>
      </c>
      <c r="B195" s="28">
        <v>46277</v>
      </c>
      <c r="C195" s="34"/>
      <c r="D195" s="34" t="s">
        <v>338</v>
      </c>
      <c r="E195" s="34" t="s">
        <v>248</v>
      </c>
      <c r="F195" s="34" t="s">
        <v>249</v>
      </c>
      <c r="G195" s="34" t="s">
        <v>250</v>
      </c>
      <c r="H195" s="34" t="s">
        <v>251</v>
      </c>
      <c r="I195">
        <v>4</v>
      </c>
      <c r="J195">
        <v>0</v>
      </c>
      <c r="K195">
        <v>4</v>
      </c>
      <c r="L195">
        <v>0</v>
      </c>
      <c r="O195" s="28">
        <v>46276</v>
      </c>
      <c r="R195">
        <v>-1</v>
      </c>
      <c r="S195">
        <v>32</v>
      </c>
      <c r="T195">
        <v>14</v>
      </c>
      <c r="U195">
        <v>36</v>
      </c>
      <c r="V195">
        <v>20260912032</v>
      </c>
    </row>
    <row r="196" spans="1:22" x14ac:dyDescent="0.2">
      <c r="A196" s="34" t="s">
        <v>122</v>
      </c>
      <c r="B196" s="28">
        <v>46277</v>
      </c>
      <c r="C196" s="34"/>
      <c r="D196" s="34" t="s">
        <v>338</v>
      </c>
      <c r="E196" s="34" t="s">
        <v>252</v>
      </c>
      <c r="F196" s="34" t="s">
        <v>253</v>
      </c>
      <c r="G196" s="34" t="s">
        <v>254</v>
      </c>
      <c r="H196" s="34" t="s">
        <v>255</v>
      </c>
      <c r="I196">
        <v>4</v>
      </c>
      <c r="J196">
        <v>0</v>
      </c>
      <c r="K196">
        <v>16</v>
      </c>
      <c r="L196">
        <v>-12</v>
      </c>
      <c r="O196" s="28">
        <v>46276</v>
      </c>
      <c r="R196">
        <v>-1</v>
      </c>
      <c r="S196">
        <v>33</v>
      </c>
      <c r="T196">
        <v>14</v>
      </c>
      <c r="U196">
        <v>37</v>
      </c>
      <c r="V196">
        <v>20260912033</v>
      </c>
    </row>
    <row r="197" spans="1:22" x14ac:dyDescent="0.2">
      <c r="A197" s="34" t="s">
        <v>122</v>
      </c>
      <c r="B197" s="28">
        <v>46277</v>
      </c>
      <c r="C197" s="34"/>
      <c r="D197" s="34" t="s">
        <v>338</v>
      </c>
      <c r="E197" s="34" t="s">
        <v>256</v>
      </c>
      <c r="F197" s="34" t="s">
        <v>257</v>
      </c>
      <c r="G197" s="34" t="s">
        <v>258</v>
      </c>
      <c r="H197" s="34" t="s">
        <v>259</v>
      </c>
      <c r="I197">
        <v>4</v>
      </c>
      <c r="J197">
        <v>0</v>
      </c>
      <c r="K197">
        <v>4</v>
      </c>
      <c r="L197">
        <v>0</v>
      </c>
      <c r="O197" s="28">
        <v>46276</v>
      </c>
      <c r="R197">
        <v>-1</v>
      </c>
      <c r="S197">
        <v>34</v>
      </c>
      <c r="T197">
        <v>14</v>
      </c>
      <c r="U197">
        <v>38</v>
      </c>
      <c r="V197">
        <v>20260912034</v>
      </c>
    </row>
    <row r="198" spans="1:22" x14ac:dyDescent="0.2">
      <c r="A198" s="34" t="s">
        <v>122</v>
      </c>
      <c r="B198" s="28">
        <v>46277</v>
      </c>
      <c r="C198" s="34"/>
      <c r="D198" s="34" t="s">
        <v>338</v>
      </c>
      <c r="E198" s="34" t="s">
        <v>260</v>
      </c>
      <c r="F198" s="34" t="s">
        <v>261</v>
      </c>
      <c r="G198" s="34" t="s">
        <v>262</v>
      </c>
      <c r="H198" s="34" t="s">
        <v>263</v>
      </c>
      <c r="I198">
        <v>6</v>
      </c>
      <c r="J198">
        <v>0</v>
      </c>
      <c r="K198">
        <v>5</v>
      </c>
      <c r="L198">
        <v>1</v>
      </c>
      <c r="O198" s="28">
        <v>46276</v>
      </c>
      <c r="R198">
        <v>-1</v>
      </c>
      <c r="S198">
        <v>35</v>
      </c>
      <c r="T198">
        <v>14</v>
      </c>
      <c r="U198">
        <v>39</v>
      </c>
      <c r="V198">
        <v>20260912035</v>
      </c>
    </row>
    <row r="199" spans="1:22" x14ac:dyDescent="0.2">
      <c r="A199" s="34" t="s">
        <v>122</v>
      </c>
      <c r="B199" s="28">
        <v>46277</v>
      </c>
      <c r="C199" s="34"/>
      <c r="D199" s="34" t="s">
        <v>338</v>
      </c>
      <c r="E199" s="34" t="s">
        <v>264</v>
      </c>
      <c r="F199" s="34" t="s">
        <v>265</v>
      </c>
      <c r="G199" s="34" t="s">
        <v>266</v>
      </c>
      <c r="H199" s="34" t="s">
        <v>267</v>
      </c>
      <c r="I199">
        <v>8</v>
      </c>
      <c r="J199">
        <v>0</v>
      </c>
      <c r="K199">
        <v>7</v>
      </c>
      <c r="L199">
        <v>1</v>
      </c>
      <c r="O199" s="28">
        <v>46276</v>
      </c>
      <c r="R199">
        <v>-1</v>
      </c>
      <c r="S199">
        <v>36</v>
      </c>
      <c r="T199">
        <v>14</v>
      </c>
      <c r="U199">
        <v>40</v>
      </c>
      <c r="V199">
        <v>20260912036</v>
      </c>
    </row>
    <row r="200" spans="1:22" x14ac:dyDescent="0.2">
      <c r="A200" s="34" t="s">
        <v>122</v>
      </c>
      <c r="B200" s="28">
        <v>46277</v>
      </c>
      <c r="C200" s="34"/>
      <c r="D200" s="34" t="s">
        <v>338</v>
      </c>
      <c r="E200" s="34" t="s">
        <v>268</v>
      </c>
      <c r="F200" s="34" t="s">
        <v>269</v>
      </c>
      <c r="G200" s="34" t="s">
        <v>270</v>
      </c>
      <c r="H200" s="34" t="s">
        <v>271</v>
      </c>
      <c r="I200">
        <v>6</v>
      </c>
      <c r="J200">
        <v>0</v>
      </c>
      <c r="K200">
        <v>4</v>
      </c>
      <c r="L200">
        <v>2</v>
      </c>
      <c r="O200" s="28">
        <v>46276</v>
      </c>
      <c r="R200">
        <v>-1</v>
      </c>
      <c r="S200">
        <v>37</v>
      </c>
      <c r="T200">
        <v>14</v>
      </c>
      <c r="U200">
        <v>41</v>
      </c>
      <c r="V200">
        <v>20260912037</v>
      </c>
    </row>
    <row r="201" spans="1:22" x14ac:dyDescent="0.2">
      <c r="A201" s="34" t="s">
        <v>122</v>
      </c>
      <c r="B201" s="28">
        <v>46277</v>
      </c>
      <c r="C201" s="34"/>
      <c r="D201" s="34" t="s">
        <v>338</v>
      </c>
      <c r="E201" s="34" t="s">
        <v>272</v>
      </c>
      <c r="F201" s="34" t="s">
        <v>341</v>
      </c>
      <c r="G201" s="34" t="s">
        <v>273</v>
      </c>
      <c r="H201" s="34" t="s">
        <v>274</v>
      </c>
      <c r="I201">
        <v>5</v>
      </c>
      <c r="J201">
        <v>0</v>
      </c>
      <c r="K201">
        <v>9</v>
      </c>
      <c r="L201">
        <v>-4</v>
      </c>
      <c r="O201" s="28">
        <v>46276</v>
      </c>
      <c r="R201">
        <v>-1</v>
      </c>
      <c r="S201">
        <v>38</v>
      </c>
      <c r="T201">
        <v>14</v>
      </c>
      <c r="U201">
        <v>42</v>
      </c>
      <c r="V201">
        <v>20260912038</v>
      </c>
    </row>
    <row r="202" spans="1:22" x14ac:dyDescent="0.2">
      <c r="A202" s="34" t="s">
        <v>122</v>
      </c>
      <c r="B202" s="28">
        <v>46277</v>
      </c>
      <c r="C202" s="34"/>
      <c r="D202" s="34" t="s">
        <v>338</v>
      </c>
      <c r="E202" s="34" t="s">
        <v>275</v>
      </c>
      <c r="F202" s="34" t="s">
        <v>276</v>
      </c>
      <c r="G202" s="34" t="s">
        <v>277</v>
      </c>
      <c r="H202" s="34" t="s">
        <v>278</v>
      </c>
      <c r="I202">
        <v>6</v>
      </c>
      <c r="J202">
        <v>0</v>
      </c>
      <c r="K202">
        <v>3</v>
      </c>
      <c r="L202">
        <v>3</v>
      </c>
      <c r="O202" s="28">
        <v>46276</v>
      </c>
      <c r="R202">
        <v>-1</v>
      </c>
      <c r="S202">
        <v>39</v>
      </c>
      <c r="T202">
        <v>14</v>
      </c>
      <c r="U202">
        <v>43</v>
      </c>
      <c r="V202">
        <v>20260912039</v>
      </c>
    </row>
    <row r="203" spans="1:22" x14ac:dyDescent="0.2">
      <c r="A203" s="34" t="s">
        <v>122</v>
      </c>
      <c r="B203" s="28">
        <v>46277</v>
      </c>
      <c r="C203" s="34"/>
      <c r="D203" s="34" t="s">
        <v>338</v>
      </c>
      <c r="E203" s="34" t="s">
        <v>279</v>
      </c>
      <c r="F203" s="34" t="s">
        <v>280</v>
      </c>
      <c r="G203" s="34" t="s">
        <v>281</v>
      </c>
      <c r="H203" s="34" t="s">
        <v>282</v>
      </c>
      <c r="I203">
        <v>6</v>
      </c>
      <c r="J203">
        <v>0</v>
      </c>
      <c r="K203">
        <v>6</v>
      </c>
      <c r="L203">
        <v>0</v>
      </c>
      <c r="O203" s="28">
        <v>46276</v>
      </c>
      <c r="R203">
        <v>-1</v>
      </c>
      <c r="S203">
        <v>40</v>
      </c>
      <c r="T203">
        <v>14</v>
      </c>
      <c r="U203">
        <v>44</v>
      </c>
      <c r="V203">
        <v>20260912040</v>
      </c>
    </row>
    <row r="204" spans="1:22" x14ac:dyDescent="0.2">
      <c r="A204" s="34" t="s">
        <v>122</v>
      </c>
      <c r="B204" s="28">
        <v>46277</v>
      </c>
      <c r="C204" s="34"/>
      <c r="D204" s="34" t="s">
        <v>338</v>
      </c>
      <c r="E204" s="34" t="s">
        <v>283</v>
      </c>
      <c r="F204" s="34" t="s">
        <v>284</v>
      </c>
      <c r="G204" s="34" t="s">
        <v>285</v>
      </c>
      <c r="H204" s="34" t="s">
        <v>286</v>
      </c>
      <c r="I204">
        <v>17</v>
      </c>
      <c r="J204">
        <v>0</v>
      </c>
      <c r="K204">
        <v>13</v>
      </c>
      <c r="L204">
        <v>4</v>
      </c>
      <c r="O204" s="28">
        <v>46276</v>
      </c>
      <c r="R204">
        <v>-1</v>
      </c>
      <c r="S204">
        <v>41</v>
      </c>
      <c r="T204">
        <v>14</v>
      </c>
      <c r="U204">
        <v>45</v>
      </c>
      <c r="V204">
        <v>20260912041</v>
      </c>
    </row>
    <row r="205" spans="1:22" x14ac:dyDescent="0.2">
      <c r="A205" s="34" t="s">
        <v>122</v>
      </c>
      <c r="B205" s="28">
        <v>46277</v>
      </c>
      <c r="C205" s="34"/>
      <c r="D205" s="34" t="s">
        <v>338</v>
      </c>
      <c r="E205" s="34" t="s">
        <v>287</v>
      </c>
      <c r="F205" s="34" t="s">
        <v>288</v>
      </c>
      <c r="G205" s="34" t="s">
        <v>289</v>
      </c>
      <c r="H205" s="34" t="s">
        <v>290</v>
      </c>
      <c r="I205">
        <v>36</v>
      </c>
      <c r="J205">
        <v>0</v>
      </c>
      <c r="K205">
        <v>35</v>
      </c>
      <c r="L205">
        <v>1</v>
      </c>
      <c r="O205" s="28">
        <v>46276</v>
      </c>
      <c r="R205">
        <v>-1</v>
      </c>
      <c r="S205">
        <v>42</v>
      </c>
      <c r="T205">
        <v>14</v>
      </c>
      <c r="U205">
        <v>46</v>
      </c>
      <c r="V205">
        <v>20260912042</v>
      </c>
    </row>
    <row r="206" spans="1:22" x14ac:dyDescent="0.2">
      <c r="A206" s="34" t="s">
        <v>122</v>
      </c>
      <c r="B206" s="28">
        <v>46277</v>
      </c>
      <c r="C206" s="34"/>
      <c r="D206" s="34" t="s">
        <v>338</v>
      </c>
      <c r="E206" s="34" t="s">
        <v>291</v>
      </c>
      <c r="F206" s="34" t="s">
        <v>342</v>
      </c>
      <c r="G206" s="34" t="s">
        <v>292</v>
      </c>
      <c r="H206" s="34" t="s">
        <v>293</v>
      </c>
      <c r="I206">
        <v>23</v>
      </c>
      <c r="J206">
        <v>0</v>
      </c>
      <c r="K206">
        <v>23</v>
      </c>
      <c r="L206">
        <v>0</v>
      </c>
      <c r="O206" s="28">
        <v>46276</v>
      </c>
      <c r="R206">
        <v>-1</v>
      </c>
      <c r="S206">
        <v>43</v>
      </c>
      <c r="T206">
        <v>14</v>
      </c>
      <c r="U206">
        <v>47</v>
      </c>
      <c r="V206">
        <v>20260912043</v>
      </c>
    </row>
    <row r="207" spans="1:22" x14ac:dyDescent="0.2">
      <c r="A207" s="34" t="s">
        <v>122</v>
      </c>
      <c r="B207" s="28">
        <v>46277</v>
      </c>
      <c r="C207" s="34"/>
      <c r="D207" s="34" t="s">
        <v>338</v>
      </c>
      <c r="E207" s="34" t="s">
        <v>294</v>
      </c>
      <c r="F207" s="34" t="s">
        <v>295</v>
      </c>
      <c r="G207" s="34" t="s">
        <v>296</v>
      </c>
      <c r="H207" s="34" t="s">
        <v>297</v>
      </c>
      <c r="I207">
        <v>13</v>
      </c>
      <c r="J207">
        <v>0</v>
      </c>
      <c r="K207">
        <v>12</v>
      </c>
      <c r="L207">
        <v>1</v>
      </c>
      <c r="O207" s="28">
        <v>46276</v>
      </c>
      <c r="R207">
        <v>-1</v>
      </c>
      <c r="S207">
        <v>44</v>
      </c>
      <c r="T207">
        <v>14</v>
      </c>
      <c r="U207">
        <v>48</v>
      </c>
      <c r="V207">
        <v>20260912044</v>
      </c>
    </row>
    <row r="208" spans="1:22" x14ac:dyDescent="0.2">
      <c r="A208" s="34" t="s">
        <v>122</v>
      </c>
      <c r="B208" s="28">
        <v>46277</v>
      </c>
      <c r="C208" s="34"/>
      <c r="D208" s="34" t="s">
        <v>338</v>
      </c>
      <c r="E208" s="34" t="s">
        <v>298</v>
      </c>
      <c r="F208" s="34" t="s">
        <v>299</v>
      </c>
      <c r="G208" s="34" t="s">
        <v>300</v>
      </c>
      <c r="H208" s="34" t="s">
        <v>301</v>
      </c>
      <c r="I208">
        <v>14</v>
      </c>
      <c r="J208">
        <v>0</v>
      </c>
      <c r="K208">
        <v>14</v>
      </c>
      <c r="L208">
        <v>0</v>
      </c>
      <c r="O208" s="28">
        <v>46276</v>
      </c>
      <c r="R208">
        <v>-1</v>
      </c>
      <c r="S208">
        <v>45</v>
      </c>
      <c r="T208">
        <v>14</v>
      </c>
      <c r="U208">
        <v>49</v>
      </c>
      <c r="V208">
        <v>20260912045</v>
      </c>
    </row>
    <row r="209" spans="1:22" x14ac:dyDescent="0.2">
      <c r="A209" s="34" t="s">
        <v>122</v>
      </c>
      <c r="B209" s="28">
        <v>46277</v>
      </c>
      <c r="C209" s="34"/>
      <c r="D209" s="34" t="s">
        <v>338</v>
      </c>
      <c r="E209" s="34" t="s">
        <v>302</v>
      </c>
      <c r="F209" s="34" t="s">
        <v>303</v>
      </c>
      <c r="G209" s="34" t="s">
        <v>304</v>
      </c>
      <c r="H209" s="34" t="s">
        <v>305</v>
      </c>
      <c r="I209">
        <v>9</v>
      </c>
      <c r="J209">
        <v>0</v>
      </c>
      <c r="K209">
        <v>9</v>
      </c>
      <c r="L209">
        <v>0</v>
      </c>
      <c r="O209" s="28">
        <v>46276</v>
      </c>
      <c r="R209">
        <v>-1</v>
      </c>
      <c r="S209">
        <v>46</v>
      </c>
      <c r="T209">
        <v>14</v>
      </c>
      <c r="U209">
        <v>50</v>
      </c>
      <c r="V209">
        <v>20260912046</v>
      </c>
    </row>
    <row r="210" spans="1:22" x14ac:dyDescent="0.2">
      <c r="A210" s="34" t="s">
        <v>122</v>
      </c>
      <c r="B210" s="28">
        <v>46277</v>
      </c>
      <c r="C210" s="34"/>
      <c r="D210" s="34" t="s">
        <v>338</v>
      </c>
      <c r="E210" s="34" t="s">
        <v>306</v>
      </c>
      <c r="F210" s="34" t="s">
        <v>307</v>
      </c>
      <c r="G210" s="34" t="s">
        <v>308</v>
      </c>
      <c r="H210" s="34" t="s">
        <v>309</v>
      </c>
      <c r="I210">
        <v>11</v>
      </c>
      <c r="J210">
        <v>0</v>
      </c>
      <c r="K210">
        <v>11</v>
      </c>
      <c r="L210">
        <v>0</v>
      </c>
      <c r="O210" s="28">
        <v>46276</v>
      </c>
      <c r="R210">
        <v>-1</v>
      </c>
      <c r="S210">
        <v>47</v>
      </c>
      <c r="T210">
        <v>14</v>
      </c>
      <c r="U210">
        <v>51</v>
      </c>
      <c r="V210">
        <v>20260912047</v>
      </c>
    </row>
    <row r="211" spans="1:22" x14ac:dyDescent="0.2">
      <c r="A211" s="34" t="s">
        <v>122</v>
      </c>
      <c r="B211" s="28">
        <v>46277</v>
      </c>
      <c r="C211" s="34"/>
      <c r="D211" s="34" t="s">
        <v>338</v>
      </c>
      <c r="E211" s="34" t="s">
        <v>310</v>
      </c>
      <c r="F211" s="34" t="s">
        <v>311</v>
      </c>
      <c r="G211" s="34" t="s">
        <v>312</v>
      </c>
      <c r="H211" s="34" t="s">
        <v>313</v>
      </c>
      <c r="I211">
        <v>7</v>
      </c>
      <c r="J211">
        <v>0</v>
      </c>
      <c r="K211">
        <v>3</v>
      </c>
      <c r="L211">
        <v>4</v>
      </c>
      <c r="O211" s="28">
        <v>46276</v>
      </c>
      <c r="R211">
        <v>-1</v>
      </c>
      <c r="S211">
        <v>48</v>
      </c>
      <c r="T211">
        <v>14</v>
      </c>
      <c r="U211">
        <v>52</v>
      </c>
      <c r="V211">
        <v>20260912048</v>
      </c>
    </row>
    <row r="212" spans="1:22" x14ac:dyDescent="0.2">
      <c r="A212" s="34" t="s">
        <v>122</v>
      </c>
      <c r="B212" s="28">
        <v>46277</v>
      </c>
      <c r="C212" s="34"/>
      <c r="D212" s="34" t="s">
        <v>338</v>
      </c>
      <c r="E212" s="34" t="s">
        <v>314</v>
      </c>
      <c r="F212" s="34" t="s">
        <v>315</v>
      </c>
      <c r="G212" s="34" t="s">
        <v>316</v>
      </c>
      <c r="H212" s="34" t="s">
        <v>317</v>
      </c>
      <c r="I212">
        <v>15</v>
      </c>
      <c r="J212">
        <v>0</v>
      </c>
      <c r="K212">
        <v>14</v>
      </c>
      <c r="L212">
        <v>1</v>
      </c>
      <c r="O212" s="28">
        <v>46276</v>
      </c>
      <c r="R212">
        <v>-1</v>
      </c>
      <c r="S212">
        <v>49</v>
      </c>
      <c r="T212">
        <v>14</v>
      </c>
      <c r="U212">
        <v>53</v>
      </c>
      <c r="V212">
        <v>20260912049</v>
      </c>
    </row>
    <row r="213" spans="1:22" x14ac:dyDescent="0.2">
      <c r="A213" s="34" t="s">
        <v>122</v>
      </c>
      <c r="B213" s="28">
        <v>46277</v>
      </c>
      <c r="C213" s="34"/>
      <c r="D213" s="34" t="s">
        <v>338</v>
      </c>
      <c r="E213" s="34" t="s">
        <v>318</v>
      </c>
      <c r="F213" s="34" t="s">
        <v>319</v>
      </c>
      <c r="G213" s="34" t="s">
        <v>320</v>
      </c>
      <c r="H213" s="34" t="s">
        <v>321</v>
      </c>
      <c r="I213">
        <v>8</v>
      </c>
      <c r="J213">
        <v>0</v>
      </c>
      <c r="K213">
        <v>8</v>
      </c>
      <c r="L213">
        <v>0</v>
      </c>
      <c r="O213" s="28">
        <v>46276</v>
      </c>
      <c r="R213">
        <v>-1</v>
      </c>
      <c r="S213">
        <v>50</v>
      </c>
      <c r="T213">
        <v>14</v>
      </c>
      <c r="U213">
        <v>54</v>
      </c>
      <c r="V213">
        <v>20260912050</v>
      </c>
    </row>
    <row r="214" spans="1:22" x14ac:dyDescent="0.2">
      <c r="A214" s="34" t="s">
        <v>122</v>
      </c>
      <c r="B214" s="28">
        <v>46277</v>
      </c>
      <c r="C214" s="34"/>
      <c r="D214" s="34" t="s">
        <v>338</v>
      </c>
      <c r="E214" s="34" t="s">
        <v>322</v>
      </c>
      <c r="F214" s="34" t="s">
        <v>323</v>
      </c>
      <c r="G214" s="34" t="s">
        <v>324</v>
      </c>
      <c r="H214" s="34" t="s">
        <v>325</v>
      </c>
      <c r="I214">
        <v>8</v>
      </c>
      <c r="J214">
        <v>0</v>
      </c>
      <c r="K214">
        <v>7</v>
      </c>
      <c r="L214">
        <v>1</v>
      </c>
      <c r="O214" s="28">
        <v>46276</v>
      </c>
      <c r="R214">
        <v>-1</v>
      </c>
      <c r="S214">
        <v>51</v>
      </c>
      <c r="T214">
        <v>14</v>
      </c>
      <c r="U214">
        <v>55</v>
      </c>
      <c r="V214">
        <v>20260912051</v>
      </c>
    </row>
    <row r="215" spans="1:22" x14ac:dyDescent="0.2">
      <c r="A215" s="34" t="s">
        <v>122</v>
      </c>
      <c r="B215" s="28">
        <v>46277</v>
      </c>
      <c r="C215" s="34"/>
      <c r="D215" s="34" t="s">
        <v>338</v>
      </c>
      <c r="E215" s="34" t="s">
        <v>326</v>
      </c>
      <c r="F215" s="34" t="s">
        <v>327</v>
      </c>
      <c r="G215" s="34" t="s">
        <v>328</v>
      </c>
      <c r="H215" s="34" t="s">
        <v>329</v>
      </c>
      <c r="I215">
        <v>5</v>
      </c>
      <c r="J215">
        <v>0</v>
      </c>
      <c r="K215">
        <v>19</v>
      </c>
      <c r="L215">
        <v>-14</v>
      </c>
      <c r="O215" s="28">
        <v>46276</v>
      </c>
      <c r="R215">
        <v>-1</v>
      </c>
      <c r="S215">
        <v>52</v>
      </c>
      <c r="T215">
        <v>14</v>
      </c>
      <c r="U215">
        <v>73</v>
      </c>
      <c r="V215">
        <v>20260912052</v>
      </c>
    </row>
    <row r="216" spans="1:22" x14ac:dyDescent="0.2">
      <c r="A216" s="34" t="s">
        <v>122</v>
      </c>
      <c r="B216" s="28">
        <v>46277</v>
      </c>
      <c r="C216" s="34"/>
      <c r="D216" s="34" t="s">
        <v>338</v>
      </c>
      <c r="E216" s="34" t="s">
        <v>330</v>
      </c>
      <c r="F216" s="34" t="s">
        <v>331</v>
      </c>
      <c r="G216" s="34" t="s">
        <v>332</v>
      </c>
      <c r="H216" s="34" t="s">
        <v>333</v>
      </c>
      <c r="I216">
        <v>5</v>
      </c>
      <c r="J216">
        <v>0</v>
      </c>
      <c r="K216">
        <v>4</v>
      </c>
      <c r="L216">
        <v>1</v>
      </c>
      <c r="O216" s="28">
        <v>46276</v>
      </c>
      <c r="R216">
        <v>-1</v>
      </c>
      <c r="S216">
        <v>53</v>
      </c>
      <c r="T216">
        <v>14</v>
      </c>
      <c r="U216">
        <v>74</v>
      </c>
      <c r="V216">
        <v>20260912053</v>
      </c>
    </row>
    <row r="217" spans="1:22" x14ac:dyDescent="0.2">
      <c r="A217" s="34" t="s">
        <v>122</v>
      </c>
      <c r="B217" s="28">
        <v>46277</v>
      </c>
      <c r="C217" s="34"/>
      <c r="D217" s="34" t="s">
        <v>338</v>
      </c>
      <c r="E217" s="34" t="s">
        <v>334</v>
      </c>
      <c r="F217" s="34" t="s">
        <v>335</v>
      </c>
      <c r="G217" s="34" t="s">
        <v>336</v>
      </c>
      <c r="H217" s="34" t="s">
        <v>337</v>
      </c>
      <c r="I217">
        <v>15</v>
      </c>
      <c r="J217">
        <v>0</v>
      </c>
      <c r="K217">
        <v>18</v>
      </c>
      <c r="L217">
        <v>-3</v>
      </c>
      <c r="O217" s="28">
        <v>46276</v>
      </c>
      <c r="R217">
        <v>-1</v>
      </c>
      <c r="S217">
        <v>54</v>
      </c>
      <c r="T217">
        <v>14</v>
      </c>
      <c r="U217">
        <v>75</v>
      </c>
      <c r="V217">
        <v>20260912054</v>
      </c>
    </row>
    <row r="218" spans="1:22" x14ac:dyDescent="0.2">
      <c r="A218" s="34" t="s">
        <v>122</v>
      </c>
      <c r="B218" s="28">
        <v>46278</v>
      </c>
      <c r="C218" s="34"/>
      <c r="D218" s="34" t="s">
        <v>339</v>
      </c>
      <c r="E218" s="34" t="s">
        <v>124</v>
      </c>
      <c r="F218" s="34" t="s">
        <v>125</v>
      </c>
      <c r="G218" s="34" t="s">
        <v>126</v>
      </c>
      <c r="H218" s="34" t="s">
        <v>127</v>
      </c>
      <c r="I218">
        <v>6</v>
      </c>
      <c r="J218">
        <v>0</v>
      </c>
      <c r="K218">
        <v>6</v>
      </c>
      <c r="L218">
        <v>0</v>
      </c>
      <c r="O218" s="28">
        <v>46277</v>
      </c>
      <c r="R218">
        <v>-1</v>
      </c>
      <c r="S218">
        <v>1</v>
      </c>
      <c r="T218">
        <v>13</v>
      </c>
      <c r="U218">
        <v>1</v>
      </c>
      <c r="V218">
        <v>20260913001</v>
      </c>
    </row>
    <row r="219" spans="1:22" x14ac:dyDescent="0.2">
      <c r="A219" s="34" t="s">
        <v>122</v>
      </c>
      <c r="B219" s="28">
        <v>46278</v>
      </c>
      <c r="C219" s="34"/>
      <c r="D219" s="34" t="s">
        <v>339</v>
      </c>
      <c r="E219" s="34" t="s">
        <v>128</v>
      </c>
      <c r="F219" s="34" t="s">
        <v>129</v>
      </c>
      <c r="G219" s="34" t="s">
        <v>130</v>
      </c>
      <c r="H219" s="34" t="s">
        <v>131</v>
      </c>
      <c r="I219">
        <v>5</v>
      </c>
      <c r="J219">
        <v>0</v>
      </c>
      <c r="K219">
        <v>5</v>
      </c>
      <c r="L219">
        <v>0</v>
      </c>
      <c r="O219" s="28">
        <v>46277</v>
      </c>
      <c r="R219">
        <v>-1</v>
      </c>
      <c r="S219">
        <v>2</v>
      </c>
      <c r="T219">
        <v>13</v>
      </c>
      <c r="U219">
        <v>2</v>
      </c>
      <c r="V219">
        <v>20260913002</v>
      </c>
    </row>
    <row r="220" spans="1:22" x14ac:dyDescent="0.2">
      <c r="A220" s="34" t="s">
        <v>122</v>
      </c>
      <c r="B220" s="28">
        <v>46278</v>
      </c>
      <c r="C220" s="34"/>
      <c r="D220" s="34" t="s">
        <v>339</v>
      </c>
      <c r="E220" s="34" t="s">
        <v>132</v>
      </c>
      <c r="F220" s="34" t="s">
        <v>133</v>
      </c>
      <c r="G220" s="34" t="s">
        <v>134</v>
      </c>
      <c r="H220" s="34" t="s">
        <v>135</v>
      </c>
      <c r="I220">
        <v>4</v>
      </c>
      <c r="J220">
        <v>0</v>
      </c>
      <c r="K220">
        <v>4</v>
      </c>
      <c r="L220">
        <v>0</v>
      </c>
      <c r="O220" s="28">
        <v>46277</v>
      </c>
      <c r="R220">
        <v>-1</v>
      </c>
      <c r="S220">
        <v>3</v>
      </c>
      <c r="T220">
        <v>13</v>
      </c>
      <c r="U220">
        <v>3</v>
      </c>
      <c r="V220">
        <v>20260913003</v>
      </c>
    </row>
    <row r="221" spans="1:22" x14ac:dyDescent="0.2">
      <c r="A221" s="34" t="s">
        <v>122</v>
      </c>
      <c r="B221" s="28">
        <v>46278</v>
      </c>
      <c r="C221" s="34"/>
      <c r="D221" s="34" t="s">
        <v>339</v>
      </c>
      <c r="E221" s="34" t="s">
        <v>136</v>
      </c>
      <c r="F221" s="34" t="s">
        <v>137</v>
      </c>
      <c r="G221" s="34" t="s">
        <v>138</v>
      </c>
      <c r="H221" s="34" t="s">
        <v>139</v>
      </c>
      <c r="I221">
        <v>0</v>
      </c>
      <c r="J221">
        <v>0</v>
      </c>
      <c r="K221">
        <v>4</v>
      </c>
      <c r="L221">
        <v>-4</v>
      </c>
      <c r="O221" s="28">
        <v>46277</v>
      </c>
      <c r="R221">
        <v>-1</v>
      </c>
      <c r="S221">
        <v>4</v>
      </c>
      <c r="T221">
        <v>13</v>
      </c>
      <c r="U221">
        <v>4</v>
      </c>
      <c r="V221">
        <v>20260913004</v>
      </c>
    </row>
    <row r="222" spans="1:22" x14ac:dyDescent="0.2">
      <c r="A222" s="34" t="s">
        <v>122</v>
      </c>
      <c r="B222" s="28">
        <v>46278</v>
      </c>
      <c r="C222" s="34"/>
      <c r="D222" s="34" t="s">
        <v>339</v>
      </c>
      <c r="E222" s="34" t="s">
        <v>140</v>
      </c>
      <c r="F222" s="34" t="s">
        <v>141</v>
      </c>
      <c r="G222" s="34" t="s">
        <v>142</v>
      </c>
      <c r="H222" s="34" t="s">
        <v>143</v>
      </c>
      <c r="I222">
        <v>4</v>
      </c>
      <c r="J222">
        <v>0</v>
      </c>
      <c r="K222">
        <v>4</v>
      </c>
      <c r="L222">
        <v>0</v>
      </c>
      <c r="O222" s="28">
        <v>46277</v>
      </c>
      <c r="R222">
        <v>-1</v>
      </c>
      <c r="S222">
        <v>5</v>
      </c>
      <c r="T222">
        <v>13</v>
      </c>
      <c r="U222">
        <v>5</v>
      </c>
      <c r="V222">
        <v>20260913005</v>
      </c>
    </row>
    <row r="223" spans="1:22" x14ac:dyDescent="0.2">
      <c r="A223" s="34" t="s">
        <v>122</v>
      </c>
      <c r="B223" s="28">
        <v>46278</v>
      </c>
      <c r="C223" s="34"/>
      <c r="D223" s="34" t="s">
        <v>339</v>
      </c>
      <c r="E223" s="34" t="s">
        <v>144</v>
      </c>
      <c r="F223" s="34" t="s">
        <v>145</v>
      </c>
      <c r="G223" s="34" t="s">
        <v>146</v>
      </c>
      <c r="H223" s="34" t="s">
        <v>147</v>
      </c>
      <c r="I223">
        <v>8</v>
      </c>
      <c r="J223">
        <v>0</v>
      </c>
      <c r="K223">
        <v>5</v>
      </c>
      <c r="L223">
        <v>3</v>
      </c>
      <c r="O223" s="28">
        <v>46277</v>
      </c>
      <c r="R223">
        <v>-1</v>
      </c>
      <c r="S223">
        <v>6</v>
      </c>
      <c r="T223">
        <v>13</v>
      </c>
      <c r="U223">
        <v>6</v>
      </c>
      <c r="V223">
        <v>20260913006</v>
      </c>
    </row>
    <row r="224" spans="1:22" x14ac:dyDescent="0.2">
      <c r="A224" s="34" t="s">
        <v>122</v>
      </c>
      <c r="B224" s="28">
        <v>46278</v>
      </c>
      <c r="C224" s="34"/>
      <c r="D224" s="34" t="s">
        <v>339</v>
      </c>
      <c r="E224" s="34" t="s">
        <v>148</v>
      </c>
      <c r="F224" s="34" t="s">
        <v>149</v>
      </c>
      <c r="G224" s="34" t="s">
        <v>150</v>
      </c>
      <c r="H224" s="34" t="s">
        <v>151</v>
      </c>
      <c r="I224">
        <v>4</v>
      </c>
      <c r="J224">
        <v>0</v>
      </c>
      <c r="K224">
        <v>4</v>
      </c>
      <c r="L224">
        <v>0</v>
      </c>
      <c r="O224" s="28">
        <v>46277</v>
      </c>
      <c r="R224">
        <v>-1</v>
      </c>
      <c r="S224">
        <v>7</v>
      </c>
      <c r="T224">
        <v>13</v>
      </c>
      <c r="U224">
        <v>7</v>
      </c>
      <c r="V224">
        <v>20260913007</v>
      </c>
    </row>
    <row r="225" spans="1:22" x14ac:dyDescent="0.2">
      <c r="A225" s="34" t="s">
        <v>122</v>
      </c>
      <c r="B225" s="28">
        <v>46278</v>
      </c>
      <c r="C225" s="34"/>
      <c r="D225" s="34" t="s">
        <v>339</v>
      </c>
      <c r="E225" s="34" t="s">
        <v>152</v>
      </c>
      <c r="F225" s="34" t="s">
        <v>153</v>
      </c>
      <c r="G225" s="34" t="s">
        <v>154</v>
      </c>
      <c r="H225" s="34" t="s">
        <v>155</v>
      </c>
      <c r="I225">
        <v>6</v>
      </c>
      <c r="J225">
        <v>0</v>
      </c>
      <c r="K225">
        <v>10</v>
      </c>
      <c r="L225">
        <v>-4</v>
      </c>
      <c r="O225" s="28">
        <v>46277</v>
      </c>
      <c r="R225">
        <v>-1</v>
      </c>
      <c r="S225">
        <v>8</v>
      </c>
      <c r="T225">
        <v>13</v>
      </c>
      <c r="U225">
        <v>8</v>
      </c>
      <c r="V225">
        <v>20260913008</v>
      </c>
    </row>
    <row r="226" spans="1:22" x14ac:dyDescent="0.2">
      <c r="A226" s="34" t="s">
        <v>122</v>
      </c>
      <c r="B226" s="28">
        <v>46278</v>
      </c>
      <c r="C226" s="34"/>
      <c r="D226" s="34" t="s">
        <v>339</v>
      </c>
      <c r="E226" s="34" t="s">
        <v>156</v>
      </c>
      <c r="F226" s="34" t="s">
        <v>157</v>
      </c>
      <c r="G226" s="34" t="s">
        <v>158</v>
      </c>
      <c r="H226" s="34" t="s">
        <v>159</v>
      </c>
      <c r="I226">
        <v>9</v>
      </c>
      <c r="J226">
        <v>0</v>
      </c>
      <c r="K226">
        <v>22</v>
      </c>
      <c r="L226">
        <v>-13</v>
      </c>
      <c r="O226" s="28">
        <v>46277</v>
      </c>
      <c r="R226">
        <v>-1</v>
      </c>
      <c r="S226">
        <v>9</v>
      </c>
      <c r="T226">
        <v>13</v>
      </c>
      <c r="U226">
        <v>9</v>
      </c>
      <c r="V226">
        <v>20260913009</v>
      </c>
    </row>
    <row r="227" spans="1:22" x14ac:dyDescent="0.2">
      <c r="A227" s="34" t="s">
        <v>122</v>
      </c>
      <c r="B227" s="28">
        <v>46278</v>
      </c>
      <c r="C227" s="34"/>
      <c r="D227" s="34" t="s">
        <v>339</v>
      </c>
      <c r="E227" s="34" t="s">
        <v>160</v>
      </c>
      <c r="F227" s="34" t="s">
        <v>161</v>
      </c>
      <c r="G227" s="34" t="s">
        <v>162</v>
      </c>
      <c r="H227" s="34" t="s">
        <v>163</v>
      </c>
      <c r="I227">
        <v>8</v>
      </c>
      <c r="J227">
        <v>0</v>
      </c>
      <c r="K227">
        <v>8</v>
      </c>
      <c r="L227">
        <v>0</v>
      </c>
      <c r="O227" s="28">
        <v>46277</v>
      </c>
      <c r="R227">
        <v>-1</v>
      </c>
      <c r="S227">
        <v>10</v>
      </c>
      <c r="T227">
        <v>13</v>
      </c>
      <c r="U227">
        <v>10</v>
      </c>
      <c r="V227">
        <v>20260913010</v>
      </c>
    </row>
    <row r="228" spans="1:22" x14ac:dyDescent="0.2">
      <c r="A228" s="34" t="s">
        <v>122</v>
      </c>
      <c r="B228" s="28">
        <v>46278</v>
      </c>
      <c r="C228" s="34"/>
      <c r="D228" s="34" t="s">
        <v>339</v>
      </c>
      <c r="E228" s="34" t="s">
        <v>164</v>
      </c>
      <c r="F228" s="34" t="s">
        <v>165</v>
      </c>
      <c r="G228" s="34" t="s">
        <v>166</v>
      </c>
      <c r="H228" s="34" t="s">
        <v>167</v>
      </c>
      <c r="I228">
        <v>37</v>
      </c>
      <c r="J228">
        <v>0</v>
      </c>
      <c r="K228">
        <v>24</v>
      </c>
      <c r="L228">
        <v>13</v>
      </c>
      <c r="O228" s="28">
        <v>46277</v>
      </c>
      <c r="R228">
        <v>-1</v>
      </c>
      <c r="S228">
        <v>11</v>
      </c>
      <c r="T228">
        <v>13</v>
      </c>
      <c r="U228">
        <v>11</v>
      </c>
      <c r="V228">
        <v>20260913011</v>
      </c>
    </row>
    <row r="229" spans="1:22" x14ac:dyDescent="0.2">
      <c r="A229" s="34" t="s">
        <v>122</v>
      </c>
      <c r="B229" s="28">
        <v>46278</v>
      </c>
      <c r="C229" s="34"/>
      <c r="D229" s="34" t="s">
        <v>339</v>
      </c>
      <c r="E229" s="34" t="s">
        <v>168</v>
      </c>
      <c r="F229" s="34" t="s">
        <v>169</v>
      </c>
      <c r="G229" s="34" t="s">
        <v>170</v>
      </c>
      <c r="H229" s="34" t="s">
        <v>171</v>
      </c>
      <c r="I229">
        <v>15</v>
      </c>
      <c r="J229">
        <v>0</v>
      </c>
      <c r="K229">
        <v>15</v>
      </c>
      <c r="L229">
        <v>0</v>
      </c>
      <c r="O229" s="28">
        <v>46277</v>
      </c>
      <c r="R229">
        <v>-1</v>
      </c>
      <c r="S229">
        <v>12</v>
      </c>
      <c r="T229">
        <v>13</v>
      </c>
      <c r="U229">
        <v>12</v>
      </c>
      <c r="V229">
        <v>20260913012</v>
      </c>
    </row>
    <row r="230" spans="1:22" x14ac:dyDescent="0.2">
      <c r="A230" s="34" t="s">
        <v>122</v>
      </c>
      <c r="B230" s="28">
        <v>46278</v>
      </c>
      <c r="C230" s="34"/>
      <c r="D230" s="34" t="s">
        <v>339</v>
      </c>
      <c r="E230" s="34" t="s">
        <v>172</v>
      </c>
      <c r="F230" s="34" t="s">
        <v>173</v>
      </c>
      <c r="G230" s="34" t="s">
        <v>174</v>
      </c>
      <c r="H230" s="34" t="s">
        <v>175</v>
      </c>
      <c r="I230">
        <v>18</v>
      </c>
      <c r="J230">
        <v>0</v>
      </c>
      <c r="K230">
        <v>18</v>
      </c>
      <c r="L230">
        <v>0</v>
      </c>
      <c r="O230" s="28">
        <v>46277</v>
      </c>
      <c r="R230">
        <v>-1</v>
      </c>
      <c r="S230">
        <v>13</v>
      </c>
      <c r="T230">
        <v>13</v>
      </c>
      <c r="U230">
        <v>13</v>
      </c>
      <c r="V230">
        <v>20260913013</v>
      </c>
    </row>
    <row r="231" spans="1:22" x14ac:dyDescent="0.2">
      <c r="A231" s="34" t="s">
        <v>122</v>
      </c>
      <c r="B231" s="28">
        <v>46278</v>
      </c>
      <c r="C231" s="34"/>
      <c r="D231" s="34" t="s">
        <v>339</v>
      </c>
      <c r="E231" s="34" t="s">
        <v>176</v>
      </c>
      <c r="F231" s="34" t="s">
        <v>177</v>
      </c>
      <c r="G231" s="34" t="s">
        <v>178</v>
      </c>
      <c r="H231" s="34" t="s">
        <v>179</v>
      </c>
      <c r="I231">
        <v>24</v>
      </c>
      <c r="J231">
        <v>0</v>
      </c>
      <c r="K231">
        <v>24</v>
      </c>
      <c r="L231">
        <v>0</v>
      </c>
      <c r="O231" s="28">
        <v>46277</v>
      </c>
      <c r="R231">
        <v>-1</v>
      </c>
      <c r="S231">
        <v>14</v>
      </c>
      <c r="T231">
        <v>13</v>
      </c>
      <c r="U231">
        <v>14</v>
      </c>
      <c r="V231">
        <v>20260913014</v>
      </c>
    </row>
    <row r="232" spans="1:22" x14ac:dyDescent="0.2">
      <c r="A232" s="34" t="s">
        <v>122</v>
      </c>
      <c r="B232" s="28">
        <v>46278</v>
      </c>
      <c r="C232" s="34"/>
      <c r="D232" s="34" t="s">
        <v>339</v>
      </c>
      <c r="E232" s="34" t="s">
        <v>180</v>
      </c>
      <c r="F232" s="34" t="s">
        <v>181</v>
      </c>
      <c r="G232" s="34" t="s">
        <v>182</v>
      </c>
      <c r="H232" s="34" t="s">
        <v>183</v>
      </c>
      <c r="I232">
        <v>12</v>
      </c>
      <c r="J232">
        <v>0</v>
      </c>
      <c r="K232">
        <v>12</v>
      </c>
      <c r="L232">
        <v>0</v>
      </c>
      <c r="O232" s="28">
        <v>46277</v>
      </c>
      <c r="R232">
        <v>-1</v>
      </c>
      <c r="S232">
        <v>15</v>
      </c>
      <c r="T232">
        <v>13</v>
      </c>
      <c r="U232">
        <v>15</v>
      </c>
      <c r="V232">
        <v>20260913015</v>
      </c>
    </row>
    <row r="233" spans="1:22" x14ac:dyDescent="0.2">
      <c r="A233" s="34" t="s">
        <v>122</v>
      </c>
      <c r="B233" s="28">
        <v>46278</v>
      </c>
      <c r="C233" s="34"/>
      <c r="D233" s="34" t="s">
        <v>339</v>
      </c>
      <c r="E233" s="34" t="s">
        <v>184</v>
      </c>
      <c r="F233" s="34" t="s">
        <v>185</v>
      </c>
      <c r="G233" s="34" t="s">
        <v>186</v>
      </c>
      <c r="H233" s="34" t="s">
        <v>187</v>
      </c>
      <c r="I233">
        <v>15</v>
      </c>
      <c r="J233">
        <v>0</v>
      </c>
      <c r="K233">
        <v>15</v>
      </c>
      <c r="L233">
        <v>0</v>
      </c>
      <c r="O233" s="28">
        <v>46277</v>
      </c>
      <c r="R233">
        <v>-1</v>
      </c>
      <c r="S233">
        <v>16</v>
      </c>
      <c r="T233">
        <v>13</v>
      </c>
      <c r="U233">
        <v>16</v>
      </c>
      <c r="V233">
        <v>20260913016</v>
      </c>
    </row>
    <row r="234" spans="1:22" x14ac:dyDescent="0.2">
      <c r="A234" s="34" t="s">
        <v>122</v>
      </c>
      <c r="B234" s="28">
        <v>46278</v>
      </c>
      <c r="C234" s="34"/>
      <c r="D234" s="34" t="s">
        <v>339</v>
      </c>
      <c r="E234" s="34" t="s">
        <v>188</v>
      </c>
      <c r="F234" s="34" t="s">
        <v>189</v>
      </c>
      <c r="G234" s="34" t="s">
        <v>190</v>
      </c>
      <c r="H234" s="34" t="s">
        <v>191</v>
      </c>
      <c r="I234">
        <v>7</v>
      </c>
      <c r="J234">
        <v>0</v>
      </c>
      <c r="K234">
        <v>7</v>
      </c>
      <c r="L234">
        <v>0</v>
      </c>
      <c r="O234" s="28">
        <v>46277</v>
      </c>
      <c r="R234">
        <v>-1</v>
      </c>
      <c r="S234">
        <v>17</v>
      </c>
      <c r="T234">
        <v>13</v>
      </c>
      <c r="U234">
        <v>21</v>
      </c>
      <c r="V234">
        <v>20260913017</v>
      </c>
    </row>
    <row r="235" spans="1:22" x14ac:dyDescent="0.2">
      <c r="A235" s="34" t="s">
        <v>122</v>
      </c>
      <c r="B235" s="28">
        <v>46278</v>
      </c>
      <c r="C235" s="34"/>
      <c r="D235" s="34" t="s">
        <v>339</v>
      </c>
      <c r="E235" s="34" t="s">
        <v>192</v>
      </c>
      <c r="F235" s="34" t="s">
        <v>193</v>
      </c>
      <c r="G235" s="34" t="s">
        <v>194</v>
      </c>
      <c r="H235" s="34" t="s">
        <v>195</v>
      </c>
      <c r="I235">
        <v>4</v>
      </c>
      <c r="J235">
        <v>0</v>
      </c>
      <c r="K235">
        <v>4</v>
      </c>
      <c r="L235">
        <v>0</v>
      </c>
      <c r="O235" s="28">
        <v>46277</v>
      </c>
      <c r="R235">
        <v>-1</v>
      </c>
      <c r="S235">
        <v>18</v>
      </c>
      <c r="T235">
        <v>13</v>
      </c>
      <c r="U235">
        <v>22</v>
      </c>
      <c r="V235">
        <v>20260913018</v>
      </c>
    </row>
    <row r="236" spans="1:22" x14ac:dyDescent="0.2">
      <c r="A236" s="34" t="s">
        <v>122</v>
      </c>
      <c r="B236" s="28">
        <v>46278</v>
      </c>
      <c r="C236" s="34"/>
      <c r="D236" s="34" t="s">
        <v>339</v>
      </c>
      <c r="E236" s="34" t="s">
        <v>196</v>
      </c>
      <c r="F236" s="34" t="s">
        <v>197</v>
      </c>
      <c r="G236" s="34" t="s">
        <v>198</v>
      </c>
      <c r="H236" s="34" t="s">
        <v>199</v>
      </c>
      <c r="I236">
        <v>6</v>
      </c>
      <c r="J236">
        <v>0</v>
      </c>
      <c r="K236">
        <v>5</v>
      </c>
      <c r="L236">
        <v>1</v>
      </c>
      <c r="O236" s="28">
        <v>46277</v>
      </c>
      <c r="R236">
        <v>-1</v>
      </c>
      <c r="S236">
        <v>19</v>
      </c>
      <c r="T236">
        <v>13</v>
      </c>
      <c r="U236">
        <v>23</v>
      </c>
      <c r="V236">
        <v>20260913019</v>
      </c>
    </row>
    <row r="237" spans="1:22" x14ac:dyDescent="0.2">
      <c r="A237" s="34" t="s">
        <v>122</v>
      </c>
      <c r="B237" s="28">
        <v>46278</v>
      </c>
      <c r="C237" s="34"/>
      <c r="D237" s="34" t="s">
        <v>339</v>
      </c>
      <c r="E237" s="34" t="s">
        <v>200</v>
      </c>
      <c r="F237" s="34" t="s">
        <v>201</v>
      </c>
      <c r="G237" s="34" t="s">
        <v>202</v>
      </c>
      <c r="H237" s="34" t="s">
        <v>203</v>
      </c>
      <c r="I237">
        <v>28</v>
      </c>
      <c r="J237">
        <v>0</v>
      </c>
      <c r="K237">
        <v>24</v>
      </c>
      <c r="L237">
        <v>4</v>
      </c>
      <c r="O237" s="28">
        <v>46277</v>
      </c>
      <c r="R237">
        <v>-1</v>
      </c>
      <c r="S237">
        <v>20</v>
      </c>
      <c r="T237">
        <v>13</v>
      </c>
      <c r="U237">
        <v>24</v>
      </c>
      <c r="V237">
        <v>20260913020</v>
      </c>
    </row>
    <row r="238" spans="1:22" x14ac:dyDescent="0.2">
      <c r="A238" s="34" t="s">
        <v>122</v>
      </c>
      <c r="B238" s="28">
        <v>46278</v>
      </c>
      <c r="C238" s="34"/>
      <c r="D238" s="34" t="s">
        <v>339</v>
      </c>
      <c r="E238" s="34" t="s">
        <v>204</v>
      </c>
      <c r="F238" s="34" t="s">
        <v>205</v>
      </c>
      <c r="G238" s="34" t="s">
        <v>206</v>
      </c>
      <c r="H238" s="34" t="s">
        <v>207</v>
      </c>
      <c r="I238">
        <v>13</v>
      </c>
      <c r="J238">
        <v>0</v>
      </c>
      <c r="K238">
        <v>12</v>
      </c>
      <c r="L238">
        <v>1</v>
      </c>
      <c r="O238" s="28">
        <v>46277</v>
      </c>
      <c r="R238">
        <v>-1</v>
      </c>
      <c r="S238">
        <v>21</v>
      </c>
      <c r="T238">
        <v>13</v>
      </c>
      <c r="U238">
        <v>25</v>
      </c>
      <c r="V238">
        <v>20260913021</v>
      </c>
    </row>
    <row r="239" spans="1:22" x14ac:dyDescent="0.2">
      <c r="A239" s="34" t="s">
        <v>122</v>
      </c>
      <c r="B239" s="28">
        <v>46278</v>
      </c>
      <c r="C239" s="34"/>
      <c r="D239" s="34" t="s">
        <v>339</v>
      </c>
      <c r="E239" s="34" t="s">
        <v>208</v>
      </c>
      <c r="F239" s="34" t="s">
        <v>209</v>
      </c>
      <c r="G239" s="34" t="s">
        <v>210</v>
      </c>
      <c r="H239" s="34" t="s">
        <v>211</v>
      </c>
      <c r="I239">
        <v>12</v>
      </c>
      <c r="J239">
        <v>0</v>
      </c>
      <c r="K239">
        <v>7</v>
      </c>
      <c r="L239">
        <v>5</v>
      </c>
      <c r="O239" s="28">
        <v>46277</v>
      </c>
      <c r="R239">
        <v>-1</v>
      </c>
      <c r="S239">
        <v>22</v>
      </c>
      <c r="T239">
        <v>13</v>
      </c>
      <c r="U239">
        <v>26</v>
      </c>
      <c r="V239">
        <v>20260913022</v>
      </c>
    </row>
    <row r="240" spans="1:22" x14ac:dyDescent="0.2">
      <c r="A240" s="34" t="s">
        <v>122</v>
      </c>
      <c r="B240" s="28">
        <v>46278</v>
      </c>
      <c r="C240" s="34"/>
      <c r="D240" s="34" t="s">
        <v>339</v>
      </c>
      <c r="E240" s="34" t="s">
        <v>212</v>
      </c>
      <c r="F240" s="34" t="s">
        <v>213</v>
      </c>
      <c r="G240" s="34" t="s">
        <v>214</v>
      </c>
      <c r="H240" s="34" t="s">
        <v>215</v>
      </c>
      <c r="I240">
        <v>2</v>
      </c>
      <c r="J240">
        <v>0</v>
      </c>
      <c r="K240">
        <v>10</v>
      </c>
      <c r="L240">
        <v>-8</v>
      </c>
      <c r="O240" s="28">
        <v>46277</v>
      </c>
      <c r="R240">
        <v>-1</v>
      </c>
      <c r="S240">
        <v>23</v>
      </c>
      <c r="T240">
        <v>13</v>
      </c>
      <c r="U240">
        <v>27</v>
      </c>
      <c r="V240">
        <v>20260913023</v>
      </c>
    </row>
    <row r="241" spans="1:22" x14ac:dyDescent="0.2">
      <c r="A241" s="34" t="s">
        <v>122</v>
      </c>
      <c r="B241" s="28">
        <v>46278</v>
      </c>
      <c r="C241" s="34"/>
      <c r="D241" s="34" t="s">
        <v>339</v>
      </c>
      <c r="E241" s="34" t="s">
        <v>216</v>
      </c>
      <c r="F241" s="34" t="s">
        <v>217</v>
      </c>
      <c r="G241" s="34" t="s">
        <v>218</v>
      </c>
      <c r="H241" s="34" t="s">
        <v>219</v>
      </c>
      <c r="I241">
        <v>10</v>
      </c>
      <c r="J241">
        <v>0</v>
      </c>
      <c r="K241">
        <v>9</v>
      </c>
      <c r="L241">
        <v>1</v>
      </c>
      <c r="O241" s="28">
        <v>46277</v>
      </c>
      <c r="R241">
        <v>-1</v>
      </c>
      <c r="S241">
        <v>24</v>
      </c>
      <c r="T241">
        <v>13</v>
      </c>
      <c r="U241">
        <v>28</v>
      </c>
      <c r="V241">
        <v>20260913024</v>
      </c>
    </row>
    <row r="242" spans="1:22" x14ac:dyDescent="0.2">
      <c r="A242" s="34" t="s">
        <v>122</v>
      </c>
      <c r="B242" s="28">
        <v>46278</v>
      </c>
      <c r="C242" s="34"/>
      <c r="D242" s="34" t="s">
        <v>339</v>
      </c>
      <c r="E242" s="34" t="s">
        <v>220</v>
      </c>
      <c r="F242" s="34" t="s">
        <v>221</v>
      </c>
      <c r="G242" s="34" t="s">
        <v>222</v>
      </c>
      <c r="H242" s="34" t="s">
        <v>223</v>
      </c>
      <c r="I242">
        <v>13</v>
      </c>
      <c r="J242">
        <v>0</v>
      </c>
      <c r="K242">
        <v>13</v>
      </c>
      <c r="L242">
        <v>0</v>
      </c>
      <c r="O242" s="28">
        <v>46277</v>
      </c>
      <c r="R242">
        <v>-1</v>
      </c>
      <c r="S242">
        <v>25</v>
      </c>
      <c r="T242">
        <v>13</v>
      </c>
      <c r="U242">
        <v>29</v>
      </c>
      <c r="V242">
        <v>20260913025</v>
      </c>
    </row>
    <row r="243" spans="1:22" x14ac:dyDescent="0.2">
      <c r="A243" s="34" t="s">
        <v>122</v>
      </c>
      <c r="B243" s="28">
        <v>46278</v>
      </c>
      <c r="C243" s="34"/>
      <c r="D243" s="34" t="s">
        <v>339</v>
      </c>
      <c r="E243" s="34" t="s">
        <v>224</v>
      </c>
      <c r="F243" s="34" t="s">
        <v>225</v>
      </c>
      <c r="G243" s="34" t="s">
        <v>226</v>
      </c>
      <c r="H243" s="34" t="s">
        <v>227</v>
      </c>
      <c r="I243">
        <v>7</v>
      </c>
      <c r="J243">
        <v>0</v>
      </c>
      <c r="K243">
        <v>6</v>
      </c>
      <c r="L243">
        <v>1</v>
      </c>
      <c r="O243" s="28">
        <v>46277</v>
      </c>
      <c r="R243">
        <v>-1</v>
      </c>
      <c r="S243">
        <v>26</v>
      </c>
      <c r="T243">
        <v>13</v>
      </c>
      <c r="U243">
        <v>30</v>
      </c>
      <c r="V243">
        <v>20260913026</v>
      </c>
    </row>
    <row r="244" spans="1:22" x14ac:dyDescent="0.2">
      <c r="A244" s="34" t="s">
        <v>122</v>
      </c>
      <c r="B244" s="28">
        <v>46278</v>
      </c>
      <c r="C244" s="34"/>
      <c r="D244" s="34" t="s">
        <v>339</v>
      </c>
      <c r="E244" s="34" t="s">
        <v>228</v>
      </c>
      <c r="F244" s="34" t="s">
        <v>229</v>
      </c>
      <c r="G244" s="34" t="s">
        <v>230</v>
      </c>
      <c r="H244" s="34" t="s">
        <v>231</v>
      </c>
      <c r="I244">
        <v>8</v>
      </c>
      <c r="J244">
        <v>0</v>
      </c>
      <c r="K244">
        <v>12</v>
      </c>
      <c r="L244">
        <v>-4</v>
      </c>
      <c r="O244" s="28">
        <v>46277</v>
      </c>
      <c r="R244">
        <v>-1</v>
      </c>
      <c r="S244">
        <v>27</v>
      </c>
      <c r="T244">
        <v>13</v>
      </c>
      <c r="U244">
        <v>31</v>
      </c>
      <c r="V244">
        <v>20260913027</v>
      </c>
    </row>
    <row r="245" spans="1:22" x14ac:dyDescent="0.2">
      <c r="A245" s="34" t="s">
        <v>122</v>
      </c>
      <c r="B245" s="28">
        <v>46278</v>
      </c>
      <c r="C245" s="34"/>
      <c r="D245" s="34" t="s">
        <v>339</v>
      </c>
      <c r="E245" s="34" t="s">
        <v>232</v>
      </c>
      <c r="F245" s="34" t="s">
        <v>233</v>
      </c>
      <c r="G245" s="34" t="s">
        <v>234</v>
      </c>
      <c r="H245" s="34" t="s">
        <v>235</v>
      </c>
      <c r="I245">
        <v>2</v>
      </c>
      <c r="J245">
        <v>0</v>
      </c>
      <c r="K245">
        <v>12</v>
      </c>
      <c r="L245">
        <v>-10</v>
      </c>
      <c r="O245" s="28">
        <v>46277</v>
      </c>
      <c r="R245">
        <v>-1</v>
      </c>
      <c r="S245">
        <v>28</v>
      </c>
      <c r="T245">
        <v>13</v>
      </c>
      <c r="U245">
        <v>32</v>
      </c>
      <c r="V245">
        <v>20260913028</v>
      </c>
    </row>
    <row r="246" spans="1:22" x14ac:dyDescent="0.2">
      <c r="A246" s="34" t="s">
        <v>122</v>
      </c>
      <c r="B246" s="28">
        <v>46278</v>
      </c>
      <c r="C246" s="34"/>
      <c r="D246" s="34" t="s">
        <v>339</v>
      </c>
      <c r="E246" s="34" t="s">
        <v>236</v>
      </c>
      <c r="F246" s="34" t="s">
        <v>237</v>
      </c>
      <c r="G246" s="34" t="s">
        <v>238</v>
      </c>
      <c r="H246" s="34" t="s">
        <v>239</v>
      </c>
      <c r="I246">
        <v>9</v>
      </c>
      <c r="J246">
        <v>0</v>
      </c>
      <c r="K246">
        <v>9</v>
      </c>
      <c r="L246">
        <v>0</v>
      </c>
      <c r="O246" s="28">
        <v>46277</v>
      </c>
      <c r="R246">
        <v>-1</v>
      </c>
      <c r="S246">
        <v>29</v>
      </c>
      <c r="T246">
        <v>13</v>
      </c>
      <c r="U246">
        <v>33</v>
      </c>
      <c r="V246">
        <v>20260913029</v>
      </c>
    </row>
    <row r="247" spans="1:22" x14ac:dyDescent="0.2">
      <c r="A247" s="34" t="s">
        <v>122</v>
      </c>
      <c r="B247" s="28">
        <v>46278</v>
      </c>
      <c r="C247" s="34"/>
      <c r="D247" s="34" t="s">
        <v>339</v>
      </c>
      <c r="E247" s="34" t="s">
        <v>240</v>
      </c>
      <c r="F247" s="34" t="s">
        <v>241</v>
      </c>
      <c r="G247" s="34" t="s">
        <v>242</v>
      </c>
      <c r="H247" s="34" t="s">
        <v>243</v>
      </c>
      <c r="I247">
        <v>12</v>
      </c>
      <c r="J247">
        <v>0</v>
      </c>
      <c r="K247">
        <v>9</v>
      </c>
      <c r="L247">
        <v>3</v>
      </c>
      <c r="O247" s="28">
        <v>46277</v>
      </c>
      <c r="R247">
        <v>-1</v>
      </c>
      <c r="S247">
        <v>30</v>
      </c>
      <c r="T247">
        <v>13</v>
      </c>
      <c r="U247">
        <v>34</v>
      </c>
      <c r="V247">
        <v>20260913030</v>
      </c>
    </row>
    <row r="248" spans="1:22" x14ac:dyDescent="0.2">
      <c r="A248" s="34" t="s">
        <v>122</v>
      </c>
      <c r="B248" s="28">
        <v>46278</v>
      </c>
      <c r="C248" s="34"/>
      <c r="D248" s="34" t="s">
        <v>339</v>
      </c>
      <c r="E248" s="34" t="s">
        <v>244</v>
      </c>
      <c r="F248" s="34" t="s">
        <v>245</v>
      </c>
      <c r="G248" s="34" t="s">
        <v>246</v>
      </c>
      <c r="H248" s="34" t="s">
        <v>247</v>
      </c>
      <c r="I248">
        <v>5</v>
      </c>
      <c r="J248">
        <v>0</v>
      </c>
      <c r="K248">
        <v>5</v>
      </c>
      <c r="L248">
        <v>0</v>
      </c>
      <c r="O248" s="28">
        <v>46277</v>
      </c>
      <c r="R248">
        <v>-1</v>
      </c>
      <c r="S248">
        <v>31</v>
      </c>
      <c r="T248">
        <v>13</v>
      </c>
      <c r="U248">
        <v>35</v>
      </c>
      <c r="V248">
        <v>20260913031</v>
      </c>
    </row>
    <row r="249" spans="1:22" x14ac:dyDescent="0.2">
      <c r="A249" s="34" t="s">
        <v>122</v>
      </c>
      <c r="B249" s="28">
        <v>46278</v>
      </c>
      <c r="C249" s="34"/>
      <c r="D249" s="34" t="s">
        <v>339</v>
      </c>
      <c r="E249" s="34" t="s">
        <v>248</v>
      </c>
      <c r="F249" s="34" t="s">
        <v>249</v>
      </c>
      <c r="G249" s="34" t="s">
        <v>250</v>
      </c>
      <c r="H249" s="34" t="s">
        <v>251</v>
      </c>
      <c r="I249">
        <v>4</v>
      </c>
      <c r="J249">
        <v>0</v>
      </c>
      <c r="K249">
        <v>4</v>
      </c>
      <c r="L249">
        <v>0</v>
      </c>
      <c r="O249" s="28">
        <v>46277</v>
      </c>
      <c r="R249">
        <v>-1</v>
      </c>
      <c r="S249">
        <v>32</v>
      </c>
      <c r="T249">
        <v>13</v>
      </c>
      <c r="U249">
        <v>36</v>
      </c>
      <c r="V249">
        <v>20260913032</v>
      </c>
    </row>
    <row r="250" spans="1:22" x14ac:dyDescent="0.2">
      <c r="A250" s="34" t="s">
        <v>122</v>
      </c>
      <c r="B250" s="28">
        <v>46278</v>
      </c>
      <c r="C250" s="34"/>
      <c r="D250" s="34" t="s">
        <v>339</v>
      </c>
      <c r="E250" s="34" t="s">
        <v>252</v>
      </c>
      <c r="F250" s="34" t="s">
        <v>253</v>
      </c>
      <c r="G250" s="34" t="s">
        <v>254</v>
      </c>
      <c r="H250" s="34" t="s">
        <v>255</v>
      </c>
      <c r="I250">
        <v>16</v>
      </c>
      <c r="J250">
        <v>0</v>
      </c>
      <c r="K250">
        <v>17</v>
      </c>
      <c r="L250">
        <v>-1</v>
      </c>
      <c r="O250" s="28">
        <v>46277</v>
      </c>
      <c r="R250">
        <v>-1</v>
      </c>
      <c r="S250">
        <v>33</v>
      </c>
      <c r="T250">
        <v>13</v>
      </c>
      <c r="U250">
        <v>37</v>
      </c>
      <c r="V250">
        <v>20260913033</v>
      </c>
    </row>
    <row r="251" spans="1:22" x14ac:dyDescent="0.2">
      <c r="A251" s="34" t="s">
        <v>122</v>
      </c>
      <c r="B251" s="28">
        <v>46278</v>
      </c>
      <c r="C251" s="34"/>
      <c r="D251" s="34" t="s">
        <v>339</v>
      </c>
      <c r="E251" s="34" t="s">
        <v>256</v>
      </c>
      <c r="F251" s="34" t="s">
        <v>257</v>
      </c>
      <c r="G251" s="34" t="s">
        <v>258</v>
      </c>
      <c r="H251" s="34" t="s">
        <v>259</v>
      </c>
      <c r="I251">
        <v>4</v>
      </c>
      <c r="J251">
        <v>0</v>
      </c>
      <c r="K251">
        <v>4</v>
      </c>
      <c r="L251">
        <v>0</v>
      </c>
      <c r="O251" s="28">
        <v>46277</v>
      </c>
      <c r="R251">
        <v>-1</v>
      </c>
      <c r="S251">
        <v>34</v>
      </c>
      <c r="T251">
        <v>13</v>
      </c>
      <c r="U251">
        <v>38</v>
      </c>
      <c r="V251">
        <v>20260913034</v>
      </c>
    </row>
    <row r="252" spans="1:22" x14ac:dyDescent="0.2">
      <c r="A252" s="34" t="s">
        <v>122</v>
      </c>
      <c r="B252" s="28">
        <v>46278</v>
      </c>
      <c r="C252" s="34"/>
      <c r="D252" s="34" t="s">
        <v>339</v>
      </c>
      <c r="E252" s="34" t="s">
        <v>260</v>
      </c>
      <c r="F252" s="34" t="s">
        <v>261</v>
      </c>
      <c r="G252" s="34" t="s">
        <v>262</v>
      </c>
      <c r="H252" s="34" t="s">
        <v>263</v>
      </c>
      <c r="I252">
        <v>5</v>
      </c>
      <c r="J252">
        <v>0</v>
      </c>
      <c r="K252">
        <v>5</v>
      </c>
      <c r="L252">
        <v>0</v>
      </c>
      <c r="O252" s="28">
        <v>46277</v>
      </c>
      <c r="R252">
        <v>-1</v>
      </c>
      <c r="S252">
        <v>35</v>
      </c>
      <c r="T252">
        <v>13</v>
      </c>
      <c r="U252">
        <v>39</v>
      </c>
      <c r="V252">
        <v>20260913035</v>
      </c>
    </row>
    <row r="253" spans="1:22" x14ac:dyDescent="0.2">
      <c r="A253" s="34" t="s">
        <v>122</v>
      </c>
      <c r="B253" s="28">
        <v>46278</v>
      </c>
      <c r="C253" s="34"/>
      <c r="D253" s="34" t="s">
        <v>339</v>
      </c>
      <c r="E253" s="34" t="s">
        <v>264</v>
      </c>
      <c r="F253" s="34" t="s">
        <v>265</v>
      </c>
      <c r="G253" s="34" t="s">
        <v>266</v>
      </c>
      <c r="H253" s="34" t="s">
        <v>267</v>
      </c>
      <c r="I253">
        <v>7</v>
      </c>
      <c r="J253">
        <v>0</v>
      </c>
      <c r="K253">
        <v>7</v>
      </c>
      <c r="L253">
        <v>0</v>
      </c>
      <c r="O253" s="28">
        <v>46277</v>
      </c>
      <c r="R253">
        <v>-1</v>
      </c>
      <c r="S253">
        <v>36</v>
      </c>
      <c r="T253">
        <v>13</v>
      </c>
      <c r="U253">
        <v>40</v>
      </c>
      <c r="V253">
        <v>20260913036</v>
      </c>
    </row>
    <row r="254" spans="1:22" x14ac:dyDescent="0.2">
      <c r="A254" s="34" t="s">
        <v>122</v>
      </c>
      <c r="B254" s="28">
        <v>46278</v>
      </c>
      <c r="C254" s="34"/>
      <c r="D254" s="34" t="s">
        <v>339</v>
      </c>
      <c r="E254" s="34" t="s">
        <v>268</v>
      </c>
      <c r="F254" s="34" t="s">
        <v>269</v>
      </c>
      <c r="G254" s="34" t="s">
        <v>270</v>
      </c>
      <c r="H254" s="34" t="s">
        <v>271</v>
      </c>
      <c r="I254">
        <v>4</v>
      </c>
      <c r="J254">
        <v>0</v>
      </c>
      <c r="K254">
        <v>4</v>
      </c>
      <c r="L254">
        <v>0</v>
      </c>
      <c r="O254" s="28">
        <v>46277</v>
      </c>
      <c r="R254">
        <v>-1</v>
      </c>
      <c r="S254">
        <v>37</v>
      </c>
      <c r="T254">
        <v>13</v>
      </c>
      <c r="U254">
        <v>41</v>
      </c>
      <c r="V254">
        <v>20260913037</v>
      </c>
    </row>
    <row r="255" spans="1:22" x14ac:dyDescent="0.2">
      <c r="A255" s="34" t="s">
        <v>122</v>
      </c>
      <c r="B255" s="28">
        <v>46278</v>
      </c>
      <c r="C255" s="34"/>
      <c r="D255" s="34" t="s">
        <v>339</v>
      </c>
      <c r="E255" s="34" t="s">
        <v>272</v>
      </c>
      <c r="F255" s="34" t="s">
        <v>341</v>
      </c>
      <c r="G255" s="34" t="s">
        <v>273</v>
      </c>
      <c r="H255" s="34" t="s">
        <v>274</v>
      </c>
      <c r="I255">
        <v>9</v>
      </c>
      <c r="J255">
        <v>0</v>
      </c>
      <c r="K255">
        <v>3</v>
      </c>
      <c r="L255">
        <v>6</v>
      </c>
      <c r="O255" s="28">
        <v>46277</v>
      </c>
      <c r="R255">
        <v>-1</v>
      </c>
      <c r="S255">
        <v>38</v>
      </c>
      <c r="T255">
        <v>13</v>
      </c>
      <c r="U255">
        <v>42</v>
      </c>
      <c r="V255">
        <v>20260913038</v>
      </c>
    </row>
    <row r="256" spans="1:22" x14ac:dyDescent="0.2">
      <c r="A256" s="34" t="s">
        <v>122</v>
      </c>
      <c r="B256" s="28">
        <v>46278</v>
      </c>
      <c r="C256" s="34"/>
      <c r="D256" s="34" t="s">
        <v>339</v>
      </c>
      <c r="E256" s="34" t="s">
        <v>275</v>
      </c>
      <c r="F256" s="34" t="s">
        <v>276</v>
      </c>
      <c r="G256" s="34" t="s">
        <v>277</v>
      </c>
      <c r="H256" s="34" t="s">
        <v>278</v>
      </c>
      <c r="I256">
        <v>3</v>
      </c>
      <c r="J256">
        <v>0</v>
      </c>
      <c r="K256">
        <v>6</v>
      </c>
      <c r="L256">
        <v>-3</v>
      </c>
      <c r="O256" s="28">
        <v>46277</v>
      </c>
      <c r="R256">
        <v>-1</v>
      </c>
      <c r="S256">
        <v>39</v>
      </c>
      <c r="T256">
        <v>13</v>
      </c>
      <c r="U256">
        <v>43</v>
      </c>
      <c r="V256">
        <v>20260913039</v>
      </c>
    </row>
    <row r="257" spans="1:22" x14ac:dyDescent="0.2">
      <c r="A257" s="34" t="s">
        <v>122</v>
      </c>
      <c r="B257" s="28">
        <v>46278</v>
      </c>
      <c r="C257" s="34"/>
      <c r="D257" s="34" t="s">
        <v>339</v>
      </c>
      <c r="E257" s="34" t="s">
        <v>279</v>
      </c>
      <c r="F257" s="34" t="s">
        <v>280</v>
      </c>
      <c r="G257" s="34" t="s">
        <v>281</v>
      </c>
      <c r="H257" s="34" t="s">
        <v>282</v>
      </c>
      <c r="I257">
        <v>6</v>
      </c>
      <c r="J257">
        <v>0</v>
      </c>
      <c r="K257">
        <v>6</v>
      </c>
      <c r="L257">
        <v>0</v>
      </c>
      <c r="O257" s="28">
        <v>46277</v>
      </c>
      <c r="R257">
        <v>-1</v>
      </c>
      <c r="S257">
        <v>40</v>
      </c>
      <c r="T257">
        <v>13</v>
      </c>
      <c r="U257">
        <v>44</v>
      </c>
      <c r="V257">
        <v>20260913040</v>
      </c>
    </row>
    <row r="258" spans="1:22" x14ac:dyDescent="0.2">
      <c r="A258" s="34" t="s">
        <v>122</v>
      </c>
      <c r="B258" s="28">
        <v>46278</v>
      </c>
      <c r="C258" s="34"/>
      <c r="D258" s="34" t="s">
        <v>339</v>
      </c>
      <c r="E258" s="34" t="s">
        <v>283</v>
      </c>
      <c r="F258" s="34" t="s">
        <v>284</v>
      </c>
      <c r="G258" s="34" t="s">
        <v>285</v>
      </c>
      <c r="H258" s="34" t="s">
        <v>286</v>
      </c>
      <c r="I258">
        <v>13</v>
      </c>
      <c r="J258">
        <v>0</v>
      </c>
      <c r="K258">
        <v>13</v>
      </c>
      <c r="L258">
        <v>0</v>
      </c>
      <c r="O258" s="28">
        <v>46277</v>
      </c>
      <c r="R258">
        <v>-1</v>
      </c>
      <c r="S258">
        <v>41</v>
      </c>
      <c r="T258">
        <v>13</v>
      </c>
      <c r="U258">
        <v>45</v>
      </c>
      <c r="V258">
        <v>20260913041</v>
      </c>
    </row>
    <row r="259" spans="1:22" x14ac:dyDescent="0.2">
      <c r="A259" s="34" t="s">
        <v>122</v>
      </c>
      <c r="B259" s="28">
        <v>46278</v>
      </c>
      <c r="C259" s="34"/>
      <c r="D259" s="34" t="s">
        <v>339</v>
      </c>
      <c r="E259" s="34" t="s">
        <v>287</v>
      </c>
      <c r="F259" s="34" t="s">
        <v>288</v>
      </c>
      <c r="G259" s="34" t="s">
        <v>289</v>
      </c>
      <c r="H259" s="34" t="s">
        <v>290</v>
      </c>
      <c r="I259">
        <v>35</v>
      </c>
      <c r="J259">
        <v>0</v>
      </c>
      <c r="K259">
        <v>26</v>
      </c>
      <c r="L259">
        <v>9</v>
      </c>
      <c r="O259" s="28">
        <v>46277</v>
      </c>
      <c r="R259">
        <v>-1</v>
      </c>
      <c r="S259">
        <v>42</v>
      </c>
      <c r="T259">
        <v>13</v>
      </c>
      <c r="U259">
        <v>46</v>
      </c>
      <c r="V259">
        <v>20260913042</v>
      </c>
    </row>
    <row r="260" spans="1:22" x14ac:dyDescent="0.2">
      <c r="A260" s="34" t="s">
        <v>122</v>
      </c>
      <c r="B260" s="28">
        <v>46278</v>
      </c>
      <c r="C260" s="34"/>
      <c r="D260" s="34" t="s">
        <v>339</v>
      </c>
      <c r="E260" s="34" t="s">
        <v>291</v>
      </c>
      <c r="F260" s="34" t="s">
        <v>342</v>
      </c>
      <c r="G260" s="34" t="s">
        <v>292</v>
      </c>
      <c r="H260" s="34" t="s">
        <v>293</v>
      </c>
      <c r="I260">
        <v>23</v>
      </c>
      <c r="J260">
        <v>0</v>
      </c>
      <c r="K260">
        <v>23</v>
      </c>
      <c r="L260">
        <v>0</v>
      </c>
      <c r="O260" s="28">
        <v>46277</v>
      </c>
      <c r="R260">
        <v>-1</v>
      </c>
      <c r="S260">
        <v>43</v>
      </c>
      <c r="T260">
        <v>13</v>
      </c>
      <c r="U260">
        <v>47</v>
      </c>
      <c r="V260">
        <v>20260913043</v>
      </c>
    </row>
    <row r="261" spans="1:22" x14ac:dyDescent="0.2">
      <c r="A261" s="34" t="s">
        <v>122</v>
      </c>
      <c r="B261" s="28">
        <v>46278</v>
      </c>
      <c r="C261" s="34"/>
      <c r="D261" s="34" t="s">
        <v>339</v>
      </c>
      <c r="E261" s="34" t="s">
        <v>294</v>
      </c>
      <c r="F261" s="34" t="s">
        <v>295</v>
      </c>
      <c r="G261" s="34" t="s">
        <v>296</v>
      </c>
      <c r="H261" s="34" t="s">
        <v>297</v>
      </c>
      <c r="I261">
        <v>12</v>
      </c>
      <c r="J261">
        <v>0</v>
      </c>
      <c r="K261">
        <v>11</v>
      </c>
      <c r="L261">
        <v>1</v>
      </c>
      <c r="O261" s="28">
        <v>46277</v>
      </c>
      <c r="R261">
        <v>-1</v>
      </c>
      <c r="S261">
        <v>44</v>
      </c>
      <c r="T261">
        <v>13</v>
      </c>
      <c r="U261">
        <v>48</v>
      </c>
      <c r="V261">
        <v>20260913044</v>
      </c>
    </row>
    <row r="262" spans="1:22" x14ac:dyDescent="0.2">
      <c r="A262" s="34" t="s">
        <v>122</v>
      </c>
      <c r="B262" s="28">
        <v>46278</v>
      </c>
      <c r="C262" s="34"/>
      <c r="D262" s="34" t="s">
        <v>339</v>
      </c>
      <c r="E262" s="34" t="s">
        <v>298</v>
      </c>
      <c r="F262" s="34" t="s">
        <v>299</v>
      </c>
      <c r="G262" s="34" t="s">
        <v>300</v>
      </c>
      <c r="H262" s="34" t="s">
        <v>301</v>
      </c>
      <c r="I262">
        <v>14</v>
      </c>
      <c r="J262">
        <v>0</v>
      </c>
      <c r="K262">
        <v>14</v>
      </c>
      <c r="L262">
        <v>0</v>
      </c>
      <c r="O262" s="28">
        <v>46277</v>
      </c>
      <c r="R262">
        <v>-1</v>
      </c>
      <c r="S262">
        <v>45</v>
      </c>
      <c r="T262">
        <v>13</v>
      </c>
      <c r="U262">
        <v>49</v>
      </c>
      <c r="V262">
        <v>20260913045</v>
      </c>
    </row>
    <row r="263" spans="1:22" x14ac:dyDescent="0.2">
      <c r="A263" s="34" t="s">
        <v>122</v>
      </c>
      <c r="B263" s="28">
        <v>46278</v>
      </c>
      <c r="C263" s="34"/>
      <c r="D263" s="34" t="s">
        <v>339</v>
      </c>
      <c r="E263" s="34" t="s">
        <v>302</v>
      </c>
      <c r="F263" s="34" t="s">
        <v>303</v>
      </c>
      <c r="G263" s="34" t="s">
        <v>304</v>
      </c>
      <c r="H263" s="34" t="s">
        <v>305</v>
      </c>
      <c r="I263">
        <v>9</v>
      </c>
      <c r="J263">
        <v>0</v>
      </c>
      <c r="K263">
        <v>8</v>
      </c>
      <c r="L263">
        <v>1</v>
      </c>
      <c r="O263" s="28">
        <v>46277</v>
      </c>
      <c r="R263">
        <v>-1</v>
      </c>
      <c r="S263">
        <v>46</v>
      </c>
      <c r="T263">
        <v>13</v>
      </c>
      <c r="U263">
        <v>50</v>
      </c>
      <c r="V263">
        <v>20260913046</v>
      </c>
    </row>
    <row r="264" spans="1:22" x14ac:dyDescent="0.2">
      <c r="A264" s="34" t="s">
        <v>122</v>
      </c>
      <c r="B264" s="28">
        <v>46278</v>
      </c>
      <c r="C264" s="34"/>
      <c r="D264" s="34" t="s">
        <v>339</v>
      </c>
      <c r="E264" s="34" t="s">
        <v>306</v>
      </c>
      <c r="F264" s="34" t="s">
        <v>307</v>
      </c>
      <c r="G264" s="34" t="s">
        <v>308</v>
      </c>
      <c r="H264" s="34" t="s">
        <v>309</v>
      </c>
      <c r="I264">
        <v>11</v>
      </c>
      <c r="J264">
        <v>0</v>
      </c>
      <c r="K264">
        <v>11</v>
      </c>
      <c r="L264">
        <v>0</v>
      </c>
      <c r="O264" s="28">
        <v>46277</v>
      </c>
      <c r="R264">
        <v>-1</v>
      </c>
      <c r="S264">
        <v>47</v>
      </c>
      <c r="T264">
        <v>13</v>
      </c>
      <c r="U264">
        <v>51</v>
      </c>
      <c r="V264">
        <v>20260913047</v>
      </c>
    </row>
    <row r="265" spans="1:22" x14ac:dyDescent="0.2">
      <c r="A265" s="34" t="s">
        <v>122</v>
      </c>
      <c r="B265" s="28">
        <v>46278</v>
      </c>
      <c r="C265" s="34"/>
      <c r="D265" s="34" t="s">
        <v>339</v>
      </c>
      <c r="E265" s="34" t="s">
        <v>310</v>
      </c>
      <c r="F265" s="34" t="s">
        <v>311</v>
      </c>
      <c r="G265" s="34" t="s">
        <v>312</v>
      </c>
      <c r="H265" s="34" t="s">
        <v>313</v>
      </c>
      <c r="I265">
        <v>3</v>
      </c>
      <c r="J265">
        <v>0</v>
      </c>
      <c r="K265">
        <v>3</v>
      </c>
      <c r="L265">
        <v>0</v>
      </c>
      <c r="O265" s="28">
        <v>46277</v>
      </c>
      <c r="R265">
        <v>-1</v>
      </c>
      <c r="S265">
        <v>48</v>
      </c>
      <c r="T265">
        <v>13</v>
      </c>
      <c r="U265">
        <v>52</v>
      </c>
      <c r="V265">
        <v>20260913048</v>
      </c>
    </row>
    <row r="266" spans="1:22" x14ac:dyDescent="0.2">
      <c r="A266" s="34" t="s">
        <v>122</v>
      </c>
      <c r="B266" s="28">
        <v>46278</v>
      </c>
      <c r="C266" s="34"/>
      <c r="D266" s="34" t="s">
        <v>339</v>
      </c>
      <c r="E266" s="34" t="s">
        <v>314</v>
      </c>
      <c r="F266" s="34" t="s">
        <v>315</v>
      </c>
      <c r="G266" s="34" t="s">
        <v>316</v>
      </c>
      <c r="H266" s="34" t="s">
        <v>317</v>
      </c>
      <c r="I266">
        <v>14</v>
      </c>
      <c r="J266">
        <v>0</v>
      </c>
      <c r="K266">
        <v>31</v>
      </c>
      <c r="L266">
        <v>-17</v>
      </c>
      <c r="O266" s="28">
        <v>46277</v>
      </c>
      <c r="R266">
        <v>-1</v>
      </c>
      <c r="S266">
        <v>49</v>
      </c>
      <c r="T266">
        <v>13</v>
      </c>
      <c r="U266">
        <v>53</v>
      </c>
      <c r="V266">
        <v>20260913049</v>
      </c>
    </row>
    <row r="267" spans="1:22" x14ac:dyDescent="0.2">
      <c r="A267" s="34" t="s">
        <v>122</v>
      </c>
      <c r="B267" s="28">
        <v>46278</v>
      </c>
      <c r="C267" s="34"/>
      <c r="D267" s="34" t="s">
        <v>339</v>
      </c>
      <c r="E267" s="34" t="s">
        <v>318</v>
      </c>
      <c r="F267" s="34" t="s">
        <v>319</v>
      </c>
      <c r="G267" s="34" t="s">
        <v>320</v>
      </c>
      <c r="H267" s="34" t="s">
        <v>321</v>
      </c>
      <c r="I267">
        <v>8</v>
      </c>
      <c r="J267">
        <v>0</v>
      </c>
      <c r="K267">
        <v>5</v>
      </c>
      <c r="L267">
        <v>3</v>
      </c>
      <c r="O267" s="28">
        <v>46277</v>
      </c>
      <c r="R267">
        <v>-1</v>
      </c>
      <c r="S267">
        <v>50</v>
      </c>
      <c r="T267">
        <v>13</v>
      </c>
      <c r="U267">
        <v>54</v>
      </c>
      <c r="V267">
        <v>20260913050</v>
      </c>
    </row>
    <row r="268" spans="1:22" x14ac:dyDescent="0.2">
      <c r="A268" s="34" t="s">
        <v>122</v>
      </c>
      <c r="B268" s="28">
        <v>46278</v>
      </c>
      <c r="C268" s="34"/>
      <c r="D268" s="34" t="s">
        <v>339</v>
      </c>
      <c r="E268" s="34" t="s">
        <v>322</v>
      </c>
      <c r="F268" s="34" t="s">
        <v>323</v>
      </c>
      <c r="G268" s="34" t="s">
        <v>324</v>
      </c>
      <c r="H268" s="34" t="s">
        <v>325</v>
      </c>
      <c r="I268">
        <v>7</v>
      </c>
      <c r="J268">
        <v>0</v>
      </c>
      <c r="K268">
        <v>7</v>
      </c>
      <c r="L268">
        <v>0</v>
      </c>
      <c r="O268" s="28">
        <v>46277</v>
      </c>
      <c r="R268">
        <v>-1</v>
      </c>
      <c r="S268">
        <v>51</v>
      </c>
      <c r="T268">
        <v>13</v>
      </c>
      <c r="U268">
        <v>55</v>
      </c>
      <c r="V268">
        <v>20260913051</v>
      </c>
    </row>
    <row r="269" spans="1:22" x14ac:dyDescent="0.2">
      <c r="A269" s="34" t="s">
        <v>122</v>
      </c>
      <c r="B269" s="28">
        <v>46278</v>
      </c>
      <c r="C269" s="34"/>
      <c r="D269" s="34" t="s">
        <v>339</v>
      </c>
      <c r="E269" s="34" t="s">
        <v>326</v>
      </c>
      <c r="F269" s="34" t="s">
        <v>327</v>
      </c>
      <c r="G269" s="34" t="s">
        <v>328</v>
      </c>
      <c r="H269" s="34" t="s">
        <v>329</v>
      </c>
      <c r="I269">
        <v>19</v>
      </c>
      <c r="J269">
        <v>0</v>
      </c>
      <c r="K269">
        <v>11</v>
      </c>
      <c r="L269">
        <v>8</v>
      </c>
      <c r="O269" s="28">
        <v>46277</v>
      </c>
      <c r="R269">
        <v>-1</v>
      </c>
      <c r="S269">
        <v>52</v>
      </c>
      <c r="T269">
        <v>13</v>
      </c>
      <c r="U269">
        <v>73</v>
      </c>
      <c r="V269">
        <v>20260913052</v>
      </c>
    </row>
    <row r="270" spans="1:22" x14ac:dyDescent="0.2">
      <c r="A270" s="34" t="s">
        <v>122</v>
      </c>
      <c r="B270" s="28">
        <v>46278</v>
      </c>
      <c r="C270" s="34"/>
      <c r="D270" s="34" t="s">
        <v>339</v>
      </c>
      <c r="E270" s="34" t="s">
        <v>330</v>
      </c>
      <c r="F270" s="34" t="s">
        <v>331</v>
      </c>
      <c r="G270" s="34" t="s">
        <v>332</v>
      </c>
      <c r="H270" s="34" t="s">
        <v>333</v>
      </c>
      <c r="I270">
        <v>4</v>
      </c>
      <c r="J270">
        <v>0</v>
      </c>
      <c r="K270">
        <v>4</v>
      </c>
      <c r="L270">
        <v>0</v>
      </c>
      <c r="O270" s="28">
        <v>46277</v>
      </c>
      <c r="R270">
        <v>-1</v>
      </c>
      <c r="S270">
        <v>53</v>
      </c>
      <c r="T270">
        <v>13</v>
      </c>
      <c r="U270">
        <v>74</v>
      </c>
      <c r="V270">
        <v>20260913053</v>
      </c>
    </row>
    <row r="271" spans="1:22" x14ac:dyDescent="0.2">
      <c r="A271" s="34" t="s">
        <v>122</v>
      </c>
      <c r="B271" s="28">
        <v>46278</v>
      </c>
      <c r="C271" s="34"/>
      <c r="D271" s="34" t="s">
        <v>339</v>
      </c>
      <c r="E271" s="34" t="s">
        <v>334</v>
      </c>
      <c r="F271" s="34" t="s">
        <v>335</v>
      </c>
      <c r="G271" s="34" t="s">
        <v>336</v>
      </c>
      <c r="H271" s="34" t="s">
        <v>337</v>
      </c>
      <c r="I271">
        <v>18</v>
      </c>
      <c r="J271">
        <v>0</v>
      </c>
      <c r="K271">
        <v>17</v>
      </c>
      <c r="L271">
        <v>1</v>
      </c>
      <c r="O271" s="28">
        <v>46277</v>
      </c>
      <c r="R271">
        <v>-1</v>
      </c>
      <c r="S271">
        <v>54</v>
      </c>
      <c r="T271">
        <v>13</v>
      </c>
      <c r="U271">
        <v>75</v>
      </c>
      <c r="V271">
        <v>20260913054</v>
      </c>
    </row>
    <row r="272" spans="1:22" x14ac:dyDescent="0.2">
      <c r="A272" s="34" t="s">
        <v>122</v>
      </c>
      <c r="B272" s="28">
        <v>46279</v>
      </c>
      <c r="C272" s="34"/>
      <c r="D272" s="34" t="s">
        <v>339</v>
      </c>
      <c r="E272" s="34" t="s">
        <v>164</v>
      </c>
      <c r="F272" s="34" t="s">
        <v>165</v>
      </c>
      <c r="G272" s="34" t="s">
        <v>166</v>
      </c>
      <c r="H272" s="34" t="s">
        <v>167</v>
      </c>
      <c r="I272">
        <v>24</v>
      </c>
      <c r="J272">
        <v>0</v>
      </c>
      <c r="K272">
        <v>25</v>
      </c>
      <c r="L272">
        <v>-1</v>
      </c>
      <c r="M272">
        <v>19</v>
      </c>
      <c r="N272">
        <v>-20</v>
      </c>
      <c r="O272" s="28">
        <v>46278</v>
      </c>
      <c r="P272">
        <v>18.2</v>
      </c>
      <c r="Q272">
        <v>-364</v>
      </c>
      <c r="R272">
        <v>20</v>
      </c>
      <c r="S272">
        <v>1</v>
      </c>
      <c r="T272">
        <v>12</v>
      </c>
      <c r="U272">
        <v>11</v>
      </c>
      <c r="V272">
        <v>20260914001</v>
      </c>
    </row>
    <row r="273" spans="1:22" x14ac:dyDescent="0.2">
      <c r="A273" s="34" t="s">
        <v>122</v>
      </c>
      <c r="B273" s="28">
        <v>46279</v>
      </c>
      <c r="C273" s="34"/>
      <c r="D273" s="34" t="s">
        <v>339</v>
      </c>
      <c r="E273" s="34" t="s">
        <v>326</v>
      </c>
      <c r="F273" s="34" t="s">
        <v>327</v>
      </c>
      <c r="G273" s="34" t="s">
        <v>328</v>
      </c>
      <c r="H273" s="34" t="s">
        <v>329</v>
      </c>
      <c r="I273">
        <v>11</v>
      </c>
      <c r="J273">
        <v>0</v>
      </c>
      <c r="K273">
        <v>25</v>
      </c>
      <c r="L273">
        <v>-14</v>
      </c>
      <c r="M273">
        <v>6</v>
      </c>
      <c r="N273">
        <v>-20</v>
      </c>
      <c r="O273" s="28">
        <v>46278</v>
      </c>
      <c r="P273">
        <v>16.600000000000001</v>
      </c>
      <c r="Q273">
        <v>-332</v>
      </c>
      <c r="R273">
        <v>20</v>
      </c>
      <c r="S273">
        <v>2</v>
      </c>
      <c r="T273">
        <v>12</v>
      </c>
      <c r="U273">
        <v>73</v>
      </c>
      <c r="V273">
        <v>20260914002</v>
      </c>
    </row>
    <row r="274" spans="1:22" x14ac:dyDescent="0.2">
      <c r="A274" s="34" t="s">
        <v>122</v>
      </c>
      <c r="B274" s="28">
        <v>46279</v>
      </c>
      <c r="C274" s="34"/>
      <c r="D274" s="34" t="s">
        <v>339</v>
      </c>
      <c r="E274" s="34" t="s">
        <v>176</v>
      </c>
      <c r="F274" s="34" t="s">
        <v>177</v>
      </c>
      <c r="G274" s="34" t="s">
        <v>178</v>
      </c>
      <c r="H274" s="34" t="s">
        <v>179</v>
      </c>
      <c r="I274">
        <v>24</v>
      </c>
      <c r="J274">
        <v>0</v>
      </c>
      <c r="K274">
        <v>30</v>
      </c>
      <c r="L274">
        <v>-6</v>
      </c>
      <c r="M274">
        <v>5</v>
      </c>
      <c r="N274">
        <v>-11</v>
      </c>
      <c r="O274" s="28">
        <v>46278</v>
      </c>
      <c r="P274">
        <v>18.2</v>
      </c>
      <c r="Q274">
        <v>-200.2</v>
      </c>
      <c r="R274">
        <v>11</v>
      </c>
      <c r="S274">
        <v>3</v>
      </c>
      <c r="T274">
        <v>12</v>
      </c>
      <c r="U274">
        <v>14</v>
      </c>
      <c r="V274">
        <v>20260914003</v>
      </c>
    </row>
    <row r="275" spans="1:22" x14ac:dyDescent="0.2">
      <c r="A275" s="34" t="s">
        <v>122</v>
      </c>
      <c r="B275" s="28">
        <v>46279</v>
      </c>
      <c r="C275" s="34"/>
      <c r="D275" s="34" t="s">
        <v>339</v>
      </c>
      <c r="E275" s="34" t="s">
        <v>152</v>
      </c>
      <c r="F275" s="34" t="s">
        <v>153</v>
      </c>
      <c r="G275" s="34" t="s">
        <v>154</v>
      </c>
      <c r="H275" s="34" t="s">
        <v>155</v>
      </c>
      <c r="I275">
        <v>10</v>
      </c>
      <c r="J275">
        <v>0</v>
      </c>
      <c r="K275">
        <v>17</v>
      </c>
      <c r="L275">
        <v>-7</v>
      </c>
      <c r="M275">
        <v>3</v>
      </c>
      <c r="N275">
        <v>-10</v>
      </c>
      <c r="O275" s="28">
        <v>46278</v>
      </c>
      <c r="P275">
        <v>12.8</v>
      </c>
      <c r="Q275">
        <v>-128</v>
      </c>
      <c r="R275">
        <v>10</v>
      </c>
      <c r="S275">
        <v>4</v>
      </c>
      <c r="T275">
        <v>12</v>
      </c>
      <c r="U275">
        <v>8</v>
      </c>
      <c r="V275">
        <v>20260914004</v>
      </c>
    </row>
    <row r="276" spans="1:22" x14ac:dyDescent="0.2">
      <c r="A276" s="34" t="s">
        <v>122</v>
      </c>
      <c r="B276" s="28">
        <v>46279</v>
      </c>
      <c r="C276" s="34"/>
      <c r="D276" s="34" t="s">
        <v>339</v>
      </c>
      <c r="E276" s="34" t="s">
        <v>208</v>
      </c>
      <c r="F276" s="34" t="s">
        <v>209</v>
      </c>
      <c r="G276" s="34" t="s">
        <v>210</v>
      </c>
      <c r="H276" s="34" t="s">
        <v>211</v>
      </c>
      <c r="I276">
        <v>7</v>
      </c>
      <c r="J276">
        <v>0</v>
      </c>
      <c r="K276">
        <v>14</v>
      </c>
      <c r="L276">
        <v>-7</v>
      </c>
      <c r="M276">
        <v>3</v>
      </c>
      <c r="N276">
        <v>-10</v>
      </c>
      <c r="O276" s="28">
        <v>46278</v>
      </c>
      <c r="P276">
        <v>12.7</v>
      </c>
      <c r="Q276">
        <v>-127</v>
      </c>
      <c r="R276">
        <v>10</v>
      </c>
      <c r="S276">
        <v>5</v>
      </c>
      <c r="T276">
        <v>12</v>
      </c>
      <c r="U276">
        <v>26</v>
      </c>
      <c r="V276">
        <v>20260914005</v>
      </c>
    </row>
    <row r="277" spans="1:22" x14ac:dyDescent="0.2">
      <c r="A277" s="34" t="s">
        <v>122</v>
      </c>
      <c r="B277" s="28">
        <v>46279</v>
      </c>
      <c r="C277" s="34"/>
      <c r="D277" s="34" t="s">
        <v>339</v>
      </c>
      <c r="E277" s="34" t="s">
        <v>212</v>
      </c>
      <c r="F277" s="34" t="s">
        <v>213</v>
      </c>
      <c r="G277" s="34" t="s">
        <v>214</v>
      </c>
      <c r="H277" s="34" t="s">
        <v>215</v>
      </c>
      <c r="I277">
        <v>10</v>
      </c>
      <c r="J277">
        <v>0</v>
      </c>
      <c r="K277">
        <v>15</v>
      </c>
      <c r="L277">
        <v>-5</v>
      </c>
      <c r="M277">
        <v>5</v>
      </c>
      <c r="N277">
        <v>-10</v>
      </c>
      <c r="O277" s="28">
        <v>46278</v>
      </c>
      <c r="P277">
        <v>12.7</v>
      </c>
      <c r="Q277">
        <v>-127</v>
      </c>
      <c r="R277">
        <v>10</v>
      </c>
      <c r="S277">
        <v>6</v>
      </c>
      <c r="T277">
        <v>12</v>
      </c>
      <c r="U277">
        <v>27</v>
      </c>
      <c r="V277">
        <v>20260914006</v>
      </c>
    </row>
    <row r="278" spans="1:22" x14ac:dyDescent="0.2">
      <c r="A278" s="34" t="s">
        <v>122</v>
      </c>
      <c r="B278" s="28">
        <v>46279</v>
      </c>
      <c r="C278" s="34"/>
      <c r="D278" s="34" t="s">
        <v>339</v>
      </c>
      <c r="E278" s="34" t="s">
        <v>228</v>
      </c>
      <c r="F278" s="34" t="s">
        <v>229</v>
      </c>
      <c r="G278" s="34" t="s">
        <v>230</v>
      </c>
      <c r="H278" s="34" t="s">
        <v>231</v>
      </c>
      <c r="I278">
        <v>12</v>
      </c>
      <c r="J278">
        <v>0</v>
      </c>
      <c r="K278">
        <v>13</v>
      </c>
      <c r="L278">
        <v>-1</v>
      </c>
      <c r="M278">
        <v>9</v>
      </c>
      <c r="N278">
        <v>-10</v>
      </c>
      <c r="O278" s="28">
        <v>46278</v>
      </c>
      <c r="P278">
        <v>17.899999999999999</v>
      </c>
      <c r="Q278">
        <v>-179</v>
      </c>
      <c r="R278">
        <v>10</v>
      </c>
      <c r="S278">
        <v>7</v>
      </c>
      <c r="T278">
        <v>12</v>
      </c>
      <c r="U278">
        <v>31</v>
      </c>
      <c r="V278">
        <v>20260914007</v>
      </c>
    </row>
    <row r="279" spans="1:22" x14ac:dyDescent="0.2">
      <c r="A279" s="34" t="s">
        <v>122</v>
      </c>
      <c r="B279" s="28">
        <v>46279</v>
      </c>
      <c r="C279" s="34"/>
      <c r="D279" s="34" t="s">
        <v>339</v>
      </c>
      <c r="E279" s="34" t="s">
        <v>240</v>
      </c>
      <c r="F279" s="34" t="s">
        <v>241</v>
      </c>
      <c r="G279" s="34" t="s">
        <v>242</v>
      </c>
      <c r="H279" s="34" t="s">
        <v>243</v>
      </c>
      <c r="I279">
        <v>9</v>
      </c>
      <c r="J279">
        <v>0</v>
      </c>
      <c r="K279">
        <v>19</v>
      </c>
      <c r="L279">
        <v>-10</v>
      </c>
      <c r="M279">
        <v>0</v>
      </c>
      <c r="N279">
        <v>-10</v>
      </c>
      <c r="O279" s="28">
        <v>46278</v>
      </c>
      <c r="R279">
        <v>10</v>
      </c>
      <c r="S279">
        <v>8</v>
      </c>
      <c r="T279">
        <v>12</v>
      </c>
      <c r="U279">
        <v>34</v>
      </c>
      <c r="V279">
        <v>20260914008</v>
      </c>
    </row>
    <row r="280" spans="1:22" x14ac:dyDescent="0.2">
      <c r="A280" s="34" t="s">
        <v>122</v>
      </c>
      <c r="B280" s="28">
        <v>46279</v>
      </c>
      <c r="C280" s="34"/>
      <c r="D280" s="34" t="s">
        <v>339</v>
      </c>
      <c r="E280" s="34" t="s">
        <v>252</v>
      </c>
      <c r="F280" s="34" t="s">
        <v>253</v>
      </c>
      <c r="G280" s="34" t="s">
        <v>254</v>
      </c>
      <c r="H280" s="34" t="s">
        <v>255</v>
      </c>
      <c r="I280">
        <v>17</v>
      </c>
      <c r="J280">
        <v>0</v>
      </c>
      <c r="K280">
        <v>12</v>
      </c>
      <c r="L280">
        <v>5</v>
      </c>
      <c r="M280">
        <v>15</v>
      </c>
      <c r="N280">
        <v>-10</v>
      </c>
      <c r="O280" s="28">
        <v>46278</v>
      </c>
      <c r="P280">
        <v>18.399999999999999</v>
      </c>
      <c r="Q280">
        <v>-184</v>
      </c>
      <c r="R280">
        <v>10</v>
      </c>
      <c r="S280">
        <v>9</v>
      </c>
      <c r="T280">
        <v>12</v>
      </c>
      <c r="U280">
        <v>37</v>
      </c>
      <c r="V280">
        <v>20260914009</v>
      </c>
    </row>
    <row r="281" spans="1:22" x14ac:dyDescent="0.2">
      <c r="A281" s="34" t="s">
        <v>122</v>
      </c>
      <c r="B281" s="28">
        <v>46279</v>
      </c>
      <c r="C281" s="34"/>
      <c r="D281" s="34" t="s">
        <v>339</v>
      </c>
      <c r="E281" s="34" t="s">
        <v>272</v>
      </c>
      <c r="F281" s="34" t="s">
        <v>341</v>
      </c>
      <c r="G281" s="34" t="s">
        <v>273</v>
      </c>
      <c r="H281" s="34" t="s">
        <v>274</v>
      </c>
      <c r="I281">
        <v>3</v>
      </c>
      <c r="J281">
        <v>0</v>
      </c>
      <c r="K281">
        <v>11</v>
      </c>
      <c r="L281">
        <v>-8</v>
      </c>
      <c r="M281">
        <v>2</v>
      </c>
      <c r="N281">
        <v>-10</v>
      </c>
      <c r="O281" s="28">
        <v>46278</v>
      </c>
      <c r="P281">
        <v>18.399999999999999</v>
      </c>
      <c r="Q281">
        <v>-184</v>
      </c>
      <c r="R281">
        <v>10</v>
      </c>
      <c r="S281">
        <v>10</v>
      </c>
      <c r="T281">
        <v>12</v>
      </c>
      <c r="U281">
        <v>42</v>
      </c>
      <c r="V281">
        <v>20260914010</v>
      </c>
    </row>
    <row r="282" spans="1:22" x14ac:dyDescent="0.2">
      <c r="A282" s="34" t="s">
        <v>122</v>
      </c>
      <c r="B282" s="28">
        <v>46279</v>
      </c>
      <c r="C282" s="34"/>
      <c r="D282" s="34" t="s">
        <v>339</v>
      </c>
      <c r="E282" s="34" t="s">
        <v>310</v>
      </c>
      <c r="F282" s="34" t="s">
        <v>311</v>
      </c>
      <c r="G282" s="34" t="s">
        <v>312</v>
      </c>
      <c r="H282" s="34" t="s">
        <v>313</v>
      </c>
      <c r="I282">
        <v>3</v>
      </c>
      <c r="J282">
        <v>0</v>
      </c>
      <c r="K282">
        <v>7</v>
      </c>
      <c r="L282">
        <v>-4</v>
      </c>
      <c r="M282">
        <v>6</v>
      </c>
      <c r="N282">
        <v>-10</v>
      </c>
      <c r="O282" s="28">
        <v>46278</v>
      </c>
      <c r="P282">
        <v>12.9</v>
      </c>
      <c r="Q282">
        <v>-129</v>
      </c>
      <c r="R282">
        <v>10</v>
      </c>
      <c r="S282">
        <v>11</v>
      </c>
      <c r="T282">
        <v>12</v>
      </c>
      <c r="U282">
        <v>52</v>
      </c>
      <c r="V282">
        <v>20260914011</v>
      </c>
    </row>
    <row r="283" spans="1:22" x14ac:dyDescent="0.2">
      <c r="A283" s="34" t="s">
        <v>122</v>
      </c>
      <c r="B283" s="28">
        <v>46279</v>
      </c>
      <c r="C283" s="34"/>
      <c r="D283" s="34" t="s">
        <v>339</v>
      </c>
      <c r="E283" s="34" t="s">
        <v>204</v>
      </c>
      <c r="F283" s="34" t="s">
        <v>205</v>
      </c>
      <c r="G283" s="34" t="s">
        <v>206</v>
      </c>
      <c r="H283" s="34" t="s">
        <v>207</v>
      </c>
      <c r="I283">
        <v>12</v>
      </c>
      <c r="J283">
        <v>0</v>
      </c>
      <c r="K283">
        <v>8</v>
      </c>
      <c r="L283">
        <v>4</v>
      </c>
      <c r="M283">
        <v>6</v>
      </c>
      <c r="N283">
        <v>-2</v>
      </c>
      <c r="O283" s="28">
        <v>46278</v>
      </c>
      <c r="P283">
        <v>12.7</v>
      </c>
      <c r="Q283">
        <v>-25.4</v>
      </c>
      <c r="R283">
        <v>2</v>
      </c>
      <c r="S283">
        <v>12</v>
      </c>
      <c r="T283">
        <v>12</v>
      </c>
      <c r="U283">
        <v>25</v>
      </c>
      <c r="V283">
        <v>20260914012</v>
      </c>
    </row>
    <row r="284" spans="1:22" x14ac:dyDescent="0.2">
      <c r="A284" s="34" t="s">
        <v>122</v>
      </c>
      <c r="B284" s="28">
        <v>46279</v>
      </c>
      <c r="C284" s="34"/>
      <c r="D284" s="34" t="s">
        <v>339</v>
      </c>
      <c r="E284" s="34" t="s">
        <v>275</v>
      </c>
      <c r="F284" s="34" t="s">
        <v>276</v>
      </c>
      <c r="G284" s="34" t="s">
        <v>277</v>
      </c>
      <c r="H284" s="34" t="s">
        <v>278</v>
      </c>
      <c r="I284">
        <v>6</v>
      </c>
      <c r="J284">
        <v>0</v>
      </c>
      <c r="K284">
        <v>3</v>
      </c>
      <c r="L284">
        <v>3</v>
      </c>
      <c r="M284">
        <v>1</v>
      </c>
      <c r="N284">
        <v>2</v>
      </c>
      <c r="O284" s="28">
        <v>46278</v>
      </c>
      <c r="P284">
        <v>18.399999999999999</v>
      </c>
      <c r="Q284">
        <v>36.799999999999997</v>
      </c>
      <c r="R284">
        <v>2</v>
      </c>
      <c r="S284">
        <v>13</v>
      </c>
      <c r="T284">
        <v>12</v>
      </c>
      <c r="U284">
        <v>43</v>
      </c>
      <c r="V284">
        <v>20260914013</v>
      </c>
    </row>
    <row r="285" spans="1:22" x14ac:dyDescent="0.2">
      <c r="A285" s="34" t="s">
        <v>122</v>
      </c>
      <c r="B285" s="28">
        <v>46279</v>
      </c>
      <c r="C285" s="34"/>
      <c r="D285" s="34" t="s">
        <v>339</v>
      </c>
      <c r="E285" s="34" t="s">
        <v>124</v>
      </c>
      <c r="F285" s="34" t="s">
        <v>125</v>
      </c>
      <c r="G285" s="34" t="s">
        <v>126</v>
      </c>
      <c r="H285" s="34" t="s">
        <v>127</v>
      </c>
      <c r="I285">
        <v>6</v>
      </c>
      <c r="J285">
        <v>0</v>
      </c>
      <c r="K285">
        <v>6</v>
      </c>
      <c r="L285">
        <v>0</v>
      </c>
      <c r="M285">
        <v>0</v>
      </c>
      <c r="N285">
        <v>0</v>
      </c>
      <c r="O285" s="28">
        <v>46278</v>
      </c>
      <c r="R285">
        <v>0</v>
      </c>
      <c r="S285">
        <v>14</v>
      </c>
      <c r="T285">
        <v>12</v>
      </c>
      <c r="U285">
        <v>1</v>
      </c>
      <c r="V285">
        <v>20260914014</v>
      </c>
    </row>
    <row r="286" spans="1:22" x14ac:dyDescent="0.2">
      <c r="A286" s="34" t="s">
        <v>122</v>
      </c>
      <c r="B286" s="28">
        <v>46279</v>
      </c>
      <c r="C286" s="34"/>
      <c r="D286" s="34" t="s">
        <v>339</v>
      </c>
      <c r="E286" s="34" t="s">
        <v>128</v>
      </c>
      <c r="F286" s="34" t="s">
        <v>129</v>
      </c>
      <c r="G286" s="34" t="s">
        <v>130</v>
      </c>
      <c r="H286" s="34" t="s">
        <v>131</v>
      </c>
      <c r="I286">
        <v>5</v>
      </c>
      <c r="J286">
        <v>0</v>
      </c>
      <c r="K286">
        <v>5</v>
      </c>
      <c r="L286">
        <v>0</v>
      </c>
      <c r="M286">
        <v>0</v>
      </c>
      <c r="N286">
        <v>0</v>
      </c>
      <c r="O286" s="28">
        <v>46278</v>
      </c>
      <c r="R286">
        <v>0</v>
      </c>
      <c r="S286">
        <v>15</v>
      </c>
      <c r="T286">
        <v>12</v>
      </c>
      <c r="U286">
        <v>2</v>
      </c>
      <c r="V286">
        <v>20260914015</v>
      </c>
    </row>
    <row r="287" spans="1:22" x14ac:dyDescent="0.2">
      <c r="A287" s="34" t="s">
        <v>122</v>
      </c>
      <c r="B287" s="28">
        <v>46279</v>
      </c>
      <c r="C287" s="34"/>
      <c r="D287" s="34" t="s">
        <v>339</v>
      </c>
      <c r="E287" s="34" t="s">
        <v>132</v>
      </c>
      <c r="F287" s="34" t="s">
        <v>133</v>
      </c>
      <c r="G287" s="34" t="s">
        <v>134</v>
      </c>
      <c r="H287" s="34" t="s">
        <v>135</v>
      </c>
      <c r="I287">
        <v>4</v>
      </c>
      <c r="J287">
        <v>0</v>
      </c>
      <c r="K287">
        <v>4</v>
      </c>
      <c r="L287">
        <v>0</v>
      </c>
      <c r="M287">
        <v>0</v>
      </c>
      <c r="N287">
        <v>0</v>
      </c>
      <c r="O287" s="28">
        <v>46278</v>
      </c>
      <c r="R287">
        <v>0</v>
      </c>
      <c r="S287">
        <v>16</v>
      </c>
      <c r="T287">
        <v>12</v>
      </c>
      <c r="U287">
        <v>3</v>
      </c>
      <c r="V287">
        <v>20260914016</v>
      </c>
    </row>
    <row r="288" spans="1:22" x14ac:dyDescent="0.2">
      <c r="A288" s="34" t="s">
        <v>122</v>
      </c>
      <c r="B288" s="28">
        <v>46279</v>
      </c>
      <c r="C288" s="34"/>
      <c r="D288" s="34" t="s">
        <v>339</v>
      </c>
      <c r="E288" s="34" t="s">
        <v>136</v>
      </c>
      <c r="F288" s="34" t="s">
        <v>137</v>
      </c>
      <c r="G288" s="34" t="s">
        <v>138</v>
      </c>
      <c r="H288" s="34" t="s">
        <v>139</v>
      </c>
      <c r="I288">
        <v>4</v>
      </c>
      <c r="J288">
        <v>10</v>
      </c>
      <c r="K288">
        <v>13</v>
      </c>
      <c r="L288">
        <v>1</v>
      </c>
      <c r="M288">
        <v>1</v>
      </c>
      <c r="N288">
        <v>0</v>
      </c>
      <c r="O288" s="28">
        <v>46278</v>
      </c>
      <c r="P288">
        <v>12.8</v>
      </c>
      <c r="Q288">
        <v>0</v>
      </c>
      <c r="R288">
        <v>0</v>
      </c>
      <c r="S288">
        <v>17</v>
      </c>
      <c r="T288">
        <v>12</v>
      </c>
      <c r="U288">
        <v>4</v>
      </c>
      <c r="V288">
        <v>20260914017</v>
      </c>
    </row>
    <row r="289" spans="1:22" x14ac:dyDescent="0.2">
      <c r="A289" s="34" t="s">
        <v>122</v>
      </c>
      <c r="B289" s="28">
        <v>46279</v>
      </c>
      <c r="C289" s="34"/>
      <c r="D289" s="34" t="s">
        <v>339</v>
      </c>
      <c r="E289" s="34" t="s">
        <v>140</v>
      </c>
      <c r="F289" s="34" t="s">
        <v>141</v>
      </c>
      <c r="G289" s="34" t="s">
        <v>142</v>
      </c>
      <c r="H289" s="34" t="s">
        <v>143</v>
      </c>
      <c r="I289">
        <v>4</v>
      </c>
      <c r="J289">
        <v>0</v>
      </c>
      <c r="K289">
        <v>4</v>
      </c>
      <c r="L289">
        <v>0</v>
      </c>
      <c r="M289">
        <v>0</v>
      </c>
      <c r="N289">
        <v>0</v>
      </c>
      <c r="O289" s="28">
        <v>46278</v>
      </c>
      <c r="R289">
        <v>0</v>
      </c>
      <c r="S289">
        <v>18</v>
      </c>
      <c r="T289">
        <v>12</v>
      </c>
      <c r="U289">
        <v>5</v>
      </c>
      <c r="V289">
        <v>20260914018</v>
      </c>
    </row>
    <row r="290" spans="1:22" x14ac:dyDescent="0.2">
      <c r="A290" s="34" t="s">
        <v>122</v>
      </c>
      <c r="B290" s="28">
        <v>46279</v>
      </c>
      <c r="C290" s="34"/>
      <c r="D290" s="34" t="s">
        <v>339</v>
      </c>
      <c r="E290" s="34" t="s">
        <v>144</v>
      </c>
      <c r="F290" s="34" t="s">
        <v>145</v>
      </c>
      <c r="G290" s="34" t="s">
        <v>146</v>
      </c>
      <c r="H290" s="34" t="s">
        <v>147</v>
      </c>
      <c r="I290">
        <v>5</v>
      </c>
      <c r="J290">
        <v>0</v>
      </c>
      <c r="K290">
        <v>5</v>
      </c>
      <c r="L290">
        <v>0</v>
      </c>
      <c r="M290">
        <v>0</v>
      </c>
      <c r="N290">
        <v>0</v>
      </c>
      <c r="O290" s="28">
        <v>46278</v>
      </c>
      <c r="R290">
        <v>0</v>
      </c>
      <c r="S290">
        <v>19</v>
      </c>
      <c r="T290">
        <v>12</v>
      </c>
      <c r="U290">
        <v>6</v>
      </c>
      <c r="V290">
        <v>20260914019</v>
      </c>
    </row>
    <row r="291" spans="1:22" x14ac:dyDescent="0.2">
      <c r="A291" s="34" t="s">
        <v>122</v>
      </c>
      <c r="B291" s="28">
        <v>46279</v>
      </c>
      <c r="C291" s="34"/>
      <c r="D291" s="34" t="s">
        <v>339</v>
      </c>
      <c r="E291" s="34" t="s">
        <v>148</v>
      </c>
      <c r="F291" s="34" t="s">
        <v>149</v>
      </c>
      <c r="G291" s="34" t="s">
        <v>150</v>
      </c>
      <c r="H291" s="34" t="s">
        <v>151</v>
      </c>
      <c r="I291">
        <v>4</v>
      </c>
      <c r="J291">
        <v>0</v>
      </c>
      <c r="K291">
        <v>4</v>
      </c>
      <c r="L291">
        <v>0</v>
      </c>
      <c r="M291">
        <v>0</v>
      </c>
      <c r="N291">
        <v>0</v>
      </c>
      <c r="O291" s="28">
        <v>46278</v>
      </c>
      <c r="R291">
        <v>0</v>
      </c>
      <c r="S291">
        <v>20</v>
      </c>
      <c r="T291">
        <v>12</v>
      </c>
      <c r="U291">
        <v>7</v>
      </c>
      <c r="V291">
        <v>20260914020</v>
      </c>
    </row>
    <row r="292" spans="1:22" x14ac:dyDescent="0.2">
      <c r="A292" s="34" t="s">
        <v>122</v>
      </c>
      <c r="B292" s="28">
        <v>46279</v>
      </c>
      <c r="C292" s="34"/>
      <c r="D292" s="34" t="s">
        <v>339</v>
      </c>
      <c r="E292" s="34" t="s">
        <v>156</v>
      </c>
      <c r="F292" s="34" t="s">
        <v>157</v>
      </c>
      <c r="G292" s="34" t="s">
        <v>158</v>
      </c>
      <c r="H292" s="34" t="s">
        <v>159</v>
      </c>
      <c r="I292">
        <v>22</v>
      </c>
      <c r="J292">
        <v>0</v>
      </c>
      <c r="K292">
        <v>17</v>
      </c>
      <c r="L292">
        <v>5</v>
      </c>
      <c r="M292">
        <v>5</v>
      </c>
      <c r="N292">
        <v>0</v>
      </c>
      <c r="O292" s="28">
        <v>46278</v>
      </c>
      <c r="P292">
        <v>18.2</v>
      </c>
      <c r="Q292">
        <v>0</v>
      </c>
      <c r="R292">
        <v>0</v>
      </c>
      <c r="S292">
        <v>21</v>
      </c>
      <c r="T292">
        <v>12</v>
      </c>
      <c r="U292">
        <v>9</v>
      </c>
      <c r="V292">
        <v>20260914021</v>
      </c>
    </row>
    <row r="293" spans="1:22" x14ac:dyDescent="0.2">
      <c r="A293" s="34" t="s">
        <v>122</v>
      </c>
      <c r="B293" s="28">
        <v>46279</v>
      </c>
      <c r="C293" s="34"/>
      <c r="D293" s="34" t="s">
        <v>339</v>
      </c>
      <c r="E293" s="34" t="s">
        <v>160</v>
      </c>
      <c r="F293" s="34" t="s">
        <v>161</v>
      </c>
      <c r="G293" s="34" t="s">
        <v>162</v>
      </c>
      <c r="H293" s="34" t="s">
        <v>163</v>
      </c>
      <c r="I293">
        <v>8</v>
      </c>
      <c r="J293">
        <v>0</v>
      </c>
      <c r="K293">
        <v>7</v>
      </c>
      <c r="L293">
        <v>1</v>
      </c>
      <c r="M293">
        <v>1</v>
      </c>
      <c r="N293">
        <v>0</v>
      </c>
      <c r="O293" s="28">
        <v>46278</v>
      </c>
      <c r="R293">
        <v>0</v>
      </c>
      <c r="S293">
        <v>22</v>
      </c>
      <c r="T293">
        <v>12</v>
      </c>
      <c r="U293">
        <v>10</v>
      </c>
      <c r="V293">
        <v>20260914022</v>
      </c>
    </row>
    <row r="294" spans="1:22" x14ac:dyDescent="0.2">
      <c r="A294" s="34" t="s">
        <v>122</v>
      </c>
      <c r="B294" s="28">
        <v>46279</v>
      </c>
      <c r="C294" s="34"/>
      <c r="D294" s="34" t="s">
        <v>339</v>
      </c>
      <c r="E294" s="34" t="s">
        <v>168</v>
      </c>
      <c r="F294" s="34" t="s">
        <v>169</v>
      </c>
      <c r="G294" s="34" t="s">
        <v>170</v>
      </c>
      <c r="H294" s="34" t="s">
        <v>171</v>
      </c>
      <c r="I294">
        <v>15</v>
      </c>
      <c r="J294">
        <v>0</v>
      </c>
      <c r="K294">
        <v>15</v>
      </c>
      <c r="L294">
        <v>0</v>
      </c>
      <c r="M294">
        <v>0</v>
      </c>
      <c r="N294">
        <v>0</v>
      </c>
      <c r="O294" s="28">
        <v>46278</v>
      </c>
      <c r="R294">
        <v>0</v>
      </c>
      <c r="S294">
        <v>23</v>
      </c>
      <c r="T294">
        <v>12</v>
      </c>
      <c r="U294">
        <v>12</v>
      </c>
      <c r="V294">
        <v>20260914023</v>
      </c>
    </row>
    <row r="295" spans="1:22" x14ac:dyDescent="0.2">
      <c r="A295" s="34" t="s">
        <v>122</v>
      </c>
      <c r="B295" s="28">
        <v>46279</v>
      </c>
      <c r="C295" s="34"/>
      <c r="D295" s="34" t="s">
        <v>339</v>
      </c>
      <c r="E295" s="34" t="s">
        <v>172</v>
      </c>
      <c r="F295" s="34" t="s">
        <v>173</v>
      </c>
      <c r="G295" s="34" t="s">
        <v>174</v>
      </c>
      <c r="H295" s="34" t="s">
        <v>175</v>
      </c>
      <c r="I295">
        <v>18</v>
      </c>
      <c r="J295">
        <v>0</v>
      </c>
      <c r="K295">
        <v>16</v>
      </c>
      <c r="L295">
        <v>2</v>
      </c>
      <c r="M295">
        <v>2</v>
      </c>
      <c r="N295">
        <v>0</v>
      </c>
      <c r="O295" s="28">
        <v>46278</v>
      </c>
      <c r="P295">
        <v>18.2</v>
      </c>
      <c r="Q295">
        <v>0</v>
      </c>
      <c r="R295">
        <v>0</v>
      </c>
      <c r="S295">
        <v>24</v>
      </c>
      <c r="T295">
        <v>12</v>
      </c>
      <c r="U295">
        <v>13</v>
      </c>
      <c r="V295">
        <v>20260914024</v>
      </c>
    </row>
    <row r="296" spans="1:22" x14ac:dyDescent="0.2">
      <c r="A296" s="34" t="s">
        <v>122</v>
      </c>
      <c r="B296" s="28">
        <v>46279</v>
      </c>
      <c r="C296" s="34"/>
      <c r="D296" s="34" t="s">
        <v>339</v>
      </c>
      <c r="E296" s="34" t="s">
        <v>180</v>
      </c>
      <c r="F296" s="34" t="s">
        <v>181</v>
      </c>
      <c r="G296" s="34" t="s">
        <v>182</v>
      </c>
      <c r="H296" s="34" t="s">
        <v>183</v>
      </c>
      <c r="I296">
        <v>12</v>
      </c>
      <c r="J296">
        <v>0</v>
      </c>
      <c r="K296">
        <v>12</v>
      </c>
      <c r="L296">
        <v>0</v>
      </c>
      <c r="M296">
        <v>0</v>
      </c>
      <c r="N296">
        <v>0</v>
      </c>
      <c r="O296" s="28">
        <v>46278</v>
      </c>
      <c r="R296">
        <v>0</v>
      </c>
      <c r="S296">
        <v>25</v>
      </c>
      <c r="T296">
        <v>12</v>
      </c>
      <c r="U296">
        <v>15</v>
      </c>
      <c r="V296">
        <v>20260914025</v>
      </c>
    </row>
    <row r="297" spans="1:22" x14ac:dyDescent="0.2">
      <c r="A297" s="34" t="s">
        <v>122</v>
      </c>
      <c r="B297" s="28">
        <v>46279</v>
      </c>
      <c r="C297" s="34"/>
      <c r="D297" s="34" t="s">
        <v>339</v>
      </c>
      <c r="E297" s="34" t="s">
        <v>184</v>
      </c>
      <c r="F297" s="34" t="s">
        <v>185</v>
      </c>
      <c r="G297" s="34" t="s">
        <v>186</v>
      </c>
      <c r="H297" s="34" t="s">
        <v>187</v>
      </c>
      <c r="I297">
        <v>15</v>
      </c>
      <c r="J297">
        <v>0</v>
      </c>
      <c r="K297">
        <v>14</v>
      </c>
      <c r="L297">
        <v>1</v>
      </c>
      <c r="M297">
        <v>1</v>
      </c>
      <c r="N297">
        <v>0</v>
      </c>
      <c r="O297" s="28">
        <v>46278</v>
      </c>
      <c r="R297">
        <v>0</v>
      </c>
      <c r="S297">
        <v>26</v>
      </c>
      <c r="T297">
        <v>12</v>
      </c>
      <c r="U297">
        <v>16</v>
      </c>
      <c r="V297">
        <v>20260914026</v>
      </c>
    </row>
    <row r="298" spans="1:22" x14ac:dyDescent="0.2">
      <c r="A298" s="34" t="s">
        <v>122</v>
      </c>
      <c r="B298" s="28">
        <v>46279</v>
      </c>
      <c r="C298" s="34"/>
      <c r="D298" s="34" t="s">
        <v>339</v>
      </c>
      <c r="E298" s="34" t="s">
        <v>188</v>
      </c>
      <c r="F298" s="34" t="s">
        <v>189</v>
      </c>
      <c r="G298" s="34" t="s">
        <v>190</v>
      </c>
      <c r="H298" s="34" t="s">
        <v>191</v>
      </c>
      <c r="I298">
        <v>7</v>
      </c>
      <c r="J298">
        <v>0</v>
      </c>
      <c r="K298">
        <v>5</v>
      </c>
      <c r="L298">
        <v>2</v>
      </c>
      <c r="M298">
        <v>2</v>
      </c>
      <c r="N298">
        <v>0</v>
      </c>
      <c r="O298" s="28">
        <v>46278</v>
      </c>
      <c r="P298">
        <v>14</v>
      </c>
      <c r="Q298">
        <v>0</v>
      </c>
      <c r="R298">
        <v>0</v>
      </c>
      <c r="S298">
        <v>27</v>
      </c>
      <c r="T298">
        <v>12</v>
      </c>
      <c r="U298">
        <v>21</v>
      </c>
      <c r="V298">
        <v>20260914027</v>
      </c>
    </row>
    <row r="299" spans="1:22" x14ac:dyDescent="0.2">
      <c r="A299" s="34" t="s">
        <v>122</v>
      </c>
      <c r="B299" s="28">
        <v>46279</v>
      </c>
      <c r="C299" s="34"/>
      <c r="D299" s="34" t="s">
        <v>339</v>
      </c>
      <c r="E299" s="34" t="s">
        <v>192</v>
      </c>
      <c r="F299" s="34" t="s">
        <v>193</v>
      </c>
      <c r="G299" s="34" t="s">
        <v>194</v>
      </c>
      <c r="H299" s="34" t="s">
        <v>195</v>
      </c>
      <c r="I299">
        <v>4</v>
      </c>
      <c r="J299">
        <v>0</v>
      </c>
      <c r="K299">
        <v>4</v>
      </c>
      <c r="L299">
        <v>0</v>
      </c>
      <c r="M299">
        <v>0</v>
      </c>
      <c r="N299">
        <v>0</v>
      </c>
      <c r="O299" s="28">
        <v>46278</v>
      </c>
      <c r="R299">
        <v>0</v>
      </c>
      <c r="S299">
        <v>28</v>
      </c>
      <c r="T299">
        <v>12</v>
      </c>
      <c r="U299">
        <v>22</v>
      </c>
      <c r="V299">
        <v>20260914028</v>
      </c>
    </row>
    <row r="300" spans="1:22" x14ac:dyDescent="0.2">
      <c r="A300" s="34" t="s">
        <v>122</v>
      </c>
      <c r="B300" s="28">
        <v>46279</v>
      </c>
      <c r="C300" s="34"/>
      <c r="D300" s="34" t="s">
        <v>339</v>
      </c>
      <c r="E300" s="34" t="s">
        <v>196</v>
      </c>
      <c r="F300" s="34" t="s">
        <v>197</v>
      </c>
      <c r="G300" s="34" t="s">
        <v>198</v>
      </c>
      <c r="H300" s="34" t="s">
        <v>199</v>
      </c>
      <c r="I300">
        <v>5</v>
      </c>
      <c r="J300">
        <v>0</v>
      </c>
      <c r="K300">
        <v>4</v>
      </c>
      <c r="L300">
        <v>1</v>
      </c>
      <c r="M300">
        <v>1</v>
      </c>
      <c r="N300">
        <v>0</v>
      </c>
      <c r="O300" s="28">
        <v>46278</v>
      </c>
      <c r="P300">
        <v>12.7</v>
      </c>
      <c r="Q300">
        <v>0</v>
      </c>
      <c r="R300">
        <v>0</v>
      </c>
      <c r="S300">
        <v>29</v>
      </c>
      <c r="T300">
        <v>12</v>
      </c>
      <c r="U300">
        <v>23</v>
      </c>
      <c r="V300">
        <v>20260914029</v>
      </c>
    </row>
    <row r="301" spans="1:22" x14ac:dyDescent="0.2">
      <c r="A301" s="34" t="s">
        <v>122</v>
      </c>
      <c r="B301" s="28">
        <v>46279</v>
      </c>
      <c r="C301" s="34"/>
      <c r="D301" s="34" t="s">
        <v>339</v>
      </c>
      <c r="E301" s="34" t="s">
        <v>200</v>
      </c>
      <c r="F301" s="34" t="s">
        <v>201</v>
      </c>
      <c r="G301" s="34" t="s">
        <v>202</v>
      </c>
      <c r="H301" s="34" t="s">
        <v>203</v>
      </c>
      <c r="I301">
        <v>24</v>
      </c>
      <c r="J301">
        <v>10</v>
      </c>
      <c r="K301">
        <v>21</v>
      </c>
      <c r="L301">
        <v>13</v>
      </c>
      <c r="M301">
        <v>13</v>
      </c>
      <c r="N301">
        <v>0</v>
      </c>
      <c r="O301" s="28">
        <v>46278</v>
      </c>
      <c r="P301">
        <v>12.7</v>
      </c>
      <c r="Q301">
        <v>0</v>
      </c>
      <c r="R301">
        <v>0</v>
      </c>
      <c r="S301">
        <v>30</v>
      </c>
      <c r="T301">
        <v>12</v>
      </c>
      <c r="U301">
        <v>24</v>
      </c>
      <c r="V301">
        <v>20260914030</v>
      </c>
    </row>
    <row r="302" spans="1:22" x14ac:dyDescent="0.2">
      <c r="A302" s="34" t="s">
        <v>122</v>
      </c>
      <c r="B302" s="28">
        <v>46279</v>
      </c>
      <c r="C302" s="34"/>
      <c r="D302" s="34" t="s">
        <v>339</v>
      </c>
      <c r="E302" s="34" t="s">
        <v>216</v>
      </c>
      <c r="F302" s="34" t="s">
        <v>217</v>
      </c>
      <c r="G302" s="34" t="s">
        <v>218</v>
      </c>
      <c r="H302" s="34" t="s">
        <v>219</v>
      </c>
      <c r="I302">
        <v>9</v>
      </c>
      <c r="J302">
        <v>0</v>
      </c>
      <c r="K302">
        <v>6</v>
      </c>
      <c r="L302">
        <v>3</v>
      </c>
      <c r="M302">
        <v>3</v>
      </c>
      <c r="N302">
        <v>0</v>
      </c>
      <c r="O302" s="28">
        <v>46278</v>
      </c>
      <c r="P302">
        <v>12.7</v>
      </c>
      <c r="Q302">
        <v>0</v>
      </c>
      <c r="R302">
        <v>0</v>
      </c>
      <c r="S302">
        <v>31</v>
      </c>
      <c r="T302">
        <v>12</v>
      </c>
      <c r="U302">
        <v>28</v>
      </c>
      <c r="V302">
        <v>20260914031</v>
      </c>
    </row>
    <row r="303" spans="1:22" x14ac:dyDescent="0.2">
      <c r="A303" s="34" t="s">
        <v>122</v>
      </c>
      <c r="B303" s="28">
        <v>46279</v>
      </c>
      <c r="C303" s="34"/>
      <c r="D303" s="34" t="s">
        <v>339</v>
      </c>
      <c r="E303" s="34" t="s">
        <v>220</v>
      </c>
      <c r="F303" s="34" t="s">
        <v>221</v>
      </c>
      <c r="G303" s="34" t="s">
        <v>222</v>
      </c>
      <c r="H303" s="34" t="s">
        <v>223</v>
      </c>
      <c r="I303">
        <v>13</v>
      </c>
      <c r="J303">
        <v>0</v>
      </c>
      <c r="K303">
        <v>13</v>
      </c>
      <c r="L303">
        <v>0</v>
      </c>
      <c r="M303">
        <v>0</v>
      </c>
      <c r="N303">
        <v>0</v>
      </c>
      <c r="O303" s="28">
        <v>46278</v>
      </c>
      <c r="R303">
        <v>0</v>
      </c>
      <c r="S303">
        <v>32</v>
      </c>
      <c r="T303">
        <v>12</v>
      </c>
      <c r="U303">
        <v>29</v>
      </c>
      <c r="V303">
        <v>20260914032</v>
      </c>
    </row>
    <row r="304" spans="1:22" x14ac:dyDescent="0.2">
      <c r="A304" s="34" t="s">
        <v>122</v>
      </c>
      <c r="B304" s="28">
        <v>46279</v>
      </c>
      <c r="C304" s="34"/>
      <c r="D304" s="34" t="s">
        <v>339</v>
      </c>
      <c r="E304" s="34" t="s">
        <v>224</v>
      </c>
      <c r="F304" s="34" t="s">
        <v>225</v>
      </c>
      <c r="G304" s="34" t="s">
        <v>226</v>
      </c>
      <c r="H304" s="34" t="s">
        <v>227</v>
      </c>
      <c r="I304">
        <v>6</v>
      </c>
      <c r="J304">
        <v>0</v>
      </c>
      <c r="K304">
        <v>6</v>
      </c>
      <c r="L304">
        <v>0</v>
      </c>
      <c r="M304">
        <v>0</v>
      </c>
      <c r="N304">
        <v>0</v>
      </c>
      <c r="O304" s="28">
        <v>46278</v>
      </c>
      <c r="R304">
        <v>0</v>
      </c>
      <c r="S304">
        <v>33</v>
      </c>
      <c r="T304">
        <v>12</v>
      </c>
      <c r="U304">
        <v>30</v>
      </c>
      <c r="V304">
        <v>20260914033</v>
      </c>
    </row>
    <row r="305" spans="1:22" x14ac:dyDescent="0.2">
      <c r="A305" s="34" t="s">
        <v>122</v>
      </c>
      <c r="B305" s="28">
        <v>46279</v>
      </c>
      <c r="C305" s="34"/>
      <c r="D305" s="34" t="s">
        <v>339</v>
      </c>
      <c r="E305" s="34" t="s">
        <v>232</v>
      </c>
      <c r="F305" s="34" t="s">
        <v>233</v>
      </c>
      <c r="G305" s="34" t="s">
        <v>234</v>
      </c>
      <c r="H305" s="34" t="s">
        <v>235</v>
      </c>
      <c r="I305">
        <v>12</v>
      </c>
      <c r="J305">
        <v>0</v>
      </c>
      <c r="K305">
        <v>11</v>
      </c>
      <c r="L305">
        <v>1</v>
      </c>
      <c r="M305">
        <v>1</v>
      </c>
      <c r="N305">
        <v>0</v>
      </c>
      <c r="O305" s="28">
        <v>46278</v>
      </c>
      <c r="P305">
        <v>17.899999999999999</v>
      </c>
      <c r="Q305">
        <v>0</v>
      </c>
      <c r="R305">
        <v>0</v>
      </c>
      <c r="S305">
        <v>34</v>
      </c>
      <c r="T305">
        <v>12</v>
      </c>
      <c r="U305">
        <v>32</v>
      </c>
      <c r="V305">
        <v>20260914034</v>
      </c>
    </row>
    <row r="306" spans="1:22" x14ac:dyDescent="0.2">
      <c r="A306" s="34" t="s">
        <v>122</v>
      </c>
      <c r="B306" s="28">
        <v>46279</v>
      </c>
      <c r="C306" s="34"/>
      <c r="D306" s="34" t="s">
        <v>339</v>
      </c>
      <c r="E306" s="34" t="s">
        <v>236</v>
      </c>
      <c r="F306" s="34" t="s">
        <v>237</v>
      </c>
      <c r="G306" s="34" t="s">
        <v>238</v>
      </c>
      <c r="H306" s="34" t="s">
        <v>239</v>
      </c>
      <c r="I306">
        <v>9</v>
      </c>
      <c r="J306">
        <v>0</v>
      </c>
      <c r="K306">
        <v>8</v>
      </c>
      <c r="L306">
        <v>1</v>
      </c>
      <c r="M306">
        <v>1</v>
      </c>
      <c r="N306">
        <v>0</v>
      </c>
      <c r="O306" s="28">
        <v>46278</v>
      </c>
      <c r="R306">
        <v>0</v>
      </c>
      <c r="S306">
        <v>35</v>
      </c>
      <c r="T306">
        <v>12</v>
      </c>
      <c r="U306">
        <v>33</v>
      </c>
      <c r="V306">
        <v>20260914035</v>
      </c>
    </row>
    <row r="307" spans="1:22" x14ac:dyDescent="0.2">
      <c r="A307" s="34" t="s">
        <v>122</v>
      </c>
      <c r="B307" s="28">
        <v>46279</v>
      </c>
      <c r="C307" s="34"/>
      <c r="D307" s="34" t="s">
        <v>339</v>
      </c>
      <c r="E307" s="34" t="s">
        <v>244</v>
      </c>
      <c r="F307" s="34" t="s">
        <v>245</v>
      </c>
      <c r="G307" s="34" t="s">
        <v>246</v>
      </c>
      <c r="H307" s="34" t="s">
        <v>247</v>
      </c>
      <c r="I307">
        <v>5</v>
      </c>
      <c r="J307">
        <v>0</v>
      </c>
      <c r="K307">
        <v>5</v>
      </c>
      <c r="L307">
        <v>0</v>
      </c>
      <c r="M307">
        <v>0</v>
      </c>
      <c r="N307">
        <v>0</v>
      </c>
      <c r="O307" s="28">
        <v>46278</v>
      </c>
      <c r="R307">
        <v>0</v>
      </c>
      <c r="S307">
        <v>36</v>
      </c>
      <c r="T307">
        <v>12</v>
      </c>
      <c r="U307">
        <v>35</v>
      </c>
      <c r="V307">
        <v>20260914036</v>
      </c>
    </row>
    <row r="308" spans="1:22" x14ac:dyDescent="0.2">
      <c r="A308" s="34" t="s">
        <v>122</v>
      </c>
      <c r="B308" s="28">
        <v>46279</v>
      </c>
      <c r="C308" s="34"/>
      <c r="D308" s="34" t="s">
        <v>339</v>
      </c>
      <c r="E308" s="34" t="s">
        <v>248</v>
      </c>
      <c r="F308" s="34" t="s">
        <v>249</v>
      </c>
      <c r="G308" s="34" t="s">
        <v>250</v>
      </c>
      <c r="H308" s="34" t="s">
        <v>251</v>
      </c>
      <c r="I308">
        <v>4</v>
      </c>
      <c r="J308">
        <v>0</v>
      </c>
      <c r="K308">
        <v>4</v>
      </c>
      <c r="L308">
        <v>0</v>
      </c>
      <c r="M308">
        <v>0</v>
      </c>
      <c r="N308">
        <v>0</v>
      </c>
      <c r="O308" s="28">
        <v>46278</v>
      </c>
      <c r="R308">
        <v>0</v>
      </c>
      <c r="S308">
        <v>37</v>
      </c>
      <c r="T308">
        <v>12</v>
      </c>
      <c r="U308">
        <v>36</v>
      </c>
      <c r="V308">
        <v>20260914037</v>
      </c>
    </row>
    <row r="309" spans="1:22" x14ac:dyDescent="0.2">
      <c r="A309" s="34" t="s">
        <v>122</v>
      </c>
      <c r="B309" s="28">
        <v>46279</v>
      </c>
      <c r="C309" s="34"/>
      <c r="D309" s="34" t="s">
        <v>339</v>
      </c>
      <c r="E309" s="34" t="s">
        <v>256</v>
      </c>
      <c r="F309" s="34" t="s">
        <v>257</v>
      </c>
      <c r="G309" s="34" t="s">
        <v>258</v>
      </c>
      <c r="H309" s="34" t="s">
        <v>259</v>
      </c>
      <c r="I309">
        <v>4</v>
      </c>
      <c r="J309">
        <v>0</v>
      </c>
      <c r="K309">
        <v>4</v>
      </c>
      <c r="L309">
        <v>0</v>
      </c>
      <c r="M309">
        <v>0</v>
      </c>
      <c r="N309">
        <v>0</v>
      </c>
      <c r="O309" s="28">
        <v>46278</v>
      </c>
      <c r="R309">
        <v>0</v>
      </c>
      <c r="S309">
        <v>38</v>
      </c>
      <c r="T309">
        <v>12</v>
      </c>
      <c r="U309">
        <v>38</v>
      </c>
      <c r="V309">
        <v>20260914038</v>
      </c>
    </row>
    <row r="310" spans="1:22" x14ac:dyDescent="0.2">
      <c r="A310" s="34" t="s">
        <v>122</v>
      </c>
      <c r="B310" s="28">
        <v>46279</v>
      </c>
      <c r="C310" s="34"/>
      <c r="D310" s="34" t="s">
        <v>339</v>
      </c>
      <c r="E310" s="34" t="s">
        <v>260</v>
      </c>
      <c r="F310" s="34" t="s">
        <v>261</v>
      </c>
      <c r="G310" s="34" t="s">
        <v>262</v>
      </c>
      <c r="H310" s="34" t="s">
        <v>263</v>
      </c>
      <c r="I310">
        <v>5</v>
      </c>
      <c r="J310">
        <v>0</v>
      </c>
      <c r="K310">
        <v>4</v>
      </c>
      <c r="L310">
        <v>1</v>
      </c>
      <c r="M310">
        <v>1</v>
      </c>
      <c r="N310">
        <v>0</v>
      </c>
      <c r="O310" s="28">
        <v>46278</v>
      </c>
      <c r="P310">
        <v>18.399999999999999</v>
      </c>
      <c r="Q310">
        <v>0</v>
      </c>
      <c r="R310">
        <v>0</v>
      </c>
      <c r="S310">
        <v>39</v>
      </c>
      <c r="T310">
        <v>12</v>
      </c>
      <c r="U310">
        <v>39</v>
      </c>
      <c r="V310">
        <v>20260914039</v>
      </c>
    </row>
    <row r="311" spans="1:22" x14ac:dyDescent="0.2">
      <c r="A311" s="34" t="s">
        <v>122</v>
      </c>
      <c r="B311" s="28">
        <v>46279</v>
      </c>
      <c r="C311" s="34"/>
      <c r="D311" s="34" t="s">
        <v>339</v>
      </c>
      <c r="E311" s="34" t="s">
        <v>264</v>
      </c>
      <c r="F311" s="34" t="s">
        <v>265</v>
      </c>
      <c r="G311" s="34" t="s">
        <v>266</v>
      </c>
      <c r="H311" s="34" t="s">
        <v>267</v>
      </c>
      <c r="I311">
        <v>7</v>
      </c>
      <c r="J311">
        <v>0</v>
      </c>
      <c r="K311">
        <v>5</v>
      </c>
      <c r="L311">
        <v>2</v>
      </c>
      <c r="M311">
        <v>2</v>
      </c>
      <c r="N311">
        <v>0</v>
      </c>
      <c r="O311" s="28">
        <v>46278</v>
      </c>
      <c r="P311">
        <v>18.399999999999999</v>
      </c>
      <c r="Q311">
        <v>0</v>
      </c>
      <c r="R311">
        <v>0</v>
      </c>
      <c r="S311">
        <v>40</v>
      </c>
      <c r="T311">
        <v>12</v>
      </c>
      <c r="U311">
        <v>40</v>
      </c>
      <c r="V311">
        <v>20260914040</v>
      </c>
    </row>
    <row r="312" spans="1:22" x14ac:dyDescent="0.2">
      <c r="A312" s="34" t="s">
        <v>122</v>
      </c>
      <c r="B312" s="28">
        <v>46279</v>
      </c>
      <c r="C312" s="34"/>
      <c r="D312" s="34" t="s">
        <v>339</v>
      </c>
      <c r="E312" s="34" t="s">
        <v>268</v>
      </c>
      <c r="F312" s="34" t="s">
        <v>269</v>
      </c>
      <c r="G312" s="34" t="s">
        <v>270</v>
      </c>
      <c r="H312" s="34" t="s">
        <v>271</v>
      </c>
      <c r="I312">
        <v>4</v>
      </c>
      <c r="J312">
        <v>0</v>
      </c>
      <c r="K312">
        <v>4</v>
      </c>
      <c r="L312">
        <v>0</v>
      </c>
      <c r="M312">
        <v>0</v>
      </c>
      <c r="N312">
        <v>0</v>
      </c>
      <c r="O312" s="28">
        <v>46278</v>
      </c>
      <c r="R312">
        <v>0</v>
      </c>
      <c r="S312">
        <v>41</v>
      </c>
      <c r="T312">
        <v>12</v>
      </c>
      <c r="U312">
        <v>41</v>
      </c>
      <c r="V312">
        <v>20260914041</v>
      </c>
    </row>
    <row r="313" spans="1:22" x14ac:dyDescent="0.2">
      <c r="A313" s="34" t="s">
        <v>122</v>
      </c>
      <c r="B313" s="28">
        <v>46279</v>
      </c>
      <c r="C313" s="34"/>
      <c r="D313" s="34" t="s">
        <v>339</v>
      </c>
      <c r="E313" s="34" t="s">
        <v>279</v>
      </c>
      <c r="F313" s="34" t="s">
        <v>280</v>
      </c>
      <c r="G313" s="34" t="s">
        <v>281</v>
      </c>
      <c r="H313" s="34" t="s">
        <v>282</v>
      </c>
      <c r="I313">
        <v>6</v>
      </c>
      <c r="J313">
        <v>0</v>
      </c>
      <c r="K313">
        <v>6</v>
      </c>
      <c r="L313">
        <v>0</v>
      </c>
      <c r="M313">
        <v>0</v>
      </c>
      <c r="N313">
        <v>0</v>
      </c>
      <c r="O313" s="28">
        <v>46278</v>
      </c>
      <c r="R313">
        <v>0</v>
      </c>
      <c r="S313">
        <v>42</v>
      </c>
      <c r="T313">
        <v>12</v>
      </c>
      <c r="U313">
        <v>44</v>
      </c>
      <c r="V313">
        <v>20260914042</v>
      </c>
    </row>
    <row r="314" spans="1:22" x14ac:dyDescent="0.2">
      <c r="A314" s="34" t="s">
        <v>122</v>
      </c>
      <c r="B314" s="28">
        <v>46279</v>
      </c>
      <c r="C314" s="34"/>
      <c r="D314" s="34" t="s">
        <v>339</v>
      </c>
      <c r="E314" s="34" t="s">
        <v>283</v>
      </c>
      <c r="F314" s="34" t="s">
        <v>284</v>
      </c>
      <c r="G314" s="34" t="s">
        <v>285</v>
      </c>
      <c r="H314" s="34" t="s">
        <v>286</v>
      </c>
      <c r="I314">
        <v>13</v>
      </c>
      <c r="J314">
        <v>0</v>
      </c>
      <c r="K314">
        <v>13</v>
      </c>
      <c r="L314">
        <v>0</v>
      </c>
      <c r="M314">
        <v>0</v>
      </c>
      <c r="N314">
        <v>0</v>
      </c>
      <c r="O314" s="28">
        <v>46278</v>
      </c>
      <c r="R314">
        <v>0</v>
      </c>
      <c r="S314">
        <v>43</v>
      </c>
      <c r="T314">
        <v>12</v>
      </c>
      <c r="U314">
        <v>45</v>
      </c>
      <c r="V314">
        <v>20260914043</v>
      </c>
    </row>
    <row r="315" spans="1:22" x14ac:dyDescent="0.2">
      <c r="A315" s="34" t="s">
        <v>122</v>
      </c>
      <c r="B315" s="28">
        <v>46279</v>
      </c>
      <c r="C315" s="34"/>
      <c r="D315" s="34" t="s">
        <v>339</v>
      </c>
      <c r="E315" s="34" t="s">
        <v>287</v>
      </c>
      <c r="F315" s="34" t="s">
        <v>288</v>
      </c>
      <c r="G315" s="34" t="s">
        <v>289</v>
      </c>
      <c r="H315" s="34" t="s">
        <v>290</v>
      </c>
      <c r="I315">
        <v>26</v>
      </c>
      <c r="J315">
        <v>0</v>
      </c>
      <c r="K315">
        <v>23</v>
      </c>
      <c r="L315">
        <v>3</v>
      </c>
      <c r="M315">
        <v>3</v>
      </c>
      <c r="N315">
        <v>0</v>
      </c>
      <c r="O315" s="28">
        <v>46278</v>
      </c>
      <c r="P315">
        <v>16.7</v>
      </c>
      <c r="Q315">
        <v>0</v>
      </c>
      <c r="R315">
        <v>0</v>
      </c>
      <c r="S315">
        <v>44</v>
      </c>
      <c r="T315">
        <v>12</v>
      </c>
      <c r="U315">
        <v>46</v>
      </c>
      <c r="V315">
        <v>20260914044</v>
      </c>
    </row>
    <row r="316" spans="1:22" x14ac:dyDescent="0.2">
      <c r="A316" s="34" t="s">
        <v>122</v>
      </c>
      <c r="B316" s="28">
        <v>46279</v>
      </c>
      <c r="C316" s="34"/>
      <c r="D316" s="34" t="s">
        <v>339</v>
      </c>
      <c r="E316" s="34" t="s">
        <v>291</v>
      </c>
      <c r="F316" s="34" t="s">
        <v>342</v>
      </c>
      <c r="G316" s="34" t="s">
        <v>292</v>
      </c>
      <c r="H316" s="34" t="s">
        <v>293</v>
      </c>
      <c r="I316">
        <v>23</v>
      </c>
      <c r="J316">
        <v>0</v>
      </c>
      <c r="K316">
        <v>23</v>
      </c>
      <c r="L316">
        <v>0</v>
      </c>
      <c r="M316">
        <v>0</v>
      </c>
      <c r="N316">
        <v>0</v>
      </c>
      <c r="O316" s="28">
        <v>46278</v>
      </c>
      <c r="R316">
        <v>0</v>
      </c>
      <c r="S316">
        <v>45</v>
      </c>
      <c r="T316">
        <v>12</v>
      </c>
      <c r="U316">
        <v>47</v>
      </c>
      <c r="V316">
        <v>20260914045</v>
      </c>
    </row>
    <row r="317" spans="1:22" x14ac:dyDescent="0.2">
      <c r="A317" s="34" t="s">
        <v>122</v>
      </c>
      <c r="B317" s="28">
        <v>46279</v>
      </c>
      <c r="C317" s="34"/>
      <c r="D317" s="34" t="s">
        <v>339</v>
      </c>
      <c r="E317" s="34" t="s">
        <v>294</v>
      </c>
      <c r="F317" s="34" t="s">
        <v>295</v>
      </c>
      <c r="G317" s="34" t="s">
        <v>296</v>
      </c>
      <c r="H317" s="34" t="s">
        <v>297</v>
      </c>
      <c r="I317">
        <v>11</v>
      </c>
      <c r="J317">
        <v>0</v>
      </c>
      <c r="K317">
        <v>10</v>
      </c>
      <c r="L317">
        <v>1</v>
      </c>
      <c r="M317">
        <v>1</v>
      </c>
      <c r="N317">
        <v>0</v>
      </c>
      <c r="O317" s="28">
        <v>46278</v>
      </c>
      <c r="P317">
        <v>12.8</v>
      </c>
      <c r="Q317">
        <v>0</v>
      </c>
      <c r="R317">
        <v>0</v>
      </c>
      <c r="S317">
        <v>46</v>
      </c>
      <c r="T317">
        <v>12</v>
      </c>
      <c r="U317">
        <v>48</v>
      </c>
      <c r="V317">
        <v>20260914046</v>
      </c>
    </row>
    <row r="318" spans="1:22" x14ac:dyDescent="0.2">
      <c r="A318" s="34" t="s">
        <v>122</v>
      </c>
      <c r="B318" s="28">
        <v>46279</v>
      </c>
      <c r="C318" s="34"/>
      <c r="D318" s="34" t="s">
        <v>339</v>
      </c>
      <c r="E318" s="34" t="s">
        <v>298</v>
      </c>
      <c r="F318" s="34" t="s">
        <v>299</v>
      </c>
      <c r="G318" s="34" t="s">
        <v>300</v>
      </c>
      <c r="H318" s="34" t="s">
        <v>301</v>
      </c>
      <c r="I318">
        <v>14</v>
      </c>
      <c r="J318">
        <v>0</v>
      </c>
      <c r="K318">
        <v>13</v>
      </c>
      <c r="L318">
        <v>1</v>
      </c>
      <c r="M318">
        <v>1</v>
      </c>
      <c r="N318">
        <v>0</v>
      </c>
      <c r="O318" s="28">
        <v>46278</v>
      </c>
      <c r="P318">
        <v>12.8</v>
      </c>
      <c r="Q318">
        <v>0</v>
      </c>
      <c r="R318">
        <v>0</v>
      </c>
      <c r="S318">
        <v>47</v>
      </c>
      <c r="T318">
        <v>12</v>
      </c>
      <c r="U318">
        <v>49</v>
      </c>
      <c r="V318">
        <v>20260914047</v>
      </c>
    </row>
    <row r="319" spans="1:22" x14ac:dyDescent="0.2">
      <c r="A319" s="34" t="s">
        <v>122</v>
      </c>
      <c r="B319" s="28">
        <v>46279</v>
      </c>
      <c r="C319" s="34"/>
      <c r="D319" s="34" t="s">
        <v>339</v>
      </c>
      <c r="E319" s="34" t="s">
        <v>302</v>
      </c>
      <c r="F319" s="34" t="s">
        <v>303</v>
      </c>
      <c r="G319" s="34" t="s">
        <v>304</v>
      </c>
      <c r="H319" s="34" t="s">
        <v>305</v>
      </c>
      <c r="I319">
        <v>8</v>
      </c>
      <c r="J319">
        <v>0</v>
      </c>
      <c r="K319">
        <v>8</v>
      </c>
      <c r="L319">
        <v>0</v>
      </c>
      <c r="M319">
        <v>0</v>
      </c>
      <c r="N319">
        <v>0</v>
      </c>
      <c r="O319" s="28">
        <v>46278</v>
      </c>
      <c r="R319">
        <v>0</v>
      </c>
      <c r="S319">
        <v>48</v>
      </c>
      <c r="T319">
        <v>12</v>
      </c>
      <c r="U319">
        <v>50</v>
      </c>
      <c r="V319">
        <v>20260914048</v>
      </c>
    </row>
    <row r="320" spans="1:22" x14ac:dyDescent="0.2">
      <c r="A320" s="34" t="s">
        <v>122</v>
      </c>
      <c r="B320" s="28">
        <v>46279</v>
      </c>
      <c r="C320" s="34"/>
      <c r="D320" s="34" t="s">
        <v>339</v>
      </c>
      <c r="E320" s="34" t="s">
        <v>306</v>
      </c>
      <c r="F320" s="34" t="s">
        <v>307</v>
      </c>
      <c r="G320" s="34" t="s">
        <v>308</v>
      </c>
      <c r="H320" s="34" t="s">
        <v>309</v>
      </c>
      <c r="I320">
        <v>11</v>
      </c>
      <c r="J320">
        <v>0</v>
      </c>
      <c r="K320">
        <v>10</v>
      </c>
      <c r="L320">
        <v>1</v>
      </c>
      <c r="M320">
        <v>1</v>
      </c>
      <c r="N320">
        <v>0</v>
      </c>
      <c r="O320" s="28">
        <v>46278</v>
      </c>
      <c r="P320">
        <v>12.8</v>
      </c>
      <c r="Q320">
        <v>0</v>
      </c>
      <c r="R320">
        <v>0</v>
      </c>
      <c r="S320">
        <v>49</v>
      </c>
      <c r="T320">
        <v>12</v>
      </c>
      <c r="U320">
        <v>51</v>
      </c>
      <c r="V320">
        <v>20260914049</v>
      </c>
    </row>
    <row r="321" spans="1:22" x14ac:dyDescent="0.2">
      <c r="A321" s="34" t="s">
        <v>122</v>
      </c>
      <c r="B321" s="28">
        <v>46279</v>
      </c>
      <c r="C321" s="34"/>
      <c r="D321" s="34" t="s">
        <v>339</v>
      </c>
      <c r="E321" s="34" t="s">
        <v>314</v>
      </c>
      <c r="F321" s="34" t="s">
        <v>315</v>
      </c>
      <c r="G321" s="34" t="s">
        <v>316</v>
      </c>
      <c r="H321" s="34" t="s">
        <v>317</v>
      </c>
      <c r="I321">
        <v>31</v>
      </c>
      <c r="J321">
        <v>0</v>
      </c>
      <c r="K321">
        <v>31</v>
      </c>
      <c r="L321">
        <v>0</v>
      </c>
      <c r="M321">
        <v>0</v>
      </c>
      <c r="N321">
        <v>0</v>
      </c>
      <c r="O321" s="28">
        <v>46278</v>
      </c>
      <c r="R321">
        <v>0</v>
      </c>
      <c r="S321">
        <v>50</v>
      </c>
      <c r="T321">
        <v>12</v>
      </c>
      <c r="U321">
        <v>53</v>
      </c>
      <c r="V321">
        <v>20260914050</v>
      </c>
    </row>
    <row r="322" spans="1:22" x14ac:dyDescent="0.2">
      <c r="A322" s="34" t="s">
        <v>122</v>
      </c>
      <c r="B322" s="28">
        <v>46279</v>
      </c>
      <c r="C322" s="34"/>
      <c r="D322" s="34" t="s">
        <v>339</v>
      </c>
      <c r="E322" s="34" t="s">
        <v>318</v>
      </c>
      <c r="F322" s="34" t="s">
        <v>319</v>
      </c>
      <c r="G322" s="34" t="s">
        <v>320</v>
      </c>
      <c r="H322" s="34" t="s">
        <v>321</v>
      </c>
      <c r="I322">
        <v>5</v>
      </c>
      <c r="J322">
        <v>0</v>
      </c>
      <c r="K322">
        <v>4</v>
      </c>
      <c r="L322">
        <v>1</v>
      </c>
      <c r="M322">
        <v>1</v>
      </c>
      <c r="N322">
        <v>0</v>
      </c>
      <c r="O322" s="28">
        <v>46278</v>
      </c>
      <c r="P322">
        <v>16.399999999999999</v>
      </c>
      <c r="Q322">
        <v>0</v>
      </c>
      <c r="R322">
        <v>0</v>
      </c>
      <c r="S322">
        <v>51</v>
      </c>
      <c r="T322">
        <v>12</v>
      </c>
      <c r="U322">
        <v>54</v>
      </c>
      <c r="V322">
        <v>20260914051</v>
      </c>
    </row>
    <row r="323" spans="1:22" x14ac:dyDescent="0.2">
      <c r="A323" s="34" t="s">
        <v>122</v>
      </c>
      <c r="B323" s="28">
        <v>46279</v>
      </c>
      <c r="C323" s="34"/>
      <c r="D323" s="34" t="s">
        <v>339</v>
      </c>
      <c r="E323" s="34" t="s">
        <v>322</v>
      </c>
      <c r="F323" s="34" t="s">
        <v>323</v>
      </c>
      <c r="G323" s="34" t="s">
        <v>324</v>
      </c>
      <c r="H323" s="34" t="s">
        <v>325</v>
      </c>
      <c r="I323">
        <v>7</v>
      </c>
      <c r="J323">
        <v>0</v>
      </c>
      <c r="K323">
        <v>7</v>
      </c>
      <c r="L323">
        <v>0</v>
      </c>
      <c r="M323">
        <v>0</v>
      </c>
      <c r="N323">
        <v>0</v>
      </c>
      <c r="O323" s="28">
        <v>46278</v>
      </c>
      <c r="R323">
        <v>0</v>
      </c>
      <c r="S323">
        <v>52</v>
      </c>
      <c r="T323">
        <v>12</v>
      </c>
      <c r="U323">
        <v>55</v>
      </c>
      <c r="V323">
        <v>20260914052</v>
      </c>
    </row>
    <row r="324" spans="1:22" x14ac:dyDescent="0.2">
      <c r="A324" s="34" t="s">
        <v>122</v>
      </c>
      <c r="B324" s="28">
        <v>46279</v>
      </c>
      <c r="C324" s="34"/>
      <c r="D324" s="34" t="s">
        <v>339</v>
      </c>
      <c r="E324" s="34" t="s">
        <v>330</v>
      </c>
      <c r="F324" s="34" t="s">
        <v>331</v>
      </c>
      <c r="G324" s="34" t="s">
        <v>332</v>
      </c>
      <c r="H324" s="34" t="s">
        <v>333</v>
      </c>
      <c r="I324">
        <v>4</v>
      </c>
      <c r="J324">
        <v>0</v>
      </c>
      <c r="K324">
        <v>4</v>
      </c>
      <c r="L324">
        <v>0</v>
      </c>
      <c r="M324">
        <v>0</v>
      </c>
      <c r="N324">
        <v>0</v>
      </c>
      <c r="O324" s="28">
        <v>46278</v>
      </c>
      <c r="R324">
        <v>0</v>
      </c>
      <c r="S324">
        <v>53</v>
      </c>
      <c r="T324">
        <v>12</v>
      </c>
      <c r="U324">
        <v>74</v>
      </c>
      <c r="V324">
        <v>20260914053</v>
      </c>
    </row>
    <row r="325" spans="1:22" x14ac:dyDescent="0.2">
      <c r="A325" s="34" t="s">
        <v>122</v>
      </c>
      <c r="B325" s="28">
        <v>46279</v>
      </c>
      <c r="C325" s="34"/>
      <c r="D325" s="34" t="s">
        <v>339</v>
      </c>
      <c r="E325" s="34" t="s">
        <v>334</v>
      </c>
      <c r="F325" s="34" t="s">
        <v>335</v>
      </c>
      <c r="G325" s="34" t="s">
        <v>336</v>
      </c>
      <c r="H325" s="34" t="s">
        <v>337</v>
      </c>
      <c r="I325">
        <v>17</v>
      </c>
      <c r="J325">
        <v>0</v>
      </c>
      <c r="K325">
        <v>15</v>
      </c>
      <c r="L325">
        <v>2</v>
      </c>
      <c r="M325">
        <v>2</v>
      </c>
      <c r="N325">
        <v>0</v>
      </c>
      <c r="O325" s="28">
        <v>46278</v>
      </c>
      <c r="P325">
        <v>16.600000000000001</v>
      </c>
      <c r="Q325">
        <v>0</v>
      </c>
      <c r="R325">
        <v>0</v>
      </c>
      <c r="S325">
        <v>54</v>
      </c>
      <c r="T325">
        <v>12</v>
      </c>
      <c r="U325">
        <v>75</v>
      </c>
      <c r="V325">
        <v>20260914054</v>
      </c>
    </row>
    <row r="326" spans="1:22" x14ac:dyDescent="0.2">
      <c r="A326" s="34" t="s">
        <v>122</v>
      </c>
      <c r="B326" s="28">
        <v>46280</v>
      </c>
      <c r="C326" s="34"/>
      <c r="D326" s="34" t="s">
        <v>340</v>
      </c>
      <c r="E326" s="34" t="s">
        <v>164</v>
      </c>
      <c r="F326" s="34" t="s">
        <v>165</v>
      </c>
      <c r="G326" s="34" t="s">
        <v>166</v>
      </c>
      <c r="H326" s="34" t="s">
        <v>167</v>
      </c>
      <c r="I326">
        <v>25</v>
      </c>
      <c r="J326">
        <v>0</v>
      </c>
      <c r="K326">
        <v>27</v>
      </c>
      <c r="L326">
        <v>-2</v>
      </c>
      <c r="M326">
        <v>28</v>
      </c>
      <c r="N326">
        <v>-30</v>
      </c>
      <c r="O326" s="28">
        <v>46279</v>
      </c>
      <c r="P326">
        <v>18.2</v>
      </c>
      <c r="Q326">
        <v>-546</v>
      </c>
      <c r="R326">
        <v>30</v>
      </c>
      <c r="S326">
        <v>1</v>
      </c>
      <c r="T326">
        <v>11</v>
      </c>
      <c r="U326">
        <v>11</v>
      </c>
      <c r="V326">
        <v>20260915001</v>
      </c>
    </row>
    <row r="327" spans="1:22" x14ac:dyDescent="0.2">
      <c r="A327" s="34" t="s">
        <v>122</v>
      </c>
      <c r="B327" s="28">
        <v>46280</v>
      </c>
      <c r="C327" s="34"/>
      <c r="D327" s="34" t="s">
        <v>340</v>
      </c>
      <c r="E327" s="34" t="s">
        <v>252</v>
      </c>
      <c r="F327" s="34" t="s">
        <v>253</v>
      </c>
      <c r="G327" s="34" t="s">
        <v>254</v>
      </c>
      <c r="H327" s="34" t="s">
        <v>255</v>
      </c>
      <c r="I327">
        <v>12</v>
      </c>
      <c r="J327">
        <v>0</v>
      </c>
      <c r="K327">
        <v>20</v>
      </c>
      <c r="L327">
        <v>-8</v>
      </c>
      <c r="M327">
        <v>12</v>
      </c>
      <c r="N327">
        <v>-20</v>
      </c>
      <c r="O327" s="28">
        <v>46279</v>
      </c>
      <c r="P327">
        <v>18.399999999999999</v>
      </c>
      <c r="Q327">
        <v>-368</v>
      </c>
      <c r="R327">
        <v>20</v>
      </c>
      <c r="S327">
        <v>2</v>
      </c>
      <c r="T327">
        <v>11</v>
      </c>
      <c r="U327">
        <v>37</v>
      </c>
      <c r="V327">
        <v>20260915002</v>
      </c>
    </row>
    <row r="328" spans="1:22" x14ac:dyDescent="0.2">
      <c r="A328" s="34" t="s">
        <v>122</v>
      </c>
      <c r="B328" s="28">
        <v>46280</v>
      </c>
      <c r="C328" s="34"/>
      <c r="D328" s="34" t="s">
        <v>340</v>
      </c>
      <c r="E328" s="34" t="s">
        <v>124</v>
      </c>
      <c r="F328" s="34" t="s">
        <v>125</v>
      </c>
      <c r="G328" s="34" t="s">
        <v>126</v>
      </c>
      <c r="H328" s="34" t="s">
        <v>127</v>
      </c>
      <c r="I328">
        <v>6</v>
      </c>
      <c r="J328">
        <v>0</v>
      </c>
      <c r="K328">
        <v>5</v>
      </c>
      <c r="L328">
        <v>1</v>
      </c>
      <c r="M328">
        <v>11</v>
      </c>
      <c r="N328">
        <v>-10</v>
      </c>
      <c r="O328" s="28">
        <v>46279</v>
      </c>
      <c r="P328">
        <v>17.27</v>
      </c>
      <c r="Q328">
        <v>-172.7</v>
      </c>
      <c r="R328">
        <v>10</v>
      </c>
      <c r="S328">
        <v>3</v>
      </c>
      <c r="T328">
        <v>11</v>
      </c>
      <c r="U328">
        <v>1</v>
      </c>
      <c r="V328">
        <v>20260915003</v>
      </c>
    </row>
    <row r="329" spans="1:22" x14ac:dyDescent="0.2">
      <c r="A329" s="34" t="s">
        <v>122</v>
      </c>
      <c r="B329" s="28">
        <v>46280</v>
      </c>
      <c r="C329" s="34"/>
      <c r="D329" s="34" t="s">
        <v>340</v>
      </c>
      <c r="E329" s="34" t="s">
        <v>200</v>
      </c>
      <c r="F329" s="34" t="s">
        <v>201</v>
      </c>
      <c r="G329" s="34" t="s">
        <v>202</v>
      </c>
      <c r="H329" s="34" t="s">
        <v>203</v>
      </c>
      <c r="I329">
        <v>21</v>
      </c>
      <c r="J329">
        <v>0</v>
      </c>
      <c r="K329">
        <v>20</v>
      </c>
      <c r="L329">
        <v>1</v>
      </c>
      <c r="M329">
        <v>11</v>
      </c>
      <c r="N329">
        <v>-10</v>
      </c>
      <c r="O329" s="28">
        <v>46279</v>
      </c>
      <c r="P329">
        <v>12.7</v>
      </c>
      <c r="Q329">
        <v>-127</v>
      </c>
      <c r="R329">
        <v>10</v>
      </c>
      <c r="S329">
        <v>4</v>
      </c>
      <c r="T329">
        <v>11</v>
      </c>
      <c r="U329">
        <v>24</v>
      </c>
      <c r="V329">
        <v>20260915004</v>
      </c>
    </row>
    <row r="330" spans="1:22" x14ac:dyDescent="0.2">
      <c r="A330" s="34" t="s">
        <v>122</v>
      </c>
      <c r="B330" s="28">
        <v>46280</v>
      </c>
      <c r="C330" s="34"/>
      <c r="D330" s="34" t="s">
        <v>340</v>
      </c>
      <c r="E330" s="34" t="s">
        <v>212</v>
      </c>
      <c r="F330" s="34" t="s">
        <v>213</v>
      </c>
      <c r="G330" s="34" t="s">
        <v>214</v>
      </c>
      <c r="H330" s="34" t="s">
        <v>215</v>
      </c>
      <c r="I330">
        <v>15</v>
      </c>
      <c r="J330">
        <v>0</v>
      </c>
      <c r="K330">
        <v>19</v>
      </c>
      <c r="L330">
        <v>-4</v>
      </c>
      <c r="M330">
        <v>6</v>
      </c>
      <c r="N330">
        <v>-10</v>
      </c>
      <c r="O330" s="28">
        <v>46279</v>
      </c>
      <c r="P330">
        <v>12.7</v>
      </c>
      <c r="Q330">
        <v>-127</v>
      </c>
      <c r="R330">
        <v>10</v>
      </c>
      <c r="S330">
        <v>5</v>
      </c>
      <c r="T330">
        <v>11</v>
      </c>
      <c r="U330">
        <v>27</v>
      </c>
      <c r="V330">
        <v>20260915005</v>
      </c>
    </row>
    <row r="331" spans="1:22" x14ac:dyDescent="0.2">
      <c r="A331" s="34" t="s">
        <v>122</v>
      </c>
      <c r="B331" s="28">
        <v>46280</v>
      </c>
      <c r="C331" s="34"/>
      <c r="D331" s="34" t="s">
        <v>340</v>
      </c>
      <c r="E331" s="34" t="s">
        <v>264</v>
      </c>
      <c r="F331" s="34" t="s">
        <v>265</v>
      </c>
      <c r="G331" s="34" t="s">
        <v>266</v>
      </c>
      <c r="H331" s="34" t="s">
        <v>267</v>
      </c>
      <c r="I331">
        <v>5</v>
      </c>
      <c r="J331">
        <v>0</v>
      </c>
      <c r="K331">
        <v>7</v>
      </c>
      <c r="L331">
        <v>-2</v>
      </c>
      <c r="M331">
        <v>8</v>
      </c>
      <c r="N331">
        <v>-10</v>
      </c>
      <c r="O331" s="28">
        <v>46279</v>
      </c>
      <c r="P331">
        <v>18.399999999999999</v>
      </c>
      <c r="Q331">
        <v>-184</v>
      </c>
      <c r="R331">
        <v>10</v>
      </c>
      <c r="S331">
        <v>6</v>
      </c>
      <c r="T331">
        <v>11</v>
      </c>
      <c r="U331">
        <v>40</v>
      </c>
      <c r="V331">
        <v>20260915006</v>
      </c>
    </row>
    <row r="332" spans="1:22" x14ac:dyDescent="0.2">
      <c r="A332" s="34" t="s">
        <v>122</v>
      </c>
      <c r="B332" s="28">
        <v>46280</v>
      </c>
      <c r="C332" s="34"/>
      <c r="D332" s="34" t="s">
        <v>340</v>
      </c>
      <c r="E332" s="34" t="s">
        <v>272</v>
      </c>
      <c r="F332" s="34" t="s">
        <v>341</v>
      </c>
      <c r="G332" s="34" t="s">
        <v>273</v>
      </c>
      <c r="H332" s="34" t="s">
        <v>274</v>
      </c>
      <c r="I332">
        <v>11</v>
      </c>
      <c r="J332">
        <v>0</v>
      </c>
      <c r="K332">
        <v>16</v>
      </c>
      <c r="L332">
        <v>-5</v>
      </c>
      <c r="M332">
        <v>5</v>
      </c>
      <c r="N332">
        <v>-10</v>
      </c>
      <c r="O332" s="28">
        <v>46279</v>
      </c>
      <c r="P332">
        <v>18.399999999999999</v>
      </c>
      <c r="Q332">
        <v>-184</v>
      </c>
      <c r="R332">
        <v>10</v>
      </c>
      <c r="S332">
        <v>7</v>
      </c>
      <c r="T332">
        <v>11</v>
      </c>
      <c r="U332">
        <v>42</v>
      </c>
      <c r="V332">
        <v>20260915007</v>
      </c>
    </row>
    <row r="333" spans="1:22" x14ac:dyDescent="0.2">
      <c r="A333" s="34" t="s">
        <v>122</v>
      </c>
      <c r="B333" s="28">
        <v>46280</v>
      </c>
      <c r="C333" s="34"/>
      <c r="D333" s="34" t="s">
        <v>340</v>
      </c>
      <c r="E333" s="34" t="s">
        <v>204</v>
      </c>
      <c r="F333" s="34" t="s">
        <v>205</v>
      </c>
      <c r="G333" s="34" t="s">
        <v>206</v>
      </c>
      <c r="H333" s="34" t="s">
        <v>207</v>
      </c>
      <c r="I333">
        <v>8</v>
      </c>
      <c r="J333">
        <v>0</v>
      </c>
      <c r="K333">
        <v>6</v>
      </c>
      <c r="L333">
        <v>2</v>
      </c>
      <c r="M333">
        <v>0</v>
      </c>
      <c r="N333">
        <v>2</v>
      </c>
      <c r="O333" s="28">
        <v>46279</v>
      </c>
      <c r="R333">
        <v>2</v>
      </c>
      <c r="S333">
        <v>8</v>
      </c>
      <c r="T333">
        <v>11</v>
      </c>
      <c r="U333">
        <v>25</v>
      </c>
      <c r="V333">
        <v>20260915008</v>
      </c>
    </row>
    <row r="334" spans="1:22" x14ac:dyDescent="0.2">
      <c r="A334" s="34" t="s">
        <v>122</v>
      </c>
      <c r="B334" s="28">
        <v>46280</v>
      </c>
      <c r="C334" s="34"/>
      <c r="D334" s="34" t="s">
        <v>340</v>
      </c>
      <c r="E334" s="34" t="s">
        <v>275</v>
      </c>
      <c r="F334" s="34" t="s">
        <v>276</v>
      </c>
      <c r="G334" s="34" t="s">
        <v>277</v>
      </c>
      <c r="H334" s="34" t="s">
        <v>278</v>
      </c>
      <c r="I334">
        <v>3</v>
      </c>
      <c r="J334">
        <v>0</v>
      </c>
      <c r="K334">
        <v>5</v>
      </c>
      <c r="L334">
        <v>-2</v>
      </c>
      <c r="M334">
        <v>0</v>
      </c>
      <c r="N334">
        <v>-2</v>
      </c>
      <c r="O334" s="28">
        <v>46279</v>
      </c>
      <c r="R334">
        <v>2</v>
      </c>
      <c r="S334">
        <v>9</v>
      </c>
      <c r="T334">
        <v>11</v>
      </c>
      <c r="U334">
        <v>43</v>
      </c>
      <c r="V334">
        <v>20260915009</v>
      </c>
    </row>
    <row r="335" spans="1:22" x14ac:dyDescent="0.2">
      <c r="A335" s="34" t="s">
        <v>122</v>
      </c>
      <c r="B335" s="28">
        <v>46280</v>
      </c>
      <c r="C335" s="34"/>
      <c r="D335" s="34" t="s">
        <v>340</v>
      </c>
      <c r="E335" s="34" t="s">
        <v>176</v>
      </c>
      <c r="F335" s="34" t="s">
        <v>177</v>
      </c>
      <c r="G335" s="34" t="s">
        <v>178</v>
      </c>
      <c r="H335" s="34" t="s">
        <v>179</v>
      </c>
      <c r="I335">
        <v>30</v>
      </c>
      <c r="J335">
        <v>0</v>
      </c>
      <c r="K335">
        <v>18</v>
      </c>
      <c r="L335">
        <v>12</v>
      </c>
      <c r="M335">
        <v>11</v>
      </c>
      <c r="N335">
        <v>1</v>
      </c>
      <c r="O335" s="28">
        <v>46279</v>
      </c>
      <c r="P335">
        <v>17.07</v>
      </c>
      <c r="Q335">
        <v>17.07</v>
      </c>
      <c r="R335">
        <v>1</v>
      </c>
      <c r="S335">
        <v>10</v>
      </c>
      <c r="T335">
        <v>11</v>
      </c>
      <c r="U335">
        <v>14</v>
      </c>
      <c r="V335">
        <v>20260915010</v>
      </c>
    </row>
    <row r="336" spans="1:22" x14ac:dyDescent="0.2">
      <c r="A336" s="34" t="s">
        <v>122</v>
      </c>
      <c r="B336" s="28">
        <v>46280</v>
      </c>
      <c r="C336" s="34"/>
      <c r="D336" s="34" t="s">
        <v>340</v>
      </c>
      <c r="E336" s="34" t="s">
        <v>128</v>
      </c>
      <c r="F336" s="34" t="s">
        <v>129</v>
      </c>
      <c r="G336" s="34" t="s">
        <v>130</v>
      </c>
      <c r="H336" s="34" t="s">
        <v>131</v>
      </c>
      <c r="I336">
        <v>5</v>
      </c>
      <c r="J336">
        <v>0</v>
      </c>
      <c r="K336">
        <v>5</v>
      </c>
      <c r="L336">
        <v>0</v>
      </c>
      <c r="M336">
        <v>0</v>
      </c>
      <c r="N336">
        <v>0</v>
      </c>
      <c r="O336" s="28">
        <v>46279</v>
      </c>
      <c r="R336">
        <v>0</v>
      </c>
      <c r="S336">
        <v>11</v>
      </c>
      <c r="T336">
        <v>11</v>
      </c>
      <c r="U336">
        <v>2</v>
      </c>
      <c r="V336">
        <v>20260915011</v>
      </c>
    </row>
    <row r="337" spans="1:22" x14ac:dyDescent="0.2">
      <c r="A337" s="34" t="s">
        <v>122</v>
      </c>
      <c r="B337" s="28">
        <v>46280</v>
      </c>
      <c r="C337" s="34"/>
      <c r="D337" s="34" t="s">
        <v>340</v>
      </c>
      <c r="E337" s="34" t="s">
        <v>132</v>
      </c>
      <c r="F337" s="34" t="s">
        <v>133</v>
      </c>
      <c r="G337" s="34" t="s">
        <v>134</v>
      </c>
      <c r="H337" s="34" t="s">
        <v>135</v>
      </c>
      <c r="I337">
        <v>4</v>
      </c>
      <c r="J337">
        <v>0</v>
      </c>
      <c r="K337">
        <v>4</v>
      </c>
      <c r="L337">
        <v>0</v>
      </c>
      <c r="M337">
        <v>0</v>
      </c>
      <c r="N337">
        <v>0</v>
      </c>
      <c r="O337" s="28">
        <v>46279</v>
      </c>
      <c r="R337">
        <v>0</v>
      </c>
      <c r="S337">
        <v>12</v>
      </c>
      <c r="T337">
        <v>11</v>
      </c>
      <c r="U337">
        <v>3</v>
      </c>
      <c r="V337">
        <v>20260915012</v>
      </c>
    </row>
    <row r="338" spans="1:22" x14ac:dyDescent="0.2">
      <c r="A338" s="34" t="s">
        <v>122</v>
      </c>
      <c r="B338" s="28">
        <v>46280</v>
      </c>
      <c r="C338" s="34"/>
      <c r="D338" s="34" t="s">
        <v>340</v>
      </c>
      <c r="E338" s="34" t="s">
        <v>136</v>
      </c>
      <c r="F338" s="34" t="s">
        <v>137</v>
      </c>
      <c r="G338" s="34" t="s">
        <v>138</v>
      </c>
      <c r="H338" s="34" t="s">
        <v>139</v>
      </c>
      <c r="I338">
        <v>13</v>
      </c>
      <c r="J338">
        <v>0</v>
      </c>
      <c r="K338">
        <v>9</v>
      </c>
      <c r="L338">
        <v>4</v>
      </c>
      <c r="M338">
        <v>4</v>
      </c>
      <c r="N338">
        <v>0</v>
      </c>
      <c r="O338" s="28">
        <v>46279</v>
      </c>
      <c r="P338">
        <v>12.8</v>
      </c>
      <c r="Q338">
        <v>0</v>
      </c>
      <c r="R338">
        <v>0</v>
      </c>
      <c r="S338">
        <v>13</v>
      </c>
      <c r="T338">
        <v>11</v>
      </c>
      <c r="U338">
        <v>4</v>
      </c>
      <c r="V338">
        <v>20260915013</v>
      </c>
    </row>
    <row r="339" spans="1:22" x14ac:dyDescent="0.2">
      <c r="A339" s="34" t="s">
        <v>122</v>
      </c>
      <c r="B339" s="28">
        <v>46280</v>
      </c>
      <c r="C339" s="34"/>
      <c r="D339" s="34" t="s">
        <v>340</v>
      </c>
      <c r="E339" s="34" t="s">
        <v>140</v>
      </c>
      <c r="F339" s="34" t="s">
        <v>141</v>
      </c>
      <c r="G339" s="34" t="s">
        <v>142</v>
      </c>
      <c r="H339" s="34" t="s">
        <v>143</v>
      </c>
      <c r="I339">
        <v>4</v>
      </c>
      <c r="J339">
        <v>0</v>
      </c>
      <c r="K339">
        <v>4</v>
      </c>
      <c r="L339">
        <v>0</v>
      </c>
      <c r="M339">
        <v>0</v>
      </c>
      <c r="N339">
        <v>0</v>
      </c>
      <c r="O339" s="28">
        <v>46279</v>
      </c>
      <c r="R339">
        <v>0</v>
      </c>
      <c r="S339">
        <v>14</v>
      </c>
      <c r="T339">
        <v>11</v>
      </c>
      <c r="U339">
        <v>5</v>
      </c>
      <c r="V339">
        <v>20260915014</v>
      </c>
    </row>
    <row r="340" spans="1:22" x14ac:dyDescent="0.2">
      <c r="A340" s="34" t="s">
        <v>122</v>
      </c>
      <c r="B340" s="28">
        <v>46280</v>
      </c>
      <c r="C340" s="34"/>
      <c r="D340" s="34" t="s">
        <v>340</v>
      </c>
      <c r="E340" s="34" t="s">
        <v>144</v>
      </c>
      <c r="F340" s="34" t="s">
        <v>145</v>
      </c>
      <c r="G340" s="34" t="s">
        <v>146</v>
      </c>
      <c r="H340" s="34" t="s">
        <v>147</v>
      </c>
      <c r="I340">
        <v>5</v>
      </c>
      <c r="J340">
        <v>0</v>
      </c>
      <c r="K340">
        <v>5</v>
      </c>
      <c r="L340">
        <v>0</v>
      </c>
      <c r="M340">
        <v>0</v>
      </c>
      <c r="N340">
        <v>0</v>
      </c>
      <c r="O340" s="28">
        <v>46279</v>
      </c>
      <c r="R340">
        <v>0</v>
      </c>
      <c r="S340">
        <v>15</v>
      </c>
      <c r="T340">
        <v>11</v>
      </c>
      <c r="U340">
        <v>6</v>
      </c>
      <c r="V340">
        <v>20260915015</v>
      </c>
    </row>
    <row r="341" spans="1:22" x14ac:dyDescent="0.2">
      <c r="A341" s="34" t="s">
        <v>122</v>
      </c>
      <c r="B341" s="28">
        <v>46280</v>
      </c>
      <c r="C341" s="34"/>
      <c r="D341" s="34" t="s">
        <v>340</v>
      </c>
      <c r="E341" s="34" t="s">
        <v>148</v>
      </c>
      <c r="F341" s="34" t="s">
        <v>149</v>
      </c>
      <c r="G341" s="34" t="s">
        <v>150</v>
      </c>
      <c r="H341" s="34" t="s">
        <v>151</v>
      </c>
      <c r="I341">
        <v>4</v>
      </c>
      <c r="J341">
        <v>0</v>
      </c>
      <c r="K341">
        <v>3</v>
      </c>
      <c r="L341">
        <v>1</v>
      </c>
      <c r="M341">
        <v>1</v>
      </c>
      <c r="N341">
        <v>0</v>
      </c>
      <c r="O341" s="28">
        <v>46279</v>
      </c>
      <c r="P341">
        <v>12.8</v>
      </c>
      <c r="Q341">
        <v>0</v>
      </c>
      <c r="R341">
        <v>0</v>
      </c>
      <c r="S341">
        <v>16</v>
      </c>
      <c r="T341">
        <v>11</v>
      </c>
      <c r="U341">
        <v>7</v>
      </c>
      <c r="V341">
        <v>20260915016</v>
      </c>
    </row>
    <row r="342" spans="1:22" x14ac:dyDescent="0.2">
      <c r="A342" s="34" t="s">
        <v>122</v>
      </c>
      <c r="B342" s="28">
        <v>46280</v>
      </c>
      <c r="C342" s="34"/>
      <c r="D342" s="34" t="s">
        <v>340</v>
      </c>
      <c r="E342" s="34" t="s">
        <v>152</v>
      </c>
      <c r="F342" s="34" t="s">
        <v>153</v>
      </c>
      <c r="G342" s="34" t="s">
        <v>154</v>
      </c>
      <c r="H342" s="34" t="s">
        <v>155</v>
      </c>
      <c r="I342">
        <v>17</v>
      </c>
      <c r="J342">
        <v>0</v>
      </c>
      <c r="K342">
        <v>15</v>
      </c>
      <c r="L342">
        <v>2</v>
      </c>
      <c r="M342">
        <v>2</v>
      </c>
      <c r="N342">
        <v>0</v>
      </c>
      <c r="O342" s="28">
        <v>46279</v>
      </c>
      <c r="P342">
        <v>12.8</v>
      </c>
      <c r="Q342">
        <v>0</v>
      </c>
      <c r="R342">
        <v>0</v>
      </c>
      <c r="S342">
        <v>17</v>
      </c>
      <c r="T342">
        <v>11</v>
      </c>
      <c r="U342">
        <v>8</v>
      </c>
      <c r="V342">
        <v>20260915017</v>
      </c>
    </row>
    <row r="343" spans="1:22" x14ac:dyDescent="0.2">
      <c r="A343" s="34" t="s">
        <v>122</v>
      </c>
      <c r="B343" s="28">
        <v>46280</v>
      </c>
      <c r="C343" s="34"/>
      <c r="D343" s="34" t="s">
        <v>340</v>
      </c>
      <c r="E343" s="34" t="s">
        <v>156</v>
      </c>
      <c r="F343" s="34" t="s">
        <v>157</v>
      </c>
      <c r="G343" s="34" t="s">
        <v>158</v>
      </c>
      <c r="H343" s="34" t="s">
        <v>159</v>
      </c>
      <c r="I343">
        <v>17</v>
      </c>
      <c r="J343">
        <v>0</v>
      </c>
      <c r="K343">
        <v>15</v>
      </c>
      <c r="L343">
        <v>2</v>
      </c>
      <c r="M343">
        <v>2</v>
      </c>
      <c r="N343">
        <v>0</v>
      </c>
      <c r="O343" s="28">
        <v>46279</v>
      </c>
      <c r="P343">
        <v>18.2</v>
      </c>
      <c r="Q343">
        <v>0</v>
      </c>
      <c r="R343">
        <v>0</v>
      </c>
      <c r="S343">
        <v>18</v>
      </c>
      <c r="T343">
        <v>11</v>
      </c>
      <c r="U343">
        <v>9</v>
      </c>
      <c r="V343">
        <v>20260915018</v>
      </c>
    </row>
    <row r="344" spans="1:22" x14ac:dyDescent="0.2">
      <c r="A344" s="34" t="s">
        <v>122</v>
      </c>
      <c r="B344" s="28">
        <v>46280</v>
      </c>
      <c r="C344" s="34"/>
      <c r="D344" s="34" t="s">
        <v>340</v>
      </c>
      <c r="E344" s="34" t="s">
        <v>160</v>
      </c>
      <c r="F344" s="34" t="s">
        <v>161</v>
      </c>
      <c r="G344" s="34" t="s">
        <v>162</v>
      </c>
      <c r="H344" s="34" t="s">
        <v>163</v>
      </c>
      <c r="I344">
        <v>7</v>
      </c>
      <c r="J344">
        <v>0</v>
      </c>
      <c r="K344">
        <v>5</v>
      </c>
      <c r="L344">
        <v>2</v>
      </c>
      <c r="M344">
        <v>2</v>
      </c>
      <c r="N344">
        <v>0</v>
      </c>
      <c r="O344" s="28">
        <v>46279</v>
      </c>
      <c r="P344">
        <v>18.2</v>
      </c>
      <c r="Q344">
        <v>0</v>
      </c>
      <c r="R344">
        <v>0</v>
      </c>
      <c r="S344">
        <v>19</v>
      </c>
      <c r="T344">
        <v>11</v>
      </c>
      <c r="U344">
        <v>10</v>
      </c>
      <c r="V344">
        <v>20260915019</v>
      </c>
    </row>
    <row r="345" spans="1:22" x14ac:dyDescent="0.2">
      <c r="A345" s="34" t="s">
        <v>122</v>
      </c>
      <c r="B345" s="28">
        <v>46280</v>
      </c>
      <c r="C345" s="34"/>
      <c r="D345" s="34" t="s">
        <v>340</v>
      </c>
      <c r="E345" s="34" t="s">
        <v>168</v>
      </c>
      <c r="F345" s="34" t="s">
        <v>169</v>
      </c>
      <c r="G345" s="34" t="s">
        <v>170</v>
      </c>
      <c r="H345" s="34" t="s">
        <v>171</v>
      </c>
      <c r="I345">
        <v>15</v>
      </c>
      <c r="J345">
        <v>0</v>
      </c>
      <c r="K345">
        <v>14</v>
      </c>
      <c r="L345">
        <v>1</v>
      </c>
      <c r="M345">
        <v>1</v>
      </c>
      <c r="N345">
        <v>0</v>
      </c>
      <c r="O345" s="28">
        <v>46279</v>
      </c>
      <c r="P345">
        <v>18.2</v>
      </c>
      <c r="Q345">
        <v>0</v>
      </c>
      <c r="R345">
        <v>0</v>
      </c>
      <c r="S345">
        <v>20</v>
      </c>
      <c r="T345">
        <v>11</v>
      </c>
      <c r="U345">
        <v>12</v>
      </c>
      <c r="V345">
        <v>20260915020</v>
      </c>
    </row>
    <row r="346" spans="1:22" x14ac:dyDescent="0.2">
      <c r="A346" s="34" t="s">
        <v>122</v>
      </c>
      <c r="B346" s="28">
        <v>46280</v>
      </c>
      <c r="C346" s="34"/>
      <c r="D346" s="34" t="s">
        <v>340</v>
      </c>
      <c r="E346" s="34" t="s">
        <v>172</v>
      </c>
      <c r="F346" s="34" t="s">
        <v>173</v>
      </c>
      <c r="G346" s="34" t="s">
        <v>174</v>
      </c>
      <c r="H346" s="34" t="s">
        <v>175</v>
      </c>
      <c r="I346">
        <v>16</v>
      </c>
      <c r="J346">
        <v>0</v>
      </c>
      <c r="K346">
        <v>16</v>
      </c>
      <c r="L346">
        <v>0</v>
      </c>
      <c r="M346">
        <v>0</v>
      </c>
      <c r="N346">
        <v>0</v>
      </c>
      <c r="O346" s="28">
        <v>46279</v>
      </c>
      <c r="R346">
        <v>0</v>
      </c>
      <c r="S346">
        <v>21</v>
      </c>
      <c r="T346">
        <v>11</v>
      </c>
      <c r="U346">
        <v>13</v>
      </c>
      <c r="V346">
        <v>20260915021</v>
      </c>
    </row>
    <row r="347" spans="1:22" x14ac:dyDescent="0.2">
      <c r="A347" s="34" t="s">
        <v>122</v>
      </c>
      <c r="B347" s="28">
        <v>46280</v>
      </c>
      <c r="C347" s="34"/>
      <c r="D347" s="34" t="s">
        <v>340</v>
      </c>
      <c r="E347" s="34" t="s">
        <v>180</v>
      </c>
      <c r="F347" s="34" t="s">
        <v>181</v>
      </c>
      <c r="G347" s="34" t="s">
        <v>182</v>
      </c>
      <c r="H347" s="34" t="s">
        <v>183</v>
      </c>
      <c r="I347">
        <v>12</v>
      </c>
      <c r="J347">
        <v>0</v>
      </c>
      <c r="K347">
        <v>11</v>
      </c>
      <c r="L347">
        <v>1</v>
      </c>
      <c r="M347">
        <v>1</v>
      </c>
      <c r="N347">
        <v>0</v>
      </c>
      <c r="O347" s="28">
        <v>46279</v>
      </c>
      <c r="R347">
        <v>0</v>
      </c>
      <c r="S347">
        <v>22</v>
      </c>
      <c r="T347">
        <v>11</v>
      </c>
      <c r="U347">
        <v>15</v>
      </c>
      <c r="V347">
        <v>20260915022</v>
      </c>
    </row>
    <row r="348" spans="1:22" x14ac:dyDescent="0.2">
      <c r="A348" s="34" t="s">
        <v>122</v>
      </c>
      <c r="B348" s="28">
        <v>46280</v>
      </c>
      <c r="C348" s="34"/>
      <c r="D348" s="34" t="s">
        <v>340</v>
      </c>
      <c r="E348" s="34" t="s">
        <v>184</v>
      </c>
      <c r="F348" s="34" t="s">
        <v>185</v>
      </c>
      <c r="G348" s="34" t="s">
        <v>186</v>
      </c>
      <c r="H348" s="34" t="s">
        <v>187</v>
      </c>
      <c r="I348">
        <v>14</v>
      </c>
      <c r="J348">
        <v>0</v>
      </c>
      <c r="K348">
        <v>13</v>
      </c>
      <c r="L348">
        <v>1</v>
      </c>
      <c r="M348">
        <v>1</v>
      </c>
      <c r="N348">
        <v>0</v>
      </c>
      <c r="O348" s="28">
        <v>46279</v>
      </c>
      <c r="P348">
        <v>18.2</v>
      </c>
      <c r="Q348">
        <v>0</v>
      </c>
      <c r="R348">
        <v>0</v>
      </c>
      <c r="S348">
        <v>23</v>
      </c>
      <c r="T348">
        <v>11</v>
      </c>
      <c r="U348">
        <v>16</v>
      </c>
      <c r="V348">
        <v>20260915023</v>
      </c>
    </row>
    <row r="349" spans="1:22" x14ac:dyDescent="0.2">
      <c r="A349" s="34" t="s">
        <v>122</v>
      </c>
      <c r="B349" s="28">
        <v>46280</v>
      </c>
      <c r="C349" s="34"/>
      <c r="D349" s="34" t="s">
        <v>340</v>
      </c>
      <c r="E349" s="34" t="s">
        <v>188</v>
      </c>
      <c r="F349" s="34" t="s">
        <v>189</v>
      </c>
      <c r="G349" s="34" t="s">
        <v>190</v>
      </c>
      <c r="H349" s="34" t="s">
        <v>191</v>
      </c>
      <c r="I349">
        <v>5</v>
      </c>
      <c r="J349">
        <v>0</v>
      </c>
      <c r="K349">
        <v>4</v>
      </c>
      <c r="L349">
        <v>1</v>
      </c>
      <c r="M349">
        <v>1</v>
      </c>
      <c r="N349">
        <v>0</v>
      </c>
      <c r="O349" s="28">
        <v>46279</v>
      </c>
      <c r="P349">
        <v>14</v>
      </c>
      <c r="Q349">
        <v>0</v>
      </c>
      <c r="R349">
        <v>0</v>
      </c>
      <c r="S349">
        <v>24</v>
      </c>
      <c r="T349">
        <v>11</v>
      </c>
      <c r="U349">
        <v>21</v>
      </c>
      <c r="V349">
        <v>20260915024</v>
      </c>
    </row>
    <row r="350" spans="1:22" x14ac:dyDescent="0.2">
      <c r="A350" s="34" t="s">
        <v>122</v>
      </c>
      <c r="B350" s="28">
        <v>46280</v>
      </c>
      <c r="C350" s="34"/>
      <c r="D350" s="34" t="s">
        <v>340</v>
      </c>
      <c r="E350" s="34" t="s">
        <v>192</v>
      </c>
      <c r="F350" s="34" t="s">
        <v>193</v>
      </c>
      <c r="G350" s="34" t="s">
        <v>194</v>
      </c>
      <c r="H350" s="34" t="s">
        <v>195</v>
      </c>
      <c r="I350">
        <v>4</v>
      </c>
      <c r="J350">
        <v>0</v>
      </c>
      <c r="K350">
        <v>4</v>
      </c>
      <c r="L350">
        <v>0</v>
      </c>
      <c r="M350">
        <v>0</v>
      </c>
      <c r="N350">
        <v>0</v>
      </c>
      <c r="O350" s="28">
        <v>46279</v>
      </c>
      <c r="R350">
        <v>0</v>
      </c>
      <c r="S350">
        <v>25</v>
      </c>
      <c r="T350">
        <v>11</v>
      </c>
      <c r="U350">
        <v>22</v>
      </c>
      <c r="V350">
        <v>20260915025</v>
      </c>
    </row>
    <row r="351" spans="1:22" x14ac:dyDescent="0.2">
      <c r="A351" s="34" t="s">
        <v>122</v>
      </c>
      <c r="B351" s="28">
        <v>46280</v>
      </c>
      <c r="C351" s="34"/>
      <c r="D351" s="34" t="s">
        <v>340</v>
      </c>
      <c r="E351" s="34" t="s">
        <v>196</v>
      </c>
      <c r="F351" s="34" t="s">
        <v>197</v>
      </c>
      <c r="G351" s="34" t="s">
        <v>198</v>
      </c>
      <c r="H351" s="34" t="s">
        <v>199</v>
      </c>
      <c r="I351">
        <v>4</v>
      </c>
      <c r="J351">
        <v>0</v>
      </c>
      <c r="K351">
        <v>3</v>
      </c>
      <c r="L351">
        <v>1</v>
      </c>
      <c r="M351">
        <v>1</v>
      </c>
      <c r="N351">
        <v>0</v>
      </c>
      <c r="O351" s="28">
        <v>46279</v>
      </c>
      <c r="R351">
        <v>0</v>
      </c>
      <c r="S351">
        <v>26</v>
      </c>
      <c r="T351">
        <v>11</v>
      </c>
      <c r="U351">
        <v>23</v>
      </c>
      <c r="V351">
        <v>20260915026</v>
      </c>
    </row>
    <row r="352" spans="1:22" x14ac:dyDescent="0.2">
      <c r="A352" s="34" t="s">
        <v>122</v>
      </c>
      <c r="B352" s="28">
        <v>46280</v>
      </c>
      <c r="C352" s="34"/>
      <c r="D352" s="34" t="s">
        <v>340</v>
      </c>
      <c r="E352" s="34" t="s">
        <v>208</v>
      </c>
      <c r="F352" s="34" t="s">
        <v>209</v>
      </c>
      <c r="G352" s="34" t="s">
        <v>210</v>
      </c>
      <c r="H352" s="34" t="s">
        <v>211</v>
      </c>
      <c r="I352">
        <v>14</v>
      </c>
      <c r="J352">
        <v>0</v>
      </c>
      <c r="K352">
        <v>14</v>
      </c>
      <c r="L352">
        <v>0</v>
      </c>
      <c r="M352">
        <v>0</v>
      </c>
      <c r="N352">
        <v>0</v>
      </c>
      <c r="O352" s="28">
        <v>46279</v>
      </c>
      <c r="R352">
        <v>0</v>
      </c>
      <c r="S352">
        <v>27</v>
      </c>
      <c r="T352">
        <v>11</v>
      </c>
      <c r="U352">
        <v>26</v>
      </c>
      <c r="V352">
        <v>20260915027</v>
      </c>
    </row>
    <row r="353" spans="1:22" x14ac:dyDescent="0.2">
      <c r="A353" s="34" t="s">
        <v>122</v>
      </c>
      <c r="B353" s="28">
        <v>46280</v>
      </c>
      <c r="C353" s="34"/>
      <c r="D353" s="34" t="s">
        <v>340</v>
      </c>
      <c r="E353" s="34" t="s">
        <v>216</v>
      </c>
      <c r="F353" s="34" t="s">
        <v>217</v>
      </c>
      <c r="G353" s="34" t="s">
        <v>218</v>
      </c>
      <c r="H353" s="34" t="s">
        <v>219</v>
      </c>
      <c r="I353">
        <v>6</v>
      </c>
      <c r="J353">
        <v>0</v>
      </c>
      <c r="K353">
        <v>3</v>
      </c>
      <c r="L353">
        <v>3</v>
      </c>
      <c r="M353">
        <v>3</v>
      </c>
      <c r="N353">
        <v>0</v>
      </c>
      <c r="O353" s="28">
        <v>46279</v>
      </c>
      <c r="P353">
        <v>12.7</v>
      </c>
      <c r="Q353">
        <v>0</v>
      </c>
      <c r="R353">
        <v>0</v>
      </c>
      <c r="S353">
        <v>28</v>
      </c>
      <c r="T353">
        <v>11</v>
      </c>
      <c r="U353">
        <v>28</v>
      </c>
      <c r="V353">
        <v>20260915028</v>
      </c>
    </row>
    <row r="354" spans="1:22" x14ac:dyDescent="0.2">
      <c r="A354" s="34" t="s">
        <v>122</v>
      </c>
      <c r="B354" s="28">
        <v>46280</v>
      </c>
      <c r="C354" s="34"/>
      <c r="D354" s="34" t="s">
        <v>340</v>
      </c>
      <c r="E354" s="34" t="s">
        <v>220</v>
      </c>
      <c r="F354" s="34" t="s">
        <v>221</v>
      </c>
      <c r="G354" s="34" t="s">
        <v>222</v>
      </c>
      <c r="H354" s="34" t="s">
        <v>223</v>
      </c>
      <c r="I354">
        <v>13</v>
      </c>
      <c r="J354">
        <v>0</v>
      </c>
      <c r="K354">
        <v>11</v>
      </c>
      <c r="L354">
        <v>2</v>
      </c>
      <c r="M354">
        <v>2</v>
      </c>
      <c r="N354">
        <v>0</v>
      </c>
      <c r="O354" s="28">
        <v>46279</v>
      </c>
      <c r="P354">
        <v>17.899999999999999</v>
      </c>
      <c r="Q354">
        <v>0</v>
      </c>
      <c r="R354">
        <v>0</v>
      </c>
      <c r="S354">
        <v>29</v>
      </c>
      <c r="T354">
        <v>11</v>
      </c>
      <c r="U354">
        <v>29</v>
      </c>
      <c r="V354">
        <v>20260915029</v>
      </c>
    </row>
    <row r="355" spans="1:22" x14ac:dyDescent="0.2">
      <c r="A355" s="34" t="s">
        <v>122</v>
      </c>
      <c r="B355" s="28">
        <v>46280</v>
      </c>
      <c r="C355" s="34"/>
      <c r="D355" s="34" t="s">
        <v>340</v>
      </c>
      <c r="E355" s="34" t="s">
        <v>224</v>
      </c>
      <c r="F355" s="34" t="s">
        <v>225</v>
      </c>
      <c r="G355" s="34" t="s">
        <v>226</v>
      </c>
      <c r="H355" s="34" t="s">
        <v>227</v>
      </c>
      <c r="I355">
        <v>6</v>
      </c>
      <c r="J355">
        <v>0</v>
      </c>
      <c r="K355">
        <v>6</v>
      </c>
      <c r="L355">
        <v>0</v>
      </c>
      <c r="M355">
        <v>0</v>
      </c>
      <c r="N355">
        <v>0</v>
      </c>
      <c r="O355" s="28">
        <v>46279</v>
      </c>
      <c r="R355">
        <v>0</v>
      </c>
      <c r="S355">
        <v>30</v>
      </c>
      <c r="T355">
        <v>11</v>
      </c>
      <c r="U355">
        <v>30</v>
      </c>
      <c r="V355">
        <v>20260915030</v>
      </c>
    </row>
    <row r="356" spans="1:22" x14ac:dyDescent="0.2">
      <c r="A356" s="34" t="s">
        <v>122</v>
      </c>
      <c r="B356" s="28">
        <v>46280</v>
      </c>
      <c r="C356" s="34"/>
      <c r="D356" s="34" t="s">
        <v>340</v>
      </c>
      <c r="E356" s="34" t="s">
        <v>228</v>
      </c>
      <c r="F356" s="34" t="s">
        <v>229</v>
      </c>
      <c r="G356" s="34" t="s">
        <v>230</v>
      </c>
      <c r="H356" s="34" t="s">
        <v>231</v>
      </c>
      <c r="I356">
        <v>13</v>
      </c>
      <c r="J356">
        <v>0</v>
      </c>
      <c r="K356">
        <v>8</v>
      </c>
      <c r="L356">
        <v>5</v>
      </c>
      <c r="M356">
        <v>5</v>
      </c>
      <c r="N356">
        <v>0</v>
      </c>
      <c r="O356" s="28">
        <v>46279</v>
      </c>
      <c r="P356">
        <v>17.899999999999999</v>
      </c>
      <c r="Q356">
        <v>0</v>
      </c>
      <c r="R356">
        <v>0</v>
      </c>
      <c r="S356">
        <v>31</v>
      </c>
      <c r="T356">
        <v>11</v>
      </c>
      <c r="U356">
        <v>31</v>
      </c>
      <c r="V356">
        <v>20260915031</v>
      </c>
    </row>
    <row r="357" spans="1:22" x14ac:dyDescent="0.2">
      <c r="A357" s="34" t="s">
        <v>122</v>
      </c>
      <c r="B357" s="28">
        <v>46280</v>
      </c>
      <c r="C357" s="34"/>
      <c r="D357" s="34" t="s">
        <v>340</v>
      </c>
      <c r="E357" s="34" t="s">
        <v>232</v>
      </c>
      <c r="F357" s="34" t="s">
        <v>233</v>
      </c>
      <c r="G357" s="34" t="s">
        <v>234</v>
      </c>
      <c r="H357" s="34" t="s">
        <v>235</v>
      </c>
      <c r="I357">
        <v>11</v>
      </c>
      <c r="J357">
        <v>0</v>
      </c>
      <c r="K357">
        <v>8</v>
      </c>
      <c r="L357">
        <v>3</v>
      </c>
      <c r="M357">
        <v>3</v>
      </c>
      <c r="N357">
        <v>0</v>
      </c>
      <c r="O357" s="28">
        <v>46279</v>
      </c>
      <c r="P357">
        <v>17.899999999999999</v>
      </c>
      <c r="Q357">
        <v>0</v>
      </c>
      <c r="R357">
        <v>0</v>
      </c>
      <c r="S357">
        <v>32</v>
      </c>
      <c r="T357">
        <v>11</v>
      </c>
      <c r="U357">
        <v>32</v>
      </c>
      <c r="V357">
        <v>20260915032</v>
      </c>
    </row>
    <row r="358" spans="1:22" x14ac:dyDescent="0.2">
      <c r="A358" s="34" t="s">
        <v>122</v>
      </c>
      <c r="B358" s="28">
        <v>46280</v>
      </c>
      <c r="C358" s="34"/>
      <c r="D358" s="34" t="s">
        <v>340</v>
      </c>
      <c r="E358" s="34" t="s">
        <v>236</v>
      </c>
      <c r="F358" s="34" t="s">
        <v>237</v>
      </c>
      <c r="G358" s="34" t="s">
        <v>238</v>
      </c>
      <c r="H358" s="34" t="s">
        <v>239</v>
      </c>
      <c r="I358">
        <v>8</v>
      </c>
      <c r="J358">
        <v>0</v>
      </c>
      <c r="K358">
        <v>8</v>
      </c>
      <c r="L358">
        <v>0</v>
      </c>
      <c r="M358">
        <v>0</v>
      </c>
      <c r="N358">
        <v>0</v>
      </c>
      <c r="O358" s="28">
        <v>46279</v>
      </c>
      <c r="R358">
        <v>0</v>
      </c>
      <c r="S358">
        <v>33</v>
      </c>
      <c r="T358">
        <v>11</v>
      </c>
      <c r="U358">
        <v>33</v>
      </c>
      <c r="V358">
        <v>20260915033</v>
      </c>
    </row>
    <row r="359" spans="1:22" x14ac:dyDescent="0.2">
      <c r="A359" s="34" t="s">
        <v>122</v>
      </c>
      <c r="B359" s="28">
        <v>46280</v>
      </c>
      <c r="C359" s="34"/>
      <c r="D359" s="34" t="s">
        <v>340</v>
      </c>
      <c r="E359" s="34" t="s">
        <v>240</v>
      </c>
      <c r="F359" s="34" t="s">
        <v>241</v>
      </c>
      <c r="G359" s="34" t="s">
        <v>242</v>
      </c>
      <c r="H359" s="34" t="s">
        <v>243</v>
      </c>
      <c r="I359">
        <v>19</v>
      </c>
      <c r="J359">
        <v>0</v>
      </c>
      <c r="K359">
        <v>17</v>
      </c>
      <c r="L359">
        <v>2</v>
      </c>
      <c r="M359">
        <v>2</v>
      </c>
      <c r="N359">
        <v>0</v>
      </c>
      <c r="O359" s="28">
        <v>46279</v>
      </c>
      <c r="P359">
        <v>17.899999999999999</v>
      </c>
      <c r="Q359">
        <v>0</v>
      </c>
      <c r="R359">
        <v>0</v>
      </c>
      <c r="S359">
        <v>34</v>
      </c>
      <c r="T359">
        <v>11</v>
      </c>
      <c r="U359">
        <v>34</v>
      </c>
      <c r="V359">
        <v>20260915034</v>
      </c>
    </row>
    <row r="360" spans="1:22" x14ac:dyDescent="0.2">
      <c r="A360" s="34" t="s">
        <v>122</v>
      </c>
      <c r="B360" s="28">
        <v>46280</v>
      </c>
      <c r="C360" s="34"/>
      <c r="D360" s="34" t="s">
        <v>340</v>
      </c>
      <c r="E360" s="34" t="s">
        <v>244</v>
      </c>
      <c r="F360" s="34" t="s">
        <v>245</v>
      </c>
      <c r="G360" s="34" t="s">
        <v>246</v>
      </c>
      <c r="H360" s="34" t="s">
        <v>247</v>
      </c>
      <c r="I360">
        <v>5</v>
      </c>
      <c r="J360">
        <v>0</v>
      </c>
      <c r="K360">
        <v>5</v>
      </c>
      <c r="L360">
        <v>0</v>
      </c>
      <c r="M360">
        <v>0</v>
      </c>
      <c r="N360">
        <v>0</v>
      </c>
      <c r="O360" s="28">
        <v>46279</v>
      </c>
      <c r="R360">
        <v>0</v>
      </c>
      <c r="S360">
        <v>35</v>
      </c>
      <c r="T360">
        <v>11</v>
      </c>
      <c r="U360">
        <v>35</v>
      </c>
      <c r="V360">
        <v>20260915035</v>
      </c>
    </row>
    <row r="361" spans="1:22" x14ac:dyDescent="0.2">
      <c r="A361" s="34" t="s">
        <v>122</v>
      </c>
      <c r="B361" s="28">
        <v>46280</v>
      </c>
      <c r="C361" s="34"/>
      <c r="D361" s="34" t="s">
        <v>340</v>
      </c>
      <c r="E361" s="34" t="s">
        <v>248</v>
      </c>
      <c r="F361" s="34" t="s">
        <v>249</v>
      </c>
      <c r="G361" s="34" t="s">
        <v>250</v>
      </c>
      <c r="H361" s="34" t="s">
        <v>251</v>
      </c>
      <c r="I361">
        <v>4</v>
      </c>
      <c r="J361">
        <v>0</v>
      </c>
      <c r="K361">
        <v>4</v>
      </c>
      <c r="L361">
        <v>0</v>
      </c>
      <c r="M361">
        <v>0</v>
      </c>
      <c r="N361">
        <v>0</v>
      </c>
      <c r="O361" s="28">
        <v>46279</v>
      </c>
      <c r="R361">
        <v>0</v>
      </c>
      <c r="S361">
        <v>36</v>
      </c>
      <c r="T361">
        <v>11</v>
      </c>
      <c r="U361">
        <v>36</v>
      </c>
      <c r="V361">
        <v>20260915036</v>
      </c>
    </row>
    <row r="362" spans="1:22" x14ac:dyDescent="0.2">
      <c r="A362" s="34" t="s">
        <v>122</v>
      </c>
      <c r="B362" s="28">
        <v>46280</v>
      </c>
      <c r="C362" s="34"/>
      <c r="D362" s="34" t="s">
        <v>340</v>
      </c>
      <c r="E362" s="34" t="s">
        <v>256</v>
      </c>
      <c r="F362" s="34" t="s">
        <v>257</v>
      </c>
      <c r="G362" s="34" t="s">
        <v>258</v>
      </c>
      <c r="H362" s="34" t="s">
        <v>259</v>
      </c>
      <c r="I362">
        <v>4</v>
      </c>
      <c r="J362">
        <v>0</v>
      </c>
      <c r="K362">
        <v>4</v>
      </c>
      <c r="L362">
        <v>0</v>
      </c>
      <c r="M362">
        <v>0</v>
      </c>
      <c r="N362">
        <v>0</v>
      </c>
      <c r="O362" s="28">
        <v>46279</v>
      </c>
      <c r="R362">
        <v>0</v>
      </c>
      <c r="S362">
        <v>37</v>
      </c>
      <c r="T362">
        <v>11</v>
      </c>
      <c r="U362">
        <v>38</v>
      </c>
      <c r="V362">
        <v>20260915037</v>
      </c>
    </row>
    <row r="363" spans="1:22" x14ac:dyDescent="0.2">
      <c r="A363" s="34" t="s">
        <v>122</v>
      </c>
      <c r="B363" s="28">
        <v>46280</v>
      </c>
      <c r="C363" s="34"/>
      <c r="D363" s="34" t="s">
        <v>340</v>
      </c>
      <c r="E363" s="34" t="s">
        <v>260</v>
      </c>
      <c r="F363" s="34" t="s">
        <v>261</v>
      </c>
      <c r="G363" s="34" t="s">
        <v>262</v>
      </c>
      <c r="H363" s="34" t="s">
        <v>263</v>
      </c>
      <c r="I363">
        <v>4</v>
      </c>
      <c r="J363">
        <v>0</v>
      </c>
      <c r="K363">
        <v>4</v>
      </c>
      <c r="L363">
        <v>0</v>
      </c>
      <c r="M363">
        <v>0</v>
      </c>
      <c r="N363">
        <v>0</v>
      </c>
      <c r="O363" s="28">
        <v>46279</v>
      </c>
      <c r="R363">
        <v>0</v>
      </c>
      <c r="S363">
        <v>38</v>
      </c>
      <c r="T363">
        <v>11</v>
      </c>
      <c r="U363">
        <v>39</v>
      </c>
      <c r="V363">
        <v>20260915038</v>
      </c>
    </row>
    <row r="364" spans="1:22" x14ac:dyDescent="0.2">
      <c r="A364" s="34" t="s">
        <v>122</v>
      </c>
      <c r="B364" s="28">
        <v>46280</v>
      </c>
      <c r="C364" s="34"/>
      <c r="D364" s="34" t="s">
        <v>340</v>
      </c>
      <c r="E364" s="34" t="s">
        <v>268</v>
      </c>
      <c r="F364" s="34" t="s">
        <v>269</v>
      </c>
      <c r="G364" s="34" t="s">
        <v>270</v>
      </c>
      <c r="H364" s="34" t="s">
        <v>271</v>
      </c>
      <c r="I364">
        <v>4</v>
      </c>
      <c r="J364">
        <v>0</v>
      </c>
      <c r="K364">
        <v>4</v>
      </c>
      <c r="L364">
        <v>0</v>
      </c>
      <c r="M364">
        <v>0</v>
      </c>
      <c r="N364">
        <v>0</v>
      </c>
      <c r="O364" s="28">
        <v>46279</v>
      </c>
      <c r="R364">
        <v>0</v>
      </c>
      <c r="S364">
        <v>39</v>
      </c>
      <c r="T364">
        <v>11</v>
      </c>
      <c r="U364">
        <v>41</v>
      </c>
      <c r="V364">
        <v>20260915039</v>
      </c>
    </row>
    <row r="365" spans="1:22" x14ac:dyDescent="0.2">
      <c r="A365" s="34" t="s">
        <v>122</v>
      </c>
      <c r="B365" s="28">
        <v>46280</v>
      </c>
      <c r="C365" s="34"/>
      <c r="D365" s="34" t="s">
        <v>340</v>
      </c>
      <c r="E365" s="34" t="s">
        <v>279</v>
      </c>
      <c r="F365" s="34" t="s">
        <v>280</v>
      </c>
      <c r="G365" s="34" t="s">
        <v>281</v>
      </c>
      <c r="H365" s="34" t="s">
        <v>282</v>
      </c>
      <c r="I365">
        <v>6</v>
      </c>
      <c r="J365">
        <v>0</v>
      </c>
      <c r="K365">
        <v>6</v>
      </c>
      <c r="L365">
        <v>0</v>
      </c>
      <c r="M365">
        <v>0</v>
      </c>
      <c r="N365">
        <v>0</v>
      </c>
      <c r="O365" s="28">
        <v>46279</v>
      </c>
      <c r="R365">
        <v>0</v>
      </c>
      <c r="S365">
        <v>40</v>
      </c>
      <c r="T365">
        <v>11</v>
      </c>
      <c r="U365">
        <v>44</v>
      </c>
      <c r="V365">
        <v>20260915040</v>
      </c>
    </row>
    <row r="366" spans="1:22" x14ac:dyDescent="0.2">
      <c r="A366" s="34" t="s">
        <v>122</v>
      </c>
      <c r="B366" s="28">
        <v>46280</v>
      </c>
      <c r="C366" s="34"/>
      <c r="D366" s="34" t="s">
        <v>340</v>
      </c>
      <c r="E366" s="34" t="s">
        <v>283</v>
      </c>
      <c r="F366" s="34" t="s">
        <v>284</v>
      </c>
      <c r="G366" s="34" t="s">
        <v>285</v>
      </c>
      <c r="H366" s="34" t="s">
        <v>286</v>
      </c>
      <c r="I366">
        <v>13</v>
      </c>
      <c r="J366">
        <v>0</v>
      </c>
      <c r="K366">
        <v>10</v>
      </c>
      <c r="L366">
        <v>3</v>
      </c>
      <c r="M366">
        <v>3</v>
      </c>
      <c r="N366">
        <v>0</v>
      </c>
      <c r="O366" s="28">
        <v>46279</v>
      </c>
      <c r="P366">
        <v>16.7</v>
      </c>
      <c r="Q366">
        <v>0</v>
      </c>
      <c r="R366">
        <v>0</v>
      </c>
      <c r="S366">
        <v>41</v>
      </c>
      <c r="T366">
        <v>11</v>
      </c>
      <c r="U366">
        <v>45</v>
      </c>
      <c r="V366">
        <v>20260915041</v>
      </c>
    </row>
    <row r="367" spans="1:22" x14ac:dyDescent="0.2">
      <c r="A367" s="34" t="s">
        <v>122</v>
      </c>
      <c r="B367" s="28">
        <v>46280</v>
      </c>
      <c r="C367" s="34"/>
      <c r="D367" s="34" t="s">
        <v>340</v>
      </c>
      <c r="E367" s="34" t="s">
        <v>287</v>
      </c>
      <c r="F367" s="34" t="s">
        <v>288</v>
      </c>
      <c r="G367" s="34" t="s">
        <v>289</v>
      </c>
      <c r="H367" s="34" t="s">
        <v>290</v>
      </c>
      <c r="I367">
        <v>23</v>
      </c>
      <c r="J367">
        <v>0</v>
      </c>
      <c r="K367">
        <v>20</v>
      </c>
      <c r="L367">
        <v>3</v>
      </c>
      <c r="M367">
        <v>3</v>
      </c>
      <c r="N367">
        <v>0</v>
      </c>
      <c r="O367" s="28">
        <v>46279</v>
      </c>
      <c r="P367">
        <v>16.7</v>
      </c>
      <c r="Q367">
        <v>0</v>
      </c>
      <c r="R367">
        <v>0</v>
      </c>
      <c r="S367">
        <v>42</v>
      </c>
      <c r="T367">
        <v>11</v>
      </c>
      <c r="U367">
        <v>46</v>
      </c>
      <c r="V367">
        <v>20260915042</v>
      </c>
    </row>
    <row r="368" spans="1:22" x14ac:dyDescent="0.2">
      <c r="A368" s="34" t="s">
        <v>122</v>
      </c>
      <c r="B368" s="28">
        <v>46280</v>
      </c>
      <c r="C368" s="34"/>
      <c r="D368" s="34" t="s">
        <v>340</v>
      </c>
      <c r="E368" s="34" t="s">
        <v>291</v>
      </c>
      <c r="F368" s="34" t="s">
        <v>342</v>
      </c>
      <c r="G368" s="34" t="s">
        <v>292</v>
      </c>
      <c r="H368" s="34" t="s">
        <v>293</v>
      </c>
      <c r="I368">
        <v>23</v>
      </c>
      <c r="J368">
        <v>0</v>
      </c>
      <c r="K368">
        <v>23</v>
      </c>
      <c r="L368">
        <v>0</v>
      </c>
      <c r="M368">
        <v>0</v>
      </c>
      <c r="N368">
        <v>0</v>
      </c>
      <c r="O368" s="28">
        <v>46279</v>
      </c>
      <c r="R368">
        <v>0</v>
      </c>
      <c r="S368">
        <v>43</v>
      </c>
      <c r="T368">
        <v>11</v>
      </c>
      <c r="U368">
        <v>47</v>
      </c>
      <c r="V368">
        <v>20260915043</v>
      </c>
    </row>
    <row r="369" spans="1:22" x14ac:dyDescent="0.2">
      <c r="A369" s="34" t="s">
        <v>122</v>
      </c>
      <c r="B369" s="28">
        <v>46280</v>
      </c>
      <c r="C369" s="34"/>
      <c r="D369" s="34" t="s">
        <v>340</v>
      </c>
      <c r="E369" s="34" t="s">
        <v>294</v>
      </c>
      <c r="F369" s="34" t="s">
        <v>295</v>
      </c>
      <c r="G369" s="34" t="s">
        <v>296</v>
      </c>
      <c r="H369" s="34" t="s">
        <v>297</v>
      </c>
      <c r="I369">
        <v>10</v>
      </c>
      <c r="J369">
        <v>0</v>
      </c>
      <c r="K369">
        <v>9</v>
      </c>
      <c r="L369">
        <v>1</v>
      </c>
      <c r="M369">
        <v>1</v>
      </c>
      <c r="N369">
        <v>0</v>
      </c>
      <c r="O369" s="28">
        <v>46279</v>
      </c>
      <c r="P369">
        <v>12</v>
      </c>
      <c r="Q369">
        <v>0</v>
      </c>
      <c r="R369">
        <v>0</v>
      </c>
      <c r="S369">
        <v>44</v>
      </c>
      <c r="T369">
        <v>11</v>
      </c>
      <c r="U369">
        <v>48</v>
      </c>
      <c r="V369">
        <v>20260915044</v>
      </c>
    </row>
    <row r="370" spans="1:22" x14ac:dyDescent="0.2">
      <c r="A370" s="34" t="s">
        <v>122</v>
      </c>
      <c r="B370" s="28">
        <v>46280</v>
      </c>
      <c r="C370" s="34"/>
      <c r="D370" s="34" t="s">
        <v>340</v>
      </c>
      <c r="E370" s="34" t="s">
        <v>298</v>
      </c>
      <c r="F370" s="34" t="s">
        <v>299</v>
      </c>
      <c r="G370" s="34" t="s">
        <v>300</v>
      </c>
      <c r="H370" s="34" t="s">
        <v>301</v>
      </c>
      <c r="I370">
        <v>13</v>
      </c>
      <c r="J370">
        <v>0</v>
      </c>
      <c r="K370">
        <v>13</v>
      </c>
      <c r="L370">
        <v>0</v>
      </c>
      <c r="M370">
        <v>0</v>
      </c>
      <c r="N370">
        <v>0</v>
      </c>
      <c r="O370" s="28">
        <v>46279</v>
      </c>
      <c r="R370">
        <v>0</v>
      </c>
      <c r="S370">
        <v>45</v>
      </c>
      <c r="T370">
        <v>11</v>
      </c>
      <c r="U370">
        <v>49</v>
      </c>
      <c r="V370">
        <v>20260915045</v>
      </c>
    </row>
    <row r="371" spans="1:22" x14ac:dyDescent="0.2">
      <c r="A371" s="34" t="s">
        <v>122</v>
      </c>
      <c r="B371" s="28">
        <v>46280</v>
      </c>
      <c r="C371" s="34"/>
      <c r="D371" s="34" t="s">
        <v>340</v>
      </c>
      <c r="E371" s="34" t="s">
        <v>302</v>
      </c>
      <c r="F371" s="34" t="s">
        <v>303</v>
      </c>
      <c r="G371" s="34" t="s">
        <v>304</v>
      </c>
      <c r="H371" s="34" t="s">
        <v>305</v>
      </c>
      <c r="I371">
        <v>8</v>
      </c>
      <c r="J371">
        <v>0</v>
      </c>
      <c r="K371">
        <v>8</v>
      </c>
      <c r="L371">
        <v>0</v>
      </c>
      <c r="M371">
        <v>0</v>
      </c>
      <c r="N371">
        <v>0</v>
      </c>
      <c r="O371" s="28">
        <v>46279</v>
      </c>
      <c r="R371">
        <v>0</v>
      </c>
      <c r="S371">
        <v>46</v>
      </c>
      <c r="T371">
        <v>11</v>
      </c>
      <c r="U371">
        <v>50</v>
      </c>
      <c r="V371">
        <v>20260915046</v>
      </c>
    </row>
    <row r="372" spans="1:22" x14ac:dyDescent="0.2">
      <c r="A372" s="34" t="s">
        <v>122</v>
      </c>
      <c r="B372" s="28">
        <v>46280</v>
      </c>
      <c r="C372" s="34"/>
      <c r="D372" s="34" t="s">
        <v>340</v>
      </c>
      <c r="E372" s="34" t="s">
        <v>306</v>
      </c>
      <c r="F372" s="34" t="s">
        <v>307</v>
      </c>
      <c r="G372" s="34" t="s">
        <v>308</v>
      </c>
      <c r="H372" s="34" t="s">
        <v>309</v>
      </c>
      <c r="I372">
        <v>10</v>
      </c>
      <c r="J372">
        <v>0</v>
      </c>
      <c r="K372">
        <v>10</v>
      </c>
      <c r="L372">
        <v>0</v>
      </c>
      <c r="M372">
        <v>0</v>
      </c>
      <c r="N372">
        <v>0</v>
      </c>
      <c r="O372" s="28">
        <v>46279</v>
      </c>
      <c r="R372">
        <v>0</v>
      </c>
      <c r="S372">
        <v>47</v>
      </c>
      <c r="T372">
        <v>11</v>
      </c>
      <c r="U372">
        <v>51</v>
      </c>
      <c r="V372">
        <v>20260915047</v>
      </c>
    </row>
    <row r="373" spans="1:22" x14ac:dyDescent="0.2">
      <c r="A373" s="34" t="s">
        <v>122</v>
      </c>
      <c r="B373" s="28">
        <v>46280</v>
      </c>
      <c r="C373" s="34"/>
      <c r="D373" s="34" t="s">
        <v>340</v>
      </c>
      <c r="E373" s="34" t="s">
        <v>310</v>
      </c>
      <c r="F373" s="34" t="s">
        <v>311</v>
      </c>
      <c r="G373" s="34" t="s">
        <v>312</v>
      </c>
      <c r="H373" s="34" t="s">
        <v>313</v>
      </c>
      <c r="I373">
        <v>7</v>
      </c>
      <c r="J373">
        <v>0</v>
      </c>
      <c r="K373">
        <v>5</v>
      </c>
      <c r="L373">
        <v>2</v>
      </c>
      <c r="M373">
        <v>2</v>
      </c>
      <c r="N373">
        <v>0</v>
      </c>
      <c r="O373" s="28">
        <v>46279</v>
      </c>
      <c r="P373">
        <v>12.9</v>
      </c>
      <c r="Q373">
        <v>0</v>
      </c>
      <c r="R373">
        <v>0</v>
      </c>
      <c r="S373">
        <v>48</v>
      </c>
      <c r="T373">
        <v>11</v>
      </c>
      <c r="U373">
        <v>52</v>
      </c>
      <c r="V373">
        <v>20260915048</v>
      </c>
    </row>
    <row r="374" spans="1:22" x14ac:dyDescent="0.2">
      <c r="A374" s="34" t="s">
        <v>122</v>
      </c>
      <c r="B374" s="28">
        <v>46280</v>
      </c>
      <c r="C374" s="34"/>
      <c r="D374" s="34" t="s">
        <v>340</v>
      </c>
      <c r="E374" s="34" t="s">
        <v>314</v>
      </c>
      <c r="F374" s="34" t="s">
        <v>315</v>
      </c>
      <c r="G374" s="34" t="s">
        <v>316</v>
      </c>
      <c r="H374" s="34" t="s">
        <v>317</v>
      </c>
      <c r="I374">
        <v>31</v>
      </c>
      <c r="J374">
        <v>0</v>
      </c>
      <c r="K374">
        <v>29</v>
      </c>
      <c r="L374">
        <v>2</v>
      </c>
      <c r="M374">
        <v>2</v>
      </c>
      <c r="N374">
        <v>0</v>
      </c>
      <c r="O374" s="28">
        <v>46279</v>
      </c>
      <c r="P374">
        <v>12.9</v>
      </c>
      <c r="Q374">
        <v>0</v>
      </c>
      <c r="R374">
        <v>0</v>
      </c>
      <c r="S374">
        <v>49</v>
      </c>
      <c r="T374">
        <v>11</v>
      </c>
      <c r="U374">
        <v>53</v>
      </c>
      <c r="V374">
        <v>20260915049</v>
      </c>
    </row>
    <row r="375" spans="1:22" x14ac:dyDescent="0.2">
      <c r="A375" s="34" t="s">
        <v>122</v>
      </c>
      <c r="B375" s="28">
        <v>46280</v>
      </c>
      <c r="C375" s="34"/>
      <c r="D375" s="34" t="s">
        <v>340</v>
      </c>
      <c r="E375" s="34" t="s">
        <v>318</v>
      </c>
      <c r="F375" s="34" t="s">
        <v>319</v>
      </c>
      <c r="G375" s="34" t="s">
        <v>320</v>
      </c>
      <c r="H375" s="34" t="s">
        <v>321</v>
      </c>
      <c r="I375">
        <v>4</v>
      </c>
      <c r="J375">
        <v>0</v>
      </c>
      <c r="K375">
        <v>3</v>
      </c>
      <c r="L375">
        <v>1</v>
      </c>
      <c r="M375">
        <v>1</v>
      </c>
      <c r="N375">
        <v>0</v>
      </c>
      <c r="O375" s="28">
        <v>46279</v>
      </c>
      <c r="P375">
        <v>16.399999999999999</v>
      </c>
      <c r="Q375">
        <v>0</v>
      </c>
      <c r="R375">
        <v>0</v>
      </c>
      <c r="S375">
        <v>50</v>
      </c>
      <c r="T375">
        <v>11</v>
      </c>
      <c r="U375">
        <v>54</v>
      </c>
      <c r="V375">
        <v>20260915050</v>
      </c>
    </row>
    <row r="376" spans="1:22" x14ac:dyDescent="0.2">
      <c r="A376" s="34" t="s">
        <v>122</v>
      </c>
      <c r="B376" s="28">
        <v>46280</v>
      </c>
      <c r="C376" s="34"/>
      <c r="D376" s="34" t="s">
        <v>340</v>
      </c>
      <c r="E376" s="34" t="s">
        <v>322</v>
      </c>
      <c r="F376" s="34" t="s">
        <v>323</v>
      </c>
      <c r="G376" s="34" t="s">
        <v>324</v>
      </c>
      <c r="H376" s="34" t="s">
        <v>325</v>
      </c>
      <c r="I376">
        <v>7</v>
      </c>
      <c r="J376">
        <v>0</v>
      </c>
      <c r="K376">
        <v>7</v>
      </c>
      <c r="L376">
        <v>0</v>
      </c>
      <c r="M376">
        <v>0</v>
      </c>
      <c r="N376">
        <v>0</v>
      </c>
      <c r="O376" s="28">
        <v>46279</v>
      </c>
      <c r="R376">
        <v>0</v>
      </c>
      <c r="S376">
        <v>51</v>
      </c>
      <c r="T376">
        <v>11</v>
      </c>
      <c r="U376">
        <v>55</v>
      </c>
      <c r="V376">
        <v>20260915051</v>
      </c>
    </row>
    <row r="377" spans="1:22" x14ac:dyDescent="0.2">
      <c r="A377" s="34" t="s">
        <v>122</v>
      </c>
      <c r="B377" s="28">
        <v>46280</v>
      </c>
      <c r="C377" s="34"/>
      <c r="D377" s="34" t="s">
        <v>340</v>
      </c>
      <c r="E377" s="34" t="s">
        <v>326</v>
      </c>
      <c r="F377" s="34" t="s">
        <v>327</v>
      </c>
      <c r="G377" s="34" t="s">
        <v>328</v>
      </c>
      <c r="H377" s="34" t="s">
        <v>329</v>
      </c>
      <c r="I377">
        <v>25</v>
      </c>
      <c r="J377">
        <v>0</v>
      </c>
      <c r="K377">
        <v>19</v>
      </c>
      <c r="L377">
        <v>6</v>
      </c>
      <c r="M377">
        <v>6</v>
      </c>
      <c r="N377">
        <v>0</v>
      </c>
      <c r="O377" s="28">
        <v>46279</v>
      </c>
      <c r="P377">
        <v>16.8</v>
      </c>
      <c r="Q377">
        <v>0</v>
      </c>
      <c r="R377">
        <v>0</v>
      </c>
      <c r="S377">
        <v>52</v>
      </c>
      <c r="T377">
        <v>11</v>
      </c>
      <c r="U377">
        <v>73</v>
      </c>
      <c r="V377">
        <v>20260915052</v>
      </c>
    </row>
    <row r="378" spans="1:22" x14ac:dyDescent="0.2">
      <c r="A378" s="34" t="s">
        <v>122</v>
      </c>
      <c r="B378" s="28">
        <v>46280</v>
      </c>
      <c r="C378" s="34"/>
      <c r="D378" s="34" t="s">
        <v>340</v>
      </c>
      <c r="E378" s="34" t="s">
        <v>330</v>
      </c>
      <c r="F378" s="34" t="s">
        <v>331</v>
      </c>
      <c r="G378" s="34" t="s">
        <v>332</v>
      </c>
      <c r="H378" s="34" t="s">
        <v>333</v>
      </c>
      <c r="I378">
        <v>4</v>
      </c>
      <c r="J378">
        <v>0</v>
      </c>
      <c r="K378">
        <v>4</v>
      </c>
      <c r="L378">
        <v>0</v>
      </c>
      <c r="M378">
        <v>0</v>
      </c>
      <c r="N378">
        <v>0</v>
      </c>
      <c r="O378" s="28">
        <v>46279</v>
      </c>
      <c r="R378">
        <v>0</v>
      </c>
      <c r="S378">
        <v>53</v>
      </c>
      <c r="T378">
        <v>11</v>
      </c>
      <c r="U378">
        <v>74</v>
      </c>
      <c r="V378">
        <v>20260915053</v>
      </c>
    </row>
    <row r="379" spans="1:22" x14ac:dyDescent="0.2">
      <c r="A379" s="34" t="s">
        <v>122</v>
      </c>
      <c r="B379" s="28">
        <v>46280</v>
      </c>
      <c r="C379" s="34"/>
      <c r="D379" s="34" t="s">
        <v>340</v>
      </c>
      <c r="E379" s="34" t="s">
        <v>334</v>
      </c>
      <c r="F379" s="34" t="s">
        <v>335</v>
      </c>
      <c r="G379" s="34" t="s">
        <v>336</v>
      </c>
      <c r="H379" s="34" t="s">
        <v>337</v>
      </c>
      <c r="I379">
        <v>15</v>
      </c>
      <c r="J379">
        <v>0</v>
      </c>
      <c r="K379">
        <v>11</v>
      </c>
      <c r="L379">
        <v>4</v>
      </c>
      <c r="M379">
        <v>4</v>
      </c>
      <c r="N379">
        <v>0</v>
      </c>
      <c r="O379" s="28">
        <v>46279</v>
      </c>
      <c r="P379">
        <v>16.600000000000001</v>
      </c>
      <c r="Q379">
        <v>0</v>
      </c>
      <c r="R379">
        <v>0</v>
      </c>
      <c r="S379">
        <v>54</v>
      </c>
      <c r="T379">
        <v>11</v>
      </c>
      <c r="U379">
        <v>75</v>
      </c>
      <c r="V379">
        <v>20260915054</v>
      </c>
    </row>
    <row r="380" spans="1:22" x14ac:dyDescent="0.2">
      <c r="A380" s="34" t="s">
        <v>122</v>
      </c>
      <c r="B380" s="28">
        <v>46281</v>
      </c>
      <c r="C380" s="34"/>
      <c r="D380" s="34" t="s">
        <v>340</v>
      </c>
      <c r="E380" s="34" t="s">
        <v>164</v>
      </c>
      <c r="F380" s="34" t="s">
        <v>165</v>
      </c>
      <c r="G380" s="34" t="s">
        <v>166</v>
      </c>
      <c r="H380" s="34" t="s">
        <v>167</v>
      </c>
      <c r="I380">
        <v>27</v>
      </c>
      <c r="J380">
        <v>0</v>
      </c>
      <c r="K380">
        <v>34</v>
      </c>
      <c r="L380">
        <v>-7</v>
      </c>
      <c r="M380">
        <v>23</v>
      </c>
      <c r="N380">
        <v>-30</v>
      </c>
      <c r="O380" s="28">
        <v>46280</v>
      </c>
      <c r="P380">
        <v>18.2</v>
      </c>
      <c r="Q380">
        <v>-546</v>
      </c>
      <c r="R380">
        <v>30</v>
      </c>
      <c r="S380">
        <v>1</v>
      </c>
      <c r="T380">
        <v>10</v>
      </c>
      <c r="U380">
        <v>11</v>
      </c>
      <c r="V380">
        <v>20260916001</v>
      </c>
    </row>
    <row r="381" spans="1:22" x14ac:dyDescent="0.2">
      <c r="A381" s="34" t="s">
        <v>122</v>
      </c>
      <c r="B381" s="28">
        <v>46281</v>
      </c>
      <c r="C381" s="34"/>
      <c r="D381" s="34" t="s">
        <v>340</v>
      </c>
      <c r="E381" s="34" t="s">
        <v>152</v>
      </c>
      <c r="F381" s="34" t="s">
        <v>153</v>
      </c>
      <c r="G381" s="34" t="s">
        <v>154</v>
      </c>
      <c r="H381" s="34" t="s">
        <v>155</v>
      </c>
      <c r="I381">
        <v>15</v>
      </c>
      <c r="J381">
        <v>0</v>
      </c>
      <c r="K381">
        <v>13</v>
      </c>
      <c r="L381">
        <v>2</v>
      </c>
      <c r="M381">
        <v>12</v>
      </c>
      <c r="N381">
        <v>-10</v>
      </c>
      <c r="O381" s="28">
        <v>46280</v>
      </c>
      <c r="P381">
        <v>12.8</v>
      </c>
      <c r="Q381">
        <v>-128</v>
      </c>
      <c r="R381">
        <v>10</v>
      </c>
      <c r="S381">
        <v>2</v>
      </c>
      <c r="T381">
        <v>10</v>
      </c>
      <c r="U381">
        <v>8</v>
      </c>
      <c r="V381">
        <v>20260916002</v>
      </c>
    </row>
    <row r="382" spans="1:22" x14ac:dyDescent="0.2">
      <c r="A382" s="34" t="s">
        <v>122</v>
      </c>
      <c r="B382" s="28">
        <v>46281</v>
      </c>
      <c r="C382" s="34"/>
      <c r="D382" s="34" t="s">
        <v>340</v>
      </c>
      <c r="E382" s="34" t="s">
        <v>176</v>
      </c>
      <c r="F382" s="34" t="s">
        <v>177</v>
      </c>
      <c r="G382" s="34" t="s">
        <v>178</v>
      </c>
      <c r="H382" s="34" t="s">
        <v>179</v>
      </c>
      <c r="I382">
        <v>18</v>
      </c>
      <c r="J382">
        <v>0</v>
      </c>
      <c r="K382">
        <v>22</v>
      </c>
      <c r="L382">
        <v>-4</v>
      </c>
      <c r="M382">
        <v>6</v>
      </c>
      <c r="N382">
        <v>-10</v>
      </c>
      <c r="O382" s="28">
        <v>46280</v>
      </c>
      <c r="P382">
        <v>18.2</v>
      </c>
      <c r="Q382">
        <v>-182</v>
      </c>
      <c r="R382">
        <v>10</v>
      </c>
      <c r="S382">
        <v>3</v>
      </c>
      <c r="T382">
        <v>10</v>
      </c>
      <c r="U382">
        <v>14</v>
      </c>
      <c r="V382">
        <v>20260916003</v>
      </c>
    </row>
    <row r="383" spans="1:22" x14ac:dyDescent="0.2">
      <c r="A383" s="34" t="s">
        <v>122</v>
      </c>
      <c r="B383" s="28">
        <v>46281</v>
      </c>
      <c r="C383" s="34"/>
      <c r="D383" s="34" t="s">
        <v>340</v>
      </c>
      <c r="E383" s="34" t="s">
        <v>310</v>
      </c>
      <c r="F383" s="34" t="s">
        <v>311</v>
      </c>
      <c r="G383" s="34" t="s">
        <v>312</v>
      </c>
      <c r="H383" s="34" t="s">
        <v>313</v>
      </c>
      <c r="I383">
        <v>5</v>
      </c>
      <c r="J383">
        <v>0</v>
      </c>
      <c r="K383">
        <v>9</v>
      </c>
      <c r="L383">
        <v>-4</v>
      </c>
      <c r="M383">
        <v>6</v>
      </c>
      <c r="N383">
        <v>-10</v>
      </c>
      <c r="O383" s="28">
        <v>46280</v>
      </c>
      <c r="P383">
        <v>12.8</v>
      </c>
      <c r="Q383">
        <v>-128</v>
      </c>
      <c r="R383">
        <v>10</v>
      </c>
      <c r="S383">
        <v>4</v>
      </c>
      <c r="T383">
        <v>10</v>
      </c>
      <c r="U383">
        <v>52</v>
      </c>
      <c r="V383">
        <v>20260916004</v>
      </c>
    </row>
    <row r="384" spans="1:22" x14ac:dyDescent="0.2">
      <c r="A384" s="34" t="s">
        <v>122</v>
      </c>
      <c r="B384" s="28">
        <v>46281</v>
      </c>
      <c r="C384" s="34"/>
      <c r="D384" s="34" t="s">
        <v>340</v>
      </c>
      <c r="E384" s="34" t="s">
        <v>208</v>
      </c>
      <c r="F384" s="34" t="s">
        <v>209</v>
      </c>
      <c r="G384" s="34" t="s">
        <v>210</v>
      </c>
      <c r="H384" s="34" t="s">
        <v>211</v>
      </c>
      <c r="I384">
        <v>14</v>
      </c>
      <c r="J384">
        <v>0</v>
      </c>
      <c r="K384">
        <v>9</v>
      </c>
      <c r="L384">
        <v>5</v>
      </c>
      <c r="M384">
        <v>4</v>
      </c>
      <c r="N384">
        <v>1</v>
      </c>
      <c r="O384" s="28">
        <v>46280</v>
      </c>
      <c r="P384">
        <v>12.7</v>
      </c>
      <c r="Q384">
        <v>12.7</v>
      </c>
      <c r="R384">
        <v>1</v>
      </c>
      <c r="S384">
        <v>5</v>
      </c>
      <c r="T384">
        <v>10</v>
      </c>
      <c r="U384">
        <v>26</v>
      </c>
      <c r="V384">
        <v>20260916005</v>
      </c>
    </row>
    <row r="385" spans="1:22" x14ac:dyDescent="0.2">
      <c r="A385" s="34" t="s">
        <v>122</v>
      </c>
      <c r="B385" s="28">
        <v>46281</v>
      </c>
      <c r="C385" s="34"/>
      <c r="D385" s="34" t="s">
        <v>340</v>
      </c>
      <c r="E385" s="34" t="s">
        <v>212</v>
      </c>
      <c r="F385" s="34" t="s">
        <v>213</v>
      </c>
      <c r="G385" s="34" t="s">
        <v>214</v>
      </c>
      <c r="H385" s="34" t="s">
        <v>215</v>
      </c>
      <c r="I385">
        <v>19</v>
      </c>
      <c r="J385">
        <v>0</v>
      </c>
      <c r="K385">
        <v>12</v>
      </c>
      <c r="L385">
        <v>7</v>
      </c>
      <c r="M385">
        <v>8</v>
      </c>
      <c r="N385">
        <v>-1</v>
      </c>
      <c r="O385" s="28">
        <v>46280</v>
      </c>
      <c r="P385">
        <v>12.7</v>
      </c>
      <c r="Q385">
        <v>-12.7</v>
      </c>
      <c r="R385">
        <v>1</v>
      </c>
      <c r="S385">
        <v>6</v>
      </c>
      <c r="T385">
        <v>10</v>
      </c>
      <c r="U385">
        <v>27</v>
      </c>
      <c r="V385">
        <v>20260916006</v>
      </c>
    </row>
    <row r="386" spans="1:22" x14ac:dyDescent="0.2">
      <c r="A386" s="34" t="s">
        <v>122</v>
      </c>
      <c r="B386" s="28">
        <v>46281</v>
      </c>
      <c r="C386" s="34"/>
      <c r="D386" s="34" t="s">
        <v>340</v>
      </c>
      <c r="E386" s="34" t="s">
        <v>124</v>
      </c>
      <c r="F386" s="34" t="s">
        <v>125</v>
      </c>
      <c r="G386" s="34" t="s">
        <v>126</v>
      </c>
      <c r="H386" s="34" t="s">
        <v>127</v>
      </c>
      <c r="I386">
        <v>5</v>
      </c>
      <c r="J386">
        <v>0</v>
      </c>
      <c r="K386">
        <v>5</v>
      </c>
      <c r="L386">
        <v>0</v>
      </c>
      <c r="M386">
        <v>0</v>
      </c>
      <c r="N386">
        <v>0</v>
      </c>
      <c r="O386" s="28">
        <v>46280</v>
      </c>
      <c r="R386">
        <v>0</v>
      </c>
      <c r="S386">
        <v>7</v>
      </c>
      <c r="T386">
        <v>10</v>
      </c>
      <c r="U386">
        <v>1</v>
      </c>
      <c r="V386">
        <v>20260916007</v>
      </c>
    </row>
    <row r="387" spans="1:22" x14ac:dyDescent="0.2">
      <c r="A387" s="34" t="s">
        <v>122</v>
      </c>
      <c r="B387" s="28">
        <v>46281</v>
      </c>
      <c r="C387" s="34"/>
      <c r="D387" s="34" t="s">
        <v>340</v>
      </c>
      <c r="E387" s="34" t="s">
        <v>128</v>
      </c>
      <c r="F387" s="34" t="s">
        <v>129</v>
      </c>
      <c r="G387" s="34" t="s">
        <v>130</v>
      </c>
      <c r="H387" s="34" t="s">
        <v>131</v>
      </c>
      <c r="I387">
        <v>5</v>
      </c>
      <c r="J387">
        <v>0</v>
      </c>
      <c r="K387">
        <v>5</v>
      </c>
      <c r="L387">
        <v>0</v>
      </c>
      <c r="M387">
        <v>0</v>
      </c>
      <c r="N387">
        <v>0</v>
      </c>
      <c r="O387" s="28">
        <v>46280</v>
      </c>
      <c r="R387">
        <v>0</v>
      </c>
      <c r="S387">
        <v>8</v>
      </c>
      <c r="T387">
        <v>10</v>
      </c>
      <c r="U387">
        <v>2</v>
      </c>
      <c r="V387">
        <v>20260916008</v>
      </c>
    </row>
    <row r="388" spans="1:22" x14ac:dyDescent="0.2">
      <c r="A388" s="34" t="s">
        <v>122</v>
      </c>
      <c r="B388" s="28">
        <v>46281</v>
      </c>
      <c r="C388" s="34"/>
      <c r="D388" s="34" t="s">
        <v>340</v>
      </c>
      <c r="E388" s="34" t="s">
        <v>132</v>
      </c>
      <c r="F388" s="34" t="s">
        <v>133</v>
      </c>
      <c r="G388" s="34" t="s">
        <v>134</v>
      </c>
      <c r="H388" s="34" t="s">
        <v>135</v>
      </c>
      <c r="I388">
        <v>4</v>
      </c>
      <c r="J388">
        <v>0</v>
      </c>
      <c r="K388">
        <v>4</v>
      </c>
      <c r="L388">
        <v>0</v>
      </c>
      <c r="M388">
        <v>0</v>
      </c>
      <c r="N388">
        <v>0</v>
      </c>
      <c r="O388" s="28">
        <v>46280</v>
      </c>
      <c r="R388">
        <v>0</v>
      </c>
      <c r="S388">
        <v>9</v>
      </c>
      <c r="T388">
        <v>10</v>
      </c>
      <c r="U388">
        <v>3</v>
      </c>
      <c r="V388">
        <v>20260916009</v>
      </c>
    </row>
    <row r="389" spans="1:22" x14ac:dyDescent="0.2">
      <c r="A389" s="34" t="s">
        <v>122</v>
      </c>
      <c r="B389" s="28">
        <v>46281</v>
      </c>
      <c r="C389" s="34"/>
      <c r="D389" s="34" t="s">
        <v>340</v>
      </c>
      <c r="E389" s="34" t="s">
        <v>136</v>
      </c>
      <c r="F389" s="34" t="s">
        <v>137</v>
      </c>
      <c r="G389" s="34" t="s">
        <v>138</v>
      </c>
      <c r="H389" s="34" t="s">
        <v>139</v>
      </c>
      <c r="I389">
        <v>9</v>
      </c>
      <c r="J389">
        <v>0</v>
      </c>
      <c r="K389">
        <v>5</v>
      </c>
      <c r="L389">
        <v>4</v>
      </c>
      <c r="M389">
        <v>4</v>
      </c>
      <c r="N389">
        <v>0</v>
      </c>
      <c r="O389" s="28">
        <v>46280</v>
      </c>
      <c r="P389">
        <v>12.8</v>
      </c>
      <c r="Q389">
        <v>0</v>
      </c>
      <c r="R389">
        <v>0</v>
      </c>
      <c r="S389">
        <v>10</v>
      </c>
      <c r="T389">
        <v>10</v>
      </c>
      <c r="U389">
        <v>4</v>
      </c>
      <c r="V389">
        <v>20260916010</v>
      </c>
    </row>
    <row r="390" spans="1:22" x14ac:dyDescent="0.2">
      <c r="A390" s="34" t="s">
        <v>122</v>
      </c>
      <c r="B390" s="28">
        <v>46281</v>
      </c>
      <c r="C390" s="34"/>
      <c r="D390" s="34" t="s">
        <v>340</v>
      </c>
      <c r="E390" s="34" t="s">
        <v>140</v>
      </c>
      <c r="F390" s="34" t="s">
        <v>141</v>
      </c>
      <c r="G390" s="34" t="s">
        <v>142</v>
      </c>
      <c r="H390" s="34" t="s">
        <v>143</v>
      </c>
      <c r="I390">
        <v>4</v>
      </c>
      <c r="J390">
        <v>0</v>
      </c>
      <c r="K390">
        <v>2</v>
      </c>
      <c r="L390">
        <v>2</v>
      </c>
      <c r="M390">
        <v>2</v>
      </c>
      <c r="N390">
        <v>0</v>
      </c>
      <c r="O390" s="28">
        <v>46280</v>
      </c>
      <c r="P390">
        <v>12.8</v>
      </c>
      <c r="Q390">
        <v>0</v>
      </c>
      <c r="R390">
        <v>0</v>
      </c>
      <c r="S390">
        <v>11</v>
      </c>
      <c r="T390">
        <v>10</v>
      </c>
      <c r="U390">
        <v>5</v>
      </c>
      <c r="V390">
        <v>20260916011</v>
      </c>
    </row>
    <row r="391" spans="1:22" x14ac:dyDescent="0.2">
      <c r="A391" s="34" t="s">
        <v>122</v>
      </c>
      <c r="B391" s="28">
        <v>46281</v>
      </c>
      <c r="C391" s="34"/>
      <c r="D391" s="34" t="s">
        <v>340</v>
      </c>
      <c r="E391" s="34" t="s">
        <v>144</v>
      </c>
      <c r="F391" s="34" t="s">
        <v>145</v>
      </c>
      <c r="G391" s="34" t="s">
        <v>146</v>
      </c>
      <c r="H391" s="34" t="s">
        <v>147</v>
      </c>
      <c r="I391">
        <v>5</v>
      </c>
      <c r="J391">
        <v>0</v>
      </c>
      <c r="K391">
        <v>4</v>
      </c>
      <c r="L391">
        <v>1</v>
      </c>
      <c r="M391">
        <v>1</v>
      </c>
      <c r="N391">
        <v>0</v>
      </c>
      <c r="O391" s="28">
        <v>46280</v>
      </c>
      <c r="P391">
        <v>12.8</v>
      </c>
      <c r="Q391">
        <v>0</v>
      </c>
      <c r="R391">
        <v>0</v>
      </c>
      <c r="S391">
        <v>12</v>
      </c>
      <c r="T391">
        <v>10</v>
      </c>
      <c r="U391">
        <v>6</v>
      </c>
      <c r="V391">
        <v>20260916012</v>
      </c>
    </row>
    <row r="392" spans="1:22" x14ac:dyDescent="0.2">
      <c r="A392" s="34" t="s">
        <v>122</v>
      </c>
      <c r="B392" s="28">
        <v>46281</v>
      </c>
      <c r="C392" s="34"/>
      <c r="D392" s="34" t="s">
        <v>340</v>
      </c>
      <c r="E392" s="34" t="s">
        <v>148</v>
      </c>
      <c r="F392" s="34" t="s">
        <v>149</v>
      </c>
      <c r="G392" s="34" t="s">
        <v>150</v>
      </c>
      <c r="H392" s="34" t="s">
        <v>151</v>
      </c>
      <c r="I392">
        <v>3</v>
      </c>
      <c r="J392">
        <v>0</v>
      </c>
      <c r="K392">
        <v>3</v>
      </c>
      <c r="L392">
        <v>0</v>
      </c>
      <c r="M392">
        <v>0</v>
      </c>
      <c r="N392">
        <v>0</v>
      </c>
      <c r="O392" s="28">
        <v>46280</v>
      </c>
      <c r="R392">
        <v>0</v>
      </c>
      <c r="S392">
        <v>13</v>
      </c>
      <c r="T392">
        <v>10</v>
      </c>
      <c r="U392">
        <v>7</v>
      </c>
      <c r="V392">
        <v>20260916013</v>
      </c>
    </row>
    <row r="393" spans="1:22" x14ac:dyDescent="0.2">
      <c r="A393" s="34" t="s">
        <v>122</v>
      </c>
      <c r="B393" s="28">
        <v>46281</v>
      </c>
      <c r="C393" s="34"/>
      <c r="D393" s="34" t="s">
        <v>340</v>
      </c>
      <c r="E393" s="34" t="s">
        <v>156</v>
      </c>
      <c r="F393" s="34" t="s">
        <v>157</v>
      </c>
      <c r="G393" s="34" t="s">
        <v>158</v>
      </c>
      <c r="H393" s="34" t="s">
        <v>159</v>
      </c>
      <c r="I393">
        <v>15</v>
      </c>
      <c r="J393">
        <v>0</v>
      </c>
      <c r="K393">
        <v>15</v>
      </c>
      <c r="L393">
        <v>0</v>
      </c>
      <c r="M393">
        <v>0</v>
      </c>
      <c r="N393">
        <v>0</v>
      </c>
      <c r="O393" s="28">
        <v>46280</v>
      </c>
      <c r="R393">
        <v>0</v>
      </c>
      <c r="S393">
        <v>14</v>
      </c>
      <c r="T393">
        <v>10</v>
      </c>
      <c r="U393">
        <v>9</v>
      </c>
      <c r="V393">
        <v>20260916014</v>
      </c>
    </row>
    <row r="394" spans="1:22" x14ac:dyDescent="0.2">
      <c r="A394" s="34" t="s">
        <v>122</v>
      </c>
      <c r="B394" s="28">
        <v>46281</v>
      </c>
      <c r="C394" s="34"/>
      <c r="D394" s="34" t="s">
        <v>340</v>
      </c>
      <c r="E394" s="34" t="s">
        <v>160</v>
      </c>
      <c r="F394" s="34" t="s">
        <v>161</v>
      </c>
      <c r="G394" s="34" t="s">
        <v>162</v>
      </c>
      <c r="H394" s="34" t="s">
        <v>163</v>
      </c>
      <c r="I394">
        <v>5</v>
      </c>
      <c r="J394">
        <v>0</v>
      </c>
      <c r="K394">
        <v>5</v>
      </c>
      <c r="L394">
        <v>0</v>
      </c>
      <c r="M394">
        <v>0</v>
      </c>
      <c r="N394">
        <v>0</v>
      </c>
      <c r="O394" s="28">
        <v>46280</v>
      </c>
      <c r="R394">
        <v>0</v>
      </c>
      <c r="S394">
        <v>15</v>
      </c>
      <c r="T394">
        <v>10</v>
      </c>
      <c r="U394">
        <v>10</v>
      </c>
      <c r="V394">
        <v>20260916015</v>
      </c>
    </row>
    <row r="395" spans="1:22" x14ac:dyDescent="0.2">
      <c r="A395" s="34" t="s">
        <v>122</v>
      </c>
      <c r="B395" s="28">
        <v>46281</v>
      </c>
      <c r="C395" s="34"/>
      <c r="D395" s="34" t="s">
        <v>340</v>
      </c>
      <c r="E395" s="34" t="s">
        <v>168</v>
      </c>
      <c r="F395" s="34" t="s">
        <v>169</v>
      </c>
      <c r="G395" s="34" t="s">
        <v>170</v>
      </c>
      <c r="H395" s="34" t="s">
        <v>171</v>
      </c>
      <c r="I395">
        <v>14</v>
      </c>
      <c r="J395">
        <v>0</v>
      </c>
      <c r="K395">
        <v>14</v>
      </c>
      <c r="L395">
        <v>0</v>
      </c>
      <c r="M395">
        <v>0</v>
      </c>
      <c r="N395">
        <v>0</v>
      </c>
      <c r="O395" s="28">
        <v>46280</v>
      </c>
      <c r="R395">
        <v>0</v>
      </c>
      <c r="S395">
        <v>16</v>
      </c>
      <c r="T395">
        <v>10</v>
      </c>
      <c r="U395">
        <v>12</v>
      </c>
      <c r="V395">
        <v>20260916016</v>
      </c>
    </row>
    <row r="396" spans="1:22" x14ac:dyDescent="0.2">
      <c r="A396" s="34" t="s">
        <v>122</v>
      </c>
      <c r="B396" s="28">
        <v>46281</v>
      </c>
      <c r="C396" s="34"/>
      <c r="D396" s="34" t="s">
        <v>340</v>
      </c>
      <c r="E396" s="34" t="s">
        <v>172</v>
      </c>
      <c r="F396" s="34" t="s">
        <v>173</v>
      </c>
      <c r="G396" s="34" t="s">
        <v>174</v>
      </c>
      <c r="H396" s="34" t="s">
        <v>175</v>
      </c>
      <c r="I396">
        <v>16</v>
      </c>
      <c r="J396">
        <v>0</v>
      </c>
      <c r="K396">
        <v>15</v>
      </c>
      <c r="L396">
        <v>1</v>
      </c>
      <c r="M396">
        <v>1</v>
      </c>
      <c r="N396">
        <v>0</v>
      </c>
      <c r="O396" s="28">
        <v>46280</v>
      </c>
      <c r="P396">
        <v>18.2</v>
      </c>
      <c r="Q396">
        <v>0</v>
      </c>
      <c r="R396">
        <v>0</v>
      </c>
      <c r="S396">
        <v>17</v>
      </c>
      <c r="T396">
        <v>10</v>
      </c>
      <c r="U396">
        <v>13</v>
      </c>
      <c r="V396">
        <v>20260916017</v>
      </c>
    </row>
    <row r="397" spans="1:22" x14ac:dyDescent="0.2">
      <c r="A397" s="34" t="s">
        <v>122</v>
      </c>
      <c r="B397" s="28">
        <v>46281</v>
      </c>
      <c r="C397" s="34"/>
      <c r="D397" s="34" t="s">
        <v>340</v>
      </c>
      <c r="E397" s="34" t="s">
        <v>180</v>
      </c>
      <c r="F397" s="34" t="s">
        <v>181</v>
      </c>
      <c r="G397" s="34" t="s">
        <v>182</v>
      </c>
      <c r="H397" s="34" t="s">
        <v>183</v>
      </c>
      <c r="I397">
        <v>11</v>
      </c>
      <c r="J397">
        <v>0</v>
      </c>
      <c r="K397">
        <v>11</v>
      </c>
      <c r="L397">
        <v>0</v>
      </c>
      <c r="M397">
        <v>0</v>
      </c>
      <c r="N397">
        <v>0</v>
      </c>
      <c r="O397" s="28">
        <v>46280</v>
      </c>
      <c r="R397">
        <v>0</v>
      </c>
      <c r="S397">
        <v>18</v>
      </c>
      <c r="T397">
        <v>10</v>
      </c>
      <c r="U397">
        <v>15</v>
      </c>
      <c r="V397">
        <v>20260916018</v>
      </c>
    </row>
    <row r="398" spans="1:22" x14ac:dyDescent="0.2">
      <c r="A398" s="34" t="s">
        <v>122</v>
      </c>
      <c r="B398" s="28">
        <v>46281</v>
      </c>
      <c r="C398" s="34"/>
      <c r="D398" s="34" t="s">
        <v>340</v>
      </c>
      <c r="E398" s="34" t="s">
        <v>184</v>
      </c>
      <c r="F398" s="34" t="s">
        <v>185</v>
      </c>
      <c r="G398" s="34" t="s">
        <v>186</v>
      </c>
      <c r="H398" s="34" t="s">
        <v>187</v>
      </c>
      <c r="I398">
        <v>13</v>
      </c>
      <c r="J398">
        <v>0</v>
      </c>
      <c r="K398">
        <v>13</v>
      </c>
      <c r="L398">
        <v>0</v>
      </c>
      <c r="M398">
        <v>0</v>
      </c>
      <c r="N398">
        <v>0</v>
      </c>
      <c r="O398" s="28">
        <v>46280</v>
      </c>
      <c r="R398">
        <v>0</v>
      </c>
      <c r="S398">
        <v>19</v>
      </c>
      <c r="T398">
        <v>10</v>
      </c>
      <c r="U398">
        <v>16</v>
      </c>
      <c r="V398">
        <v>20260916019</v>
      </c>
    </row>
    <row r="399" spans="1:22" x14ac:dyDescent="0.2">
      <c r="A399" s="34" t="s">
        <v>122</v>
      </c>
      <c r="B399" s="28">
        <v>46281</v>
      </c>
      <c r="C399" s="34"/>
      <c r="D399" s="34" t="s">
        <v>340</v>
      </c>
      <c r="E399" s="34" t="s">
        <v>188</v>
      </c>
      <c r="F399" s="34" t="s">
        <v>189</v>
      </c>
      <c r="G399" s="34" t="s">
        <v>190</v>
      </c>
      <c r="H399" s="34" t="s">
        <v>191</v>
      </c>
      <c r="I399">
        <v>4</v>
      </c>
      <c r="J399">
        <v>0</v>
      </c>
      <c r="K399">
        <v>4</v>
      </c>
      <c r="L399">
        <v>0</v>
      </c>
      <c r="M399">
        <v>0</v>
      </c>
      <c r="N399">
        <v>0</v>
      </c>
      <c r="O399" s="28">
        <v>46280</v>
      </c>
      <c r="R399">
        <v>0</v>
      </c>
      <c r="S399">
        <v>20</v>
      </c>
      <c r="T399">
        <v>10</v>
      </c>
      <c r="U399">
        <v>21</v>
      </c>
      <c r="V399">
        <v>20260916020</v>
      </c>
    </row>
    <row r="400" spans="1:22" x14ac:dyDescent="0.2">
      <c r="A400" s="34" t="s">
        <v>122</v>
      </c>
      <c r="B400" s="28">
        <v>46281</v>
      </c>
      <c r="C400" s="34"/>
      <c r="D400" s="34" t="s">
        <v>340</v>
      </c>
      <c r="E400" s="34" t="s">
        <v>192</v>
      </c>
      <c r="F400" s="34" t="s">
        <v>193</v>
      </c>
      <c r="G400" s="34" t="s">
        <v>194</v>
      </c>
      <c r="H400" s="34" t="s">
        <v>195</v>
      </c>
      <c r="I400">
        <v>4</v>
      </c>
      <c r="J400">
        <v>0</v>
      </c>
      <c r="K400">
        <v>4</v>
      </c>
      <c r="L400">
        <v>0</v>
      </c>
      <c r="M400">
        <v>0</v>
      </c>
      <c r="N400">
        <v>0</v>
      </c>
      <c r="O400" s="28">
        <v>46280</v>
      </c>
      <c r="R400">
        <v>0</v>
      </c>
      <c r="S400">
        <v>21</v>
      </c>
      <c r="T400">
        <v>10</v>
      </c>
      <c r="U400">
        <v>22</v>
      </c>
      <c r="V400">
        <v>20260916021</v>
      </c>
    </row>
    <row r="401" spans="1:22" x14ac:dyDescent="0.2">
      <c r="A401" s="34" t="s">
        <v>122</v>
      </c>
      <c r="B401" s="28">
        <v>46281</v>
      </c>
      <c r="C401" s="34"/>
      <c r="D401" s="34" t="s">
        <v>340</v>
      </c>
      <c r="E401" s="34" t="s">
        <v>196</v>
      </c>
      <c r="F401" s="34" t="s">
        <v>197</v>
      </c>
      <c r="G401" s="34" t="s">
        <v>198</v>
      </c>
      <c r="H401" s="34" t="s">
        <v>199</v>
      </c>
      <c r="I401">
        <v>3</v>
      </c>
      <c r="J401">
        <v>0</v>
      </c>
      <c r="K401">
        <v>3</v>
      </c>
      <c r="L401">
        <v>0</v>
      </c>
      <c r="M401">
        <v>0</v>
      </c>
      <c r="N401">
        <v>0</v>
      </c>
      <c r="O401" s="28">
        <v>46280</v>
      </c>
      <c r="R401">
        <v>0</v>
      </c>
      <c r="S401">
        <v>22</v>
      </c>
      <c r="T401">
        <v>10</v>
      </c>
      <c r="U401">
        <v>23</v>
      </c>
      <c r="V401">
        <v>20260916022</v>
      </c>
    </row>
    <row r="402" spans="1:22" x14ac:dyDescent="0.2">
      <c r="A402" s="34" t="s">
        <v>122</v>
      </c>
      <c r="B402" s="28">
        <v>46281</v>
      </c>
      <c r="C402" s="34"/>
      <c r="D402" s="34" t="s">
        <v>340</v>
      </c>
      <c r="E402" s="34" t="s">
        <v>200</v>
      </c>
      <c r="F402" s="34" t="s">
        <v>201</v>
      </c>
      <c r="G402" s="34" t="s">
        <v>202</v>
      </c>
      <c r="H402" s="34" t="s">
        <v>203</v>
      </c>
      <c r="I402">
        <v>20</v>
      </c>
      <c r="J402">
        <v>0</v>
      </c>
      <c r="K402">
        <v>14</v>
      </c>
      <c r="L402">
        <v>6</v>
      </c>
      <c r="M402">
        <v>6</v>
      </c>
      <c r="N402">
        <v>0</v>
      </c>
      <c r="O402" s="28">
        <v>46280</v>
      </c>
      <c r="P402">
        <v>12.7</v>
      </c>
      <c r="Q402">
        <v>0</v>
      </c>
      <c r="R402">
        <v>0</v>
      </c>
      <c r="S402">
        <v>23</v>
      </c>
      <c r="T402">
        <v>10</v>
      </c>
      <c r="U402">
        <v>24</v>
      </c>
      <c r="V402">
        <v>20260916023</v>
      </c>
    </row>
    <row r="403" spans="1:22" x14ac:dyDescent="0.2">
      <c r="A403" s="34" t="s">
        <v>122</v>
      </c>
      <c r="B403" s="28">
        <v>46281</v>
      </c>
      <c r="C403" s="34"/>
      <c r="D403" s="34" t="s">
        <v>340</v>
      </c>
      <c r="E403" s="34" t="s">
        <v>204</v>
      </c>
      <c r="F403" s="34" t="s">
        <v>205</v>
      </c>
      <c r="G403" s="34" t="s">
        <v>206</v>
      </c>
      <c r="H403" s="34" t="s">
        <v>207</v>
      </c>
      <c r="I403">
        <v>6</v>
      </c>
      <c r="J403">
        <v>0</v>
      </c>
      <c r="K403">
        <v>6</v>
      </c>
      <c r="L403">
        <v>0</v>
      </c>
      <c r="M403">
        <v>0</v>
      </c>
      <c r="N403">
        <v>0</v>
      </c>
      <c r="O403" s="28">
        <v>46280</v>
      </c>
      <c r="R403">
        <v>0</v>
      </c>
      <c r="S403">
        <v>24</v>
      </c>
      <c r="T403">
        <v>10</v>
      </c>
      <c r="U403">
        <v>25</v>
      </c>
      <c r="V403">
        <v>20260916024</v>
      </c>
    </row>
    <row r="404" spans="1:22" x14ac:dyDescent="0.2">
      <c r="A404" s="34" t="s">
        <v>122</v>
      </c>
      <c r="B404" s="28">
        <v>46281</v>
      </c>
      <c r="C404" s="34"/>
      <c r="D404" s="34" t="s">
        <v>340</v>
      </c>
      <c r="E404" s="34" t="s">
        <v>216</v>
      </c>
      <c r="F404" s="34" t="s">
        <v>217</v>
      </c>
      <c r="G404" s="34" t="s">
        <v>218</v>
      </c>
      <c r="H404" s="34" t="s">
        <v>219</v>
      </c>
      <c r="I404">
        <v>3</v>
      </c>
      <c r="J404">
        <v>0</v>
      </c>
      <c r="K404">
        <v>2</v>
      </c>
      <c r="L404">
        <v>1</v>
      </c>
      <c r="M404">
        <v>1</v>
      </c>
      <c r="N404">
        <v>0</v>
      </c>
      <c r="O404" s="28">
        <v>46280</v>
      </c>
      <c r="P404">
        <v>12.7</v>
      </c>
      <c r="Q404">
        <v>0</v>
      </c>
      <c r="R404">
        <v>0</v>
      </c>
      <c r="S404">
        <v>25</v>
      </c>
      <c r="T404">
        <v>10</v>
      </c>
      <c r="U404">
        <v>28</v>
      </c>
      <c r="V404">
        <v>20260916025</v>
      </c>
    </row>
    <row r="405" spans="1:22" x14ac:dyDescent="0.2">
      <c r="A405" s="34" t="s">
        <v>122</v>
      </c>
      <c r="B405" s="28">
        <v>46281</v>
      </c>
      <c r="C405" s="34"/>
      <c r="D405" s="34" t="s">
        <v>340</v>
      </c>
      <c r="E405" s="34" t="s">
        <v>220</v>
      </c>
      <c r="F405" s="34" t="s">
        <v>221</v>
      </c>
      <c r="G405" s="34" t="s">
        <v>222</v>
      </c>
      <c r="H405" s="34" t="s">
        <v>223</v>
      </c>
      <c r="I405">
        <v>11</v>
      </c>
      <c r="J405">
        <v>0</v>
      </c>
      <c r="K405">
        <v>11</v>
      </c>
      <c r="L405">
        <v>0</v>
      </c>
      <c r="M405">
        <v>0</v>
      </c>
      <c r="N405">
        <v>0</v>
      </c>
      <c r="O405" s="28">
        <v>46280</v>
      </c>
      <c r="R405">
        <v>0</v>
      </c>
      <c r="S405">
        <v>26</v>
      </c>
      <c r="T405">
        <v>10</v>
      </c>
      <c r="U405">
        <v>29</v>
      </c>
      <c r="V405">
        <v>20260916026</v>
      </c>
    </row>
    <row r="406" spans="1:22" x14ac:dyDescent="0.2">
      <c r="A406" s="34" t="s">
        <v>122</v>
      </c>
      <c r="B406" s="28">
        <v>46281</v>
      </c>
      <c r="C406" s="34"/>
      <c r="D406" s="34" t="s">
        <v>340</v>
      </c>
      <c r="E406" s="34" t="s">
        <v>224</v>
      </c>
      <c r="F406" s="34" t="s">
        <v>225</v>
      </c>
      <c r="G406" s="34" t="s">
        <v>226</v>
      </c>
      <c r="H406" s="34" t="s">
        <v>227</v>
      </c>
      <c r="I406">
        <v>6</v>
      </c>
      <c r="J406">
        <v>0</v>
      </c>
      <c r="K406">
        <v>5</v>
      </c>
      <c r="L406">
        <v>1</v>
      </c>
      <c r="M406">
        <v>1</v>
      </c>
      <c r="N406">
        <v>0</v>
      </c>
      <c r="O406" s="28">
        <v>46280</v>
      </c>
      <c r="P406">
        <v>17.899999999999999</v>
      </c>
      <c r="Q406">
        <v>0</v>
      </c>
      <c r="R406">
        <v>0</v>
      </c>
      <c r="S406">
        <v>27</v>
      </c>
      <c r="T406">
        <v>10</v>
      </c>
      <c r="U406">
        <v>30</v>
      </c>
      <c r="V406">
        <v>20260916027</v>
      </c>
    </row>
    <row r="407" spans="1:22" x14ac:dyDescent="0.2">
      <c r="A407" s="34" t="s">
        <v>122</v>
      </c>
      <c r="B407" s="28">
        <v>46281</v>
      </c>
      <c r="C407" s="34"/>
      <c r="D407" s="34" t="s">
        <v>340</v>
      </c>
      <c r="E407" s="34" t="s">
        <v>228</v>
      </c>
      <c r="F407" s="34" t="s">
        <v>229</v>
      </c>
      <c r="G407" s="34" t="s">
        <v>230</v>
      </c>
      <c r="H407" s="34" t="s">
        <v>231</v>
      </c>
      <c r="I407">
        <v>8</v>
      </c>
      <c r="J407">
        <v>0</v>
      </c>
      <c r="K407">
        <v>7</v>
      </c>
      <c r="L407">
        <v>1</v>
      </c>
      <c r="M407">
        <v>1</v>
      </c>
      <c r="N407">
        <v>0</v>
      </c>
      <c r="O407" s="28">
        <v>46280</v>
      </c>
      <c r="P407">
        <v>17.899999999999999</v>
      </c>
      <c r="Q407">
        <v>0</v>
      </c>
      <c r="R407">
        <v>0</v>
      </c>
      <c r="S407">
        <v>28</v>
      </c>
      <c r="T407">
        <v>10</v>
      </c>
      <c r="U407">
        <v>31</v>
      </c>
      <c r="V407">
        <v>20260916028</v>
      </c>
    </row>
    <row r="408" spans="1:22" x14ac:dyDescent="0.2">
      <c r="A408" s="34" t="s">
        <v>122</v>
      </c>
      <c r="B408" s="28">
        <v>46281</v>
      </c>
      <c r="C408" s="34"/>
      <c r="D408" s="34" t="s">
        <v>340</v>
      </c>
      <c r="E408" s="34" t="s">
        <v>232</v>
      </c>
      <c r="F408" s="34" t="s">
        <v>233</v>
      </c>
      <c r="G408" s="34" t="s">
        <v>234</v>
      </c>
      <c r="H408" s="34" t="s">
        <v>235</v>
      </c>
      <c r="I408">
        <v>8</v>
      </c>
      <c r="J408">
        <v>0</v>
      </c>
      <c r="K408">
        <v>7</v>
      </c>
      <c r="L408">
        <v>1</v>
      </c>
      <c r="M408">
        <v>1</v>
      </c>
      <c r="N408">
        <v>0</v>
      </c>
      <c r="O408" s="28">
        <v>46280</v>
      </c>
      <c r="P408">
        <v>17.899999999999999</v>
      </c>
      <c r="Q408">
        <v>0</v>
      </c>
      <c r="R408">
        <v>0</v>
      </c>
      <c r="S408">
        <v>29</v>
      </c>
      <c r="T408">
        <v>10</v>
      </c>
      <c r="U408">
        <v>32</v>
      </c>
      <c r="V408">
        <v>20260916029</v>
      </c>
    </row>
    <row r="409" spans="1:22" x14ac:dyDescent="0.2">
      <c r="A409" s="34" t="s">
        <v>122</v>
      </c>
      <c r="B409" s="28">
        <v>46281</v>
      </c>
      <c r="C409" s="34"/>
      <c r="D409" s="34" t="s">
        <v>340</v>
      </c>
      <c r="E409" s="34" t="s">
        <v>236</v>
      </c>
      <c r="F409" s="34" t="s">
        <v>237</v>
      </c>
      <c r="G409" s="34" t="s">
        <v>238</v>
      </c>
      <c r="H409" s="34" t="s">
        <v>239</v>
      </c>
      <c r="I409">
        <v>8</v>
      </c>
      <c r="J409">
        <v>0</v>
      </c>
      <c r="K409">
        <v>7</v>
      </c>
      <c r="L409">
        <v>1</v>
      </c>
      <c r="M409">
        <v>1</v>
      </c>
      <c r="N409">
        <v>0</v>
      </c>
      <c r="O409" s="28">
        <v>46280</v>
      </c>
      <c r="P409">
        <v>17.899999999999999</v>
      </c>
      <c r="Q409">
        <v>0</v>
      </c>
      <c r="R409">
        <v>0</v>
      </c>
      <c r="S409">
        <v>30</v>
      </c>
      <c r="T409">
        <v>10</v>
      </c>
      <c r="U409">
        <v>33</v>
      </c>
      <c r="V409">
        <v>20260916030</v>
      </c>
    </row>
    <row r="410" spans="1:22" x14ac:dyDescent="0.2">
      <c r="A410" s="34" t="s">
        <v>122</v>
      </c>
      <c r="B410" s="28">
        <v>46281</v>
      </c>
      <c r="C410" s="34"/>
      <c r="D410" s="34" t="s">
        <v>340</v>
      </c>
      <c r="E410" s="34" t="s">
        <v>240</v>
      </c>
      <c r="F410" s="34" t="s">
        <v>241</v>
      </c>
      <c r="G410" s="34" t="s">
        <v>242</v>
      </c>
      <c r="H410" s="34" t="s">
        <v>243</v>
      </c>
      <c r="I410">
        <v>17</v>
      </c>
      <c r="J410">
        <v>0</v>
      </c>
      <c r="K410">
        <v>17</v>
      </c>
      <c r="L410">
        <v>0</v>
      </c>
      <c r="M410">
        <v>0</v>
      </c>
      <c r="N410">
        <v>0</v>
      </c>
      <c r="O410" s="28">
        <v>46280</v>
      </c>
      <c r="R410">
        <v>0</v>
      </c>
      <c r="S410">
        <v>31</v>
      </c>
      <c r="T410">
        <v>10</v>
      </c>
      <c r="U410">
        <v>34</v>
      </c>
      <c r="V410">
        <v>20260916031</v>
      </c>
    </row>
    <row r="411" spans="1:22" x14ac:dyDescent="0.2">
      <c r="A411" s="34" t="s">
        <v>122</v>
      </c>
      <c r="B411" s="28">
        <v>46281</v>
      </c>
      <c r="C411" s="34"/>
      <c r="D411" s="34" t="s">
        <v>340</v>
      </c>
      <c r="E411" s="34" t="s">
        <v>244</v>
      </c>
      <c r="F411" s="34" t="s">
        <v>245</v>
      </c>
      <c r="G411" s="34" t="s">
        <v>246</v>
      </c>
      <c r="H411" s="34" t="s">
        <v>247</v>
      </c>
      <c r="I411">
        <v>5</v>
      </c>
      <c r="J411">
        <v>0</v>
      </c>
      <c r="K411">
        <v>5</v>
      </c>
      <c r="L411">
        <v>0</v>
      </c>
      <c r="M411">
        <v>0</v>
      </c>
      <c r="N411">
        <v>0</v>
      </c>
      <c r="O411" s="28">
        <v>46280</v>
      </c>
      <c r="R411">
        <v>0</v>
      </c>
      <c r="S411">
        <v>32</v>
      </c>
      <c r="T411">
        <v>10</v>
      </c>
      <c r="U411">
        <v>35</v>
      </c>
      <c r="V411">
        <v>20260916032</v>
      </c>
    </row>
    <row r="412" spans="1:22" x14ac:dyDescent="0.2">
      <c r="A412" s="34" t="s">
        <v>122</v>
      </c>
      <c r="B412" s="28">
        <v>46281</v>
      </c>
      <c r="C412" s="34"/>
      <c r="D412" s="34" t="s">
        <v>340</v>
      </c>
      <c r="E412" s="34" t="s">
        <v>248</v>
      </c>
      <c r="F412" s="34" t="s">
        <v>249</v>
      </c>
      <c r="G412" s="34" t="s">
        <v>250</v>
      </c>
      <c r="H412" s="34" t="s">
        <v>251</v>
      </c>
      <c r="I412">
        <v>4</v>
      </c>
      <c r="J412">
        <v>0</v>
      </c>
      <c r="K412">
        <v>4</v>
      </c>
      <c r="L412">
        <v>0</v>
      </c>
      <c r="M412">
        <v>0</v>
      </c>
      <c r="N412">
        <v>0</v>
      </c>
      <c r="O412" s="28">
        <v>46280</v>
      </c>
      <c r="R412">
        <v>0</v>
      </c>
      <c r="S412">
        <v>33</v>
      </c>
      <c r="T412">
        <v>10</v>
      </c>
      <c r="U412">
        <v>36</v>
      </c>
      <c r="V412">
        <v>20260916033</v>
      </c>
    </row>
    <row r="413" spans="1:22" x14ac:dyDescent="0.2">
      <c r="A413" s="34" t="s">
        <v>122</v>
      </c>
      <c r="B413" s="28">
        <v>46281</v>
      </c>
      <c r="C413" s="34"/>
      <c r="D413" s="34" t="s">
        <v>340</v>
      </c>
      <c r="E413" s="34" t="s">
        <v>252</v>
      </c>
      <c r="F413" s="34" t="s">
        <v>253</v>
      </c>
      <c r="G413" s="34" t="s">
        <v>254</v>
      </c>
      <c r="H413" s="34" t="s">
        <v>255</v>
      </c>
      <c r="I413">
        <v>20</v>
      </c>
      <c r="J413">
        <v>0</v>
      </c>
      <c r="K413">
        <v>12</v>
      </c>
      <c r="L413">
        <v>8</v>
      </c>
      <c r="M413">
        <v>8</v>
      </c>
      <c r="N413">
        <v>0</v>
      </c>
      <c r="O413" s="28">
        <v>46280</v>
      </c>
      <c r="P413">
        <v>18.399999999999999</v>
      </c>
      <c r="Q413">
        <v>0</v>
      </c>
      <c r="R413">
        <v>0</v>
      </c>
      <c r="S413">
        <v>34</v>
      </c>
      <c r="T413">
        <v>10</v>
      </c>
      <c r="U413">
        <v>37</v>
      </c>
      <c r="V413">
        <v>20260916034</v>
      </c>
    </row>
    <row r="414" spans="1:22" x14ac:dyDescent="0.2">
      <c r="A414" s="34" t="s">
        <v>122</v>
      </c>
      <c r="B414" s="28">
        <v>46281</v>
      </c>
      <c r="C414" s="34"/>
      <c r="D414" s="34" t="s">
        <v>340</v>
      </c>
      <c r="E414" s="34" t="s">
        <v>256</v>
      </c>
      <c r="F414" s="34" t="s">
        <v>257</v>
      </c>
      <c r="G414" s="34" t="s">
        <v>258</v>
      </c>
      <c r="H414" s="34" t="s">
        <v>259</v>
      </c>
      <c r="I414">
        <v>4</v>
      </c>
      <c r="J414">
        <v>0</v>
      </c>
      <c r="K414">
        <v>4</v>
      </c>
      <c r="L414">
        <v>0</v>
      </c>
      <c r="M414">
        <v>0</v>
      </c>
      <c r="N414">
        <v>0</v>
      </c>
      <c r="O414" s="28">
        <v>46280</v>
      </c>
      <c r="R414">
        <v>0</v>
      </c>
      <c r="S414">
        <v>35</v>
      </c>
      <c r="T414">
        <v>10</v>
      </c>
      <c r="U414">
        <v>38</v>
      </c>
      <c r="V414">
        <v>20260916035</v>
      </c>
    </row>
    <row r="415" spans="1:22" x14ac:dyDescent="0.2">
      <c r="A415" s="34" t="s">
        <v>122</v>
      </c>
      <c r="B415" s="28">
        <v>46281</v>
      </c>
      <c r="C415" s="34"/>
      <c r="D415" s="34" t="s">
        <v>340</v>
      </c>
      <c r="E415" s="34" t="s">
        <v>260</v>
      </c>
      <c r="F415" s="34" t="s">
        <v>261</v>
      </c>
      <c r="G415" s="34" t="s">
        <v>262</v>
      </c>
      <c r="H415" s="34" t="s">
        <v>263</v>
      </c>
      <c r="I415">
        <v>4</v>
      </c>
      <c r="J415">
        <v>0</v>
      </c>
      <c r="K415">
        <v>4</v>
      </c>
      <c r="L415">
        <v>0</v>
      </c>
      <c r="M415">
        <v>0</v>
      </c>
      <c r="N415">
        <v>0</v>
      </c>
      <c r="O415" s="28">
        <v>46280</v>
      </c>
      <c r="R415">
        <v>0</v>
      </c>
      <c r="S415">
        <v>36</v>
      </c>
      <c r="T415">
        <v>10</v>
      </c>
      <c r="U415">
        <v>39</v>
      </c>
      <c r="V415">
        <v>20260916036</v>
      </c>
    </row>
    <row r="416" spans="1:22" x14ac:dyDescent="0.2">
      <c r="A416" s="34" t="s">
        <v>122</v>
      </c>
      <c r="B416" s="28">
        <v>46281</v>
      </c>
      <c r="C416" s="34"/>
      <c r="D416" s="34" t="s">
        <v>340</v>
      </c>
      <c r="E416" s="34" t="s">
        <v>264</v>
      </c>
      <c r="F416" s="34" t="s">
        <v>265</v>
      </c>
      <c r="G416" s="34" t="s">
        <v>266</v>
      </c>
      <c r="H416" s="34" t="s">
        <v>267</v>
      </c>
      <c r="I416">
        <v>7</v>
      </c>
      <c r="J416">
        <v>0</v>
      </c>
      <c r="K416">
        <v>5</v>
      </c>
      <c r="L416">
        <v>2</v>
      </c>
      <c r="M416">
        <v>2</v>
      </c>
      <c r="N416">
        <v>0</v>
      </c>
      <c r="O416" s="28">
        <v>46280</v>
      </c>
      <c r="P416">
        <v>18.399999999999999</v>
      </c>
      <c r="Q416">
        <v>0</v>
      </c>
      <c r="R416">
        <v>0</v>
      </c>
      <c r="S416">
        <v>37</v>
      </c>
      <c r="T416">
        <v>10</v>
      </c>
      <c r="U416">
        <v>40</v>
      </c>
      <c r="V416">
        <v>20260916037</v>
      </c>
    </row>
    <row r="417" spans="1:22" x14ac:dyDescent="0.2">
      <c r="A417" s="34" t="s">
        <v>122</v>
      </c>
      <c r="B417" s="28">
        <v>46281</v>
      </c>
      <c r="C417" s="34"/>
      <c r="D417" s="34" t="s">
        <v>340</v>
      </c>
      <c r="E417" s="34" t="s">
        <v>268</v>
      </c>
      <c r="F417" s="34" t="s">
        <v>269</v>
      </c>
      <c r="G417" s="34" t="s">
        <v>270</v>
      </c>
      <c r="H417" s="34" t="s">
        <v>271</v>
      </c>
      <c r="I417">
        <v>4</v>
      </c>
      <c r="J417">
        <v>0</v>
      </c>
      <c r="K417">
        <v>4</v>
      </c>
      <c r="L417">
        <v>0</v>
      </c>
      <c r="M417">
        <v>0</v>
      </c>
      <c r="N417">
        <v>0</v>
      </c>
      <c r="O417" s="28">
        <v>46280</v>
      </c>
      <c r="R417">
        <v>0</v>
      </c>
      <c r="S417">
        <v>38</v>
      </c>
      <c r="T417">
        <v>10</v>
      </c>
      <c r="U417">
        <v>41</v>
      </c>
      <c r="V417">
        <v>20260916038</v>
      </c>
    </row>
    <row r="418" spans="1:22" x14ac:dyDescent="0.2">
      <c r="A418" s="34" t="s">
        <v>122</v>
      </c>
      <c r="B418" s="28">
        <v>46281</v>
      </c>
      <c r="C418" s="34"/>
      <c r="D418" s="34" t="s">
        <v>340</v>
      </c>
      <c r="E418" s="34" t="s">
        <v>272</v>
      </c>
      <c r="F418" s="34" t="s">
        <v>341</v>
      </c>
      <c r="G418" s="34" t="s">
        <v>273</v>
      </c>
      <c r="H418" s="34" t="s">
        <v>274</v>
      </c>
      <c r="I418">
        <v>16</v>
      </c>
      <c r="J418">
        <v>0</v>
      </c>
      <c r="K418">
        <v>12</v>
      </c>
      <c r="L418">
        <v>4</v>
      </c>
      <c r="M418">
        <v>4</v>
      </c>
      <c r="N418">
        <v>0</v>
      </c>
      <c r="O418" s="28">
        <v>46280</v>
      </c>
      <c r="P418">
        <v>18.399999999999999</v>
      </c>
      <c r="Q418">
        <v>0</v>
      </c>
      <c r="R418">
        <v>0</v>
      </c>
      <c r="S418">
        <v>39</v>
      </c>
      <c r="T418">
        <v>10</v>
      </c>
      <c r="U418">
        <v>42</v>
      </c>
      <c r="V418">
        <v>20260916039</v>
      </c>
    </row>
    <row r="419" spans="1:22" x14ac:dyDescent="0.2">
      <c r="A419" s="34" t="s">
        <v>122</v>
      </c>
      <c r="B419" s="28">
        <v>46281</v>
      </c>
      <c r="C419" s="34"/>
      <c r="D419" s="34" t="s">
        <v>340</v>
      </c>
      <c r="E419" s="34" t="s">
        <v>275</v>
      </c>
      <c r="F419" s="34" t="s">
        <v>276</v>
      </c>
      <c r="G419" s="34" t="s">
        <v>277</v>
      </c>
      <c r="H419" s="34" t="s">
        <v>278</v>
      </c>
      <c r="I419">
        <v>5</v>
      </c>
      <c r="J419">
        <v>0</v>
      </c>
      <c r="K419">
        <v>5</v>
      </c>
      <c r="L419">
        <v>0</v>
      </c>
      <c r="M419">
        <v>0</v>
      </c>
      <c r="N419">
        <v>0</v>
      </c>
      <c r="O419" s="28">
        <v>46280</v>
      </c>
      <c r="R419">
        <v>0</v>
      </c>
      <c r="S419">
        <v>40</v>
      </c>
      <c r="T419">
        <v>10</v>
      </c>
      <c r="U419">
        <v>43</v>
      </c>
      <c r="V419">
        <v>20260916040</v>
      </c>
    </row>
    <row r="420" spans="1:22" x14ac:dyDescent="0.2">
      <c r="A420" s="34" t="s">
        <v>122</v>
      </c>
      <c r="B420" s="28">
        <v>46281</v>
      </c>
      <c r="C420" s="34"/>
      <c r="D420" s="34" t="s">
        <v>340</v>
      </c>
      <c r="E420" s="34" t="s">
        <v>279</v>
      </c>
      <c r="F420" s="34" t="s">
        <v>280</v>
      </c>
      <c r="G420" s="34" t="s">
        <v>281</v>
      </c>
      <c r="H420" s="34" t="s">
        <v>282</v>
      </c>
      <c r="I420">
        <v>6</v>
      </c>
      <c r="J420">
        <v>0</v>
      </c>
      <c r="K420">
        <v>6</v>
      </c>
      <c r="L420">
        <v>0</v>
      </c>
      <c r="M420">
        <v>0</v>
      </c>
      <c r="N420">
        <v>0</v>
      </c>
      <c r="O420" s="28">
        <v>46280</v>
      </c>
      <c r="R420">
        <v>0</v>
      </c>
      <c r="S420">
        <v>41</v>
      </c>
      <c r="T420">
        <v>10</v>
      </c>
      <c r="U420">
        <v>44</v>
      </c>
      <c r="V420">
        <v>20260916041</v>
      </c>
    </row>
    <row r="421" spans="1:22" x14ac:dyDescent="0.2">
      <c r="A421" s="34" t="s">
        <v>122</v>
      </c>
      <c r="B421" s="28">
        <v>46281</v>
      </c>
      <c r="C421" s="34"/>
      <c r="D421" s="34" t="s">
        <v>340</v>
      </c>
      <c r="E421" s="34" t="s">
        <v>283</v>
      </c>
      <c r="F421" s="34" t="s">
        <v>284</v>
      </c>
      <c r="G421" s="34" t="s">
        <v>285</v>
      </c>
      <c r="H421" s="34" t="s">
        <v>286</v>
      </c>
      <c r="I421">
        <v>10</v>
      </c>
      <c r="J421">
        <v>0</v>
      </c>
      <c r="K421">
        <v>8</v>
      </c>
      <c r="L421">
        <v>2</v>
      </c>
      <c r="M421">
        <v>2</v>
      </c>
      <c r="N421">
        <v>0</v>
      </c>
      <c r="O421" s="28">
        <v>46280</v>
      </c>
      <c r="P421">
        <v>16.7</v>
      </c>
      <c r="Q421">
        <v>0</v>
      </c>
      <c r="R421">
        <v>0</v>
      </c>
      <c r="S421">
        <v>42</v>
      </c>
      <c r="T421">
        <v>10</v>
      </c>
      <c r="U421">
        <v>45</v>
      </c>
      <c r="V421">
        <v>20260916042</v>
      </c>
    </row>
    <row r="422" spans="1:22" x14ac:dyDescent="0.2">
      <c r="A422" s="34" t="s">
        <v>122</v>
      </c>
      <c r="B422" s="28">
        <v>46281</v>
      </c>
      <c r="C422" s="34"/>
      <c r="D422" s="34" t="s">
        <v>340</v>
      </c>
      <c r="E422" s="34" t="s">
        <v>287</v>
      </c>
      <c r="F422" s="34" t="s">
        <v>288</v>
      </c>
      <c r="G422" s="34" t="s">
        <v>289</v>
      </c>
      <c r="H422" s="34" t="s">
        <v>290</v>
      </c>
      <c r="I422">
        <v>20</v>
      </c>
      <c r="J422">
        <v>0</v>
      </c>
      <c r="K422">
        <v>19</v>
      </c>
      <c r="L422">
        <v>1</v>
      </c>
      <c r="M422">
        <v>1</v>
      </c>
      <c r="N422">
        <v>0</v>
      </c>
      <c r="O422" s="28">
        <v>46280</v>
      </c>
      <c r="P422">
        <v>18.7</v>
      </c>
      <c r="Q422">
        <v>0</v>
      </c>
      <c r="R422">
        <v>0</v>
      </c>
      <c r="S422">
        <v>43</v>
      </c>
      <c r="T422">
        <v>10</v>
      </c>
      <c r="U422">
        <v>46</v>
      </c>
      <c r="V422">
        <v>20260916043</v>
      </c>
    </row>
    <row r="423" spans="1:22" x14ac:dyDescent="0.2">
      <c r="A423" s="34" t="s">
        <v>122</v>
      </c>
      <c r="B423" s="28">
        <v>46281</v>
      </c>
      <c r="C423" s="34"/>
      <c r="D423" s="34" t="s">
        <v>340</v>
      </c>
      <c r="E423" s="34" t="s">
        <v>291</v>
      </c>
      <c r="F423" s="34" t="s">
        <v>342</v>
      </c>
      <c r="G423" s="34" t="s">
        <v>292</v>
      </c>
      <c r="H423" s="34" t="s">
        <v>293</v>
      </c>
      <c r="I423">
        <v>23</v>
      </c>
      <c r="J423">
        <v>0</v>
      </c>
      <c r="K423">
        <v>23</v>
      </c>
      <c r="L423">
        <v>0</v>
      </c>
      <c r="M423">
        <v>0</v>
      </c>
      <c r="N423">
        <v>0</v>
      </c>
      <c r="O423" s="28">
        <v>46280</v>
      </c>
      <c r="R423">
        <v>0</v>
      </c>
      <c r="S423">
        <v>44</v>
      </c>
      <c r="T423">
        <v>10</v>
      </c>
      <c r="U423">
        <v>47</v>
      </c>
      <c r="V423">
        <v>20260916044</v>
      </c>
    </row>
    <row r="424" spans="1:22" x14ac:dyDescent="0.2">
      <c r="A424" s="34" t="s">
        <v>122</v>
      </c>
      <c r="B424" s="28">
        <v>46281</v>
      </c>
      <c r="C424" s="34"/>
      <c r="D424" s="34" t="s">
        <v>340</v>
      </c>
      <c r="E424" s="34" t="s">
        <v>294</v>
      </c>
      <c r="F424" s="34" t="s">
        <v>295</v>
      </c>
      <c r="G424" s="34" t="s">
        <v>296</v>
      </c>
      <c r="H424" s="34" t="s">
        <v>297</v>
      </c>
      <c r="I424">
        <v>9</v>
      </c>
      <c r="J424">
        <v>0</v>
      </c>
      <c r="K424">
        <v>5</v>
      </c>
      <c r="L424">
        <v>4</v>
      </c>
      <c r="M424">
        <v>4</v>
      </c>
      <c r="N424">
        <v>0</v>
      </c>
      <c r="O424" s="28">
        <v>46280</v>
      </c>
      <c r="P424">
        <v>12.9</v>
      </c>
      <c r="Q424">
        <v>0</v>
      </c>
      <c r="R424">
        <v>0</v>
      </c>
      <c r="S424">
        <v>45</v>
      </c>
      <c r="T424">
        <v>10</v>
      </c>
      <c r="U424">
        <v>48</v>
      </c>
      <c r="V424">
        <v>20260916045</v>
      </c>
    </row>
    <row r="425" spans="1:22" x14ac:dyDescent="0.2">
      <c r="A425" s="34" t="s">
        <v>122</v>
      </c>
      <c r="B425" s="28">
        <v>46281</v>
      </c>
      <c r="C425" s="34"/>
      <c r="D425" s="34" t="s">
        <v>340</v>
      </c>
      <c r="E425" s="34" t="s">
        <v>298</v>
      </c>
      <c r="F425" s="34" t="s">
        <v>299</v>
      </c>
      <c r="G425" s="34" t="s">
        <v>300</v>
      </c>
      <c r="H425" s="34" t="s">
        <v>301</v>
      </c>
      <c r="I425">
        <v>13</v>
      </c>
      <c r="J425">
        <v>0</v>
      </c>
      <c r="K425">
        <v>12</v>
      </c>
      <c r="L425">
        <v>1</v>
      </c>
      <c r="M425">
        <v>1</v>
      </c>
      <c r="N425">
        <v>0</v>
      </c>
      <c r="O425" s="28">
        <v>46280</v>
      </c>
      <c r="P425">
        <v>12.9</v>
      </c>
      <c r="Q425">
        <v>0</v>
      </c>
      <c r="R425">
        <v>0</v>
      </c>
      <c r="S425">
        <v>46</v>
      </c>
      <c r="T425">
        <v>10</v>
      </c>
      <c r="U425">
        <v>49</v>
      </c>
      <c r="V425">
        <v>20260916046</v>
      </c>
    </row>
    <row r="426" spans="1:22" x14ac:dyDescent="0.2">
      <c r="A426" s="34" t="s">
        <v>122</v>
      </c>
      <c r="B426" s="28">
        <v>46281</v>
      </c>
      <c r="C426" s="34"/>
      <c r="D426" s="34" t="s">
        <v>340</v>
      </c>
      <c r="E426" s="34" t="s">
        <v>302</v>
      </c>
      <c r="F426" s="34" t="s">
        <v>303</v>
      </c>
      <c r="G426" s="34" t="s">
        <v>304</v>
      </c>
      <c r="H426" s="34" t="s">
        <v>305</v>
      </c>
      <c r="I426">
        <v>8</v>
      </c>
      <c r="J426">
        <v>0</v>
      </c>
      <c r="K426">
        <v>8</v>
      </c>
      <c r="L426">
        <v>0</v>
      </c>
      <c r="M426">
        <v>0</v>
      </c>
      <c r="N426">
        <v>0</v>
      </c>
      <c r="O426" s="28">
        <v>46280</v>
      </c>
      <c r="R426">
        <v>0</v>
      </c>
      <c r="S426">
        <v>47</v>
      </c>
      <c r="T426">
        <v>10</v>
      </c>
      <c r="U426">
        <v>50</v>
      </c>
      <c r="V426">
        <v>20260916047</v>
      </c>
    </row>
    <row r="427" spans="1:22" x14ac:dyDescent="0.2">
      <c r="A427" s="34" t="s">
        <v>122</v>
      </c>
      <c r="B427" s="28">
        <v>46281</v>
      </c>
      <c r="C427" s="34"/>
      <c r="D427" s="34" t="s">
        <v>340</v>
      </c>
      <c r="E427" s="34" t="s">
        <v>306</v>
      </c>
      <c r="F427" s="34" t="s">
        <v>307</v>
      </c>
      <c r="G427" s="34" t="s">
        <v>308</v>
      </c>
      <c r="H427" s="34" t="s">
        <v>309</v>
      </c>
      <c r="I427">
        <v>10</v>
      </c>
      <c r="J427">
        <v>0</v>
      </c>
      <c r="K427">
        <v>10</v>
      </c>
      <c r="L427">
        <v>0</v>
      </c>
      <c r="M427">
        <v>0</v>
      </c>
      <c r="N427">
        <v>0</v>
      </c>
      <c r="O427" s="28">
        <v>46280</v>
      </c>
      <c r="R427">
        <v>0</v>
      </c>
      <c r="S427">
        <v>48</v>
      </c>
      <c r="T427">
        <v>10</v>
      </c>
      <c r="U427">
        <v>51</v>
      </c>
      <c r="V427">
        <v>20260916048</v>
      </c>
    </row>
    <row r="428" spans="1:22" x14ac:dyDescent="0.2">
      <c r="A428" s="34" t="s">
        <v>122</v>
      </c>
      <c r="B428" s="28">
        <v>46281</v>
      </c>
      <c r="C428" s="34"/>
      <c r="D428" s="34" t="s">
        <v>340</v>
      </c>
      <c r="E428" s="34" t="s">
        <v>314</v>
      </c>
      <c r="F428" s="34" t="s">
        <v>315</v>
      </c>
      <c r="G428" s="34" t="s">
        <v>316</v>
      </c>
      <c r="H428" s="34" t="s">
        <v>317</v>
      </c>
      <c r="I428">
        <v>29</v>
      </c>
      <c r="J428">
        <v>0</v>
      </c>
      <c r="K428">
        <v>23</v>
      </c>
      <c r="L428">
        <v>6</v>
      </c>
      <c r="M428">
        <v>6</v>
      </c>
      <c r="N428">
        <v>0</v>
      </c>
      <c r="O428" s="28">
        <v>46280</v>
      </c>
      <c r="P428">
        <v>12.8</v>
      </c>
      <c r="Q428">
        <v>0</v>
      </c>
      <c r="R428">
        <v>0</v>
      </c>
      <c r="S428">
        <v>49</v>
      </c>
      <c r="T428">
        <v>10</v>
      </c>
      <c r="U428">
        <v>53</v>
      </c>
      <c r="V428">
        <v>20260916049</v>
      </c>
    </row>
    <row r="429" spans="1:22" x14ac:dyDescent="0.2">
      <c r="A429" s="34" t="s">
        <v>122</v>
      </c>
      <c r="B429" s="28">
        <v>46281</v>
      </c>
      <c r="C429" s="34"/>
      <c r="D429" s="34" t="s">
        <v>340</v>
      </c>
      <c r="E429" s="34" t="s">
        <v>318</v>
      </c>
      <c r="F429" s="34" t="s">
        <v>319</v>
      </c>
      <c r="G429" s="34" t="s">
        <v>320</v>
      </c>
      <c r="H429" s="34" t="s">
        <v>321</v>
      </c>
      <c r="I429">
        <v>3</v>
      </c>
      <c r="J429">
        <v>0</v>
      </c>
      <c r="K429">
        <v>2</v>
      </c>
      <c r="L429">
        <v>1</v>
      </c>
      <c r="M429">
        <v>1</v>
      </c>
      <c r="N429">
        <v>0</v>
      </c>
      <c r="O429" s="28">
        <v>46280</v>
      </c>
      <c r="P429">
        <v>16.399999999999999</v>
      </c>
      <c r="Q429">
        <v>0</v>
      </c>
      <c r="R429">
        <v>0</v>
      </c>
      <c r="S429">
        <v>50</v>
      </c>
      <c r="T429">
        <v>10</v>
      </c>
      <c r="U429">
        <v>54</v>
      </c>
      <c r="V429">
        <v>20260916050</v>
      </c>
    </row>
    <row r="430" spans="1:22" x14ac:dyDescent="0.2">
      <c r="A430" s="34" t="s">
        <v>122</v>
      </c>
      <c r="B430" s="28">
        <v>46281</v>
      </c>
      <c r="C430" s="34"/>
      <c r="D430" s="34" t="s">
        <v>340</v>
      </c>
      <c r="E430" s="34" t="s">
        <v>322</v>
      </c>
      <c r="F430" s="34" t="s">
        <v>323</v>
      </c>
      <c r="G430" s="34" t="s">
        <v>324</v>
      </c>
      <c r="H430" s="34" t="s">
        <v>325</v>
      </c>
      <c r="I430">
        <v>7</v>
      </c>
      <c r="J430">
        <v>0</v>
      </c>
      <c r="K430">
        <v>7</v>
      </c>
      <c r="L430">
        <v>0</v>
      </c>
      <c r="M430">
        <v>0</v>
      </c>
      <c r="N430">
        <v>0</v>
      </c>
      <c r="O430" s="28">
        <v>46280</v>
      </c>
      <c r="R430">
        <v>0</v>
      </c>
      <c r="S430">
        <v>51</v>
      </c>
      <c r="T430">
        <v>10</v>
      </c>
      <c r="U430">
        <v>55</v>
      </c>
      <c r="V430">
        <v>20260916051</v>
      </c>
    </row>
    <row r="431" spans="1:22" x14ac:dyDescent="0.2">
      <c r="A431" s="34" t="s">
        <v>122</v>
      </c>
      <c r="B431" s="28">
        <v>46281</v>
      </c>
      <c r="C431" s="34"/>
      <c r="D431" s="34" t="s">
        <v>340</v>
      </c>
      <c r="E431" s="34" t="s">
        <v>326</v>
      </c>
      <c r="F431" s="34" t="s">
        <v>327</v>
      </c>
      <c r="G431" s="34" t="s">
        <v>328</v>
      </c>
      <c r="H431" s="34" t="s">
        <v>329</v>
      </c>
      <c r="I431">
        <v>19</v>
      </c>
      <c r="J431">
        <v>0</v>
      </c>
      <c r="K431">
        <v>17</v>
      </c>
      <c r="L431">
        <v>2</v>
      </c>
      <c r="M431">
        <v>2</v>
      </c>
      <c r="N431">
        <v>0</v>
      </c>
      <c r="O431" s="28">
        <v>46280</v>
      </c>
      <c r="P431">
        <v>16.600000000000001</v>
      </c>
      <c r="Q431">
        <v>0</v>
      </c>
      <c r="R431">
        <v>0</v>
      </c>
      <c r="S431">
        <v>52</v>
      </c>
      <c r="T431">
        <v>10</v>
      </c>
      <c r="U431">
        <v>73</v>
      </c>
      <c r="V431">
        <v>20260916052</v>
      </c>
    </row>
    <row r="432" spans="1:22" x14ac:dyDescent="0.2">
      <c r="A432" s="34" t="s">
        <v>122</v>
      </c>
      <c r="B432" s="28">
        <v>46281</v>
      </c>
      <c r="C432" s="34"/>
      <c r="D432" s="34" t="s">
        <v>340</v>
      </c>
      <c r="E432" s="34" t="s">
        <v>330</v>
      </c>
      <c r="F432" s="34" t="s">
        <v>331</v>
      </c>
      <c r="G432" s="34" t="s">
        <v>332</v>
      </c>
      <c r="H432" s="34" t="s">
        <v>333</v>
      </c>
      <c r="I432">
        <v>4</v>
      </c>
      <c r="J432">
        <v>0</v>
      </c>
      <c r="K432">
        <v>4</v>
      </c>
      <c r="L432">
        <v>0</v>
      </c>
      <c r="M432">
        <v>0</v>
      </c>
      <c r="N432">
        <v>0</v>
      </c>
      <c r="O432" s="28">
        <v>46280</v>
      </c>
      <c r="R432">
        <v>0</v>
      </c>
      <c r="S432">
        <v>53</v>
      </c>
      <c r="T432">
        <v>10</v>
      </c>
      <c r="U432">
        <v>74</v>
      </c>
      <c r="V432">
        <v>20260916053</v>
      </c>
    </row>
    <row r="433" spans="1:22" x14ac:dyDescent="0.2">
      <c r="A433" s="34" t="s">
        <v>122</v>
      </c>
      <c r="B433" s="28">
        <v>46281</v>
      </c>
      <c r="C433" s="34"/>
      <c r="D433" s="34" t="s">
        <v>340</v>
      </c>
      <c r="E433" s="34" t="s">
        <v>334</v>
      </c>
      <c r="F433" s="34" t="s">
        <v>335</v>
      </c>
      <c r="G433" s="34" t="s">
        <v>336</v>
      </c>
      <c r="H433" s="34" t="s">
        <v>337</v>
      </c>
      <c r="I433">
        <v>11</v>
      </c>
      <c r="J433">
        <v>0</v>
      </c>
      <c r="K433">
        <v>8</v>
      </c>
      <c r="L433">
        <v>3</v>
      </c>
      <c r="M433">
        <v>3</v>
      </c>
      <c r="N433">
        <v>0</v>
      </c>
      <c r="O433" s="28">
        <v>46280</v>
      </c>
      <c r="P433">
        <v>16.600000000000001</v>
      </c>
      <c r="Q433">
        <v>0</v>
      </c>
      <c r="R433">
        <v>0</v>
      </c>
      <c r="S433">
        <v>54</v>
      </c>
      <c r="T433">
        <v>10</v>
      </c>
      <c r="U433">
        <v>75</v>
      </c>
      <c r="V433">
        <v>20260916054</v>
      </c>
    </row>
    <row r="434" spans="1:22" x14ac:dyDescent="0.2">
      <c r="A434" s="34" t="s">
        <v>122</v>
      </c>
      <c r="B434" s="28">
        <v>46282</v>
      </c>
      <c r="C434" s="34"/>
      <c r="D434" s="34" t="s">
        <v>123</v>
      </c>
      <c r="E434" s="34" t="s">
        <v>156</v>
      </c>
      <c r="F434" s="34" t="s">
        <v>157</v>
      </c>
      <c r="G434" s="34" t="s">
        <v>158</v>
      </c>
      <c r="H434" s="34" t="s">
        <v>159</v>
      </c>
      <c r="I434">
        <v>15</v>
      </c>
      <c r="J434">
        <v>10</v>
      </c>
      <c r="K434">
        <v>9</v>
      </c>
      <c r="L434">
        <v>16</v>
      </c>
      <c r="M434">
        <v>4</v>
      </c>
      <c r="N434">
        <v>12</v>
      </c>
      <c r="O434" s="28">
        <v>46281</v>
      </c>
      <c r="P434">
        <v>18.2</v>
      </c>
      <c r="Q434">
        <v>218.4</v>
      </c>
      <c r="R434">
        <v>12</v>
      </c>
      <c r="S434">
        <v>1</v>
      </c>
      <c r="T434">
        <v>9</v>
      </c>
      <c r="U434">
        <v>9</v>
      </c>
      <c r="V434">
        <v>20260917001</v>
      </c>
    </row>
    <row r="435" spans="1:22" x14ac:dyDescent="0.2">
      <c r="A435" s="34" t="s">
        <v>122</v>
      </c>
      <c r="B435" s="28">
        <v>46282</v>
      </c>
      <c r="C435" s="34"/>
      <c r="D435" s="34" t="s">
        <v>123</v>
      </c>
      <c r="E435" s="34" t="s">
        <v>240</v>
      </c>
      <c r="F435" s="34" t="s">
        <v>241</v>
      </c>
      <c r="G435" s="34" t="s">
        <v>242</v>
      </c>
      <c r="H435" s="34" t="s">
        <v>243</v>
      </c>
      <c r="I435">
        <v>17</v>
      </c>
      <c r="J435">
        <v>10</v>
      </c>
      <c r="K435">
        <v>17</v>
      </c>
      <c r="L435">
        <v>10</v>
      </c>
      <c r="M435">
        <v>0</v>
      </c>
      <c r="N435">
        <v>10</v>
      </c>
      <c r="O435" s="28">
        <v>46281</v>
      </c>
      <c r="R435">
        <v>10</v>
      </c>
      <c r="S435">
        <v>2</v>
      </c>
      <c r="T435">
        <v>9</v>
      </c>
      <c r="U435">
        <v>34</v>
      </c>
      <c r="V435">
        <v>20260917002</v>
      </c>
    </row>
    <row r="436" spans="1:22" x14ac:dyDescent="0.2">
      <c r="A436" s="34" t="s">
        <v>122</v>
      </c>
      <c r="B436" s="28">
        <v>46282</v>
      </c>
      <c r="C436" s="34"/>
      <c r="D436" s="34" t="s">
        <v>123</v>
      </c>
      <c r="E436" s="34" t="s">
        <v>294</v>
      </c>
      <c r="F436" s="34" t="s">
        <v>295</v>
      </c>
      <c r="G436" s="34" t="s">
        <v>296</v>
      </c>
      <c r="H436" s="34" t="s">
        <v>297</v>
      </c>
      <c r="I436">
        <v>5</v>
      </c>
      <c r="J436">
        <v>20</v>
      </c>
      <c r="K436">
        <v>21</v>
      </c>
      <c r="L436">
        <v>4</v>
      </c>
      <c r="M436">
        <v>14</v>
      </c>
      <c r="N436">
        <v>-10</v>
      </c>
      <c r="O436" s="28">
        <v>46281</v>
      </c>
      <c r="P436">
        <v>12.8</v>
      </c>
      <c r="Q436">
        <v>-128</v>
      </c>
      <c r="R436">
        <v>10</v>
      </c>
      <c r="S436">
        <v>3</v>
      </c>
      <c r="T436">
        <v>9</v>
      </c>
      <c r="U436">
        <v>48</v>
      </c>
      <c r="V436">
        <v>20260917003</v>
      </c>
    </row>
    <row r="437" spans="1:22" x14ac:dyDescent="0.2">
      <c r="A437" s="34" t="s">
        <v>122</v>
      </c>
      <c r="B437" s="28">
        <v>46282</v>
      </c>
      <c r="C437" s="34"/>
      <c r="D437" s="34" t="s">
        <v>123</v>
      </c>
      <c r="E437" s="34" t="s">
        <v>216</v>
      </c>
      <c r="F437" s="34" t="s">
        <v>217</v>
      </c>
      <c r="G437" s="34" t="s">
        <v>218</v>
      </c>
      <c r="H437" s="34" t="s">
        <v>219</v>
      </c>
      <c r="I437">
        <v>2</v>
      </c>
      <c r="J437">
        <v>10</v>
      </c>
      <c r="K437">
        <v>3</v>
      </c>
      <c r="L437">
        <v>9</v>
      </c>
      <c r="M437">
        <v>3</v>
      </c>
      <c r="N437">
        <v>6</v>
      </c>
      <c r="O437" s="28">
        <v>46281</v>
      </c>
      <c r="P437">
        <v>12.7</v>
      </c>
      <c r="Q437">
        <v>76.2</v>
      </c>
      <c r="R437">
        <v>6</v>
      </c>
      <c r="S437">
        <v>4</v>
      </c>
      <c r="T437">
        <v>9</v>
      </c>
      <c r="U437">
        <v>28</v>
      </c>
      <c r="V437">
        <v>20260917004</v>
      </c>
    </row>
    <row r="438" spans="1:22" x14ac:dyDescent="0.2">
      <c r="A438" s="34" t="s">
        <v>122</v>
      </c>
      <c r="B438" s="28">
        <v>46282</v>
      </c>
      <c r="C438" s="34"/>
      <c r="D438" s="34" t="s">
        <v>123</v>
      </c>
      <c r="E438" s="34" t="s">
        <v>220</v>
      </c>
      <c r="F438" s="34" t="s">
        <v>221</v>
      </c>
      <c r="G438" s="34" t="s">
        <v>222</v>
      </c>
      <c r="H438" s="34" t="s">
        <v>223</v>
      </c>
      <c r="I438">
        <v>11</v>
      </c>
      <c r="J438">
        <v>0</v>
      </c>
      <c r="K438">
        <v>6</v>
      </c>
      <c r="L438">
        <v>5</v>
      </c>
      <c r="M438">
        <v>0</v>
      </c>
      <c r="N438">
        <v>5</v>
      </c>
      <c r="O438" s="28">
        <v>46281</v>
      </c>
      <c r="R438">
        <v>5</v>
      </c>
      <c r="S438">
        <v>5</v>
      </c>
      <c r="T438">
        <v>9</v>
      </c>
      <c r="U438">
        <v>29</v>
      </c>
      <c r="V438">
        <v>20260917005</v>
      </c>
    </row>
    <row r="439" spans="1:22" x14ac:dyDescent="0.2">
      <c r="A439" s="34" t="s">
        <v>122</v>
      </c>
      <c r="B439" s="28">
        <v>46282</v>
      </c>
      <c r="C439" s="34"/>
      <c r="D439" s="34" t="s">
        <v>123</v>
      </c>
      <c r="E439" s="34" t="s">
        <v>334</v>
      </c>
      <c r="F439" s="34" t="s">
        <v>335</v>
      </c>
      <c r="G439" s="34" t="s">
        <v>336</v>
      </c>
      <c r="H439" s="34" t="s">
        <v>337</v>
      </c>
      <c r="I439">
        <v>8</v>
      </c>
      <c r="J439">
        <v>10</v>
      </c>
      <c r="K439">
        <v>8</v>
      </c>
      <c r="L439">
        <v>10</v>
      </c>
      <c r="M439">
        <v>6</v>
      </c>
      <c r="N439">
        <v>4</v>
      </c>
      <c r="O439" s="28">
        <v>46281</v>
      </c>
      <c r="P439">
        <v>16.600000000000001</v>
      </c>
      <c r="Q439">
        <v>66.400000000000006</v>
      </c>
      <c r="R439">
        <v>4</v>
      </c>
      <c r="S439">
        <v>6</v>
      </c>
      <c r="T439">
        <v>9</v>
      </c>
      <c r="U439">
        <v>75</v>
      </c>
      <c r="V439">
        <v>20260917006</v>
      </c>
    </row>
    <row r="440" spans="1:22" x14ac:dyDescent="0.2">
      <c r="A440" s="34" t="s">
        <v>122</v>
      </c>
      <c r="B440" s="28">
        <v>46282</v>
      </c>
      <c r="C440" s="34"/>
      <c r="D440" s="34" t="s">
        <v>123</v>
      </c>
      <c r="E440" s="34" t="s">
        <v>136</v>
      </c>
      <c r="F440" s="34" t="s">
        <v>137</v>
      </c>
      <c r="G440" s="34" t="s">
        <v>138</v>
      </c>
      <c r="H440" s="34" t="s">
        <v>139</v>
      </c>
      <c r="I440">
        <v>5</v>
      </c>
      <c r="J440">
        <v>10</v>
      </c>
      <c r="K440">
        <v>5</v>
      </c>
      <c r="L440">
        <v>10</v>
      </c>
      <c r="M440">
        <v>7</v>
      </c>
      <c r="N440">
        <v>3</v>
      </c>
      <c r="O440" s="28">
        <v>46281</v>
      </c>
      <c r="P440">
        <v>12.8</v>
      </c>
      <c r="Q440">
        <v>38.4</v>
      </c>
      <c r="R440">
        <v>3</v>
      </c>
      <c r="S440">
        <v>7</v>
      </c>
      <c r="T440">
        <v>9</v>
      </c>
      <c r="U440">
        <v>4</v>
      </c>
      <c r="V440">
        <v>20260917007</v>
      </c>
    </row>
    <row r="441" spans="1:22" x14ac:dyDescent="0.2">
      <c r="A441" s="34" t="s">
        <v>122</v>
      </c>
      <c r="B441" s="28">
        <v>46282</v>
      </c>
      <c r="C441" s="34"/>
      <c r="D441" s="34" t="s">
        <v>123</v>
      </c>
      <c r="E441" s="34" t="s">
        <v>232</v>
      </c>
      <c r="F441" s="34" t="s">
        <v>233</v>
      </c>
      <c r="G441" s="34" t="s">
        <v>234</v>
      </c>
      <c r="H441" s="34" t="s">
        <v>235</v>
      </c>
      <c r="I441">
        <v>7</v>
      </c>
      <c r="J441">
        <v>10</v>
      </c>
      <c r="K441">
        <v>18</v>
      </c>
      <c r="L441">
        <v>-1</v>
      </c>
      <c r="M441">
        <v>2</v>
      </c>
      <c r="N441">
        <v>-3</v>
      </c>
      <c r="O441" s="28">
        <v>46281</v>
      </c>
      <c r="P441">
        <v>17.8</v>
      </c>
      <c r="Q441">
        <v>-53.4</v>
      </c>
      <c r="R441">
        <v>3</v>
      </c>
      <c r="S441">
        <v>8</v>
      </c>
      <c r="T441">
        <v>9</v>
      </c>
      <c r="U441">
        <v>32</v>
      </c>
      <c r="V441">
        <v>20260917008</v>
      </c>
    </row>
    <row r="442" spans="1:22" x14ac:dyDescent="0.2">
      <c r="A442" s="34" t="s">
        <v>122</v>
      </c>
      <c r="B442" s="28">
        <v>46282</v>
      </c>
      <c r="C442" s="34"/>
      <c r="D442" s="34" t="s">
        <v>123</v>
      </c>
      <c r="E442" s="34" t="s">
        <v>264</v>
      </c>
      <c r="F442" s="34" t="s">
        <v>265</v>
      </c>
      <c r="G442" s="34" t="s">
        <v>266</v>
      </c>
      <c r="H442" s="34" t="s">
        <v>267</v>
      </c>
      <c r="I442">
        <v>5</v>
      </c>
      <c r="J442">
        <v>10</v>
      </c>
      <c r="K442">
        <v>8</v>
      </c>
      <c r="L442">
        <v>7</v>
      </c>
      <c r="M442">
        <v>4</v>
      </c>
      <c r="N442">
        <v>3</v>
      </c>
      <c r="O442" s="28">
        <v>46281</v>
      </c>
      <c r="P442">
        <v>18.399999999999999</v>
      </c>
      <c r="Q442">
        <v>55.2</v>
      </c>
      <c r="R442">
        <v>3</v>
      </c>
      <c r="S442">
        <v>9</v>
      </c>
      <c r="T442">
        <v>9</v>
      </c>
      <c r="U442">
        <v>40</v>
      </c>
      <c r="V442">
        <v>20260917009</v>
      </c>
    </row>
    <row r="443" spans="1:22" x14ac:dyDescent="0.2">
      <c r="A443" s="34" t="s">
        <v>122</v>
      </c>
      <c r="B443" s="28">
        <v>46282</v>
      </c>
      <c r="C443" s="34"/>
      <c r="D443" s="34" t="s">
        <v>123</v>
      </c>
      <c r="E443" s="34" t="s">
        <v>302</v>
      </c>
      <c r="F443" s="34" t="s">
        <v>303</v>
      </c>
      <c r="G443" s="34" t="s">
        <v>304</v>
      </c>
      <c r="H443" s="34" t="s">
        <v>305</v>
      </c>
      <c r="I443">
        <v>8</v>
      </c>
      <c r="J443">
        <v>0</v>
      </c>
      <c r="K443">
        <v>6</v>
      </c>
      <c r="L443">
        <v>2</v>
      </c>
      <c r="M443">
        <v>0</v>
      </c>
      <c r="N443">
        <v>2</v>
      </c>
      <c r="O443" s="28">
        <v>46281</v>
      </c>
      <c r="R443">
        <v>2</v>
      </c>
      <c r="S443">
        <v>10</v>
      </c>
      <c r="T443">
        <v>9</v>
      </c>
      <c r="U443">
        <v>50</v>
      </c>
      <c r="V443">
        <v>20260917010</v>
      </c>
    </row>
    <row r="444" spans="1:22" x14ac:dyDescent="0.2">
      <c r="A444" s="34" t="s">
        <v>122</v>
      </c>
      <c r="B444" s="28">
        <v>46282</v>
      </c>
      <c r="C444" s="34"/>
      <c r="D444" s="34" t="s">
        <v>123</v>
      </c>
      <c r="E444" s="34" t="s">
        <v>326</v>
      </c>
      <c r="F444" s="34" t="s">
        <v>327</v>
      </c>
      <c r="G444" s="34" t="s">
        <v>328</v>
      </c>
      <c r="H444" s="34" t="s">
        <v>329</v>
      </c>
      <c r="I444">
        <v>17</v>
      </c>
      <c r="J444">
        <v>0</v>
      </c>
      <c r="K444">
        <v>15</v>
      </c>
      <c r="L444">
        <v>2</v>
      </c>
      <c r="M444">
        <v>4</v>
      </c>
      <c r="N444">
        <v>-2</v>
      </c>
      <c r="O444" s="28">
        <v>46281</v>
      </c>
      <c r="P444">
        <v>16.600000000000001</v>
      </c>
      <c r="Q444">
        <v>-33.200000000000003</v>
      </c>
      <c r="R444">
        <v>2</v>
      </c>
      <c r="S444">
        <v>11</v>
      </c>
      <c r="T444">
        <v>9</v>
      </c>
      <c r="U444">
        <v>73</v>
      </c>
      <c r="V444">
        <v>20260917011</v>
      </c>
    </row>
    <row r="445" spans="1:22" x14ac:dyDescent="0.2">
      <c r="A445" s="34" t="s">
        <v>122</v>
      </c>
      <c r="B445" s="28">
        <v>46282</v>
      </c>
      <c r="C445" s="34"/>
      <c r="D445" s="34" t="s">
        <v>123</v>
      </c>
      <c r="E445" s="34" t="s">
        <v>176</v>
      </c>
      <c r="F445" s="34" t="s">
        <v>177</v>
      </c>
      <c r="G445" s="34" t="s">
        <v>178</v>
      </c>
      <c r="H445" s="34" t="s">
        <v>179</v>
      </c>
      <c r="I445">
        <v>22</v>
      </c>
      <c r="J445">
        <v>10</v>
      </c>
      <c r="K445">
        <v>26</v>
      </c>
      <c r="L445">
        <v>6</v>
      </c>
      <c r="M445">
        <v>5</v>
      </c>
      <c r="N445">
        <v>1</v>
      </c>
      <c r="O445" s="28">
        <v>46281</v>
      </c>
      <c r="P445">
        <v>18.2</v>
      </c>
      <c r="Q445">
        <v>18.2</v>
      </c>
      <c r="R445">
        <v>1</v>
      </c>
      <c r="S445">
        <v>12</v>
      </c>
      <c r="T445">
        <v>9</v>
      </c>
      <c r="U445">
        <v>14</v>
      </c>
      <c r="V445">
        <v>20260917012</v>
      </c>
    </row>
    <row r="446" spans="1:22" x14ac:dyDescent="0.2">
      <c r="A446" s="34" t="s">
        <v>122</v>
      </c>
      <c r="B446" s="28">
        <v>46282</v>
      </c>
      <c r="C446" s="34"/>
      <c r="D446" s="34" t="s">
        <v>123</v>
      </c>
      <c r="E446" s="34" t="s">
        <v>196</v>
      </c>
      <c r="F446" s="34" t="s">
        <v>197</v>
      </c>
      <c r="G446" s="34" t="s">
        <v>198</v>
      </c>
      <c r="H446" s="34" t="s">
        <v>199</v>
      </c>
      <c r="I446">
        <v>3</v>
      </c>
      <c r="J446">
        <v>10</v>
      </c>
      <c r="K446">
        <v>12</v>
      </c>
      <c r="L446">
        <v>1</v>
      </c>
      <c r="M446">
        <v>0</v>
      </c>
      <c r="N446">
        <v>1</v>
      </c>
      <c r="O446" s="28">
        <v>46281</v>
      </c>
      <c r="R446">
        <v>1</v>
      </c>
      <c r="S446">
        <v>13</v>
      </c>
      <c r="T446">
        <v>9</v>
      </c>
      <c r="U446">
        <v>23</v>
      </c>
      <c r="V446">
        <v>20260917013</v>
      </c>
    </row>
    <row r="447" spans="1:22" x14ac:dyDescent="0.2">
      <c r="A447" s="34" t="s">
        <v>122</v>
      </c>
      <c r="B447" s="28">
        <v>46282</v>
      </c>
      <c r="C447" s="34"/>
      <c r="D447" s="34" t="s">
        <v>123</v>
      </c>
      <c r="E447" s="34" t="s">
        <v>228</v>
      </c>
      <c r="F447" s="34" t="s">
        <v>229</v>
      </c>
      <c r="G447" s="34" t="s">
        <v>230</v>
      </c>
      <c r="H447" s="34" t="s">
        <v>231</v>
      </c>
      <c r="I447">
        <v>7</v>
      </c>
      <c r="J447">
        <v>10</v>
      </c>
      <c r="K447">
        <v>12</v>
      </c>
      <c r="L447">
        <v>5</v>
      </c>
      <c r="M447">
        <v>6</v>
      </c>
      <c r="N447">
        <v>-1</v>
      </c>
      <c r="O447" s="28">
        <v>46281</v>
      </c>
      <c r="P447">
        <v>17.899999999999999</v>
      </c>
      <c r="Q447">
        <v>-17.899999999999999</v>
      </c>
      <c r="R447">
        <v>1</v>
      </c>
      <c r="S447">
        <v>14</v>
      </c>
      <c r="T447">
        <v>9</v>
      </c>
      <c r="U447">
        <v>31</v>
      </c>
      <c r="V447">
        <v>20260917014</v>
      </c>
    </row>
    <row r="448" spans="1:22" x14ac:dyDescent="0.2">
      <c r="A448" s="34" t="s">
        <v>122</v>
      </c>
      <c r="B448" s="28">
        <v>46282</v>
      </c>
      <c r="C448" s="34"/>
      <c r="D448" s="34" t="s">
        <v>123</v>
      </c>
      <c r="E448" s="34" t="s">
        <v>252</v>
      </c>
      <c r="F448" s="34" t="s">
        <v>253</v>
      </c>
      <c r="G448" s="34" t="s">
        <v>254</v>
      </c>
      <c r="H448" s="34" t="s">
        <v>255</v>
      </c>
      <c r="I448">
        <v>12</v>
      </c>
      <c r="J448">
        <v>10</v>
      </c>
      <c r="K448">
        <v>15</v>
      </c>
      <c r="L448">
        <v>7</v>
      </c>
      <c r="M448">
        <v>6</v>
      </c>
      <c r="N448">
        <v>1</v>
      </c>
      <c r="O448" s="28">
        <v>46281</v>
      </c>
      <c r="P448">
        <v>18.399999999999999</v>
      </c>
      <c r="Q448">
        <v>18.399999999999999</v>
      </c>
      <c r="R448">
        <v>1</v>
      </c>
      <c r="S448">
        <v>15</v>
      </c>
      <c r="T448">
        <v>9</v>
      </c>
      <c r="U448">
        <v>37</v>
      </c>
      <c r="V448">
        <v>20260917015</v>
      </c>
    </row>
    <row r="449" spans="1:22" x14ac:dyDescent="0.2">
      <c r="A449" s="34" t="s">
        <v>122</v>
      </c>
      <c r="B449" s="28">
        <v>46282</v>
      </c>
      <c r="C449" s="34"/>
      <c r="D449" s="34" t="s">
        <v>123</v>
      </c>
      <c r="E449" s="34" t="s">
        <v>291</v>
      </c>
      <c r="F449" s="34" t="s">
        <v>342</v>
      </c>
      <c r="G449" s="34" t="s">
        <v>292</v>
      </c>
      <c r="H449" s="34" t="s">
        <v>293</v>
      </c>
      <c r="I449">
        <v>23</v>
      </c>
      <c r="J449">
        <v>0</v>
      </c>
      <c r="K449">
        <v>22</v>
      </c>
      <c r="L449">
        <v>1</v>
      </c>
      <c r="M449">
        <v>0</v>
      </c>
      <c r="N449">
        <v>1</v>
      </c>
      <c r="O449" s="28">
        <v>46281</v>
      </c>
      <c r="R449">
        <v>1</v>
      </c>
      <c r="S449">
        <v>16</v>
      </c>
      <c r="T449">
        <v>9</v>
      </c>
      <c r="U449">
        <v>47</v>
      </c>
      <c r="V449">
        <v>20260917016</v>
      </c>
    </row>
    <row r="450" spans="1:22" x14ac:dyDescent="0.2">
      <c r="A450" s="34" t="s">
        <v>122</v>
      </c>
      <c r="B450" s="28">
        <v>46282</v>
      </c>
      <c r="C450" s="34"/>
      <c r="D450" s="34" t="s">
        <v>123</v>
      </c>
      <c r="E450" s="34" t="s">
        <v>124</v>
      </c>
      <c r="F450" s="34" t="s">
        <v>125</v>
      </c>
      <c r="G450" s="34" t="s">
        <v>126</v>
      </c>
      <c r="H450" s="34" t="s">
        <v>127</v>
      </c>
      <c r="I450">
        <v>5</v>
      </c>
      <c r="J450">
        <v>5</v>
      </c>
      <c r="K450">
        <v>10</v>
      </c>
      <c r="L450">
        <v>0</v>
      </c>
      <c r="M450">
        <v>0</v>
      </c>
      <c r="N450">
        <v>0</v>
      </c>
      <c r="O450" s="28">
        <v>46281</v>
      </c>
      <c r="R450">
        <v>0</v>
      </c>
      <c r="S450">
        <v>17</v>
      </c>
      <c r="T450">
        <v>9</v>
      </c>
      <c r="U450">
        <v>1</v>
      </c>
      <c r="V450">
        <v>20260917017</v>
      </c>
    </row>
    <row r="451" spans="1:22" x14ac:dyDescent="0.2">
      <c r="A451" s="34" t="s">
        <v>122</v>
      </c>
      <c r="B451" s="28">
        <v>46282</v>
      </c>
      <c r="C451" s="34"/>
      <c r="D451" s="34" t="s">
        <v>123</v>
      </c>
      <c r="E451" s="34" t="s">
        <v>128</v>
      </c>
      <c r="F451" s="34" t="s">
        <v>129</v>
      </c>
      <c r="G451" s="34" t="s">
        <v>130</v>
      </c>
      <c r="H451" s="34" t="s">
        <v>131</v>
      </c>
      <c r="I451">
        <v>5</v>
      </c>
      <c r="J451">
        <v>0</v>
      </c>
      <c r="K451">
        <v>5</v>
      </c>
      <c r="L451">
        <v>0</v>
      </c>
      <c r="M451">
        <v>0</v>
      </c>
      <c r="N451">
        <v>0</v>
      </c>
      <c r="O451" s="28">
        <v>46281</v>
      </c>
      <c r="R451">
        <v>0</v>
      </c>
      <c r="S451">
        <v>18</v>
      </c>
      <c r="T451">
        <v>9</v>
      </c>
      <c r="U451">
        <v>2</v>
      </c>
      <c r="V451">
        <v>20260917018</v>
      </c>
    </row>
    <row r="452" spans="1:22" x14ac:dyDescent="0.2">
      <c r="A452" s="34" t="s">
        <v>122</v>
      </c>
      <c r="B452" s="28">
        <v>46282</v>
      </c>
      <c r="C452" s="34"/>
      <c r="D452" s="34" t="s">
        <v>123</v>
      </c>
      <c r="E452" s="34" t="s">
        <v>132</v>
      </c>
      <c r="F452" s="34" t="s">
        <v>133</v>
      </c>
      <c r="G452" s="34" t="s">
        <v>134</v>
      </c>
      <c r="H452" s="34" t="s">
        <v>135</v>
      </c>
      <c r="I452">
        <v>4</v>
      </c>
      <c r="J452">
        <v>0</v>
      </c>
      <c r="K452">
        <v>4</v>
      </c>
      <c r="L452">
        <v>0</v>
      </c>
      <c r="M452">
        <v>0</v>
      </c>
      <c r="N452">
        <v>0</v>
      </c>
      <c r="O452" s="28">
        <v>46281</v>
      </c>
      <c r="R452">
        <v>0</v>
      </c>
      <c r="S452">
        <v>19</v>
      </c>
      <c r="T452">
        <v>9</v>
      </c>
      <c r="U452">
        <v>3</v>
      </c>
      <c r="V452">
        <v>20260917019</v>
      </c>
    </row>
    <row r="453" spans="1:22" x14ac:dyDescent="0.2">
      <c r="A453" s="34" t="s">
        <v>122</v>
      </c>
      <c r="B453" s="28">
        <v>46282</v>
      </c>
      <c r="C453" s="34"/>
      <c r="D453" s="34" t="s">
        <v>123</v>
      </c>
      <c r="E453" s="34" t="s">
        <v>140</v>
      </c>
      <c r="F453" s="34" t="s">
        <v>141</v>
      </c>
      <c r="G453" s="34" t="s">
        <v>142</v>
      </c>
      <c r="H453" s="34" t="s">
        <v>143</v>
      </c>
      <c r="I453">
        <v>2</v>
      </c>
      <c r="J453">
        <v>4</v>
      </c>
      <c r="K453">
        <v>5</v>
      </c>
      <c r="L453">
        <v>1</v>
      </c>
      <c r="M453">
        <v>1</v>
      </c>
      <c r="N453">
        <v>0</v>
      </c>
      <c r="O453" s="28">
        <v>46281</v>
      </c>
      <c r="P453">
        <v>12.8</v>
      </c>
      <c r="Q453">
        <v>0</v>
      </c>
      <c r="R453">
        <v>0</v>
      </c>
      <c r="S453">
        <v>20</v>
      </c>
      <c r="T453">
        <v>9</v>
      </c>
      <c r="U453">
        <v>5</v>
      </c>
      <c r="V453">
        <v>20260917020</v>
      </c>
    </row>
    <row r="454" spans="1:22" x14ac:dyDescent="0.2">
      <c r="A454" s="34" t="s">
        <v>122</v>
      </c>
      <c r="B454" s="28">
        <v>46282</v>
      </c>
      <c r="C454" s="34"/>
      <c r="D454" s="34" t="s">
        <v>123</v>
      </c>
      <c r="E454" s="34" t="s">
        <v>144</v>
      </c>
      <c r="F454" s="34" t="s">
        <v>145</v>
      </c>
      <c r="G454" s="34" t="s">
        <v>146</v>
      </c>
      <c r="H454" s="34" t="s">
        <v>147</v>
      </c>
      <c r="I454">
        <v>4</v>
      </c>
      <c r="J454">
        <v>0</v>
      </c>
      <c r="K454">
        <v>2</v>
      </c>
      <c r="L454">
        <v>2</v>
      </c>
      <c r="M454">
        <v>2</v>
      </c>
      <c r="N454">
        <v>0</v>
      </c>
      <c r="O454" s="28">
        <v>46281</v>
      </c>
      <c r="P454">
        <v>12.8</v>
      </c>
      <c r="Q454">
        <v>0</v>
      </c>
      <c r="R454">
        <v>0</v>
      </c>
      <c r="S454">
        <v>21</v>
      </c>
      <c r="T454">
        <v>9</v>
      </c>
      <c r="U454">
        <v>6</v>
      </c>
      <c r="V454">
        <v>20260917021</v>
      </c>
    </row>
    <row r="455" spans="1:22" x14ac:dyDescent="0.2">
      <c r="A455" s="34" t="s">
        <v>122</v>
      </c>
      <c r="B455" s="28">
        <v>46282</v>
      </c>
      <c r="C455" s="34"/>
      <c r="D455" s="34" t="s">
        <v>123</v>
      </c>
      <c r="E455" s="34" t="s">
        <v>148</v>
      </c>
      <c r="F455" s="34" t="s">
        <v>149</v>
      </c>
      <c r="G455" s="34" t="s">
        <v>150</v>
      </c>
      <c r="H455" s="34" t="s">
        <v>151</v>
      </c>
      <c r="I455">
        <v>3</v>
      </c>
      <c r="J455">
        <v>3</v>
      </c>
      <c r="K455">
        <v>5</v>
      </c>
      <c r="L455">
        <v>1</v>
      </c>
      <c r="M455">
        <v>1</v>
      </c>
      <c r="N455">
        <v>0</v>
      </c>
      <c r="O455" s="28">
        <v>46281</v>
      </c>
      <c r="P455">
        <v>12.8</v>
      </c>
      <c r="Q455">
        <v>0</v>
      </c>
      <c r="R455">
        <v>0</v>
      </c>
      <c r="S455">
        <v>22</v>
      </c>
      <c r="T455">
        <v>9</v>
      </c>
      <c r="U455">
        <v>7</v>
      </c>
      <c r="V455">
        <v>20260917022</v>
      </c>
    </row>
    <row r="456" spans="1:22" x14ac:dyDescent="0.2">
      <c r="A456" s="34" t="s">
        <v>122</v>
      </c>
      <c r="B456" s="28">
        <v>46282</v>
      </c>
      <c r="C456" s="34"/>
      <c r="D456" s="34" t="s">
        <v>123</v>
      </c>
      <c r="E456" s="34" t="s">
        <v>152</v>
      </c>
      <c r="F456" s="34" t="s">
        <v>153</v>
      </c>
      <c r="G456" s="34" t="s">
        <v>154</v>
      </c>
      <c r="H456" s="34" t="s">
        <v>155</v>
      </c>
      <c r="I456">
        <v>13</v>
      </c>
      <c r="J456">
        <v>10</v>
      </c>
      <c r="K456">
        <v>14</v>
      </c>
      <c r="L456">
        <v>9</v>
      </c>
      <c r="M456">
        <v>9</v>
      </c>
      <c r="N456">
        <v>0</v>
      </c>
      <c r="O456" s="28">
        <v>46281</v>
      </c>
      <c r="P456">
        <v>12.8</v>
      </c>
      <c r="Q456">
        <v>0</v>
      </c>
      <c r="R456">
        <v>0</v>
      </c>
      <c r="S456">
        <v>23</v>
      </c>
      <c r="T456">
        <v>9</v>
      </c>
      <c r="U456">
        <v>8</v>
      </c>
      <c r="V456">
        <v>20260917023</v>
      </c>
    </row>
    <row r="457" spans="1:22" x14ac:dyDescent="0.2">
      <c r="A457" s="34" t="s">
        <v>122</v>
      </c>
      <c r="B457" s="28">
        <v>46282</v>
      </c>
      <c r="C457" s="34"/>
      <c r="D457" s="34" t="s">
        <v>123</v>
      </c>
      <c r="E457" s="34" t="s">
        <v>160</v>
      </c>
      <c r="F457" s="34" t="s">
        <v>161</v>
      </c>
      <c r="G457" s="34" t="s">
        <v>162</v>
      </c>
      <c r="H457" s="34" t="s">
        <v>163</v>
      </c>
      <c r="I457">
        <v>5</v>
      </c>
      <c r="J457">
        <v>0</v>
      </c>
      <c r="K457">
        <v>5</v>
      </c>
      <c r="L457">
        <v>0</v>
      </c>
      <c r="M457">
        <v>0</v>
      </c>
      <c r="N457">
        <v>0</v>
      </c>
      <c r="O457" s="28">
        <v>46281</v>
      </c>
      <c r="R457">
        <v>0</v>
      </c>
      <c r="S457">
        <v>24</v>
      </c>
      <c r="T457">
        <v>9</v>
      </c>
      <c r="U457">
        <v>10</v>
      </c>
      <c r="V457">
        <v>20260917024</v>
      </c>
    </row>
    <row r="458" spans="1:22" x14ac:dyDescent="0.2">
      <c r="A458" s="34" t="s">
        <v>122</v>
      </c>
      <c r="B458" s="28">
        <v>46282</v>
      </c>
      <c r="C458" s="34"/>
      <c r="D458" s="34" t="s">
        <v>123</v>
      </c>
      <c r="E458" s="34" t="s">
        <v>164</v>
      </c>
      <c r="F458" s="34" t="s">
        <v>165</v>
      </c>
      <c r="G458" s="34" t="s">
        <v>166</v>
      </c>
      <c r="H458" s="34" t="s">
        <v>167</v>
      </c>
      <c r="I458">
        <v>34</v>
      </c>
      <c r="J458">
        <v>20</v>
      </c>
      <c r="K458">
        <v>32</v>
      </c>
      <c r="L458">
        <v>22</v>
      </c>
      <c r="M458">
        <v>22</v>
      </c>
      <c r="N458">
        <v>0</v>
      </c>
      <c r="O458" s="28">
        <v>46281</v>
      </c>
      <c r="P458">
        <v>18.2</v>
      </c>
      <c r="Q458">
        <v>0</v>
      </c>
      <c r="R458">
        <v>0</v>
      </c>
      <c r="S458">
        <v>25</v>
      </c>
      <c r="T458">
        <v>9</v>
      </c>
      <c r="U458">
        <v>11</v>
      </c>
      <c r="V458">
        <v>20260917025</v>
      </c>
    </row>
    <row r="459" spans="1:22" x14ac:dyDescent="0.2">
      <c r="A459" s="34" t="s">
        <v>122</v>
      </c>
      <c r="B459" s="28">
        <v>46282</v>
      </c>
      <c r="C459" s="34"/>
      <c r="D459" s="34" t="s">
        <v>123</v>
      </c>
      <c r="E459" s="34" t="s">
        <v>168</v>
      </c>
      <c r="F459" s="34" t="s">
        <v>169</v>
      </c>
      <c r="G459" s="34" t="s">
        <v>170</v>
      </c>
      <c r="H459" s="34" t="s">
        <v>171</v>
      </c>
      <c r="I459">
        <v>14</v>
      </c>
      <c r="J459">
        <v>0</v>
      </c>
      <c r="K459">
        <v>13</v>
      </c>
      <c r="L459">
        <v>1</v>
      </c>
      <c r="M459">
        <v>1</v>
      </c>
      <c r="N459">
        <v>0</v>
      </c>
      <c r="O459" s="28">
        <v>46281</v>
      </c>
      <c r="P459">
        <v>18.2</v>
      </c>
      <c r="Q459">
        <v>0</v>
      </c>
      <c r="R459">
        <v>0</v>
      </c>
      <c r="S459">
        <v>26</v>
      </c>
      <c r="T459">
        <v>9</v>
      </c>
      <c r="U459">
        <v>12</v>
      </c>
      <c r="V459">
        <v>20260917026</v>
      </c>
    </row>
    <row r="460" spans="1:22" x14ac:dyDescent="0.2">
      <c r="A460" s="34" t="s">
        <v>122</v>
      </c>
      <c r="B460" s="28">
        <v>46282</v>
      </c>
      <c r="C460" s="34"/>
      <c r="D460" s="34" t="s">
        <v>123</v>
      </c>
      <c r="E460" s="34" t="s">
        <v>172</v>
      </c>
      <c r="F460" s="34" t="s">
        <v>173</v>
      </c>
      <c r="G460" s="34" t="s">
        <v>174</v>
      </c>
      <c r="H460" s="34" t="s">
        <v>175</v>
      </c>
      <c r="I460">
        <v>15</v>
      </c>
      <c r="J460">
        <v>0</v>
      </c>
      <c r="K460">
        <v>15</v>
      </c>
      <c r="L460">
        <v>0</v>
      </c>
      <c r="M460">
        <v>0</v>
      </c>
      <c r="N460">
        <v>0</v>
      </c>
      <c r="O460" s="28">
        <v>46281</v>
      </c>
      <c r="R460">
        <v>0</v>
      </c>
      <c r="S460">
        <v>27</v>
      </c>
      <c r="T460">
        <v>9</v>
      </c>
      <c r="U460">
        <v>13</v>
      </c>
      <c r="V460">
        <v>20260917027</v>
      </c>
    </row>
    <row r="461" spans="1:22" x14ac:dyDescent="0.2">
      <c r="A461" s="34" t="s">
        <v>122</v>
      </c>
      <c r="B461" s="28">
        <v>46282</v>
      </c>
      <c r="C461" s="34"/>
      <c r="D461" s="34" t="s">
        <v>123</v>
      </c>
      <c r="E461" s="34" t="s">
        <v>180</v>
      </c>
      <c r="F461" s="34" t="s">
        <v>181</v>
      </c>
      <c r="G461" s="34" t="s">
        <v>182</v>
      </c>
      <c r="H461" s="34" t="s">
        <v>183</v>
      </c>
      <c r="I461">
        <v>11</v>
      </c>
      <c r="J461">
        <v>0</v>
      </c>
      <c r="K461">
        <v>9</v>
      </c>
      <c r="L461">
        <v>2</v>
      </c>
      <c r="M461">
        <v>2</v>
      </c>
      <c r="N461">
        <v>0</v>
      </c>
      <c r="O461" s="28">
        <v>46281</v>
      </c>
      <c r="P461">
        <v>18.2</v>
      </c>
      <c r="Q461">
        <v>0</v>
      </c>
      <c r="R461">
        <v>0</v>
      </c>
      <c r="S461">
        <v>28</v>
      </c>
      <c r="T461">
        <v>9</v>
      </c>
      <c r="U461">
        <v>15</v>
      </c>
      <c r="V461">
        <v>20260917028</v>
      </c>
    </row>
    <row r="462" spans="1:22" x14ac:dyDescent="0.2">
      <c r="A462" s="34" t="s">
        <v>122</v>
      </c>
      <c r="B462" s="28">
        <v>46282</v>
      </c>
      <c r="C462" s="34"/>
      <c r="D462" s="34" t="s">
        <v>123</v>
      </c>
      <c r="E462" s="34" t="s">
        <v>184</v>
      </c>
      <c r="F462" s="34" t="s">
        <v>185</v>
      </c>
      <c r="G462" s="34" t="s">
        <v>186</v>
      </c>
      <c r="H462" s="34" t="s">
        <v>187</v>
      </c>
      <c r="I462">
        <v>13</v>
      </c>
      <c r="J462">
        <v>0</v>
      </c>
      <c r="K462">
        <v>13</v>
      </c>
      <c r="L462">
        <v>0</v>
      </c>
      <c r="M462">
        <v>0</v>
      </c>
      <c r="N462">
        <v>0</v>
      </c>
      <c r="O462" s="28">
        <v>46281</v>
      </c>
      <c r="R462">
        <v>0</v>
      </c>
      <c r="S462">
        <v>29</v>
      </c>
      <c r="T462">
        <v>9</v>
      </c>
      <c r="U462">
        <v>16</v>
      </c>
      <c r="V462">
        <v>20260917029</v>
      </c>
    </row>
    <row r="463" spans="1:22" x14ac:dyDescent="0.2">
      <c r="A463" s="34" t="s">
        <v>122</v>
      </c>
      <c r="B463" s="28">
        <v>46282</v>
      </c>
      <c r="C463" s="34"/>
      <c r="D463" s="34" t="s">
        <v>123</v>
      </c>
      <c r="E463" s="34" t="s">
        <v>188</v>
      </c>
      <c r="F463" s="34" t="s">
        <v>189</v>
      </c>
      <c r="G463" s="34" t="s">
        <v>190</v>
      </c>
      <c r="H463" s="34" t="s">
        <v>191</v>
      </c>
      <c r="I463">
        <v>4</v>
      </c>
      <c r="J463">
        <v>0</v>
      </c>
      <c r="K463">
        <v>4</v>
      </c>
      <c r="L463">
        <v>0</v>
      </c>
      <c r="M463">
        <v>0</v>
      </c>
      <c r="N463">
        <v>0</v>
      </c>
      <c r="O463" s="28">
        <v>46281</v>
      </c>
      <c r="R463">
        <v>0</v>
      </c>
      <c r="S463">
        <v>30</v>
      </c>
      <c r="T463">
        <v>9</v>
      </c>
      <c r="U463">
        <v>21</v>
      </c>
      <c r="V463">
        <v>20260917030</v>
      </c>
    </row>
    <row r="464" spans="1:22" x14ac:dyDescent="0.2">
      <c r="A464" s="34" t="s">
        <v>122</v>
      </c>
      <c r="B464" s="28">
        <v>46282</v>
      </c>
      <c r="C464" s="34"/>
      <c r="D464" s="34" t="s">
        <v>123</v>
      </c>
      <c r="E464" s="34" t="s">
        <v>192</v>
      </c>
      <c r="F464" s="34" t="s">
        <v>193</v>
      </c>
      <c r="G464" s="34" t="s">
        <v>194</v>
      </c>
      <c r="H464" s="34" t="s">
        <v>195</v>
      </c>
      <c r="I464">
        <v>4</v>
      </c>
      <c r="J464">
        <v>0</v>
      </c>
      <c r="K464">
        <v>4</v>
      </c>
      <c r="L464">
        <v>0</v>
      </c>
      <c r="M464">
        <v>0</v>
      </c>
      <c r="N464">
        <v>0</v>
      </c>
      <c r="O464" s="28">
        <v>46281</v>
      </c>
      <c r="R464">
        <v>0</v>
      </c>
      <c r="S464">
        <v>31</v>
      </c>
      <c r="T464">
        <v>9</v>
      </c>
      <c r="U464">
        <v>22</v>
      </c>
      <c r="V464">
        <v>20260917031</v>
      </c>
    </row>
    <row r="465" spans="1:22" x14ac:dyDescent="0.2">
      <c r="A465" s="34" t="s">
        <v>122</v>
      </c>
      <c r="B465" s="28">
        <v>46282</v>
      </c>
      <c r="C465" s="34"/>
      <c r="D465" s="34" t="s">
        <v>123</v>
      </c>
      <c r="E465" s="34" t="s">
        <v>200</v>
      </c>
      <c r="F465" s="34" t="s">
        <v>201</v>
      </c>
      <c r="G465" s="34" t="s">
        <v>202</v>
      </c>
      <c r="H465" s="34" t="s">
        <v>203</v>
      </c>
      <c r="I465">
        <v>14</v>
      </c>
      <c r="J465">
        <v>0</v>
      </c>
      <c r="K465">
        <v>6</v>
      </c>
      <c r="L465">
        <v>8</v>
      </c>
      <c r="M465">
        <v>8</v>
      </c>
      <c r="N465">
        <v>0</v>
      </c>
      <c r="O465" s="28">
        <v>46281</v>
      </c>
      <c r="P465">
        <v>12.7</v>
      </c>
      <c r="Q465">
        <v>0</v>
      </c>
      <c r="R465">
        <v>0</v>
      </c>
      <c r="S465">
        <v>32</v>
      </c>
      <c r="T465">
        <v>9</v>
      </c>
      <c r="U465">
        <v>24</v>
      </c>
      <c r="V465">
        <v>20260917032</v>
      </c>
    </row>
    <row r="466" spans="1:22" x14ac:dyDescent="0.2">
      <c r="A466" s="34" t="s">
        <v>122</v>
      </c>
      <c r="B466" s="28">
        <v>46282</v>
      </c>
      <c r="C466" s="34"/>
      <c r="D466" s="34" t="s">
        <v>123</v>
      </c>
      <c r="E466" s="34" t="s">
        <v>204</v>
      </c>
      <c r="F466" s="34" t="s">
        <v>205</v>
      </c>
      <c r="G466" s="34" t="s">
        <v>206</v>
      </c>
      <c r="H466" s="34" t="s">
        <v>207</v>
      </c>
      <c r="I466">
        <v>6</v>
      </c>
      <c r="J466">
        <v>0</v>
      </c>
      <c r="K466">
        <v>1</v>
      </c>
      <c r="L466">
        <v>5</v>
      </c>
      <c r="M466">
        <v>5</v>
      </c>
      <c r="N466">
        <v>0</v>
      </c>
      <c r="O466" s="28">
        <v>46281</v>
      </c>
      <c r="P466">
        <v>12.7</v>
      </c>
      <c r="Q466">
        <v>0</v>
      </c>
      <c r="R466">
        <v>0</v>
      </c>
      <c r="S466">
        <v>33</v>
      </c>
      <c r="T466">
        <v>9</v>
      </c>
      <c r="U466">
        <v>25</v>
      </c>
      <c r="V466">
        <v>20260917033</v>
      </c>
    </row>
    <row r="467" spans="1:22" x14ac:dyDescent="0.2">
      <c r="A467" s="34" t="s">
        <v>122</v>
      </c>
      <c r="B467" s="28">
        <v>46282</v>
      </c>
      <c r="C467" s="34"/>
      <c r="D467" s="34" t="s">
        <v>123</v>
      </c>
      <c r="E467" s="34" t="s">
        <v>208</v>
      </c>
      <c r="F467" s="34" t="s">
        <v>209</v>
      </c>
      <c r="G467" s="34" t="s">
        <v>210</v>
      </c>
      <c r="H467" s="34" t="s">
        <v>211</v>
      </c>
      <c r="I467">
        <v>9</v>
      </c>
      <c r="J467">
        <v>0</v>
      </c>
      <c r="K467">
        <v>8</v>
      </c>
      <c r="L467">
        <v>1</v>
      </c>
      <c r="M467">
        <v>1</v>
      </c>
      <c r="N467">
        <v>0</v>
      </c>
      <c r="O467" s="28">
        <v>46281</v>
      </c>
      <c r="R467">
        <v>0</v>
      </c>
      <c r="S467">
        <v>34</v>
      </c>
      <c r="T467">
        <v>9</v>
      </c>
      <c r="U467">
        <v>26</v>
      </c>
      <c r="V467">
        <v>20260917034</v>
      </c>
    </row>
    <row r="468" spans="1:22" x14ac:dyDescent="0.2">
      <c r="A468" s="34" t="s">
        <v>122</v>
      </c>
      <c r="B468" s="28">
        <v>46282</v>
      </c>
      <c r="C468" s="34"/>
      <c r="D468" s="34" t="s">
        <v>123</v>
      </c>
      <c r="E468" s="34" t="s">
        <v>212</v>
      </c>
      <c r="F468" s="34" t="s">
        <v>213</v>
      </c>
      <c r="G468" s="34" t="s">
        <v>214</v>
      </c>
      <c r="H468" s="34" t="s">
        <v>215</v>
      </c>
      <c r="I468">
        <v>12</v>
      </c>
      <c r="J468">
        <v>0</v>
      </c>
      <c r="K468">
        <v>10</v>
      </c>
      <c r="L468">
        <v>2</v>
      </c>
      <c r="M468">
        <v>2</v>
      </c>
      <c r="N468">
        <v>0</v>
      </c>
      <c r="O468" s="28">
        <v>46281</v>
      </c>
      <c r="P468">
        <v>12.7</v>
      </c>
      <c r="Q468">
        <v>0</v>
      </c>
      <c r="R468">
        <v>0</v>
      </c>
      <c r="S468">
        <v>35</v>
      </c>
      <c r="T468">
        <v>9</v>
      </c>
      <c r="U468">
        <v>27</v>
      </c>
      <c r="V468">
        <v>20260917035</v>
      </c>
    </row>
    <row r="469" spans="1:22" x14ac:dyDescent="0.2">
      <c r="A469" s="34" t="s">
        <v>122</v>
      </c>
      <c r="B469" s="28">
        <v>46282</v>
      </c>
      <c r="C469" s="34"/>
      <c r="D469" s="34" t="s">
        <v>123</v>
      </c>
      <c r="E469" s="34" t="s">
        <v>224</v>
      </c>
      <c r="F469" s="34" t="s">
        <v>225</v>
      </c>
      <c r="G469" s="34" t="s">
        <v>226</v>
      </c>
      <c r="H469" s="34" t="s">
        <v>227</v>
      </c>
      <c r="I469">
        <v>5</v>
      </c>
      <c r="J469">
        <v>0</v>
      </c>
      <c r="K469">
        <v>2</v>
      </c>
      <c r="L469">
        <v>3</v>
      </c>
      <c r="M469">
        <v>3</v>
      </c>
      <c r="N469">
        <v>0</v>
      </c>
      <c r="O469" s="28">
        <v>46281</v>
      </c>
      <c r="P469">
        <v>17.899999999999999</v>
      </c>
      <c r="Q469">
        <v>0</v>
      </c>
      <c r="R469">
        <v>0</v>
      </c>
      <c r="S469">
        <v>36</v>
      </c>
      <c r="T469">
        <v>9</v>
      </c>
      <c r="U469">
        <v>30</v>
      </c>
      <c r="V469">
        <v>20260917036</v>
      </c>
    </row>
    <row r="470" spans="1:22" x14ac:dyDescent="0.2">
      <c r="A470" s="34" t="s">
        <v>122</v>
      </c>
      <c r="B470" s="28">
        <v>46282</v>
      </c>
      <c r="C470" s="34"/>
      <c r="D470" s="34" t="s">
        <v>123</v>
      </c>
      <c r="E470" s="34" t="s">
        <v>236</v>
      </c>
      <c r="F470" s="34" t="s">
        <v>237</v>
      </c>
      <c r="G470" s="34" t="s">
        <v>238</v>
      </c>
      <c r="H470" s="34" t="s">
        <v>239</v>
      </c>
      <c r="I470">
        <v>7</v>
      </c>
      <c r="J470">
        <v>0</v>
      </c>
      <c r="K470">
        <v>5</v>
      </c>
      <c r="L470">
        <v>2</v>
      </c>
      <c r="M470">
        <v>2</v>
      </c>
      <c r="N470">
        <v>0</v>
      </c>
      <c r="O470" s="28">
        <v>46281</v>
      </c>
      <c r="P470">
        <v>17.899999999999999</v>
      </c>
      <c r="Q470">
        <v>0</v>
      </c>
      <c r="R470">
        <v>0</v>
      </c>
      <c r="S470">
        <v>37</v>
      </c>
      <c r="T470">
        <v>9</v>
      </c>
      <c r="U470">
        <v>33</v>
      </c>
      <c r="V470">
        <v>20260917037</v>
      </c>
    </row>
    <row r="471" spans="1:22" x14ac:dyDescent="0.2">
      <c r="A471" s="34" t="s">
        <v>122</v>
      </c>
      <c r="B471" s="28">
        <v>46282</v>
      </c>
      <c r="C471" s="34"/>
      <c r="D471" s="34" t="s">
        <v>123</v>
      </c>
      <c r="E471" s="34" t="s">
        <v>244</v>
      </c>
      <c r="F471" s="34" t="s">
        <v>245</v>
      </c>
      <c r="G471" s="34" t="s">
        <v>246</v>
      </c>
      <c r="H471" s="34" t="s">
        <v>247</v>
      </c>
      <c r="I471">
        <v>5</v>
      </c>
      <c r="J471">
        <v>0</v>
      </c>
      <c r="K471">
        <v>5</v>
      </c>
      <c r="L471">
        <v>0</v>
      </c>
      <c r="M471">
        <v>0</v>
      </c>
      <c r="N471">
        <v>0</v>
      </c>
      <c r="O471" s="28">
        <v>46281</v>
      </c>
      <c r="R471">
        <v>0</v>
      </c>
      <c r="S471">
        <v>38</v>
      </c>
      <c r="T471">
        <v>9</v>
      </c>
      <c r="U471">
        <v>35</v>
      </c>
      <c r="V471">
        <v>20260917038</v>
      </c>
    </row>
    <row r="472" spans="1:22" x14ac:dyDescent="0.2">
      <c r="A472" s="34" t="s">
        <v>122</v>
      </c>
      <c r="B472" s="28">
        <v>46282</v>
      </c>
      <c r="C472" s="34"/>
      <c r="D472" s="34" t="s">
        <v>123</v>
      </c>
      <c r="E472" s="34" t="s">
        <v>248</v>
      </c>
      <c r="F472" s="34" t="s">
        <v>249</v>
      </c>
      <c r="G472" s="34" t="s">
        <v>250</v>
      </c>
      <c r="H472" s="34" t="s">
        <v>251</v>
      </c>
      <c r="I472">
        <v>4</v>
      </c>
      <c r="J472">
        <v>0</v>
      </c>
      <c r="K472">
        <v>4</v>
      </c>
      <c r="L472">
        <v>0</v>
      </c>
      <c r="M472">
        <v>0</v>
      </c>
      <c r="N472">
        <v>0</v>
      </c>
      <c r="O472" s="28">
        <v>46281</v>
      </c>
      <c r="R472">
        <v>0</v>
      </c>
      <c r="S472">
        <v>39</v>
      </c>
      <c r="T472">
        <v>9</v>
      </c>
      <c r="U472">
        <v>36</v>
      </c>
      <c r="V472">
        <v>20260917039</v>
      </c>
    </row>
    <row r="473" spans="1:22" x14ac:dyDescent="0.2">
      <c r="A473" s="34" t="s">
        <v>122</v>
      </c>
      <c r="B473" s="28">
        <v>46282</v>
      </c>
      <c r="C473" s="34"/>
      <c r="D473" s="34" t="s">
        <v>123</v>
      </c>
      <c r="E473" s="34" t="s">
        <v>256</v>
      </c>
      <c r="F473" s="34" t="s">
        <v>257</v>
      </c>
      <c r="G473" s="34" t="s">
        <v>258</v>
      </c>
      <c r="H473" s="34" t="s">
        <v>259</v>
      </c>
      <c r="I473">
        <v>4</v>
      </c>
      <c r="J473">
        <v>0</v>
      </c>
      <c r="K473">
        <v>4</v>
      </c>
      <c r="L473">
        <v>0</v>
      </c>
      <c r="M473">
        <v>0</v>
      </c>
      <c r="N473">
        <v>0</v>
      </c>
      <c r="O473" s="28">
        <v>46281</v>
      </c>
      <c r="R473">
        <v>0</v>
      </c>
      <c r="S473">
        <v>40</v>
      </c>
      <c r="T473">
        <v>9</v>
      </c>
      <c r="U473">
        <v>38</v>
      </c>
      <c r="V473">
        <v>20260917040</v>
      </c>
    </row>
    <row r="474" spans="1:22" x14ac:dyDescent="0.2">
      <c r="A474" s="34" t="s">
        <v>122</v>
      </c>
      <c r="B474" s="28">
        <v>46282</v>
      </c>
      <c r="C474" s="34"/>
      <c r="D474" s="34" t="s">
        <v>123</v>
      </c>
      <c r="E474" s="34" t="s">
        <v>260</v>
      </c>
      <c r="F474" s="34" t="s">
        <v>261</v>
      </c>
      <c r="G474" s="34" t="s">
        <v>262</v>
      </c>
      <c r="H474" s="34" t="s">
        <v>263</v>
      </c>
      <c r="I474">
        <v>4</v>
      </c>
      <c r="J474">
        <v>0</v>
      </c>
      <c r="K474">
        <v>4</v>
      </c>
      <c r="L474">
        <v>0</v>
      </c>
      <c r="M474">
        <v>0</v>
      </c>
      <c r="N474">
        <v>0</v>
      </c>
      <c r="O474" s="28">
        <v>46281</v>
      </c>
      <c r="R474">
        <v>0</v>
      </c>
      <c r="S474">
        <v>41</v>
      </c>
      <c r="T474">
        <v>9</v>
      </c>
      <c r="U474">
        <v>39</v>
      </c>
      <c r="V474">
        <v>20260917041</v>
      </c>
    </row>
    <row r="475" spans="1:22" x14ac:dyDescent="0.2">
      <c r="A475" s="34" t="s">
        <v>122</v>
      </c>
      <c r="B475" s="28">
        <v>46282</v>
      </c>
      <c r="C475" s="34"/>
      <c r="D475" s="34" t="s">
        <v>123</v>
      </c>
      <c r="E475" s="34" t="s">
        <v>268</v>
      </c>
      <c r="F475" s="34" t="s">
        <v>269</v>
      </c>
      <c r="G475" s="34" t="s">
        <v>270</v>
      </c>
      <c r="H475" s="34" t="s">
        <v>271</v>
      </c>
      <c r="I475">
        <v>4</v>
      </c>
      <c r="J475">
        <v>0</v>
      </c>
      <c r="K475">
        <v>3</v>
      </c>
      <c r="L475">
        <v>1</v>
      </c>
      <c r="M475">
        <v>1</v>
      </c>
      <c r="N475">
        <v>0</v>
      </c>
      <c r="O475" s="28">
        <v>46281</v>
      </c>
      <c r="P475">
        <v>18.399999999999999</v>
      </c>
      <c r="Q475">
        <v>0</v>
      </c>
      <c r="R475">
        <v>0</v>
      </c>
      <c r="S475">
        <v>42</v>
      </c>
      <c r="T475">
        <v>9</v>
      </c>
      <c r="U475">
        <v>41</v>
      </c>
      <c r="V475">
        <v>20260917042</v>
      </c>
    </row>
    <row r="476" spans="1:22" x14ac:dyDescent="0.2">
      <c r="A476" s="34" t="s">
        <v>122</v>
      </c>
      <c r="B476" s="28">
        <v>46282</v>
      </c>
      <c r="C476" s="34"/>
      <c r="D476" s="34" t="s">
        <v>123</v>
      </c>
      <c r="E476" s="34" t="s">
        <v>272</v>
      </c>
      <c r="F476" s="34" t="s">
        <v>341</v>
      </c>
      <c r="G476" s="34" t="s">
        <v>273</v>
      </c>
      <c r="H476" s="34" t="s">
        <v>274</v>
      </c>
      <c r="I476">
        <v>12</v>
      </c>
      <c r="J476">
        <v>0</v>
      </c>
      <c r="K476">
        <v>10</v>
      </c>
      <c r="L476">
        <v>2</v>
      </c>
      <c r="M476">
        <v>2</v>
      </c>
      <c r="N476">
        <v>0</v>
      </c>
      <c r="O476" s="28">
        <v>46281</v>
      </c>
      <c r="P476">
        <v>18.399999999999999</v>
      </c>
      <c r="Q476">
        <v>0</v>
      </c>
      <c r="R476">
        <v>0</v>
      </c>
      <c r="S476">
        <v>43</v>
      </c>
      <c r="T476">
        <v>9</v>
      </c>
      <c r="U476">
        <v>42</v>
      </c>
      <c r="V476">
        <v>20260917043</v>
      </c>
    </row>
    <row r="477" spans="1:22" x14ac:dyDescent="0.2">
      <c r="A477" s="34" t="s">
        <v>122</v>
      </c>
      <c r="B477" s="28">
        <v>46282</v>
      </c>
      <c r="C477" s="34"/>
      <c r="D477" s="34" t="s">
        <v>123</v>
      </c>
      <c r="E477" s="34" t="s">
        <v>275</v>
      </c>
      <c r="F477" s="34" t="s">
        <v>276</v>
      </c>
      <c r="G477" s="34" t="s">
        <v>277</v>
      </c>
      <c r="H477" s="34" t="s">
        <v>278</v>
      </c>
      <c r="I477">
        <v>5</v>
      </c>
      <c r="J477">
        <v>0</v>
      </c>
      <c r="K477">
        <v>5</v>
      </c>
      <c r="L477">
        <v>0</v>
      </c>
      <c r="M477">
        <v>0</v>
      </c>
      <c r="N477">
        <v>0</v>
      </c>
      <c r="O477" s="28">
        <v>46281</v>
      </c>
      <c r="R477">
        <v>0</v>
      </c>
      <c r="S477">
        <v>44</v>
      </c>
      <c r="T477">
        <v>9</v>
      </c>
      <c r="U477">
        <v>43</v>
      </c>
      <c r="V477">
        <v>20260917044</v>
      </c>
    </row>
    <row r="478" spans="1:22" x14ac:dyDescent="0.2">
      <c r="A478" s="34" t="s">
        <v>122</v>
      </c>
      <c r="B478" s="28">
        <v>46282</v>
      </c>
      <c r="C478" s="34"/>
      <c r="D478" s="34" t="s">
        <v>123</v>
      </c>
      <c r="E478" s="34" t="s">
        <v>279</v>
      </c>
      <c r="F478" s="34" t="s">
        <v>280</v>
      </c>
      <c r="G478" s="34" t="s">
        <v>281</v>
      </c>
      <c r="H478" s="34" t="s">
        <v>282</v>
      </c>
      <c r="I478">
        <v>6</v>
      </c>
      <c r="J478">
        <v>0</v>
      </c>
      <c r="K478">
        <v>6</v>
      </c>
      <c r="L478">
        <v>0</v>
      </c>
      <c r="M478">
        <v>0</v>
      </c>
      <c r="N478">
        <v>0</v>
      </c>
      <c r="O478" s="28">
        <v>46281</v>
      </c>
      <c r="R478">
        <v>0</v>
      </c>
      <c r="S478">
        <v>45</v>
      </c>
      <c r="T478">
        <v>9</v>
      </c>
      <c r="U478">
        <v>44</v>
      </c>
      <c r="V478">
        <v>20260917045</v>
      </c>
    </row>
    <row r="479" spans="1:22" x14ac:dyDescent="0.2">
      <c r="A479" s="34" t="s">
        <v>122</v>
      </c>
      <c r="B479" s="28">
        <v>46282</v>
      </c>
      <c r="C479" s="34"/>
      <c r="D479" s="34" t="s">
        <v>123</v>
      </c>
      <c r="E479" s="34" t="s">
        <v>283</v>
      </c>
      <c r="F479" s="34" t="s">
        <v>284</v>
      </c>
      <c r="G479" s="34" t="s">
        <v>285</v>
      </c>
      <c r="H479" s="34" t="s">
        <v>286</v>
      </c>
      <c r="I479">
        <v>8</v>
      </c>
      <c r="J479">
        <v>10</v>
      </c>
      <c r="K479">
        <v>17</v>
      </c>
      <c r="L479">
        <v>1</v>
      </c>
      <c r="M479">
        <v>1</v>
      </c>
      <c r="N479">
        <v>0</v>
      </c>
      <c r="O479" s="28">
        <v>46281</v>
      </c>
      <c r="P479">
        <v>16.7</v>
      </c>
      <c r="Q479">
        <v>0</v>
      </c>
      <c r="R479">
        <v>0</v>
      </c>
      <c r="S479">
        <v>46</v>
      </c>
      <c r="T479">
        <v>9</v>
      </c>
      <c r="U479">
        <v>45</v>
      </c>
      <c r="V479">
        <v>20260917046</v>
      </c>
    </row>
    <row r="480" spans="1:22" x14ac:dyDescent="0.2">
      <c r="A480" s="34" t="s">
        <v>122</v>
      </c>
      <c r="B480" s="28">
        <v>46282</v>
      </c>
      <c r="C480" s="34"/>
      <c r="D480" s="34" t="s">
        <v>123</v>
      </c>
      <c r="E480" s="34" t="s">
        <v>287</v>
      </c>
      <c r="F480" s="34" t="s">
        <v>288</v>
      </c>
      <c r="G480" s="34" t="s">
        <v>289</v>
      </c>
      <c r="H480" s="34" t="s">
        <v>290</v>
      </c>
      <c r="I480">
        <v>19</v>
      </c>
      <c r="J480">
        <v>0</v>
      </c>
      <c r="K480">
        <v>17</v>
      </c>
      <c r="L480">
        <v>2</v>
      </c>
      <c r="M480">
        <v>2</v>
      </c>
      <c r="N480">
        <v>0</v>
      </c>
      <c r="O480" s="28">
        <v>46281</v>
      </c>
      <c r="P480">
        <v>16.7</v>
      </c>
      <c r="Q480">
        <v>0</v>
      </c>
      <c r="R480">
        <v>0</v>
      </c>
      <c r="S480">
        <v>47</v>
      </c>
      <c r="T480">
        <v>9</v>
      </c>
      <c r="U480">
        <v>46</v>
      </c>
      <c r="V480">
        <v>20260917047</v>
      </c>
    </row>
    <row r="481" spans="1:22" x14ac:dyDescent="0.2">
      <c r="A481" s="34" t="s">
        <v>122</v>
      </c>
      <c r="B481" s="28">
        <v>46282</v>
      </c>
      <c r="C481" s="34"/>
      <c r="D481" s="34" t="s">
        <v>123</v>
      </c>
      <c r="E481" s="34" t="s">
        <v>298</v>
      </c>
      <c r="F481" s="34" t="s">
        <v>299</v>
      </c>
      <c r="G481" s="34" t="s">
        <v>300</v>
      </c>
      <c r="H481" s="34" t="s">
        <v>301</v>
      </c>
      <c r="I481">
        <v>12</v>
      </c>
      <c r="J481">
        <v>0</v>
      </c>
      <c r="K481">
        <v>6</v>
      </c>
      <c r="L481">
        <v>6</v>
      </c>
      <c r="M481">
        <v>6</v>
      </c>
      <c r="N481">
        <v>0</v>
      </c>
      <c r="O481" s="28">
        <v>46281</v>
      </c>
      <c r="P481">
        <v>12.9</v>
      </c>
      <c r="Q481">
        <v>0</v>
      </c>
      <c r="R481">
        <v>0</v>
      </c>
      <c r="S481">
        <v>48</v>
      </c>
      <c r="T481">
        <v>9</v>
      </c>
      <c r="U481">
        <v>49</v>
      </c>
      <c r="V481">
        <v>20260917048</v>
      </c>
    </row>
    <row r="482" spans="1:22" x14ac:dyDescent="0.2">
      <c r="A482" s="34" t="s">
        <v>122</v>
      </c>
      <c r="B482" s="28">
        <v>46282</v>
      </c>
      <c r="C482" s="34"/>
      <c r="D482" s="34" t="s">
        <v>123</v>
      </c>
      <c r="E482" s="34" t="s">
        <v>306</v>
      </c>
      <c r="F482" s="34" t="s">
        <v>307</v>
      </c>
      <c r="G482" s="34" t="s">
        <v>308</v>
      </c>
      <c r="H482" s="34" t="s">
        <v>309</v>
      </c>
      <c r="I482">
        <v>10</v>
      </c>
      <c r="J482">
        <v>0</v>
      </c>
      <c r="K482">
        <v>10</v>
      </c>
      <c r="L482">
        <v>0</v>
      </c>
      <c r="M482">
        <v>0</v>
      </c>
      <c r="N482">
        <v>0</v>
      </c>
      <c r="O482" s="28">
        <v>46281</v>
      </c>
      <c r="R482">
        <v>0</v>
      </c>
      <c r="S482">
        <v>49</v>
      </c>
      <c r="T482">
        <v>9</v>
      </c>
      <c r="U482">
        <v>51</v>
      </c>
      <c r="V482">
        <v>20260917049</v>
      </c>
    </row>
    <row r="483" spans="1:22" x14ac:dyDescent="0.2">
      <c r="A483" s="34" t="s">
        <v>122</v>
      </c>
      <c r="B483" s="28">
        <v>46282</v>
      </c>
      <c r="C483" s="34"/>
      <c r="D483" s="34" t="s">
        <v>123</v>
      </c>
      <c r="E483" s="34" t="s">
        <v>310</v>
      </c>
      <c r="F483" s="34" t="s">
        <v>311</v>
      </c>
      <c r="G483" s="34" t="s">
        <v>312</v>
      </c>
      <c r="H483" s="34" t="s">
        <v>313</v>
      </c>
      <c r="I483">
        <v>9</v>
      </c>
      <c r="J483">
        <v>0</v>
      </c>
      <c r="K483">
        <v>7</v>
      </c>
      <c r="L483">
        <v>2</v>
      </c>
      <c r="M483">
        <v>2</v>
      </c>
      <c r="N483">
        <v>0</v>
      </c>
      <c r="O483" s="28">
        <v>46281</v>
      </c>
      <c r="P483">
        <v>12.9</v>
      </c>
      <c r="Q483">
        <v>0</v>
      </c>
      <c r="R483">
        <v>0</v>
      </c>
      <c r="S483">
        <v>50</v>
      </c>
      <c r="T483">
        <v>9</v>
      </c>
      <c r="U483">
        <v>52</v>
      </c>
      <c r="V483">
        <v>20260917050</v>
      </c>
    </row>
    <row r="484" spans="1:22" x14ac:dyDescent="0.2">
      <c r="A484" s="34" t="s">
        <v>122</v>
      </c>
      <c r="B484" s="28">
        <v>46282</v>
      </c>
      <c r="C484" s="34"/>
      <c r="D484" s="34" t="s">
        <v>123</v>
      </c>
      <c r="E484" s="34" t="s">
        <v>314</v>
      </c>
      <c r="F484" s="34" t="s">
        <v>315</v>
      </c>
      <c r="G484" s="34" t="s">
        <v>316</v>
      </c>
      <c r="H484" s="34" t="s">
        <v>317</v>
      </c>
      <c r="I484">
        <v>23</v>
      </c>
      <c r="J484">
        <v>0</v>
      </c>
      <c r="K484">
        <v>20</v>
      </c>
      <c r="L484">
        <v>3</v>
      </c>
      <c r="M484">
        <v>3</v>
      </c>
      <c r="N484">
        <v>0</v>
      </c>
      <c r="O484" s="28">
        <v>46281</v>
      </c>
      <c r="P484">
        <v>12.9</v>
      </c>
      <c r="Q484">
        <v>0</v>
      </c>
      <c r="R484">
        <v>0</v>
      </c>
      <c r="S484">
        <v>51</v>
      </c>
      <c r="T484">
        <v>9</v>
      </c>
      <c r="U484">
        <v>53</v>
      </c>
      <c r="V484">
        <v>20260917051</v>
      </c>
    </row>
    <row r="485" spans="1:22" x14ac:dyDescent="0.2">
      <c r="A485" s="34" t="s">
        <v>122</v>
      </c>
      <c r="B485" s="28">
        <v>46282</v>
      </c>
      <c r="C485" s="34"/>
      <c r="D485" s="34" t="s">
        <v>123</v>
      </c>
      <c r="E485" s="34" t="s">
        <v>318</v>
      </c>
      <c r="F485" s="34" t="s">
        <v>319</v>
      </c>
      <c r="G485" s="34" t="s">
        <v>320</v>
      </c>
      <c r="H485" s="34" t="s">
        <v>321</v>
      </c>
      <c r="I485">
        <v>2</v>
      </c>
      <c r="J485">
        <v>10</v>
      </c>
      <c r="K485">
        <v>11</v>
      </c>
      <c r="L485">
        <v>1</v>
      </c>
      <c r="M485">
        <v>1</v>
      </c>
      <c r="N485">
        <v>0</v>
      </c>
      <c r="O485" s="28">
        <v>46281</v>
      </c>
      <c r="P485">
        <v>16.399999999999999</v>
      </c>
      <c r="Q485">
        <v>0</v>
      </c>
      <c r="R485">
        <v>0</v>
      </c>
      <c r="S485">
        <v>52</v>
      </c>
      <c r="T485">
        <v>9</v>
      </c>
      <c r="U485">
        <v>54</v>
      </c>
      <c r="V485">
        <v>20260917052</v>
      </c>
    </row>
    <row r="486" spans="1:22" x14ac:dyDescent="0.2">
      <c r="A486" s="34" t="s">
        <v>122</v>
      </c>
      <c r="B486" s="28">
        <v>46282</v>
      </c>
      <c r="C486" s="34"/>
      <c r="D486" s="34" t="s">
        <v>123</v>
      </c>
      <c r="E486" s="34" t="s">
        <v>322</v>
      </c>
      <c r="F486" s="34" t="s">
        <v>323</v>
      </c>
      <c r="G486" s="34" t="s">
        <v>324</v>
      </c>
      <c r="H486" s="34" t="s">
        <v>325</v>
      </c>
      <c r="I486">
        <v>7</v>
      </c>
      <c r="J486">
        <v>0</v>
      </c>
      <c r="K486">
        <v>6</v>
      </c>
      <c r="L486">
        <v>1</v>
      </c>
      <c r="M486">
        <v>1</v>
      </c>
      <c r="N486">
        <v>0</v>
      </c>
      <c r="O486" s="28">
        <v>46281</v>
      </c>
      <c r="P486">
        <v>16.399999999999999</v>
      </c>
      <c r="Q486">
        <v>0</v>
      </c>
      <c r="R486">
        <v>0</v>
      </c>
      <c r="S486">
        <v>53</v>
      </c>
      <c r="T486">
        <v>9</v>
      </c>
      <c r="U486">
        <v>55</v>
      </c>
      <c r="V486">
        <v>20260917053</v>
      </c>
    </row>
    <row r="487" spans="1:22" x14ac:dyDescent="0.2">
      <c r="A487" s="34" t="s">
        <v>122</v>
      </c>
      <c r="B487" s="28">
        <v>46282</v>
      </c>
      <c r="C487" s="34"/>
      <c r="D487" s="34" t="s">
        <v>123</v>
      </c>
      <c r="E487" s="34" t="s">
        <v>330</v>
      </c>
      <c r="F487" s="34" t="s">
        <v>331</v>
      </c>
      <c r="G487" s="34" t="s">
        <v>332</v>
      </c>
      <c r="H487" s="34" t="s">
        <v>333</v>
      </c>
      <c r="I487">
        <v>4</v>
      </c>
      <c r="J487">
        <v>0</v>
      </c>
      <c r="K487">
        <v>3</v>
      </c>
      <c r="L487">
        <v>1</v>
      </c>
      <c r="M487">
        <v>1</v>
      </c>
      <c r="N487">
        <v>0</v>
      </c>
      <c r="O487" s="28">
        <v>46281</v>
      </c>
      <c r="P487">
        <v>16.600000000000001</v>
      </c>
      <c r="Q487">
        <v>0</v>
      </c>
      <c r="R487">
        <v>0</v>
      </c>
      <c r="S487">
        <v>54</v>
      </c>
      <c r="T487">
        <v>9</v>
      </c>
      <c r="U487">
        <v>74</v>
      </c>
      <c r="V487">
        <v>20260917054</v>
      </c>
    </row>
    <row r="488" spans="1:22" x14ac:dyDescent="0.2">
      <c r="A488" s="34" t="s">
        <v>122</v>
      </c>
      <c r="B488" s="28">
        <v>46283</v>
      </c>
      <c r="C488" s="34"/>
      <c r="D488" s="34" t="s">
        <v>343</v>
      </c>
      <c r="E488" s="34" t="s">
        <v>164</v>
      </c>
      <c r="F488" s="34" t="s">
        <v>165</v>
      </c>
      <c r="G488" s="34" t="s">
        <v>166</v>
      </c>
      <c r="H488" s="34" t="s">
        <v>167</v>
      </c>
      <c r="I488">
        <v>32</v>
      </c>
      <c r="J488">
        <v>0</v>
      </c>
      <c r="K488">
        <v>43</v>
      </c>
      <c r="L488">
        <v>-11</v>
      </c>
      <c r="M488">
        <v>19</v>
      </c>
      <c r="N488">
        <v>-30</v>
      </c>
      <c r="O488" s="28">
        <v>46282</v>
      </c>
      <c r="P488">
        <v>18.2</v>
      </c>
      <c r="Q488">
        <v>-546</v>
      </c>
      <c r="R488">
        <v>30</v>
      </c>
      <c r="S488">
        <v>1</v>
      </c>
      <c r="T488">
        <v>8</v>
      </c>
      <c r="U488">
        <v>11</v>
      </c>
      <c r="V488">
        <v>20260918001</v>
      </c>
    </row>
    <row r="489" spans="1:22" x14ac:dyDescent="0.2">
      <c r="A489" s="34" t="s">
        <v>122</v>
      </c>
      <c r="B489" s="28">
        <v>46283</v>
      </c>
      <c r="C489" s="34"/>
      <c r="D489" s="34" t="s">
        <v>343</v>
      </c>
      <c r="E489" s="34" t="s">
        <v>204</v>
      </c>
      <c r="F489" s="34" t="s">
        <v>205</v>
      </c>
      <c r="G489" s="34" t="s">
        <v>206</v>
      </c>
      <c r="H489" s="34" t="s">
        <v>207</v>
      </c>
      <c r="I489">
        <v>1</v>
      </c>
      <c r="J489">
        <v>0</v>
      </c>
      <c r="K489">
        <v>11</v>
      </c>
      <c r="L489">
        <v>-10</v>
      </c>
      <c r="M489">
        <v>2</v>
      </c>
      <c r="N489">
        <v>-12</v>
      </c>
      <c r="O489" s="28">
        <v>46282</v>
      </c>
      <c r="P489">
        <v>12.7</v>
      </c>
      <c r="Q489">
        <v>-152.4</v>
      </c>
      <c r="R489">
        <v>12</v>
      </c>
      <c r="S489">
        <v>2</v>
      </c>
      <c r="T489">
        <v>8</v>
      </c>
      <c r="U489">
        <v>25</v>
      </c>
      <c r="V489">
        <v>20260918002</v>
      </c>
    </row>
    <row r="490" spans="1:22" x14ac:dyDescent="0.2">
      <c r="A490" s="34" t="s">
        <v>122</v>
      </c>
      <c r="B490" s="28">
        <v>46283</v>
      </c>
      <c r="C490" s="34"/>
      <c r="D490" s="34" t="s">
        <v>343</v>
      </c>
      <c r="E490" s="34" t="s">
        <v>144</v>
      </c>
      <c r="F490" s="34" t="s">
        <v>145</v>
      </c>
      <c r="G490" s="34" t="s">
        <v>146</v>
      </c>
      <c r="H490" s="34" t="s">
        <v>147</v>
      </c>
      <c r="I490">
        <v>2</v>
      </c>
      <c r="J490">
        <v>0</v>
      </c>
      <c r="K490">
        <v>11</v>
      </c>
      <c r="L490">
        <v>-9</v>
      </c>
      <c r="M490">
        <v>1</v>
      </c>
      <c r="N490">
        <v>-10</v>
      </c>
      <c r="O490" s="28">
        <v>46282</v>
      </c>
      <c r="P490">
        <v>12.8</v>
      </c>
      <c r="Q490">
        <v>-128</v>
      </c>
      <c r="R490">
        <v>10</v>
      </c>
      <c r="S490">
        <v>3</v>
      </c>
      <c r="T490">
        <v>8</v>
      </c>
      <c r="U490">
        <v>6</v>
      </c>
      <c r="V490">
        <v>20260918003</v>
      </c>
    </row>
    <row r="491" spans="1:22" x14ac:dyDescent="0.2">
      <c r="A491" s="34" t="s">
        <v>122</v>
      </c>
      <c r="B491" s="28">
        <v>46283</v>
      </c>
      <c r="C491" s="34"/>
      <c r="D491" s="34" t="s">
        <v>343</v>
      </c>
      <c r="E491" s="34" t="s">
        <v>200</v>
      </c>
      <c r="F491" s="34" t="s">
        <v>201</v>
      </c>
      <c r="G491" s="34" t="s">
        <v>202</v>
      </c>
      <c r="H491" s="34" t="s">
        <v>203</v>
      </c>
      <c r="I491">
        <v>6</v>
      </c>
      <c r="J491">
        <v>0</v>
      </c>
      <c r="K491">
        <v>9</v>
      </c>
      <c r="L491">
        <v>-3</v>
      </c>
      <c r="M491">
        <v>7</v>
      </c>
      <c r="N491">
        <v>-10</v>
      </c>
      <c r="O491" s="28">
        <v>46282</v>
      </c>
      <c r="P491">
        <v>12.7</v>
      </c>
      <c r="Q491">
        <v>-127</v>
      </c>
      <c r="R491">
        <v>10</v>
      </c>
      <c r="S491">
        <v>4</v>
      </c>
      <c r="T491">
        <v>8</v>
      </c>
      <c r="U491">
        <v>24</v>
      </c>
      <c r="V491">
        <v>20260918004</v>
      </c>
    </row>
    <row r="492" spans="1:22" x14ac:dyDescent="0.2">
      <c r="A492" s="34" t="s">
        <v>122</v>
      </c>
      <c r="B492" s="28">
        <v>46283</v>
      </c>
      <c r="C492" s="34"/>
      <c r="D492" s="34" t="s">
        <v>343</v>
      </c>
      <c r="E492" s="34" t="s">
        <v>224</v>
      </c>
      <c r="F492" s="34" t="s">
        <v>225</v>
      </c>
      <c r="G492" s="34" t="s">
        <v>226</v>
      </c>
      <c r="H492" s="34" t="s">
        <v>227</v>
      </c>
      <c r="I492">
        <v>2</v>
      </c>
      <c r="J492">
        <v>0</v>
      </c>
      <c r="K492">
        <v>12</v>
      </c>
      <c r="L492">
        <v>-10</v>
      </c>
      <c r="M492">
        <v>0</v>
      </c>
      <c r="N492">
        <v>-10</v>
      </c>
      <c r="O492" s="28">
        <v>46282</v>
      </c>
      <c r="R492">
        <v>10</v>
      </c>
      <c r="S492">
        <v>5</v>
      </c>
      <c r="T492">
        <v>8</v>
      </c>
      <c r="U492">
        <v>30</v>
      </c>
      <c r="V492">
        <v>20260918005</v>
      </c>
    </row>
    <row r="493" spans="1:22" x14ac:dyDescent="0.2">
      <c r="A493" s="34" t="s">
        <v>122</v>
      </c>
      <c r="B493" s="28">
        <v>46283</v>
      </c>
      <c r="C493" s="34"/>
      <c r="D493" s="34" t="s">
        <v>343</v>
      </c>
      <c r="E493" s="34" t="s">
        <v>298</v>
      </c>
      <c r="F493" s="34" t="s">
        <v>299</v>
      </c>
      <c r="G493" s="34" t="s">
        <v>300</v>
      </c>
      <c r="H493" s="34" t="s">
        <v>301</v>
      </c>
      <c r="I493">
        <v>6</v>
      </c>
      <c r="J493">
        <v>0</v>
      </c>
      <c r="K493">
        <v>15</v>
      </c>
      <c r="L493">
        <v>-9</v>
      </c>
      <c r="M493">
        <v>1</v>
      </c>
      <c r="N493">
        <v>-10</v>
      </c>
      <c r="O493" s="28">
        <v>46282</v>
      </c>
      <c r="P493">
        <v>12.9</v>
      </c>
      <c r="Q493">
        <v>-129</v>
      </c>
      <c r="R493">
        <v>10</v>
      </c>
      <c r="S493">
        <v>6</v>
      </c>
      <c r="T493">
        <v>8</v>
      </c>
      <c r="U493">
        <v>49</v>
      </c>
      <c r="V493">
        <v>20260918006</v>
      </c>
    </row>
    <row r="494" spans="1:22" x14ac:dyDescent="0.2">
      <c r="A494" s="34" t="s">
        <v>122</v>
      </c>
      <c r="B494" s="28">
        <v>46283</v>
      </c>
      <c r="C494" s="34"/>
      <c r="D494" s="34" t="s">
        <v>343</v>
      </c>
      <c r="E494" s="34" t="s">
        <v>244</v>
      </c>
      <c r="F494" s="34" t="s">
        <v>245</v>
      </c>
      <c r="G494" s="34" t="s">
        <v>246</v>
      </c>
      <c r="H494" s="34" t="s">
        <v>247</v>
      </c>
      <c r="I494">
        <v>5</v>
      </c>
      <c r="J494">
        <v>0</v>
      </c>
      <c r="K494">
        <v>14</v>
      </c>
      <c r="L494">
        <v>-9</v>
      </c>
      <c r="M494">
        <v>0</v>
      </c>
      <c r="N494">
        <v>-9</v>
      </c>
      <c r="O494" s="28">
        <v>46282</v>
      </c>
      <c r="R494">
        <v>9</v>
      </c>
      <c r="S494">
        <v>7</v>
      </c>
      <c r="T494">
        <v>8</v>
      </c>
      <c r="U494">
        <v>35</v>
      </c>
      <c r="V494">
        <v>20260918007</v>
      </c>
    </row>
    <row r="495" spans="1:22" x14ac:dyDescent="0.2">
      <c r="A495" s="34" t="s">
        <v>122</v>
      </c>
      <c r="B495" s="28">
        <v>46283</v>
      </c>
      <c r="C495" s="34"/>
      <c r="D495" s="34" t="s">
        <v>343</v>
      </c>
      <c r="E495" s="34" t="s">
        <v>152</v>
      </c>
      <c r="F495" s="34" t="s">
        <v>153</v>
      </c>
      <c r="G495" s="34" t="s">
        <v>154</v>
      </c>
      <c r="H495" s="34" t="s">
        <v>155</v>
      </c>
      <c r="I495">
        <v>14</v>
      </c>
      <c r="J495">
        <v>0</v>
      </c>
      <c r="K495">
        <v>15</v>
      </c>
      <c r="L495">
        <v>-1</v>
      </c>
      <c r="M495">
        <v>6</v>
      </c>
      <c r="N495">
        <v>-7</v>
      </c>
      <c r="O495" s="28">
        <v>46282</v>
      </c>
      <c r="P495">
        <v>12.8</v>
      </c>
      <c r="Q495">
        <v>-89.6</v>
      </c>
      <c r="R495">
        <v>7</v>
      </c>
      <c r="S495">
        <v>8</v>
      </c>
      <c r="T495">
        <v>8</v>
      </c>
      <c r="U495">
        <v>8</v>
      </c>
      <c r="V495">
        <v>20260918008</v>
      </c>
    </row>
    <row r="496" spans="1:22" x14ac:dyDescent="0.2">
      <c r="A496" s="34" t="s">
        <v>122</v>
      </c>
      <c r="B496" s="28">
        <v>46283</v>
      </c>
      <c r="C496" s="34"/>
      <c r="D496" s="34" t="s">
        <v>343</v>
      </c>
      <c r="E496" s="34" t="s">
        <v>156</v>
      </c>
      <c r="F496" s="34" t="s">
        <v>157</v>
      </c>
      <c r="G496" s="34" t="s">
        <v>158</v>
      </c>
      <c r="H496" s="34" t="s">
        <v>159</v>
      </c>
      <c r="I496">
        <v>9</v>
      </c>
      <c r="J496">
        <v>0</v>
      </c>
      <c r="K496">
        <v>6</v>
      </c>
      <c r="L496">
        <v>3</v>
      </c>
      <c r="M496">
        <v>10</v>
      </c>
      <c r="N496">
        <v>-7</v>
      </c>
      <c r="O496" s="28">
        <v>46282</v>
      </c>
      <c r="P496">
        <v>18.2</v>
      </c>
      <c r="Q496">
        <v>-127.4</v>
      </c>
      <c r="R496">
        <v>7</v>
      </c>
      <c r="S496">
        <v>9</v>
      </c>
      <c r="T496">
        <v>8</v>
      </c>
      <c r="U496">
        <v>9</v>
      </c>
      <c r="V496">
        <v>20260918009</v>
      </c>
    </row>
    <row r="497" spans="1:22" x14ac:dyDescent="0.2">
      <c r="A497" s="34" t="s">
        <v>122</v>
      </c>
      <c r="B497" s="28">
        <v>46283</v>
      </c>
      <c r="C497" s="34"/>
      <c r="D497" s="34" t="s">
        <v>343</v>
      </c>
      <c r="E497" s="34" t="s">
        <v>216</v>
      </c>
      <c r="F497" s="34" t="s">
        <v>217</v>
      </c>
      <c r="G497" s="34" t="s">
        <v>218</v>
      </c>
      <c r="H497" s="34" t="s">
        <v>219</v>
      </c>
      <c r="I497">
        <v>3</v>
      </c>
      <c r="J497">
        <v>0</v>
      </c>
      <c r="K497">
        <v>6</v>
      </c>
      <c r="L497">
        <v>-3</v>
      </c>
      <c r="M497">
        <v>2</v>
      </c>
      <c r="N497">
        <v>-5</v>
      </c>
      <c r="O497" s="28">
        <v>46282</v>
      </c>
      <c r="P497">
        <v>12.7</v>
      </c>
      <c r="Q497">
        <v>-63.5</v>
      </c>
      <c r="R497">
        <v>5</v>
      </c>
      <c r="S497">
        <v>10</v>
      </c>
      <c r="T497">
        <v>8</v>
      </c>
      <c r="U497">
        <v>28</v>
      </c>
      <c r="V497">
        <v>20260918010</v>
      </c>
    </row>
    <row r="498" spans="1:22" x14ac:dyDescent="0.2">
      <c r="A498" s="34" t="s">
        <v>122</v>
      </c>
      <c r="B498" s="28">
        <v>46283</v>
      </c>
      <c r="C498" s="34"/>
      <c r="D498" s="34" t="s">
        <v>343</v>
      </c>
      <c r="E498" s="34" t="s">
        <v>220</v>
      </c>
      <c r="F498" s="34" t="s">
        <v>221</v>
      </c>
      <c r="G498" s="34" t="s">
        <v>222</v>
      </c>
      <c r="H498" s="34" t="s">
        <v>223</v>
      </c>
      <c r="I498">
        <v>6</v>
      </c>
      <c r="J498">
        <v>0</v>
      </c>
      <c r="K498">
        <v>10</v>
      </c>
      <c r="L498">
        <v>-4</v>
      </c>
      <c r="M498">
        <v>1</v>
      </c>
      <c r="N498">
        <v>-5</v>
      </c>
      <c r="O498" s="28">
        <v>46282</v>
      </c>
      <c r="P498">
        <v>17.899999999999999</v>
      </c>
      <c r="Q498">
        <v>-89.5</v>
      </c>
      <c r="R498">
        <v>5</v>
      </c>
      <c r="S498">
        <v>11</v>
      </c>
      <c r="T498">
        <v>8</v>
      </c>
      <c r="U498">
        <v>29</v>
      </c>
      <c r="V498">
        <v>20260918011</v>
      </c>
    </row>
    <row r="499" spans="1:22" x14ac:dyDescent="0.2">
      <c r="A499" s="34" t="s">
        <v>122</v>
      </c>
      <c r="B499" s="28">
        <v>46283</v>
      </c>
      <c r="C499" s="34"/>
      <c r="D499" s="34" t="s">
        <v>343</v>
      </c>
      <c r="E499" s="34" t="s">
        <v>228</v>
      </c>
      <c r="F499" s="34" t="s">
        <v>229</v>
      </c>
      <c r="G499" s="34" t="s">
        <v>230</v>
      </c>
      <c r="H499" s="34" t="s">
        <v>231</v>
      </c>
      <c r="I499">
        <v>12</v>
      </c>
      <c r="J499">
        <v>0</v>
      </c>
      <c r="K499">
        <v>14</v>
      </c>
      <c r="L499">
        <v>-2</v>
      </c>
      <c r="M499">
        <v>3</v>
      </c>
      <c r="N499">
        <v>-5</v>
      </c>
      <c r="O499" s="28">
        <v>46282</v>
      </c>
      <c r="P499">
        <v>17.8</v>
      </c>
      <c r="Q499">
        <v>-89</v>
      </c>
      <c r="R499">
        <v>5</v>
      </c>
      <c r="S499">
        <v>12</v>
      </c>
      <c r="T499">
        <v>8</v>
      </c>
      <c r="U499">
        <v>31</v>
      </c>
      <c r="V499">
        <v>20260918012</v>
      </c>
    </row>
    <row r="500" spans="1:22" x14ac:dyDescent="0.2">
      <c r="A500" s="34" t="s">
        <v>122</v>
      </c>
      <c r="B500" s="28">
        <v>46283</v>
      </c>
      <c r="C500" s="34"/>
      <c r="D500" s="34" t="s">
        <v>343</v>
      </c>
      <c r="E500" s="34" t="s">
        <v>248</v>
      </c>
      <c r="F500" s="34" t="s">
        <v>249</v>
      </c>
      <c r="G500" s="34" t="s">
        <v>250</v>
      </c>
      <c r="H500" s="34" t="s">
        <v>251</v>
      </c>
      <c r="I500">
        <v>4</v>
      </c>
      <c r="J500">
        <v>0</v>
      </c>
      <c r="K500">
        <v>9</v>
      </c>
      <c r="L500">
        <v>-5</v>
      </c>
      <c r="M500">
        <v>0</v>
      </c>
      <c r="N500">
        <v>-5</v>
      </c>
      <c r="O500" s="28">
        <v>46282</v>
      </c>
      <c r="R500">
        <v>5</v>
      </c>
      <c r="S500">
        <v>13</v>
      </c>
      <c r="T500">
        <v>8</v>
      </c>
      <c r="U500">
        <v>36</v>
      </c>
      <c r="V500">
        <v>20260918013</v>
      </c>
    </row>
    <row r="501" spans="1:22" x14ac:dyDescent="0.2">
      <c r="A501" s="34" t="s">
        <v>122</v>
      </c>
      <c r="B501" s="28">
        <v>46283</v>
      </c>
      <c r="C501" s="34"/>
      <c r="D501" s="34" t="s">
        <v>343</v>
      </c>
      <c r="E501" s="34" t="s">
        <v>294</v>
      </c>
      <c r="F501" s="34" t="s">
        <v>295</v>
      </c>
      <c r="G501" s="34" t="s">
        <v>296</v>
      </c>
      <c r="H501" s="34" t="s">
        <v>297</v>
      </c>
      <c r="I501">
        <v>21</v>
      </c>
      <c r="J501">
        <v>0</v>
      </c>
      <c r="K501">
        <v>12</v>
      </c>
      <c r="L501">
        <v>9</v>
      </c>
      <c r="M501">
        <v>4</v>
      </c>
      <c r="N501">
        <v>5</v>
      </c>
      <c r="O501" s="28">
        <v>46282</v>
      </c>
      <c r="P501">
        <v>12.9</v>
      </c>
      <c r="Q501">
        <v>64.5</v>
      </c>
      <c r="R501">
        <v>5</v>
      </c>
      <c r="S501">
        <v>14</v>
      </c>
      <c r="T501">
        <v>8</v>
      </c>
      <c r="U501">
        <v>48</v>
      </c>
      <c r="V501">
        <v>20260918014</v>
      </c>
    </row>
    <row r="502" spans="1:22" x14ac:dyDescent="0.2">
      <c r="A502" s="34" t="s">
        <v>122</v>
      </c>
      <c r="B502" s="28">
        <v>46283</v>
      </c>
      <c r="C502" s="34"/>
      <c r="D502" s="34" t="s">
        <v>343</v>
      </c>
      <c r="E502" s="34" t="s">
        <v>334</v>
      </c>
      <c r="F502" s="34" t="s">
        <v>335</v>
      </c>
      <c r="G502" s="34" t="s">
        <v>336</v>
      </c>
      <c r="H502" s="34" t="s">
        <v>337</v>
      </c>
      <c r="I502">
        <v>8</v>
      </c>
      <c r="J502">
        <v>0</v>
      </c>
      <c r="K502">
        <v>11</v>
      </c>
      <c r="L502">
        <v>-3</v>
      </c>
      <c r="M502">
        <v>2</v>
      </c>
      <c r="N502">
        <v>-5</v>
      </c>
      <c r="O502" s="28">
        <v>46282</v>
      </c>
      <c r="P502">
        <v>16.600000000000001</v>
      </c>
      <c r="Q502">
        <v>-83</v>
      </c>
      <c r="R502">
        <v>5</v>
      </c>
      <c r="S502">
        <v>15</v>
      </c>
      <c r="T502">
        <v>8</v>
      </c>
      <c r="U502">
        <v>75</v>
      </c>
      <c r="V502">
        <v>20260918015</v>
      </c>
    </row>
    <row r="503" spans="1:22" x14ac:dyDescent="0.2">
      <c r="A503" s="34" t="s">
        <v>122</v>
      </c>
      <c r="B503" s="28">
        <v>46283</v>
      </c>
      <c r="C503" s="34"/>
      <c r="D503" s="34" t="s">
        <v>343</v>
      </c>
      <c r="E503" s="34" t="s">
        <v>136</v>
      </c>
      <c r="F503" s="34" t="s">
        <v>137</v>
      </c>
      <c r="G503" s="34" t="s">
        <v>138</v>
      </c>
      <c r="H503" s="34" t="s">
        <v>139</v>
      </c>
      <c r="I503">
        <v>5</v>
      </c>
      <c r="J503">
        <v>0</v>
      </c>
      <c r="K503">
        <v>1</v>
      </c>
      <c r="L503">
        <v>4</v>
      </c>
      <c r="M503">
        <v>7</v>
      </c>
      <c r="N503">
        <v>-3</v>
      </c>
      <c r="O503" s="28">
        <v>46282</v>
      </c>
      <c r="P503">
        <v>12.8</v>
      </c>
      <c r="Q503">
        <v>-38.4</v>
      </c>
      <c r="R503">
        <v>3</v>
      </c>
      <c r="S503">
        <v>16</v>
      </c>
      <c r="T503">
        <v>8</v>
      </c>
      <c r="U503">
        <v>4</v>
      </c>
      <c r="V503">
        <v>20260918016</v>
      </c>
    </row>
    <row r="504" spans="1:22" x14ac:dyDescent="0.2">
      <c r="A504" s="34" t="s">
        <v>122</v>
      </c>
      <c r="B504" s="28">
        <v>46283</v>
      </c>
      <c r="C504" s="34"/>
      <c r="D504" s="34" t="s">
        <v>343</v>
      </c>
      <c r="E504" s="34" t="s">
        <v>208</v>
      </c>
      <c r="F504" s="34" t="s">
        <v>209</v>
      </c>
      <c r="G504" s="34" t="s">
        <v>210</v>
      </c>
      <c r="H504" s="34" t="s">
        <v>211</v>
      </c>
      <c r="I504">
        <v>8</v>
      </c>
      <c r="J504">
        <v>0</v>
      </c>
      <c r="K504">
        <v>4</v>
      </c>
      <c r="L504">
        <v>4</v>
      </c>
      <c r="M504">
        <v>1</v>
      </c>
      <c r="N504">
        <v>3</v>
      </c>
      <c r="O504" s="28">
        <v>46282</v>
      </c>
      <c r="P504">
        <v>12.7</v>
      </c>
      <c r="Q504">
        <v>38.1</v>
      </c>
      <c r="R504">
        <v>3</v>
      </c>
      <c r="S504">
        <v>17</v>
      </c>
      <c r="T504">
        <v>8</v>
      </c>
      <c r="U504">
        <v>26</v>
      </c>
      <c r="V504">
        <v>20260918017</v>
      </c>
    </row>
    <row r="505" spans="1:22" x14ac:dyDescent="0.2">
      <c r="A505" s="34" t="s">
        <v>122</v>
      </c>
      <c r="B505" s="28">
        <v>46283</v>
      </c>
      <c r="C505" s="34"/>
      <c r="D505" s="34" t="s">
        <v>343</v>
      </c>
      <c r="E505" s="34" t="s">
        <v>232</v>
      </c>
      <c r="F505" s="34" t="s">
        <v>233</v>
      </c>
      <c r="G505" s="34" t="s">
        <v>234</v>
      </c>
      <c r="H505" s="34" t="s">
        <v>235</v>
      </c>
      <c r="I505">
        <v>18</v>
      </c>
      <c r="J505">
        <v>0</v>
      </c>
      <c r="K505">
        <v>12</v>
      </c>
      <c r="L505">
        <v>6</v>
      </c>
      <c r="M505">
        <v>3</v>
      </c>
      <c r="N505">
        <v>3</v>
      </c>
      <c r="O505" s="28">
        <v>46282</v>
      </c>
      <c r="P505">
        <v>17.899999999999999</v>
      </c>
      <c r="Q505">
        <v>53.7</v>
      </c>
      <c r="R505">
        <v>3</v>
      </c>
      <c r="S505">
        <v>18</v>
      </c>
      <c r="T505">
        <v>8</v>
      </c>
      <c r="U505">
        <v>32</v>
      </c>
      <c r="V505">
        <v>20260918018</v>
      </c>
    </row>
    <row r="506" spans="1:22" x14ac:dyDescent="0.2">
      <c r="A506" s="34" t="s">
        <v>122</v>
      </c>
      <c r="B506" s="28">
        <v>46283</v>
      </c>
      <c r="C506" s="34"/>
      <c r="D506" s="34" t="s">
        <v>343</v>
      </c>
      <c r="E506" s="34" t="s">
        <v>264</v>
      </c>
      <c r="F506" s="34" t="s">
        <v>265</v>
      </c>
      <c r="G506" s="34" t="s">
        <v>266</v>
      </c>
      <c r="H506" s="34" t="s">
        <v>267</v>
      </c>
      <c r="I506">
        <v>8</v>
      </c>
      <c r="J506">
        <v>0</v>
      </c>
      <c r="K506">
        <v>10</v>
      </c>
      <c r="L506">
        <v>-2</v>
      </c>
      <c r="M506">
        <v>1</v>
      </c>
      <c r="N506">
        <v>-3</v>
      </c>
      <c r="O506" s="28">
        <v>46282</v>
      </c>
      <c r="P506">
        <v>18.399999999999999</v>
      </c>
      <c r="Q506">
        <v>-55.2</v>
      </c>
      <c r="R506">
        <v>3</v>
      </c>
      <c r="S506">
        <v>19</v>
      </c>
      <c r="T506">
        <v>8</v>
      </c>
      <c r="U506">
        <v>40</v>
      </c>
      <c r="V506">
        <v>20260918019</v>
      </c>
    </row>
    <row r="507" spans="1:22" x14ac:dyDescent="0.2">
      <c r="A507" s="34" t="s">
        <v>122</v>
      </c>
      <c r="B507" s="28">
        <v>46283</v>
      </c>
      <c r="C507" s="34"/>
      <c r="D507" s="34" t="s">
        <v>343</v>
      </c>
      <c r="E507" s="34" t="s">
        <v>176</v>
      </c>
      <c r="F507" s="34" t="s">
        <v>177</v>
      </c>
      <c r="G507" s="34" t="s">
        <v>178</v>
      </c>
      <c r="H507" s="34" t="s">
        <v>179</v>
      </c>
      <c r="I507">
        <v>26</v>
      </c>
      <c r="J507">
        <v>0</v>
      </c>
      <c r="K507">
        <v>14</v>
      </c>
      <c r="L507">
        <v>12</v>
      </c>
      <c r="M507">
        <v>13</v>
      </c>
      <c r="N507">
        <v>-1</v>
      </c>
      <c r="O507" s="28">
        <v>46282</v>
      </c>
      <c r="P507">
        <v>18.2</v>
      </c>
      <c r="Q507">
        <v>-18.2</v>
      </c>
      <c r="R507">
        <v>1</v>
      </c>
      <c r="S507">
        <v>20</v>
      </c>
      <c r="T507">
        <v>8</v>
      </c>
      <c r="U507">
        <v>14</v>
      </c>
      <c r="V507">
        <v>20260918020</v>
      </c>
    </row>
    <row r="508" spans="1:22" x14ac:dyDescent="0.2">
      <c r="A508" s="34" t="s">
        <v>122</v>
      </c>
      <c r="B508" s="28">
        <v>46283</v>
      </c>
      <c r="C508" s="34"/>
      <c r="D508" s="34" t="s">
        <v>343</v>
      </c>
      <c r="E508" s="34" t="s">
        <v>196</v>
      </c>
      <c r="F508" s="34" t="s">
        <v>197</v>
      </c>
      <c r="G508" s="34" t="s">
        <v>198</v>
      </c>
      <c r="H508" s="34" t="s">
        <v>199</v>
      </c>
      <c r="I508">
        <v>12</v>
      </c>
      <c r="J508">
        <v>0</v>
      </c>
      <c r="K508">
        <v>12</v>
      </c>
      <c r="L508">
        <v>0</v>
      </c>
      <c r="M508">
        <v>1</v>
      </c>
      <c r="N508">
        <v>-1</v>
      </c>
      <c r="O508" s="28">
        <v>46282</v>
      </c>
      <c r="P508">
        <v>12.7</v>
      </c>
      <c r="Q508">
        <v>-12.7</v>
      </c>
      <c r="R508">
        <v>1</v>
      </c>
      <c r="S508">
        <v>21</v>
      </c>
      <c r="T508">
        <v>8</v>
      </c>
      <c r="U508">
        <v>23</v>
      </c>
      <c r="V508">
        <v>20260918021</v>
      </c>
    </row>
    <row r="509" spans="1:22" x14ac:dyDescent="0.2">
      <c r="A509" s="34" t="s">
        <v>122</v>
      </c>
      <c r="B509" s="28">
        <v>46283</v>
      </c>
      <c r="C509" s="34"/>
      <c r="D509" s="34" t="s">
        <v>343</v>
      </c>
      <c r="E509" s="34" t="s">
        <v>252</v>
      </c>
      <c r="F509" s="34" t="s">
        <v>253</v>
      </c>
      <c r="G509" s="34" t="s">
        <v>254</v>
      </c>
      <c r="H509" s="34" t="s">
        <v>255</v>
      </c>
      <c r="I509">
        <v>15</v>
      </c>
      <c r="J509">
        <v>0</v>
      </c>
      <c r="K509">
        <v>4</v>
      </c>
      <c r="L509">
        <v>11</v>
      </c>
      <c r="M509">
        <v>12</v>
      </c>
      <c r="N509">
        <v>-1</v>
      </c>
      <c r="O509" s="28">
        <v>46282</v>
      </c>
      <c r="P509">
        <v>18.399999999999999</v>
      </c>
      <c r="Q509">
        <v>-18.399999999999999</v>
      </c>
      <c r="R509">
        <v>1</v>
      </c>
      <c r="S509">
        <v>22</v>
      </c>
      <c r="T509">
        <v>8</v>
      </c>
      <c r="U509">
        <v>37</v>
      </c>
      <c r="V509">
        <v>20260918022</v>
      </c>
    </row>
    <row r="510" spans="1:22" x14ac:dyDescent="0.2">
      <c r="A510" s="34" t="s">
        <v>122</v>
      </c>
      <c r="B510" s="28">
        <v>46283</v>
      </c>
      <c r="C510" s="34"/>
      <c r="D510" s="34" t="s">
        <v>343</v>
      </c>
      <c r="E510" s="34" t="s">
        <v>326</v>
      </c>
      <c r="F510" s="34" t="s">
        <v>327</v>
      </c>
      <c r="G510" s="34" t="s">
        <v>328</v>
      </c>
      <c r="H510" s="34" t="s">
        <v>329</v>
      </c>
      <c r="I510">
        <v>15</v>
      </c>
      <c r="J510">
        <v>0</v>
      </c>
      <c r="K510">
        <v>11</v>
      </c>
      <c r="L510">
        <v>4</v>
      </c>
      <c r="M510">
        <v>3</v>
      </c>
      <c r="N510">
        <v>1</v>
      </c>
      <c r="O510" s="28">
        <v>46282</v>
      </c>
      <c r="P510">
        <v>16.600000000000001</v>
      </c>
      <c r="Q510">
        <v>16.600000000000001</v>
      </c>
      <c r="R510">
        <v>1</v>
      </c>
      <c r="S510">
        <v>23</v>
      </c>
      <c r="T510">
        <v>8</v>
      </c>
      <c r="U510">
        <v>73</v>
      </c>
      <c r="V510">
        <v>20260918023</v>
      </c>
    </row>
    <row r="511" spans="1:22" x14ac:dyDescent="0.2">
      <c r="A511" s="34" t="s">
        <v>122</v>
      </c>
      <c r="B511" s="28">
        <v>46283</v>
      </c>
      <c r="C511" s="34"/>
      <c r="D511" s="34" t="s">
        <v>343</v>
      </c>
      <c r="E511" s="34" t="s">
        <v>124</v>
      </c>
      <c r="F511" s="34" t="s">
        <v>125</v>
      </c>
      <c r="G511" s="34" t="s">
        <v>126</v>
      </c>
      <c r="H511" s="34" t="s">
        <v>127</v>
      </c>
      <c r="I511">
        <v>10</v>
      </c>
      <c r="J511">
        <v>0</v>
      </c>
      <c r="K511">
        <v>8</v>
      </c>
      <c r="L511">
        <v>2</v>
      </c>
      <c r="M511">
        <v>2</v>
      </c>
      <c r="N511">
        <v>0</v>
      </c>
      <c r="O511" s="28">
        <v>46282</v>
      </c>
      <c r="P511">
        <v>18.399999999999999</v>
      </c>
      <c r="Q511">
        <v>0</v>
      </c>
      <c r="R511">
        <v>0</v>
      </c>
      <c r="S511">
        <v>24</v>
      </c>
      <c r="T511">
        <v>8</v>
      </c>
      <c r="U511">
        <v>1</v>
      </c>
      <c r="V511">
        <v>20260918024</v>
      </c>
    </row>
    <row r="512" spans="1:22" x14ac:dyDescent="0.2">
      <c r="A512" s="34" t="s">
        <v>122</v>
      </c>
      <c r="B512" s="28">
        <v>46283</v>
      </c>
      <c r="C512" s="34"/>
      <c r="D512" s="34" t="s">
        <v>343</v>
      </c>
      <c r="E512" s="34" t="s">
        <v>128</v>
      </c>
      <c r="F512" s="34" t="s">
        <v>129</v>
      </c>
      <c r="G512" s="34" t="s">
        <v>130</v>
      </c>
      <c r="H512" s="34" t="s">
        <v>131</v>
      </c>
      <c r="I512">
        <v>5</v>
      </c>
      <c r="J512">
        <v>0</v>
      </c>
      <c r="K512">
        <v>5</v>
      </c>
      <c r="L512">
        <v>0</v>
      </c>
      <c r="M512">
        <v>0</v>
      </c>
      <c r="N512">
        <v>0</v>
      </c>
      <c r="O512" s="28">
        <v>46282</v>
      </c>
      <c r="R512">
        <v>0</v>
      </c>
      <c r="S512">
        <v>25</v>
      </c>
      <c r="T512">
        <v>8</v>
      </c>
      <c r="U512">
        <v>2</v>
      </c>
      <c r="V512">
        <v>20260918025</v>
      </c>
    </row>
    <row r="513" spans="1:22" x14ac:dyDescent="0.2">
      <c r="A513" s="34" t="s">
        <v>122</v>
      </c>
      <c r="B513" s="28">
        <v>46283</v>
      </c>
      <c r="C513" s="34"/>
      <c r="D513" s="34" t="s">
        <v>343</v>
      </c>
      <c r="E513" s="34" t="s">
        <v>132</v>
      </c>
      <c r="F513" s="34" t="s">
        <v>133</v>
      </c>
      <c r="G513" s="34" t="s">
        <v>134</v>
      </c>
      <c r="H513" s="34" t="s">
        <v>135</v>
      </c>
      <c r="I513">
        <v>4</v>
      </c>
      <c r="J513">
        <v>0</v>
      </c>
      <c r="K513">
        <v>4</v>
      </c>
      <c r="L513">
        <v>0</v>
      </c>
      <c r="M513">
        <v>0</v>
      </c>
      <c r="N513">
        <v>0</v>
      </c>
      <c r="O513" s="28">
        <v>46282</v>
      </c>
      <c r="R513">
        <v>0</v>
      </c>
      <c r="S513">
        <v>26</v>
      </c>
      <c r="T513">
        <v>8</v>
      </c>
      <c r="U513">
        <v>3</v>
      </c>
      <c r="V513">
        <v>20260918026</v>
      </c>
    </row>
    <row r="514" spans="1:22" x14ac:dyDescent="0.2">
      <c r="A514" s="34" t="s">
        <v>122</v>
      </c>
      <c r="B514" s="28">
        <v>46283</v>
      </c>
      <c r="C514" s="34"/>
      <c r="D514" s="34" t="s">
        <v>343</v>
      </c>
      <c r="E514" s="34" t="s">
        <v>140</v>
      </c>
      <c r="F514" s="34" t="s">
        <v>141</v>
      </c>
      <c r="G514" s="34" t="s">
        <v>142</v>
      </c>
      <c r="H514" s="34" t="s">
        <v>143</v>
      </c>
      <c r="I514">
        <v>5</v>
      </c>
      <c r="J514">
        <v>0</v>
      </c>
      <c r="K514">
        <v>5</v>
      </c>
      <c r="L514">
        <v>0</v>
      </c>
      <c r="M514">
        <v>0</v>
      </c>
      <c r="N514">
        <v>0</v>
      </c>
      <c r="O514" s="28">
        <v>46282</v>
      </c>
      <c r="R514">
        <v>0</v>
      </c>
      <c r="S514">
        <v>27</v>
      </c>
      <c r="T514">
        <v>8</v>
      </c>
      <c r="U514">
        <v>5</v>
      </c>
      <c r="V514">
        <v>20260918027</v>
      </c>
    </row>
    <row r="515" spans="1:22" x14ac:dyDescent="0.2">
      <c r="A515" s="34" t="s">
        <v>122</v>
      </c>
      <c r="B515" s="28">
        <v>46283</v>
      </c>
      <c r="C515" s="34"/>
      <c r="D515" s="34" t="s">
        <v>343</v>
      </c>
      <c r="E515" s="34" t="s">
        <v>148</v>
      </c>
      <c r="F515" s="34" t="s">
        <v>149</v>
      </c>
      <c r="G515" s="34" t="s">
        <v>150</v>
      </c>
      <c r="H515" s="34" t="s">
        <v>151</v>
      </c>
      <c r="I515">
        <v>5</v>
      </c>
      <c r="J515">
        <v>0</v>
      </c>
      <c r="K515">
        <v>4</v>
      </c>
      <c r="L515">
        <v>1</v>
      </c>
      <c r="M515">
        <v>1</v>
      </c>
      <c r="N515">
        <v>0</v>
      </c>
      <c r="O515" s="28">
        <v>46282</v>
      </c>
      <c r="P515">
        <v>12.8</v>
      </c>
      <c r="Q515">
        <v>0</v>
      </c>
      <c r="R515">
        <v>0</v>
      </c>
      <c r="S515">
        <v>28</v>
      </c>
      <c r="T515">
        <v>8</v>
      </c>
      <c r="U515">
        <v>7</v>
      </c>
      <c r="V515">
        <v>20260918028</v>
      </c>
    </row>
    <row r="516" spans="1:22" x14ac:dyDescent="0.2">
      <c r="A516" s="34" t="s">
        <v>122</v>
      </c>
      <c r="B516" s="28">
        <v>46283</v>
      </c>
      <c r="C516" s="34"/>
      <c r="D516" s="34" t="s">
        <v>343</v>
      </c>
      <c r="E516" s="34" t="s">
        <v>160</v>
      </c>
      <c r="F516" s="34" t="s">
        <v>161</v>
      </c>
      <c r="G516" s="34" t="s">
        <v>162</v>
      </c>
      <c r="H516" s="34" t="s">
        <v>163</v>
      </c>
      <c r="I516">
        <v>5</v>
      </c>
      <c r="J516">
        <v>0</v>
      </c>
      <c r="K516">
        <v>5</v>
      </c>
      <c r="L516">
        <v>0</v>
      </c>
      <c r="M516">
        <v>0</v>
      </c>
      <c r="N516">
        <v>0</v>
      </c>
      <c r="O516" s="28">
        <v>46282</v>
      </c>
      <c r="R516">
        <v>0</v>
      </c>
      <c r="S516">
        <v>29</v>
      </c>
      <c r="T516">
        <v>8</v>
      </c>
      <c r="U516">
        <v>10</v>
      </c>
      <c r="V516">
        <v>20260918029</v>
      </c>
    </row>
    <row r="517" spans="1:22" x14ac:dyDescent="0.2">
      <c r="A517" s="34" t="s">
        <v>122</v>
      </c>
      <c r="B517" s="28">
        <v>46283</v>
      </c>
      <c r="C517" s="34"/>
      <c r="D517" s="34" t="s">
        <v>343</v>
      </c>
      <c r="E517" s="34" t="s">
        <v>168</v>
      </c>
      <c r="F517" s="34" t="s">
        <v>169</v>
      </c>
      <c r="G517" s="34" t="s">
        <v>170</v>
      </c>
      <c r="H517" s="34" t="s">
        <v>171</v>
      </c>
      <c r="I517">
        <v>13</v>
      </c>
      <c r="J517">
        <v>0</v>
      </c>
      <c r="K517">
        <v>12</v>
      </c>
      <c r="L517">
        <v>1</v>
      </c>
      <c r="M517">
        <v>1</v>
      </c>
      <c r="N517">
        <v>0</v>
      </c>
      <c r="O517" s="28">
        <v>46282</v>
      </c>
      <c r="P517">
        <v>18.2</v>
      </c>
      <c r="Q517">
        <v>0</v>
      </c>
      <c r="R517">
        <v>0</v>
      </c>
      <c r="S517">
        <v>30</v>
      </c>
      <c r="T517">
        <v>8</v>
      </c>
      <c r="U517">
        <v>12</v>
      </c>
      <c r="V517">
        <v>20260918030</v>
      </c>
    </row>
    <row r="518" spans="1:22" x14ac:dyDescent="0.2">
      <c r="A518" s="34" t="s">
        <v>122</v>
      </c>
      <c r="B518" s="28">
        <v>46283</v>
      </c>
      <c r="C518" s="34"/>
      <c r="D518" s="34" t="s">
        <v>343</v>
      </c>
      <c r="E518" s="34" t="s">
        <v>172</v>
      </c>
      <c r="F518" s="34" t="s">
        <v>173</v>
      </c>
      <c r="G518" s="34" t="s">
        <v>174</v>
      </c>
      <c r="H518" s="34" t="s">
        <v>175</v>
      </c>
      <c r="I518">
        <v>15</v>
      </c>
      <c r="J518">
        <v>0</v>
      </c>
      <c r="K518">
        <v>14</v>
      </c>
      <c r="L518">
        <v>1</v>
      </c>
      <c r="M518">
        <v>1</v>
      </c>
      <c r="N518">
        <v>0</v>
      </c>
      <c r="O518" s="28">
        <v>46282</v>
      </c>
      <c r="R518">
        <v>0</v>
      </c>
      <c r="S518">
        <v>31</v>
      </c>
      <c r="T518">
        <v>8</v>
      </c>
      <c r="U518">
        <v>13</v>
      </c>
      <c r="V518">
        <v>20260918031</v>
      </c>
    </row>
    <row r="519" spans="1:22" x14ac:dyDescent="0.2">
      <c r="A519" s="34" t="s">
        <v>122</v>
      </c>
      <c r="B519" s="28">
        <v>46283</v>
      </c>
      <c r="C519" s="34"/>
      <c r="D519" s="34" t="s">
        <v>343</v>
      </c>
      <c r="E519" s="34" t="s">
        <v>180</v>
      </c>
      <c r="F519" s="34" t="s">
        <v>181</v>
      </c>
      <c r="G519" s="34" t="s">
        <v>182</v>
      </c>
      <c r="H519" s="34" t="s">
        <v>183</v>
      </c>
      <c r="I519">
        <v>9</v>
      </c>
      <c r="J519">
        <v>0</v>
      </c>
      <c r="K519">
        <v>9</v>
      </c>
      <c r="L519">
        <v>0</v>
      </c>
      <c r="M519">
        <v>0</v>
      </c>
      <c r="N519">
        <v>0</v>
      </c>
      <c r="O519" s="28">
        <v>46282</v>
      </c>
      <c r="R519">
        <v>0</v>
      </c>
      <c r="S519">
        <v>32</v>
      </c>
      <c r="T519">
        <v>8</v>
      </c>
      <c r="U519">
        <v>15</v>
      </c>
      <c r="V519">
        <v>20260918032</v>
      </c>
    </row>
    <row r="520" spans="1:22" x14ac:dyDescent="0.2">
      <c r="A520" s="34" t="s">
        <v>122</v>
      </c>
      <c r="B520" s="28">
        <v>46283</v>
      </c>
      <c r="C520" s="34"/>
      <c r="D520" s="34" t="s">
        <v>343</v>
      </c>
      <c r="E520" s="34" t="s">
        <v>184</v>
      </c>
      <c r="F520" s="34" t="s">
        <v>185</v>
      </c>
      <c r="G520" s="34" t="s">
        <v>186</v>
      </c>
      <c r="H520" s="34" t="s">
        <v>187</v>
      </c>
      <c r="I520">
        <v>13</v>
      </c>
      <c r="J520">
        <v>0</v>
      </c>
      <c r="K520">
        <v>13</v>
      </c>
      <c r="L520">
        <v>0</v>
      </c>
      <c r="M520">
        <v>0</v>
      </c>
      <c r="N520">
        <v>0</v>
      </c>
      <c r="O520" s="28">
        <v>46282</v>
      </c>
      <c r="R520">
        <v>0</v>
      </c>
      <c r="S520">
        <v>33</v>
      </c>
      <c r="T520">
        <v>8</v>
      </c>
      <c r="U520">
        <v>16</v>
      </c>
      <c r="V520">
        <v>20260918033</v>
      </c>
    </row>
    <row r="521" spans="1:22" x14ac:dyDescent="0.2">
      <c r="A521" s="34" t="s">
        <v>122</v>
      </c>
      <c r="B521" s="28">
        <v>46283</v>
      </c>
      <c r="C521" s="34"/>
      <c r="D521" s="34" t="s">
        <v>343</v>
      </c>
      <c r="E521" s="34" t="s">
        <v>188</v>
      </c>
      <c r="F521" s="34" t="s">
        <v>189</v>
      </c>
      <c r="G521" s="34" t="s">
        <v>190</v>
      </c>
      <c r="H521" s="34" t="s">
        <v>191</v>
      </c>
      <c r="I521">
        <v>4</v>
      </c>
      <c r="J521">
        <v>0</v>
      </c>
      <c r="K521">
        <v>4</v>
      </c>
      <c r="L521">
        <v>0</v>
      </c>
      <c r="M521">
        <v>0</v>
      </c>
      <c r="N521">
        <v>0</v>
      </c>
      <c r="O521" s="28">
        <v>46282</v>
      </c>
      <c r="R521">
        <v>0</v>
      </c>
      <c r="S521">
        <v>34</v>
      </c>
      <c r="T521">
        <v>8</v>
      </c>
      <c r="U521">
        <v>21</v>
      </c>
      <c r="V521">
        <v>20260918034</v>
      </c>
    </row>
    <row r="522" spans="1:22" x14ac:dyDescent="0.2">
      <c r="A522" s="34" t="s">
        <v>122</v>
      </c>
      <c r="B522" s="28">
        <v>46283</v>
      </c>
      <c r="C522" s="34"/>
      <c r="D522" s="34" t="s">
        <v>343</v>
      </c>
      <c r="E522" s="34" t="s">
        <v>192</v>
      </c>
      <c r="F522" s="34" t="s">
        <v>193</v>
      </c>
      <c r="G522" s="34" t="s">
        <v>194</v>
      </c>
      <c r="H522" s="34" t="s">
        <v>195</v>
      </c>
      <c r="I522">
        <v>4</v>
      </c>
      <c r="J522">
        <v>0</v>
      </c>
      <c r="K522">
        <v>4</v>
      </c>
      <c r="L522">
        <v>0</v>
      </c>
      <c r="M522">
        <v>0</v>
      </c>
      <c r="N522">
        <v>0</v>
      </c>
      <c r="O522" s="28">
        <v>46282</v>
      </c>
      <c r="R522">
        <v>0</v>
      </c>
      <c r="S522">
        <v>35</v>
      </c>
      <c r="T522">
        <v>8</v>
      </c>
      <c r="U522">
        <v>22</v>
      </c>
      <c r="V522">
        <v>20260918035</v>
      </c>
    </row>
    <row r="523" spans="1:22" x14ac:dyDescent="0.2">
      <c r="A523" s="34" t="s">
        <v>122</v>
      </c>
      <c r="B523" s="28">
        <v>46283</v>
      </c>
      <c r="C523" s="34"/>
      <c r="D523" s="34" t="s">
        <v>343</v>
      </c>
      <c r="E523" s="34" t="s">
        <v>212</v>
      </c>
      <c r="F523" s="34" t="s">
        <v>213</v>
      </c>
      <c r="G523" s="34" t="s">
        <v>214</v>
      </c>
      <c r="H523" s="34" t="s">
        <v>215</v>
      </c>
      <c r="I523">
        <v>10</v>
      </c>
      <c r="J523">
        <v>0</v>
      </c>
      <c r="K523">
        <v>5</v>
      </c>
      <c r="L523">
        <v>5</v>
      </c>
      <c r="M523">
        <v>5</v>
      </c>
      <c r="N523">
        <v>0</v>
      </c>
      <c r="O523" s="28">
        <v>46282</v>
      </c>
      <c r="P523">
        <v>12.7</v>
      </c>
      <c r="Q523">
        <v>0</v>
      </c>
      <c r="R523">
        <v>0</v>
      </c>
      <c r="S523">
        <v>36</v>
      </c>
      <c r="T523">
        <v>8</v>
      </c>
      <c r="U523">
        <v>27</v>
      </c>
      <c r="V523">
        <v>20260918036</v>
      </c>
    </row>
    <row r="524" spans="1:22" x14ac:dyDescent="0.2">
      <c r="A524" s="34" t="s">
        <v>122</v>
      </c>
      <c r="B524" s="28">
        <v>46283</v>
      </c>
      <c r="C524" s="34"/>
      <c r="D524" s="34" t="s">
        <v>343</v>
      </c>
      <c r="E524" s="34" t="s">
        <v>236</v>
      </c>
      <c r="F524" s="34" t="s">
        <v>237</v>
      </c>
      <c r="G524" s="34" t="s">
        <v>238</v>
      </c>
      <c r="H524" s="34" t="s">
        <v>239</v>
      </c>
      <c r="I524">
        <v>5</v>
      </c>
      <c r="J524">
        <v>0</v>
      </c>
      <c r="K524">
        <v>3</v>
      </c>
      <c r="L524">
        <v>2</v>
      </c>
      <c r="M524">
        <v>2</v>
      </c>
      <c r="N524">
        <v>0</v>
      </c>
      <c r="O524" s="28">
        <v>46282</v>
      </c>
      <c r="P524">
        <v>17.899999999999999</v>
      </c>
      <c r="Q524">
        <v>0</v>
      </c>
      <c r="R524">
        <v>0</v>
      </c>
      <c r="S524">
        <v>37</v>
      </c>
      <c r="T524">
        <v>8</v>
      </c>
      <c r="U524">
        <v>33</v>
      </c>
      <c r="V524">
        <v>20260918037</v>
      </c>
    </row>
    <row r="525" spans="1:22" x14ac:dyDescent="0.2">
      <c r="A525" s="34" t="s">
        <v>122</v>
      </c>
      <c r="B525" s="28">
        <v>46283</v>
      </c>
      <c r="C525" s="34"/>
      <c r="D525" s="34" t="s">
        <v>343</v>
      </c>
      <c r="E525" s="34" t="s">
        <v>240</v>
      </c>
      <c r="F525" s="34" t="s">
        <v>241</v>
      </c>
      <c r="G525" s="34" t="s">
        <v>242</v>
      </c>
      <c r="H525" s="34" t="s">
        <v>243</v>
      </c>
      <c r="I525">
        <v>17</v>
      </c>
      <c r="J525">
        <v>0</v>
      </c>
      <c r="K525">
        <v>14</v>
      </c>
      <c r="L525">
        <v>3</v>
      </c>
      <c r="M525">
        <v>3</v>
      </c>
      <c r="N525">
        <v>0</v>
      </c>
      <c r="O525" s="28">
        <v>46282</v>
      </c>
      <c r="P525">
        <v>17.899999999999999</v>
      </c>
      <c r="Q525">
        <v>0</v>
      </c>
      <c r="R525">
        <v>0</v>
      </c>
      <c r="S525">
        <v>38</v>
      </c>
      <c r="T525">
        <v>8</v>
      </c>
      <c r="U525">
        <v>34</v>
      </c>
      <c r="V525">
        <v>20260918038</v>
      </c>
    </row>
    <row r="526" spans="1:22" x14ac:dyDescent="0.2">
      <c r="A526" s="34" t="s">
        <v>122</v>
      </c>
      <c r="B526" s="28">
        <v>46283</v>
      </c>
      <c r="C526" s="34"/>
      <c r="D526" s="34" t="s">
        <v>343</v>
      </c>
      <c r="E526" s="34" t="s">
        <v>256</v>
      </c>
      <c r="F526" s="34" t="s">
        <v>257</v>
      </c>
      <c r="G526" s="34" t="s">
        <v>258</v>
      </c>
      <c r="H526" s="34" t="s">
        <v>259</v>
      </c>
      <c r="I526">
        <v>4</v>
      </c>
      <c r="J526">
        <v>0</v>
      </c>
      <c r="K526">
        <v>4</v>
      </c>
      <c r="L526">
        <v>0</v>
      </c>
      <c r="M526">
        <v>0</v>
      </c>
      <c r="N526">
        <v>0</v>
      </c>
      <c r="O526" s="28">
        <v>46282</v>
      </c>
      <c r="R526">
        <v>0</v>
      </c>
      <c r="S526">
        <v>39</v>
      </c>
      <c r="T526">
        <v>8</v>
      </c>
      <c r="U526">
        <v>38</v>
      </c>
      <c r="V526">
        <v>20260918039</v>
      </c>
    </row>
    <row r="527" spans="1:22" x14ac:dyDescent="0.2">
      <c r="A527" s="34" t="s">
        <v>122</v>
      </c>
      <c r="B527" s="28">
        <v>46283</v>
      </c>
      <c r="C527" s="34"/>
      <c r="D527" s="34" t="s">
        <v>343</v>
      </c>
      <c r="E527" s="34" t="s">
        <v>260</v>
      </c>
      <c r="F527" s="34" t="s">
        <v>261</v>
      </c>
      <c r="G527" s="34" t="s">
        <v>262</v>
      </c>
      <c r="H527" s="34" t="s">
        <v>263</v>
      </c>
      <c r="I527">
        <v>4</v>
      </c>
      <c r="J527">
        <v>0</v>
      </c>
      <c r="K527">
        <v>4</v>
      </c>
      <c r="L527">
        <v>0</v>
      </c>
      <c r="M527">
        <v>0</v>
      </c>
      <c r="N527">
        <v>0</v>
      </c>
      <c r="O527" s="28">
        <v>46282</v>
      </c>
      <c r="R527">
        <v>0</v>
      </c>
      <c r="S527">
        <v>40</v>
      </c>
      <c r="T527">
        <v>8</v>
      </c>
      <c r="U527">
        <v>39</v>
      </c>
      <c r="V527">
        <v>20260918040</v>
      </c>
    </row>
    <row r="528" spans="1:22" x14ac:dyDescent="0.2">
      <c r="A528" s="34" t="s">
        <v>122</v>
      </c>
      <c r="B528" s="28">
        <v>46283</v>
      </c>
      <c r="C528" s="34"/>
      <c r="D528" s="34" t="s">
        <v>343</v>
      </c>
      <c r="E528" s="34" t="s">
        <v>268</v>
      </c>
      <c r="F528" s="34" t="s">
        <v>269</v>
      </c>
      <c r="G528" s="34" t="s">
        <v>270</v>
      </c>
      <c r="H528" s="34" t="s">
        <v>271</v>
      </c>
      <c r="I528">
        <v>3</v>
      </c>
      <c r="J528">
        <v>0</v>
      </c>
      <c r="K528">
        <v>3</v>
      </c>
      <c r="L528">
        <v>0</v>
      </c>
      <c r="M528">
        <v>0</v>
      </c>
      <c r="N528">
        <v>0</v>
      </c>
      <c r="O528" s="28">
        <v>46282</v>
      </c>
      <c r="R528">
        <v>0</v>
      </c>
      <c r="S528">
        <v>41</v>
      </c>
      <c r="T528">
        <v>8</v>
      </c>
      <c r="U528">
        <v>41</v>
      </c>
      <c r="V528">
        <v>20260918041</v>
      </c>
    </row>
    <row r="529" spans="1:22" x14ac:dyDescent="0.2">
      <c r="A529" s="34" t="s">
        <v>122</v>
      </c>
      <c r="B529" s="28">
        <v>46283</v>
      </c>
      <c r="C529" s="34"/>
      <c r="D529" s="34" t="s">
        <v>343</v>
      </c>
      <c r="E529" s="34" t="s">
        <v>272</v>
      </c>
      <c r="F529" s="34" t="s">
        <v>341</v>
      </c>
      <c r="G529" s="34" t="s">
        <v>273</v>
      </c>
      <c r="H529" s="34" t="s">
        <v>274</v>
      </c>
      <c r="I529">
        <v>10</v>
      </c>
      <c r="J529">
        <v>0</v>
      </c>
      <c r="K529">
        <v>3</v>
      </c>
      <c r="L529">
        <v>7</v>
      </c>
      <c r="M529">
        <v>7</v>
      </c>
      <c r="N529">
        <v>0</v>
      </c>
      <c r="O529" s="28">
        <v>46282</v>
      </c>
      <c r="P529">
        <v>18.399999999999999</v>
      </c>
      <c r="Q529">
        <v>0</v>
      </c>
      <c r="R529">
        <v>0</v>
      </c>
      <c r="S529">
        <v>42</v>
      </c>
      <c r="T529">
        <v>8</v>
      </c>
      <c r="U529">
        <v>42</v>
      </c>
      <c r="V529">
        <v>20260918042</v>
      </c>
    </row>
    <row r="530" spans="1:22" x14ac:dyDescent="0.2">
      <c r="A530" s="34" t="s">
        <v>122</v>
      </c>
      <c r="B530" s="28">
        <v>46283</v>
      </c>
      <c r="C530" s="34"/>
      <c r="D530" s="34" t="s">
        <v>343</v>
      </c>
      <c r="E530" s="34" t="s">
        <v>275</v>
      </c>
      <c r="F530" s="34" t="s">
        <v>276</v>
      </c>
      <c r="G530" s="34" t="s">
        <v>277</v>
      </c>
      <c r="H530" s="34" t="s">
        <v>278</v>
      </c>
      <c r="I530">
        <v>5</v>
      </c>
      <c r="J530">
        <v>0</v>
      </c>
      <c r="K530">
        <v>5</v>
      </c>
      <c r="L530">
        <v>0</v>
      </c>
      <c r="M530">
        <v>0</v>
      </c>
      <c r="N530">
        <v>0</v>
      </c>
      <c r="O530" s="28">
        <v>46282</v>
      </c>
      <c r="R530">
        <v>0</v>
      </c>
      <c r="S530">
        <v>43</v>
      </c>
      <c r="T530">
        <v>8</v>
      </c>
      <c r="U530">
        <v>43</v>
      </c>
      <c r="V530">
        <v>20260918043</v>
      </c>
    </row>
    <row r="531" spans="1:22" x14ac:dyDescent="0.2">
      <c r="A531" s="34" t="s">
        <v>122</v>
      </c>
      <c r="B531" s="28">
        <v>46283</v>
      </c>
      <c r="C531" s="34"/>
      <c r="D531" s="34" t="s">
        <v>343</v>
      </c>
      <c r="E531" s="34" t="s">
        <v>279</v>
      </c>
      <c r="F531" s="34" t="s">
        <v>280</v>
      </c>
      <c r="G531" s="34" t="s">
        <v>281</v>
      </c>
      <c r="H531" s="34" t="s">
        <v>282</v>
      </c>
      <c r="I531">
        <v>6</v>
      </c>
      <c r="J531">
        <v>0</v>
      </c>
      <c r="K531">
        <v>6</v>
      </c>
      <c r="L531">
        <v>0</v>
      </c>
      <c r="M531">
        <v>0</v>
      </c>
      <c r="N531">
        <v>0</v>
      </c>
      <c r="O531" s="28">
        <v>46282</v>
      </c>
      <c r="R531">
        <v>0</v>
      </c>
      <c r="S531">
        <v>44</v>
      </c>
      <c r="T531">
        <v>8</v>
      </c>
      <c r="U531">
        <v>44</v>
      </c>
      <c r="V531">
        <v>20260918044</v>
      </c>
    </row>
    <row r="532" spans="1:22" x14ac:dyDescent="0.2">
      <c r="A532" s="34" t="s">
        <v>122</v>
      </c>
      <c r="B532" s="28">
        <v>46283</v>
      </c>
      <c r="C532" s="34"/>
      <c r="D532" s="34" t="s">
        <v>343</v>
      </c>
      <c r="E532" s="34" t="s">
        <v>283</v>
      </c>
      <c r="F532" s="34" t="s">
        <v>284</v>
      </c>
      <c r="G532" s="34" t="s">
        <v>285</v>
      </c>
      <c r="H532" s="34" t="s">
        <v>286</v>
      </c>
      <c r="I532">
        <v>17</v>
      </c>
      <c r="J532">
        <v>0</v>
      </c>
      <c r="K532">
        <v>14</v>
      </c>
      <c r="L532">
        <v>3</v>
      </c>
      <c r="M532">
        <v>3</v>
      </c>
      <c r="N532">
        <v>0</v>
      </c>
      <c r="O532" s="28">
        <v>46282</v>
      </c>
      <c r="P532">
        <v>16.7</v>
      </c>
      <c r="Q532">
        <v>0</v>
      </c>
      <c r="R532">
        <v>0</v>
      </c>
      <c r="S532">
        <v>45</v>
      </c>
      <c r="T532">
        <v>8</v>
      </c>
      <c r="U532">
        <v>45</v>
      </c>
      <c r="V532">
        <v>20260918045</v>
      </c>
    </row>
    <row r="533" spans="1:22" x14ac:dyDescent="0.2">
      <c r="A533" s="34" t="s">
        <v>122</v>
      </c>
      <c r="B533" s="28">
        <v>46283</v>
      </c>
      <c r="C533" s="34"/>
      <c r="D533" s="34" t="s">
        <v>343</v>
      </c>
      <c r="E533" s="34" t="s">
        <v>287</v>
      </c>
      <c r="F533" s="34" t="s">
        <v>288</v>
      </c>
      <c r="G533" s="34" t="s">
        <v>289</v>
      </c>
      <c r="H533" s="34" t="s">
        <v>290</v>
      </c>
      <c r="I533">
        <v>17</v>
      </c>
      <c r="J533">
        <v>0</v>
      </c>
      <c r="K533">
        <v>14</v>
      </c>
      <c r="L533">
        <v>3</v>
      </c>
      <c r="M533">
        <v>3</v>
      </c>
      <c r="N533">
        <v>0</v>
      </c>
      <c r="O533" s="28">
        <v>46282</v>
      </c>
      <c r="P533">
        <v>16.7</v>
      </c>
      <c r="Q533">
        <v>0</v>
      </c>
      <c r="R533">
        <v>0</v>
      </c>
      <c r="S533">
        <v>46</v>
      </c>
      <c r="T533">
        <v>8</v>
      </c>
      <c r="U533">
        <v>46</v>
      </c>
      <c r="V533">
        <v>20260918046</v>
      </c>
    </row>
    <row r="534" spans="1:22" x14ac:dyDescent="0.2">
      <c r="A534" s="34" t="s">
        <v>122</v>
      </c>
      <c r="B534" s="28">
        <v>46283</v>
      </c>
      <c r="C534" s="34"/>
      <c r="D534" s="34" t="s">
        <v>343</v>
      </c>
      <c r="E534" s="34" t="s">
        <v>291</v>
      </c>
      <c r="F534" s="34" t="s">
        <v>342</v>
      </c>
      <c r="G534" s="34" t="s">
        <v>292</v>
      </c>
      <c r="H534" s="34" t="s">
        <v>293</v>
      </c>
      <c r="I534">
        <v>22</v>
      </c>
      <c r="J534">
        <v>0</v>
      </c>
      <c r="K534">
        <v>22</v>
      </c>
      <c r="L534">
        <v>0</v>
      </c>
      <c r="M534">
        <v>0</v>
      </c>
      <c r="N534">
        <v>0</v>
      </c>
      <c r="O534" s="28">
        <v>46282</v>
      </c>
      <c r="R534">
        <v>0</v>
      </c>
      <c r="S534">
        <v>47</v>
      </c>
      <c r="T534">
        <v>8</v>
      </c>
      <c r="U534">
        <v>47</v>
      </c>
      <c r="V534">
        <v>20260918047</v>
      </c>
    </row>
    <row r="535" spans="1:22" x14ac:dyDescent="0.2">
      <c r="A535" s="34" t="s">
        <v>122</v>
      </c>
      <c r="B535" s="28">
        <v>46283</v>
      </c>
      <c r="C535" s="34"/>
      <c r="D535" s="34" t="s">
        <v>343</v>
      </c>
      <c r="E535" s="34" t="s">
        <v>302</v>
      </c>
      <c r="F535" s="34" t="s">
        <v>303</v>
      </c>
      <c r="G535" s="34" t="s">
        <v>304</v>
      </c>
      <c r="H535" s="34" t="s">
        <v>305</v>
      </c>
      <c r="I535">
        <v>6</v>
      </c>
      <c r="J535">
        <v>0</v>
      </c>
      <c r="K535">
        <v>6</v>
      </c>
      <c r="L535">
        <v>0</v>
      </c>
      <c r="M535">
        <v>0</v>
      </c>
      <c r="N535">
        <v>0</v>
      </c>
      <c r="O535" s="28">
        <v>46282</v>
      </c>
      <c r="R535">
        <v>0</v>
      </c>
      <c r="S535">
        <v>48</v>
      </c>
      <c r="T535">
        <v>8</v>
      </c>
      <c r="U535">
        <v>50</v>
      </c>
      <c r="V535">
        <v>20260918048</v>
      </c>
    </row>
    <row r="536" spans="1:22" x14ac:dyDescent="0.2">
      <c r="A536" s="34" t="s">
        <v>122</v>
      </c>
      <c r="B536" s="28">
        <v>46283</v>
      </c>
      <c r="C536" s="34"/>
      <c r="D536" s="34" t="s">
        <v>343</v>
      </c>
      <c r="E536" s="34" t="s">
        <v>306</v>
      </c>
      <c r="F536" s="34" t="s">
        <v>307</v>
      </c>
      <c r="G536" s="34" t="s">
        <v>308</v>
      </c>
      <c r="H536" s="34" t="s">
        <v>309</v>
      </c>
      <c r="I536">
        <v>10</v>
      </c>
      <c r="J536">
        <v>0</v>
      </c>
      <c r="K536">
        <v>10</v>
      </c>
      <c r="L536">
        <v>0</v>
      </c>
      <c r="M536">
        <v>0</v>
      </c>
      <c r="N536">
        <v>0</v>
      </c>
      <c r="O536" s="28">
        <v>46282</v>
      </c>
      <c r="R536">
        <v>0</v>
      </c>
      <c r="S536">
        <v>49</v>
      </c>
      <c r="T536">
        <v>8</v>
      </c>
      <c r="U536">
        <v>51</v>
      </c>
      <c r="V536">
        <v>20260918049</v>
      </c>
    </row>
    <row r="537" spans="1:22" x14ac:dyDescent="0.2">
      <c r="A537" s="34" t="s">
        <v>122</v>
      </c>
      <c r="B537" s="28">
        <v>46283</v>
      </c>
      <c r="C537" s="34"/>
      <c r="D537" s="34" t="s">
        <v>343</v>
      </c>
      <c r="E537" s="34" t="s">
        <v>310</v>
      </c>
      <c r="F537" s="34" t="s">
        <v>311</v>
      </c>
      <c r="G537" s="34" t="s">
        <v>312</v>
      </c>
      <c r="H537" s="34" t="s">
        <v>313</v>
      </c>
      <c r="I537">
        <v>7</v>
      </c>
      <c r="J537">
        <v>0</v>
      </c>
      <c r="K537">
        <v>5</v>
      </c>
      <c r="L537">
        <v>2</v>
      </c>
      <c r="M537">
        <v>2</v>
      </c>
      <c r="N537">
        <v>0</v>
      </c>
      <c r="O537" s="28">
        <v>46282</v>
      </c>
      <c r="P537">
        <v>12.8</v>
      </c>
      <c r="Q537">
        <v>0</v>
      </c>
      <c r="R537">
        <v>0</v>
      </c>
      <c r="S537">
        <v>50</v>
      </c>
      <c r="T537">
        <v>8</v>
      </c>
      <c r="U537">
        <v>52</v>
      </c>
      <c r="V537">
        <v>20260918050</v>
      </c>
    </row>
    <row r="538" spans="1:22" x14ac:dyDescent="0.2">
      <c r="A538" s="34" t="s">
        <v>122</v>
      </c>
      <c r="B538" s="28">
        <v>46283</v>
      </c>
      <c r="C538" s="34"/>
      <c r="D538" s="34" t="s">
        <v>343</v>
      </c>
      <c r="E538" s="34" t="s">
        <v>314</v>
      </c>
      <c r="F538" s="34" t="s">
        <v>315</v>
      </c>
      <c r="G538" s="34" t="s">
        <v>316</v>
      </c>
      <c r="H538" s="34" t="s">
        <v>317</v>
      </c>
      <c r="I538">
        <v>20</v>
      </c>
      <c r="J538">
        <v>0</v>
      </c>
      <c r="K538">
        <v>18</v>
      </c>
      <c r="L538">
        <v>2</v>
      </c>
      <c r="M538">
        <v>2</v>
      </c>
      <c r="N538">
        <v>0</v>
      </c>
      <c r="O538" s="28">
        <v>46282</v>
      </c>
      <c r="P538">
        <v>12.9</v>
      </c>
      <c r="Q538">
        <v>0</v>
      </c>
      <c r="R538">
        <v>0</v>
      </c>
      <c r="S538">
        <v>51</v>
      </c>
      <c r="T538">
        <v>8</v>
      </c>
      <c r="U538">
        <v>53</v>
      </c>
      <c r="V538">
        <v>20260918051</v>
      </c>
    </row>
    <row r="539" spans="1:22" x14ac:dyDescent="0.2">
      <c r="A539" s="34" t="s">
        <v>122</v>
      </c>
      <c r="B539" s="28">
        <v>46283</v>
      </c>
      <c r="C539" s="34"/>
      <c r="D539" s="34" t="s">
        <v>343</v>
      </c>
      <c r="E539" s="34" t="s">
        <v>318</v>
      </c>
      <c r="F539" s="34" t="s">
        <v>319</v>
      </c>
      <c r="G539" s="34" t="s">
        <v>320</v>
      </c>
      <c r="H539" s="34" t="s">
        <v>321</v>
      </c>
      <c r="I539">
        <v>11</v>
      </c>
      <c r="J539">
        <v>0</v>
      </c>
      <c r="K539">
        <v>9</v>
      </c>
      <c r="L539">
        <v>2</v>
      </c>
      <c r="M539">
        <v>2</v>
      </c>
      <c r="N539">
        <v>0</v>
      </c>
      <c r="O539" s="28">
        <v>46282</v>
      </c>
      <c r="P539">
        <v>16.399999999999999</v>
      </c>
      <c r="Q539">
        <v>0</v>
      </c>
      <c r="R539">
        <v>0</v>
      </c>
      <c r="S539">
        <v>52</v>
      </c>
      <c r="T539">
        <v>8</v>
      </c>
      <c r="U539">
        <v>54</v>
      </c>
      <c r="V539">
        <v>20260918052</v>
      </c>
    </row>
    <row r="540" spans="1:22" x14ac:dyDescent="0.2">
      <c r="A540" s="34" t="s">
        <v>122</v>
      </c>
      <c r="B540" s="28">
        <v>46283</v>
      </c>
      <c r="C540" s="34"/>
      <c r="D540" s="34" t="s">
        <v>343</v>
      </c>
      <c r="E540" s="34" t="s">
        <v>322</v>
      </c>
      <c r="F540" s="34" t="s">
        <v>323</v>
      </c>
      <c r="G540" s="34" t="s">
        <v>324</v>
      </c>
      <c r="H540" s="34" t="s">
        <v>325</v>
      </c>
      <c r="I540">
        <v>6</v>
      </c>
      <c r="J540">
        <v>0</v>
      </c>
      <c r="K540">
        <v>5</v>
      </c>
      <c r="L540">
        <v>1</v>
      </c>
      <c r="M540">
        <v>1</v>
      </c>
      <c r="N540">
        <v>0</v>
      </c>
      <c r="O540" s="28">
        <v>46282</v>
      </c>
      <c r="P540">
        <v>16.399999999999999</v>
      </c>
      <c r="Q540">
        <v>0</v>
      </c>
      <c r="R540">
        <v>0</v>
      </c>
      <c r="S540">
        <v>53</v>
      </c>
      <c r="T540">
        <v>8</v>
      </c>
      <c r="U540">
        <v>55</v>
      </c>
      <c r="V540">
        <v>20260918053</v>
      </c>
    </row>
    <row r="541" spans="1:22" x14ac:dyDescent="0.2">
      <c r="A541" s="34" t="s">
        <v>122</v>
      </c>
      <c r="B541" s="28">
        <v>46283</v>
      </c>
      <c r="C541" s="34"/>
      <c r="D541" s="34" t="s">
        <v>343</v>
      </c>
      <c r="E541" s="34" t="s">
        <v>330</v>
      </c>
      <c r="F541" s="34" t="s">
        <v>331</v>
      </c>
      <c r="G541" s="34" t="s">
        <v>332</v>
      </c>
      <c r="H541" s="34" t="s">
        <v>333</v>
      </c>
      <c r="I541">
        <v>3</v>
      </c>
      <c r="J541">
        <v>0</v>
      </c>
      <c r="K541">
        <v>3</v>
      </c>
      <c r="L541">
        <v>0</v>
      </c>
      <c r="M541">
        <v>0</v>
      </c>
      <c r="N541">
        <v>0</v>
      </c>
      <c r="O541" s="28">
        <v>46282</v>
      </c>
      <c r="R541">
        <v>0</v>
      </c>
      <c r="S541">
        <v>54</v>
      </c>
      <c r="T541">
        <v>8</v>
      </c>
      <c r="U541">
        <v>74</v>
      </c>
      <c r="V541">
        <v>20260918054</v>
      </c>
    </row>
    <row r="542" spans="1:22" x14ac:dyDescent="0.2">
      <c r="A542" s="34" t="s">
        <v>122</v>
      </c>
      <c r="B542" s="28">
        <v>46285</v>
      </c>
      <c r="C542" s="34"/>
      <c r="D542" s="34" t="s">
        <v>340</v>
      </c>
      <c r="E542" s="34" t="s">
        <v>124</v>
      </c>
      <c r="F542" s="34" t="s">
        <v>125</v>
      </c>
      <c r="G542" s="34" t="s">
        <v>126</v>
      </c>
      <c r="H542" s="34" t="s">
        <v>127</v>
      </c>
      <c r="I542">
        <v>8</v>
      </c>
      <c r="J542">
        <v>0</v>
      </c>
      <c r="K542">
        <v>8</v>
      </c>
      <c r="L542">
        <v>0</v>
      </c>
      <c r="O542" s="28">
        <v>46283</v>
      </c>
      <c r="R542">
        <v>-1</v>
      </c>
      <c r="S542">
        <v>1</v>
      </c>
      <c r="T542">
        <v>7</v>
      </c>
      <c r="U542">
        <v>1</v>
      </c>
      <c r="V542">
        <v>20260920001</v>
      </c>
    </row>
    <row r="543" spans="1:22" x14ac:dyDescent="0.2">
      <c r="A543" s="34" t="s">
        <v>122</v>
      </c>
      <c r="B543" s="28">
        <v>46285</v>
      </c>
      <c r="C543" s="34"/>
      <c r="D543" s="34" t="s">
        <v>340</v>
      </c>
      <c r="E543" s="34" t="s">
        <v>128</v>
      </c>
      <c r="F543" s="34" t="s">
        <v>129</v>
      </c>
      <c r="G543" s="34" t="s">
        <v>130</v>
      </c>
      <c r="H543" s="34" t="s">
        <v>131</v>
      </c>
      <c r="I543">
        <v>5</v>
      </c>
      <c r="J543">
        <v>0</v>
      </c>
      <c r="K543">
        <v>5</v>
      </c>
      <c r="L543">
        <v>0</v>
      </c>
      <c r="O543" s="28">
        <v>46283</v>
      </c>
      <c r="R543">
        <v>-1</v>
      </c>
      <c r="S543">
        <v>2</v>
      </c>
      <c r="T543">
        <v>7</v>
      </c>
      <c r="U543">
        <v>2</v>
      </c>
      <c r="V543">
        <v>20260920002</v>
      </c>
    </row>
    <row r="544" spans="1:22" x14ac:dyDescent="0.2">
      <c r="A544" s="34" t="s">
        <v>122</v>
      </c>
      <c r="B544" s="28">
        <v>46285</v>
      </c>
      <c r="C544" s="34"/>
      <c r="D544" s="34" t="s">
        <v>340</v>
      </c>
      <c r="E544" s="34" t="s">
        <v>132</v>
      </c>
      <c r="F544" s="34" t="s">
        <v>133</v>
      </c>
      <c r="G544" s="34" t="s">
        <v>134</v>
      </c>
      <c r="H544" s="34" t="s">
        <v>135</v>
      </c>
      <c r="I544">
        <v>4</v>
      </c>
      <c r="J544">
        <v>0</v>
      </c>
      <c r="K544">
        <v>3</v>
      </c>
      <c r="L544">
        <v>1</v>
      </c>
      <c r="O544" s="28">
        <v>46283</v>
      </c>
      <c r="R544">
        <v>-1</v>
      </c>
      <c r="S544">
        <v>3</v>
      </c>
      <c r="T544">
        <v>7</v>
      </c>
      <c r="U544">
        <v>3</v>
      </c>
      <c r="V544">
        <v>20260920003</v>
      </c>
    </row>
    <row r="545" spans="1:22" x14ac:dyDescent="0.2">
      <c r="A545" s="34" t="s">
        <v>122</v>
      </c>
      <c r="B545" s="28">
        <v>46285</v>
      </c>
      <c r="C545" s="34"/>
      <c r="D545" s="34" t="s">
        <v>340</v>
      </c>
      <c r="E545" s="34" t="s">
        <v>136</v>
      </c>
      <c r="F545" s="34" t="s">
        <v>137</v>
      </c>
      <c r="G545" s="34" t="s">
        <v>138</v>
      </c>
      <c r="H545" s="34" t="s">
        <v>139</v>
      </c>
      <c r="I545">
        <v>1</v>
      </c>
      <c r="J545">
        <v>0</v>
      </c>
      <c r="K545">
        <v>2</v>
      </c>
      <c r="L545">
        <v>-1</v>
      </c>
      <c r="O545" s="28">
        <v>46283</v>
      </c>
      <c r="R545">
        <v>-1</v>
      </c>
      <c r="S545">
        <v>4</v>
      </c>
      <c r="T545">
        <v>7</v>
      </c>
      <c r="U545">
        <v>4</v>
      </c>
      <c r="V545">
        <v>20260920004</v>
      </c>
    </row>
    <row r="546" spans="1:22" x14ac:dyDescent="0.2">
      <c r="A546" s="34" t="s">
        <v>122</v>
      </c>
      <c r="B546" s="28">
        <v>46285</v>
      </c>
      <c r="C546" s="34"/>
      <c r="D546" s="34" t="s">
        <v>340</v>
      </c>
      <c r="E546" s="34" t="s">
        <v>140</v>
      </c>
      <c r="F546" s="34" t="s">
        <v>141</v>
      </c>
      <c r="G546" s="34" t="s">
        <v>142</v>
      </c>
      <c r="H546" s="34" t="s">
        <v>143</v>
      </c>
      <c r="I546">
        <v>5</v>
      </c>
      <c r="J546">
        <v>0</v>
      </c>
      <c r="K546">
        <v>5</v>
      </c>
      <c r="L546">
        <v>0</v>
      </c>
      <c r="O546" s="28">
        <v>46283</v>
      </c>
      <c r="R546">
        <v>-1</v>
      </c>
      <c r="S546">
        <v>5</v>
      </c>
      <c r="T546">
        <v>7</v>
      </c>
      <c r="U546">
        <v>5</v>
      </c>
      <c r="V546">
        <v>20260920005</v>
      </c>
    </row>
    <row r="547" spans="1:22" x14ac:dyDescent="0.2">
      <c r="A547" s="34" t="s">
        <v>122</v>
      </c>
      <c r="B547" s="28">
        <v>46285</v>
      </c>
      <c r="C547" s="34"/>
      <c r="D547" s="34" t="s">
        <v>340</v>
      </c>
      <c r="E547" s="34" t="s">
        <v>144</v>
      </c>
      <c r="F547" s="34" t="s">
        <v>145</v>
      </c>
      <c r="G547" s="34" t="s">
        <v>146</v>
      </c>
      <c r="H547" s="34" t="s">
        <v>147</v>
      </c>
      <c r="I547">
        <v>11</v>
      </c>
      <c r="J547">
        <v>0</v>
      </c>
      <c r="K547">
        <v>11</v>
      </c>
      <c r="L547">
        <v>0</v>
      </c>
      <c r="O547" s="28">
        <v>46283</v>
      </c>
      <c r="R547">
        <v>-1</v>
      </c>
      <c r="S547">
        <v>6</v>
      </c>
      <c r="T547">
        <v>7</v>
      </c>
      <c r="U547">
        <v>6</v>
      </c>
      <c r="V547">
        <v>20260920006</v>
      </c>
    </row>
    <row r="548" spans="1:22" x14ac:dyDescent="0.2">
      <c r="A548" s="34" t="s">
        <v>122</v>
      </c>
      <c r="B548" s="28">
        <v>46285</v>
      </c>
      <c r="C548" s="34"/>
      <c r="D548" s="34" t="s">
        <v>340</v>
      </c>
      <c r="E548" s="34" t="s">
        <v>148</v>
      </c>
      <c r="F548" s="34" t="s">
        <v>149</v>
      </c>
      <c r="G548" s="34" t="s">
        <v>150</v>
      </c>
      <c r="H548" s="34" t="s">
        <v>151</v>
      </c>
      <c r="I548">
        <v>4</v>
      </c>
      <c r="J548">
        <v>0</v>
      </c>
      <c r="K548">
        <v>4</v>
      </c>
      <c r="L548">
        <v>0</v>
      </c>
      <c r="O548" s="28">
        <v>46283</v>
      </c>
      <c r="R548">
        <v>-1</v>
      </c>
      <c r="S548">
        <v>7</v>
      </c>
      <c r="T548">
        <v>7</v>
      </c>
      <c r="U548">
        <v>7</v>
      </c>
      <c r="V548">
        <v>20260920007</v>
      </c>
    </row>
    <row r="549" spans="1:22" x14ac:dyDescent="0.2">
      <c r="A549" s="34" t="s">
        <v>122</v>
      </c>
      <c r="B549" s="28">
        <v>46285</v>
      </c>
      <c r="C549" s="34"/>
      <c r="D549" s="34" t="s">
        <v>340</v>
      </c>
      <c r="E549" s="34" t="s">
        <v>152</v>
      </c>
      <c r="F549" s="34" t="s">
        <v>153</v>
      </c>
      <c r="G549" s="34" t="s">
        <v>154</v>
      </c>
      <c r="H549" s="34" t="s">
        <v>155</v>
      </c>
      <c r="I549">
        <v>15</v>
      </c>
      <c r="J549">
        <v>0</v>
      </c>
      <c r="K549">
        <v>20</v>
      </c>
      <c r="L549">
        <v>-5</v>
      </c>
      <c r="O549" s="28">
        <v>46283</v>
      </c>
      <c r="R549">
        <v>-1</v>
      </c>
      <c r="S549">
        <v>8</v>
      </c>
      <c r="T549">
        <v>7</v>
      </c>
      <c r="U549">
        <v>8</v>
      </c>
      <c r="V549">
        <v>20260920008</v>
      </c>
    </row>
    <row r="550" spans="1:22" x14ac:dyDescent="0.2">
      <c r="A550" s="34" t="s">
        <v>122</v>
      </c>
      <c r="B550" s="28">
        <v>46285</v>
      </c>
      <c r="C550" s="34"/>
      <c r="D550" s="34" t="s">
        <v>340</v>
      </c>
      <c r="E550" s="34" t="s">
        <v>156</v>
      </c>
      <c r="F550" s="34" t="s">
        <v>157</v>
      </c>
      <c r="G550" s="34" t="s">
        <v>158</v>
      </c>
      <c r="H550" s="34" t="s">
        <v>159</v>
      </c>
      <c r="I550">
        <v>6</v>
      </c>
      <c r="J550">
        <v>0</v>
      </c>
      <c r="K550">
        <v>18</v>
      </c>
      <c r="L550">
        <v>-12</v>
      </c>
      <c r="O550" s="28">
        <v>46283</v>
      </c>
      <c r="R550">
        <v>-1</v>
      </c>
      <c r="S550">
        <v>9</v>
      </c>
      <c r="T550">
        <v>7</v>
      </c>
      <c r="U550">
        <v>9</v>
      </c>
      <c r="V550">
        <v>20260920009</v>
      </c>
    </row>
    <row r="551" spans="1:22" x14ac:dyDescent="0.2">
      <c r="A551" s="34" t="s">
        <v>122</v>
      </c>
      <c r="B551" s="28">
        <v>46285</v>
      </c>
      <c r="C551" s="34"/>
      <c r="D551" s="34" t="s">
        <v>340</v>
      </c>
      <c r="E551" s="34" t="s">
        <v>160</v>
      </c>
      <c r="F551" s="34" t="s">
        <v>161</v>
      </c>
      <c r="G551" s="34" t="s">
        <v>162</v>
      </c>
      <c r="H551" s="34" t="s">
        <v>163</v>
      </c>
      <c r="I551">
        <v>5</v>
      </c>
      <c r="J551">
        <v>0</v>
      </c>
      <c r="K551">
        <v>15</v>
      </c>
      <c r="L551">
        <v>-10</v>
      </c>
      <c r="O551" s="28">
        <v>46283</v>
      </c>
      <c r="R551">
        <v>-1</v>
      </c>
      <c r="S551">
        <v>10</v>
      </c>
      <c r="T551">
        <v>7</v>
      </c>
      <c r="U551">
        <v>10</v>
      </c>
      <c r="V551">
        <v>20260920010</v>
      </c>
    </row>
    <row r="552" spans="1:22" x14ac:dyDescent="0.2">
      <c r="A552" s="34" t="s">
        <v>122</v>
      </c>
      <c r="B552" s="28">
        <v>46285</v>
      </c>
      <c r="C552" s="34"/>
      <c r="D552" s="34" t="s">
        <v>340</v>
      </c>
      <c r="E552" s="34" t="s">
        <v>164</v>
      </c>
      <c r="F552" s="34" t="s">
        <v>165</v>
      </c>
      <c r="G552" s="34" t="s">
        <v>166</v>
      </c>
      <c r="H552" s="34" t="s">
        <v>167</v>
      </c>
      <c r="I552">
        <v>43</v>
      </c>
      <c r="J552">
        <v>0</v>
      </c>
      <c r="K552">
        <v>33</v>
      </c>
      <c r="L552">
        <v>10</v>
      </c>
      <c r="O552" s="28">
        <v>46283</v>
      </c>
      <c r="R552">
        <v>-1</v>
      </c>
      <c r="S552">
        <v>11</v>
      </c>
      <c r="T552">
        <v>7</v>
      </c>
      <c r="U552">
        <v>11</v>
      </c>
      <c r="V552">
        <v>20260920011</v>
      </c>
    </row>
    <row r="553" spans="1:22" x14ac:dyDescent="0.2">
      <c r="A553" s="34" t="s">
        <v>122</v>
      </c>
      <c r="B553" s="28">
        <v>46285</v>
      </c>
      <c r="C553" s="34"/>
      <c r="D553" s="34" t="s">
        <v>340</v>
      </c>
      <c r="E553" s="34" t="s">
        <v>168</v>
      </c>
      <c r="F553" s="34" t="s">
        <v>169</v>
      </c>
      <c r="G553" s="34" t="s">
        <v>170</v>
      </c>
      <c r="H553" s="34" t="s">
        <v>171</v>
      </c>
      <c r="I553">
        <v>12</v>
      </c>
      <c r="J553">
        <v>0</v>
      </c>
      <c r="K553">
        <v>10</v>
      </c>
      <c r="L553">
        <v>2</v>
      </c>
      <c r="O553" s="28">
        <v>46283</v>
      </c>
      <c r="R553">
        <v>-1</v>
      </c>
      <c r="S553">
        <v>12</v>
      </c>
      <c r="T553">
        <v>7</v>
      </c>
      <c r="U553">
        <v>12</v>
      </c>
      <c r="V553">
        <v>20260920012</v>
      </c>
    </row>
    <row r="554" spans="1:22" x14ac:dyDescent="0.2">
      <c r="A554" s="34" t="s">
        <v>122</v>
      </c>
      <c r="B554" s="28">
        <v>46285</v>
      </c>
      <c r="C554" s="34"/>
      <c r="D554" s="34" t="s">
        <v>340</v>
      </c>
      <c r="E554" s="34" t="s">
        <v>172</v>
      </c>
      <c r="F554" s="34" t="s">
        <v>173</v>
      </c>
      <c r="G554" s="34" t="s">
        <v>174</v>
      </c>
      <c r="H554" s="34" t="s">
        <v>175</v>
      </c>
      <c r="I554">
        <v>14</v>
      </c>
      <c r="J554">
        <v>0</v>
      </c>
      <c r="K554">
        <v>13</v>
      </c>
      <c r="L554">
        <v>1</v>
      </c>
      <c r="O554" s="28">
        <v>46283</v>
      </c>
      <c r="R554">
        <v>-1</v>
      </c>
      <c r="S554">
        <v>13</v>
      </c>
      <c r="T554">
        <v>7</v>
      </c>
      <c r="U554">
        <v>13</v>
      </c>
      <c r="V554">
        <v>20260920013</v>
      </c>
    </row>
    <row r="555" spans="1:22" x14ac:dyDescent="0.2">
      <c r="A555" s="34" t="s">
        <v>122</v>
      </c>
      <c r="B555" s="28">
        <v>46285</v>
      </c>
      <c r="C555" s="34"/>
      <c r="D555" s="34" t="s">
        <v>340</v>
      </c>
      <c r="E555" s="34" t="s">
        <v>176</v>
      </c>
      <c r="F555" s="34" t="s">
        <v>177</v>
      </c>
      <c r="G555" s="34" t="s">
        <v>178</v>
      </c>
      <c r="H555" s="34" t="s">
        <v>179</v>
      </c>
      <c r="I555">
        <v>14</v>
      </c>
      <c r="J555">
        <v>0</v>
      </c>
      <c r="K555">
        <v>28</v>
      </c>
      <c r="L555">
        <v>-14</v>
      </c>
      <c r="O555" s="28">
        <v>46283</v>
      </c>
      <c r="R555">
        <v>-1</v>
      </c>
      <c r="S555">
        <v>14</v>
      </c>
      <c r="T555">
        <v>7</v>
      </c>
      <c r="U555">
        <v>14</v>
      </c>
      <c r="V555">
        <v>20260920014</v>
      </c>
    </row>
    <row r="556" spans="1:22" x14ac:dyDescent="0.2">
      <c r="A556" s="34" t="s">
        <v>122</v>
      </c>
      <c r="B556" s="28">
        <v>46285</v>
      </c>
      <c r="C556" s="34"/>
      <c r="D556" s="34" t="s">
        <v>340</v>
      </c>
      <c r="E556" s="34" t="s">
        <v>180</v>
      </c>
      <c r="F556" s="34" t="s">
        <v>181</v>
      </c>
      <c r="G556" s="34" t="s">
        <v>182</v>
      </c>
      <c r="H556" s="34" t="s">
        <v>183</v>
      </c>
      <c r="I556">
        <v>9</v>
      </c>
      <c r="J556">
        <v>0</v>
      </c>
      <c r="K556">
        <v>18</v>
      </c>
      <c r="L556">
        <v>-9</v>
      </c>
      <c r="O556" s="28">
        <v>46283</v>
      </c>
      <c r="R556">
        <v>-1</v>
      </c>
      <c r="S556">
        <v>15</v>
      </c>
      <c r="T556">
        <v>7</v>
      </c>
      <c r="U556">
        <v>15</v>
      </c>
      <c r="V556">
        <v>20260920015</v>
      </c>
    </row>
    <row r="557" spans="1:22" x14ac:dyDescent="0.2">
      <c r="A557" s="34" t="s">
        <v>122</v>
      </c>
      <c r="B557" s="28">
        <v>46285</v>
      </c>
      <c r="C557" s="34"/>
      <c r="D557" s="34" t="s">
        <v>340</v>
      </c>
      <c r="E557" s="34" t="s">
        <v>184</v>
      </c>
      <c r="F557" s="34" t="s">
        <v>185</v>
      </c>
      <c r="G557" s="34" t="s">
        <v>186</v>
      </c>
      <c r="H557" s="34" t="s">
        <v>187</v>
      </c>
      <c r="I557">
        <v>13</v>
      </c>
      <c r="J557">
        <v>0</v>
      </c>
      <c r="K557">
        <v>13</v>
      </c>
      <c r="L557">
        <v>0</v>
      </c>
      <c r="O557" s="28">
        <v>46283</v>
      </c>
      <c r="R557">
        <v>-1</v>
      </c>
      <c r="S557">
        <v>16</v>
      </c>
      <c r="T557">
        <v>7</v>
      </c>
      <c r="U557">
        <v>16</v>
      </c>
      <c r="V557">
        <v>20260920016</v>
      </c>
    </row>
    <row r="558" spans="1:22" x14ac:dyDescent="0.2">
      <c r="A558" s="34" t="s">
        <v>122</v>
      </c>
      <c r="B558" s="28">
        <v>46285</v>
      </c>
      <c r="C558" s="34"/>
      <c r="D558" s="34" t="s">
        <v>340</v>
      </c>
      <c r="E558" s="34" t="s">
        <v>188</v>
      </c>
      <c r="F558" s="34" t="s">
        <v>189</v>
      </c>
      <c r="G558" s="34" t="s">
        <v>190</v>
      </c>
      <c r="H558" s="34" t="s">
        <v>191</v>
      </c>
      <c r="I558">
        <v>4</v>
      </c>
      <c r="J558">
        <v>0</v>
      </c>
      <c r="K558">
        <v>4</v>
      </c>
      <c r="L558">
        <v>0</v>
      </c>
      <c r="O558" s="28">
        <v>46283</v>
      </c>
      <c r="R558">
        <v>-1</v>
      </c>
      <c r="S558">
        <v>17</v>
      </c>
      <c r="T558">
        <v>7</v>
      </c>
      <c r="U558">
        <v>21</v>
      </c>
      <c r="V558">
        <v>20260920017</v>
      </c>
    </row>
    <row r="559" spans="1:22" x14ac:dyDescent="0.2">
      <c r="A559" s="34" t="s">
        <v>122</v>
      </c>
      <c r="B559" s="28">
        <v>46285</v>
      </c>
      <c r="C559" s="34"/>
      <c r="D559" s="34" t="s">
        <v>340</v>
      </c>
      <c r="E559" s="34" t="s">
        <v>192</v>
      </c>
      <c r="F559" s="34" t="s">
        <v>193</v>
      </c>
      <c r="G559" s="34" t="s">
        <v>194</v>
      </c>
      <c r="H559" s="34" t="s">
        <v>195</v>
      </c>
      <c r="I559">
        <v>4</v>
      </c>
      <c r="J559">
        <v>0</v>
      </c>
      <c r="K559">
        <v>4</v>
      </c>
      <c r="L559">
        <v>0</v>
      </c>
      <c r="O559" s="28">
        <v>46283</v>
      </c>
      <c r="R559">
        <v>-1</v>
      </c>
      <c r="S559">
        <v>18</v>
      </c>
      <c r="T559">
        <v>7</v>
      </c>
      <c r="U559">
        <v>22</v>
      </c>
      <c r="V559">
        <v>20260920018</v>
      </c>
    </row>
    <row r="560" spans="1:22" x14ac:dyDescent="0.2">
      <c r="A560" s="34" t="s">
        <v>122</v>
      </c>
      <c r="B560" s="28">
        <v>46285</v>
      </c>
      <c r="C560" s="34"/>
      <c r="D560" s="34" t="s">
        <v>340</v>
      </c>
      <c r="E560" s="34" t="s">
        <v>196</v>
      </c>
      <c r="F560" s="34" t="s">
        <v>197</v>
      </c>
      <c r="G560" s="34" t="s">
        <v>198</v>
      </c>
      <c r="H560" s="34" t="s">
        <v>199</v>
      </c>
      <c r="I560">
        <v>12</v>
      </c>
      <c r="J560">
        <v>0</v>
      </c>
      <c r="K560">
        <v>12</v>
      </c>
      <c r="L560">
        <v>0</v>
      </c>
      <c r="O560" s="28">
        <v>46283</v>
      </c>
      <c r="R560">
        <v>-1</v>
      </c>
      <c r="S560">
        <v>19</v>
      </c>
      <c r="T560">
        <v>7</v>
      </c>
      <c r="U560">
        <v>23</v>
      </c>
      <c r="V560">
        <v>20260920019</v>
      </c>
    </row>
    <row r="561" spans="1:22" x14ac:dyDescent="0.2">
      <c r="A561" s="34" t="s">
        <v>122</v>
      </c>
      <c r="B561" s="28">
        <v>46285</v>
      </c>
      <c r="C561" s="34"/>
      <c r="D561" s="34" t="s">
        <v>340</v>
      </c>
      <c r="E561" s="34" t="s">
        <v>200</v>
      </c>
      <c r="F561" s="34" t="s">
        <v>201</v>
      </c>
      <c r="G561" s="34" t="s">
        <v>202</v>
      </c>
      <c r="H561" s="34" t="s">
        <v>203</v>
      </c>
      <c r="I561">
        <v>9</v>
      </c>
      <c r="J561">
        <v>0</v>
      </c>
      <c r="K561">
        <v>21</v>
      </c>
      <c r="L561">
        <v>-12</v>
      </c>
      <c r="O561" s="28">
        <v>46283</v>
      </c>
      <c r="R561">
        <v>-1</v>
      </c>
      <c r="S561">
        <v>20</v>
      </c>
      <c r="T561">
        <v>7</v>
      </c>
      <c r="U561">
        <v>24</v>
      </c>
      <c r="V561">
        <v>20260920020</v>
      </c>
    </row>
    <row r="562" spans="1:22" x14ac:dyDescent="0.2">
      <c r="A562" s="34" t="s">
        <v>122</v>
      </c>
      <c r="B562" s="28">
        <v>46285</v>
      </c>
      <c r="C562" s="34"/>
      <c r="D562" s="34" t="s">
        <v>340</v>
      </c>
      <c r="E562" s="34" t="s">
        <v>204</v>
      </c>
      <c r="F562" s="34" t="s">
        <v>205</v>
      </c>
      <c r="G562" s="34" t="s">
        <v>206</v>
      </c>
      <c r="H562" s="34" t="s">
        <v>207</v>
      </c>
      <c r="I562">
        <v>11</v>
      </c>
      <c r="J562">
        <v>0</v>
      </c>
      <c r="K562">
        <v>7</v>
      </c>
      <c r="L562">
        <v>4</v>
      </c>
      <c r="O562" s="28">
        <v>46283</v>
      </c>
      <c r="R562">
        <v>-1</v>
      </c>
      <c r="S562">
        <v>21</v>
      </c>
      <c r="T562">
        <v>7</v>
      </c>
      <c r="U562">
        <v>25</v>
      </c>
      <c r="V562">
        <v>20260920021</v>
      </c>
    </row>
    <row r="563" spans="1:22" x14ac:dyDescent="0.2">
      <c r="A563" s="34" t="s">
        <v>122</v>
      </c>
      <c r="B563" s="28">
        <v>46285</v>
      </c>
      <c r="C563" s="34"/>
      <c r="D563" s="34" t="s">
        <v>340</v>
      </c>
      <c r="E563" s="34" t="s">
        <v>208</v>
      </c>
      <c r="F563" s="34" t="s">
        <v>209</v>
      </c>
      <c r="G563" s="34" t="s">
        <v>210</v>
      </c>
      <c r="H563" s="34" t="s">
        <v>211</v>
      </c>
      <c r="I563">
        <v>4</v>
      </c>
      <c r="J563">
        <v>0</v>
      </c>
      <c r="K563">
        <v>5</v>
      </c>
      <c r="L563">
        <v>-1</v>
      </c>
      <c r="O563" s="28">
        <v>46283</v>
      </c>
      <c r="R563">
        <v>-1</v>
      </c>
      <c r="S563">
        <v>22</v>
      </c>
      <c r="T563">
        <v>7</v>
      </c>
      <c r="U563">
        <v>26</v>
      </c>
      <c r="V563">
        <v>20260920022</v>
      </c>
    </row>
    <row r="564" spans="1:22" x14ac:dyDescent="0.2">
      <c r="A564" s="34" t="s">
        <v>122</v>
      </c>
      <c r="B564" s="28">
        <v>46285</v>
      </c>
      <c r="C564" s="34"/>
      <c r="D564" s="34" t="s">
        <v>340</v>
      </c>
      <c r="E564" s="34" t="s">
        <v>212</v>
      </c>
      <c r="F564" s="34" t="s">
        <v>213</v>
      </c>
      <c r="G564" s="34" t="s">
        <v>214</v>
      </c>
      <c r="H564" s="34" t="s">
        <v>215</v>
      </c>
      <c r="I564">
        <v>5</v>
      </c>
      <c r="J564">
        <v>0</v>
      </c>
      <c r="K564">
        <v>10</v>
      </c>
      <c r="L564">
        <v>-5</v>
      </c>
      <c r="O564" s="28">
        <v>46283</v>
      </c>
      <c r="R564">
        <v>-1</v>
      </c>
      <c r="S564">
        <v>23</v>
      </c>
      <c r="T564">
        <v>7</v>
      </c>
      <c r="U564">
        <v>27</v>
      </c>
      <c r="V564">
        <v>20260920023</v>
      </c>
    </row>
    <row r="565" spans="1:22" x14ac:dyDescent="0.2">
      <c r="A565" s="34" t="s">
        <v>122</v>
      </c>
      <c r="B565" s="28">
        <v>46285</v>
      </c>
      <c r="C565" s="34"/>
      <c r="D565" s="34" t="s">
        <v>340</v>
      </c>
      <c r="E565" s="34" t="s">
        <v>216</v>
      </c>
      <c r="F565" s="34" t="s">
        <v>217</v>
      </c>
      <c r="G565" s="34" t="s">
        <v>218</v>
      </c>
      <c r="H565" s="34" t="s">
        <v>219</v>
      </c>
      <c r="I565">
        <v>6</v>
      </c>
      <c r="J565">
        <v>0</v>
      </c>
      <c r="K565">
        <v>8</v>
      </c>
      <c r="L565">
        <v>-2</v>
      </c>
      <c r="O565" s="28">
        <v>46283</v>
      </c>
      <c r="R565">
        <v>-1</v>
      </c>
      <c r="S565">
        <v>24</v>
      </c>
      <c r="T565">
        <v>7</v>
      </c>
      <c r="U565">
        <v>28</v>
      </c>
      <c r="V565">
        <v>20260920024</v>
      </c>
    </row>
    <row r="566" spans="1:22" x14ac:dyDescent="0.2">
      <c r="A566" s="34" t="s">
        <v>122</v>
      </c>
      <c r="B566" s="28">
        <v>46285</v>
      </c>
      <c r="C566" s="34"/>
      <c r="D566" s="34" t="s">
        <v>340</v>
      </c>
      <c r="E566" s="34" t="s">
        <v>220</v>
      </c>
      <c r="F566" s="34" t="s">
        <v>221</v>
      </c>
      <c r="G566" s="34" t="s">
        <v>222</v>
      </c>
      <c r="H566" s="34" t="s">
        <v>223</v>
      </c>
      <c r="I566">
        <v>10</v>
      </c>
      <c r="J566">
        <v>0</v>
      </c>
      <c r="K566">
        <v>12</v>
      </c>
      <c r="L566">
        <v>-2</v>
      </c>
      <c r="O566" s="28">
        <v>46283</v>
      </c>
      <c r="R566">
        <v>-1</v>
      </c>
      <c r="S566">
        <v>25</v>
      </c>
      <c r="T566">
        <v>7</v>
      </c>
      <c r="U566">
        <v>29</v>
      </c>
      <c r="V566">
        <v>20260920025</v>
      </c>
    </row>
    <row r="567" spans="1:22" x14ac:dyDescent="0.2">
      <c r="A567" s="34" t="s">
        <v>122</v>
      </c>
      <c r="B567" s="28">
        <v>46285</v>
      </c>
      <c r="C567" s="34"/>
      <c r="D567" s="34" t="s">
        <v>340</v>
      </c>
      <c r="E567" s="34" t="s">
        <v>224</v>
      </c>
      <c r="F567" s="34" t="s">
        <v>225</v>
      </c>
      <c r="G567" s="34" t="s">
        <v>226</v>
      </c>
      <c r="H567" s="34" t="s">
        <v>227</v>
      </c>
      <c r="I567">
        <v>12</v>
      </c>
      <c r="J567">
        <v>0</v>
      </c>
      <c r="K567">
        <v>12</v>
      </c>
      <c r="L567">
        <v>0</v>
      </c>
      <c r="O567" s="28">
        <v>46283</v>
      </c>
      <c r="R567">
        <v>-1</v>
      </c>
      <c r="S567">
        <v>26</v>
      </c>
      <c r="T567">
        <v>7</v>
      </c>
      <c r="U567">
        <v>30</v>
      </c>
      <c r="V567">
        <v>20260920026</v>
      </c>
    </row>
    <row r="568" spans="1:22" x14ac:dyDescent="0.2">
      <c r="A568" s="34" t="s">
        <v>122</v>
      </c>
      <c r="B568" s="28">
        <v>46285</v>
      </c>
      <c r="C568" s="34"/>
      <c r="D568" s="34" t="s">
        <v>340</v>
      </c>
      <c r="E568" s="34" t="s">
        <v>228</v>
      </c>
      <c r="F568" s="34" t="s">
        <v>229</v>
      </c>
      <c r="G568" s="34" t="s">
        <v>230</v>
      </c>
      <c r="H568" s="34" t="s">
        <v>231</v>
      </c>
      <c r="I568">
        <v>14</v>
      </c>
      <c r="J568">
        <v>0</v>
      </c>
      <c r="K568">
        <v>12</v>
      </c>
      <c r="L568">
        <v>2</v>
      </c>
      <c r="O568" s="28">
        <v>46283</v>
      </c>
      <c r="R568">
        <v>-1</v>
      </c>
      <c r="S568">
        <v>27</v>
      </c>
      <c r="T568">
        <v>7</v>
      </c>
      <c r="U568">
        <v>31</v>
      </c>
      <c r="V568">
        <v>20260920027</v>
      </c>
    </row>
    <row r="569" spans="1:22" x14ac:dyDescent="0.2">
      <c r="A569" s="34" t="s">
        <v>122</v>
      </c>
      <c r="B569" s="28">
        <v>46285</v>
      </c>
      <c r="C569" s="34"/>
      <c r="D569" s="34" t="s">
        <v>340</v>
      </c>
      <c r="E569" s="34" t="s">
        <v>232</v>
      </c>
      <c r="F569" s="34" t="s">
        <v>233</v>
      </c>
      <c r="G569" s="34" t="s">
        <v>234</v>
      </c>
      <c r="H569" s="34" t="s">
        <v>235</v>
      </c>
      <c r="I569">
        <v>12</v>
      </c>
      <c r="J569">
        <v>0</v>
      </c>
      <c r="K569">
        <v>6</v>
      </c>
      <c r="L569">
        <v>6</v>
      </c>
      <c r="O569" s="28">
        <v>46283</v>
      </c>
      <c r="R569">
        <v>-1</v>
      </c>
      <c r="S569">
        <v>28</v>
      </c>
      <c r="T569">
        <v>7</v>
      </c>
      <c r="U569">
        <v>32</v>
      </c>
      <c r="V569">
        <v>20260920028</v>
      </c>
    </row>
    <row r="570" spans="1:22" x14ac:dyDescent="0.2">
      <c r="A570" s="34" t="s">
        <v>122</v>
      </c>
      <c r="B570" s="28">
        <v>46285</v>
      </c>
      <c r="C570" s="34"/>
      <c r="D570" s="34" t="s">
        <v>340</v>
      </c>
      <c r="E570" s="34" t="s">
        <v>236</v>
      </c>
      <c r="F570" s="34" t="s">
        <v>237</v>
      </c>
      <c r="G570" s="34" t="s">
        <v>238</v>
      </c>
      <c r="H570" s="34" t="s">
        <v>239</v>
      </c>
      <c r="I570">
        <v>3</v>
      </c>
      <c r="J570">
        <v>0</v>
      </c>
      <c r="K570">
        <v>11</v>
      </c>
      <c r="L570">
        <v>-8</v>
      </c>
      <c r="O570" s="28">
        <v>46283</v>
      </c>
      <c r="R570">
        <v>-1</v>
      </c>
      <c r="S570">
        <v>29</v>
      </c>
      <c r="T570">
        <v>7</v>
      </c>
      <c r="U570">
        <v>33</v>
      </c>
      <c r="V570">
        <v>20260920029</v>
      </c>
    </row>
    <row r="571" spans="1:22" x14ac:dyDescent="0.2">
      <c r="A571" s="34" t="s">
        <v>122</v>
      </c>
      <c r="B571" s="28">
        <v>46285</v>
      </c>
      <c r="C571" s="34"/>
      <c r="D571" s="34" t="s">
        <v>340</v>
      </c>
      <c r="E571" s="34" t="s">
        <v>240</v>
      </c>
      <c r="F571" s="34" t="s">
        <v>241</v>
      </c>
      <c r="G571" s="34" t="s">
        <v>242</v>
      </c>
      <c r="H571" s="34" t="s">
        <v>243</v>
      </c>
      <c r="I571">
        <v>14</v>
      </c>
      <c r="J571">
        <v>0</v>
      </c>
      <c r="K571">
        <v>11</v>
      </c>
      <c r="L571">
        <v>3</v>
      </c>
      <c r="O571" s="28">
        <v>46283</v>
      </c>
      <c r="R571">
        <v>-1</v>
      </c>
      <c r="S571">
        <v>30</v>
      </c>
      <c r="T571">
        <v>7</v>
      </c>
      <c r="U571">
        <v>34</v>
      </c>
      <c r="V571">
        <v>20260920030</v>
      </c>
    </row>
    <row r="572" spans="1:22" x14ac:dyDescent="0.2">
      <c r="A572" s="34" t="s">
        <v>122</v>
      </c>
      <c r="B572" s="28">
        <v>46285</v>
      </c>
      <c r="C572" s="34"/>
      <c r="D572" s="34" t="s">
        <v>340</v>
      </c>
      <c r="E572" s="34" t="s">
        <v>244</v>
      </c>
      <c r="F572" s="34" t="s">
        <v>245</v>
      </c>
      <c r="G572" s="34" t="s">
        <v>246</v>
      </c>
      <c r="H572" s="34" t="s">
        <v>247</v>
      </c>
      <c r="I572">
        <v>14</v>
      </c>
      <c r="J572">
        <v>0</v>
      </c>
      <c r="K572">
        <v>5</v>
      </c>
      <c r="L572">
        <v>9</v>
      </c>
      <c r="O572" s="28">
        <v>46283</v>
      </c>
      <c r="R572">
        <v>-1</v>
      </c>
      <c r="S572">
        <v>31</v>
      </c>
      <c r="T572">
        <v>7</v>
      </c>
      <c r="U572">
        <v>35</v>
      </c>
      <c r="V572">
        <v>20260920031</v>
      </c>
    </row>
    <row r="573" spans="1:22" x14ac:dyDescent="0.2">
      <c r="A573" s="34" t="s">
        <v>122</v>
      </c>
      <c r="B573" s="28">
        <v>46285</v>
      </c>
      <c r="C573" s="34"/>
      <c r="D573" s="34" t="s">
        <v>340</v>
      </c>
      <c r="E573" s="34" t="s">
        <v>248</v>
      </c>
      <c r="F573" s="34" t="s">
        <v>249</v>
      </c>
      <c r="G573" s="34" t="s">
        <v>250</v>
      </c>
      <c r="H573" s="34" t="s">
        <v>251</v>
      </c>
      <c r="I573">
        <v>9</v>
      </c>
      <c r="J573">
        <v>0</v>
      </c>
      <c r="K573">
        <v>3</v>
      </c>
      <c r="L573">
        <v>6</v>
      </c>
      <c r="O573" s="28">
        <v>46283</v>
      </c>
      <c r="R573">
        <v>-1</v>
      </c>
      <c r="S573">
        <v>32</v>
      </c>
      <c r="T573">
        <v>7</v>
      </c>
      <c r="U573">
        <v>36</v>
      </c>
      <c r="V573">
        <v>20260920032</v>
      </c>
    </row>
    <row r="574" spans="1:22" x14ac:dyDescent="0.2">
      <c r="A574" s="34" t="s">
        <v>122</v>
      </c>
      <c r="B574" s="28">
        <v>46285</v>
      </c>
      <c r="C574" s="34"/>
      <c r="D574" s="34" t="s">
        <v>340</v>
      </c>
      <c r="E574" s="34" t="s">
        <v>252</v>
      </c>
      <c r="F574" s="34" t="s">
        <v>253</v>
      </c>
      <c r="G574" s="34" t="s">
        <v>254</v>
      </c>
      <c r="H574" s="34" t="s">
        <v>255</v>
      </c>
      <c r="I574">
        <v>4</v>
      </c>
      <c r="J574">
        <v>0</v>
      </c>
      <c r="K574">
        <v>4</v>
      </c>
      <c r="L574">
        <v>0</v>
      </c>
      <c r="O574" s="28">
        <v>46283</v>
      </c>
      <c r="R574">
        <v>-1</v>
      </c>
      <c r="S574">
        <v>33</v>
      </c>
      <c r="T574">
        <v>7</v>
      </c>
      <c r="U574">
        <v>37</v>
      </c>
      <c r="V574">
        <v>20260920033</v>
      </c>
    </row>
    <row r="575" spans="1:22" x14ac:dyDescent="0.2">
      <c r="A575" s="34" t="s">
        <v>122</v>
      </c>
      <c r="B575" s="28">
        <v>46285</v>
      </c>
      <c r="C575" s="34"/>
      <c r="D575" s="34" t="s">
        <v>340</v>
      </c>
      <c r="E575" s="34" t="s">
        <v>256</v>
      </c>
      <c r="F575" s="34" t="s">
        <v>257</v>
      </c>
      <c r="G575" s="34" t="s">
        <v>258</v>
      </c>
      <c r="H575" s="34" t="s">
        <v>259</v>
      </c>
      <c r="I575">
        <v>4</v>
      </c>
      <c r="J575">
        <v>0</v>
      </c>
      <c r="K575">
        <v>4</v>
      </c>
      <c r="L575">
        <v>0</v>
      </c>
      <c r="O575" s="28">
        <v>46283</v>
      </c>
      <c r="R575">
        <v>-1</v>
      </c>
      <c r="S575">
        <v>34</v>
      </c>
      <c r="T575">
        <v>7</v>
      </c>
      <c r="U575">
        <v>38</v>
      </c>
      <c r="V575">
        <v>20260920034</v>
      </c>
    </row>
    <row r="576" spans="1:22" x14ac:dyDescent="0.2">
      <c r="A576" s="34" t="s">
        <v>122</v>
      </c>
      <c r="B576" s="28">
        <v>46285</v>
      </c>
      <c r="C576" s="34"/>
      <c r="D576" s="34" t="s">
        <v>340</v>
      </c>
      <c r="E576" s="34" t="s">
        <v>260</v>
      </c>
      <c r="F576" s="34" t="s">
        <v>261</v>
      </c>
      <c r="G576" s="34" t="s">
        <v>262</v>
      </c>
      <c r="H576" s="34" t="s">
        <v>263</v>
      </c>
      <c r="I576">
        <v>4</v>
      </c>
      <c r="J576">
        <v>0</v>
      </c>
      <c r="K576">
        <v>4</v>
      </c>
      <c r="L576">
        <v>0</v>
      </c>
      <c r="O576" s="28">
        <v>46283</v>
      </c>
      <c r="R576">
        <v>-1</v>
      </c>
      <c r="S576">
        <v>35</v>
      </c>
      <c r="T576">
        <v>7</v>
      </c>
      <c r="U576">
        <v>39</v>
      </c>
      <c r="V576">
        <v>20260920035</v>
      </c>
    </row>
    <row r="577" spans="1:22" x14ac:dyDescent="0.2">
      <c r="A577" s="34" t="s">
        <v>122</v>
      </c>
      <c r="B577" s="28">
        <v>46285</v>
      </c>
      <c r="C577" s="34"/>
      <c r="D577" s="34" t="s">
        <v>340</v>
      </c>
      <c r="E577" s="34" t="s">
        <v>264</v>
      </c>
      <c r="F577" s="34" t="s">
        <v>265</v>
      </c>
      <c r="G577" s="34" t="s">
        <v>266</v>
      </c>
      <c r="H577" s="34" t="s">
        <v>267</v>
      </c>
      <c r="I577">
        <v>10</v>
      </c>
      <c r="J577">
        <v>0</v>
      </c>
      <c r="K577">
        <v>4</v>
      </c>
      <c r="L577">
        <v>6</v>
      </c>
      <c r="O577" s="28">
        <v>46283</v>
      </c>
      <c r="R577">
        <v>-1</v>
      </c>
      <c r="S577">
        <v>36</v>
      </c>
      <c r="T577">
        <v>7</v>
      </c>
      <c r="U577">
        <v>40</v>
      </c>
      <c r="V577">
        <v>20260920036</v>
      </c>
    </row>
    <row r="578" spans="1:22" x14ac:dyDescent="0.2">
      <c r="A578" s="34" t="s">
        <v>122</v>
      </c>
      <c r="B578" s="28">
        <v>46285</v>
      </c>
      <c r="C578" s="34"/>
      <c r="D578" s="34" t="s">
        <v>340</v>
      </c>
      <c r="E578" s="34" t="s">
        <v>268</v>
      </c>
      <c r="F578" s="34" t="s">
        <v>269</v>
      </c>
      <c r="G578" s="34" t="s">
        <v>270</v>
      </c>
      <c r="H578" s="34" t="s">
        <v>271</v>
      </c>
      <c r="I578">
        <v>3</v>
      </c>
      <c r="J578">
        <v>0</v>
      </c>
      <c r="K578">
        <v>3</v>
      </c>
      <c r="L578">
        <v>0</v>
      </c>
      <c r="O578" s="28">
        <v>46283</v>
      </c>
      <c r="R578">
        <v>-1</v>
      </c>
      <c r="S578">
        <v>37</v>
      </c>
      <c r="T578">
        <v>7</v>
      </c>
      <c r="U578">
        <v>41</v>
      </c>
      <c r="V578">
        <v>20260920037</v>
      </c>
    </row>
    <row r="579" spans="1:22" x14ac:dyDescent="0.2">
      <c r="A579" s="34" t="s">
        <v>122</v>
      </c>
      <c r="B579" s="28">
        <v>46285</v>
      </c>
      <c r="C579" s="34"/>
      <c r="D579" s="34" t="s">
        <v>340</v>
      </c>
      <c r="E579" s="34" t="s">
        <v>272</v>
      </c>
      <c r="F579" s="34" t="s">
        <v>341</v>
      </c>
      <c r="G579" s="34" t="s">
        <v>273</v>
      </c>
      <c r="H579" s="34" t="s">
        <v>274</v>
      </c>
      <c r="I579">
        <v>3</v>
      </c>
      <c r="J579">
        <v>0</v>
      </c>
      <c r="K579">
        <v>15</v>
      </c>
      <c r="L579">
        <v>-12</v>
      </c>
      <c r="O579" s="28">
        <v>46283</v>
      </c>
      <c r="R579">
        <v>-1</v>
      </c>
      <c r="S579">
        <v>38</v>
      </c>
      <c r="T579">
        <v>7</v>
      </c>
      <c r="U579">
        <v>42</v>
      </c>
      <c r="V579">
        <v>20260920038</v>
      </c>
    </row>
    <row r="580" spans="1:22" x14ac:dyDescent="0.2">
      <c r="A580" s="34" t="s">
        <v>122</v>
      </c>
      <c r="B580" s="28">
        <v>46285</v>
      </c>
      <c r="C580" s="34"/>
      <c r="D580" s="34" t="s">
        <v>340</v>
      </c>
      <c r="E580" s="34" t="s">
        <v>275</v>
      </c>
      <c r="F580" s="34" t="s">
        <v>276</v>
      </c>
      <c r="G580" s="34" t="s">
        <v>277</v>
      </c>
      <c r="H580" s="34" t="s">
        <v>278</v>
      </c>
      <c r="I580">
        <v>5</v>
      </c>
      <c r="J580">
        <v>0</v>
      </c>
      <c r="K580">
        <v>4</v>
      </c>
      <c r="L580">
        <v>1</v>
      </c>
      <c r="O580" s="28">
        <v>46283</v>
      </c>
      <c r="R580">
        <v>-1</v>
      </c>
      <c r="S580">
        <v>39</v>
      </c>
      <c r="T580">
        <v>7</v>
      </c>
      <c r="U580">
        <v>43</v>
      </c>
      <c r="V580">
        <v>20260920039</v>
      </c>
    </row>
    <row r="581" spans="1:22" x14ac:dyDescent="0.2">
      <c r="A581" s="34" t="s">
        <v>122</v>
      </c>
      <c r="B581" s="28">
        <v>46285</v>
      </c>
      <c r="C581" s="34"/>
      <c r="D581" s="34" t="s">
        <v>340</v>
      </c>
      <c r="E581" s="34" t="s">
        <v>279</v>
      </c>
      <c r="F581" s="34" t="s">
        <v>280</v>
      </c>
      <c r="G581" s="34" t="s">
        <v>281</v>
      </c>
      <c r="H581" s="34" t="s">
        <v>282</v>
      </c>
      <c r="I581">
        <v>6</v>
      </c>
      <c r="J581">
        <v>0</v>
      </c>
      <c r="K581">
        <v>6</v>
      </c>
      <c r="L581">
        <v>0</v>
      </c>
      <c r="O581" s="28">
        <v>46283</v>
      </c>
      <c r="R581">
        <v>-1</v>
      </c>
      <c r="S581">
        <v>40</v>
      </c>
      <c r="T581">
        <v>7</v>
      </c>
      <c r="U581">
        <v>44</v>
      </c>
      <c r="V581">
        <v>20260920040</v>
      </c>
    </row>
    <row r="582" spans="1:22" x14ac:dyDescent="0.2">
      <c r="A582" s="34" t="s">
        <v>122</v>
      </c>
      <c r="B582" s="28">
        <v>46285</v>
      </c>
      <c r="C582" s="34"/>
      <c r="D582" s="34" t="s">
        <v>340</v>
      </c>
      <c r="E582" s="34" t="s">
        <v>283</v>
      </c>
      <c r="F582" s="34" t="s">
        <v>284</v>
      </c>
      <c r="G582" s="34" t="s">
        <v>285</v>
      </c>
      <c r="H582" s="34" t="s">
        <v>286</v>
      </c>
      <c r="I582">
        <v>14</v>
      </c>
      <c r="J582">
        <v>0</v>
      </c>
      <c r="K582">
        <v>13</v>
      </c>
      <c r="L582">
        <v>1</v>
      </c>
      <c r="O582" s="28">
        <v>46283</v>
      </c>
      <c r="R582">
        <v>-1</v>
      </c>
      <c r="S582">
        <v>41</v>
      </c>
      <c r="T582">
        <v>7</v>
      </c>
      <c r="U582">
        <v>45</v>
      </c>
      <c r="V582">
        <v>20260920041</v>
      </c>
    </row>
    <row r="583" spans="1:22" x14ac:dyDescent="0.2">
      <c r="A583" s="34" t="s">
        <v>122</v>
      </c>
      <c r="B583" s="28">
        <v>46285</v>
      </c>
      <c r="C583" s="34"/>
      <c r="D583" s="34" t="s">
        <v>340</v>
      </c>
      <c r="E583" s="34" t="s">
        <v>287</v>
      </c>
      <c r="F583" s="34" t="s">
        <v>288</v>
      </c>
      <c r="G583" s="34" t="s">
        <v>289</v>
      </c>
      <c r="H583" s="34" t="s">
        <v>290</v>
      </c>
      <c r="I583">
        <v>14</v>
      </c>
      <c r="J583">
        <v>0</v>
      </c>
      <c r="K583">
        <v>22</v>
      </c>
      <c r="L583">
        <v>-8</v>
      </c>
      <c r="O583" s="28">
        <v>46283</v>
      </c>
      <c r="R583">
        <v>-1</v>
      </c>
      <c r="S583">
        <v>42</v>
      </c>
      <c r="T583">
        <v>7</v>
      </c>
      <c r="U583">
        <v>46</v>
      </c>
      <c r="V583">
        <v>20260920042</v>
      </c>
    </row>
    <row r="584" spans="1:22" x14ac:dyDescent="0.2">
      <c r="A584" s="34" t="s">
        <v>122</v>
      </c>
      <c r="B584" s="28">
        <v>46285</v>
      </c>
      <c r="C584" s="34"/>
      <c r="D584" s="34" t="s">
        <v>340</v>
      </c>
      <c r="E584" s="34" t="s">
        <v>291</v>
      </c>
      <c r="F584" s="34" t="s">
        <v>342</v>
      </c>
      <c r="G584" s="34" t="s">
        <v>292</v>
      </c>
      <c r="H584" s="34" t="s">
        <v>293</v>
      </c>
      <c r="I584">
        <v>22</v>
      </c>
      <c r="J584">
        <v>0</v>
      </c>
      <c r="K584">
        <v>22</v>
      </c>
      <c r="L584">
        <v>0</v>
      </c>
      <c r="O584" s="28">
        <v>46283</v>
      </c>
      <c r="R584">
        <v>-1</v>
      </c>
      <c r="S584">
        <v>43</v>
      </c>
      <c r="T584">
        <v>7</v>
      </c>
      <c r="U584">
        <v>47</v>
      </c>
      <c r="V584">
        <v>20260920043</v>
      </c>
    </row>
    <row r="585" spans="1:22" x14ac:dyDescent="0.2">
      <c r="A585" s="34" t="s">
        <v>122</v>
      </c>
      <c r="B585" s="28">
        <v>46285</v>
      </c>
      <c r="C585" s="34"/>
      <c r="D585" s="34" t="s">
        <v>340</v>
      </c>
      <c r="E585" s="34" t="s">
        <v>294</v>
      </c>
      <c r="F585" s="34" t="s">
        <v>295</v>
      </c>
      <c r="G585" s="34" t="s">
        <v>296</v>
      </c>
      <c r="H585" s="34" t="s">
        <v>297</v>
      </c>
      <c r="I585">
        <v>12</v>
      </c>
      <c r="J585">
        <v>0</v>
      </c>
      <c r="K585">
        <v>15</v>
      </c>
      <c r="L585">
        <v>-3</v>
      </c>
      <c r="O585" s="28">
        <v>46283</v>
      </c>
      <c r="R585">
        <v>-1</v>
      </c>
      <c r="S585">
        <v>44</v>
      </c>
      <c r="T585">
        <v>7</v>
      </c>
      <c r="U585">
        <v>48</v>
      </c>
      <c r="V585">
        <v>20260920044</v>
      </c>
    </row>
    <row r="586" spans="1:22" x14ac:dyDescent="0.2">
      <c r="A586" s="34" t="s">
        <v>122</v>
      </c>
      <c r="B586" s="28">
        <v>46285</v>
      </c>
      <c r="C586" s="34"/>
      <c r="D586" s="34" t="s">
        <v>340</v>
      </c>
      <c r="E586" s="34" t="s">
        <v>298</v>
      </c>
      <c r="F586" s="34" t="s">
        <v>299</v>
      </c>
      <c r="G586" s="34" t="s">
        <v>300</v>
      </c>
      <c r="H586" s="34" t="s">
        <v>301</v>
      </c>
      <c r="I586">
        <v>15</v>
      </c>
      <c r="J586">
        <v>0</v>
      </c>
      <c r="K586">
        <v>14</v>
      </c>
      <c r="L586">
        <v>1</v>
      </c>
      <c r="O586" s="28">
        <v>46283</v>
      </c>
      <c r="R586">
        <v>-1</v>
      </c>
      <c r="S586">
        <v>45</v>
      </c>
      <c r="T586">
        <v>7</v>
      </c>
      <c r="U586">
        <v>49</v>
      </c>
      <c r="V586">
        <v>20260920045</v>
      </c>
    </row>
    <row r="587" spans="1:22" x14ac:dyDescent="0.2">
      <c r="A587" s="34" t="s">
        <v>122</v>
      </c>
      <c r="B587" s="28">
        <v>46285</v>
      </c>
      <c r="C587" s="34"/>
      <c r="D587" s="34" t="s">
        <v>340</v>
      </c>
      <c r="E587" s="34" t="s">
        <v>302</v>
      </c>
      <c r="F587" s="34" t="s">
        <v>303</v>
      </c>
      <c r="G587" s="34" t="s">
        <v>304</v>
      </c>
      <c r="H587" s="34" t="s">
        <v>305</v>
      </c>
      <c r="I587">
        <v>6</v>
      </c>
      <c r="J587">
        <v>0</v>
      </c>
      <c r="K587">
        <v>8</v>
      </c>
      <c r="L587">
        <v>-2</v>
      </c>
      <c r="O587" s="28">
        <v>46283</v>
      </c>
      <c r="R587">
        <v>-1</v>
      </c>
      <c r="S587">
        <v>46</v>
      </c>
      <c r="T587">
        <v>7</v>
      </c>
      <c r="U587">
        <v>50</v>
      </c>
      <c r="V587">
        <v>20260920046</v>
      </c>
    </row>
    <row r="588" spans="1:22" x14ac:dyDescent="0.2">
      <c r="A588" s="34" t="s">
        <v>122</v>
      </c>
      <c r="B588" s="28">
        <v>46285</v>
      </c>
      <c r="C588" s="34"/>
      <c r="D588" s="34" t="s">
        <v>340</v>
      </c>
      <c r="E588" s="34" t="s">
        <v>306</v>
      </c>
      <c r="F588" s="34" t="s">
        <v>307</v>
      </c>
      <c r="G588" s="34" t="s">
        <v>308</v>
      </c>
      <c r="H588" s="34" t="s">
        <v>309</v>
      </c>
      <c r="I588">
        <v>10</v>
      </c>
      <c r="J588">
        <v>0</v>
      </c>
      <c r="K588">
        <v>8</v>
      </c>
      <c r="L588">
        <v>2</v>
      </c>
      <c r="O588" s="28">
        <v>46283</v>
      </c>
      <c r="R588">
        <v>-1</v>
      </c>
      <c r="S588">
        <v>47</v>
      </c>
      <c r="T588">
        <v>7</v>
      </c>
      <c r="U588">
        <v>51</v>
      </c>
      <c r="V588">
        <v>20260920047</v>
      </c>
    </row>
    <row r="589" spans="1:22" x14ac:dyDescent="0.2">
      <c r="A589" s="34" t="s">
        <v>122</v>
      </c>
      <c r="B589" s="28">
        <v>46285</v>
      </c>
      <c r="C589" s="34"/>
      <c r="D589" s="34" t="s">
        <v>340</v>
      </c>
      <c r="E589" s="34" t="s">
        <v>310</v>
      </c>
      <c r="F589" s="34" t="s">
        <v>311</v>
      </c>
      <c r="G589" s="34" t="s">
        <v>312</v>
      </c>
      <c r="H589" s="34" t="s">
        <v>313</v>
      </c>
      <c r="I589">
        <v>5</v>
      </c>
      <c r="J589">
        <v>0</v>
      </c>
      <c r="K589">
        <v>13</v>
      </c>
      <c r="L589">
        <v>-8</v>
      </c>
      <c r="O589" s="28">
        <v>46283</v>
      </c>
      <c r="R589">
        <v>-1</v>
      </c>
      <c r="S589">
        <v>48</v>
      </c>
      <c r="T589">
        <v>7</v>
      </c>
      <c r="U589">
        <v>52</v>
      </c>
      <c r="V589">
        <v>20260920048</v>
      </c>
    </row>
    <row r="590" spans="1:22" x14ac:dyDescent="0.2">
      <c r="A590" s="34" t="s">
        <v>122</v>
      </c>
      <c r="B590" s="28">
        <v>46285</v>
      </c>
      <c r="C590" s="34"/>
      <c r="D590" s="34" t="s">
        <v>340</v>
      </c>
      <c r="E590" s="34" t="s">
        <v>314</v>
      </c>
      <c r="F590" s="34" t="s">
        <v>315</v>
      </c>
      <c r="G590" s="34" t="s">
        <v>316</v>
      </c>
      <c r="H590" s="34" t="s">
        <v>317</v>
      </c>
      <c r="I590">
        <v>18</v>
      </c>
      <c r="J590">
        <v>0</v>
      </c>
      <c r="K590">
        <v>21</v>
      </c>
      <c r="L590">
        <v>-3</v>
      </c>
      <c r="O590" s="28">
        <v>46283</v>
      </c>
      <c r="R590">
        <v>-1</v>
      </c>
      <c r="S590">
        <v>49</v>
      </c>
      <c r="T590">
        <v>7</v>
      </c>
      <c r="U590">
        <v>53</v>
      </c>
      <c r="V590">
        <v>20260920049</v>
      </c>
    </row>
    <row r="591" spans="1:22" x14ac:dyDescent="0.2">
      <c r="A591" s="34" t="s">
        <v>122</v>
      </c>
      <c r="B591" s="28">
        <v>46285</v>
      </c>
      <c r="C591" s="34"/>
      <c r="D591" s="34" t="s">
        <v>340</v>
      </c>
      <c r="E591" s="34" t="s">
        <v>318</v>
      </c>
      <c r="F591" s="34" t="s">
        <v>319</v>
      </c>
      <c r="G591" s="34" t="s">
        <v>320</v>
      </c>
      <c r="H591" s="34" t="s">
        <v>321</v>
      </c>
      <c r="I591">
        <v>9</v>
      </c>
      <c r="J591">
        <v>0</v>
      </c>
      <c r="K591">
        <v>8</v>
      </c>
      <c r="L591">
        <v>1</v>
      </c>
      <c r="O591" s="28">
        <v>46283</v>
      </c>
      <c r="R591">
        <v>-1</v>
      </c>
      <c r="S591">
        <v>50</v>
      </c>
      <c r="T591">
        <v>7</v>
      </c>
      <c r="U591">
        <v>54</v>
      </c>
      <c r="V591">
        <v>20260920050</v>
      </c>
    </row>
    <row r="592" spans="1:22" x14ac:dyDescent="0.2">
      <c r="A592" s="34" t="s">
        <v>122</v>
      </c>
      <c r="B592" s="28">
        <v>46285</v>
      </c>
      <c r="C592" s="34"/>
      <c r="D592" s="34" t="s">
        <v>340</v>
      </c>
      <c r="E592" s="34" t="s">
        <v>322</v>
      </c>
      <c r="F592" s="34" t="s">
        <v>323</v>
      </c>
      <c r="G592" s="34" t="s">
        <v>324</v>
      </c>
      <c r="H592" s="34" t="s">
        <v>325</v>
      </c>
      <c r="I592">
        <v>5</v>
      </c>
      <c r="J592">
        <v>0</v>
      </c>
      <c r="K592">
        <v>4</v>
      </c>
      <c r="L592">
        <v>1</v>
      </c>
      <c r="O592" s="28">
        <v>46283</v>
      </c>
      <c r="R592">
        <v>-1</v>
      </c>
      <c r="S592">
        <v>51</v>
      </c>
      <c r="T592">
        <v>7</v>
      </c>
      <c r="U592">
        <v>55</v>
      </c>
      <c r="V592">
        <v>20260920051</v>
      </c>
    </row>
    <row r="593" spans="1:22" x14ac:dyDescent="0.2">
      <c r="A593" s="34" t="s">
        <v>122</v>
      </c>
      <c r="B593" s="28">
        <v>46285</v>
      </c>
      <c r="C593" s="34"/>
      <c r="D593" s="34" t="s">
        <v>340</v>
      </c>
      <c r="E593" s="34" t="s">
        <v>326</v>
      </c>
      <c r="F593" s="34" t="s">
        <v>327</v>
      </c>
      <c r="G593" s="34" t="s">
        <v>328</v>
      </c>
      <c r="H593" s="34" t="s">
        <v>329</v>
      </c>
      <c r="I593">
        <v>11</v>
      </c>
      <c r="J593">
        <v>0</v>
      </c>
      <c r="K593">
        <v>13</v>
      </c>
      <c r="L593">
        <v>-2</v>
      </c>
      <c r="O593" s="28">
        <v>46283</v>
      </c>
      <c r="R593">
        <v>-1</v>
      </c>
      <c r="S593">
        <v>52</v>
      </c>
      <c r="T593">
        <v>7</v>
      </c>
      <c r="U593">
        <v>73</v>
      </c>
      <c r="V593">
        <v>20260920052</v>
      </c>
    </row>
    <row r="594" spans="1:22" x14ac:dyDescent="0.2">
      <c r="A594" s="34" t="s">
        <v>122</v>
      </c>
      <c r="B594" s="28">
        <v>46285</v>
      </c>
      <c r="C594" s="34"/>
      <c r="D594" s="34" t="s">
        <v>340</v>
      </c>
      <c r="E594" s="34" t="s">
        <v>330</v>
      </c>
      <c r="F594" s="34" t="s">
        <v>331</v>
      </c>
      <c r="G594" s="34" t="s">
        <v>332</v>
      </c>
      <c r="H594" s="34" t="s">
        <v>333</v>
      </c>
      <c r="I594">
        <v>3</v>
      </c>
      <c r="J594">
        <v>0</v>
      </c>
      <c r="K594">
        <v>13</v>
      </c>
      <c r="L594">
        <v>-10</v>
      </c>
      <c r="O594" s="28">
        <v>46283</v>
      </c>
      <c r="R594">
        <v>-1</v>
      </c>
      <c r="S594">
        <v>53</v>
      </c>
      <c r="T594">
        <v>7</v>
      </c>
      <c r="U594">
        <v>74</v>
      </c>
      <c r="V594">
        <v>20260920053</v>
      </c>
    </row>
    <row r="595" spans="1:22" x14ac:dyDescent="0.2">
      <c r="A595" s="34" t="s">
        <v>122</v>
      </c>
      <c r="B595" s="28">
        <v>46285</v>
      </c>
      <c r="C595" s="34"/>
      <c r="D595" s="34" t="s">
        <v>340</v>
      </c>
      <c r="E595" s="34" t="s">
        <v>334</v>
      </c>
      <c r="F595" s="34" t="s">
        <v>335</v>
      </c>
      <c r="G595" s="34" t="s">
        <v>336</v>
      </c>
      <c r="H595" s="34" t="s">
        <v>337</v>
      </c>
      <c r="I595">
        <v>11</v>
      </c>
      <c r="J595">
        <v>0</v>
      </c>
      <c r="K595">
        <v>14</v>
      </c>
      <c r="L595">
        <v>-3</v>
      </c>
      <c r="O595" s="28">
        <v>46283</v>
      </c>
      <c r="R595">
        <v>-1</v>
      </c>
      <c r="S595">
        <v>54</v>
      </c>
      <c r="T595">
        <v>7</v>
      </c>
      <c r="U595">
        <v>75</v>
      </c>
      <c r="V595">
        <v>20260920054</v>
      </c>
    </row>
    <row r="596" spans="1:22" x14ac:dyDescent="0.2">
      <c r="A596" s="34" t="s">
        <v>122</v>
      </c>
      <c r="B596" s="28">
        <v>46286</v>
      </c>
      <c r="C596" s="34"/>
      <c r="D596" s="34" t="s">
        <v>339</v>
      </c>
      <c r="E596" s="34" t="s">
        <v>124</v>
      </c>
      <c r="F596" s="34" t="s">
        <v>125</v>
      </c>
      <c r="G596" s="34" t="s">
        <v>126</v>
      </c>
      <c r="H596" s="34" t="s">
        <v>127</v>
      </c>
      <c r="I596">
        <v>8</v>
      </c>
      <c r="J596">
        <v>0</v>
      </c>
      <c r="K596">
        <v>12</v>
      </c>
      <c r="L596">
        <v>-4</v>
      </c>
      <c r="O596" s="28">
        <v>46285</v>
      </c>
      <c r="R596">
        <v>-1</v>
      </c>
      <c r="S596">
        <v>1</v>
      </c>
      <c r="T596">
        <v>6</v>
      </c>
      <c r="U596">
        <v>1</v>
      </c>
      <c r="V596">
        <v>20260921001</v>
      </c>
    </row>
    <row r="597" spans="1:22" x14ac:dyDescent="0.2">
      <c r="A597" s="34" t="s">
        <v>122</v>
      </c>
      <c r="B597" s="28">
        <v>46286</v>
      </c>
      <c r="C597" s="34"/>
      <c r="D597" s="34" t="s">
        <v>339</v>
      </c>
      <c r="E597" s="34" t="s">
        <v>128</v>
      </c>
      <c r="F597" s="34" t="s">
        <v>129</v>
      </c>
      <c r="G597" s="34" t="s">
        <v>130</v>
      </c>
      <c r="H597" s="34" t="s">
        <v>131</v>
      </c>
      <c r="I597">
        <v>5</v>
      </c>
      <c r="J597">
        <v>0</v>
      </c>
      <c r="K597">
        <v>5</v>
      </c>
      <c r="L597">
        <v>0</v>
      </c>
      <c r="O597" s="28">
        <v>46285</v>
      </c>
      <c r="R597">
        <v>-1</v>
      </c>
      <c r="S597">
        <v>2</v>
      </c>
      <c r="T597">
        <v>6</v>
      </c>
      <c r="U597">
        <v>2</v>
      </c>
      <c r="V597">
        <v>20260921002</v>
      </c>
    </row>
    <row r="598" spans="1:22" x14ac:dyDescent="0.2">
      <c r="A598" s="34" t="s">
        <v>122</v>
      </c>
      <c r="B598" s="28">
        <v>46286</v>
      </c>
      <c r="C598" s="34"/>
      <c r="D598" s="34" t="s">
        <v>339</v>
      </c>
      <c r="E598" s="34" t="s">
        <v>132</v>
      </c>
      <c r="F598" s="34" t="s">
        <v>133</v>
      </c>
      <c r="G598" s="34" t="s">
        <v>134</v>
      </c>
      <c r="H598" s="34" t="s">
        <v>135</v>
      </c>
      <c r="I598">
        <v>3</v>
      </c>
      <c r="J598">
        <v>0</v>
      </c>
      <c r="K598">
        <v>5</v>
      </c>
      <c r="L598">
        <v>-2</v>
      </c>
      <c r="O598" s="28">
        <v>46285</v>
      </c>
      <c r="R598">
        <v>-1</v>
      </c>
      <c r="S598">
        <v>3</v>
      </c>
      <c r="T598">
        <v>6</v>
      </c>
      <c r="U598">
        <v>3</v>
      </c>
      <c r="V598">
        <v>20260921003</v>
      </c>
    </row>
    <row r="599" spans="1:22" x14ac:dyDescent="0.2">
      <c r="A599" s="34" t="s">
        <v>122</v>
      </c>
      <c r="B599" s="28">
        <v>46286</v>
      </c>
      <c r="C599" s="34"/>
      <c r="D599" s="34" t="s">
        <v>339</v>
      </c>
      <c r="E599" s="34" t="s">
        <v>136</v>
      </c>
      <c r="F599" s="34" t="s">
        <v>137</v>
      </c>
      <c r="G599" s="34" t="s">
        <v>138</v>
      </c>
      <c r="H599" s="34" t="s">
        <v>139</v>
      </c>
      <c r="I599">
        <v>2</v>
      </c>
      <c r="J599">
        <v>0</v>
      </c>
      <c r="K599">
        <v>8</v>
      </c>
      <c r="L599">
        <v>-6</v>
      </c>
      <c r="O599" s="28">
        <v>46285</v>
      </c>
      <c r="R599">
        <v>-1</v>
      </c>
      <c r="S599">
        <v>4</v>
      </c>
      <c r="T599">
        <v>6</v>
      </c>
      <c r="U599">
        <v>4</v>
      </c>
      <c r="V599">
        <v>20260921004</v>
      </c>
    </row>
    <row r="600" spans="1:22" x14ac:dyDescent="0.2">
      <c r="A600" s="34" t="s">
        <v>122</v>
      </c>
      <c r="B600" s="28">
        <v>46286</v>
      </c>
      <c r="C600" s="34"/>
      <c r="D600" s="34" t="s">
        <v>339</v>
      </c>
      <c r="E600" s="34" t="s">
        <v>140</v>
      </c>
      <c r="F600" s="34" t="s">
        <v>141</v>
      </c>
      <c r="G600" s="34" t="s">
        <v>142</v>
      </c>
      <c r="H600" s="34" t="s">
        <v>143</v>
      </c>
      <c r="I600">
        <v>5</v>
      </c>
      <c r="J600">
        <v>0</v>
      </c>
      <c r="K600">
        <v>5</v>
      </c>
      <c r="L600">
        <v>0</v>
      </c>
      <c r="O600" s="28">
        <v>46285</v>
      </c>
      <c r="R600">
        <v>-1</v>
      </c>
      <c r="S600">
        <v>5</v>
      </c>
      <c r="T600">
        <v>6</v>
      </c>
      <c r="U600">
        <v>5</v>
      </c>
      <c r="V600">
        <v>20260921005</v>
      </c>
    </row>
    <row r="601" spans="1:22" x14ac:dyDescent="0.2">
      <c r="A601" s="34" t="s">
        <v>122</v>
      </c>
      <c r="B601" s="28">
        <v>46286</v>
      </c>
      <c r="C601" s="34"/>
      <c r="D601" s="34" t="s">
        <v>339</v>
      </c>
      <c r="E601" s="34" t="s">
        <v>144</v>
      </c>
      <c r="F601" s="34" t="s">
        <v>145</v>
      </c>
      <c r="G601" s="34" t="s">
        <v>146</v>
      </c>
      <c r="H601" s="34" t="s">
        <v>147</v>
      </c>
      <c r="I601">
        <v>11</v>
      </c>
      <c r="J601">
        <v>0</v>
      </c>
      <c r="K601">
        <v>9</v>
      </c>
      <c r="L601">
        <v>2</v>
      </c>
      <c r="O601" s="28">
        <v>46285</v>
      </c>
      <c r="R601">
        <v>-1</v>
      </c>
      <c r="S601">
        <v>6</v>
      </c>
      <c r="T601">
        <v>6</v>
      </c>
      <c r="U601">
        <v>6</v>
      </c>
      <c r="V601">
        <v>20260921006</v>
      </c>
    </row>
    <row r="602" spans="1:22" x14ac:dyDescent="0.2">
      <c r="A602" s="34" t="s">
        <v>122</v>
      </c>
      <c r="B602" s="28">
        <v>46286</v>
      </c>
      <c r="C602" s="34"/>
      <c r="D602" s="34" t="s">
        <v>339</v>
      </c>
      <c r="E602" s="34" t="s">
        <v>148</v>
      </c>
      <c r="F602" s="34" t="s">
        <v>149</v>
      </c>
      <c r="G602" s="34" t="s">
        <v>150</v>
      </c>
      <c r="H602" s="34" t="s">
        <v>151</v>
      </c>
      <c r="I602">
        <v>4</v>
      </c>
      <c r="J602">
        <v>0</v>
      </c>
      <c r="K602">
        <v>4</v>
      </c>
      <c r="L602">
        <v>0</v>
      </c>
      <c r="O602" s="28">
        <v>46285</v>
      </c>
      <c r="R602">
        <v>-1</v>
      </c>
      <c r="S602">
        <v>7</v>
      </c>
      <c r="T602">
        <v>6</v>
      </c>
      <c r="U602">
        <v>7</v>
      </c>
      <c r="V602">
        <v>20260921007</v>
      </c>
    </row>
    <row r="603" spans="1:22" x14ac:dyDescent="0.2">
      <c r="A603" s="34" t="s">
        <v>122</v>
      </c>
      <c r="B603" s="28">
        <v>46286</v>
      </c>
      <c r="C603" s="34"/>
      <c r="D603" s="34" t="s">
        <v>339</v>
      </c>
      <c r="E603" s="34" t="s">
        <v>152</v>
      </c>
      <c r="F603" s="34" t="s">
        <v>153</v>
      </c>
      <c r="G603" s="34" t="s">
        <v>154</v>
      </c>
      <c r="H603" s="34" t="s">
        <v>155</v>
      </c>
      <c r="I603">
        <v>20</v>
      </c>
      <c r="J603">
        <v>0</v>
      </c>
      <c r="K603">
        <v>16</v>
      </c>
      <c r="L603">
        <v>4</v>
      </c>
      <c r="O603" s="28">
        <v>46285</v>
      </c>
      <c r="R603">
        <v>-1</v>
      </c>
      <c r="S603">
        <v>8</v>
      </c>
      <c r="T603">
        <v>6</v>
      </c>
      <c r="U603">
        <v>8</v>
      </c>
      <c r="V603">
        <v>20260921008</v>
      </c>
    </row>
    <row r="604" spans="1:22" x14ac:dyDescent="0.2">
      <c r="A604" s="34" t="s">
        <v>122</v>
      </c>
      <c r="B604" s="28">
        <v>46286</v>
      </c>
      <c r="C604" s="34"/>
      <c r="D604" s="34" t="s">
        <v>339</v>
      </c>
      <c r="E604" s="34" t="s">
        <v>156</v>
      </c>
      <c r="F604" s="34" t="s">
        <v>157</v>
      </c>
      <c r="G604" s="34" t="s">
        <v>158</v>
      </c>
      <c r="H604" s="34" t="s">
        <v>159</v>
      </c>
      <c r="I604">
        <v>18</v>
      </c>
      <c r="J604">
        <v>0</v>
      </c>
      <c r="K604">
        <v>16</v>
      </c>
      <c r="L604">
        <v>2</v>
      </c>
      <c r="O604" s="28">
        <v>46285</v>
      </c>
      <c r="R604">
        <v>-1</v>
      </c>
      <c r="S604">
        <v>9</v>
      </c>
      <c r="T604">
        <v>6</v>
      </c>
      <c r="U604">
        <v>9</v>
      </c>
      <c r="V604">
        <v>20260921009</v>
      </c>
    </row>
    <row r="605" spans="1:22" x14ac:dyDescent="0.2">
      <c r="A605" s="34" t="s">
        <v>122</v>
      </c>
      <c r="B605" s="28">
        <v>46286</v>
      </c>
      <c r="C605" s="34"/>
      <c r="D605" s="34" t="s">
        <v>339</v>
      </c>
      <c r="E605" s="34" t="s">
        <v>160</v>
      </c>
      <c r="F605" s="34" t="s">
        <v>161</v>
      </c>
      <c r="G605" s="34" t="s">
        <v>162</v>
      </c>
      <c r="H605" s="34" t="s">
        <v>163</v>
      </c>
      <c r="I605">
        <v>15</v>
      </c>
      <c r="J605">
        <v>0</v>
      </c>
      <c r="K605">
        <v>15</v>
      </c>
      <c r="L605">
        <v>0</v>
      </c>
      <c r="O605" s="28">
        <v>46285</v>
      </c>
      <c r="R605">
        <v>-1</v>
      </c>
      <c r="S605">
        <v>10</v>
      </c>
      <c r="T605">
        <v>6</v>
      </c>
      <c r="U605">
        <v>10</v>
      </c>
      <c r="V605">
        <v>20260921010</v>
      </c>
    </row>
    <row r="606" spans="1:22" x14ac:dyDescent="0.2">
      <c r="A606" s="34" t="s">
        <v>122</v>
      </c>
      <c r="B606" s="28">
        <v>46286</v>
      </c>
      <c r="C606" s="34"/>
      <c r="D606" s="34" t="s">
        <v>339</v>
      </c>
      <c r="E606" s="34" t="s">
        <v>164</v>
      </c>
      <c r="F606" s="34" t="s">
        <v>165</v>
      </c>
      <c r="G606" s="34" t="s">
        <v>166</v>
      </c>
      <c r="H606" s="34" t="s">
        <v>167</v>
      </c>
      <c r="I606">
        <v>33</v>
      </c>
      <c r="J606">
        <v>0</v>
      </c>
      <c r="K606">
        <v>39</v>
      </c>
      <c r="L606">
        <v>-6</v>
      </c>
      <c r="O606" s="28">
        <v>46285</v>
      </c>
      <c r="R606">
        <v>-1</v>
      </c>
      <c r="S606">
        <v>11</v>
      </c>
      <c r="T606">
        <v>6</v>
      </c>
      <c r="U606">
        <v>11</v>
      </c>
      <c r="V606">
        <v>20260921011</v>
      </c>
    </row>
    <row r="607" spans="1:22" x14ac:dyDescent="0.2">
      <c r="A607" s="34" t="s">
        <v>122</v>
      </c>
      <c r="B607" s="28">
        <v>46286</v>
      </c>
      <c r="C607" s="34"/>
      <c r="D607" s="34" t="s">
        <v>339</v>
      </c>
      <c r="E607" s="34" t="s">
        <v>168</v>
      </c>
      <c r="F607" s="34" t="s">
        <v>169</v>
      </c>
      <c r="G607" s="34" t="s">
        <v>170</v>
      </c>
      <c r="H607" s="34" t="s">
        <v>171</v>
      </c>
      <c r="I607">
        <v>10</v>
      </c>
      <c r="J607">
        <v>0</v>
      </c>
      <c r="K607">
        <v>10</v>
      </c>
      <c r="L607">
        <v>0</v>
      </c>
      <c r="O607" s="28">
        <v>46285</v>
      </c>
      <c r="R607">
        <v>-1</v>
      </c>
      <c r="S607">
        <v>12</v>
      </c>
      <c r="T607">
        <v>6</v>
      </c>
      <c r="U607">
        <v>12</v>
      </c>
      <c r="V607">
        <v>20260921012</v>
      </c>
    </row>
    <row r="608" spans="1:22" x14ac:dyDescent="0.2">
      <c r="A608" s="34" t="s">
        <v>122</v>
      </c>
      <c r="B608" s="28">
        <v>46286</v>
      </c>
      <c r="C608" s="34"/>
      <c r="D608" s="34" t="s">
        <v>339</v>
      </c>
      <c r="E608" s="34" t="s">
        <v>172</v>
      </c>
      <c r="F608" s="34" t="s">
        <v>173</v>
      </c>
      <c r="G608" s="34" t="s">
        <v>174</v>
      </c>
      <c r="H608" s="34" t="s">
        <v>175</v>
      </c>
      <c r="I608">
        <v>13</v>
      </c>
      <c r="J608">
        <v>0</v>
      </c>
      <c r="K608">
        <v>13</v>
      </c>
      <c r="L608">
        <v>0</v>
      </c>
      <c r="O608" s="28">
        <v>46285</v>
      </c>
      <c r="R608">
        <v>-1</v>
      </c>
      <c r="S608">
        <v>13</v>
      </c>
      <c r="T608">
        <v>6</v>
      </c>
      <c r="U608">
        <v>13</v>
      </c>
      <c r="V608">
        <v>20260921013</v>
      </c>
    </row>
    <row r="609" spans="1:22" x14ac:dyDescent="0.2">
      <c r="A609" s="34" t="s">
        <v>122</v>
      </c>
      <c r="B609" s="28">
        <v>46286</v>
      </c>
      <c r="C609" s="34"/>
      <c r="D609" s="34" t="s">
        <v>339</v>
      </c>
      <c r="E609" s="34" t="s">
        <v>176</v>
      </c>
      <c r="F609" s="34" t="s">
        <v>177</v>
      </c>
      <c r="G609" s="34" t="s">
        <v>178</v>
      </c>
      <c r="H609" s="34" t="s">
        <v>179</v>
      </c>
      <c r="I609">
        <v>28</v>
      </c>
      <c r="J609">
        <v>0</v>
      </c>
      <c r="K609">
        <v>25</v>
      </c>
      <c r="L609">
        <v>3</v>
      </c>
      <c r="O609" s="28">
        <v>46285</v>
      </c>
      <c r="R609">
        <v>-1</v>
      </c>
      <c r="S609">
        <v>14</v>
      </c>
      <c r="T609">
        <v>6</v>
      </c>
      <c r="U609">
        <v>14</v>
      </c>
      <c r="V609">
        <v>20260921014</v>
      </c>
    </row>
    <row r="610" spans="1:22" x14ac:dyDescent="0.2">
      <c r="A610" s="34" t="s">
        <v>122</v>
      </c>
      <c r="B610" s="28">
        <v>46286</v>
      </c>
      <c r="C610" s="34"/>
      <c r="D610" s="34" t="s">
        <v>339</v>
      </c>
      <c r="E610" s="34" t="s">
        <v>180</v>
      </c>
      <c r="F610" s="34" t="s">
        <v>181</v>
      </c>
      <c r="G610" s="34" t="s">
        <v>182</v>
      </c>
      <c r="H610" s="34" t="s">
        <v>183</v>
      </c>
      <c r="I610">
        <v>18</v>
      </c>
      <c r="J610">
        <v>0</v>
      </c>
      <c r="K610">
        <v>18</v>
      </c>
      <c r="L610">
        <v>0</v>
      </c>
      <c r="O610" s="28">
        <v>46285</v>
      </c>
      <c r="R610">
        <v>-1</v>
      </c>
      <c r="S610">
        <v>15</v>
      </c>
      <c r="T610">
        <v>6</v>
      </c>
      <c r="U610">
        <v>15</v>
      </c>
      <c r="V610">
        <v>20260921015</v>
      </c>
    </row>
    <row r="611" spans="1:22" x14ac:dyDescent="0.2">
      <c r="A611" s="34" t="s">
        <v>122</v>
      </c>
      <c r="B611" s="28">
        <v>46286</v>
      </c>
      <c r="C611" s="34"/>
      <c r="D611" s="34" t="s">
        <v>339</v>
      </c>
      <c r="E611" s="34" t="s">
        <v>184</v>
      </c>
      <c r="F611" s="34" t="s">
        <v>185</v>
      </c>
      <c r="G611" s="34" t="s">
        <v>186</v>
      </c>
      <c r="H611" s="34" t="s">
        <v>187</v>
      </c>
      <c r="I611">
        <v>13</v>
      </c>
      <c r="J611">
        <v>0</v>
      </c>
      <c r="K611">
        <v>13</v>
      </c>
      <c r="L611">
        <v>0</v>
      </c>
      <c r="O611" s="28">
        <v>46285</v>
      </c>
      <c r="R611">
        <v>-1</v>
      </c>
      <c r="S611">
        <v>16</v>
      </c>
      <c r="T611">
        <v>6</v>
      </c>
      <c r="U611">
        <v>16</v>
      </c>
      <c r="V611">
        <v>20260921016</v>
      </c>
    </row>
    <row r="612" spans="1:22" x14ac:dyDescent="0.2">
      <c r="A612" s="34" t="s">
        <v>122</v>
      </c>
      <c r="B612" s="28">
        <v>46286</v>
      </c>
      <c r="C612" s="34"/>
      <c r="D612" s="34" t="s">
        <v>339</v>
      </c>
      <c r="E612" s="34" t="s">
        <v>188</v>
      </c>
      <c r="F612" s="34" t="s">
        <v>189</v>
      </c>
      <c r="G612" s="34" t="s">
        <v>190</v>
      </c>
      <c r="H612" s="34" t="s">
        <v>191</v>
      </c>
      <c r="I612">
        <v>4</v>
      </c>
      <c r="J612">
        <v>0</v>
      </c>
      <c r="K612">
        <v>4</v>
      </c>
      <c r="L612">
        <v>0</v>
      </c>
      <c r="O612" s="28">
        <v>46285</v>
      </c>
      <c r="R612">
        <v>-1</v>
      </c>
      <c r="S612">
        <v>17</v>
      </c>
      <c r="T612">
        <v>6</v>
      </c>
      <c r="U612">
        <v>21</v>
      </c>
      <c r="V612">
        <v>20260921017</v>
      </c>
    </row>
    <row r="613" spans="1:22" x14ac:dyDescent="0.2">
      <c r="A613" s="34" t="s">
        <v>122</v>
      </c>
      <c r="B613" s="28">
        <v>46286</v>
      </c>
      <c r="C613" s="34"/>
      <c r="D613" s="34" t="s">
        <v>339</v>
      </c>
      <c r="E613" s="34" t="s">
        <v>192</v>
      </c>
      <c r="F613" s="34" t="s">
        <v>193</v>
      </c>
      <c r="G613" s="34" t="s">
        <v>194</v>
      </c>
      <c r="H613" s="34" t="s">
        <v>195</v>
      </c>
      <c r="I613">
        <v>4</v>
      </c>
      <c r="J613">
        <v>0</v>
      </c>
      <c r="K613">
        <v>4</v>
      </c>
      <c r="L613">
        <v>0</v>
      </c>
      <c r="O613" s="28">
        <v>46285</v>
      </c>
      <c r="R613">
        <v>-1</v>
      </c>
      <c r="S613">
        <v>18</v>
      </c>
      <c r="T613">
        <v>6</v>
      </c>
      <c r="U613">
        <v>22</v>
      </c>
      <c r="V613">
        <v>20260921018</v>
      </c>
    </row>
    <row r="614" spans="1:22" x14ac:dyDescent="0.2">
      <c r="A614" s="34" t="s">
        <v>122</v>
      </c>
      <c r="B614" s="28">
        <v>46286</v>
      </c>
      <c r="C614" s="34"/>
      <c r="D614" s="34" t="s">
        <v>339</v>
      </c>
      <c r="E614" s="34" t="s">
        <v>196</v>
      </c>
      <c r="F614" s="34" t="s">
        <v>197</v>
      </c>
      <c r="G614" s="34" t="s">
        <v>198</v>
      </c>
      <c r="H614" s="34" t="s">
        <v>199</v>
      </c>
      <c r="I614">
        <v>12</v>
      </c>
      <c r="J614">
        <v>0</v>
      </c>
      <c r="K614">
        <v>12</v>
      </c>
      <c r="L614">
        <v>0</v>
      </c>
      <c r="O614" s="28">
        <v>46285</v>
      </c>
      <c r="R614">
        <v>-1</v>
      </c>
      <c r="S614">
        <v>19</v>
      </c>
      <c r="T614">
        <v>6</v>
      </c>
      <c r="U614">
        <v>23</v>
      </c>
      <c r="V614">
        <v>20260921019</v>
      </c>
    </row>
    <row r="615" spans="1:22" x14ac:dyDescent="0.2">
      <c r="A615" s="34" t="s">
        <v>122</v>
      </c>
      <c r="B615" s="28">
        <v>46286</v>
      </c>
      <c r="C615" s="34"/>
      <c r="D615" s="34" t="s">
        <v>339</v>
      </c>
      <c r="E615" s="34" t="s">
        <v>200</v>
      </c>
      <c r="F615" s="34" t="s">
        <v>201</v>
      </c>
      <c r="G615" s="34" t="s">
        <v>202</v>
      </c>
      <c r="H615" s="34" t="s">
        <v>203</v>
      </c>
      <c r="I615">
        <v>21</v>
      </c>
      <c r="J615">
        <v>0</v>
      </c>
      <c r="K615">
        <v>11</v>
      </c>
      <c r="L615">
        <v>10</v>
      </c>
      <c r="O615" s="28">
        <v>46285</v>
      </c>
      <c r="R615">
        <v>-1</v>
      </c>
      <c r="S615">
        <v>20</v>
      </c>
      <c r="T615">
        <v>6</v>
      </c>
      <c r="U615">
        <v>24</v>
      </c>
      <c r="V615">
        <v>20260921020</v>
      </c>
    </row>
    <row r="616" spans="1:22" x14ac:dyDescent="0.2">
      <c r="A616" s="34" t="s">
        <v>122</v>
      </c>
      <c r="B616" s="28">
        <v>46286</v>
      </c>
      <c r="C616" s="34"/>
      <c r="D616" s="34" t="s">
        <v>339</v>
      </c>
      <c r="E616" s="34" t="s">
        <v>204</v>
      </c>
      <c r="F616" s="34" t="s">
        <v>205</v>
      </c>
      <c r="G616" s="34" t="s">
        <v>206</v>
      </c>
      <c r="H616" s="34" t="s">
        <v>207</v>
      </c>
      <c r="I616">
        <v>7</v>
      </c>
      <c r="J616">
        <v>0</v>
      </c>
      <c r="K616">
        <v>7</v>
      </c>
      <c r="L616">
        <v>0</v>
      </c>
      <c r="O616" s="28">
        <v>46285</v>
      </c>
      <c r="R616">
        <v>-1</v>
      </c>
      <c r="S616">
        <v>21</v>
      </c>
      <c r="T616">
        <v>6</v>
      </c>
      <c r="U616">
        <v>25</v>
      </c>
      <c r="V616">
        <v>20260921021</v>
      </c>
    </row>
    <row r="617" spans="1:22" x14ac:dyDescent="0.2">
      <c r="A617" s="34" t="s">
        <v>122</v>
      </c>
      <c r="B617" s="28">
        <v>46286</v>
      </c>
      <c r="C617" s="34"/>
      <c r="D617" s="34" t="s">
        <v>339</v>
      </c>
      <c r="E617" s="34" t="s">
        <v>208</v>
      </c>
      <c r="F617" s="34" t="s">
        <v>209</v>
      </c>
      <c r="G617" s="34" t="s">
        <v>210</v>
      </c>
      <c r="H617" s="34" t="s">
        <v>211</v>
      </c>
      <c r="I617">
        <v>5</v>
      </c>
      <c r="J617">
        <v>0</v>
      </c>
      <c r="K617">
        <v>13</v>
      </c>
      <c r="L617">
        <v>-8</v>
      </c>
      <c r="O617" s="28">
        <v>46285</v>
      </c>
      <c r="R617">
        <v>-1</v>
      </c>
      <c r="S617">
        <v>22</v>
      </c>
      <c r="T617">
        <v>6</v>
      </c>
      <c r="U617">
        <v>26</v>
      </c>
      <c r="V617">
        <v>20260921022</v>
      </c>
    </row>
    <row r="618" spans="1:22" x14ac:dyDescent="0.2">
      <c r="A618" s="34" t="s">
        <v>122</v>
      </c>
      <c r="B618" s="28">
        <v>46286</v>
      </c>
      <c r="C618" s="34"/>
      <c r="D618" s="34" t="s">
        <v>339</v>
      </c>
      <c r="E618" s="34" t="s">
        <v>212</v>
      </c>
      <c r="F618" s="34" t="s">
        <v>213</v>
      </c>
      <c r="G618" s="34" t="s">
        <v>214</v>
      </c>
      <c r="H618" s="34" t="s">
        <v>215</v>
      </c>
      <c r="I618">
        <v>10</v>
      </c>
      <c r="J618">
        <v>0</v>
      </c>
      <c r="K618">
        <v>3</v>
      </c>
      <c r="L618">
        <v>7</v>
      </c>
      <c r="O618" s="28">
        <v>46285</v>
      </c>
      <c r="R618">
        <v>-1</v>
      </c>
      <c r="S618">
        <v>23</v>
      </c>
      <c r="T618">
        <v>6</v>
      </c>
      <c r="U618">
        <v>27</v>
      </c>
      <c r="V618">
        <v>20260921023</v>
      </c>
    </row>
    <row r="619" spans="1:22" x14ac:dyDescent="0.2">
      <c r="A619" s="34" t="s">
        <v>122</v>
      </c>
      <c r="B619" s="28">
        <v>46286</v>
      </c>
      <c r="C619" s="34"/>
      <c r="D619" s="34" t="s">
        <v>339</v>
      </c>
      <c r="E619" s="34" t="s">
        <v>216</v>
      </c>
      <c r="F619" s="34" t="s">
        <v>217</v>
      </c>
      <c r="G619" s="34" t="s">
        <v>218</v>
      </c>
      <c r="H619" s="34" t="s">
        <v>219</v>
      </c>
      <c r="I619">
        <v>8</v>
      </c>
      <c r="J619">
        <v>0</v>
      </c>
      <c r="K619">
        <v>6</v>
      </c>
      <c r="L619">
        <v>2</v>
      </c>
      <c r="O619" s="28">
        <v>46285</v>
      </c>
      <c r="R619">
        <v>-1</v>
      </c>
      <c r="S619">
        <v>24</v>
      </c>
      <c r="T619">
        <v>6</v>
      </c>
      <c r="U619">
        <v>28</v>
      </c>
      <c r="V619">
        <v>20260921024</v>
      </c>
    </row>
    <row r="620" spans="1:22" x14ac:dyDescent="0.2">
      <c r="A620" s="34" t="s">
        <v>122</v>
      </c>
      <c r="B620" s="28">
        <v>46286</v>
      </c>
      <c r="C620" s="34"/>
      <c r="D620" s="34" t="s">
        <v>339</v>
      </c>
      <c r="E620" s="34" t="s">
        <v>220</v>
      </c>
      <c r="F620" s="34" t="s">
        <v>221</v>
      </c>
      <c r="G620" s="34" t="s">
        <v>222</v>
      </c>
      <c r="H620" s="34" t="s">
        <v>223</v>
      </c>
      <c r="I620">
        <v>12</v>
      </c>
      <c r="J620">
        <v>0</v>
      </c>
      <c r="K620">
        <v>9</v>
      </c>
      <c r="L620">
        <v>3</v>
      </c>
      <c r="O620" s="28">
        <v>46285</v>
      </c>
      <c r="R620">
        <v>-1</v>
      </c>
      <c r="S620">
        <v>25</v>
      </c>
      <c r="T620">
        <v>6</v>
      </c>
      <c r="U620">
        <v>29</v>
      </c>
      <c r="V620">
        <v>20260921025</v>
      </c>
    </row>
    <row r="621" spans="1:22" x14ac:dyDescent="0.2">
      <c r="A621" s="34" t="s">
        <v>122</v>
      </c>
      <c r="B621" s="28">
        <v>46286</v>
      </c>
      <c r="C621" s="34"/>
      <c r="D621" s="34" t="s">
        <v>339</v>
      </c>
      <c r="E621" s="34" t="s">
        <v>224</v>
      </c>
      <c r="F621" s="34" t="s">
        <v>225</v>
      </c>
      <c r="G621" s="34" t="s">
        <v>226</v>
      </c>
      <c r="H621" s="34" t="s">
        <v>227</v>
      </c>
      <c r="I621">
        <v>12</v>
      </c>
      <c r="J621">
        <v>0</v>
      </c>
      <c r="K621">
        <v>12</v>
      </c>
      <c r="L621">
        <v>0</v>
      </c>
      <c r="O621" s="28">
        <v>46285</v>
      </c>
      <c r="R621">
        <v>-1</v>
      </c>
      <c r="S621">
        <v>26</v>
      </c>
      <c r="T621">
        <v>6</v>
      </c>
      <c r="U621">
        <v>30</v>
      </c>
      <c r="V621">
        <v>20260921026</v>
      </c>
    </row>
    <row r="622" spans="1:22" x14ac:dyDescent="0.2">
      <c r="A622" s="34" t="s">
        <v>122</v>
      </c>
      <c r="B622" s="28">
        <v>46286</v>
      </c>
      <c r="C622" s="34"/>
      <c r="D622" s="34" t="s">
        <v>339</v>
      </c>
      <c r="E622" s="34" t="s">
        <v>228</v>
      </c>
      <c r="F622" s="34" t="s">
        <v>229</v>
      </c>
      <c r="G622" s="34" t="s">
        <v>230</v>
      </c>
      <c r="H622" s="34" t="s">
        <v>231</v>
      </c>
      <c r="I622">
        <v>12</v>
      </c>
      <c r="J622">
        <v>0</v>
      </c>
      <c r="K622">
        <v>9</v>
      </c>
      <c r="L622">
        <v>3</v>
      </c>
      <c r="O622" s="28">
        <v>46285</v>
      </c>
      <c r="R622">
        <v>-1</v>
      </c>
      <c r="S622">
        <v>27</v>
      </c>
      <c r="T622">
        <v>6</v>
      </c>
      <c r="U622">
        <v>31</v>
      </c>
      <c r="V622">
        <v>20260921027</v>
      </c>
    </row>
    <row r="623" spans="1:22" x14ac:dyDescent="0.2">
      <c r="A623" s="34" t="s">
        <v>122</v>
      </c>
      <c r="B623" s="28">
        <v>46286</v>
      </c>
      <c r="C623" s="34"/>
      <c r="D623" s="34" t="s">
        <v>339</v>
      </c>
      <c r="E623" s="34" t="s">
        <v>232</v>
      </c>
      <c r="F623" s="34" t="s">
        <v>233</v>
      </c>
      <c r="G623" s="34" t="s">
        <v>234</v>
      </c>
      <c r="H623" s="34" t="s">
        <v>235</v>
      </c>
      <c r="I623">
        <v>6</v>
      </c>
      <c r="J623">
        <v>0</v>
      </c>
      <c r="K623">
        <v>4</v>
      </c>
      <c r="L623">
        <v>2</v>
      </c>
      <c r="O623" s="28">
        <v>46285</v>
      </c>
      <c r="R623">
        <v>-1</v>
      </c>
      <c r="S623">
        <v>28</v>
      </c>
      <c r="T623">
        <v>6</v>
      </c>
      <c r="U623">
        <v>32</v>
      </c>
      <c r="V623">
        <v>20260921028</v>
      </c>
    </row>
    <row r="624" spans="1:22" x14ac:dyDescent="0.2">
      <c r="A624" s="34" t="s">
        <v>122</v>
      </c>
      <c r="B624" s="28">
        <v>46286</v>
      </c>
      <c r="C624" s="34"/>
      <c r="D624" s="34" t="s">
        <v>339</v>
      </c>
      <c r="E624" s="34" t="s">
        <v>236</v>
      </c>
      <c r="F624" s="34" t="s">
        <v>237</v>
      </c>
      <c r="G624" s="34" t="s">
        <v>238</v>
      </c>
      <c r="H624" s="34" t="s">
        <v>239</v>
      </c>
      <c r="I624">
        <v>11</v>
      </c>
      <c r="J624">
        <v>0</v>
      </c>
      <c r="K624">
        <v>11</v>
      </c>
      <c r="L624">
        <v>0</v>
      </c>
      <c r="O624" s="28">
        <v>46285</v>
      </c>
      <c r="R624">
        <v>-1</v>
      </c>
      <c r="S624">
        <v>29</v>
      </c>
      <c r="T624">
        <v>6</v>
      </c>
      <c r="U624">
        <v>33</v>
      </c>
      <c r="V624">
        <v>20260921029</v>
      </c>
    </row>
    <row r="625" spans="1:22" x14ac:dyDescent="0.2">
      <c r="A625" s="34" t="s">
        <v>122</v>
      </c>
      <c r="B625" s="28">
        <v>46286</v>
      </c>
      <c r="C625" s="34"/>
      <c r="D625" s="34" t="s">
        <v>339</v>
      </c>
      <c r="E625" s="34" t="s">
        <v>240</v>
      </c>
      <c r="F625" s="34" t="s">
        <v>241</v>
      </c>
      <c r="G625" s="34" t="s">
        <v>242</v>
      </c>
      <c r="H625" s="34" t="s">
        <v>243</v>
      </c>
      <c r="I625">
        <v>11</v>
      </c>
      <c r="J625">
        <v>0</v>
      </c>
      <c r="K625">
        <v>9</v>
      </c>
      <c r="L625">
        <v>2</v>
      </c>
      <c r="O625" s="28">
        <v>46285</v>
      </c>
      <c r="R625">
        <v>-1</v>
      </c>
      <c r="S625">
        <v>30</v>
      </c>
      <c r="T625">
        <v>6</v>
      </c>
      <c r="U625">
        <v>34</v>
      </c>
      <c r="V625">
        <v>20260921030</v>
      </c>
    </row>
    <row r="626" spans="1:22" x14ac:dyDescent="0.2">
      <c r="A626" s="34" t="s">
        <v>122</v>
      </c>
      <c r="B626" s="28">
        <v>46286</v>
      </c>
      <c r="C626" s="34"/>
      <c r="D626" s="34" t="s">
        <v>339</v>
      </c>
      <c r="E626" s="34" t="s">
        <v>244</v>
      </c>
      <c r="F626" s="34" t="s">
        <v>245</v>
      </c>
      <c r="G626" s="34" t="s">
        <v>246</v>
      </c>
      <c r="H626" s="34" t="s">
        <v>247</v>
      </c>
      <c r="I626">
        <v>5</v>
      </c>
      <c r="J626">
        <v>0</v>
      </c>
      <c r="K626">
        <v>5</v>
      </c>
      <c r="L626">
        <v>0</v>
      </c>
      <c r="O626" s="28">
        <v>46285</v>
      </c>
      <c r="R626">
        <v>-1</v>
      </c>
      <c r="S626">
        <v>31</v>
      </c>
      <c r="T626">
        <v>6</v>
      </c>
      <c r="U626">
        <v>35</v>
      </c>
      <c r="V626">
        <v>20260921031</v>
      </c>
    </row>
    <row r="627" spans="1:22" x14ac:dyDescent="0.2">
      <c r="A627" s="34" t="s">
        <v>122</v>
      </c>
      <c r="B627" s="28">
        <v>46286</v>
      </c>
      <c r="C627" s="34"/>
      <c r="D627" s="34" t="s">
        <v>339</v>
      </c>
      <c r="E627" s="34" t="s">
        <v>248</v>
      </c>
      <c r="F627" s="34" t="s">
        <v>249</v>
      </c>
      <c r="G627" s="34" t="s">
        <v>250</v>
      </c>
      <c r="H627" s="34" t="s">
        <v>251</v>
      </c>
      <c r="I627">
        <v>3</v>
      </c>
      <c r="J627">
        <v>0</v>
      </c>
      <c r="K627">
        <v>6</v>
      </c>
      <c r="L627">
        <v>-3</v>
      </c>
      <c r="O627" s="28">
        <v>46285</v>
      </c>
      <c r="R627">
        <v>-1</v>
      </c>
      <c r="S627">
        <v>32</v>
      </c>
      <c r="T627">
        <v>6</v>
      </c>
      <c r="U627">
        <v>36</v>
      </c>
      <c r="V627">
        <v>20260921032</v>
      </c>
    </row>
    <row r="628" spans="1:22" x14ac:dyDescent="0.2">
      <c r="A628" s="34" t="s">
        <v>122</v>
      </c>
      <c r="B628" s="28">
        <v>46286</v>
      </c>
      <c r="C628" s="34"/>
      <c r="D628" s="34" t="s">
        <v>339</v>
      </c>
      <c r="E628" s="34" t="s">
        <v>252</v>
      </c>
      <c r="F628" s="34" t="s">
        <v>253</v>
      </c>
      <c r="G628" s="34" t="s">
        <v>254</v>
      </c>
      <c r="H628" s="34" t="s">
        <v>255</v>
      </c>
      <c r="I628">
        <v>4</v>
      </c>
      <c r="J628">
        <v>0</v>
      </c>
      <c r="K628">
        <v>10</v>
      </c>
      <c r="L628">
        <v>-6</v>
      </c>
      <c r="O628" s="28">
        <v>46285</v>
      </c>
      <c r="R628">
        <v>-1</v>
      </c>
      <c r="S628">
        <v>33</v>
      </c>
      <c r="T628">
        <v>6</v>
      </c>
      <c r="U628">
        <v>37</v>
      </c>
      <c r="V628">
        <v>20260921033</v>
      </c>
    </row>
    <row r="629" spans="1:22" x14ac:dyDescent="0.2">
      <c r="A629" s="34" t="s">
        <v>122</v>
      </c>
      <c r="B629" s="28">
        <v>46286</v>
      </c>
      <c r="C629" s="34"/>
      <c r="D629" s="34" t="s">
        <v>339</v>
      </c>
      <c r="E629" s="34" t="s">
        <v>256</v>
      </c>
      <c r="F629" s="34" t="s">
        <v>257</v>
      </c>
      <c r="G629" s="34" t="s">
        <v>258</v>
      </c>
      <c r="H629" s="34" t="s">
        <v>259</v>
      </c>
      <c r="I629">
        <v>4</v>
      </c>
      <c r="J629">
        <v>0</v>
      </c>
      <c r="K629">
        <v>4</v>
      </c>
      <c r="L629">
        <v>0</v>
      </c>
      <c r="O629" s="28">
        <v>46285</v>
      </c>
      <c r="R629">
        <v>-1</v>
      </c>
      <c r="S629">
        <v>34</v>
      </c>
      <c r="T629">
        <v>6</v>
      </c>
      <c r="U629">
        <v>38</v>
      </c>
      <c r="V629">
        <v>20260921034</v>
      </c>
    </row>
    <row r="630" spans="1:22" x14ac:dyDescent="0.2">
      <c r="A630" s="34" t="s">
        <v>122</v>
      </c>
      <c r="B630" s="28">
        <v>46286</v>
      </c>
      <c r="C630" s="34"/>
      <c r="D630" s="34" t="s">
        <v>339</v>
      </c>
      <c r="E630" s="34" t="s">
        <v>260</v>
      </c>
      <c r="F630" s="34" t="s">
        <v>261</v>
      </c>
      <c r="G630" s="34" t="s">
        <v>262</v>
      </c>
      <c r="H630" s="34" t="s">
        <v>263</v>
      </c>
      <c r="I630">
        <v>4</v>
      </c>
      <c r="J630">
        <v>0</v>
      </c>
      <c r="K630">
        <v>4</v>
      </c>
      <c r="L630">
        <v>0</v>
      </c>
      <c r="O630" s="28">
        <v>46285</v>
      </c>
      <c r="R630">
        <v>-1</v>
      </c>
      <c r="S630">
        <v>35</v>
      </c>
      <c r="T630">
        <v>6</v>
      </c>
      <c r="U630">
        <v>39</v>
      </c>
      <c r="V630">
        <v>20260921035</v>
      </c>
    </row>
    <row r="631" spans="1:22" x14ac:dyDescent="0.2">
      <c r="A631" s="34" t="s">
        <v>122</v>
      </c>
      <c r="B631" s="28">
        <v>46286</v>
      </c>
      <c r="C631" s="34"/>
      <c r="D631" s="34" t="s">
        <v>339</v>
      </c>
      <c r="E631" s="34" t="s">
        <v>264</v>
      </c>
      <c r="F631" s="34" t="s">
        <v>265</v>
      </c>
      <c r="G631" s="34" t="s">
        <v>266</v>
      </c>
      <c r="H631" s="34" t="s">
        <v>267</v>
      </c>
      <c r="I631">
        <v>4</v>
      </c>
      <c r="J631">
        <v>0</v>
      </c>
      <c r="K631">
        <v>11</v>
      </c>
      <c r="L631">
        <v>-7</v>
      </c>
      <c r="O631" s="28">
        <v>46285</v>
      </c>
      <c r="R631">
        <v>-1</v>
      </c>
      <c r="S631">
        <v>36</v>
      </c>
      <c r="T631">
        <v>6</v>
      </c>
      <c r="U631">
        <v>40</v>
      </c>
      <c r="V631">
        <v>20260921036</v>
      </c>
    </row>
    <row r="632" spans="1:22" x14ac:dyDescent="0.2">
      <c r="A632" s="34" t="s">
        <v>122</v>
      </c>
      <c r="B632" s="28">
        <v>46286</v>
      </c>
      <c r="C632" s="34"/>
      <c r="D632" s="34" t="s">
        <v>339</v>
      </c>
      <c r="E632" s="34" t="s">
        <v>268</v>
      </c>
      <c r="F632" s="34" t="s">
        <v>269</v>
      </c>
      <c r="G632" s="34" t="s">
        <v>270</v>
      </c>
      <c r="H632" s="34" t="s">
        <v>271</v>
      </c>
      <c r="I632">
        <v>3</v>
      </c>
      <c r="J632">
        <v>0</v>
      </c>
      <c r="K632">
        <v>7</v>
      </c>
      <c r="L632">
        <v>-4</v>
      </c>
      <c r="O632" s="28">
        <v>46285</v>
      </c>
      <c r="R632">
        <v>-1</v>
      </c>
      <c r="S632">
        <v>37</v>
      </c>
      <c r="T632">
        <v>6</v>
      </c>
      <c r="U632">
        <v>41</v>
      </c>
      <c r="V632">
        <v>20260921037</v>
      </c>
    </row>
    <row r="633" spans="1:22" x14ac:dyDescent="0.2">
      <c r="A633" s="34" t="s">
        <v>122</v>
      </c>
      <c r="B633" s="28">
        <v>46286</v>
      </c>
      <c r="C633" s="34"/>
      <c r="D633" s="34" t="s">
        <v>339</v>
      </c>
      <c r="E633" s="34" t="s">
        <v>272</v>
      </c>
      <c r="F633" s="34" t="s">
        <v>341</v>
      </c>
      <c r="G633" s="34" t="s">
        <v>273</v>
      </c>
      <c r="H633" s="34" t="s">
        <v>274</v>
      </c>
      <c r="I633">
        <v>15</v>
      </c>
      <c r="J633">
        <v>0</v>
      </c>
      <c r="K633">
        <v>19</v>
      </c>
      <c r="L633">
        <v>-4</v>
      </c>
      <c r="O633" s="28">
        <v>46285</v>
      </c>
      <c r="R633">
        <v>-1</v>
      </c>
      <c r="S633">
        <v>38</v>
      </c>
      <c r="T633">
        <v>6</v>
      </c>
      <c r="U633">
        <v>42</v>
      </c>
      <c r="V633">
        <v>20260921038</v>
      </c>
    </row>
    <row r="634" spans="1:22" x14ac:dyDescent="0.2">
      <c r="A634" s="34" t="s">
        <v>122</v>
      </c>
      <c r="B634" s="28">
        <v>46286</v>
      </c>
      <c r="C634" s="34"/>
      <c r="D634" s="34" t="s">
        <v>339</v>
      </c>
      <c r="E634" s="34" t="s">
        <v>275</v>
      </c>
      <c r="F634" s="34" t="s">
        <v>276</v>
      </c>
      <c r="G634" s="34" t="s">
        <v>277</v>
      </c>
      <c r="H634" s="34" t="s">
        <v>278</v>
      </c>
      <c r="I634">
        <v>4</v>
      </c>
      <c r="J634">
        <v>0</v>
      </c>
      <c r="K634">
        <v>1</v>
      </c>
      <c r="L634">
        <v>3</v>
      </c>
      <c r="O634" s="28">
        <v>46285</v>
      </c>
      <c r="R634">
        <v>-1</v>
      </c>
      <c r="S634">
        <v>39</v>
      </c>
      <c r="T634">
        <v>6</v>
      </c>
      <c r="U634">
        <v>43</v>
      </c>
      <c r="V634">
        <v>20260921039</v>
      </c>
    </row>
    <row r="635" spans="1:22" x14ac:dyDescent="0.2">
      <c r="A635" s="34" t="s">
        <v>122</v>
      </c>
      <c r="B635" s="28">
        <v>46286</v>
      </c>
      <c r="C635" s="34"/>
      <c r="D635" s="34" t="s">
        <v>339</v>
      </c>
      <c r="E635" s="34" t="s">
        <v>279</v>
      </c>
      <c r="F635" s="34" t="s">
        <v>280</v>
      </c>
      <c r="G635" s="34" t="s">
        <v>281</v>
      </c>
      <c r="H635" s="34" t="s">
        <v>282</v>
      </c>
      <c r="I635">
        <v>6</v>
      </c>
      <c r="J635">
        <v>0</v>
      </c>
      <c r="K635">
        <v>5</v>
      </c>
      <c r="L635">
        <v>1</v>
      </c>
      <c r="O635" s="28">
        <v>46285</v>
      </c>
      <c r="R635">
        <v>-1</v>
      </c>
      <c r="S635">
        <v>40</v>
      </c>
      <c r="T635">
        <v>6</v>
      </c>
      <c r="U635">
        <v>44</v>
      </c>
      <c r="V635">
        <v>20260921040</v>
      </c>
    </row>
    <row r="636" spans="1:22" x14ac:dyDescent="0.2">
      <c r="A636" s="34" t="s">
        <v>122</v>
      </c>
      <c r="B636" s="28">
        <v>46286</v>
      </c>
      <c r="C636" s="34"/>
      <c r="D636" s="34" t="s">
        <v>339</v>
      </c>
      <c r="E636" s="34" t="s">
        <v>283</v>
      </c>
      <c r="F636" s="34" t="s">
        <v>284</v>
      </c>
      <c r="G636" s="34" t="s">
        <v>285</v>
      </c>
      <c r="H636" s="34" t="s">
        <v>286</v>
      </c>
      <c r="I636">
        <v>13</v>
      </c>
      <c r="J636">
        <v>0</v>
      </c>
      <c r="K636">
        <v>13</v>
      </c>
      <c r="L636">
        <v>0</v>
      </c>
      <c r="O636" s="28">
        <v>46285</v>
      </c>
      <c r="R636">
        <v>-1</v>
      </c>
      <c r="S636">
        <v>41</v>
      </c>
      <c r="T636">
        <v>6</v>
      </c>
      <c r="U636">
        <v>45</v>
      </c>
      <c r="V636">
        <v>20260921041</v>
      </c>
    </row>
    <row r="637" spans="1:22" x14ac:dyDescent="0.2">
      <c r="A637" s="34" t="s">
        <v>122</v>
      </c>
      <c r="B637" s="28">
        <v>46286</v>
      </c>
      <c r="C637" s="34"/>
      <c r="D637" s="34" t="s">
        <v>339</v>
      </c>
      <c r="E637" s="34" t="s">
        <v>287</v>
      </c>
      <c r="F637" s="34" t="s">
        <v>288</v>
      </c>
      <c r="G637" s="34" t="s">
        <v>289</v>
      </c>
      <c r="H637" s="34" t="s">
        <v>290</v>
      </c>
      <c r="I637">
        <v>22</v>
      </c>
      <c r="J637">
        <v>0</v>
      </c>
      <c r="K637">
        <v>17</v>
      </c>
      <c r="L637">
        <v>5</v>
      </c>
      <c r="O637" s="28">
        <v>46285</v>
      </c>
      <c r="R637">
        <v>-1</v>
      </c>
      <c r="S637">
        <v>42</v>
      </c>
      <c r="T637">
        <v>6</v>
      </c>
      <c r="U637">
        <v>46</v>
      </c>
      <c r="V637">
        <v>20260921042</v>
      </c>
    </row>
    <row r="638" spans="1:22" x14ac:dyDescent="0.2">
      <c r="A638" s="34" t="s">
        <v>122</v>
      </c>
      <c r="B638" s="28">
        <v>46286</v>
      </c>
      <c r="C638" s="34"/>
      <c r="D638" s="34" t="s">
        <v>339</v>
      </c>
      <c r="E638" s="34" t="s">
        <v>291</v>
      </c>
      <c r="F638" s="34" t="s">
        <v>342</v>
      </c>
      <c r="G638" s="34" t="s">
        <v>292</v>
      </c>
      <c r="H638" s="34" t="s">
        <v>293</v>
      </c>
      <c r="I638">
        <v>22</v>
      </c>
      <c r="J638">
        <v>0</v>
      </c>
      <c r="K638">
        <v>17</v>
      </c>
      <c r="L638">
        <v>5</v>
      </c>
      <c r="O638" s="28">
        <v>46285</v>
      </c>
      <c r="R638">
        <v>-1</v>
      </c>
      <c r="S638">
        <v>43</v>
      </c>
      <c r="T638">
        <v>6</v>
      </c>
      <c r="U638">
        <v>47</v>
      </c>
      <c r="V638">
        <v>20260921043</v>
      </c>
    </row>
    <row r="639" spans="1:22" x14ac:dyDescent="0.2">
      <c r="A639" s="34" t="s">
        <v>122</v>
      </c>
      <c r="B639" s="28">
        <v>46286</v>
      </c>
      <c r="C639" s="34"/>
      <c r="D639" s="34" t="s">
        <v>339</v>
      </c>
      <c r="E639" s="34" t="s">
        <v>294</v>
      </c>
      <c r="F639" s="34" t="s">
        <v>295</v>
      </c>
      <c r="G639" s="34" t="s">
        <v>296</v>
      </c>
      <c r="H639" s="34" t="s">
        <v>297</v>
      </c>
      <c r="I639">
        <v>15</v>
      </c>
      <c r="J639">
        <v>0</v>
      </c>
      <c r="K639">
        <v>12</v>
      </c>
      <c r="L639">
        <v>3</v>
      </c>
      <c r="O639" s="28">
        <v>46285</v>
      </c>
      <c r="R639">
        <v>-1</v>
      </c>
      <c r="S639">
        <v>44</v>
      </c>
      <c r="T639">
        <v>6</v>
      </c>
      <c r="U639">
        <v>48</v>
      </c>
      <c r="V639">
        <v>20260921044</v>
      </c>
    </row>
    <row r="640" spans="1:22" x14ac:dyDescent="0.2">
      <c r="A640" s="34" t="s">
        <v>122</v>
      </c>
      <c r="B640" s="28">
        <v>46286</v>
      </c>
      <c r="C640" s="34"/>
      <c r="D640" s="34" t="s">
        <v>339</v>
      </c>
      <c r="E640" s="34" t="s">
        <v>298</v>
      </c>
      <c r="F640" s="34" t="s">
        <v>299</v>
      </c>
      <c r="G640" s="34" t="s">
        <v>300</v>
      </c>
      <c r="H640" s="34" t="s">
        <v>301</v>
      </c>
      <c r="I640">
        <v>14</v>
      </c>
      <c r="J640">
        <v>0</v>
      </c>
      <c r="K640">
        <v>13</v>
      </c>
      <c r="L640">
        <v>1</v>
      </c>
      <c r="O640" s="28">
        <v>46285</v>
      </c>
      <c r="R640">
        <v>-1</v>
      </c>
      <c r="S640">
        <v>45</v>
      </c>
      <c r="T640">
        <v>6</v>
      </c>
      <c r="U640">
        <v>49</v>
      </c>
      <c r="V640">
        <v>20260921045</v>
      </c>
    </row>
    <row r="641" spans="1:22" x14ac:dyDescent="0.2">
      <c r="A641" s="34" t="s">
        <v>122</v>
      </c>
      <c r="B641" s="28">
        <v>46286</v>
      </c>
      <c r="C641" s="34"/>
      <c r="D641" s="34" t="s">
        <v>339</v>
      </c>
      <c r="E641" s="34" t="s">
        <v>302</v>
      </c>
      <c r="F641" s="34" t="s">
        <v>303</v>
      </c>
      <c r="G641" s="34" t="s">
        <v>304</v>
      </c>
      <c r="H641" s="34" t="s">
        <v>305</v>
      </c>
      <c r="I641">
        <v>8</v>
      </c>
      <c r="J641">
        <v>0</v>
      </c>
      <c r="K641">
        <v>8</v>
      </c>
      <c r="L641">
        <v>0</v>
      </c>
      <c r="O641" s="28">
        <v>46285</v>
      </c>
      <c r="R641">
        <v>-1</v>
      </c>
      <c r="S641">
        <v>46</v>
      </c>
      <c r="T641">
        <v>6</v>
      </c>
      <c r="U641">
        <v>50</v>
      </c>
      <c r="V641">
        <v>20260921046</v>
      </c>
    </row>
    <row r="642" spans="1:22" x14ac:dyDescent="0.2">
      <c r="A642" s="34" t="s">
        <v>122</v>
      </c>
      <c r="B642" s="28">
        <v>46286</v>
      </c>
      <c r="C642" s="34"/>
      <c r="D642" s="34" t="s">
        <v>339</v>
      </c>
      <c r="E642" s="34" t="s">
        <v>306</v>
      </c>
      <c r="F642" s="34" t="s">
        <v>307</v>
      </c>
      <c r="G642" s="34" t="s">
        <v>308</v>
      </c>
      <c r="H642" s="34" t="s">
        <v>309</v>
      </c>
      <c r="I642">
        <v>8</v>
      </c>
      <c r="J642">
        <v>0</v>
      </c>
      <c r="K642">
        <v>8</v>
      </c>
      <c r="L642">
        <v>0</v>
      </c>
      <c r="O642" s="28">
        <v>46285</v>
      </c>
      <c r="R642">
        <v>-1</v>
      </c>
      <c r="S642">
        <v>47</v>
      </c>
      <c r="T642">
        <v>6</v>
      </c>
      <c r="U642">
        <v>51</v>
      </c>
      <c r="V642">
        <v>20260921047</v>
      </c>
    </row>
    <row r="643" spans="1:22" x14ac:dyDescent="0.2">
      <c r="A643" s="34" t="s">
        <v>122</v>
      </c>
      <c r="B643" s="28">
        <v>46286</v>
      </c>
      <c r="C643" s="34"/>
      <c r="D643" s="34" t="s">
        <v>339</v>
      </c>
      <c r="E643" s="34" t="s">
        <v>310</v>
      </c>
      <c r="F643" s="34" t="s">
        <v>311</v>
      </c>
      <c r="G643" s="34" t="s">
        <v>312</v>
      </c>
      <c r="H643" s="34" t="s">
        <v>313</v>
      </c>
      <c r="I643">
        <v>13</v>
      </c>
      <c r="J643">
        <v>0</v>
      </c>
      <c r="K643">
        <v>9</v>
      </c>
      <c r="L643">
        <v>4</v>
      </c>
      <c r="O643" s="28">
        <v>46285</v>
      </c>
      <c r="R643">
        <v>-1</v>
      </c>
      <c r="S643">
        <v>48</v>
      </c>
      <c r="T643">
        <v>6</v>
      </c>
      <c r="U643">
        <v>52</v>
      </c>
      <c r="V643">
        <v>20260921048</v>
      </c>
    </row>
    <row r="644" spans="1:22" x14ac:dyDescent="0.2">
      <c r="A644" s="34" t="s">
        <v>122</v>
      </c>
      <c r="B644" s="28">
        <v>46286</v>
      </c>
      <c r="C644" s="34"/>
      <c r="D644" s="34" t="s">
        <v>339</v>
      </c>
      <c r="E644" s="34" t="s">
        <v>314</v>
      </c>
      <c r="F644" s="34" t="s">
        <v>315</v>
      </c>
      <c r="G644" s="34" t="s">
        <v>316</v>
      </c>
      <c r="H644" s="34" t="s">
        <v>317</v>
      </c>
      <c r="I644">
        <v>21</v>
      </c>
      <c r="J644">
        <v>0</v>
      </c>
      <c r="K644">
        <v>29</v>
      </c>
      <c r="L644">
        <v>-8</v>
      </c>
      <c r="O644" s="28">
        <v>46285</v>
      </c>
      <c r="R644">
        <v>-1</v>
      </c>
      <c r="S644">
        <v>49</v>
      </c>
      <c r="T644">
        <v>6</v>
      </c>
      <c r="U644">
        <v>53</v>
      </c>
      <c r="V644">
        <v>20260921049</v>
      </c>
    </row>
    <row r="645" spans="1:22" x14ac:dyDescent="0.2">
      <c r="A645" s="34" t="s">
        <v>122</v>
      </c>
      <c r="B645" s="28">
        <v>46286</v>
      </c>
      <c r="C645" s="34"/>
      <c r="D645" s="34" t="s">
        <v>339</v>
      </c>
      <c r="E645" s="34" t="s">
        <v>318</v>
      </c>
      <c r="F645" s="34" t="s">
        <v>319</v>
      </c>
      <c r="G645" s="34" t="s">
        <v>320</v>
      </c>
      <c r="H645" s="34" t="s">
        <v>321</v>
      </c>
      <c r="I645">
        <v>8</v>
      </c>
      <c r="J645">
        <v>0</v>
      </c>
      <c r="K645">
        <v>7</v>
      </c>
      <c r="L645">
        <v>1</v>
      </c>
      <c r="O645" s="28">
        <v>46285</v>
      </c>
      <c r="R645">
        <v>-1</v>
      </c>
      <c r="S645">
        <v>50</v>
      </c>
      <c r="T645">
        <v>6</v>
      </c>
      <c r="U645">
        <v>54</v>
      </c>
      <c r="V645">
        <v>20260921050</v>
      </c>
    </row>
    <row r="646" spans="1:22" x14ac:dyDescent="0.2">
      <c r="A646" s="34" t="s">
        <v>122</v>
      </c>
      <c r="B646" s="28">
        <v>46286</v>
      </c>
      <c r="C646" s="34"/>
      <c r="D646" s="34" t="s">
        <v>339</v>
      </c>
      <c r="E646" s="34" t="s">
        <v>322</v>
      </c>
      <c r="F646" s="34" t="s">
        <v>323</v>
      </c>
      <c r="G646" s="34" t="s">
        <v>324</v>
      </c>
      <c r="H646" s="34" t="s">
        <v>325</v>
      </c>
      <c r="I646">
        <v>4</v>
      </c>
      <c r="J646">
        <v>0</v>
      </c>
      <c r="K646">
        <v>3</v>
      </c>
      <c r="L646">
        <v>1</v>
      </c>
      <c r="O646" s="28">
        <v>46285</v>
      </c>
      <c r="R646">
        <v>-1</v>
      </c>
      <c r="S646">
        <v>51</v>
      </c>
      <c r="T646">
        <v>6</v>
      </c>
      <c r="U646">
        <v>55</v>
      </c>
      <c r="V646">
        <v>20260921051</v>
      </c>
    </row>
    <row r="647" spans="1:22" x14ac:dyDescent="0.2">
      <c r="A647" s="34" t="s">
        <v>122</v>
      </c>
      <c r="B647" s="28">
        <v>46286</v>
      </c>
      <c r="C647" s="34"/>
      <c r="D647" s="34" t="s">
        <v>339</v>
      </c>
      <c r="E647" s="34" t="s">
        <v>326</v>
      </c>
      <c r="F647" s="34" t="s">
        <v>327</v>
      </c>
      <c r="G647" s="34" t="s">
        <v>328</v>
      </c>
      <c r="H647" s="34" t="s">
        <v>329</v>
      </c>
      <c r="I647">
        <v>13</v>
      </c>
      <c r="J647">
        <v>0</v>
      </c>
      <c r="K647">
        <v>18</v>
      </c>
      <c r="L647">
        <v>-5</v>
      </c>
      <c r="O647" s="28">
        <v>46285</v>
      </c>
      <c r="R647">
        <v>-1</v>
      </c>
      <c r="S647">
        <v>52</v>
      </c>
      <c r="T647">
        <v>6</v>
      </c>
      <c r="U647">
        <v>73</v>
      </c>
      <c r="V647">
        <v>20260921052</v>
      </c>
    </row>
    <row r="648" spans="1:22" x14ac:dyDescent="0.2">
      <c r="A648" s="34" t="s">
        <v>122</v>
      </c>
      <c r="B648" s="28">
        <v>46286</v>
      </c>
      <c r="C648" s="34"/>
      <c r="D648" s="34" t="s">
        <v>339</v>
      </c>
      <c r="E648" s="34" t="s">
        <v>330</v>
      </c>
      <c r="F648" s="34" t="s">
        <v>331</v>
      </c>
      <c r="G648" s="34" t="s">
        <v>332</v>
      </c>
      <c r="H648" s="34" t="s">
        <v>333</v>
      </c>
      <c r="I648">
        <v>13</v>
      </c>
      <c r="J648">
        <v>0</v>
      </c>
      <c r="K648">
        <v>10</v>
      </c>
      <c r="L648">
        <v>3</v>
      </c>
      <c r="O648" s="28">
        <v>46285</v>
      </c>
      <c r="R648">
        <v>-1</v>
      </c>
      <c r="S648">
        <v>53</v>
      </c>
      <c r="T648">
        <v>6</v>
      </c>
      <c r="U648">
        <v>74</v>
      </c>
      <c r="V648">
        <v>20260921053</v>
      </c>
    </row>
    <row r="649" spans="1:22" x14ac:dyDescent="0.2">
      <c r="A649" s="34" t="s">
        <v>122</v>
      </c>
      <c r="B649" s="28">
        <v>46286</v>
      </c>
      <c r="C649" s="34"/>
      <c r="D649" s="34" t="s">
        <v>339</v>
      </c>
      <c r="E649" s="34" t="s">
        <v>334</v>
      </c>
      <c r="F649" s="34" t="s">
        <v>335</v>
      </c>
      <c r="G649" s="34" t="s">
        <v>336</v>
      </c>
      <c r="H649" s="34" t="s">
        <v>337</v>
      </c>
      <c r="I649">
        <v>14</v>
      </c>
      <c r="J649">
        <v>0</v>
      </c>
      <c r="K649">
        <v>24</v>
      </c>
      <c r="L649">
        <v>-10</v>
      </c>
      <c r="O649" s="28">
        <v>46285</v>
      </c>
      <c r="R649">
        <v>-1</v>
      </c>
      <c r="S649">
        <v>54</v>
      </c>
      <c r="T649">
        <v>6</v>
      </c>
      <c r="U649">
        <v>75</v>
      </c>
      <c r="V649">
        <v>20260921054</v>
      </c>
    </row>
    <row r="650" spans="1:22" x14ac:dyDescent="0.2">
      <c r="A650" s="34" t="s">
        <v>122</v>
      </c>
      <c r="B650" s="28">
        <v>46287</v>
      </c>
      <c r="C650" s="34"/>
      <c r="D650" s="34" t="s">
        <v>339</v>
      </c>
      <c r="E650" s="34" t="s">
        <v>124</v>
      </c>
      <c r="F650" s="34" t="s">
        <v>125</v>
      </c>
      <c r="G650" s="34" t="s">
        <v>126</v>
      </c>
      <c r="H650" s="34" t="s">
        <v>127</v>
      </c>
      <c r="I650">
        <v>12</v>
      </c>
      <c r="J650">
        <v>0</v>
      </c>
      <c r="K650">
        <v>11</v>
      </c>
      <c r="L650">
        <v>1</v>
      </c>
      <c r="O650" s="28">
        <v>46286</v>
      </c>
      <c r="R650">
        <v>-1</v>
      </c>
      <c r="S650">
        <v>1</v>
      </c>
      <c r="T650">
        <v>5</v>
      </c>
      <c r="U650">
        <v>1</v>
      </c>
      <c r="V650">
        <v>20260922001</v>
      </c>
    </row>
    <row r="651" spans="1:22" x14ac:dyDescent="0.2">
      <c r="A651" s="34" t="s">
        <v>122</v>
      </c>
      <c r="B651" s="28">
        <v>46287</v>
      </c>
      <c r="C651" s="34"/>
      <c r="D651" s="34" t="s">
        <v>339</v>
      </c>
      <c r="E651" s="34" t="s">
        <v>128</v>
      </c>
      <c r="F651" s="34" t="s">
        <v>129</v>
      </c>
      <c r="G651" s="34" t="s">
        <v>130</v>
      </c>
      <c r="H651" s="34" t="s">
        <v>131</v>
      </c>
      <c r="I651">
        <v>5</v>
      </c>
      <c r="J651">
        <v>0</v>
      </c>
      <c r="K651">
        <v>5</v>
      </c>
      <c r="L651">
        <v>0</v>
      </c>
      <c r="O651" s="28">
        <v>46286</v>
      </c>
      <c r="R651">
        <v>-1</v>
      </c>
      <c r="S651">
        <v>2</v>
      </c>
      <c r="T651">
        <v>5</v>
      </c>
      <c r="U651">
        <v>2</v>
      </c>
      <c r="V651">
        <v>20260922002</v>
      </c>
    </row>
    <row r="652" spans="1:22" x14ac:dyDescent="0.2">
      <c r="A652" s="34" t="s">
        <v>122</v>
      </c>
      <c r="B652" s="28">
        <v>46287</v>
      </c>
      <c r="C652" s="34"/>
      <c r="D652" s="34" t="s">
        <v>339</v>
      </c>
      <c r="E652" s="34" t="s">
        <v>132</v>
      </c>
      <c r="F652" s="34" t="s">
        <v>133</v>
      </c>
      <c r="G652" s="34" t="s">
        <v>134</v>
      </c>
      <c r="H652" s="34" t="s">
        <v>135</v>
      </c>
      <c r="I652">
        <v>5</v>
      </c>
      <c r="J652">
        <v>0</v>
      </c>
      <c r="K652">
        <v>5</v>
      </c>
      <c r="L652">
        <v>0</v>
      </c>
      <c r="O652" s="28">
        <v>46286</v>
      </c>
      <c r="R652">
        <v>-1</v>
      </c>
      <c r="S652">
        <v>3</v>
      </c>
      <c r="T652">
        <v>5</v>
      </c>
      <c r="U652">
        <v>3</v>
      </c>
      <c r="V652">
        <v>20260922003</v>
      </c>
    </row>
    <row r="653" spans="1:22" x14ac:dyDescent="0.2">
      <c r="A653" s="34" t="s">
        <v>122</v>
      </c>
      <c r="B653" s="28">
        <v>46287</v>
      </c>
      <c r="C653" s="34"/>
      <c r="D653" s="34" t="s">
        <v>339</v>
      </c>
      <c r="E653" s="34" t="s">
        <v>136</v>
      </c>
      <c r="F653" s="34" t="s">
        <v>137</v>
      </c>
      <c r="G653" s="34" t="s">
        <v>138</v>
      </c>
      <c r="H653" s="34" t="s">
        <v>139</v>
      </c>
      <c r="I653">
        <v>8</v>
      </c>
      <c r="J653">
        <v>0</v>
      </c>
      <c r="K653">
        <v>2</v>
      </c>
      <c r="L653">
        <v>6</v>
      </c>
      <c r="O653" s="28">
        <v>46286</v>
      </c>
      <c r="R653">
        <v>-1</v>
      </c>
      <c r="S653">
        <v>4</v>
      </c>
      <c r="T653">
        <v>5</v>
      </c>
      <c r="U653">
        <v>4</v>
      </c>
      <c r="V653">
        <v>20260922004</v>
      </c>
    </row>
    <row r="654" spans="1:22" x14ac:dyDescent="0.2">
      <c r="A654" s="34" t="s">
        <v>122</v>
      </c>
      <c r="B654" s="28">
        <v>46287</v>
      </c>
      <c r="C654" s="34"/>
      <c r="D654" s="34" t="s">
        <v>339</v>
      </c>
      <c r="E654" s="34" t="s">
        <v>140</v>
      </c>
      <c r="F654" s="34" t="s">
        <v>141</v>
      </c>
      <c r="G654" s="34" t="s">
        <v>142</v>
      </c>
      <c r="H654" s="34" t="s">
        <v>143</v>
      </c>
      <c r="I654">
        <v>5</v>
      </c>
      <c r="J654">
        <v>0</v>
      </c>
      <c r="K654">
        <v>5</v>
      </c>
      <c r="L654">
        <v>0</v>
      </c>
      <c r="O654" s="28">
        <v>46286</v>
      </c>
      <c r="R654">
        <v>-1</v>
      </c>
      <c r="S654">
        <v>5</v>
      </c>
      <c r="T654">
        <v>5</v>
      </c>
      <c r="U654">
        <v>5</v>
      </c>
      <c r="V654">
        <v>20260922005</v>
      </c>
    </row>
    <row r="655" spans="1:22" x14ac:dyDescent="0.2">
      <c r="A655" s="34" t="s">
        <v>122</v>
      </c>
      <c r="B655" s="28">
        <v>46287</v>
      </c>
      <c r="C655" s="34"/>
      <c r="D655" s="34" t="s">
        <v>339</v>
      </c>
      <c r="E655" s="34" t="s">
        <v>144</v>
      </c>
      <c r="F655" s="34" t="s">
        <v>145</v>
      </c>
      <c r="G655" s="34" t="s">
        <v>146</v>
      </c>
      <c r="H655" s="34" t="s">
        <v>147</v>
      </c>
      <c r="I655">
        <v>9</v>
      </c>
      <c r="J655">
        <v>0</v>
      </c>
      <c r="K655">
        <v>9</v>
      </c>
      <c r="L655">
        <v>0</v>
      </c>
      <c r="O655" s="28">
        <v>46286</v>
      </c>
      <c r="R655">
        <v>-1</v>
      </c>
      <c r="S655">
        <v>6</v>
      </c>
      <c r="T655">
        <v>5</v>
      </c>
      <c r="U655">
        <v>6</v>
      </c>
      <c r="V655">
        <v>20260922006</v>
      </c>
    </row>
    <row r="656" spans="1:22" x14ac:dyDescent="0.2">
      <c r="A656" s="34" t="s">
        <v>122</v>
      </c>
      <c r="B656" s="28">
        <v>46287</v>
      </c>
      <c r="C656" s="34"/>
      <c r="D656" s="34" t="s">
        <v>339</v>
      </c>
      <c r="E656" s="34" t="s">
        <v>148</v>
      </c>
      <c r="F656" s="34" t="s">
        <v>149</v>
      </c>
      <c r="G656" s="34" t="s">
        <v>150</v>
      </c>
      <c r="H656" s="34" t="s">
        <v>151</v>
      </c>
      <c r="I656">
        <v>4</v>
      </c>
      <c r="J656">
        <v>0</v>
      </c>
      <c r="K656">
        <v>4</v>
      </c>
      <c r="L656">
        <v>0</v>
      </c>
      <c r="O656" s="28">
        <v>46286</v>
      </c>
      <c r="R656">
        <v>-1</v>
      </c>
      <c r="S656">
        <v>7</v>
      </c>
      <c r="T656">
        <v>5</v>
      </c>
      <c r="U656">
        <v>7</v>
      </c>
      <c r="V656">
        <v>20260922007</v>
      </c>
    </row>
    <row r="657" spans="1:22" x14ac:dyDescent="0.2">
      <c r="A657" s="34" t="s">
        <v>122</v>
      </c>
      <c r="B657" s="28">
        <v>46287</v>
      </c>
      <c r="C657" s="34"/>
      <c r="D657" s="34" t="s">
        <v>339</v>
      </c>
      <c r="E657" s="34" t="s">
        <v>152</v>
      </c>
      <c r="F657" s="34" t="s">
        <v>153</v>
      </c>
      <c r="G657" s="34" t="s">
        <v>154</v>
      </c>
      <c r="H657" s="34" t="s">
        <v>155</v>
      </c>
      <c r="I657">
        <v>16</v>
      </c>
      <c r="J657">
        <v>0</v>
      </c>
      <c r="K657">
        <v>10</v>
      </c>
      <c r="L657">
        <v>6</v>
      </c>
      <c r="O657" s="28">
        <v>46286</v>
      </c>
      <c r="R657">
        <v>-1</v>
      </c>
      <c r="S657">
        <v>8</v>
      </c>
      <c r="T657">
        <v>5</v>
      </c>
      <c r="U657">
        <v>8</v>
      </c>
      <c r="V657">
        <v>20260922008</v>
      </c>
    </row>
    <row r="658" spans="1:22" x14ac:dyDescent="0.2">
      <c r="A658" s="34" t="s">
        <v>122</v>
      </c>
      <c r="B658" s="28">
        <v>46287</v>
      </c>
      <c r="C658" s="34"/>
      <c r="D658" s="34" t="s">
        <v>339</v>
      </c>
      <c r="E658" s="34" t="s">
        <v>156</v>
      </c>
      <c r="F658" s="34" t="s">
        <v>157</v>
      </c>
      <c r="G658" s="34" t="s">
        <v>158</v>
      </c>
      <c r="H658" s="34" t="s">
        <v>159</v>
      </c>
      <c r="I658">
        <v>16</v>
      </c>
      <c r="J658">
        <v>0</v>
      </c>
      <c r="K658">
        <v>13</v>
      </c>
      <c r="L658">
        <v>3</v>
      </c>
      <c r="O658" s="28">
        <v>46286</v>
      </c>
      <c r="R658">
        <v>-1</v>
      </c>
      <c r="S658">
        <v>9</v>
      </c>
      <c r="T658">
        <v>5</v>
      </c>
      <c r="U658">
        <v>9</v>
      </c>
      <c r="V658">
        <v>20260922009</v>
      </c>
    </row>
    <row r="659" spans="1:22" x14ac:dyDescent="0.2">
      <c r="A659" s="34" t="s">
        <v>122</v>
      </c>
      <c r="B659" s="28">
        <v>46287</v>
      </c>
      <c r="C659" s="34"/>
      <c r="D659" s="34" t="s">
        <v>339</v>
      </c>
      <c r="E659" s="34" t="s">
        <v>160</v>
      </c>
      <c r="F659" s="34" t="s">
        <v>161</v>
      </c>
      <c r="G659" s="34" t="s">
        <v>162</v>
      </c>
      <c r="H659" s="34" t="s">
        <v>163</v>
      </c>
      <c r="I659">
        <v>15</v>
      </c>
      <c r="J659">
        <v>0</v>
      </c>
      <c r="K659">
        <v>15</v>
      </c>
      <c r="L659">
        <v>0</v>
      </c>
      <c r="O659" s="28">
        <v>46286</v>
      </c>
      <c r="R659">
        <v>-1</v>
      </c>
      <c r="S659">
        <v>10</v>
      </c>
      <c r="T659">
        <v>5</v>
      </c>
      <c r="U659">
        <v>10</v>
      </c>
      <c r="V659">
        <v>20260922010</v>
      </c>
    </row>
    <row r="660" spans="1:22" x14ac:dyDescent="0.2">
      <c r="A660" s="34" t="s">
        <v>122</v>
      </c>
      <c r="B660" s="28">
        <v>46287</v>
      </c>
      <c r="C660" s="34"/>
      <c r="D660" s="34" t="s">
        <v>339</v>
      </c>
      <c r="E660" s="34" t="s">
        <v>164</v>
      </c>
      <c r="F660" s="34" t="s">
        <v>165</v>
      </c>
      <c r="G660" s="34" t="s">
        <v>166</v>
      </c>
      <c r="H660" s="34" t="s">
        <v>167</v>
      </c>
      <c r="I660">
        <v>39</v>
      </c>
      <c r="J660">
        <v>0</v>
      </c>
      <c r="K660">
        <v>37</v>
      </c>
      <c r="L660">
        <v>2</v>
      </c>
      <c r="O660" s="28">
        <v>46286</v>
      </c>
      <c r="R660">
        <v>-1</v>
      </c>
      <c r="S660">
        <v>11</v>
      </c>
      <c r="T660">
        <v>5</v>
      </c>
      <c r="U660">
        <v>11</v>
      </c>
      <c r="V660">
        <v>20260922011</v>
      </c>
    </row>
    <row r="661" spans="1:22" x14ac:dyDescent="0.2">
      <c r="A661" s="34" t="s">
        <v>122</v>
      </c>
      <c r="B661" s="28">
        <v>46287</v>
      </c>
      <c r="C661" s="34"/>
      <c r="D661" s="34" t="s">
        <v>339</v>
      </c>
      <c r="E661" s="34" t="s">
        <v>168</v>
      </c>
      <c r="F661" s="34" t="s">
        <v>169</v>
      </c>
      <c r="G661" s="34" t="s">
        <v>170</v>
      </c>
      <c r="H661" s="34" t="s">
        <v>171</v>
      </c>
      <c r="I661">
        <v>10</v>
      </c>
      <c r="J661">
        <v>0</v>
      </c>
      <c r="K661">
        <v>6</v>
      </c>
      <c r="L661">
        <v>4</v>
      </c>
      <c r="O661" s="28">
        <v>46286</v>
      </c>
      <c r="R661">
        <v>-1</v>
      </c>
      <c r="S661">
        <v>12</v>
      </c>
      <c r="T661">
        <v>5</v>
      </c>
      <c r="U661">
        <v>12</v>
      </c>
      <c r="V661">
        <v>20260922012</v>
      </c>
    </row>
    <row r="662" spans="1:22" x14ac:dyDescent="0.2">
      <c r="A662" s="34" t="s">
        <v>122</v>
      </c>
      <c r="B662" s="28">
        <v>46287</v>
      </c>
      <c r="C662" s="34"/>
      <c r="D662" s="34" t="s">
        <v>339</v>
      </c>
      <c r="E662" s="34" t="s">
        <v>172</v>
      </c>
      <c r="F662" s="34" t="s">
        <v>173</v>
      </c>
      <c r="G662" s="34" t="s">
        <v>174</v>
      </c>
      <c r="H662" s="34" t="s">
        <v>175</v>
      </c>
      <c r="I662">
        <v>13</v>
      </c>
      <c r="J662">
        <v>0</v>
      </c>
      <c r="K662">
        <v>12</v>
      </c>
      <c r="L662">
        <v>1</v>
      </c>
      <c r="O662" s="28">
        <v>46286</v>
      </c>
      <c r="R662">
        <v>-1</v>
      </c>
      <c r="S662">
        <v>13</v>
      </c>
      <c r="T662">
        <v>5</v>
      </c>
      <c r="U662">
        <v>13</v>
      </c>
      <c r="V662">
        <v>20260922013</v>
      </c>
    </row>
    <row r="663" spans="1:22" x14ac:dyDescent="0.2">
      <c r="A663" s="34" t="s">
        <v>122</v>
      </c>
      <c r="B663" s="28">
        <v>46287</v>
      </c>
      <c r="C663" s="34"/>
      <c r="D663" s="34" t="s">
        <v>339</v>
      </c>
      <c r="E663" s="34" t="s">
        <v>176</v>
      </c>
      <c r="F663" s="34" t="s">
        <v>177</v>
      </c>
      <c r="G663" s="34" t="s">
        <v>178</v>
      </c>
      <c r="H663" s="34" t="s">
        <v>179</v>
      </c>
      <c r="I663">
        <v>25</v>
      </c>
      <c r="J663">
        <v>0</v>
      </c>
      <c r="K663">
        <v>28</v>
      </c>
      <c r="L663">
        <v>-3</v>
      </c>
      <c r="O663" s="28">
        <v>46286</v>
      </c>
      <c r="R663">
        <v>-1</v>
      </c>
      <c r="S663">
        <v>14</v>
      </c>
      <c r="T663">
        <v>5</v>
      </c>
      <c r="U663">
        <v>14</v>
      </c>
      <c r="V663">
        <v>20260922014</v>
      </c>
    </row>
    <row r="664" spans="1:22" x14ac:dyDescent="0.2">
      <c r="A664" s="34" t="s">
        <v>122</v>
      </c>
      <c r="B664" s="28">
        <v>46287</v>
      </c>
      <c r="C664" s="34"/>
      <c r="D664" s="34" t="s">
        <v>339</v>
      </c>
      <c r="E664" s="34" t="s">
        <v>180</v>
      </c>
      <c r="F664" s="34" t="s">
        <v>181</v>
      </c>
      <c r="G664" s="34" t="s">
        <v>182</v>
      </c>
      <c r="H664" s="34" t="s">
        <v>183</v>
      </c>
      <c r="I664">
        <v>18</v>
      </c>
      <c r="J664">
        <v>0</v>
      </c>
      <c r="K664">
        <v>17</v>
      </c>
      <c r="L664">
        <v>1</v>
      </c>
      <c r="O664" s="28">
        <v>46286</v>
      </c>
      <c r="R664">
        <v>-1</v>
      </c>
      <c r="S664">
        <v>15</v>
      </c>
      <c r="T664">
        <v>5</v>
      </c>
      <c r="U664">
        <v>15</v>
      </c>
      <c r="V664">
        <v>20260922015</v>
      </c>
    </row>
    <row r="665" spans="1:22" x14ac:dyDescent="0.2">
      <c r="A665" s="34" t="s">
        <v>122</v>
      </c>
      <c r="B665" s="28">
        <v>46287</v>
      </c>
      <c r="C665" s="34"/>
      <c r="D665" s="34" t="s">
        <v>339</v>
      </c>
      <c r="E665" s="34" t="s">
        <v>184</v>
      </c>
      <c r="F665" s="34" t="s">
        <v>185</v>
      </c>
      <c r="G665" s="34" t="s">
        <v>186</v>
      </c>
      <c r="H665" s="34" t="s">
        <v>187</v>
      </c>
      <c r="I665">
        <v>13</v>
      </c>
      <c r="J665">
        <v>0</v>
      </c>
      <c r="K665">
        <v>10</v>
      </c>
      <c r="L665">
        <v>3</v>
      </c>
      <c r="O665" s="28">
        <v>46286</v>
      </c>
      <c r="R665">
        <v>-1</v>
      </c>
      <c r="S665">
        <v>16</v>
      </c>
      <c r="T665">
        <v>5</v>
      </c>
      <c r="U665">
        <v>16</v>
      </c>
      <c r="V665">
        <v>20260922016</v>
      </c>
    </row>
    <row r="666" spans="1:22" x14ac:dyDescent="0.2">
      <c r="A666" s="34" t="s">
        <v>122</v>
      </c>
      <c r="B666" s="28">
        <v>46287</v>
      </c>
      <c r="C666" s="34"/>
      <c r="D666" s="34" t="s">
        <v>339</v>
      </c>
      <c r="E666" s="34" t="s">
        <v>188</v>
      </c>
      <c r="F666" s="34" t="s">
        <v>189</v>
      </c>
      <c r="G666" s="34" t="s">
        <v>190</v>
      </c>
      <c r="H666" s="34" t="s">
        <v>191</v>
      </c>
      <c r="I666">
        <v>4</v>
      </c>
      <c r="J666">
        <v>0</v>
      </c>
      <c r="K666">
        <v>4</v>
      </c>
      <c r="L666">
        <v>0</v>
      </c>
      <c r="O666" s="28">
        <v>46286</v>
      </c>
      <c r="R666">
        <v>-1</v>
      </c>
      <c r="S666">
        <v>17</v>
      </c>
      <c r="T666">
        <v>5</v>
      </c>
      <c r="U666">
        <v>21</v>
      </c>
      <c r="V666">
        <v>20260922017</v>
      </c>
    </row>
    <row r="667" spans="1:22" x14ac:dyDescent="0.2">
      <c r="A667" s="34" t="s">
        <v>122</v>
      </c>
      <c r="B667" s="28">
        <v>46287</v>
      </c>
      <c r="C667" s="34"/>
      <c r="D667" s="34" t="s">
        <v>339</v>
      </c>
      <c r="E667" s="34" t="s">
        <v>192</v>
      </c>
      <c r="F667" s="34" t="s">
        <v>193</v>
      </c>
      <c r="G667" s="34" t="s">
        <v>194</v>
      </c>
      <c r="H667" s="34" t="s">
        <v>195</v>
      </c>
      <c r="I667">
        <v>4</v>
      </c>
      <c r="J667">
        <v>0</v>
      </c>
      <c r="K667">
        <v>4</v>
      </c>
      <c r="L667">
        <v>0</v>
      </c>
      <c r="O667" s="28">
        <v>46286</v>
      </c>
      <c r="R667">
        <v>-1</v>
      </c>
      <c r="S667">
        <v>18</v>
      </c>
      <c r="T667">
        <v>5</v>
      </c>
      <c r="U667">
        <v>22</v>
      </c>
      <c r="V667">
        <v>20260922018</v>
      </c>
    </row>
    <row r="668" spans="1:22" x14ac:dyDescent="0.2">
      <c r="A668" s="34" t="s">
        <v>122</v>
      </c>
      <c r="B668" s="28">
        <v>46287</v>
      </c>
      <c r="C668" s="34"/>
      <c r="D668" s="34" t="s">
        <v>339</v>
      </c>
      <c r="E668" s="34" t="s">
        <v>196</v>
      </c>
      <c r="F668" s="34" t="s">
        <v>197</v>
      </c>
      <c r="G668" s="34" t="s">
        <v>198</v>
      </c>
      <c r="H668" s="34" t="s">
        <v>199</v>
      </c>
      <c r="I668">
        <v>12</v>
      </c>
      <c r="J668">
        <v>0</v>
      </c>
      <c r="K668">
        <v>12</v>
      </c>
      <c r="L668">
        <v>0</v>
      </c>
      <c r="O668" s="28">
        <v>46286</v>
      </c>
      <c r="R668">
        <v>-1</v>
      </c>
      <c r="S668">
        <v>19</v>
      </c>
      <c r="T668">
        <v>5</v>
      </c>
      <c r="U668">
        <v>23</v>
      </c>
      <c r="V668">
        <v>20260922019</v>
      </c>
    </row>
    <row r="669" spans="1:22" x14ac:dyDescent="0.2">
      <c r="A669" s="34" t="s">
        <v>122</v>
      </c>
      <c r="B669" s="28">
        <v>46287</v>
      </c>
      <c r="C669" s="34"/>
      <c r="D669" s="34" t="s">
        <v>339</v>
      </c>
      <c r="E669" s="34" t="s">
        <v>200</v>
      </c>
      <c r="F669" s="34" t="s">
        <v>201</v>
      </c>
      <c r="G669" s="34" t="s">
        <v>202</v>
      </c>
      <c r="H669" s="34" t="s">
        <v>203</v>
      </c>
      <c r="I669">
        <v>11</v>
      </c>
      <c r="J669">
        <v>0</v>
      </c>
      <c r="K669">
        <v>5</v>
      </c>
      <c r="L669">
        <v>6</v>
      </c>
      <c r="O669" s="28">
        <v>46286</v>
      </c>
      <c r="R669">
        <v>-1</v>
      </c>
      <c r="S669">
        <v>20</v>
      </c>
      <c r="T669">
        <v>5</v>
      </c>
      <c r="U669">
        <v>24</v>
      </c>
      <c r="V669">
        <v>20260922020</v>
      </c>
    </row>
    <row r="670" spans="1:22" x14ac:dyDescent="0.2">
      <c r="A670" s="34" t="s">
        <v>122</v>
      </c>
      <c r="B670" s="28">
        <v>46287</v>
      </c>
      <c r="C670" s="34"/>
      <c r="D670" s="34" t="s">
        <v>339</v>
      </c>
      <c r="E670" s="34" t="s">
        <v>204</v>
      </c>
      <c r="F670" s="34" t="s">
        <v>205</v>
      </c>
      <c r="G670" s="34" t="s">
        <v>206</v>
      </c>
      <c r="H670" s="34" t="s">
        <v>207</v>
      </c>
      <c r="I670">
        <v>7</v>
      </c>
      <c r="J670">
        <v>0</v>
      </c>
      <c r="K670">
        <v>4</v>
      </c>
      <c r="L670">
        <v>3</v>
      </c>
      <c r="O670" s="28">
        <v>46286</v>
      </c>
      <c r="R670">
        <v>-1</v>
      </c>
      <c r="S670">
        <v>21</v>
      </c>
      <c r="T670">
        <v>5</v>
      </c>
      <c r="U670">
        <v>25</v>
      </c>
      <c r="V670">
        <v>20260922021</v>
      </c>
    </row>
    <row r="671" spans="1:22" x14ac:dyDescent="0.2">
      <c r="A671" s="34" t="s">
        <v>122</v>
      </c>
      <c r="B671" s="28">
        <v>46287</v>
      </c>
      <c r="C671" s="34"/>
      <c r="D671" s="34" t="s">
        <v>339</v>
      </c>
      <c r="E671" s="34" t="s">
        <v>208</v>
      </c>
      <c r="F671" s="34" t="s">
        <v>209</v>
      </c>
      <c r="G671" s="34" t="s">
        <v>210</v>
      </c>
      <c r="H671" s="34" t="s">
        <v>211</v>
      </c>
      <c r="I671">
        <v>13</v>
      </c>
      <c r="J671">
        <v>0</v>
      </c>
      <c r="K671">
        <v>12</v>
      </c>
      <c r="L671">
        <v>1</v>
      </c>
      <c r="O671" s="28">
        <v>46286</v>
      </c>
      <c r="R671">
        <v>-1</v>
      </c>
      <c r="S671">
        <v>22</v>
      </c>
      <c r="T671">
        <v>5</v>
      </c>
      <c r="U671">
        <v>26</v>
      </c>
      <c r="V671">
        <v>20260922022</v>
      </c>
    </row>
    <row r="672" spans="1:22" x14ac:dyDescent="0.2">
      <c r="A672" s="34" t="s">
        <v>122</v>
      </c>
      <c r="B672" s="28">
        <v>46287</v>
      </c>
      <c r="C672" s="34"/>
      <c r="D672" s="34" t="s">
        <v>339</v>
      </c>
      <c r="E672" s="34" t="s">
        <v>212</v>
      </c>
      <c r="F672" s="34" t="s">
        <v>213</v>
      </c>
      <c r="G672" s="34" t="s">
        <v>214</v>
      </c>
      <c r="H672" s="34" t="s">
        <v>215</v>
      </c>
      <c r="I672">
        <v>3</v>
      </c>
      <c r="J672">
        <v>0</v>
      </c>
      <c r="K672">
        <v>8</v>
      </c>
      <c r="L672">
        <v>-5</v>
      </c>
      <c r="O672" s="28">
        <v>46286</v>
      </c>
      <c r="R672">
        <v>-1</v>
      </c>
      <c r="S672">
        <v>23</v>
      </c>
      <c r="T672">
        <v>5</v>
      </c>
      <c r="U672">
        <v>27</v>
      </c>
      <c r="V672">
        <v>20260922023</v>
      </c>
    </row>
    <row r="673" spans="1:22" x14ac:dyDescent="0.2">
      <c r="A673" s="34" t="s">
        <v>122</v>
      </c>
      <c r="B673" s="28">
        <v>46287</v>
      </c>
      <c r="C673" s="34"/>
      <c r="D673" s="34" t="s">
        <v>339</v>
      </c>
      <c r="E673" s="34" t="s">
        <v>216</v>
      </c>
      <c r="F673" s="34" t="s">
        <v>217</v>
      </c>
      <c r="G673" s="34" t="s">
        <v>218</v>
      </c>
      <c r="H673" s="34" t="s">
        <v>219</v>
      </c>
      <c r="I673">
        <v>6</v>
      </c>
      <c r="J673">
        <v>0</v>
      </c>
      <c r="K673">
        <v>2</v>
      </c>
      <c r="L673">
        <v>4</v>
      </c>
      <c r="O673" s="28">
        <v>46286</v>
      </c>
      <c r="R673">
        <v>-1</v>
      </c>
      <c r="S673">
        <v>24</v>
      </c>
      <c r="T673">
        <v>5</v>
      </c>
      <c r="U673">
        <v>28</v>
      </c>
      <c r="V673">
        <v>20260922024</v>
      </c>
    </row>
    <row r="674" spans="1:22" x14ac:dyDescent="0.2">
      <c r="A674" s="34" t="s">
        <v>122</v>
      </c>
      <c r="B674" s="28">
        <v>46287</v>
      </c>
      <c r="C674" s="34"/>
      <c r="D674" s="34" t="s">
        <v>339</v>
      </c>
      <c r="E674" s="34" t="s">
        <v>220</v>
      </c>
      <c r="F674" s="34" t="s">
        <v>221</v>
      </c>
      <c r="G674" s="34" t="s">
        <v>222</v>
      </c>
      <c r="H674" s="34" t="s">
        <v>223</v>
      </c>
      <c r="I674">
        <v>9</v>
      </c>
      <c r="J674">
        <v>0</v>
      </c>
      <c r="K674">
        <v>9</v>
      </c>
      <c r="L674">
        <v>0</v>
      </c>
      <c r="O674" s="28">
        <v>46286</v>
      </c>
      <c r="R674">
        <v>-1</v>
      </c>
      <c r="S674">
        <v>25</v>
      </c>
      <c r="T674">
        <v>5</v>
      </c>
      <c r="U674">
        <v>29</v>
      </c>
      <c r="V674">
        <v>20260922025</v>
      </c>
    </row>
    <row r="675" spans="1:22" x14ac:dyDescent="0.2">
      <c r="A675" s="34" t="s">
        <v>122</v>
      </c>
      <c r="B675" s="28">
        <v>46287</v>
      </c>
      <c r="C675" s="34"/>
      <c r="D675" s="34" t="s">
        <v>339</v>
      </c>
      <c r="E675" s="34" t="s">
        <v>224</v>
      </c>
      <c r="F675" s="34" t="s">
        <v>225</v>
      </c>
      <c r="G675" s="34" t="s">
        <v>226</v>
      </c>
      <c r="H675" s="34" t="s">
        <v>227</v>
      </c>
      <c r="I675">
        <v>12</v>
      </c>
      <c r="J675">
        <v>0</v>
      </c>
      <c r="K675">
        <v>10</v>
      </c>
      <c r="L675">
        <v>2</v>
      </c>
      <c r="O675" s="28">
        <v>46286</v>
      </c>
      <c r="R675">
        <v>-1</v>
      </c>
      <c r="S675">
        <v>26</v>
      </c>
      <c r="T675">
        <v>5</v>
      </c>
      <c r="U675">
        <v>30</v>
      </c>
      <c r="V675">
        <v>20260922026</v>
      </c>
    </row>
    <row r="676" spans="1:22" x14ac:dyDescent="0.2">
      <c r="A676" s="34" t="s">
        <v>122</v>
      </c>
      <c r="B676" s="28">
        <v>46287</v>
      </c>
      <c r="C676" s="34"/>
      <c r="D676" s="34" t="s">
        <v>339</v>
      </c>
      <c r="E676" s="34" t="s">
        <v>228</v>
      </c>
      <c r="F676" s="34" t="s">
        <v>229</v>
      </c>
      <c r="G676" s="34" t="s">
        <v>230</v>
      </c>
      <c r="H676" s="34" t="s">
        <v>231</v>
      </c>
      <c r="I676">
        <v>9</v>
      </c>
      <c r="J676">
        <v>0</v>
      </c>
      <c r="K676">
        <v>6</v>
      </c>
      <c r="L676">
        <v>3</v>
      </c>
      <c r="O676" s="28">
        <v>46286</v>
      </c>
      <c r="R676">
        <v>-1</v>
      </c>
      <c r="S676">
        <v>27</v>
      </c>
      <c r="T676">
        <v>5</v>
      </c>
      <c r="U676">
        <v>31</v>
      </c>
      <c r="V676">
        <v>20260922027</v>
      </c>
    </row>
    <row r="677" spans="1:22" x14ac:dyDescent="0.2">
      <c r="A677" s="34" t="s">
        <v>122</v>
      </c>
      <c r="B677" s="28">
        <v>46287</v>
      </c>
      <c r="C677" s="34"/>
      <c r="D677" s="34" t="s">
        <v>339</v>
      </c>
      <c r="E677" s="34" t="s">
        <v>232</v>
      </c>
      <c r="F677" s="34" t="s">
        <v>233</v>
      </c>
      <c r="G677" s="34" t="s">
        <v>234</v>
      </c>
      <c r="H677" s="34" t="s">
        <v>235</v>
      </c>
      <c r="I677">
        <v>4</v>
      </c>
      <c r="J677">
        <v>0</v>
      </c>
      <c r="K677">
        <v>13</v>
      </c>
      <c r="L677">
        <v>-9</v>
      </c>
      <c r="O677" s="28">
        <v>46286</v>
      </c>
      <c r="R677">
        <v>-1</v>
      </c>
      <c r="S677">
        <v>28</v>
      </c>
      <c r="T677">
        <v>5</v>
      </c>
      <c r="U677">
        <v>32</v>
      </c>
      <c r="V677">
        <v>20260922028</v>
      </c>
    </row>
    <row r="678" spans="1:22" x14ac:dyDescent="0.2">
      <c r="A678" s="34" t="s">
        <v>122</v>
      </c>
      <c r="B678" s="28">
        <v>46287</v>
      </c>
      <c r="C678" s="34"/>
      <c r="D678" s="34" t="s">
        <v>339</v>
      </c>
      <c r="E678" s="34" t="s">
        <v>236</v>
      </c>
      <c r="F678" s="34" t="s">
        <v>237</v>
      </c>
      <c r="G678" s="34" t="s">
        <v>238</v>
      </c>
      <c r="H678" s="34" t="s">
        <v>239</v>
      </c>
      <c r="I678">
        <v>11</v>
      </c>
      <c r="J678">
        <v>0</v>
      </c>
      <c r="K678">
        <v>11</v>
      </c>
      <c r="L678">
        <v>0</v>
      </c>
      <c r="O678" s="28">
        <v>46286</v>
      </c>
      <c r="R678">
        <v>-1</v>
      </c>
      <c r="S678">
        <v>29</v>
      </c>
      <c r="T678">
        <v>5</v>
      </c>
      <c r="U678">
        <v>33</v>
      </c>
      <c r="V678">
        <v>20260922029</v>
      </c>
    </row>
    <row r="679" spans="1:22" x14ac:dyDescent="0.2">
      <c r="A679" s="34" t="s">
        <v>122</v>
      </c>
      <c r="B679" s="28">
        <v>46287</v>
      </c>
      <c r="C679" s="34"/>
      <c r="D679" s="34" t="s">
        <v>339</v>
      </c>
      <c r="E679" s="34" t="s">
        <v>240</v>
      </c>
      <c r="F679" s="34" t="s">
        <v>241</v>
      </c>
      <c r="G679" s="34" t="s">
        <v>242</v>
      </c>
      <c r="H679" s="34" t="s">
        <v>243</v>
      </c>
      <c r="I679">
        <v>9</v>
      </c>
      <c r="J679">
        <v>0</v>
      </c>
      <c r="K679">
        <v>15</v>
      </c>
      <c r="L679">
        <v>-6</v>
      </c>
      <c r="O679" s="28">
        <v>46286</v>
      </c>
      <c r="R679">
        <v>-1</v>
      </c>
      <c r="S679">
        <v>30</v>
      </c>
      <c r="T679">
        <v>5</v>
      </c>
      <c r="U679">
        <v>34</v>
      </c>
      <c r="V679">
        <v>20260922030</v>
      </c>
    </row>
    <row r="680" spans="1:22" x14ac:dyDescent="0.2">
      <c r="A680" s="34" t="s">
        <v>122</v>
      </c>
      <c r="B680" s="28">
        <v>46287</v>
      </c>
      <c r="C680" s="34"/>
      <c r="D680" s="34" t="s">
        <v>339</v>
      </c>
      <c r="E680" s="34" t="s">
        <v>244</v>
      </c>
      <c r="F680" s="34" t="s">
        <v>245</v>
      </c>
      <c r="G680" s="34" t="s">
        <v>246</v>
      </c>
      <c r="H680" s="34" t="s">
        <v>247</v>
      </c>
      <c r="I680">
        <v>5</v>
      </c>
      <c r="J680">
        <v>0</v>
      </c>
      <c r="K680">
        <v>5</v>
      </c>
      <c r="L680">
        <v>0</v>
      </c>
      <c r="O680" s="28">
        <v>46286</v>
      </c>
      <c r="R680">
        <v>-1</v>
      </c>
      <c r="S680">
        <v>31</v>
      </c>
      <c r="T680">
        <v>5</v>
      </c>
      <c r="U680">
        <v>35</v>
      </c>
      <c r="V680">
        <v>20260922031</v>
      </c>
    </row>
    <row r="681" spans="1:22" x14ac:dyDescent="0.2">
      <c r="A681" s="34" t="s">
        <v>122</v>
      </c>
      <c r="B681" s="28">
        <v>46287</v>
      </c>
      <c r="C681" s="34"/>
      <c r="D681" s="34" t="s">
        <v>339</v>
      </c>
      <c r="E681" s="34" t="s">
        <v>248</v>
      </c>
      <c r="F681" s="34" t="s">
        <v>249</v>
      </c>
      <c r="G681" s="34" t="s">
        <v>250</v>
      </c>
      <c r="H681" s="34" t="s">
        <v>251</v>
      </c>
      <c r="I681">
        <v>6</v>
      </c>
      <c r="J681">
        <v>0</v>
      </c>
      <c r="K681">
        <v>6</v>
      </c>
      <c r="L681">
        <v>0</v>
      </c>
      <c r="O681" s="28">
        <v>46286</v>
      </c>
      <c r="R681">
        <v>-1</v>
      </c>
      <c r="S681">
        <v>32</v>
      </c>
      <c r="T681">
        <v>5</v>
      </c>
      <c r="U681">
        <v>36</v>
      </c>
      <c r="V681">
        <v>20260922032</v>
      </c>
    </row>
    <row r="682" spans="1:22" x14ac:dyDescent="0.2">
      <c r="A682" s="34" t="s">
        <v>122</v>
      </c>
      <c r="B682" s="28">
        <v>46287</v>
      </c>
      <c r="C682" s="34"/>
      <c r="D682" s="34" t="s">
        <v>339</v>
      </c>
      <c r="E682" s="34" t="s">
        <v>252</v>
      </c>
      <c r="F682" s="34" t="s">
        <v>253</v>
      </c>
      <c r="G682" s="34" t="s">
        <v>254</v>
      </c>
      <c r="H682" s="34" t="s">
        <v>255</v>
      </c>
      <c r="I682">
        <v>10</v>
      </c>
      <c r="J682">
        <v>0</v>
      </c>
      <c r="K682">
        <v>9</v>
      </c>
      <c r="L682">
        <v>1</v>
      </c>
      <c r="O682" s="28">
        <v>46286</v>
      </c>
      <c r="R682">
        <v>-1</v>
      </c>
      <c r="S682">
        <v>33</v>
      </c>
      <c r="T682">
        <v>5</v>
      </c>
      <c r="U682">
        <v>37</v>
      </c>
      <c r="V682">
        <v>20260922033</v>
      </c>
    </row>
    <row r="683" spans="1:22" x14ac:dyDescent="0.2">
      <c r="A683" s="34" t="s">
        <v>122</v>
      </c>
      <c r="B683" s="28">
        <v>46287</v>
      </c>
      <c r="C683" s="34"/>
      <c r="D683" s="34" t="s">
        <v>339</v>
      </c>
      <c r="E683" s="34" t="s">
        <v>256</v>
      </c>
      <c r="F683" s="34" t="s">
        <v>257</v>
      </c>
      <c r="G683" s="34" t="s">
        <v>258</v>
      </c>
      <c r="H683" s="34" t="s">
        <v>259</v>
      </c>
      <c r="I683">
        <v>4</v>
      </c>
      <c r="J683">
        <v>0</v>
      </c>
      <c r="K683">
        <v>4</v>
      </c>
      <c r="L683">
        <v>0</v>
      </c>
      <c r="O683" s="28">
        <v>46286</v>
      </c>
      <c r="R683">
        <v>-1</v>
      </c>
      <c r="S683">
        <v>34</v>
      </c>
      <c r="T683">
        <v>5</v>
      </c>
      <c r="U683">
        <v>38</v>
      </c>
      <c r="V683">
        <v>20260922034</v>
      </c>
    </row>
    <row r="684" spans="1:22" x14ac:dyDescent="0.2">
      <c r="A684" s="34" t="s">
        <v>122</v>
      </c>
      <c r="B684" s="28">
        <v>46287</v>
      </c>
      <c r="C684" s="34"/>
      <c r="D684" s="34" t="s">
        <v>339</v>
      </c>
      <c r="E684" s="34" t="s">
        <v>260</v>
      </c>
      <c r="F684" s="34" t="s">
        <v>261</v>
      </c>
      <c r="G684" s="34" t="s">
        <v>262</v>
      </c>
      <c r="H684" s="34" t="s">
        <v>263</v>
      </c>
      <c r="I684">
        <v>4</v>
      </c>
      <c r="J684">
        <v>0</v>
      </c>
      <c r="K684">
        <v>4</v>
      </c>
      <c r="L684">
        <v>0</v>
      </c>
      <c r="O684" s="28">
        <v>46286</v>
      </c>
      <c r="R684">
        <v>-1</v>
      </c>
      <c r="S684">
        <v>35</v>
      </c>
      <c r="T684">
        <v>5</v>
      </c>
      <c r="U684">
        <v>39</v>
      </c>
      <c r="V684">
        <v>20260922035</v>
      </c>
    </row>
    <row r="685" spans="1:22" x14ac:dyDescent="0.2">
      <c r="A685" s="34" t="s">
        <v>122</v>
      </c>
      <c r="B685" s="28">
        <v>46287</v>
      </c>
      <c r="C685" s="34"/>
      <c r="D685" s="34" t="s">
        <v>339</v>
      </c>
      <c r="E685" s="34" t="s">
        <v>264</v>
      </c>
      <c r="F685" s="34" t="s">
        <v>265</v>
      </c>
      <c r="G685" s="34" t="s">
        <v>266</v>
      </c>
      <c r="H685" s="34" t="s">
        <v>267</v>
      </c>
      <c r="I685">
        <v>11</v>
      </c>
      <c r="J685">
        <v>0</v>
      </c>
      <c r="K685">
        <v>10</v>
      </c>
      <c r="L685">
        <v>1</v>
      </c>
      <c r="O685" s="28">
        <v>46286</v>
      </c>
      <c r="R685">
        <v>-1</v>
      </c>
      <c r="S685">
        <v>36</v>
      </c>
      <c r="T685">
        <v>5</v>
      </c>
      <c r="U685">
        <v>40</v>
      </c>
      <c r="V685">
        <v>20260922036</v>
      </c>
    </row>
    <row r="686" spans="1:22" x14ac:dyDescent="0.2">
      <c r="A686" s="34" t="s">
        <v>122</v>
      </c>
      <c r="B686" s="28">
        <v>46287</v>
      </c>
      <c r="C686" s="34"/>
      <c r="D686" s="34" t="s">
        <v>339</v>
      </c>
      <c r="E686" s="34" t="s">
        <v>268</v>
      </c>
      <c r="F686" s="34" t="s">
        <v>269</v>
      </c>
      <c r="G686" s="34" t="s">
        <v>270</v>
      </c>
      <c r="H686" s="34" t="s">
        <v>271</v>
      </c>
      <c r="I686">
        <v>7</v>
      </c>
      <c r="J686">
        <v>0</v>
      </c>
      <c r="K686">
        <v>7</v>
      </c>
      <c r="L686">
        <v>0</v>
      </c>
      <c r="O686" s="28">
        <v>46286</v>
      </c>
      <c r="R686">
        <v>-1</v>
      </c>
      <c r="S686">
        <v>37</v>
      </c>
      <c r="T686">
        <v>5</v>
      </c>
      <c r="U686">
        <v>41</v>
      </c>
      <c r="V686">
        <v>20260922037</v>
      </c>
    </row>
    <row r="687" spans="1:22" x14ac:dyDescent="0.2">
      <c r="A687" s="34" t="s">
        <v>122</v>
      </c>
      <c r="B687" s="28">
        <v>46287</v>
      </c>
      <c r="C687" s="34"/>
      <c r="D687" s="34" t="s">
        <v>339</v>
      </c>
      <c r="E687" s="34" t="s">
        <v>272</v>
      </c>
      <c r="F687" s="34" t="s">
        <v>341</v>
      </c>
      <c r="G687" s="34" t="s">
        <v>273</v>
      </c>
      <c r="H687" s="34" t="s">
        <v>274</v>
      </c>
      <c r="I687">
        <v>19</v>
      </c>
      <c r="J687">
        <v>0</v>
      </c>
      <c r="K687">
        <v>8</v>
      </c>
      <c r="L687">
        <v>11</v>
      </c>
      <c r="O687" s="28">
        <v>46286</v>
      </c>
      <c r="R687">
        <v>-1</v>
      </c>
      <c r="S687">
        <v>38</v>
      </c>
      <c r="T687">
        <v>5</v>
      </c>
      <c r="U687">
        <v>42</v>
      </c>
      <c r="V687">
        <v>20260922038</v>
      </c>
    </row>
    <row r="688" spans="1:22" x14ac:dyDescent="0.2">
      <c r="A688" s="34" t="s">
        <v>122</v>
      </c>
      <c r="B688" s="28">
        <v>46287</v>
      </c>
      <c r="C688" s="34"/>
      <c r="D688" s="34" t="s">
        <v>339</v>
      </c>
      <c r="E688" s="34" t="s">
        <v>275</v>
      </c>
      <c r="F688" s="34" t="s">
        <v>276</v>
      </c>
      <c r="G688" s="34" t="s">
        <v>277</v>
      </c>
      <c r="H688" s="34" t="s">
        <v>278</v>
      </c>
      <c r="I688">
        <v>1</v>
      </c>
      <c r="J688">
        <v>0</v>
      </c>
      <c r="K688">
        <v>2</v>
      </c>
      <c r="L688">
        <v>-1</v>
      </c>
      <c r="O688" s="28">
        <v>46286</v>
      </c>
      <c r="R688">
        <v>-1</v>
      </c>
      <c r="S688">
        <v>39</v>
      </c>
      <c r="T688">
        <v>5</v>
      </c>
      <c r="U688">
        <v>43</v>
      </c>
      <c r="V688">
        <v>20260922039</v>
      </c>
    </row>
    <row r="689" spans="1:22" x14ac:dyDescent="0.2">
      <c r="A689" s="34" t="s">
        <v>122</v>
      </c>
      <c r="B689" s="28">
        <v>46287</v>
      </c>
      <c r="C689" s="34"/>
      <c r="D689" s="34" t="s">
        <v>339</v>
      </c>
      <c r="E689" s="34" t="s">
        <v>279</v>
      </c>
      <c r="F689" s="34" t="s">
        <v>280</v>
      </c>
      <c r="G689" s="34" t="s">
        <v>281</v>
      </c>
      <c r="H689" s="34" t="s">
        <v>282</v>
      </c>
      <c r="I689">
        <v>5</v>
      </c>
      <c r="J689">
        <v>0</v>
      </c>
      <c r="K689">
        <v>4</v>
      </c>
      <c r="L689">
        <v>1</v>
      </c>
      <c r="O689" s="28">
        <v>46286</v>
      </c>
      <c r="R689">
        <v>-1</v>
      </c>
      <c r="S689">
        <v>40</v>
      </c>
      <c r="T689">
        <v>5</v>
      </c>
      <c r="U689">
        <v>44</v>
      </c>
      <c r="V689">
        <v>20260922040</v>
      </c>
    </row>
    <row r="690" spans="1:22" x14ac:dyDescent="0.2">
      <c r="A690" s="34" t="s">
        <v>122</v>
      </c>
      <c r="B690" s="28">
        <v>46287</v>
      </c>
      <c r="C690" s="34"/>
      <c r="D690" s="34" t="s">
        <v>339</v>
      </c>
      <c r="E690" s="34" t="s">
        <v>283</v>
      </c>
      <c r="F690" s="34" t="s">
        <v>284</v>
      </c>
      <c r="G690" s="34" t="s">
        <v>285</v>
      </c>
      <c r="H690" s="34" t="s">
        <v>286</v>
      </c>
      <c r="I690">
        <v>13</v>
      </c>
      <c r="J690">
        <v>0</v>
      </c>
      <c r="K690">
        <v>21</v>
      </c>
      <c r="L690">
        <v>-8</v>
      </c>
      <c r="O690" s="28">
        <v>46286</v>
      </c>
      <c r="R690">
        <v>-1</v>
      </c>
      <c r="S690">
        <v>41</v>
      </c>
      <c r="T690">
        <v>5</v>
      </c>
      <c r="U690">
        <v>45</v>
      </c>
      <c r="V690">
        <v>20260922041</v>
      </c>
    </row>
    <row r="691" spans="1:22" x14ac:dyDescent="0.2">
      <c r="A691" s="34" t="s">
        <v>122</v>
      </c>
      <c r="B691" s="28">
        <v>46287</v>
      </c>
      <c r="C691" s="34"/>
      <c r="D691" s="34" t="s">
        <v>339</v>
      </c>
      <c r="E691" s="34" t="s">
        <v>287</v>
      </c>
      <c r="F691" s="34" t="s">
        <v>288</v>
      </c>
      <c r="G691" s="34" t="s">
        <v>289</v>
      </c>
      <c r="H691" s="34" t="s">
        <v>290</v>
      </c>
      <c r="I691">
        <v>17</v>
      </c>
      <c r="J691">
        <v>0</v>
      </c>
      <c r="K691">
        <v>16</v>
      </c>
      <c r="L691">
        <v>1</v>
      </c>
      <c r="O691" s="28">
        <v>46286</v>
      </c>
      <c r="R691">
        <v>-1</v>
      </c>
      <c r="S691">
        <v>42</v>
      </c>
      <c r="T691">
        <v>5</v>
      </c>
      <c r="U691">
        <v>46</v>
      </c>
      <c r="V691">
        <v>20260922042</v>
      </c>
    </row>
    <row r="692" spans="1:22" x14ac:dyDescent="0.2">
      <c r="A692" s="34" t="s">
        <v>122</v>
      </c>
      <c r="B692" s="28">
        <v>46287</v>
      </c>
      <c r="C692" s="34"/>
      <c r="D692" s="34" t="s">
        <v>339</v>
      </c>
      <c r="E692" s="34" t="s">
        <v>291</v>
      </c>
      <c r="F692" s="34" t="s">
        <v>342</v>
      </c>
      <c r="G692" s="34" t="s">
        <v>292</v>
      </c>
      <c r="H692" s="34" t="s">
        <v>293</v>
      </c>
      <c r="I692">
        <v>17</v>
      </c>
      <c r="J692">
        <v>0</v>
      </c>
      <c r="K692">
        <v>21</v>
      </c>
      <c r="L692">
        <v>-4</v>
      </c>
      <c r="O692" s="28">
        <v>46286</v>
      </c>
      <c r="R692">
        <v>-1</v>
      </c>
      <c r="S692">
        <v>43</v>
      </c>
      <c r="T692">
        <v>5</v>
      </c>
      <c r="U692">
        <v>47</v>
      </c>
      <c r="V692">
        <v>20260922043</v>
      </c>
    </row>
    <row r="693" spans="1:22" x14ac:dyDescent="0.2">
      <c r="A693" s="34" t="s">
        <v>122</v>
      </c>
      <c r="B693" s="28">
        <v>46287</v>
      </c>
      <c r="C693" s="34"/>
      <c r="D693" s="34" t="s">
        <v>339</v>
      </c>
      <c r="E693" s="34" t="s">
        <v>294</v>
      </c>
      <c r="F693" s="34" t="s">
        <v>295</v>
      </c>
      <c r="G693" s="34" t="s">
        <v>296</v>
      </c>
      <c r="H693" s="34" t="s">
        <v>297</v>
      </c>
      <c r="I693">
        <v>12</v>
      </c>
      <c r="J693">
        <v>0</v>
      </c>
      <c r="K693">
        <v>9</v>
      </c>
      <c r="L693">
        <v>3</v>
      </c>
      <c r="O693" s="28">
        <v>46286</v>
      </c>
      <c r="R693">
        <v>-1</v>
      </c>
      <c r="S693">
        <v>44</v>
      </c>
      <c r="T693">
        <v>5</v>
      </c>
      <c r="U693">
        <v>48</v>
      </c>
      <c r="V693">
        <v>20260922044</v>
      </c>
    </row>
    <row r="694" spans="1:22" x14ac:dyDescent="0.2">
      <c r="A694" s="34" t="s">
        <v>122</v>
      </c>
      <c r="B694" s="28">
        <v>46287</v>
      </c>
      <c r="C694" s="34"/>
      <c r="D694" s="34" t="s">
        <v>339</v>
      </c>
      <c r="E694" s="34" t="s">
        <v>298</v>
      </c>
      <c r="F694" s="34" t="s">
        <v>299</v>
      </c>
      <c r="G694" s="34" t="s">
        <v>300</v>
      </c>
      <c r="H694" s="34" t="s">
        <v>301</v>
      </c>
      <c r="I694">
        <v>13</v>
      </c>
      <c r="J694">
        <v>0</v>
      </c>
      <c r="K694">
        <v>13</v>
      </c>
      <c r="L694">
        <v>0</v>
      </c>
      <c r="O694" s="28">
        <v>46286</v>
      </c>
      <c r="R694">
        <v>-1</v>
      </c>
      <c r="S694">
        <v>45</v>
      </c>
      <c r="T694">
        <v>5</v>
      </c>
      <c r="U694">
        <v>49</v>
      </c>
      <c r="V694">
        <v>20260922045</v>
      </c>
    </row>
    <row r="695" spans="1:22" x14ac:dyDescent="0.2">
      <c r="A695" s="34" t="s">
        <v>122</v>
      </c>
      <c r="B695" s="28">
        <v>46287</v>
      </c>
      <c r="C695" s="34"/>
      <c r="D695" s="34" t="s">
        <v>339</v>
      </c>
      <c r="E695" s="34" t="s">
        <v>302</v>
      </c>
      <c r="F695" s="34" t="s">
        <v>303</v>
      </c>
      <c r="G695" s="34" t="s">
        <v>304</v>
      </c>
      <c r="H695" s="34" t="s">
        <v>305</v>
      </c>
      <c r="I695">
        <v>8</v>
      </c>
      <c r="J695">
        <v>0</v>
      </c>
      <c r="K695">
        <v>8</v>
      </c>
      <c r="L695">
        <v>0</v>
      </c>
      <c r="O695" s="28">
        <v>46286</v>
      </c>
      <c r="R695">
        <v>-1</v>
      </c>
      <c r="S695">
        <v>46</v>
      </c>
      <c r="T695">
        <v>5</v>
      </c>
      <c r="U695">
        <v>50</v>
      </c>
      <c r="V695">
        <v>20260922046</v>
      </c>
    </row>
    <row r="696" spans="1:22" x14ac:dyDescent="0.2">
      <c r="A696" s="34" t="s">
        <v>122</v>
      </c>
      <c r="B696" s="28">
        <v>46287</v>
      </c>
      <c r="C696" s="34"/>
      <c r="D696" s="34" t="s">
        <v>339</v>
      </c>
      <c r="E696" s="34" t="s">
        <v>306</v>
      </c>
      <c r="F696" s="34" t="s">
        <v>307</v>
      </c>
      <c r="G696" s="34" t="s">
        <v>308</v>
      </c>
      <c r="H696" s="34" t="s">
        <v>309</v>
      </c>
      <c r="I696">
        <v>8</v>
      </c>
      <c r="J696">
        <v>0</v>
      </c>
      <c r="K696">
        <v>8</v>
      </c>
      <c r="L696">
        <v>0</v>
      </c>
      <c r="O696" s="28">
        <v>46286</v>
      </c>
      <c r="R696">
        <v>-1</v>
      </c>
      <c r="S696">
        <v>47</v>
      </c>
      <c r="T696">
        <v>5</v>
      </c>
      <c r="U696">
        <v>51</v>
      </c>
      <c r="V696">
        <v>20260922047</v>
      </c>
    </row>
    <row r="697" spans="1:22" x14ac:dyDescent="0.2">
      <c r="A697" s="34" t="s">
        <v>122</v>
      </c>
      <c r="B697" s="28">
        <v>46287</v>
      </c>
      <c r="C697" s="34"/>
      <c r="D697" s="34" t="s">
        <v>339</v>
      </c>
      <c r="E697" s="34" t="s">
        <v>310</v>
      </c>
      <c r="F697" s="34" t="s">
        <v>311</v>
      </c>
      <c r="G697" s="34" t="s">
        <v>312</v>
      </c>
      <c r="H697" s="34" t="s">
        <v>313</v>
      </c>
      <c r="I697">
        <v>9</v>
      </c>
      <c r="J697">
        <v>0</v>
      </c>
      <c r="K697">
        <v>5</v>
      </c>
      <c r="L697">
        <v>4</v>
      </c>
      <c r="O697" s="28">
        <v>46286</v>
      </c>
      <c r="R697">
        <v>-1</v>
      </c>
      <c r="S697">
        <v>48</v>
      </c>
      <c r="T697">
        <v>5</v>
      </c>
      <c r="U697">
        <v>52</v>
      </c>
      <c r="V697">
        <v>20260922048</v>
      </c>
    </row>
    <row r="698" spans="1:22" x14ac:dyDescent="0.2">
      <c r="A698" s="34" t="s">
        <v>122</v>
      </c>
      <c r="B698" s="28">
        <v>46287</v>
      </c>
      <c r="C698" s="34"/>
      <c r="D698" s="34" t="s">
        <v>339</v>
      </c>
      <c r="E698" s="34" t="s">
        <v>314</v>
      </c>
      <c r="F698" s="34" t="s">
        <v>315</v>
      </c>
      <c r="G698" s="34" t="s">
        <v>316</v>
      </c>
      <c r="H698" s="34" t="s">
        <v>317</v>
      </c>
      <c r="I698">
        <v>29</v>
      </c>
      <c r="J698">
        <v>0</v>
      </c>
      <c r="K698">
        <v>26</v>
      </c>
      <c r="L698">
        <v>3</v>
      </c>
      <c r="O698" s="28">
        <v>46286</v>
      </c>
      <c r="R698">
        <v>-1</v>
      </c>
      <c r="S698">
        <v>49</v>
      </c>
      <c r="T698">
        <v>5</v>
      </c>
      <c r="U698">
        <v>53</v>
      </c>
      <c r="V698">
        <v>20260922049</v>
      </c>
    </row>
    <row r="699" spans="1:22" x14ac:dyDescent="0.2">
      <c r="A699" s="34" t="s">
        <v>122</v>
      </c>
      <c r="B699" s="28">
        <v>46287</v>
      </c>
      <c r="C699" s="34"/>
      <c r="D699" s="34" t="s">
        <v>339</v>
      </c>
      <c r="E699" s="34" t="s">
        <v>318</v>
      </c>
      <c r="F699" s="34" t="s">
        <v>319</v>
      </c>
      <c r="G699" s="34" t="s">
        <v>320</v>
      </c>
      <c r="H699" s="34" t="s">
        <v>321</v>
      </c>
      <c r="I699">
        <v>7</v>
      </c>
      <c r="J699">
        <v>0</v>
      </c>
      <c r="K699">
        <v>7</v>
      </c>
      <c r="L699">
        <v>0</v>
      </c>
      <c r="O699" s="28">
        <v>46286</v>
      </c>
      <c r="R699">
        <v>-1</v>
      </c>
      <c r="S699">
        <v>50</v>
      </c>
      <c r="T699">
        <v>5</v>
      </c>
      <c r="U699">
        <v>54</v>
      </c>
      <c r="V699">
        <v>20260922050</v>
      </c>
    </row>
    <row r="700" spans="1:22" x14ac:dyDescent="0.2">
      <c r="A700" s="34" t="s">
        <v>122</v>
      </c>
      <c r="B700" s="28">
        <v>46287</v>
      </c>
      <c r="C700" s="34"/>
      <c r="D700" s="34" t="s">
        <v>339</v>
      </c>
      <c r="E700" s="34" t="s">
        <v>322</v>
      </c>
      <c r="F700" s="34" t="s">
        <v>323</v>
      </c>
      <c r="G700" s="34" t="s">
        <v>324</v>
      </c>
      <c r="H700" s="34" t="s">
        <v>325</v>
      </c>
      <c r="I700">
        <v>3</v>
      </c>
      <c r="J700">
        <v>0</v>
      </c>
      <c r="K700">
        <v>8</v>
      </c>
      <c r="L700">
        <v>-5</v>
      </c>
      <c r="O700" s="28">
        <v>46286</v>
      </c>
      <c r="R700">
        <v>-1</v>
      </c>
      <c r="S700">
        <v>51</v>
      </c>
      <c r="T700">
        <v>5</v>
      </c>
      <c r="U700">
        <v>55</v>
      </c>
      <c r="V700">
        <v>20260922051</v>
      </c>
    </row>
    <row r="701" spans="1:22" x14ac:dyDescent="0.2">
      <c r="A701" s="34" t="s">
        <v>122</v>
      </c>
      <c r="B701" s="28">
        <v>46287</v>
      </c>
      <c r="C701" s="34"/>
      <c r="D701" s="34" t="s">
        <v>339</v>
      </c>
      <c r="E701" s="34" t="s">
        <v>326</v>
      </c>
      <c r="F701" s="34" t="s">
        <v>327</v>
      </c>
      <c r="G701" s="34" t="s">
        <v>328</v>
      </c>
      <c r="H701" s="34" t="s">
        <v>329</v>
      </c>
      <c r="I701">
        <v>18</v>
      </c>
      <c r="J701">
        <v>0</v>
      </c>
      <c r="K701">
        <v>12</v>
      </c>
      <c r="L701">
        <v>6</v>
      </c>
      <c r="O701" s="28">
        <v>46286</v>
      </c>
      <c r="R701">
        <v>-1</v>
      </c>
      <c r="S701">
        <v>52</v>
      </c>
      <c r="T701">
        <v>5</v>
      </c>
      <c r="U701">
        <v>73</v>
      </c>
      <c r="V701">
        <v>20260922052</v>
      </c>
    </row>
    <row r="702" spans="1:22" x14ac:dyDescent="0.2">
      <c r="A702" s="34" t="s">
        <v>122</v>
      </c>
      <c r="B702" s="28">
        <v>46287</v>
      </c>
      <c r="C702" s="34"/>
      <c r="D702" s="34" t="s">
        <v>339</v>
      </c>
      <c r="E702" s="34" t="s">
        <v>330</v>
      </c>
      <c r="F702" s="34" t="s">
        <v>331</v>
      </c>
      <c r="G702" s="34" t="s">
        <v>332</v>
      </c>
      <c r="H702" s="34" t="s">
        <v>333</v>
      </c>
      <c r="I702">
        <v>10</v>
      </c>
      <c r="J702">
        <v>0</v>
      </c>
      <c r="K702">
        <v>12</v>
      </c>
      <c r="L702">
        <v>-2</v>
      </c>
      <c r="O702" s="28">
        <v>46286</v>
      </c>
      <c r="R702">
        <v>-1</v>
      </c>
      <c r="S702">
        <v>53</v>
      </c>
      <c r="T702">
        <v>5</v>
      </c>
      <c r="U702">
        <v>74</v>
      </c>
      <c r="V702">
        <v>20260922053</v>
      </c>
    </row>
    <row r="703" spans="1:22" x14ac:dyDescent="0.2">
      <c r="A703" s="34" t="s">
        <v>122</v>
      </c>
      <c r="B703" s="28">
        <v>46287</v>
      </c>
      <c r="C703" s="34"/>
      <c r="D703" s="34" t="s">
        <v>339</v>
      </c>
      <c r="E703" s="34" t="s">
        <v>334</v>
      </c>
      <c r="F703" s="34" t="s">
        <v>335</v>
      </c>
      <c r="G703" s="34" t="s">
        <v>336</v>
      </c>
      <c r="H703" s="34" t="s">
        <v>337</v>
      </c>
      <c r="I703">
        <v>24</v>
      </c>
      <c r="J703">
        <v>0</v>
      </c>
      <c r="K703">
        <v>22</v>
      </c>
      <c r="L703">
        <v>2</v>
      </c>
      <c r="O703" s="28">
        <v>46286</v>
      </c>
      <c r="R703">
        <v>-1</v>
      </c>
      <c r="S703">
        <v>54</v>
      </c>
      <c r="T703">
        <v>5</v>
      </c>
      <c r="U703">
        <v>75</v>
      </c>
      <c r="V703">
        <v>20260922054</v>
      </c>
    </row>
    <row r="704" spans="1:22" x14ac:dyDescent="0.2">
      <c r="A704" s="34" t="s">
        <v>122</v>
      </c>
      <c r="B704" s="28">
        <v>46289</v>
      </c>
      <c r="C704" s="34"/>
      <c r="D704" s="34" t="s">
        <v>339</v>
      </c>
      <c r="E704" s="34" t="s">
        <v>124</v>
      </c>
      <c r="F704" s="34" t="s">
        <v>125</v>
      </c>
      <c r="G704" s="34" t="s">
        <v>126</v>
      </c>
      <c r="H704" s="34" t="s">
        <v>127</v>
      </c>
      <c r="I704">
        <v>11</v>
      </c>
      <c r="J704">
        <v>0</v>
      </c>
      <c r="K704">
        <v>8</v>
      </c>
      <c r="L704">
        <v>3</v>
      </c>
      <c r="O704" s="28">
        <v>46287</v>
      </c>
      <c r="R704">
        <v>-1</v>
      </c>
      <c r="S704">
        <v>1</v>
      </c>
      <c r="T704">
        <v>4</v>
      </c>
      <c r="U704">
        <v>1</v>
      </c>
      <c r="V704">
        <v>20260924001</v>
      </c>
    </row>
    <row r="705" spans="1:22" x14ac:dyDescent="0.2">
      <c r="A705" s="34" t="s">
        <v>122</v>
      </c>
      <c r="B705" s="28">
        <v>46289</v>
      </c>
      <c r="C705" s="34"/>
      <c r="D705" s="34" t="s">
        <v>339</v>
      </c>
      <c r="E705" s="34" t="s">
        <v>128</v>
      </c>
      <c r="F705" s="34" t="s">
        <v>129</v>
      </c>
      <c r="G705" s="34" t="s">
        <v>130</v>
      </c>
      <c r="H705" s="34" t="s">
        <v>131</v>
      </c>
      <c r="I705">
        <v>5</v>
      </c>
      <c r="J705">
        <v>0</v>
      </c>
      <c r="K705">
        <v>5</v>
      </c>
      <c r="L705">
        <v>0</v>
      </c>
      <c r="O705" s="28">
        <v>46287</v>
      </c>
      <c r="R705">
        <v>-1</v>
      </c>
      <c r="S705">
        <v>2</v>
      </c>
      <c r="T705">
        <v>4</v>
      </c>
      <c r="U705">
        <v>2</v>
      </c>
      <c r="V705">
        <v>20260924002</v>
      </c>
    </row>
    <row r="706" spans="1:22" x14ac:dyDescent="0.2">
      <c r="A706" s="34" t="s">
        <v>122</v>
      </c>
      <c r="B706" s="28">
        <v>46289</v>
      </c>
      <c r="C706" s="34"/>
      <c r="D706" s="34" t="s">
        <v>339</v>
      </c>
      <c r="E706" s="34" t="s">
        <v>132</v>
      </c>
      <c r="F706" s="34" t="s">
        <v>133</v>
      </c>
      <c r="G706" s="34" t="s">
        <v>134</v>
      </c>
      <c r="H706" s="34" t="s">
        <v>135</v>
      </c>
      <c r="I706">
        <v>5</v>
      </c>
      <c r="J706">
        <v>0</v>
      </c>
      <c r="K706">
        <v>4</v>
      </c>
      <c r="L706">
        <v>1</v>
      </c>
      <c r="O706" s="28">
        <v>46287</v>
      </c>
      <c r="R706">
        <v>-1</v>
      </c>
      <c r="S706">
        <v>3</v>
      </c>
      <c r="T706">
        <v>4</v>
      </c>
      <c r="U706">
        <v>3</v>
      </c>
      <c r="V706">
        <v>20260924003</v>
      </c>
    </row>
    <row r="707" spans="1:22" x14ac:dyDescent="0.2">
      <c r="A707" s="34" t="s">
        <v>122</v>
      </c>
      <c r="B707" s="28">
        <v>46289</v>
      </c>
      <c r="C707" s="34"/>
      <c r="D707" s="34" t="s">
        <v>339</v>
      </c>
      <c r="E707" s="34" t="s">
        <v>136</v>
      </c>
      <c r="F707" s="34" t="s">
        <v>137</v>
      </c>
      <c r="G707" s="34" t="s">
        <v>138</v>
      </c>
      <c r="H707" s="34" t="s">
        <v>139</v>
      </c>
      <c r="I707">
        <v>2</v>
      </c>
      <c r="J707">
        <v>0</v>
      </c>
      <c r="K707">
        <v>1</v>
      </c>
      <c r="L707">
        <v>1</v>
      </c>
      <c r="O707" s="28">
        <v>46287</v>
      </c>
      <c r="R707">
        <v>-1</v>
      </c>
      <c r="S707">
        <v>4</v>
      </c>
      <c r="T707">
        <v>4</v>
      </c>
      <c r="U707">
        <v>4</v>
      </c>
      <c r="V707">
        <v>20260924004</v>
      </c>
    </row>
    <row r="708" spans="1:22" x14ac:dyDescent="0.2">
      <c r="A708" s="34" t="s">
        <v>122</v>
      </c>
      <c r="B708" s="28">
        <v>46289</v>
      </c>
      <c r="C708" s="34"/>
      <c r="D708" s="34" t="s">
        <v>339</v>
      </c>
      <c r="E708" s="34" t="s">
        <v>140</v>
      </c>
      <c r="F708" s="34" t="s">
        <v>141</v>
      </c>
      <c r="G708" s="34" t="s">
        <v>142</v>
      </c>
      <c r="H708" s="34" t="s">
        <v>143</v>
      </c>
      <c r="I708">
        <v>5</v>
      </c>
      <c r="J708">
        <v>0</v>
      </c>
      <c r="K708">
        <v>7</v>
      </c>
      <c r="L708">
        <v>-2</v>
      </c>
      <c r="O708" s="28">
        <v>46287</v>
      </c>
      <c r="R708">
        <v>-1</v>
      </c>
      <c r="S708">
        <v>5</v>
      </c>
      <c r="T708">
        <v>4</v>
      </c>
      <c r="U708">
        <v>5</v>
      </c>
      <c r="V708">
        <v>20260924005</v>
      </c>
    </row>
    <row r="709" spans="1:22" x14ac:dyDescent="0.2">
      <c r="A709" s="34" t="s">
        <v>122</v>
      </c>
      <c r="B709" s="28">
        <v>46289</v>
      </c>
      <c r="C709" s="34"/>
      <c r="D709" s="34" t="s">
        <v>339</v>
      </c>
      <c r="E709" s="34" t="s">
        <v>144</v>
      </c>
      <c r="F709" s="34" t="s">
        <v>145</v>
      </c>
      <c r="G709" s="34" t="s">
        <v>146</v>
      </c>
      <c r="H709" s="34" t="s">
        <v>147</v>
      </c>
      <c r="I709">
        <v>9</v>
      </c>
      <c r="J709">
        <v>0</v>
      </c>
      <c r="K709">
        <v>2</v>
      </c>
      <c r="L709">
        <v>7</v>
      </c>
      <c r="O709" s="28">
        <v>46287</v>
      </c>
      <c r="R709">
        <v>-1</v>
      </c>
      <c r="S709">
        <v>6</v>
      </c>
      <c r="T709">
        <v>4</v>
      </c>
      <c r="U709">
        <v>6</v>
      </c>
      <c r="V709">
        <v>20260924006</v>
      </c>
    </row>
    <row r="710" spans="1:22" x14ac:dyDescent="0.2">
      <c r="A710" s="34" t="s">
        <v>122</v>
      </c>
      <c r="B710" s="28">
        <v>46289</v>
      </c>
      <c r="C710" s="34"/>
      <c r="D710" s="34" t="s">
        <v>339</v>
      </c>
      <c r="E710" s="34" t="s">
        <v>148</v>
      </c>
      <c r="F710" s="34" t="s">
        <v>149</v>
      </c>
      <c r="G710" s="34" t="s">
        <v>150</v>
      </c>
      <c r="H710" s="34" t="s">
        <v>151</v>
      </c>
      <c r="I710">
        <v>4</v>
      </c>
      <c r="J710">
        <v>0</v>
      </c>
      <c r="K710">
        <v>6</v>
      </c>
      <c r="L710">
        <v>-2</v>
      </c>
      <c r="O710" s="28">
        <v>46287</v>
      </c>
      <c r="R710">
        <v>-1</v>
      </c>
      <c r="S710">
        <v>7</v>
      </c>
      <c r="T710">
        <v>4</v>
      </c>
      <c r="U710">
        <v>7</v>
      </c>
      <c r="V710">
        <v>20260924007</v>
      </c>
    </row>
    <row r="711" spans="1:22" x14ac:dyDescent="0.2">
      <c r="A711" s="34" t="s">
        <v>122</v>
      </c>
      <c r="B711" s="28">
        <v>46289</v>
      </c>
      <c r="C711" s="34"/>
      <c r="D711" s="34" t="s">
        <v>339</v>
      </c>
      <c r="E711" s="34" t="s">
        <v>152</v>
      </c>
      <c r="F711" s="34" t="s">
        <v>153</v>
      </c>
      <c r="G711" s="34" t="s">
        <v>154</v>
      </c>
      <c r="H711" s="34" t="s">
        <v>155</v>
      </c>
      <c r="I711">
        <v>10</v>
      </c>
      <c r="J711">
        <v>10</v>
      </c>
      <c r="K711">
        <v>9</v>
      </c>
      <c r="L711">
        <v>11</v>
      </c>
      <c r="O711" s="28">
        <v>46287</v>
      </c>
      <c r="R711">
        <v>-1</v>
      </c>
      <c r="S711">
        <v>8</v>
      </c>
      <c r="T711">
        <v>4</v>
      </c>
      <c r="U711">
        <v>8</v>
      </c>
      <c r="V711">
        <v>20260924008</v>
      </c>
    </row>
    <row r="712" spans="1:22" x14ac:dyDescent="0.2">
      <c r="A712" s="34" t="s">
        <v>122</v>
      </c>
      <c r="B712" s="28">
        <v>46289</v>
      </c>
      <c r="C712" s="34"/>
      <c r="D712" s="34" t="s">
        <v>339</v>
      </c>
      <c r="E712" s="34" t="s">
        <v>156</v>
      </c>
      <c r="F712" s="34" t="s">
        <v>157</v>
      </c>
      <c r="G712" s="34" t="s">
        <v>158</v>
      </c>
      <c r="H712" s="34" t="s">
        <v>159</v>
      </c>
      <c r="I712">
        <v>13</v>
      </c>
      <c r="J712">
        <v>0</v>
      </c>
      <c r="K712">
        <v>25</v>
      </c>
      <c r="L712">
        <v>-12</v>
      </c>
      <c r="O712" s="28">
        <v>46287</v>
      </c>
      <c r="R712">
        <v>-1</v>
      </c>
      <c r="S712">
        <v>9</v>
      </c>
      <c r="T712">
        <v>4</v>
      </c>
      <c r="U712">
        <v>9</v>
      </c>
      <c r="V712">
        <v>20260924009</v>
      </c>
    </row>
    <row r="713" spans="1:22" x14ac:dyDescent="0.2">
      <c r="A713" s="34" t="s">
        <v>122</v>
      </c>
      <c r="B713" s="28">
        <v>46289</v>
      </c>
      <c r="C713" s="34"/>
      <c r="D713" s="34" t="s">
        <v>339</v>
      </c>
      <c r="E713" s="34" t="s">
        <v>160</v>
      </c>
      <c r="F713" s="34" t="s">
        <v>161</v>
      </c>
      <c r="G713" s="34" t="s">
        <v>162</v>
      </c>
      <c r="H713" s="34" t="s">
        <v>163</v>
      </c>
      <c r="I713">
        <v>15</v>
      </c>
      <c r="J713">
        <v>0</v>
      </c>
      <c r="K713">
        <v>15</v>
      </c>
      <c r="L713">
        <v>0</v>
      </c>
      <c r="O713" s="28">
        <v>46287</v>
      </c>
      <c r="R713">
        <v>-1</v>
      </c>
      <c r="S713">
        <v>10</v>
      </c>
      <c r="T713">
        <v>4</v>
      </c>
      <c r="U713">
        <v>10</v>
      </c>
      <c r="V713">
        <v>20260924010</v>
      </c>
    </row>
    <row r="714" spans="1:22" x14ac:dyDescent="0.2">
      <c r="A714" s="34" t="s">
        <v>122</v>
      </c>
      <c r="B714" s="28">
        <v>46289</v>
      </c>
      <c r="C714" s="34"/>
      <c r="D714" s="34" t="s">
        <v>339</v>
      </c>
      <c r="E714" s="34" t="s">
        <v>164</v>
      </c>
      <c r="F714" s="34" t="s">
        <v>165</v>
      </c>
      <c r="G714" s="34" t="s">
        <v>166</v>
      </c>
      <c r="H714" s="34" t="s">
        <v>167</v>
      </c>
      <c r="I714">
        <v>37</v>
      </c>
      <c r="J714">
        <v>30</v>
      </c>
      <c r="K714">
        <v>33</v>
      </c>
      <c r="L714">
        <v>34</v>
      </c>
      <c r="O714" s="28">
        <v>46287</v>
      </c>
      <c r="R714">
        <v>-1</v>
      </c>
      <c r="S714">
        <v>11</v>
      </c>
      <c r="T714">
        <v>4</v>
      </c>
      <c r="U714">
        <v>11</v>
      </c>
      <c r="V714">
        <v>20260924011</v>
      </c>
    </row>
    <row r="715" spans="1:22" x14ac:dyDescent="0.2">
      <c r="A715" s="34" t="s">
        <v>122</v>
      </c>
      <c r="B715" s="28">
        <v>46289</v>
      </c>
      <c r="C715" s="34"/>
      <c r="D715" s="34" t="s">
        <v>339</v>
      </c>
      <c r="E715" s="34" t="s">
        <v>168</v>
      </c>
      <c r="F715" s="34" t="s">
        <v>169</v>
      </c>
      <c r="G715" s="34" t="s">
        <v>170</v>
      </c>
      <c r="H715" s="34" t="s">
        <v>171</v>
      </c>
      <c r="I715">
        <v>6</v>
      </c>
      <c r="J715">
        <v>0</v>
      </c>
      <c r="K715">
        <v>15</v>
      </c>
      <c r="L715">
        <v>-9</v>
      </c>
      <c r="O715" s="28">
        <v>46287</v>
      </c>
      <c r="R715">
        <v>-1</v>
      </c>
      <c r="S715">
        <v>12</v>
      </c>
      <c r="T715">
        <v>4</v>
      </c>
      <c r="U715">
        <v>12</v>
      </c>
      <c r="V715">
        <v>20260924012</v>
      </c>
    </row>
    <row r="716" spans="1:22" x14ac:dyDescent="0.2">
      <c r="A716" s="34" t="s">
        <v>122</v>
      </c>
      <c r="B716" s="28">
        <v>46289</v>
      </c>
      <c r="C716" s="34"/>
      <c r="D716" s="34" t="s">
        <v>339</v>
      </c>
      <c r="E716" s="34" t="s">
        <v>172</v>
      </c>
      <c r="F716" s="34" t="s">
        <v>173</v>
      </c>
      <c r="G716" s="34" t="s">
        <v>174</v>
      </c>
      <c r="H716" s="34" t="s">
        <v>175</v>
      </c>
      <c r="I716">
        <v>12</v>
      </c>
      <c r="J716">
        <v>0</v>
      </c>
      <c r="K716">
        <v>12</v>
      </c>
      <c r="L716">
        <v>0</v>
      </c>
      <c r="O716" s="28">
        <v>46287</v>
      </c>
      <c r="R716">
        <v>-1</v>
      </c>
      <c r="S716">
        <v>13</v>
      </c>
      <c r="T716">
        <v>4</v>
      </c>
      <c r="U716">
        <v>13</v>
      </c>
      <c r="V716">
        <v>20260924013</v>
      </c>
    </row>
    <row r="717" spans="1:22" x14ac:dyDescent="0.2">
      <c r="A717" s="34" t="s">
        <v>122</v>
      </c>
      <c r="B717" s="28">
        <v>46289</v>
      </c>
      <c r="C717" s="34"/>
      <c r="D717" s="34" t="s">
        <v>339</v>
      </c>
      <c r="E717" s="34" t="s">
        <v>176</v>
      </c>
      <c r="F717" s="34" t="s">
        <v>177</v>
      </c>
      <c r="G717" s="34" t="s">
        <v>178</v>
      </c>
      <c r="H717" s="34" t="s">
        <v>179</v>
      </c>
      <c r="I717">
        <v>28</v>
      </c>
      <c r="J717">
        <v>0</v>
      </c>
      <c r="K717">
        <v>32</v>
      </c>
      <c r="L717">
        <v>-4</v>
      </c>
      <c r="O717" s="28">
        <v>46287</v>
      </c>
      <c r="R717">
        <v>-1</v>
      </c>
      <c r="S717">
        <v>14</v>
      </c>
      <c r="T717">
        <v>4</v>
      </c>
      <c r="U717">
        <v>14</v>
      </c>
      <c r="V717">
        <v>20260924014</v>
      </c>
    </row>
    <row r="718" spans="1:22" x14ac:dyDescent="0.2">
      <c r="A718" s="34" t="s">
        <v>122</v>
      </c>
      <c r="B718" s="28">
        <v>46289</v>
      </c>
      <c r="C718" s="34"/>
      <c r="D718" s="34" t="s">
        <v>339</v>
      </c>
      <c r="E718" s="34" t="s">
        <v>180</v>
      </c>
      <c r="F718" s="34" t="s">
        <v>181</v>
      </c>
      <c r="G718" s="34" t="s">
        <v>182</v>
      </c>
      <c r="H718" s="34" t="s">
        <v>183</v>
      </c>
      <c r="I718">
        <v>17</v>
      </c>
      <c r="J718">
        <v>0</v>
      </c>
      <c r="K718">
        <v>16</v>
      </c>
      <c r="L718">
        <v>1</v>
      </c>
      <c r="O718" s="28">
        <v>46287</v>
      </c>
      <c r="R718">
        <v>-1</v>
      </c>
      <c r="S718">
        <v>15</v>
      </c>
      <c r="T718">
        <v>4</v>
      </c>
      <c r="U718">
        <v>15</v>
      </c>
      <c r="V718">
        <v>20260924015</v>
      </c>
    </row>
    <row r="719" spans="1:22" x14ac:dyDescent="0.2">
      <c r="A719" s="34" t="s">
        <v>122</v>
      </c>
      <c r="B719" s="28">
        <v>46289</v>
      </c>
      <c r="C719" s="34"/>
      <c r="D719" s="34" t="s">
        <v>339</v>
      </c>
      <c r="E719" s="34" t="s">
        <v>184</v>
      </c>
      <c r="F719" s="34" t="s">
        <v>185</v>
      </c>
      <c r="G719" s="34" t="s">
        <v>186</v>
      </c>
      <c r="H719" s="34" t="s">
        <v>187</v>
      </c>
      <c r="I719">
        <v>10</v>
      </c>
      <c r="J719">
        <v>0</v>
      </c>
      <c r="K719">
        <v>10</v>
      </c>
      <c r="L719">
        <v>0</v>
      </c>
      <c r="O719" s="28">
        <v>46287</v>
      </c>
      <c r="R719">
        <v>-1</v>
      </c>
      <c r="S719">
        <v>16</v>
      </c>
      <c r="T719">
        <v>4</v>
      </c>
      <c r="U719">
        <v>16</v>
      </c>
      <c r="V719">
        <v>20260924016</v>
      </c>
    </row>
    <row r="720" spans="1:22" x14ac:dyDescent="0.2">
      <c r="A720" s="34" t="s">
        <v>122</v>
      </c>
      <c r="B720" s="28">
        <v>46289</v>
      </c>
      <c r="C720" s="34"/>
      <c r="D720" s="34" t="s">
        <v>339</v>
      </c>
      <c r="E720" s="34" t="s">
        <v>188</v>
      </c>
      <c r="F720" s="34" t="s">
        <v>189</v>
      </c>
      <c r="G720" s="34" t="s">
        <v>190</v>
      </c>
      <c r="H720" s="34" t="s">
        <v>191</v>
      </c>
      <c r="I720">
        <v>4</v>
      </c>
      <c r="J720">
        <v>0</v>
      </c>
      <c r="K720">
        <v>4</v>
      </c>
      <c r="L720">
        <v>0</v>
      </c>
      <c r="O720" s="28">
        <v>46287</v>
      </c>
      <c r="R720">
        <v>-1</v>
      </c>
      <c r="S720">
        <v>17</v>
      </c>
      <c r="T720">
        <v>4</v>
      </c>
      <c r="U720">
        <v>21</v>
      </c>
      <c r="V720">
        <v>20260924017</v>
      </c>
    </row>
    <row r="721" spans="1:22" x14ac:dyDescent="0.2">
      <c r="A721" s="34" t="s">
        <v>122</v>
      </c>
      <c r="B721" s="28">
        <v>46289</v>
      </c>
      <c r="C721" s="34"/>
      <c r="D721" s="34" t="s">
        <v>339</v>
      </c>
      <c r="E721" s="34" t="s">
        <v>192</v>
      </c>
      <c r="F721" s="34" t="s">
        <v>193</v>
      </c>
      <c r="G721" s="34" t="s">
        <v>194</v>
      </c>
      <c r="H721" s="34" t="s">
        <v>195</v>
      </c>
      <c r="I721">
        <v>4</v>
      </c>
      <c r="J721">
        <v>0</v>
      </c>
      <c r="K721">
        <v>4</v>
      </c>
      <c r="L721">
        <v>0</v>
      </c>
      <c r="O721" s="28">
        <v>46287</v>
      </c>
      <c r="R721">
        <v>-1</v>
      </c>
      <c r="S721">
        <v>18</v>
      </c>
      <c r="T721">
        <v>4</v>
      </c>
      <c r="U721">
        <v>22</v>
      </c>
      <c r="V721">
        <v>20260924018</v>
      </c>
    </row>
    <row r="722" spans="1:22" x14ac:dyDescent="0.2">
      <c r="A722" s="34" t="s">
        <v>122</v>
      </c>
      <c r="B722" s="28">
        <v>46289</v>
      </c>
      <c r="C722" s="34"/>
      <c r="D722" s="34" t="s">
        <v>339</v>
      </c>
      <c r="E722" s="34" t="s">
        <v>196</v>
      </c>
      <c r="F722" s="34" t="s">
        <v>197</v>
      </c>
      <c r="G722" s="34" t="s">
        <v>198</v>
      </c>
      <c r="H722" s="34" t="s">
        <v>199</v>
      </c>
      <c r="I722">
        <v>12</v>
      </c>
      <c r="J722">
        <v>0</v>
      </c>
      <c r="K722">
        <v>11</v>
      </c>
      <c r="L722">
        <v>1</v>
      </c>
      <c r="O722" s="28">
        <v>46287</v>
      </c>
      <c r="R722">
        <v>-1</v>
      </c>
      <c r="S722">
        <v>19</v>
      </c>
      <c r="T722">
        <v>4</v>
      </c>
      <c r="U722">
        <v>23</v>
      </c>
      <c r="V722">
        <v>20260924019</v>
      </c>
    </row>
    <row r="723" spans="1:22" x14ac:dyDescent="0.2">
      <c r="A723" s="34" t="s">
        <v>122</v>
      </c>
      <c r="B723" s="28">
        <v>46289</v>
      </c>
      <c r="C723" s="34"/>
      <c r="D723" s="34" t="s">
        <v>339</v>
      </c>
      <c r="E723" s="34" t="s">
        <v>200</v>
      </c>
      <c r="F723" s="34" t="s">
        <v>201</v>
      </c>
      <c r="G723" s="34" t="s">
        <v>202</v>
      </c>
      <c r="H723" s="34" t="s">
        <v>203</v>
      </c>
      <c r="I723">
        <v>5</v>
      </c>
      <c r="J723">
        <v>0</v>
      </c>
      <c r="K723">
        <v>21</v>
      </c>
      <c r="L723">
        <v>-16</v>
      </c>
      <c r="O723" s="28">
        <v>46287</v>
      </c>
      <c r="R723">
        <v>-1</v>
      </c>
      <c r="S723">
        <v>20</v>
      </c>
      <c r="T723">
        <v>4</v>
      </c>
      <c r="U723">
        <v>24</v>
      </c>
      <c r="V723">
        <v>20260924020</v>
      </c>
    </row>
    <row r="724" spans="1:22" x14ac:dyDescent="0.2">
      <c r="A724" s="34" t="s">
        <v>122</v>
      </c>
      <c r="B724" s="28">
        <v>46289</v>
      </c>
      <c r="C724" s="34"/>
      <c r="D724" s="34" t="s">
        <v>339</v>
      </c>
      <c r="E724" s="34" t="s">
        <v>204</v>
      </c>
      <c r="F724" s="34" t="s">
        <v>205</v>
      </c>
      <c r="G724" s="34" t="s">
        <v>206</v>
      </c>
      <c r="H724" s="34" t="s">
        <v>207</v>
      </c>
      <c r="I724">
        <v>4</v>
      </c>
      <c r="J724">
        <v>0</v>
      </c>
      <c r="K724">
        <v>7</v>
      </c>
      <c r="L724">
        <v>-3</v>
      </c>
      <c r="O724" s="28">
        <v>46287</v>
      </c>
      <c r="R724">
        <v>-1</v>
      </c>
      <c r="S724">
        <v>21</v>
      </c>
      <c r="T724">
        <v>4</v>
      </c>
      <c r="U724">
        <v>25</v>
      </c>
      <c r="V724">
        <v>20260924021</v>
      </c>
    </row>
    <row r="725" spans="1:22" x14ac:dyDescent="0.2">
      <c r="A725" s="34" t="s">
        <v>122</v>
      </c>
      <c r="B725" s="28">
        <v>46289</v>
      </c>
      <c r="C725" s="34"/>
      <c r="D725" s="34" t="s">
        <v>339</v>
      </c>
      <c r="E725" s="34" t="s">
        <v>208</v>
      </c>
      <c r="F725" s="34" t="s">
        <v>209</v>
      </c>
      <c r="G725" s="34" t="s">
        <v>210</v>
      </c>
      <c r="H725" s="34" t="s">
        <v>211</v>
      </c>
      <c r="I725">
        <v>12</v>
      </c>
      <c r="J725">
        <v>0</v>
      </c>
      <c r="K725">
        <v>3</v>
      </c>
      <c r="L725">
        <v>9</v>
      </c>
      <c r="O725" s="28">
        <v>46287</v>
      </c>
      <c r="R725">
        <v>-1</v>
      </c>
      <c r="S725">
        <v>22</v>
      </c>
      <c r="T725">
        <v>4</v>
      </c>
      <c r="U725">
        <v>26</v>
      </c>
      <c r="V725">
        <v>20260924022</v>
      </c>
    </row>
    <row r="726" spans="1:22" x14ac:dyDescent="0.2">
      <c r="A726" s="34" t="s">
        <v>122</v>
      </c>
      <c r="B726" s="28">
        <v>46289</v>
      </c>
      <c r="C726" s="34"/>
      <c r="D726" s="34" t="s">
        <v>339</v>
      </c>
      <c r="E726" s="34" t="s">
        <v>212</v>
      </c>
      <c r="F726" s="34" t="s">
        <v>213</v>
      </c>
      <c r="G726" s="34" t="s">
        <v>214</v>
      </c>
      <c r="H726" s="34" t="s">
        <v>215</v>
      </c>
      <c r="I726">
        <v>8</v>
      </c>
      <c r="J726">
        <v>0</v>
      </c>
      <c r="K726">
        <v>12</v>
      </c>
      <c r="L726">
        <v>-4</v>
      </c>
      <c r="O726" s="28">
        <v>46287</v>
      </c>
      <c r="R726">
        <v>-1</v>
      </c>
      <c r="S726">
        <v>23</v>
      </c>
      <c r="T726">
        <v>4</v>
      </c>
      <c r="U726">
        <v>27</v>
      </c>
      <c r="V726">
        <v>20260924023</v>
      </c>
    </row>
    <row r="727" spans="1:22" x14ac:dyDescent="0.2">
      <c r="A727" s="34" t="s">
        <v>122</v>
      </c>
      <c r="B727" s="28">
        <v>46289</v>
      </c>
      <c r="C727" s="34"/>
      <c r="D727" s="34" t="s">
        <v>339</v>
      </c>
      <c r="E727" s="34" t="s">
        <v>216</v>
      </c>
      <c r="F727" s="34" t="s">
        <v>217</v>
      </c>
      <c r="G727" s="34" t="s">
        <v>218</v>
      </c>
      <c r="H727" s="34" t="s">
        <v>219</v>
      </c>
      <c r="I727">
        <v>2</v>
      </c>
      <c r="J727">
        <v>0</v>
      </c>
      <c r="K727">
        <v>8</v>
      </c>
      <c r="L727">
        <v>-6</v>
      </c>
      <c r="O727" s="28">
        <v>46287</v>
      </c>
      <c r="R727">
        <v>-1</v>
      </c>
      <c r="S727">
        <v>24</v>
      </c>
      <c r="T727">
        <v>4</v>
      </c>
      <c r="U727">
        <v>28</v>
      </c>
      <c r="V727">
        <v>20260924024</v>
      </c>
    </row>
    <row r="728" spans="1:22" x14ac:dyDescent="0.2">
      <c r="A728" s="34" t="s">
        <v>122</v>
      </c>
      <c r="B728" s="28">
        <v>46289</v>
      </c>
      <c r="C728" s="34"/>
      <c r="D728" s="34" t="s">
        <v>339</v>
      </c>
      <c r="E728" s="34" t="s">
        <v>220</v>
      </c>
      <c r="F728" s="34" t="s">
        <v>221</v>
      </c>
      <c r="G728" s="34" t="s">
        <v>222</v>
      </c>
      <c r="H728" s="34" t="s">
        <v>223</v>
      </c>
      <c r="I728">
        <v>9</v>
      </c>
      <c r="J728">
        <v>0</v>
      </c>
      <c r="K728">
        <v>7</v>
      </c>
      <c r="L728">
        <v>2</v>
      </c>
      <c r="O728" s="28">
        <v>46287</v>
      </c>
      <c r="R728">
        <v>-1</v>
      </c>
      <c r="S728">
        <v>25</v>
      </c>
      <c r="T728">
        <v>4</v>
      </c>
      <c r="U728">
        <v>29</v>
      </c>
      <c r="V728">
        <v>20260924025</v>
      </c>
    </row>
    <row r="729" spans="1:22" x14ac:dyDescent="0.2">
      <c r="A729" s="34" t="s">
        <v>122</v>
      </c>
      <c r="B729" s="28">
        <v>46289</v>
      </c>
      <c r="C729" s="34"/>
      <c r="D729" s="34" t="s">
        <v>339</v>
      </c>
      <c r="E729" s="34" t="s">
        <v>224</v>
      </c>
      <c r="F729" s="34" t="s">
        <v>225</v>
      </c>
      <c r="G729" s="34" t="s">
        <v>226</v>
      </c>
      <c r="H729" s="34" t="s">
        <v>227</v>
      </c>
      <c r="I729">
        <v>10</v>
      </c>
      <c r="J729">
        <v>0</v>
      </c>
      <c r="K729">
        <v>10</v>
      </c>
      <c r="L729">
        <v>0</v>
      </c>
      <c r="O729" s="28">
        <v>46287</v>
      </c>
      <c r="R729">
        <v>-1</v>
      </c>
      <c r="S729">
        <v>26</v>
      </c>
      <c r="T729">
        <v>4</v>
      </c>
      <c r="U729">
        <v>30</v>
      </c>
      <c r="V729">
        <v>20260924026</v>
      </c>
    </row>
    <row r="730" spans="1:22" x14ac:dyDescent="0.2">
      <c r="A730" s="34" t="s">
        <v>122</v>
      </c>
      <c r="B730" s="28">
        <v>46289</v>
      </c>
      <c r="C730" s="34"/>
      <c r="D730" s="34" t="s">
        <v>339</v>
      </c>
      <c r="E730" s="34" t="s">
        <v>228</v>
      </c>
      <c r="F730" s="34" t="s">
        <v>229</v>
      </c>
      <c r="G730" s="34" t="s">
        <v>230</v>
      </c>
      <c r="H730" s="34" t="s">
        <v>231</v>
      </c>
      <c r="I730">
        <v>6</v>
      </c>
      <c r="J730">
        <v>0</v>
      </c>
      <c r="K730">
        <v>9</v>
      </c>
      <c r="L730">
        <v>-3</v>
      </c>
      <c r="O730" s="28">
        <v>46287</v>
      </c>
      <c r="R730">
        <v>-1</v>
      </c>
      <c r="S730">
        <v>27</v>
      </c>
      <c r="T730">
        <v>4</v>
      </c>
      <c r="U730">
        <v>31</v>
      </c>
      <c r="V730">
        <v>20260924027</v>
      </c>
    </row>
    <row r="731" spans="1:22" x14ac:dyDescent="0.2">
      <c r="A731" s="34" t="s">
        <v>122</v>
      </c>
      <c r="B731" s="28">
        <v>46289</v>
      </c>
      <c r="C731" s="34"/>
      <c r="D731" s="34" t="s">
        <v>339</v>
      </c>
      <c r="E731" s="34" t="s">
        <v>232</v>
      </c>
      <c r="F731" s="34" t="s">
        <v>233</v>
      </c>
      <c r="G731" s="34" t="s">
        <v>234</v>
      </c>
      <c r="H731" s="34" t="s">
        <v>235</v>
      </c>
      <c r="I731">
        <v>13</v>
      </c>
      <c r="J731">
        <v>0</v>
      </c>
      <c r="K731">
        <v>10</v>
      </c>
      <c r="L731">
        <v>3</v>
      </c>
      <c r="O731" s="28">
        <v>46287</v>
      </c>
      <c r="R731">
        <v>-1</v>
      </c>
      <c r="S731">
        <v>28</v>
      </c>
      <c r="T731">
        <v>4</v>
      </c>
      <c r="U731">
        <v>32</v>
      </c>
      <c r="V731">
        <v>20260924028</v>
      </c>
    </row>
    <row r="732" spans="1:22" x14ac:dyDescent="0.2">
      <c r="A732" s="34" t="s">
        <v>122</v>
      </c>
      <c r="B732" s="28">
        <v>46289</v>
      </c>
      <c r="C732" s="34"/>
      <c r="D732" s="34" t="s">
        <v>339</v>
      </c>
      <c r="E732" s="34" t="s">
        <v>236</v>
      </c>
      <c r="F732" s="34" t="s">
        <v>237</v>
      </c>
      <c r="G732" s="34" t="s">
        <v>238</v>
      </c>
      <c r="H732" s="34" t="s">
        <v>239</v>
      </c>
      <c r="I732">
        <v>11</v>
      </c>
      <c r="J732">
        <v>0</v>
      </c>
      <c r="K732">
        <v>10</v>
      </c>
      <c r="L732">
        <v>1</v>
      </c>
      <c r="O732" s="28">
        <v>46287</v>
      </c>
      <c r="R732">
        <v>-1</v>
      </c>
      <c r="S732">
        <v>29</v>
      </c>
      <c r="T732">
        <v>4</v>
      </c>
      <c r="U732">
        <v>33</v>
      </c>
      <c r="V732">
        <v>20260924029</v>
      </c>
    </row>
    <row r="733" spans="1:22" x14ac:dyDescent="0.2">
      <c r="A733" s="34" t="s">
        <v>122</v>
      </c>
      <c r="B733" s="28">
        <v>46289</v>
      </c>
      <c r="C733" s="34"/>
      <c r="D733" s="34" t="s">
        <v>339</v>
      </c>
      <c r="E733" s="34" t="s">
        <v>240</v>
      </c>
      <c r="F733" s="34" t="s">
        <v>241</v>
      </c>
      <c r="G733" s="34" t="s">
        <v>242</v>
      </c>
      <c r="H733" s="34" t="s">
        <v>243</v>
      </c>
      <c r="I733">
        <v>15</v>
      </c>
      <c r="J733">
        <v>0</v>
      </c>
      <c r="K733">
        <v>10</v>
      </c>
      <c r="L733">
        <v>5</v>
      </c>
      <c r="O733" s="28">
        <v>46287</v>
      </c>
      <c r="R733">
        <v>-1</v>
      </c>
      <c r="S733">
        <v>30</v>
      </c>
      <c r="T733">
        <v>4</v>
      </c>
      <c r="U733">
        <v>34</v>
      </c>
      <c r="V733">
        <v>20260924030</v>
      </c>
    </row>
    <row r="734" spans="1:22" x14ac:dyDescent="0.2">
      <c r="A734" s="34" t="s">
        <v>122</v>
      </c>
      <c r="B734" s="28">
        <v>46289</v>
      </c>
      <c r="C734" s="34"/>
      <c r="D734" s="34" t="s">
        <v>339</v>
      </c>
      <c r="E734" s="34" t="s">
        <v>244</v>
      </c>
      <c r="F734" s="34" t="s">
        <v>245</v>
      </c>
      <c r="G734" s="34" t="s">
        <v>246</v>
      </c>
      <c r="H734" s="34" t="s">
        <v>247</v>
      </c>
      <c r="I734">
        <v>5</v>
      </c>
      <c r="J734">
        <v>0</v>
      </c>
      <c r="K734">
        <v>5</v>
      </c>
      <c r="L734">
        <v>0</v>
      </c>
      <c r="O734" s="28">
        <v>46287</v>
      </c>
      <c r="R734">
        <v>-1</v>
      </c>
      <c r="S734">
        <v>31</v>
      </c>
      <c r="T734">
        <v>4</v>
      </c>
      <c r="U734">
        <v>35</v>
      </c>
      <c r="V734">
        <v>20260924031</v>
      </c>
    </row>
    <row r="735" spans="1:22" x14ac:dyDescent="0.2">
      <c r="A735" s="34" t="s">
        <v>122</v>
      </c>
      <c r="B735" s="28">
        <v>46289</v>
      </c>
      <c r="C735" s="34"/>
      <c r="D735" s="34" t="s">
        <v>339</v>
      </c>
      <c r="E735" s="34" t="s">
        <v>248</v>
      </c>
      <c r="F735" s="34" t="s">
        <v>249</v>
      </c>
      <c r="G735" s="34" t="s">
        <v>250</v>
      </c>
      <c r="H735" s="34" t="s">
        <v>251</v>
      </c>
      <c r="I735">
        <v>6</v>
      </c>
      <c r="J735">
        <v>0</v>
      </c>
      <c r="K735">
        <v>5</v>
      </c>
      <c r="L735">
        <v>1</v>
      </c>
      <c r="O735" s="28">
        <v>46287</v>
      </c>
      <c r="R735">
        <v>-1</v>
      </c>
      <c r="S735">
        <v>32</v>
      </c>
      <c r="T735">
        <v>4</v>
      </c>
      <c r="U735">
        <v>36</v>
      </c>
      <c r="V735">
        <v>20260924032</v>
      </c>
    </row>
    <row r="736" spans="1:22" x14ac:dyDescent="0.2">
      <c r="A736" s="34" t="s">
        <v>122</v>
      </c>
      <c r="B736" s="28">
        <v>46289</v>
      </c>
      <c r="C736" s="34"/>
      <c r="D736" s="34" t="s">
        <v>339</v>
      </c>
      <c r="E736" s="34" t="s">
        <v>252</v>
      </c>
      <c r="F736" s="34" t="s">
        <v>253</v>
      </c>
      <c r="G736" s="34" t="s">
        <v>254</v>
      </c>
      <c r="H736" s="34" t="s">
        <v>255</v>
      </c>
      <c r="I736">
        <v>9</v>
      </c>
      <c r="J736">
        <v>0</v>
      </c>
      <c r="K736">
        <v>14</v>
      </c>
      <c r="L736">
        <v>-5</v>
      </c>
      <c r="O736" s="28">
        <v>46287</v>
      </c>
      <c r="R736">
        <v>-1</v>
      </c>
      <c r="S736">
        <v>33</v>
      </c>
      <c r="T736">
        <v>4</v>
      </c>
      <c r="U736">
        <v>37</v>
      </c>
      <c r="V736">
        <v>20260924033</v>
      </c>
    </row>
    <row r="737" spans="1:22" x14ac:dyDescent="0.2">
      <c r="A737" s="34" t="s">
        <v>122</v>
      </c>
      <c r="B737" s="28">
        <v>46289</v>
      </c>
      <c r="C737" s="34"/>
      <c r="D737" s="34" t="s">
        <v>339</v>
      </c>
      <c r="E737" s="34" t="s">
        <v>256</v>
      </c>
      <c r="F737" s="34" t="s">
        <v>257</v>
      </c>
      <c r="G737" s="34" t="s">
        <v>258</v>
      </c>
      <c r="H737" s="34" t="s">
        <v>259</v>
      </c>
      <c r="I737">
        <v>4</v>
      </c>
      <c r="J737">
        <v>0</v>
      </c>
      <c r="K737">
        <v>3</v>
      </c>
      <c r="L737">
        <v>1</v>
      </c>
      <c r="O737" s="28">
        <v>46287</v>
      </c>
      <c r="R737">
        <v>-1</v>
      </c>
      <c r="S737">
        <v>34</v>
      </c>
      <c r="T737">
        <v>4</v>
      </c>
      <c r="U737">
        <v>38</v>
      </c>
      <c r="V737">
        <v>20260924034</v>
      </c>
    </row>
    <row r="738" spans="1:22" x14ac:dyDescent="0.2">
      <c r="A738" s="34" t="s">
        <v>122</v>
      </c>
      <c r="B738" s="28">
        <v>46289</v>
      </c>
      <c r="C738" s="34"/>
      <c r="D738" s="34" t="s">
        <v>339</v>
      </c>
      <c r="E738" s="34" t="s">
        <v>260</v>
      </c>
      <c r="F738" s="34" t="s">
        <v>261</v>
      </c>
      <c r="G738" s="34" t="s">
        <v>262</v>
      </c>
      <c r="H738" s="34" t="s">
        <v>263</v>
      </c>
      <c r="I738">
        <v>4</v>
      </c>
      <c r="J738">
        <v>0</v>
      </c>
      <c r="K738">
        <v>2</v>
      </c>
      <c r="L738">
        <v>2</v>
      </c>
      <c r="O738" s="28">
        <v>46287</v>
      </c>
      <c r="R738">
        <v>-1</v>
      </c>
      <c r="S738">
        <v>35</v>
      </c>
      <c r="T738">
        <v>4</v>
      </c>
      <c r="U738">
        <v>39</v>
      </c>
      <c r="V738">
        <v>20260924035</v>
      </c>
    </row>
    <row r="739" spans="1:22" x14ac:dyDescent="0.2">
      <c r="A739" s="34" t="s">
        <v>122</v>
      </c>
      <c r="B739" s="28">
        <v>46289</v>
      </c>
      <c r="C739" s="34"/>
      <c r="D739" s="34" t="s">
        <v>339</v>
      </c>
      <c r="E739" s="34" t="s">
        <v>264</v>
      </c>
      <c r="F739" s="34" t="s">
        <v>265</v>
      </c>
      <c r="G739" s="34" t="s">
        <v>266</v>
      </c>
      <c r="H739" s="34" t="s">
        <v>267</v>
      </c>
      <c r="I739">
        <v>10</v>
      </c>
      <c r="J739">
        <v>0</v>
      </c>
      <c r="K739">
        <v>3</v>
      </c>
      <c r="L739">
        <v>7</v>
      </c>
      <c r="O739" s="28">
        <v>46287</v>
      </c>
      <c r="R739">
        <v>-1</v>
      </c>
      <c r="S739">
        <v>36</v>
      </c>
      <c r="T739">
        <v>4</v>
      </c>
      <c r="U739">
        <v>40</v>
      </c>
      <c r="V739">
        <v>20260924036</v>
      </c>
    </row>
    <row r="740" spans="1:22" x14ac:dyDescent="0.2">
      <c r="A740" s="34" t="s">
        <v>122</v>
      </c>
      <c r="B740" s="28">
        <v>46289</v>
      </c>
      <c r="C740" s="34"/>
      <c r="D740" s="34" t="s">
        <v>339</v>
      </c>
      <c r="E740" s="34" t="s">
        <v>268</v>
      </c>
      <c r="F740" s="34" t="s">
        <v>269</v>
      </c>
      <c r="G740" s="34" t="s">
        <v>270</v>
      </c>
      <c r="H740" s="34" t="s">
        <v>271</v>
      </c>
      <c r="I740">
        <v>7</v>
      </c>
      <c r="J740">
        <v>0</v>
      </c>
      <c r="K740">
        <v>6</v>
      </c>
      <c r="L740">
        <v>1</v>
      </c>
      <c r="O740" s="28">
        <v>46287</v>
      </c>
      <c r="R740">
        <v>-1</v>
      </c>
      <c r="S740">
        <v>37</v>
      </c>
      <c r="T740">
        <v>4</v>
      </c>
      <c r="U740">
        <v>41</v>
      </c>
      <c r="V740">
        <v>20260924037</v>
      </c>
    </row>
    <row r="741" spans="1:22" x14ac:dyDescent="0.2">
      <c r="A741" s="34" t="s">
        <v>122</v>
      </c>
      <c r="B741" s="28">
        <v>46289</v>
      </c>
      <c r="C741" s="34"/>
      <c r="D741" s="34" t="s">
        <v>339</v>
      </c>
      <c r="E741" s="34" t="s">
        <v>272</v>
      </c>
      <c r="F741" s="34" t="s">
        <v>341</v>
      </c>
      <c r="G741" s="34" t="s">
        <v>273</v>
      </c>
      <c r="H741" s="34" t="s">
        <v>274</v>
      </c>
      <c r="I741">
        <v>8</v>
      </c>
      <c r="J741">
        <v>0</v>
      </c>
      <c r="K741">
        <v>18</v>
      </c>
      <c r="L741">
        <v>-10</v>
      </c>
      <c r="O741" s="28">
        <v>46287</v>
      </c>
      <c r="R741">
        <v>-1</v>
      </c>
      <c r="S741">
        <v>38</v>
      </c>
      <c r="T741">
        <v>4</v>
      </c>
      <c r="U741">
        <v>42</v>
      </c>
      <c r="V741">
        <v>20260924038</v>
      </c>
    </row>
    <row r="742" spans="1:22" x14ac:dyDescent="0.2">
      <c r="A742" s="34" t="s">
        <v>122</v>
      </c>
      <c r="B742" s="28">
        <v>46289</v>
      </c>
      <c r="C742" s="34"/>
      <c r="D742" s="34" t="s">
        <v>339</v>
      </c>
      <c r="E742" s="34" t="s">
        <v>275</v>
      </c>
      <c r="F742" s="34" t="s">
        <v>276</v>
      </c>
      <c r="G742" s="34" t="s">
        <v>277</v>
      </c>
      <c r="H742" s="34" t="s">
        <v>278</v>
      </c>
      <c r="I742">
        <v>2</v>
      </c>
      <c r="J742">
        <v>0</v>
      </c>
      <c r="K742">
        <v>3</v>
      </c>
      <c r="L742">
        <v>-1</v>
      </c>
      <c r="O742" s="28">
        <v>46287</v>
      </c>
      <c r="R742">
        <v>-1</v>
      </c>
      <c r="S742">
        <v>39</v>
      </c>
      <c r="T742">
        <v>4</v>
      </c>
      <c r="U742">
        <v>43</v>
      </c>
      <c r="V742">
        <v>20260924039</v>
      </c>
    </row>
    <row r="743" spans="1:22" x14ac:dyDescent="0.2">
      <c r="A743" s="34" t="s">
        <v>122</v>
      </c>
      <c r="B743" s="28">
        <v>46289</v>
      </c>
      <c r="C743" s="34"/>
      <c r="D743" s="34" t="s">
        <v>339</v>
      </c>
      <c r="E743" s="34" t="s">
        <v>279</v>
      </c>
      <c r="F743" s="34" t="s">
        <v>280</v>
      </c>
      <c r="G743" s="34" t="s">
        <v>281</v>
      </c>
      <c r="H743" s="34" t="s">
        <v>282</v>
      </c>
      <c r="I743">
        <v>4</v>
      </c>
      <c r="J743">
        <v>0</v>
      </c>
      <c r="K743">
        <v>5</v>
      </c>
      <c r="L743">
        <v>-1</v>
      </c>
      <c r="O743" s="28">
        <v>46287</v>
      </c>
      <c r="R743">
        <v>-1</v>
      </c>
      <c r="S743">
        <v>40</v>
      </c>
      <c r="T743">
        <v>4</v>
      </c>
      <c r="U743">
        <v>44</v>
      </c>
      <c r="V743">
        <v>20260924040</v>
      </c>
    </row>
    <row r="744" spans="1:22" x14ac:dyDescent="0.2">
      <c r="A744" s="34" t="s">
        <v>122</v>
      </c>
      <c r="B744" s="28">
        <v>46289</v>
      </c>
      <c r="C744" s="34"/>
      <c r="D744" s="34" t="s">
        <v>339</v>
      </c>
      <c r="E744" s="34" t="s">
        <v>283</v>
      </c>
      <c r="F744" s="34" t="s">
        <v>284</v>
      </c>
      <c r="G744" s="34" t="s">
        <v>285</v>
      </c>
      <c r="H744" s="34" t="s">
        <v>286</v>
      </c>
      <c r="I744">
        <v>21</v>
      </c>
      <c r="J744">
        <v>0</v>
      </c>
      <c r="K744">
        <v>19</v>
      </c>
      <c r="L744">
        <v>2</v>
      </c>
      <c r="O744" s="28">
        <v>46287</v>
      </c>
      <c r="R744">
        <v>-1</v>
      </c>
      <c r="S744">
        <v>41</v>
      </c>
      <c r="T744">
        <v>4</v>
      </c>
      <c r="U744">
        <v>45</v>
      </c>
      <c r="V744">
        <v>20260924041</v>
      </c>
    </row>
    <row r="745" spans="1:22" x14ac:dyDescent="0.2">
      <c r="A745" s="34" t="s">
        <v>122</v>
      </c>
      <c r="B745" s="28">
        <v>46289</v>
      </c>
      <c r="C745" s="34"/>
      <c r="D745" s="34" t="s">
        <v>339</v>
      </c>
      <c r="E745" s="34" t="s">
        <v>287</v>
      </c>
      <c r="F745" s="34" t="s">
        <v>288</v>
      </c>
      <c r="G745" s="34" t="s">
        <v>289</v>
      </c>
      <c r="H745" s="34" t="s">
        <v>290</v>
      </c>
      <c r="I745">
        <v>16</v>
      </c>
      <c r="J745">
        <v>0</v>
      </c>
      <c r="K745">
        <v>9</v>
      </c>
      <c r="L745">
        <v>7</v>
      </c>
      <c r="O745" s="28">
        <v>46287</v>
      </c>
      <c r="R745">
        <v>-1</v>
      </c>
      <c r="S745">
        <v>42</v>
      </c>
      <c r="T745">
        <v>4</v>
      </c>
      <c r="U745">
        <v>46</v>
      </c>
      <c r="V745">
        <v>20260924042</v>
      </c>
    </row>
    <row r="746" spans="1:22" x14ac:dyDescent="0.2">
      <c r="A746" s="34" t="s">
        <v>122</v>
      </c>
      <c r="B746" s="28">
        <v>46289</v>
      </c>
      <c r="C746" s="34"/>
      <c r="D746" s="34" t="s">
        <v>339</v>
      </c>
      <c r="E746" s="34" t="s">
        <v>291</v>
      </c>
      <c r="F746" s="34" t="s">
        <v>342</v>
      </c>
      <c r="G746" s="34" t="s">
        <v>292</v>
      </c>
      <c r="H746" s="34" t="s">
        <v>293</v>
      </c>
      <c r="I746">
        <v>21</v>
      </c>
      <c r="J746">
        <v>0</v>
      </c>
      <c r="K746">
        <v>20</v>
      </c>
      <c r="L746">
        <v>1</v>
      </c>
      <c r="O746" s="28">
        <v>46287</v>
      </c>
      <c r="R746">
        <v>-1</v>
      </c>
      <c r="S746">
        <v>43</v>
      </c>
      <c r="T746">
        <v>4</v>
      </c>
      <c r="U746">
        <v>47</v>
      </c>
      <c r="V746">
        <v>20260924043</v>
      </c>
    </row>
    <row r="747" spans="1:22" x14ac:dyDescent="0.2">
      <c r="A747" s="34" t="s">
        <v>122</v>
      </c>
      <c r="B747" s="28">
        <v>46289</v>
      </c>
      <c r="C747" s="34"/>
      <c r="D747" s="34" t="s">
        <v>339</v>
      </c>
      <c r="E747" s="34" t="s">
        <v>294</v>
      </c>
      <c r="F747" s="34" t="s">
        <v>295</v>
      </c>
      <c r="G747" s="34" t="s">
        <v>296</v>
      </c>
      <c r="H747" s="34" t="s">
        <v>297</v>
      </c>
      <c r="I747">
        <v>9</v>
      </c>
      <c r="J747">
        <v>0</v>
      </c>
      <c r="K747">
        <v>16</v>
      </c>
      <c r="L747">
        <v>-7</v>
      </c>
      <c r="O747" s="28">
        <v>46287</v>
      </c>
      <c r="R747">
        <v>-1</v>
      </c>
      <c r="S747">
        <v>44</v>
      </c>
      <c r="T747">
        <v>4</v>
      </c>
      <c r="U747">
        <v>48</v>
      </c>
      <c r="V747">
        <v>20260924044</v>
      </c>
    </row>
    <row r="748" spans="1:22" x14ac:dyDescent="0.2">
      <c r="A748" s="34" t="s">
        <v>122</v>
      </c>
      <c r="B748" s="28">
        <v>46289</v>
      </c>
      <c r="C748" s="34"/>
      <c r="D748" s="34" t="s">
        <v>339</v>
      </c>
      <c r="E748" s="34" t="s">
        <v>298</v>
      </c>
      <c r="F748" s="34" t="s">
        <v>299</v>
      </c>
      <c r="G748" s="34" t="s">
        <v>300</v>
      </c>
      <c r="H748" s="34" t="s">
        <v>301</v>
      </c>
      <c r="I748">
        <v>13</v>
      </c>
      <c r="J748">
        <v>0</v>
      </c>
      <c r="K748">
        <v>9</v>
      </c>
      <c r="L748">
        <v>4</v>
      </c>
      <c r="O748" s="28">
        <v>46287</v>
      </c>
      <c r="R748">
        <v>-1</v>
      </c>
      <c r="S748">
        <v>45</v>
      </c>
      <c r="T748">
        <v>4</v>
      </c>
      <c r="U748">
        <v>49</v>
      </c>
      <c r="V748">
        <v>20260924045</v>
      </c>
    </row>
    <row r="749" spans="1:22" x14ac:dyDescent="0.2">
      <c r="A749" s="34" t="s">
        <v>122</v>
      </c>
      <c r="B749" s="28">
        <v>46289</v>
      </c>
      <c r="C749" s="34"/>
      <c r="D749" s="34" t="s">
        <v>339</v>
      </c>
      <c r="E749" s="34" t="s">
        <v>302</v>
      </c>
      <c r="F749" s="34" t="s">
        <v>303</v>
      </c>
      <c r="G749" s="34" t="s">
        <v>304</v>
      </c>
      <c r="H749" s="34" t="s">
        <v>305</v>
      </c>
      <c r="I749">
        <v>8</v>
      </c>
      <c r="J749">
        <v>0</v>
      </c>
      <c r="K749">
        <v>8</v>
      </c>
      <c r="L749">
        <v>0</v>
      </c>
      <c r="O749" s="28">
        <v>46287</v>
      </c>
      <c r="R749">
        <v>-1</v>
      </c>
      <c r="S749">
        <v>46</v>
      </c>
      <c r="T749">
        <v>4</v>
      </c>
      <c r="U749">
        <v>50</v>
      </c>
      <c r="V749">
        <v>20260924046</v>
      </c>
    </row>
    <row r="750" spans="1:22" x14ac:dyDescent="0.2">
      <c r="A750" s="34" t="s">
        <v>122</v>
      </c>
      <c r="B750" s="28">
        <v>46289</v>
      </c>
      <c r="C750" s="34"/>
      <c r="D750" s="34" t="s">
        <v>339</v>
      </c>
      <c r="E750" s="34" t="s">
        <v>306</v>
      </c>
      <c r="F750" s="34" t="s">
        <v>307</v>
      </c>
      <c r="G750" s="34" t="s">
        <v>308</v>
      </c>
      <c r="H750" s="34" t="s">
        <v>309</v>
      </c>
      <c r="I750">
        <v>8</v>
      </c>
      <c r="J750">
        <v>0</v>
      </c>
      <c r="K750">
        <v>8</v>
      </c>
      <c r="L750">
        <v>0</v>
      </c>
      <c r="O750" s="28">
        <v>46287</v>
      </c>
      <c r="R750">
        <v>-1</v>
      </c>
      <c r="S750">
        <v>47</v>
      </c>
      <c r="T750">
        <v>4</v>
      </c>
      <c r="U750">
        <v>51</v>
      </c>
      <c r="V750">
        <v>20260924047</v>
      </c>
    </row>
    <row r="751" spans="1:22" x14ac:dyDescent="0.2">
      <c r="A751" s="34" t="s">
        <v>122</v>
      </c>
      <c r="B751" s="28">
        <v>46289</v>
      </c>
      <c r="C751" s="34"/>
      <c r="D751" s="34" t="s">
        <v>339</v>
      </c>
      <c r="E751" s="34" t="s">
        <v>310</v>
      </c>
      <c r="F751" s="34" t="s">
        <v>311</v>
      </c>
      <c r="G751" s="34" t="s">
        <v>312</v>
      </c>
      <c r="H751" s="34" t="s">
        <v>313</v>
      </c>
      <c r="I751">
        <v>5</v>
      </c>
      <c r="J751">
        <v>0</v>
      </c>
      <c r="K751">
        <v>9</v>
      </c>
      <c r="L751">
        <v>-4</v>
      </c>
      <c r="O751" s="28">
        <v>46287</v>
      </c>
      <c r="R751">
        <v>-1</v>
      </c>
      <c r="S751">
        <v>48</v>
      </c>
      <c r="T751">
        <v>4</v>
      </c>
      <c r="U751">
        <v>52</v>
      </c>
      <c r="V751">
        <v>20260924048</v>
      </c>
    </row>
    <row r="752" spans="1:22" x14ac:dyDescent="0.2">
      <c r="A752" s="34" t="s">
        <v>122</v>
      </c>
      <c r="B752" s="28">
        <v>46289</v>
      </c>
      <c r="C752" s="34"/>
      <c r="D752" s="34" t="s">
        <v>339</v>
      </c>
      <c r="E752" s="34" t="s">
        <v>314</v>
      </c>
      <c r="F752" s="34" t="s">
        <v>315</v>
      </c>
      <c r="G752" s="34" t="s">
        <v>316</v>
      </c>
      <c r="H752" s="34" t="s">
        <v>317</v>
      </c>
      <c r="I752">
        <v>26</v>
      </c>
      <c r="J752">
        <v>0</v>
      </c>
      <c r="K752">
        <v>25</v>
      </c>
      <c r="L752">
        <v>1</v>
      </c>
      <c r="O752" s="28">
        <v>46287</v>
      </c>
      <c r="R752">
        <v>-1</v>
      </c>
      <c r="S752">
        <v>49</v>
      </c>
      <c r="T752">
        <v>4</v>
      </c>
      <c r="U752">
        <v>53</v>
      </c>
      <c r="V752">
        <v>20260924049</v>
      </c>
    </row>
    <row r="753" spans="1:22" x14ac:dyDescent="0.2">
      <c r="A753" s="34" t="s">
        <v>122</v>
      </c>
      <c r="B753" s="28">
        <v>46289</v>
      </c>
      <c r="C753" s="34"/>
      <c r="D753" s="34" t="s">
        <v>339</v>
      </c>
      <c r="E753" s="34" t="s">
        <v>318</v>
      </c>
      <c r="F753" s="34" t="s">
        <v>319</v>
      </c>
      <c r="G753" s="34" t="s">
        <v>320</v>
      </c>
      <c r="H753" s="34" t="s">
        <v>321</v>
      </c>
      <c r="I753">
        <v>7</v>
      </c>
      <c r="J753">
        <v>0</v>
      </c>
      <c r="K753">
        <v>2</v>
      </c>
      <c r="L753">
        <v>5</v>
      </c>
      <c r="O753" s="28">
        <v>46287</v>
      </c>
      <c r="R753">
        <v>-1</v>
      </c>
      <c r="S753">
        <v>50</v>
      </c>
      <c r="T753">
        <v>4</v>
      </c>
      <c r="U753">
        <v>54</v>
      </c>
      <c r="V753">
        <v>20260924050</v>
      </c>
    </row>
    <row r="754" spans="1:22" x14ac:dyDescent="0.2">
      <c r="A754" s="34" t="s">
        <v>122</v>
      </c>
      <c r="B754" s="28">
        <v>46289</v>
      </c>
      <c r="C754" s="34"/>
      <c r="D754" s="34" t="s">
        <v>339</v>
      </c>
      <c r="E754" s="34" t="s">
        <v>322</v>
      </c>
      <c r="F754" s="34" t="s">
        <v>323</v>
      </c>
      <c r="G754" s="34" t="s">
        <v>324</v>
      </c>
      <c r="H754" s="34" t="s">
        <v>325</v>
      </c>
      <c r="I754">
        <v>8</v>
      </c>
      <c r="J754">
        <v>0</v>
      </c>
      <c r="K754">
        <v>6</v>
      </c>
      <c r="L754">
        <v>2</v>
      </c>
      <c r="O754" s="28">
        <v>46287</v>
      </c>
      <c r="R754">
        <v>-1</v>
      </c>
      <c r="S754">
        <v>51</v>
      </c>
      <c r="T754">
        <v>4</v>
      </c>
      <c r="U754">
        <v>55</v>
      </c>
      <c r="V754">
        <v>20260924051</v>
      </c>
    </row>
    <row r="755" spans="1:22" x14ac:dyDescent="0.2">
      <c r="A755" s="34" t="s">
        <v>122</v>
      </c>
      <c r="B755" s="28">
        <v>46289</v>
      </c>
      <c r="C755" s="34"/>
      <c r="D755" s="34" t="s">
        <v>339</v>
      </c>
      <c r="E755" s="34" t="s">
        <v>326</v>
      </c>
      <c r="F755" s="34" t="s">
        <v>327</v>
      </c>
      <c r="G755" s="34" t="s">
        <v>328</v>
      </c>
      <c r="H755" s="34" t="s">
        <v>329</v>
      </c>
      <c r="I755">
        <v>12</v>
      </c>
      <c r="J755">
        <v>0</v>
      </c>
      <c r="K755">
        <v>14</v>
      </c>
      <c r="L755">
        <v>-2</v>
      </c>
      <c r="O755" s="28">
        <v>46287</v>
      </c>
      <c r="R755">
        <v>-1</v>
      </c>
      <c r="S755">
        <v>52</v>
      </c>
      <c r="T755">
        <v>4</v>
      </c>
      <c r="U755">
        <v>73</v>
      </c>
      <c r="V755">
        <v>20260924052</v>
      </c>
    </row>
    <row r="756" spans="1:22" x14ac:dyDescent="0.2">
      <c r="A756" s="34" t="s">
        <v>122</v>
      </c>
      <c r="B756" s="28">
        <v>46289</v>
      </c>
      <c r="C756" s="34"/>
      <c r="D756" s="34" t="s">
        <v>339</v>
      </c>
      <c r="E756" s="34" t="s">
        <v>330</v>
      </c>
      <c r="F756" s="34" t="s">
        <v>331</v>
      </c>
      <c r="G756" s="34" t="s">
        <v>332</v>
      </c>
      <c r="H756" s="34" t="s">
        <v>333</v>
      </c>
      <c r="I756">
        <v>12</v>
      </c>
      <c r="J756">
        <v>0</v>
      </c>
      <c r="K756">
        <v>12</v>
      </c>
      <c r="L756">
        <v>0</v>
      </c>
      <c r="O756" s="28">
        <v>46287</v>
      </c>
      <c r="R756">
        <v>-1</v>
      </c>
      <c r="S756">
        <v>53</v>
      </c>
      <c r="T756">
        <v>4</v>
      </c>
      <c r="U756">
        <v>74</v>
      </c>
      <c r="V756">
        <v>20260924053</v>
      </c>
    </row>
    <row r="757" spans="1:22" x14ac:dyDescent="0.2">
      <c r="A757" s="34" t="s">
        <v>122</v>
      </c>
      <c r="B757" s="28">
        <v>46289</v>
      </c>
      <c r="C757" s="34"/>
      <c r="D757" s="34" t="s">
        <v>339</v>
      </c>
      <c r="E757" s="34" t="s">
        <v>334</v>
      </c>
      <c r="F757" s="34" t="s">
        <v>335</v>
      </c>
      <c r="G757" s="34" t="s">
        <v>336</v>
      </c>
      <c r="H757" s="34" t="s">
        <v>337</v>
      </c>
      <c r="I757">
        <v>22</v>
      </c>
      <c r="J757">
        <v>0</v>
      </c>
      <c r="K757">
        <v>19</v>
      </c>
      <c r="L757">
        <v>3</v>
      </c>
      <c r="O757" s="28">
        <v>46287</v>
      </c>
      <c r="R757">
        <v>-1</v>
      </c>
      <c r="S757">
        <v>54</v>
      </c>
      <c r="T757">
        <v>4</v>
      </c>
      <c r="U757">
        <v>75</v>
      </c>
      <c r="V757">
        <v>20260924054</v>
      </c>
    </row>
    <row r="758" spans="1:22" x14ac:dyDescent="0.2">
      <c r="A758" s="34" t="s">
        <v>122</v>
      </c>
      <c r="B758" s="28">
        <v>46290</v>
      </c>
      <c r="C758" s="34"/>
      <c r="D758" s="34" t="s">
        <v>339</v>
      </c>
      <c r="E758" s="34" t="s">
        <v>124</v>
      </c>
      <c r="F758" s="34" t="s">
        <v>125</v>
      </c>
      <c r="G758" s="34" t="s">
        <v>126</v>
      </c>
      <c r="H758" s="34" t="s">
        <v>127</v>
      </c>
      <c r="I758">
        <v>8</v>
      </c>
      <c r="J758">
        <v>0</v>
      </c>
      <c r="K758">
        <v>7</v>
      </c>
      <c r="L758">
        <v>1</v>
      </c>
      <c r="O758" s="28">
        <v>46289</v>
      </c>
      <c r="R758">
        <v>-1</v>
      </c>
      <c r="S758">
        <v>1</v>
      </c>
      <c r="T758">
        <v>3</v>
      </c>
      <c r="U758">
        <v>1</v>
      </c>
      <c r="V758">
        <v>20260925001</v>
      </c>
    </row>
    <row r="759" spans="1:22" x14ac:dyDescent="0.2">
      <c r="A759" s="34" t="s">
        <v>122</v>
      </c>
      <c r="B759" s="28">
        <v>46290</v>
      </c>
      <c r="C759" s="34"/>
      <c r="D759" s="34" t="s">
        <v>339</v>
      </c>
      <c r="E759" s="34" t="s">
        <v>128</v>
      </c>
      <c r="F759" s="34" t="s">
        <v>129</v>
      </c>
      <c r="G759" s="34" t="s">
        <v>130</v>
      </c>
      <c r="H759" s="34" t="s">
        <v>131</v>
      </c>
      <c r="I759">
        <v>5</v>
      </c>
      <c r="J759">
        <v>0</v>
      </c>
      <c r="K759">
        <v>5</v>
      </c>
      <c r="L759">
        <v>0</v>
      </c>
      <c r="O759" s="28">
        <v>46289</v>
      </c>
      <c r="R759">
        <v>-1</v>
      </c>
      <c r="S759">
        <v>2</v>
      </c>
      <c r="T759">
        <v>3</v>
      </c>
      <c r="U759">
        <v>2</v>
      </c>
      <c r="V759">
        <v>20260925002</v>
      </c>
    </row>
    <row r="760" spans="1:22" x14ac:dyDescent="0.2">
      <c r="A760" s="34" t="s">
        <v>122</v>
      </c>
      <c r="B760" s="28">
        <v>46290</v>
      </c>
      <c r="C760" s="34"/>
      <c r="D760" s="34" t="s">
        <v>339</v>
      </c>
      <c r="E760" s="34" t="s">
        <v>132</v>
      </c>
      <c r="F760" s="34" t="s">
        <v>133</v>
      </c>
      <c r="G760" s="34" t="s">
        <v>134</v>
      </c>
      <c r="H760" s="34" t="s">
        <v>135</v>
      </c>
      <c r="I760">
        <v>4</v>
      </c>
      <c r="J760">
        <v>0</v>
      </c>
      <c r="K760">
        <v>4</v>
      </c>
      <c r="L760">
        <v>0</v>
      </c>
      <c r="O760" s="28">
        <v>46289</v>
      </c>
      <c r="R760">
        <v>-1</v>
      </c>
      <c r="S760">
        <v>3</v>
      </c>
      <c r="T760">
        <v>3</v>
      </c>
      <c r="U760">
        <v>3</v>
      </c>
      <c r="V760">
        <v>20260925003</v>
      </c>
    </row>
    <row r="761" spans="1:22" x14ac:dyDescent="0.2">
      <c r="A761" s="34" t="s">
        <v>122</v>
      </c>
      <c r="B761" s="28">
        <v>46290</v>
      </c>
      <c r="C761" s="34"/>
      <c r="D761" s="34" t="s">
        <v>339</v>
      </c>
      <c r="E761" s="34" t="s">
        <v>136</v>
      </c>
      <c r="F761" s="34" t="s">
        <v>137</v>
      </c>
      <c r="G761" s="34" t="s">
        <v>138</v>
      </c>
      <c r="H761" s="34" t="s">
        <v>139</v>
      </c>
      <c r="I761">
        <v>1</v>
      </c>
      <c r="J761">
        <v>0</v>
      </c>
      <c r="K761">
        <v>8</v>
      </c>
      <c r="L761">
        <v>-7</v>
      </c>
      <c r="O761" s="28">
        <v>46289</v>
      </c>
      <c r="R761">
        <v>-1</v>
      </c>
      <c r="S761">
        <v>4</v>
      </c>
      <c r="T761">
        <v>3</v>
      </c>
      <c r="U761">
        <v>4</v>
      </c>
      <c r="V761">
        <v>20260925004</v>
      </c>
    </row>
    <row r="762" spans="1:22" x14ac:dyDescent="0.2">
      <c r="A762" s="34" t="s">
        <v>122</v>
      </c>
      <c r="B762" s="28">
        <v>46290</v>
      </c>
      <c r="C762" s="34"/>
      <c r="D762" s="34" t="s">
        <v>339</v>
      </c>
      <c r="E762" s="34" t="s">
        <v>140</v>
      </c>
      <c r="F762" s="34" t="s">
        <v>141</v>
      </c>
      <c r="G762" s="34" t="s">
        <v>142</v>
      </c>
      <c r="H762" s="34" t="s">
        <v>143</v>
      </c>
      <c r="I762">
        <v>7</v>
      </c>
      <c r="J762">
        <v>0</v>
      </c>
      <c r="K762">
        <v>7</v>
      </c>
      <c r="L762">
        <v>0</v>
      </c>
      <c r="O762" s="28">
        <v>46289</v>
      </c>
      <c r="R762">
        <v>-1</v>
      </c>
      <c r="S762">
        <v>5</v>
      </c>
      <c r="T762">
        <v>3</v>
      </c>
      <c r="U762">
        <v>5</v>
      </c>
      <c r="V762">
        <v>20260925005</v>
      </c>
    </row>
    <row r="763" spans="1:22" x14ac:dyDescent="0.2">
      <c r="A763" s="34" t="s">
        <v>122</v>
      </c>
      <c r="B763" s="28">
        <v>46290</v>
      </c>
      <c r="C763" s="34"/>
      <c r="D763" s="34" t="s">
        <v>339</v>
      </c>
      <c r="E763" s="34" t="s">
        <v>144</v>
      </c>
      <c r="F763" s="34" t="s">
        <v>145</v>
      </c>
      <c r="G763" s="34" t="s">
        <v>146</v>
      </c>
      <c r="H763" s="34" t="s">
        <v>147</v>
      </c>
      <c r="I763">
        <v>2</v>
      </c>
      <c r="J763">
        <v>0</v>
      </c>
      <c r="K763">
        <v>12</v>
      </c>
      <c r="L763">
        <v>-10</v>
      </c>
      <c r="O763" s="28">
        <v>46289</v>
      </c>
      <c r="R763">
        <v>-1</v>
      </c>
      <c r="S763">
        <v>6</v>
      </c>
      <c r="T763">
        <v>3</v>
      </c>
      <c r="U763">
        <v>6</v>
      </c>
      <c r="V763">
        <v>20260925006</v>
      </c>
    </row>
    <row r="764" spans="1:22" x14ac:dyDescent="0.2">
      <c r="A764" s="34" t="s">
        <v>122</v>
      </c>
      <c r="B764" s="28">
        <v>46290</v>
      </c>
      <c r="C764" s="34"/>
      <c r="D764" s="34" t="s">
        <v>339</v>
      </c>
      <c r="E764" s="34" t="s">
        <v>148</v>
      </c>
      <c r="F764" s="34" t="s">
        <v>149</v>
      </c>
      <c r="G764" s="34" t="s">
        <v>150</v>
      </c>
      <c r="H764" s="34" t="s">
        <v>151</v>
      </c>
      <c r="I764">
        <v>6</v>
      </c>
      <c r="J764">
        <v>0</v>
      </c>
      <c r="K764">
        <v>6</v>
      </c>
      <c r="L764">
        <v>0</v>
      </c>
      <c r="O764" s="28">
        <v>46289</v>
      </c>
      <c r="R764">
        <v>-1</v>
      </c>
      <c r="S764">
        <v>7</v>
      </c>
      <c r="T764">
        <v>3</v>
      </c>
      <c r="U764">
        <v>7</v>
      </c>
      <c r="V764">
        <v>20260925007</v>
      </c>
    </row>
    <row r="765" spans="1:22" x14ac:dyDescent="0.2">
      <c r="A765" s="34" t="s">
        <v>122</v>
      </c>
      <c r="B765" s="28">
        <v>46290</v>
      </c>
      <c r="C765" s="34"/>
      <c r="D765" s="34" t="s">
        <v>339</v>
      </c>
      <c r="E765" s="34" t="s">
        <v>152</v>
      </c>
      <c r="F765" s="34" t="s">
        <v>153</v>
      </c>
      <c r="G765" s="34" t="s">
        <v>154</v>
      </c>
      <c r="H765" s="34" t="s">
        <v>155</v>
      </c>
      <c r="I765">
        <v>9</v>
      </c>
      <c r="J765">
        <v>0</v>
      </c>
      <c r="K765">
        <v>0</v>
      </c>
      <c r="L765">
        <v>9</v>
      </c>
      <c r="O765" s="28">
        <v>46289</v>
      </c>
      <c r="R765">
        <v>-1</v>
      </c>
      <c r="S765">
        <v>8</v>
      </c>
      <c r="T765">
        <v>3</v>
      </c>
      <c r="U765">
        <v>8</v>
      </c>
      <c r="V765">
        <v>20260925008</v>
      </c>
    </row>
    <row r="766" spans="1:22" x14ac:dyDescent="0.2">
      <c r="A766" s="34" t="s">
        <v>122</v>
      </c>
      <c r="B766" s="28">
        <v>46290</v>
      </c>
      <c r="C766" s="34"/>
      <c r="D766" s="34" t="s">
        <v>339</v>
      </c>
      <c r="E766" s="34" t="s">
        <v>156</v>
      </c>
      <c r="F766" s="34" t="s">
        <v>157</v>
      </c>
      <c r="G766" s="34" t="s">
        <v>158</v>
      </c>
      <c r="H766" s="34" t="s">
        <v>159</v>
      </c>
      <c r="I766">
        <v>25</v>
      </c>
      <c r="J766">
        <v>0</v>
      </c>
      <c r="K766">
        <v>22</v>
      </c>
      <c r="L766">
        <v>3</v>
      </c>
      <c r="O766" s="28">
        <v>46289</v>
      </c>
      <c r="R766">
        <v>-1</v>
      </c>
      <c r="S766">
        <v>9</v>
      </c>
      <c r="T766">
        <v>3</v>
      </c>
      <c r="U766">
        <v>9</v>
      </c>
      <c r="V766">
        <v>20260925009</v>
      </c>
    </row>
    <row r="767" spans="1:22" x14ac:dyDescent="0.2">
      <c r="A767" s="34" t="s">
        <v>122</v>
      </c>
      <c r="B767" s="28">
        <v>46290</v>
      </c>
      <c r="C767" s="34"/>
      <c r="D767" s="34" t="s">
        <v>339</v>
      </c>
      <c r="E767" s="34" t="s">
        <v>160</v>
      </c>
      <c r="F767" s="34" t="s">
        <v>161</v>
      </c>
      <c r="G767" s="34" t="s">
        <v>162</v>
      </c>
      <c r="H767" s="34" t="s">
        <v>163</v>
      </c>
      <c r="I767">
        <v>15</v>
      </c>
      <c r="J767">
        <v>0</v>
      </c>
      <c r="K767">
        <v>15</v>
      </c>
      <c r="L767">
        <v>0</v>
      </c>
      <c r="O767" s="28">
        <v>46289</v>
      </c>
      <c r="R767">
        <v>-1</v>
      </c>
      <c r="S767">
        <v>10</v>
      </c>
      <c r="T767">
        <v>3</v>
      </c>
      <c r="U767">
        <v>10</v>
      </c>
      <c r="V767">
        <v>20260925010</v>
      </c>
    </row>
    <row r="768" spans="1:22" x14ac:dyDescent="0.2">
      <c r="A768" s="34" t="s">
        <v>122</v>
      </c>
      <c r="B768" s="28">
        <v>46290</v>
      </c>
      <c r="C768" s="34"/>
      <c r="D768" s="34" t="s">
        <v>339</v>
      </c>
      <c r="E768" s="34" t="s">
        <v>164</v>
      </c>
      <c r="F768" s="34" t="s">
        <v>165</v>
      </c>
      <c r="G768" s="34" t="s">
        <v>166</v>
      </c>
      <c r="H768" s="34" t="s">
        <v>167</v>
      </c>
      <c r="I768">
        <v>33</v>
      </c>
      <c r="J768">
        <v>0</v>
      </c>
      <c r="K768">
        <v>32</v>
      </c>
      <c r="L768">
        <v>1</v>
      </c>
      <c r="O768" s="28">
        <v>46289</v>
      </c>
      <c r="R768">
        <v>-1</v>
      </c>
      <c r="S768">
        <v>11</v>
      </c>
      <c r="T768">
        <v>3</v>
      </c>
      <c r="U768">
        <v>11</v>
      </c>
      <c r="V768">
        <v>20260925011</v>
      </c>
    </row>
    <row r="769" spans="1:22" x14ac:dyDescent="0.2">
      <c r="A769" s="34" t="s">
        <v>122</v>
      </c>
      <c r="B769" s="28">
        <v>46290</v>
      </c>
      <c r="C769" s="34"/>
      <c r="D769" s="34" t="s">
        <v>339</v>
      </c>
      <c r="E769" s="34" t="s">
        <v>168</v>
      </c>
      <c r="F769" s="34" t="s">
        <v>169</v>
      </c>
      <c r="G769" s="34" t="s">
        <v>170</v>
      </c>
      <c r="H769" s="34" t="s">
        <v>171</v>
      </c>
      <c r="I769">
        <v>15</v>
      </c>
      <c r="J769">
        <v>0</v>
      </c>
      <c r="K769">
        <v>11</v>
      </c>
      <c r="L769">
        <v>4</v>
      </c>
      <c r="O769" s="28">
        <v>46289</v>
      </c>
      <c r="R769">
        <v>-1</v>
      </c>
      <c r="S769">
        <v>12</v>
      </c>
      <c r="T769">
        <v>3</v>
      </c>
      <c r="U769">
        <v>12</v>
      </c>
      <c r="V769">
        <v>20260925012</v>
      </c>
    </row>
    <row r="770" spans="1:22" x14ac:dyDescent="0.2">
      <c r="A770" s="34" t="s">
        <v>122</v>
      </c>
      <c r="B770" s="28">
        <v>46290</v>
      </c>
      <c r="C770" s="34"/>
      <c r="D770" s="34" t="s">
        <v>339</v>
      </c>
      <c r="E770" s="34" t="s">
        <v>172</v>
      </c>
      <c r="F770" s="34" t="s">
        <v>173</v>
      </c>
      <c r="G770" s="34" t="s">
        <v>174</v>
      </c>
      <c r="H770" s="34" t="s">
        <v>175</v>
      </c>
      <c r="I770">
        <v>12</v>
      </c>
      <c r="J770">
        <v>0</v>
      </c>
      <c r="K770">
        <v>12</v>
      </c>
      <c r="L770">
        <v>0</v>
      </c>
      <c r="O770" s="28">
        <v>46289</v>
      </c>
      <c r="R770">
        <v>-1</v>
      </c>
      <c r="S770">
        <v>13</v>
      </c>
      <c r="T770">
        <v>3</v>
      </c>
      <c r="U770">
        <v>13</v>
      </c>
      <c r="V770">
        <v>20260925013</v>
      </c>
    </row>
    <row r="771" spans="1:22" x14ac:dyDescent="0.2">
      <c r="A771" s="34" t="s">
        <v>122</v>
      </c>
      <c r="B771" s="28">
        <v>46290</v>
      </c>
      <c r="C771" s="34"/>
      <c r="D771" s="34" t="s">
        <v>339</v>
      </c>
      <c r="E771" s="34" t="s">
        <v>176</v>
      </c>
      <c r="F771" s="34" t="s">
        <v>177</v>
      </c>
      <c r="G771" s="34" t="s">
        <v>178</v>
      </c>
      <c r="H771" s="34" t="s">
        <v>179</v>
      </c>
      <c r="I771">
        <v>32</v>
      </c>
      <c r="J771">
        <v>0</v>
      </c>
      <c r="K771">
        <v>24</v>
      </c>
      <c r="L771">
        <v>8</v>
      </c>
      <c r="O771" s="28">
        <v>46289</v>
      </c>
      <c r="R771">
        <v>-1</v>
      </c>
      <c r="S771">
        <v>14</v>
      </c>
      <c r="T771">
        <v>3</v>
      </c>
      <c r="U771">
        <v>14</v>
      </c>
      <c r="V771">
        <v>20260925014</v>
      </c>
    </row>
    <row r="772" spans="1:22" x14ac:dyDescent="0.2">
      <c r="A772" s="34" t="s">
        <v>122</v>
      </c>
      <c r="B772" s="28">
        <v>46290</v>
      </c>
      <c r="C772" s="34"/>
      <c r="D772" s="34" t="s">
        <v>339</v>
      </c>
      <c r="E772" s="34" t="s">
        <v>180</v>
      </c>
      <c r="F772" s="34" t="s">
        <v>181</v>
      </c>
      <c r="G772" s="34" t="s">
        <v>182</v>
      </c>
      <c r="H772" s="34" t="s">
        <v>183</v>
      </c>
      <c r="I772">
        <v>16</v>
      </c>
      <c r="J772">
        <v>0</v>
      </c>
      <c r="K772">
        <v>15</v>
      </c>
      <c r="L772">
        <v>1</v>
      </c>
      <c r="O772" s="28">
        <v>46289</v>
      </c>
      <c r="R772">
        <v>-1</v>
      </c>
      <c r="S772">
        <v>15</v>
      </c>
      <c r="T772">
        <v>3</v>
      </c>
      <c r="U772">
        <v>15</v>
      </c>
      <c r="V772">
        <v>20260925015</v>
      </c>
    </row>
    <row r="773" spans="1:22" x14ac:dyDescent="0.2">
      <c r="A773" s="34" t="s">
        <v>122</v>
      </c>
      <c r="B773" s="28">
        <v>46290</v>
      </c>
      <c r="C773" s="34"/>
      <c r="D773" s="34" t="s">
        <v>339</v>
      </c>
      <c r="E773" s="34" t="s">
        <v>184</v>
      </c>
      <c r="F773" s="34" t="s">
        <v>185</v>
      </c>
      <c r="G773" s="34" t="s">
        <v>186</v>
      </c>
      <c r="H773" s="34" t="s">
        <v>187</v>
      </c>
      <c r="I773">
        <v>10</v>
      </c>
      <c r="J773">
        <v>0</v>
      </c>
      <c r="K773">
        <v>10</v>
      </c>
      <c r="L773">
        <v>0</v>
      </c>
      <c r="O773" s="28">
        <v>46289</v>
      </c>
      <c r="R773">
        <v>-1</v>
      </c>
      <c r="S773">
        <v>16</v>
      </c>
      <c r="T773">
        <v>3</v>
      </c>
      <c r="U773">
        <v>16</v>
      </c>
      <c r="V773">
        <v>20260925016</v>
      </c>
    </row>
    <row r="774" spans="1:22" x14ac:dyDescent="0.2">
      <c r="A774" s="34" t="s">
        <v>122</v>
      </c>
      <c r="B774" s="28">
        <v>46290</v>
      </c>
      <c r="C774" s="34"/>
      <c r="D774" s="34" t="s">
        <v>339</v>
      </c>
      <c r="E774" s="34" t="s">
        <v>344</v>
      </c>
      <c r="F774" s="34" t="s">
        <v>345</v>
      </c>
      <c r="G774" s="34" t="s">
        <v>346</v>
      </c>
      <c r="H774" s="34" t="s">
        <v>346</v>
      </c>
      <c r="J774">
        <v>0</v>
      </c>
      <c r="K774">
        <v>12</v>
      </c>
      <c r="O774" s="28"/>
      <c r="R774">
        <v>-1</v>
      </c>
      <c r="S774">
        <v>17</v>
      </c>
      <c r="T774">
        <v>3</v>
      </c>
      <c r="U774">
        <v>17</v>
      </c>
      <c r="V774">
        <v>20260925017</v>
      </c>
    </row>
    <row r="775" spans="1:22" x14ac:dyDescent="0.2">
      <c r="A775" s="34" t="s">
        <v>122</v>
      </c>
      <c r="B775" s="28">
        <v>46290</v>
      </c>
      <c r="C775" s="34"/>
      <c r="D775" s="34" t="s">
        <v>339</v>
      </c>
      <c r="E775" s="34" t="s">
        <v>347</v>
      </c>
      <c r="F775" s="34" t="s">
        <v>348</v>
      </c>
      <c r="G775" s="34" t="s">
        <v>349</v>
      </c>
      <c r="H775" s="34" t="s">
        <v>349</v>
      </c>
      <c r="J775">
        <v>0</v>
      </c>
      <c r="K775">
        <v>6</v>
      </c>
      <c r="O775" s="28"/>
      <c r="R775">
        <v>-1</v>
      </c>
      <c r="S775">
        <v>18</v>
      </c>
      <c r="T775">
        <v>3</v>
      </c>
      <c r="U775">
        <v>18</v>
      </c>
      <c r="V775">
        <v>20260925018</v>
      </c>
    </row>
    <row r="776" spans="1:22" x14ac:dyDescent="0.2">
      <c r="A776" s="34" t="s">
        <v>122</v>
      </c>
      <c r="B776" s="28">
        <v>46290</v>
      </c>
      <c r="C776" s="34"/>
      <c r="D776" s="34" t="s">
        <v>339</v>
      </c>
      <c r="E776" s="34" t="s">
        <v>350</v>
      </c>
      <c r="F776" s="34" t="s">
        <v>351</v>
      </c>
      <c r="G776" s="34" t="s">
        <v>352</v>
      </c>
      <c r="H776" s="34" t="s">
        <v>352</v>
      </c>
      <c r="J776">
        <v>0</v>
      </c>
      <c r="K776">
        <v>7</v>
      </c>
      <c r="O776" s="28"/>
      <c r="R776">
        <v>-1</v>
      </c>
      <c r="S776">
        <v>19</v>
      </c>
      <c r="T776">
        <v>3</v>
      </c>
      <c r="U776">
        <v>19</v>
      </c>
      <c r="V776">
        <v>20260925019</v>
      </c>
    </row>
    <row r="777" spans="1:22" x14ac:dyDescent="0.2">
      <c r="A777" s="34" t="s">
        <v>122</v>
      </c>
      <c r="B777" s="28">
        <v>46290</v>
      </c>
      <c r="C777" s="34"/>
      <c r="D777" s="34" t="s">
        <v>339</v>
      </c>
      <c r="E777" s="34" t="s">
        <v>353</v>
      </c>
      <c r="F777" s="34" t="s">
        <v>354</v>
      </c>
      <c r="G777" s="34" t="s">
        <v>355</v>
      </c>
      <c r="H777" s="34" t="s">
        <v>356</v>
      </c>
      <c r="J777">
        <v>0</v>
      </c>
      <c r="K777">
        <v>1</v>
      </c>
      <c r="O777" s="28"/>
      <c r="R777">
        <v>-1</v>
      </c>
      <c r="S777">
        <v>20</v>
      </c>
      <c r="T777">
        <v>3</v>
      </c>
      <c r="U777">
        <v>20</v>
      </c>
      <c r="V777">
        <v>20260925020</v>
      </c>
    </row>
    <row r="778" spans="1:22" x14ac:dyDescent="0.2">
      <c r="A778" s="34" t="s">
        <v>122</v>
      </c>
      <c r="B778" s="28">
        <v>46290</v>
      </c>
      <c r="C778" s="34"/>
      <c r="D778" s="34" t="s">
        <v>339</v>
      </c>
      <c r="E778" s="34" t="s">
        <v>188</v>
      </c>
      <c r="F778" s="34" t="s">
        <v>189</v>
      </c>
      <c r="G778" s="34" t="s">
        <v>190</v>
      </c>
      <c r="H778" s="34" t="s">
        <v>191</v>
      </c>
      <c r="I778">
        <v>4</v>
      </c>
      <c r="J778">
        <v>0</v>
      </c>
      <c r="K778">
        <v>4</v>
      </c>
      <c r="L778">
        <v>0</v>
      </c>
      <c r="O778" s="28">
        <v>46289</v>
      </c>
      <c r="R778">
        <v>-1</v>
      </c>
      <c r="S778">
        <v>21</v>
      </c>
      <c r="T778">
        <v>3</v>
      </c>
      <c r="U778">
        <v>21</v>
      </c>
      <c r="V778">
        <v>20260925021</v>
      </c>
    </row>
    <row r="779" spans="1:22" x14ac:dyDescent="0.2">
      <c r="A779" s="34" t="s">
        <v>122</v>
      </c>
      <c r="B779" s="28">
        <v>46290</v>
      </c>
      <c r="C779" s="34"/>
      <c r="D779" s="34" t="s">
        <v>339</v>
      </c>
      <c r="E779" s="34" t="s">
        <v>192</v>
      </c>
      <c r="F779" s="34" t="s">
        <v>193</v>
      </c>
      <c r="G779" s="34" t="s">
        <v>194</v>
      </c>
      <c r="H779" s="34" t="s">
        <v>195</v>
      </c>
      <c r="I779">
        <v>4</v>
      </c>
      <c r="J779">
        <v>0</v>
      </c>
      <c r="K779">
        <v>4</v>
      </c>
      <c r="L779">
        <v>0</v>
      </c>
      <c r="O779" s="28">
        <v>46289</v>
      </c>
      <c r="R779">
        <v>-1</v>
      </c>
      <c r="S779">
        <v>22</v>
      </c>
      <c r="T779">
        <v>3</v>
      </c>
      <c r="U779">
        <v>22</v>
      </c>
      <c r="V779">
        <v>20260925022</v>
      </c>
    </row>
    <row r="780" spans="1:22" x14ac:dyDescent="0.2">
      <c r="A780" s="34" t="s">
        <v>122</v>
      </c>
      <c r="B780" s="28">
        <v>46290</v>
      </c>
      <c r="C780" s="34"/>
      <c r="D780" s="34" t="s">
        <v>339</v>
      </c>
      <c r="E780" s="34" t="s">
        <v>196</v>
      </c>
      <c r="F780" s="34" t="s">
        <v>197</v>
      </c>
      <c r="G780" s="34" t="s">
        <v>198</v>
      </c>
      <c r="H780" s="34" t="s">
        <v>199</v>
      </c>
      <c r="I780">
        <v>11</v>
      </c>
      <c r="J780">
        <v>0</v>
      </c>
      <c r="K780">
        <v>11</v>
      </c>
      <c r="L780">
        <v>0</v>
      </c>
      <c r="O780" s="28">
        <v>46289</v>
      </c>
      <c r="R780">
        <v>-1</v>
      </c>
      <c r="S780">
        <v>23</v>
      </c>
      <c r="T780">
        <v>3</v>
      </c>
      <c r="U780">
        <v>23</v>
      </c>
      <c r="V780">
        <v>20260925023</v>
      </c>
    </row>
    <row r="781" spans="1:22" x14ac:dyDescent="0.2">
      <c r="A781" s="34" t="s">
        <v>122</v>
      </c>
      <c r="B781" s="28">
        <v>46290</v>
      </c>
      <c r="C781" s="34"/>
      <c r="D781" s="34" t="s">
        <v>339</v>
      </c>
      <c r="E781" s="34" t="s">
        <v>200</v>
      </c>
      <c r="F781" s="34" t="s">
        <v>201</v>
      </c>
      <c r="G781" s="34" t="s">
        <v>202</v>
      </c>
      <c r="H781" s="34" t="s">
        <v>203</v>
      </c>
      <c r="I781">
        <v>21</v>
      </c>
      <c r="J781">
        <v>0</v>
      </c>
      <c r="K781">
        <v>24</v>
      </c>
      <c r="L781">
        <v>-3</v>
      </c>
      <c r="O781" s="28">
        <v>46289</v>
      </c>
      <c r="R781">
        <v>-1</v>
      </c>
      <c r="S781">
        <v>24</v>
      </c>
      <c r="T781">
        <v>3</v>
      </c>
      <c r="U781">
        <v>24</v>
      </c>
      <c r="V781">
        <v>20260925024</v>
      </c>
    </row>
    <row r="782" spans="1:22" x14ac:dyDescent="0.2">
      <c r="A782" s="34" t="s">
        <v>122</v>
      </c>
      <c r="B782" s="28">
        <v>46290</v>
      </c>
      <c r="C782" s="34"/>
      <c r="D782" s="34" t="s">
        <v>339</v>
      </c>
      <c r="E782" s="34" t="s">
        <v>204</v>
      </c>
      <c r="F782" s="34" t="s">
        <v>205</v>
      </c>
      <c r="G782" s="34" t="s">
        <v>206</v>
      </c>
      <c r="H782" s="34" t="s">
        <v>207</v>
      </c>
      <c r="I782">
        <v>7</v>
      </c>
      <c r="J782">
        <v>0</v>
      </c>
      <c r="K782">
        <v>11</v>
      </c>
      <c r="L782">
        <v>-4</v>
      </c>
      <c r="O782" s="28">
        <v>46289</v>
      </c>
      <c r="R782">
        <v>-1</v>
      </c>
      <c r="S782">
        <v>25</v>
      </c>
      <c r="T782">
        <v>3</v>
      </c>
      <c r="U782">
        <v>25</v>
      </c>
      <c r="V782">
        <v>20260925025</v>
      </c>
    </row>
    <row r="783" spans="1:22" x14ac:dyDescent="0.2">
      <c r="A783" s="34" t="s">
        <v>122</v>
      </c>
      <c r="B783" s="28">
        <v>46290</v>
      </c>
      <c r="C783" s="34"/>
      <c r="D783" s="34" t="s">
        <v>339</v>
      </c>
      <c r="E783" s="34" t="s">
        <v>208</v>
      </c>
      <c r="F783" s="34" t="s">
        <v>209</v>
      </c>
      <c r="G783" s="34" t="s">
        <v>210</v>
      </c>
      <c r="H783" s="34" t="s">
        <v>211</v>
      </c>
      <c r="I783">
        <v>3</v>
      </c>
      <c r="J783">
        <v>0</v>
      </c>
      <c r="K783">
        <v>3</v>
      </c>
      <c r="L783">
        <v>0</v>
      </c>
      <c r="O783" s="28">
        <v>46289</v>
      </c>
      <c r="R783">
        <v>-1</v>
      </c>
      <c r="S783">
        <v>26</v>
      </c>
      <c r="T783">
        <v>3</v>
      </c>
      <c r="U783">
        <v>26</v>
      </c>
      <c r="V783">
        <v>20260925026</v>
      </c>
    </row>
    <row r="784" spans="1:22" x14ac:dyDescent="0.2">
      <c r="A784" s="34" t="s">
        <v>122</v>
      </c>
      <c r="B784" s="28">
        <v>46290</v>
      </c>
      <c r="C784" s="34"/>
      <c r="D784" s="34" t="s">
        <v>339</v>
      </c>
      <c r="E784" s="34" t="s">
        <v>212</v>
      </c>
      <c r="F784" s="34" t="s">
        <v>213</v>
      </c>
      <c r="G784" s="34" t="s">
        <v>214</v>
      </c>
      <c r="H784" s="34" t="s">
        <v>215</v>
      </c>
      <c r="I784">
        <v>12</v>
      </c>
      <c r="J784">
        <v>0</v>
      </c>
      <c r="K784">
        <v>17</v>
      </c>
      <c r="L784">
        <v>-5</v>
      </c>
      <c r="O784" s="28">
        <v>46289</v>
      </c>
      <c r="R784">
        <v>-1</v>
      </c>
      <c r="S784">
        <v>27</v>
      </c>
      <c r="T784">
        <v>3</v>
      </c>
      <c r="U784">
        <v>27</v>
      </c>
      <c r="V784">
        <v>20260925027</v>
      </c>
    </row>
    <row r="785" spans="1:22" x14ac:dyDescent="0.2">
      <c r="A785" s="34" t="s">
        <v>122</v>
      </c>
      <c r="B785" s="28">
        <v>46290</v>
      </c>
      <c r="C785" s="34"/>
      <c r="D785" s="34" t="s">
        <v>339</v>
      </c>
      <c r="E785" s="34" t="s">
        <v>216</v>
      </c>
      <c r="F785" s="34" t="s">
        <v>217</v>
      </c>
      <c r="G785" s="34" t="s">
        <v>218</v>
      </c>
      <c r="H785" s="34" t="s">
        <v>219</v>
      </c>
      <c r="I785">
        <v>8</v>
      </c>
      <c r="J785">
        <v>0</v>
      </c>
      <c r="K785">
        <v>8</v>
      </c>
      <c r="L785">
        <v>0</v>
      </c>
      <c r="O785" s="28">
        <v>46289</v>
      </c>
      <c r="R785">
        <v>-1</v>
      </c>
      <c r="S785">
        <v>28</v>
      </c>
      <c r="T785">
        <v>3</v>
      </c>
      <c r="U785">
        <v>28</v>
      </c>
      <c r="V785">
        <v>20260925028</v>
      </c>
    </row>
    <row r="786" spans="1:22" x14ac:dyDescent="0.2">
      <c r="A786" s="34" t="s">
        <v>122</v>
      </c>
      <c r="B786" s="28">
        <v>46290</v>
      </c>
      <c r="C786" s="34"/>
      <c r="D786" s="34" t="s">
        <v>339</v>
      </c>
      <c r="E786" s="34" t="s">
        <v>220</v>
      </c>
      <c r="F786" s="34" t="s">
        <v>221</v>
      </c>
      <c r="G786" s="34" t="s">
        <v>222</v>
      </c>
      <c r="H786" s="34" t="s">
        <v>223</v>
      </c>
      <c r="I786">
        <v>7</v>
      </c>
      <c r="J786">
        <v>0</v>
      </c>
      <c r="K786">
        <v>7</v>
      </c>
      <c r="L786">
        <v>0</v>
      </c>
      <c r="O786" s="28">
        <v>46289</v>
      </c>
      <c r="R786">
        <v>-1</v>
      </c>
      <c r="S786">
        <v>29</v>
      </c>
      <c r="T786">
        <v>3</v>
      </c>
      <c r="U786">
        <v>29</v>
      </c>
      <c r="V786">
        <v>20260925029</v>
      </c>
    </row>
    <row r="787" spans="1:22" x14ac:dyDescent="0.2">
      <c r="A787" s="34" t="s">
        <v>122</v>
      </c>
      <c r="B787" s="28">
        <v>46290</v>
      </c>
      <c r="C787" s="34"/>
      <c r="D787" s="34" t="s">
        <v>339</v>
      </c>
      <c r="E787" s="34" t="s">
        <v>224</v>
      </c>
      <c r="F787" s="34" t="s">
        <v>225</v>
      </c>
      <c r="G787" s="34" t="s">
        <v>226</v>
      </c>
      <c r="H787" s="34" t="s">
        <v>227</v>
      </c>
      <c r="I787">
        <v>10</v>
      </c>
      <c r="J787">
        <v>0</v>
      </c>
      <c r="K787">
        <v>10</v>
      </c>
      <c r="L787">
        <v>0</v>
      </c>
      <c r="O787" s="28">
        <v>46289</v>
      </c>
      <c r="R787">
        <v>-1</v>
      </c>
      <c r="S787">
        <v>30</v>
      </c>
      <c r="T787">
        <v>3</v>
      </c>
      <c r="U787">
        <v>30</v>
      </c>
      <c r="V787">
        <v>20260925030</v>
      </c>
    </row>
    <row r="788" spans="1:22" x14ac:dyDescent="0.2">
      <c r="A788" s="34" t="s">
        <v>122</v>
      </c>
      <c r="B788" s="28">
        <v>46290</v>
      </c>
      <c r="C788" s="34"/>
      <c r="D788" s="34" t="s">
        <v>339</v>
      </c>
      <c r="E788" s="34" t="s">
        <v>228</v>
      </c>
      <c r="F788" s="34" t="s">
        <v>229</v>
      </c>
      <c r="G788" s="34" t="s">
        <v>230</v>
      </c>
      <c r="H788" s="34" t="s">
        <v>231</v>
      </c>
      <c r="I788">
        <v>9</v>
      </c>
      <c r="J788">
        <v>0</v>
      </c>
      <c r="K788">
        <v>15</v>
      </c>
      <c r="L788">
        <v>-6</v>
      </c>
      <c r="O788" s="28">
        <v>46289</v>
      </c>
      <c r="R788">
        <v>-1</v>
      </c>
      <c r="S788">
        <v>31</v>
      </c>
      <c r="T788">
        <v>3</v>
      </c>
      <c r="U788">
        <v>31</v>
      </c>
      <c r="V788">
        <v>20260925031</v>
      </c>
    </row>
    <row r="789" spans="1:22" x14ac:dyDescent="0.2">
      <c r="A789" s="34" t="s">
        <v>122</v>
      </c>
      <c r="B789" s="28">
        <v>46290</v>
      </c>
      <c r="C789" s="34"/>
      <c r="D789" s="34" t="s">
        <v>339</v>
      </c>
      <c r="E789" s="34" t="s">
        <v>232</v>
      </c>
      <c r="F789" s="34" t="s">
        <v>233</v>
      </c>
      <c r="G789" s="34" t="s">
        <v>234</v>
      </c>
      <c r="H789" s="34" t="s">
        <v>235</v>
      </c>
      <c r="I789">
        <v>10</v>
      </c>
      <c r="J789">
        <v>0</v>
      </c>
      <c r="K789">
        <v>7</v>
      </c>
      <c r="L789">
        <v>3</v>
      </c>
      <c r="O789" s="28">
        <v>46289</v>
      </c>
      <c r="R789">
        <v>-1</v>
      </c>
      <c r="S789">
        <v>32</v>
      </c>
      <c r="T789">
        <v>3</v>
      </c>
      <c r="U789">
        <v>32</v>
      </c>
      <c r="V789">
        <v>20260925032</v>
      </c>
    </row>
    <row r="790" spans="1:22" x14ac:dyDescent="0.2">
      <c r="A790" s="34" t="s">
        <v>122</v>
      </c>
      <c r="B790" s="28">
        <v>46290</v>
      </c>
      <c r="C790" s="34"/>
      <c r="D790" s="34" t="s">
        <v>339</v>
      </c>
      <c r="E790" s="34" t="s">
        <v>236</v>
      </c>
      <c r="F790" s="34" t="s">
        <v>237</v>
      </c>
      <c r="G790" s="34" t="s">
        <v>238</v>
      </c>
      <c r="H790" s="34" t="s">
        <v>239</v>
      </c>
      <c r="I790">
        <v>10</v>
      </c>
      <c r="J790">
        <v>0</v>
      </c>
      <c r="K790">
        <v>10</v>
      </c>
      <c r="L790">
        <v>0</v>
      </c>
      <c r="O790" s="28">
        <v>46289</v>
      </c>
      <c r="R790">
        <v>-1</v>
      </c>
      <c r="S790">
        <v>33</v>
      </c>
      <c r="T790">
        <v>3</v>
      </c>
      <c r="U790">
        <v>33</v>
      </c>
      <c r="V790">
        <v>20260925033</v>
      </c>
    </row>
    <row r="791" spans="1:22" x14ac:dyDescent="0.2">
      <c r="A791" s="34" t="s">
        <v>122</v>
      </c>
      <c r="B791" s="28">
        <v>46290</v>
      </c>
      <c r="C791" s="34"/>
      <c r="D791" s="34" t="s">
        <v>339</v>
      </c>
      <c r="E791" s="34" t="s">
        <v>240</v>
      </c>
      <c r="F791" s="34" t="s">
        <v>241</v>
      </c>
      <c r="G791" s="34" t="s">
        <v>242</v>
      </c>
      <c r="H791" s="34" t="s">
        <v>243</v>
      </c>
      <c r="I791">
        <v>10</v>
      </c>
      <c r="J791">
        <v>0</v>
      </c>
      <c r="K791">
        <v>3</v>
      </c>
      <c r="L791">
        <v>7</v>
      </c>
      <c r="O791" s="28">
        <v>46289</v>
      </c>
      <c r="R791">
        <v>-1</v>
      </c>
      <c r="S791">
        <v>34</v>
      </c>
      <c r="T791">
        <v>3</v>
      </c>
      <c r="U791">
        <v>34</v>
      </c>
      <c r="V791">
        <v>20260925034</v>
      </c>
    </row>
    <row r="792" spans="1:22" x14ac:dyDescent="0.2">
      <c r="A792" s="34" t="s">
        <v>122</v>
      </c>
      <c r="B792" s="28">
        <v>46290</v>
      </c>
      <c r="C792" s="34"/>
      <c r="D792" s="34" t="s">
        <v>339</v>
      </c>
      <c r="E792" s="34" t="s">
        <v>244</v>
      </c>
      <c r="F792" s="34" t="s">
        <v>245</v>
      </c>
      <c r="G792" s="34" t="s">
        <v>246</v>
      </c>
      <c r="H792" s="34" t="s">
        <v>247</v>
      </c>
      <c r="I792">
        <v>5</v>
      </c>
      <c r="J792">
        <v>0</v>
      </c>
      <c r="K792">
        <v>5</v>
      </c>
      <c r="L792">
        <v>0</v>
      </c>
      <c r="O792" s="28">
        <v>46289</v>
      </c>
      <c r="R792">
        <v>-1</v>
      </c>
      <c r="S792">
        <v>35</v>
      </c>
      <c r="T792">
        <v>3</v>
      </c>
      <c r="U792">
        <v>35</v>
      </c>
      <c r="V792">
        <v>20260925035</v>
      </c>
    </row>
    <row r="793" spans="1:22" x14ac:dyDescent="0.2">
      <c r="A793" s="34" t="s">
        <v>122</v>
      </c>
      <c r="B793" s="28">
        <v>46290</v>
      </c>
      <c r="C793" s="34"/>
      <c r="D793" s="34" t="s">
        <v>339</v>
      </c>
      <c r="E793" s="34" t="s">
        <v>248</v>
      </c>
      <c r="F793" s="34" t="s">
        <v>249</v>
      </c>
      <c r="G793" s="34" t="s">
        <v>250</v>
      </c>
      <c r="H793" s="34" t="s">
        <v>251</v>
      </c>
      <c r="I793">
        <v>5</v>
      </c>
      <c r="J793">
        <v>0</v>
      </c>
      <c r="K793">
        <v>5</v>
      </c>
      <c r="L793">
        <v>0</v>
      </c>
      <c r="O793" s="28">
        <v>46289</v>
      </c>
      <c r="R793">
        <v>-1</v>
      </c>
      <c r="S793">
        <v>36</v>
      </c>
      <c r="T793">
        <v>3</v>
      </c>
      <c r="U793">
        <v>36</v>
      </c>
      <c r="V793">
        <v>20260925036</v>
      </c>
    </row>
    <row r="794" spans="1:22" x14ac:dyDescent="0.2">
      <c r="A794" s="34" t="s">
        <v>122</v>
      </c>
      <c r="B794" s="28">
        <v>46290</v>
      </c>
      <c r="C794" s="34"/>
      <c r="D794" s="34" t="s">
        <v>339</v>
      </c>
      <c r="E794" s="34" t="s">
        <v>252</v>
      </c>
      <c r="F794" s="34" t="s">
        <v>253</v>
      </c>
      <c r="G794" s="34" t="s">
        <v>254</v>
      </c>
      <c r="H794" s="34" t="s">
        <v>255</v>
      </c>
      <c r="I794">
        <v>14</v>
      </c>
      <c r="J794">
        <v>0</v>
      </c>
      <c r="K794">
        <v>8</v>
      </c>
      <c r="L794">
        <v>6</v>
      </c>
      <c r="O794" s="28">
        <v>46289</v>
      </c>
      <c r="R794">
        <v>-1</v>
      </c>
      <c r="S794">
        <v>37</v>
      </c>
      <c r="T794">
        <v>3</v>
      </c>
      <c r="U794">
        <v>37</v>
      </c>
      <c r="V794">
        <v>20260925037</v>
      </c>
    </row>
    <row r="795" spans="1:22" x14ac:dyDescent="0.2">
      <c r="A795" s="34" t="s">
        <v>122</v>
      </c>
      <c r="B795" s="28">
        <v>46290</v>
      </c>
      <c r="C795" s="34"/>
      <c r="D795" s="34" t="s">
        <v>339</v>
      </c>
      <c r="E795" s="34" t="s">
        <v>256</v>
      </c>
      <c r="F795" s="34" t="s">
        <v>257</v>
      </c>
      <c r="G795" s="34" t="s">
        <v>258</v>
      </c>
      <c r="H795" s="34" t="s">
        <v>259</v>
      </c>
      <c r="I795">
        <v>3</v>
      </c>
      <c r="J795">
        <v>0</v>
      </c>
      <c r="K795">
        <v>4</v>
      </c>
      <c r="L795">
        <v>-1</v>
      </c>
      <c r="O795" s="28">
        <v>46289</v>
      </c>
      <c r="R795">
        <v>-1</v>
      </c>
      <c r="S795">
        <v>38</v>
      </c>
      <c r="T795">
        <v>3</v>
      </c>
      <c r="U795">
        <v>38</v>
      </c>
      <c r="V795">
        <v>20260925038</v>
      </c>
    </row>
    <row r="796" spans="1:22" x14ac:dyDescent="0.2">
      <c r="A796" s="34" t="s">
        <v>122</v>
      </c>
      <c r="B796" s="28">
        <v>46290</v>
      </c>
      <c r="C796" s="34"/>
      <c r="D796" s="34" t="s">
        <v>339</v>
      </c>
      <c r="E796" s="34" t="s">
        <v>260</v>
      </c>
      <c r="F796" s="34" t="s">
        <v>261</v>
      </c>
      <c r="G796" s="34" t="s">
        <v>262</v>
      </c>
      <c r="H796" s="34" t="s">
        <v>263</v>
      </c>
      <c r="I796">
        <v>2</v>
      </c>
      <c r="J796">
        <v>0</v>
      </c>
      <c r="K796">
        <v>2</v>
      </c>
      <c r="L796">
        <v>0</v>
      </c>
      <c r="O796" s="28">
        <v>46289</v>
      </c>
      <c r="R796">
        <v>-1</v>
      </c>
      <c r="S796">
        <v>39</v>
      </c>
      <c r="T796">
        <v>3</v>
      </c>
      <c r="U796">
        <v>39</v>
      </c>
      <c r="V796">
        <v>20260925039</v>
      </c>
    </row>
    <row r="797" spans="1:22" x14ac:dyDescent="0.2">
      <c r="A797" s="34" t="s">
        <v>122</v>
      </c>
      <c r="B797" s="28">
        <v>46290</v>
      </c>
      <c r="C797" s="34"/>
      <c r="D797" s="34" t="s">
        <v>339</v>
      </c>
      <c r="E797" s="34" t="s">
        <v>264</v>
      </c>
      <c r="F797" s="34" t="s">
        <v>265</v>
      </c>
      <c r="G797" s="34" t="s">
        <v>266</v>
      </c>
      <c r="H797" s="34" t="s">
        <v>267</v>
      </c>
      <c r="I797">
        <v>3</v>
      </c>
      <c r="J797">
        <v>0</v>
      </c>
      <c r="K797">
        <v>11</v>
      </c>
      <c r="L797">
        <v>-8</v>
      </c>
      <c r="O797" s="28">
        <v>46289</v>
      </c>
      <c r="R797">
        <v>-1</v>
      </c>
      <c r="S797">
        <v>40</v>
      </c>
      <c r="T797">
        <v>3</v>
      </c>
      <c r="U797">
        <v>40</v>
      </c>
      <c r="V797">
        <v>20260925040</v>
      </c>
    </row>
    <row r="798" spans="1:22" x14ac:dyDescent="0.2">
      <c r="A798" s="34" t="s">
        <v>122</v>
      </c>
      <c r="B798" s="28">
        <v>46290</v>
      </c>
      <c r="C798" s="34"/>
      <c r="D798" s="34" t="s">
        <v>339</v>
      </c>
      <c r="E798" s="34" t="s">
        <v>268</v>
      </c>
      <c r="F798" s="34" t="s">
        <v>269</v>
      </c>
      <c r="G798" s="34" t="s">
        <v>270</v>
      </c>
      <c r="H798" s="34" t="s">
        <v>271</v>
      </c>
      <c r="I798">
        <v>6</v>
      </c>
      <c r="J798">
        <v>0</v>
      </c>
      <c r="K798">
        <v>6</v>
      </c>
      <c r="L798">
        <v>0</v>
      </c>
      <c r="O798" s="28">
        <v>46289</v>
      </c>
      <c r="R798">
        <v>-1</v>
      </c>
      <c r="S798">
        <v>41</v>
      </c>
      <c r="T798">
        <v>3</v>
      </c>
      <c r="U798">
        <v>41</v>
      </c>
      <c r="V798">
        <v>20260925041</v>
      </c>
    </row>
    <row r="799" spans="1:22" x14ac:dyDescent="0.2">
      <c r="A799" s="34" t="s">
        <v>122</v>
      </c>
      <c r="B799" s="28">
        <v>46290</v>
      </c>
      <c r="C799" s="34"/>
      <c r="D799" s="34" t="s">
        <v>339</v>
      </c>
      <c r="E799" s="34" t="s">
        <v>272</v>
      </c>
      <c r="F799" s="34" t="s">
        <v>341</v>
      </c>
      <c r="G799" s="34" t="s">
        <v>273</v>
      </c>
      <c r="H799" s="34" t="s">
        <v>274</v>
      </c>
      <c r="I799">
        <v>18</v>
      </c>
      <c r="J799">
        <v>0</v>
      </c>
      <c r="K799">
        <v>10</v>
      </c>
      <c r="L799">
        <v>8</v>
      </c>
      <c r="O799" s="28">
        <v>46289</v>
      </c>
      <c r="R799">
        <v>-1</v>
      </c>
      <c r="S799">
        <v>42</v>
      </c>
      <c r="T799">
        <v>3</v>
      </c>
      <c r="U799">
        <v>42</v>
      </c>
      <c r="V799">
        <v>20260925042</v>
      </c>
    </row>
    <row r="800" spans="1:22" x14ac:dyDescent="0.2">
      <c r="A800" s="34" t="s">
        <v>122</v>
      </c>
      <c r="B800" s="28">
        <v>46290</v>
      </c>
      <c r="C800" s="34"/>
      <c r="D800" s="34" t="s">
        <v>339</v>
      </c>
      <c r="E800" s="34" t="s">
        <v>275</v>
      </c>
      <c r="F800" s="34" t="s">
        <v>276</v>
      </c>
      <c r="G800" s="34" t="s">
        <v>277</v>
      </c>
      <c r="H800" s="34" t="s">
        <v>278</v>
      </c>
      <c r="I800">
        <v>3</v>
      </c>
      <c r="J800">
        <v>0</v>
      </c>
      <c r="K800">
        <v>1</v>
      </c>
      <c r="L800">
        <v>2</v>
      </c>
      <c r="O800" s="28">
        <v>46289</v>
      </c>
      <c r="R800">
        <v>-1</v>
      </c>
      <c r="S800">
        <v>43</v>
      </c>
      <c r="T800">
        <v>3</v>
      </c>
      <c r="U800">
        <v>43</v>
      </c>
      <c r="V800">
        <v>20260925043</v>
      </c>
    </row>
    <row r="801" spans="1:22" x14ac:dyDescent="0.2">
      <c r="A801" s="34" t="s">
        <v>122</v>
      </c>
      <c r="B801" s="28">
        <v>46290</v>
      </c>
      <c r="C801" s="34"/>
      <c r="D801" s="34" t="s">
        <v>339</v>
      </c>
      <c r="E801" s="34" t="s">
        <v>279</v>
      </c>
      <c r="F801" s="34" t="s">
        <v>280</v>
      </c>
      <c r="G801" s="34" t="s">
        <v>281</v>
      </c>
      <c r="H801" s="34" t="s">
        <v>282</v>
      </c>
      <c r="I801">
        <v>5</v>
      </c>
      <c r="J801">
        <v>0</v>
      </c>
      <c r="K801">
        <v>4</v>
      </c>
      <c r="L801">
        <v>1</v>
      </c>
      <c r="O801" s="28">
        <v>46289</v>
      </c>
      <c r="R801">
        <v>-1</v>
      </c>
      <c r="S801">
        <v>44</v>
      </c>
      <c r="T801">
        <v>3</v>
      </c>
      <c r="U801">
        <v>44</v>
      </c>
      <c r="V801">
        <v>20260925044</v>
      </c>
    </row>
    <row r="802" spans="1:22" x14ac:dyDescent="0.2">
      <c r="A802" s="34" t="s">
        <v>122</v>
      </c>
      <c r="B802" s="28">
        <v>46290</v>
      </c>
      <c r="C802" s="34"/>
      <c r="D802" s="34" t="s">
        <v>339</v>
      </c>
      <c r="E802" s="34" t="s">
        <v>283</v>
      </c>
      <c r="F802" s="34" t="s">
        <v>284</v>
      </c>
      <c r="G802" s="34" t="s">
        <v>285</v>
      </c>
      <c r="H802" s="34" t="s">
        <v>286</v>
      </c>
      <c r="I802">
        <v>19</v>
      </c>
      <c r="J802">
        <v>0</v>
      </c>
      <c r="K802">
        <v>19</v>
      </c>
      <c r="L802">
        <v>0</v>
      </c>
      <c r="O802" s="28">
        <v>46289</v>
      </c>
      <c r="R802">
        <v>-1</v>
      </c>
      <c r="S802">
        <v>45</v>
      </c>
      <c r="T802">
        <v>3</v>
      </c>
      <c r="U802">
        <v>45</v>
      </c>
      <c r="V802">
        <v>20260925045</v>
      </c>
    </row>
    <row r="803" spans="1:22" x14ac:dyDescent="0.2">
      <c r="A803" s="34" t="s">
        <v>122</v>
      </c>
      <c r="B803" s="28">
        <v>46290</v>
      </c>
      <c r="C803" s="34"/>
      <c r="D803" s="34" t="s">
        <v>339</v>
      </c>
      <c r="E803" s="34" t="s">
        <v>287</v>
      </c>
      <c r="F803" s="34" t="s">
        <v>288</v>
      </c>
      <c r="G803" s="34" t="s">
        <v>289</v>
      </c>
      <c r="H803" s="34" t="s">
        <v>290</v>
      </c>
      <c r="I803">
        <v>9</v>
      </c>
      <c r="J803">
        <v>0</v>
      </c>
      <c r="K803">
        <v>13</v>
      </c>
      <c r="L803">
        <v>-4</v>
      </c>
      <c r="O803" s="28">
        <v>46289</v>
      </c>
      <c r="R803">
        <v>-1</v>
      </c>
      <c r="S803">
        <v>46</v>
      </c>
      <c r="T803">
        <v>3</v>
      </c>
      <c r="U803">
        <v>46</v>
      </c>
      <c r="V803">
        <v>20260925046</v>
      </c>
    </row>
    <row r="804" spans="1:22" x14ac:dyDescent="0.2">
      <c r="A804" s="34" t="s">
        <v>122</v>
      </c>
      <c r="B804" s="28">
        <v>46290</v>
      </c>
      <c r="C804" s="34"/>
      <c r="D804" s="34" t="s">
        <v>339</v>
      </c>
      <c r="E804" s="34" t="s">
        <v>291</v>
      </c>
      <c r="F804" s="34" t="s">
        <v>342</v>
      </c>
      <c r="G804" s="34" t="s">
        <v>292</v>
      </c>
      <c r="H804" s="34" t="s">
        <v>293</v>
      </c>
      <c r="I804">
        <v>20</v>
      </c>
      <c r="J804">
        <v>0</v>
      </c>
      <c r="K804">
        <v>20</v>
      </c>
      <c r="L804">
        <v>0</v>
      </c>
      <c r="O804" s="28">
        <v>46289</v>
      </c>
      <c r="R804">
        <v>-1</v>
      </c>
      <c r="S804">
        <v>47</v>
      </c>
      <c r="T804">
        <v>3</v>
      </c>
      <c r="U804">
        <v>47</v>
      </c>
      <c r="V804">
        <v>20260925047</v>
      </c>
    </row>
    <row r="805" spans="1:22" x14ac:dyDescent="0.2">
      <c r="A805" s="34" t="s">
        <v>122</v>
      </c>
      <c r="B805" s="28">
        <v>46290</v>
      </c>
      <c r="C805" s="34"/>
      <c r="D805" s="34" t="s">
        <v>339</v>
      </c>
      <c r="E805" s="34" t="s">
        <v>294</v>
      </c>
      <c r="F805" s="34" t="s">
        <v>295</v>
      </c>
      <c r="G805" s="34" t="s">
        <v>296</v>
      </c>
      <c r="H805" s="34" t="s">
        <v>297</v>
      </c>
      <c r="I805">
        <v>16</v>
      </c>
      <c r="J805">
        <v>0</v>
      </c>
      <c r="K805">
        <v>14</v>
      </c>
      <c r="L805">
        <v>2</v>
      </c>
      <c r="O805" s="28">
        <v>46289</v>
      </c>
      <c r="R805">
        <v>-1</v>
      </c>
      <c r="S805">
        <v>48</v>
      </c>
      <c r="T805">
        <v>3</v>
      </c>
      <c r="U805">
        <v>48</v>
      </c>
      <c r="V805">
        <v>20260925048</v>
      </c>
    </row>
    <row r="806" spans="1:22" x14ac:dyDescent="0.2">
      <c r="A806" s="34" t="s">
        <v>122</v>
      </c>
      <c r="B806" s="28">
        <v>46290</v>
      </c>
      <c r="C806" s="34"/>
      <c r="D806" s="34" t="s">
        <v>339</v>
      </c>
      <c r="E806" s="34" t="s">
        <v>298</v>
      </c>
      <c r="F806" s="34" t="s">
        <v>299</v>
      </c>
      <c r="G806" s="34" t="s">
        <v>300</v>
      </c>
      <c r="H806" s="34" t="s">
        <v>301</v>
      </c>
      <c r="I806">
        <v>9</v>
      </c>
      <c r="J806">
        <v>0</v>
      </c>
      <c r="K806">
        <v>6</v>
      </c>
      <c r="L806">
        <v>3</v>
      </c>
      <c r="O806" s="28">
        <v>46289</v>
      </c>
      <c r="R806">
        <v>-1</v>
      </c>
      <c r="S806">
        <v>49</v>
      </c>
      <c r="T806">
        <v>3</v>
      </c>
      <c r="U806">
        <v>49</v>
      </c>
      <c r="V806">
        <v>20260925049</v>
      </c>
    </row>
    <row r="807" spans="1:22" x14ac:dyDescent="0.2">
      <c r="A807" s="34" t="s">
        <v>122</v>
      </c>
      <c r="B807" s="28">
        <v>46290</v>
      </c>
      <c r="C807" s="34"/>
      <c r="D807" s="34" t="s">
        <v>339</v>
      </c>
      <c r="E807" s="34" t="s">
        <v>302</v>
      </c>
      <c r="F807" s="34" t="s">
        <v>303</v>
      </c>
      <c r="G807" s="34" t="s">
        <v>304</v>
      </c>
      <c r="H807" s="34" t="s">
        <v>305</v>
      </c>
      <c r="I807">
        <v>8</v>
      </c>
      <c r="J807">
        <v>0</v>
      </c>
      <c r="K807">
        <v>8</v>
      </c>
      <c r="L807">
        <v>0</v>
      </c>
      <c r="O807" s="28">
        <v>46289</v>
      </c>
      <c r="R807">
        <v>-1</v>
      </c>
      <c r="S807">
        <v>50</v>
      </c>
      <c r="T807">
        <v>3</v>
      </c>
      <c r="U807">
        <v>50</v>
      </c>
      <c r="V807">
        <v>20260925050</v>
      </c>
    </row>
    <row r="808" spans="1:22" x14ac:dyDescent="0.2">
      <c r="A808" s="34" t="s">
        <v>122</v>
      </c>
      <c r="B808" s="28">
        <v>46290</v>
      </c>
      <c r="C808" s="34"/>
      <c r="D808" s="34" t="s">
        <v>339</v>
      </c>
      <c r="E808" s="34" t="s">
        <v>306</v>
      </c>
      <c r="F808" s="34" t="s">
        <v>307</v>
      </c>
      <c r="G808" s="34" t="s">
        <v>308</v>
      </c>
      <c r="H808" s="34" t="s">
        <v>309</v>
      </c>
      <c r="I808">
        <v>8</v>
      </c>
      <c r="J808">
        <v>0</v>
      </c>
      <c r="K808">
        <v>6</v>
      </c>
      <c r="L808">
        <v>2</v>
      </c>
      <c r="O808" s="28">
        <v>46289</v>
      </c>
      <c r="R808">
        <v>-1</v>
      </c>
      <c r="S808">
        <v>51</v>
      </c>
      <c r="T808">
        <v>3</v>
      </c>
      <c r="U808">
        <v>51</v>
      </c>
      <c r="V808">
        <v>20260925051</v>
      </c>
    </row>
    <row r="809" spans="1:22" x14ac:dyDescent="0.2">
      <c r="A809" s="34" t="s">
        <v>122</v>
      </c>
      <c r="B809" s="28">
        <v>46290</v>
      </c>
      <c r="C809" s="34"/>
      <c r="D809" s="34" t="s">
        <v>339</v>
      </c>
      <c r="E809" s="34" t="s">
        <v>310</v>
      </c>
      <c r="F809" s="34" t="s">
        <v>311</v>
      </c>
      <c r="G809" s="34" t="s">
        <v>312</v>
      </c>
      <c r="H809" s="34" t="s">
        <v>313</v>
      </c>
      <c r="I809">
        <v>9</v>
      </c>
      <c r="J809">
        <v>0</v>
      </c>
      <c r="K809">
        <v>9</v>
      </c>
      <c r="L809">
        <v>0</v>
      </c>
      <c r="O809" s="28">
        <v>46289</v>
      </c>
      <c r="R809">
        <v>-1</v>
      </c>
      <c r="S809">
        <v>52</v>
      </c>
      <c r="T809">
        <v>3</v>
      </c>
      <c r="U809">
        <v>52</v>
      </c>
      <c r="V809">
        <v>20260925052</v>
      </c>
    </row>
    <row r="810" spans="1:22" x14ac:dyDescent="0.2">
      <c r="A810" s="34" t="s">
        <v>122</v>
      </c>
      <c r="B810" s="28">
        <v>46290</v>
      </c>
      <c r="C810" s="34"/>
      <c r="D810" s="34" t="s">
        <v>339</v>
      </c>
      <c r="E810" s="34" t="s">
        <v>314</v>
      </c>
      <c r="F810" s="34" t="s">
        <v>315</v>
      </c>
      <c r="G810" s="34" t="s">
        <v>316</v>
      </c>
      <c r="H810" s="34" t="s">
        <v>317</v>
      </c>
      <c r="I810">
        <v>25</v>
      </c>
      <c r="J810">
        <v>0</v>
      </c>
      <c r="K810">
        <v>18</v>
      </c>
      <c r="L810">
        <v>7</v>
      </c>
      <c r="O810" s="28">
        <v>46289</v>
      </c>
      <c r="R810">
        <v>-1</v>
      </c>
      <c r="S810">
        <v>53</v>
      </c>
      <c r="T810">
        <v>3</v>
      </c>
      <c r="U810">
        <v>53</v>
      </c>
      <c r="V810">
        <v>20260925053</v>
      </c>
    </row>
    <row r="811" spans="1:22" x14ac:dyDescent="0.2">
      <c r="A811" s="34" t="s">
        <v>122</v>
      </c>
      <c r="B811" s="28">
        <v>46290</v>
      </c>
      <c r="C811" s="34"/>
      <c r="D811" s="34" t="s">
        <v>339</v>
      </c>
      <c r="E811" s="34" t="s">
        <v>318</v>
      </c>
      <c r="F811" s="34" t="s">
        <v>319</v>
      </c>
      <c r="G811" s="34" t="s">
        <v>320</v>
      </c>
      <c r="H811" s="34" t="s">
        <v>321</v>
      </c>
      <c r="I811">
        <v>2</v>
      </c>
      <c r="J811">
        <v>0</v>
      </c>
      <c r="K811">
        <v>7</v>
      </c>
      <c r="L811">
        <v>-5</v>
      </c>
      <c r="O811" s="28">
        <v>46289</v>
      </c>
      <c r="R811">
        <v>-1</v>
      </c>
      <c r="S811">
        <v>54</v>
      </c>
      <c r="T811">
        <v>3</v>
      </c>
      <c r="U811">
        <v>54</v>
      </c>
      <c r="V811">
        <v>20260925054</v>
      </c>
    </row>
    <row r="812" spans="1:22" x14ac:dyDescent="0.2">
      <c r="A812" s="34" t="s">
        <v>122</v>
      </c>
      <c r="B812" s="28">
        <v>46290</v>
      </c>
      <c r="C812" s="34"/>
      <c r="D812" s="34" t="s">
        <v>339</v>
      </c>
      <c r="E812" s="34" t="s">
        <v>322</v>
      </c>
      <c r="F812" s="34" t="s">
        <v>323</v>
      </c>
      <c r="G812" s="34" t="s">
        <v>324</v>
      </c>
      <c r="H812" s="34" t="s">
        <v>325</v>
      </c>
      <c r="I812">
        <v>6</v>
      </c>
      <c r="J812">
        <v>0</v>
      </c>
      <c r="K812">
        <v>5</v>
      </c>
      <c r="L812">
        <v>1</v>
      </c>
      <c r="O812" s="28">
        <v>46289</v>
      </c>
      <c r="R812">
        <v>-1</v>
      </c>
      <c r="S812">
        <v>55</v>
      </c>
      <c r="T812">
        <v>3</v>
      </c>
      <c r="U812">
        <v>55</v>
      </c>
      <c r="V812">
        <v>20260925055</v>
      </c>
    </row>
    <row r="813" spans="1:22" x14ac:dyDescent="0.2">
      <c r="A813" s="34" t="s">
        <v>122</v>
      </c>
      <c r="B813" s="28">
        <v>46290</v>
      </c>
      <c r="C813" s="34"/>
      <c r="D813" s="34" t="s">
        <v>339</v>
      </c>
      <c r="E813" s="34" t="s">
        <v>357</v>
      </c>
      <c r="F813" s="34" t="s">
        <v>358</v>
      </c>
      <c r="G813" s="34" t="s">
        <v>359</v>
      </c>
      <c r="H813" s="34" t="s">
        <v>359</v>
      </c>
      <c r="J813">
        <v>0</v>
      </c>
      <c r="K813">
        <v>16</v>
      </c>
      <c r="O813" s="28"/>
      <c r="R813">
        <v>-1</v>
      </c>
      <c r="S813">
        <v>56</v>
      </c>
      <c r="T813">
        <v>3</v>
      </c>
      <c r="U813">
        <v>56</v>
      </c>
      <c r="V813">
        <v>20260925056</v>
      </c>
    </row>
    <row r="814" spans="1:22" x14ac:dyDescent="0.2">
      <c r="A814" s="34" t="s">
        <v>122</v>
      </c>
      <c r="B814" s="28">
        <v>46290</v>
      </c>
      <c r="C814" s="34"/>
      <c r="D814" s="34" t="s">
        <v>339</v>
      </c>
      <c r="E814" s="34" t="s">
        <v>360</v>
      </c>
      <c r="F814" s="34" t="s">
        <v>361</v>
      </c>
      <c r="G814" s="34" t="s">
        <v>362</v>
      </c>
      <c r="H814" s="34" t="s">
        <v>362</v>
      </c>
      <c r="J814">
        <v>0</v>
      </c>
      <c r="K814">
        <v>1</v>
      </c>
      <c r="O814" s="28"/>
      <c r="R814">
        <v>-1</v>
      </c>
      <c r="S814">
        <v>57</v>
      </c>
      <c r="T814">
        <v>3</v>
      </c>
      <c r="U814">
        <v>57</v>
      </c>
      <c r="V814">
        <v>20260925057</v>
      </c>
    </row>
    <row r="815" spans="1:22" x14ac:dyDescent="0.2">
      <c r="A815" s="34" t="s">
        <v>122</v>
      </c>
      <c r="B815" s="28">
        <v>46290</v>
      </c>
      <c r="C815" s="34"/>
      <c r="D815" s="34" t="s">
        <v>339</v>
      </c>
      <c r="E815" s="34" t="s">
        <v>363</v>
      </c>
      <c r="F815" s="34" t="s">
        <v>364</v>
      </c>
      <c r="G815" s="34" t="s">
        <v>365</v>
      </c>
      <c r="H815" s="34" t="s">
        <v>366</v>
      </c>
      <c r="J815">
        <v>0</v>
      </c>
      <c r="K815">
        <v>9</v>
      </c>
      <c r="O815" s="28"/>
      <c r="R815">
        <v>-1</v>
      </c>
      <c r="S815">
        <v>58</v>
      </c>
      <c r="T815">
        <v>3</v>
      </c>
      <c r="U815">
        <v>58</v>
      </c>
      <c r="V815">
        <v>20260925058</v>
      </c>
    </row>
    <row r="816" spans="1:22" x14ac:dyDescent="0.2">
      <c r="A816" s="34" t="s">
        <v>122</v>
      </c>
      <c r="B816" s="28">
        <v>46290</v>
      </c>
      <c r="C816" s="34"/>
      <c r="D816" s="34" t="s">
        <v>339</v>
      </c>
      <c r="E816" s="34" t="s">
        <v>367</v>
      </c>
      <c r="F816" s="34" t="s">
        <v>368</v>
      </c>
      <c r="G816" s="34" t="s">
        <v>369</v>
      </c>
      <c r="H816" s="34" t="s">
        <v>370</v>
      </c>
      <c r="J816">
        <v>0</v>
      </c>
      <c r="K816">
        <v>4</v>
      </c>
      <c r="O816" s="28"/>
      <c r="R816">
        <v>-1</v>
      </c>
      <c r="S816">
        <v>59</v>
      </c>
      <c r="T816">
        <v>3</v>
      </c>
      <c r="U816">
        <v>59</v>
      </c>
      <c r="V816">
        <v>20260925059</v>
      </c>
    </row>
    <row r="817" spans="1:22" x14ac:dyDescent="0.2">
      <c r="A817" s="34" t="s">
        <v>122</v>
      </c>
      <c r="B817" s="28">
        <v>46290</v>
      </c>
      <c r="C817" s="34"/>
      <c r="D817" s="34" t="s">
        <v>339</v>
      </c>
      <c r="E817" s="34" t="s">
        <v>371</v>
      </c>
      <c r="F817" s="34" t="s">
        <v>372</v>
      </c>
      <c r="G817" s="34" t="s">
        <v>373</v>
      </c>
      <c r="H817" s="34" t="s">
        <v>373</v>
      </c>
      <c r="J817">
        <v>0</v>
      </c>
      <c r="K817">
        <v>23</v>
      </c>
      <c r="O817" s="28"/>
      <c r="R817">
        <v>-1</v>
      </c>
      <c r="S817">
        <v>60</v>
      </c>
      <c r="T817">
        <v>3</v>
      </c>
      <c r="U817">
        <v>60</v>
      </c>
      <c r="V817">
        <v>20260925060</v>
      </c>
    </row>
    <row r="818" spans="1:22" x14ac:dyDescent="0.2">
      <c r="A818" s="34" t="s">
        <v>122</v>
      </c>
      <c r="B818" s="28">
        <v>46290</v>
      </c>
      <c r="C818" s="34"/>
      <c r="D818" s="34" t="s">
        <v>339</v>
      </c>
      <c r="E818" s="34" t="s">
        <v>374</v>
      </c>
      <c r="F818" s="34" t="s">
        <v>375</v>
      </c>
      <c r="G818" s="34" t="s">
        <v>376</v>
      </c>
      <c r="H818" s="34" t="s">
        <v>376</v>
      </c>
      <c r="J818">
        <v>0</v>
      </c>
      <c r="K818">
        <v>7</v>
      </c>
      <c r="O818" s="28"/>
      <c r="R818">
        <v>-1</v>
      </c>
      <c r="S818">
        <v>61</v>
      </c>
      <c r="T818">
        <v>3</v>
      </c>
      <c r="U818">
        <v>61</v>
      </c>
      <c r="V818">
        <v>20260925061</v>
      </c>
    </row>
    <row r="819" spans="1:22" x14ac:dyDescent="0.2">
      <c r="A819" s="34" t="s">
        <v>122</v>
      </c>
      <c r="B819" s="28">
        <v>46290</v>
      </c>
      <c r="C819" s="34"/>
      <c r="D819" s="34" t="s">
        <v>339</v>
      </c>
      <c r="E819" s="34" t="s">
        <v>377</v>
      </c>
      <c r="F819" s="34" t="s">
        <v>378</v>
      </c>
      <c r="G819" s="34" t="s">
        <v>379</v>
      </c>
      <c r="H819" s="34" t="s">
        <v>380</v>
      </c>
      <c r="J819">
        <v>0</v>
      </c>
      <c r="K819">
        <v>0</v>
      </c>
      <c r="O819" s="28"/>
      <c r="R819">
        <v>-1</v>
      </c>
      <c r="S819">
        <v>62</v>
      </c>
      <c r="T819">
        <v>3</v>
      </c>
      <c r="U819">
        <v>62</v>
      </c>
      <c r="V819">
        <v>20260925062</v>
      </c>
    </row>
    <row r="820" spans="1:22" x14ac:dyDescent="0.2">
      <c r="A820" s="34" t="s">
        <v>122</v>
      </c>
      <c r="B820" s="28">
        <v>46290</v>
      </c>
      <c r="C820" s="34"/>
      <c r="D820" s="34" t="s">
        <v>339</v>
      </c>
      <c r="E820" s="34" t="s">
        <v>381</v>
      </c>
      <c r="F820" s="34" t="s">
        <v>382</v>
      </c>
      <c r="G820" s="34" t="s">
        <v>383</v>
      </c>
      <c r="H820" s="34" t="s">
        <v>384</v>
      </c>
      <c r="J820">
        <v>0</v>
      </c>
      <c r="K820">
        <v>11</v>
      </c>
      <c r="O820" s="28"/>
      <c r="R820">
        <v>-1</v>
      </c>
      <c r="S820">
        <v>63</v>
      </c>
      <c r="T820">
        <v>3</v>
      </c>
      <c r="U820">
        <v>63</v>
      </c>
      <c r="V820">
        <v>20260925063</v>
      </c>
    </row>
    <row r="821" spans="1:22" x14ac:dyDescent="0.2">
      <c r="A821" s="34" t="s">
        <v>122</v>
      </c>
      <c r="B821" s="28">
        <v>46290</v>
      </c>
      <c r="C821" s="34"/>
      <c r="D821" s="34" t="s">
        <v>339</v>
      </c>
      <c r="E821" s="34" t="s">
        <v>385</v>
      </c>
      <c r="F821" s="34" t="s">
        <v>386</v>
      </c>
      <c r="G821" s="34" t="s">
        <v>387</v>
      </c>
      <c r="H821" s="34" t="s">
        <v>388</v>
      </c>
      <c r="J821">
        <v>0</v>
      </c>
      <c r="K821">
        <v>10</v>
      </c>
      <c r="O821" s="28"/>
      <c r="R821">
        <v>-1</v>
      </c>
      <c r="S821">
        <v>64</v>
      </c>
      <c r="T821">
        <v>3</v>
      </c>
      <c r="U821">
        <v>64</v>
      </c>
      <c r="V821">
        <v>20260925064</v>
      </c>
    </row>
    <row r="822" spans="1:22" x14ac:dyDescent="0.2">
      <c r="A822" s="34" t="s">
        <v>122</v>
      </c>
      <c r="B822" s="28">
        <v>46290</v>
      </c>
      <c r="C822" s="34"/>
      <c r="D822" s="34" t="s">
        <v>339</v>
      </c>
      <c r="E822" s="34" t="s">
        <v>389</v>
      </c>
      <c r="F822" s="34" t="s">
        <v>390</v>
      </c>
      <c r="G822" s="34" t="s">
        <v>391</v>
      </c>
      <c r="H822" s="34" t="s">
        <v>391</v>
      </c>
      <c r="J822">
        <v>0</v>
      </c>
      <c r="K822">
        <v>0</v>
      </c>
      <c r="O822" s="28"/>
      <c r="R822">
        <v>-1</v>
      </c>
      <c r="S822">
        <v>65</v>
      </c>
      <c r="T822">
        <v>3</v>
      </c>
      <c r="U822">
        <v>65</v>
      </c>
      <c r="V822">
        <v>20260925065</v>
      </c>
    </row>
    <row r="823" spans="1:22" x14ac:dyDescent="0.2">
      <c r="A823" s="34" t="s">
        <v>122</v>
      </c>
      <c r="B823" s="28">
        <v>46290</v>
      </c>
      <c r="C823" s="34"/>
      <c r="D823" s="34" t="s">
        <v>339</v>
      </c>
      <c r="E823" s="34" t="s">
        <v>392</v>
      </c>
      <c r="F823" s="34" t="s">
        <v>393</v>
      </c>
      <c r="G823" s="34" t="s">
        <v>394</v>
      </c>
      <c r="H823" s="34" t="s">
        <v>395</v>
      </c>
      <c r="J823">
        <v>0</v>
      </c>
      <c r="K823">
        <v>0</v>
      </c>
      <c r="O823" s="28"/>
      <c r="R823">
        <v>-1</v>
      </c>
      <c r="S823">
        <v>66</v>
      </c>
      <c r="T823">
        <v>3</v>
      </c>
      <c r="U823">
        <v>66</v>
      </c>
      <c r="V823">
        <v>20260925066</v>
      </c>
    </row>
    <row r="824" spans="1:22" x14ac:dyDescent="0.2">
      <c r="A824" s="34" t="s">
        <v>122</v>
      </c>
      <c r="B824" s="28">
        <v>46290</v>
      </c>
      <c r="C824" s="34"/>
      <c r="D824" s="34" t="s">
        <v>339</v>
      </c>
      <c r="E824" s="34" t="s">
        <v>396</v>
      </c>
      <c r="F824" s="34" t="s">
        <v>397</v>
      </c>
      <c r="G824" s="34" t="s">
        <v>398</v>
      </c>
      <c r="H824" s="34" t="s">
        <v>399</v>
      </c>
      <c r="J824">
        <v>0</v>
      </c>
      <c r="K824">
        <v>8</v>
      </c>
      <c r="O824" s="28"/>
      <c r="R824">
        <v>-1</v>
      </c>
      <c r="S824">
        <v>67</v>
      </c>
      <c r="T824">
        <v>3</v>
      </c>
      <c r="U824">
        <v>67</v>
      </c>
      <c r="V824">
        <v>20260925067</v>
      </c>
    </row>
    <row r="825" spans="1:22" x14ac:dyDescent="0.2">
      <c r="A825" s="34" t="s">
        <v>122</v>
      </c>
      <c r="B825" s="28">
        <v>46290</v>
      </c>
      <c r="C825" s="34"/>
      <c r="D825" s="34" t="s">
        <v>339</v>
      </c>
      <c r="E825" s="34" t="s">
        <v>400</v>
      </c>
      <c r="F825" s="34" t="s">
        <v>401</v>
      </c>
      <c r="G825" s="34" t="s">
        <v>402</v>
      </c>
      <c r="H825" s="34" t="s">
        <v>403</v>
      </c>
      <c r="J825">
        <v>0</v>
      </c>
      <c r="K825">
        <v>18</v>
      </c>
      <c r="O825" s="28"/>
      <c r="R825">
        <v>-1</v>
      </c>
      <c r="S825">
        <v>68</v>
      </c>
      <c r="T825">
        <v>3</v>
      </c>
      <c r="U825">
        <v>68</v>
      </c>
      <c r="V825">
        <v>20260925068</v>
      </c>
    </row>
    <row r="826" spans="1:22" x14ac:dyDescent="0.2">
      <c r="A826" s="34" t="s">
        <v>122</v>
      </c>
      <c r="B826" s="28">
        <v>46290</v>
      </c>
      <c r="C826" s="34"/>
      <c r="D826" s="34" t="s">
        <v>339</v>
      </c>
      <c r="E826" s="34" t="s">
        <v>404</v>
      </c>
      <c r="F826" s="34" t="s">
        <v>405</v>
      </c>
      <c r="G826" s="34" t="s">
        <v>406</v>
      </c>
      <c r="H826" s="34" t="s">
        <v>406</v>
      </c>
      <c r="J826">
        <v>0</v>
      </c>
      <c r="K826">
        <v>25</v>
      </c>
      <c r="O826" s="28"/>
      <c r="R826">
        <v>-1</v>
      </c>
      <c r="S826">
        <v>69</v>
      </c>
      <c r="T826">
        <v>3</v>
      </c>
      <c r="U826">
        <v>69</v>
      </c>
      <c r="V826">
        <v>20260925069</v>
      </c>
    </row>
    <row r="827" spans="1:22" x14ac:dyDescent="0.2">
      <c r="A827" s="34" t="s">
        <v>122</v>
      </c>
      <c r="B827" s="28">
        <v>46290</v>
      </c>
      <c r="C827" s="34"/>
      <c r="D827" s="34" t="s">
        <v>339</v>
      </c>
      <c r="E827" s="34" t="s">
        <v>407</v>
      </c>
      <c r="F827" s="34" t="s">
        <v>408</v>
      </c>
      <c r="G827" s="34" t="s">
        <v>409</v>
      </c>
      <c r="H827" s="34" t="s">
        <v>410</v>
      </c>
      <c r="J827">
        <v>0</v>
      </c>
      <c r="K827">
        <v>0</v>
      </c>
      <c r="O827" s="28"/>
      <c r="R827">
        <v>-1</v>
      </c>
      <c r="S827">
        <v>70</v>
      </c>
      <c r="T827">
        <v>3</v>
      </c>
      <c r="U827">
        <v>70</v>
      </c>
      <c r="V827">
        <v>20260925070</v>
      </c>
    </row>
    <row r="828" spans="1:22" x14ac:dyDescent="0.2">
      <c r="A828" s="34" t="s">
        <v>122</v>
      </c>
      <c r="B828" s="28">
        <v>46290</v>
      </c>
      <c r="C828" s="34"/>
      <c r="D828" s="34" t="s">
        <v>339</v>
      </c>
      <c r="E828" s="34" t="s">
        <v>411</v>
      </c>
      <c r="F828" s="34" t="s">
        <v>412</v>
      </c>
      <c r="G828" s="34" t="s">
        <v>413</v>
      </c>
      <c r="H828" s="34" t="s">
        <v>413</v>
      </c>
      <c r="J828">
        <v>0</v>
      </c>
      <c r="K828">
        <v>4</v>
      </c>
      <c r="O828" s="28"/>
      <c r="R828">
        <v>-1</v>
      </c>
      <c r="S828">
        <v>71</v>
      </c>
      <c r="T828">
        <v>3</v>
      </c>
      <c r="U828">
        <v>71</v>
      </c>
      <c r="V828">
        <v>20260925071</v>
      </c>
    </row>
    <row r="829" spans="1:22" x14ac:dyDescent="0.2">
      <c r="A829" s="34" t="s">
        <v>122</v>
      </c>
      <c r="B829" s="28">
        <v>46290</v>
      </c>
      <c r="C829" s="34"/>
      <c r="D829" s="34" t="s">
        <v>339</v>
      </c>
      <c r="E829" s="34" t="s">
        <v>414</v>
      </c>
      <c r="F829" s="34" t="s">
        <v>415</v>
      </c>
      <c r="G829" s="34" t="s">
        <v>416</v>
      </c>
      <c r="H829" s="34" t="s">
        <v>417</v>
      </c>
      <c r="J829">
        <v>0</v>
      </c>
      <c r="K829">
        <v>0</v>
      </c>
      <c r="O829" s="28"/>
      <c r="R829">
        <v>-1</v>
      </c>
      <c r="S829">
        <v>72</v>
      </c>
      <c r="T829">
        <v>3</v>
      </c>
      <c r="U829">
        <v>72</v>
      </c>
      <c r="V829">
        <v>20260925072</v>
      </c>
    </row>
    <row r="830" spans="1:22" x14ac:dyDescent="0.2">
      <c r="A830" s="34" t="s">
        <v>122</v>
      </c>
      <c r="B830" s="28">
        <v>46290</v>
      </c>
      <c r="C830" s="34"/>
      <c r="D830" s="34" t="s">
        <v>339</v>
      </c>
      <c r="E830" s="34" t="s">
        <v>326</v>
      </c>
      <c r="F830" s="34" t="s">
        <v>327</v>
      </c>
      <c r="G830" s="34" t="s">
        <v>328</v>
      </c>
      <c r="H830" s="34" t="s">
        <v>329</v>
      </c>
      <c r="I830">
        <v>14</v>
      </c>
      <c r="J830">
        <v>0</v>
      </c>
      <c r="K830">
        <v>13</v>
      </c>
      <c r="L830">
        <v>1</v>
      </c>
      <c r="O830" s="28">
        <v>46289</v>
      </c>
      <c r="R830">
        <v>-1</v>
      </c>
      <c r="S830">
        <v>73</v>
      </c>
      <c r="T830">
        <v>3</v>
      </c>
      <c r="U830">
        <v>73</v>
      </c>
      <c r="V830">
        <v>20260925073</v>
      </c>
    </row>
    <row r="831" spans="1:22" x14ac:dyDescent="0.2">
      <c r="A831" s="34" t="s">
        <v>122</v>
      </c>
      <c r="B831" s="28">
        <v>46290</v>
      </c>
      <c r="C831" s="34"/>
      <c r="D831" s="34" t="s">
        <v>339</v>
      </c>
      <c r="E831" s="34" t="s">
        <v>330</v>
      </c>
      <c r="F831" s="34" t="s">
        <v>331</v>
      </c>
      <c r="G831" s="34" t="s">
        <v>332</v>
      </c>
      <c r="H831" s="34" t="s">
        <v>333</v>
      </c>
      <c r="I831">
        <v>12</v>
      </c>
      <c r="J831">
        <v>0</v>
      </c>
      <c r="K831">
        <v>12</v>
      </c>
      <c r="L831">
        <v>0</v>
      </c>
      <c r="O831" s="28">
        <v>46289</v>
      </c>
      <c r="R831">
        <v>-1</v>
      </c>
      <c r="S831">
        <v>74</v>
      </c>
      <c r="T831">
        <v>3</v>
      </c>
      <c r="U831">
        <v>74</v>
      </c>
      <c r="V831">
        <v>20260925074</v>
      </c>
    </row>
    <row r="832" spans="1:22" x14ac:dyDescent="0.2">
      <c r="A832" s="34" t="s">
        <v>122</v>
      </c>
      <c r="B832" s="28">
        <v>46290</v>
      </c>
      <c r="C832" s="34"/>
      <c r="D832" s="34" t="s">
        <v>339</v>
      </c>
      <c r="E832" s="34" t="s">
        <v>334</v>
      </c>
      <c r="F832" s="34" t="s">
        <v>335</v>
      </c>
      <c r="G832" s="34" t="s">
        <v>336</v>
      </c>
      <c r="H832" s="34" t="s">
        <v>337</v>
      </c>
      <c r="I832">
        <v>19</v>
      </c>
      <c r="J832">
        <v>0</v>
      </c>
      <c r="K832">
        <v>16</v>
      </c>
      <c r="L832">
        <v>3</v>
      </c>
      <c r="O832" s="28">
        <v>46289</v>
      </c>
      <c r="R832">
        <v>-1</v>
      </c>
      <c r="S832">
        <v>75</v>
      </c>
      <c r="T832">
        <v>3</v>
      </c>
      <c r="U832">
        <v>75</v>
      </c>
      <c r="V832">
        <v>20260925075</v>
      </c>
    </row>
    <row r="833" spans="1:22" x14ac:dyDescent="0.2">
      <c r="A833" s="34" t="s">
        <v>122</v>
      </c>
      <c r="B833" s="28">
        <v>46292</v>
      </c>
      <c r="C833" s="34"/>
      <c r="D833" s="34" t="s">
        <v>343</v>
      </c>
      <c r="E833" s="34" t="s">
        <v>124</v>
      </c>
      <c r="F833" s="34" t="s">
        <v>125</v>
      </c>
      <c r="G833" s="34" t="s">
        <v>126</v>
      </c>
      <c r="H833" s="34" t="s">
        <v>127</v>
      </c>
      <c r="I833">
        <v>7</v>
      </c>
      <c r="J833">
        <v>0</v>
      </c>
      <c r="K833">
        <v>7</v>
      </c>
      <c r="L833">
        <v>0</v>
      </c>
      <c r="O833" s="28">
        <v>46290</v>
      </c>
      <c r="R833">
        <v>-1</v>
      </c>
      <c r="S833">
        <v>1</v>
      </c>
      <c r="T833">
        <v>2</v>
      </c>
      <c r="U833">
        <v>1</v>
      </c>
      <c r="V833">
        <v>20260927001</v>
      </c>
    </row>
    <row r="834" spans="1:22" x14ac:dyDescent="0.2">
      <c r="A834" s="34" t="s">
        <v>122</v>
      </c>
      <c r="B834" s="28">
        <v>46292</v>
      </c>
      <c r="C834" s="34"/>
      <c r="D834" s="34" t="s">
        <v>343</v>
      </c>
      <c r="E834" s="34" t="s">
        <v>128</v>
      </c>
      <c r="F834" s="34" t="s">
        <v>129</v>
      </c>
      <c r="G834" s="34" t="s">
        <v>130</v>
      </c>
      <c r="H834" s="34" t="s">
        <v>131</v>
      </c>
      <c r="I834">
        <v>5</v>
      </c>
      <c r="J834">
        <v>0</v>
      </c>
      <c r="K834">
        <v>5</v>
      </c>
      <c r="L834">
        <v>0</v>
      </c>
      <c r="O834" s="28">
        <v>46290</v>
      </c>
      <c r="R834">
        <v>-1</v>
      </c>
      <c r="S834">
        <v>2</v>
      </c>
      <c r="T834">
        <v>2</v>
      </c>
      <c r="U834">
        <v>2</v>
      </c>
      <c r="V834">
        <v>20260927002</v>
      </c>
    </row>
    <row r="835" spans="1:22" x14ac:dyDescent="0.2">
      <c r="A835" s="34" t="s">
        <v>122</v>
      </c>
      <c r="B835" s="28">
        <v>46292</v>
      </c>
      <c r="C835" s="34"/>
      <c r="D835" s="34" t="s">
        <v>343</v>
      </c>
      <c r="E835" s="34" t="s">
        <v>132</v>
      </c>
      <c r="F835" s="34" t="s">
        <v>133</v>
      </c>
      <c r="G835" s="34" t="s">
        <v>134</v>
      </c>
      <c r="H835" s="34" t="s">
        <v>135</v>
      </c>
      <c r="I835">
        <v>4</v>
      </c>
      <c r="J835">
        <v>0</v>
      </c>
      <c r="K835">
        <v>4</v>
      </c>
      <c r="L835">
        <v>0</v>
      </c>
      <c r="O835" s="28">
        <v>46290</v>
      </c>
      <c r="R835">
        <v>-1</v>
      </c>
      <c r="S835">
        <v>3</v>
      </c>
      <c r="T835">
        <v>2</v>
      </c>
      <c r="U835">
        <v>3</v>
      </c>
      <c r="V835">
        <v>20260927003</v>
      </c>
    </row>
    <row r="836" spans="1:22" x14ac:dyDescent="0.2">
      <c r="A836" s="34" t="s">
        <v>122</v>
      </c>
      <c r="B836" s="28">
        <v>46292</v>
      </c>
      <c r="C836" s="34"/>
      <c r="D836" s="34" t="s">
        <v>343</v>
      </c>
      <c r="E836" s="34" t="s">
        <v>136</v>
      </c>
      <c r="F836" s="34" t="s">
        <v>137</v>
      </c>
      <c r="G836" s="34" t="s">
        <v>138</v>
      </c>
      <c r="H836" s="34" t="s">
        <v>139</v>
      </c>
      <c r="I836">
        <v>8</v>
      </c>
      <c r="J836">
        <v>0</v>
      </c>
      <c r="K836">
        <v>2</v>
      </c>
      <c r="L836">
        <v>6</v>
      </c>
      <c r="O836" s="28">
        <v>46290</v>
      </c>
      <c r="R836">
        <v>-1</v>
      </c>
      <c r="S836">
        <v>4</v>
      </c>
      <c r="T836">
        <v>2</v>
      </c>
      <c r="U836">
        <v>4</v>
      </c>
      <c r="V836">
        <v>20260927004</v>
      </c>
    </row>
    <row r="837" spans="1:22" x14ac:dyDescent="0.2">
      <c r="A837" s="34" t="s">
        <v>122</v>
      </c>
      <c r="B837" s="28">
        <v>46292</v>
      </c>
      <c r="C837" s="34"/>
      <c r="D837" s="34" t="s">
        <v>343</v>
      </c>
      <c r="E837" s="34" t="s">
        <v>140</v>
      </c>
      <c r="F837" s="34" t="s">
        <v>141</v>
      </c>
      <c r="G837" s="34" t="s">
        <v>142</v>
      </c>
      <c r="H837" s="34" t="s">
        <v>143</v>
      </c>
      <c r="I837">
        <v>7</v>
      </c>
      <c r="J837">
        <v>0</v>
      </c>
      <c r="K837">
        <v>5</v>
      </c>
      <c r="L837">
        <v>2</v>
      </c>
      <c r="O837" s="28">
        <v>46290</v>
      </c>
      <c r="R837">
        <v>-1</v>
      </c>
      <c r="S837">
        <v>5</v>
      </c>
      <c r="T837">
        <v>2</v>
      </c>
      <c r="U837">
        <v>5</v>
      </c>
      <c r="V837">
        <v>20260927005</v>
      </c>
    </row>
    <row r="838" spans="1:22" x14ac:dyDescent="0.2">
      <c r="A838" s="34" t="s">
        <v>122</v>
      </c>
      <c r="B838" s="28">
        <v>46292</v>
      </c>
      <c r="C838" s="34"/>
      <c r="D838" s="34" t="s">
        <v>343</v>
      </c>
      <c r="E838" s="34" t="s">
        <v>144</v>
      </c>
      <c r="F838" s="34" t="s">
        <v>145</v>
      </c>
      <c r="G838" s="34" t="s">
        <v>146</v>
      </c>
      <c r="H838" s="34" t="s">
        <v>147</v>
      </c>
      <c r="I838">
        <v>12</v>
      </c>
      <c r="J838">
        <v>0</v>
      </c>
      <c r="K838">
        <v>12</v>
      </c>
      <c r="L838">
        <v>0</v>
      </c>
      <c r="O838" s="28">
        <v>46290</v>
      </c>
      <c r="R838">
        <v>-1</v>
      </c>
      <c r="S838">
        <v>6</v>
      </c>
      <c r="T838">
        <v>2</v>
      </c>
      <c r="U838">
        <v>6</v>
      </c>
      <c r="V838">
        <v>20260927006</v>
      </c>
    </row>
    <row r="839" spans="1:22" x14ac:dyDescent="0.2">
      <c r="A839" s="34" t="s">
        <v>122</v>
      </c>
      <c r="B839" s="28">
        <v>46292</v>
      </c>
      <c r="C839" s="34"/>
      <c r="D839" s="34" t="s">
        <v>343</v>
      </c>
      <c r="E839" s="34" t="s">
        <v>148</v>
      </c>
      <c r="F839" s="34" t="s">
        <v>149</v>
      </c>
      <c r="G839" s="34" t="s">
        <v>150</v>
      </c>
      <c r="H839" s="34" t="s">
        <v>151</v>
      </c>
      <c r="I839">
        <v>6</v>
      </c>
      <c r="J839">
        <v>0</v>
      </c>
      <c r="K839">
        <v>6</v>
      </c>
      <c r="L839">
        <v>0</v>
      </c>
      <c r="O839" s="28">
        <v>46290</v>
      </c>
      <c r="R839">
        <v>-1</v>
      </c>
      <c r="S839">
        <v>7</v>
      </c>
      <c r="T839">
        <v>2</v>
      </c>
      <c r="U839">
        <v>7</v>
      </c>
      <c r="V839">
        <v>20260927007</v>
      </c>
    </row>
    <row r="840" spans="1:22" x14ac:dyDescent="0.2">
      <c r="A840" s="34" t="s">
        <v>122</v>
      </c>
      <c r="B840" s="28">
        <v>46292</v>
      </c>
      <c r="C840" s="34"/>
      <c r="D840" s="34" t="s">
        <v>343</v>
      </c>
      <c r="E840" s="34" t="s">
        <v>152</v>
      </c>
      <c r="F840" s="34" t="s">
        <v>153</v>
      </c>
      <c r="G840" s="34" t="s">
        <v>154</v>
      </c>
      <c r="H840" s="34" t="s">
        <v>155</v>
      </c>
      <c r="I840">
        <v>0</v>
      </c>
      <c r="J840">
        <v>0</v>
      </c>
      <c r="K840">
        <v>12</v>
      </c>
      <c r="L840">
        <v>-12</v>
      </c>
      <c r="O840" s="28">
        <v>46290</v>
      </c>
      <c r="R840">
        <v>-1</v>
      </c>
      <c r="S840">
        <v>8</v>
      </c>
      <c r="T840">
        <v>2</v>
      </c>
      <c r="U840">
        <v>8</v>
      </c>
      <c r="V840">
        <v>20260927008</v>
      </c>
    </row>
    <row r="841" spans="1:22" x14ac:dyDescent="0.2">
      <c r="A841" s="34" t="s">
        <v>122</v>
      </c>
      <c r="B841" s="28">
        <v>46292</v>
      </c>
      <c r="C841" s="34"/>
      <c r="D841" s="34" t="s">
        <v>343</v>
      </c>
      <c r="E841" s="34" t="s">
        <v>156</v>
      </c>
      <c r="F841" s="34" t="s">
        <v>157</v>
      </c>
      <c r="G841" s="34" t="s">
        <v>158</v>
      </c>
      <c r="H841" s="34" t="s">
        <v>159</v>
      </c>
      <c r="I841">
        <v>22</v>
      </c>
      <c r="J841">
        <v>10</v>
      </c>
      <c r="K841">
        <v>18</v>
      </c>
      <c r="L841">
        <v>14</v>
      </c>
      <c r="O841" s="28">
        <v>46290</v>
      </c>
      <c r="R841">
        <v>-1</v>
      </c>
      <c r="S841">
        <v>9</v>
      </c>
      <c r="T841">
        <v>2</v>
      </c>
      <c r="U841">
        <v>9</v>
      </c>
      <c r="V841">
        <v>20260927009</v>
      </c>
    </row>
    <row r="842" spans="1:22" x14ac:dyDescent="0.2">
      <c r="A842" s="34" t="s">
        <v>122</v>
      </c>
      <c r="B842" s="28">
        <v>46292</v>
      </c>
      <c r="C842" s="34"/>
      <c r="D842" s="34" t="s">
        <v>343</v>
      </c>
      <c r="E842" s="34" t="s">
        <v>160</v>
      </c>
      <c r="F842" s="34" t="s">
        <v>161</v>
      </c>
      <c r="G842" s="34" t="s">
        <v>162</v>
      </c>
      <c r="H842" s="34" t="s">
        <v>163</v>
      </c>
      <c r="I842">
        <v>15</v>
      </c>
      <c r="J842">
        <v>0</v>
      </c>
      <c r="K842">
        <v>12</v>
      </c>
      <c r="L842">
        <v>3</v>
      </c>
      <c r="O842" s="28">
        <v>46290</v>
      </c>
      <c r="R842">
        <v>-1</v>
      </c>
      <c r="S842">
        <v>10</v>
      </c>
      <c r="T842">
        <v>2</v>
      </c>
      <c r="U842">
        <v>10</v>
      </c>
      <c r="V842">
        <v>20260927010</v>
      </c>
    </row>
    <row r="843" spans="1:22" x14ac:dyDescent="0.2">
      <c r="A843" s="34" t="s">
        <v>122</v>
      </c>
      <c r="B843" s="28">
        <v>46292</v>
      </c>
      <c r="C843" s="34"/>
      <c r="D843" s="34" t="s">
        <v>343</v>
      </c>
      <c r="E843" s="34" t="s">
        <v>164</v>
      </c>
      <c r="F843" s="34" t="s">
        <v>165</v>
      </c>
      <c r="G843" s="34" t="s">
        <v>166</v>
      </c>
      <c r="H843" s="34" t="s">
        <v>167</v>
      </c>
      <c r="I843">
        <v>32</v>
      </c>
      <c r="J843">
        <v>60</v>
      </c>
      <c r="K843">
        <v>0</v>
      </c>
      <c r="L843">
        <v>92</v>
      </c>
      <c r="O843" s="28">
        <v>46290</v>
      </c>
      <c r="R843">
        <v>-1</v>
      </c>
      <c r="S843">
        <v>11</v>
      </c>
      <c r="T843">
        <v>2</v>
      </c>
      <c r="U843">
        <v>11</v>
      </c>
      <c r="V843">
        <v>20260927011</v>
      </c>
    </row>
    <row r="844" spans="1:22" x14ac:dyDescent="0.2">
      <c r="A844" s="34" t="s">
        <v>122</v>
      </c>
      <c r="B844" s="28">
        <v>46292</v>
      </c>
      <c r="C844" s="34"/>
      <c r="D844" s="34" t="s">
        <v>343</v>
      </c>
      <c r="E844" s="34" t="s">
        <v>168</v>
      </c>
      <c r="F844" s="34" t="s">
        <v>169</v>
      </c>
      <c r="G844" s="34" t="s">
        <v>170</v>
      </c>
      <c r="H844" s="34" t="s">
        <v>171</v>
      </c>
      <c r="I844">
        <v>11</v>
      </c>
      <c r="J844">
        <v>0</v>
      </c>
      <c r="K844">
        <v>11</v>
      </c>
      <c r="L844">
        <v>0</v>
      </c>
      <c r="O844" s="28">
        <v>46290</v>
      </c>
      <c r="R844">
        <v>-1</v>
      </c>
      <c r="S844">
        <v>12</v>
      </c>
      <c r="T844">
        <v>2</v>
      </c>
      <c r="U844">
        <v>12</v>
      </c>
      <c r="V844">
        <v>20260927012</v>
      </c>
    </row>
    <row r="845" spans="1:22" x14ac:dyDescent="0.2">
      <c r="A845" s="34" t="s">
        <v>122</v>
      </c>
      <c r="B845" s="28">
        <v>46292</v>
      </c>
      <c r="C845" s="34"/>
      <c r="D845" s="34" t="s">
        <v>343</v>
      </c>
      <c r="E845" s="34" t="s">
        <v>172</v>
      </c>
      <c r="F845" s="34" t="s">
        <v>173</v>
      </c>
      <c r="G845" s="34" t="s">
        <v>174</v>
      </c>
      <c r="H845" s="34" t="s">
        <v>175</v>
      </c>
      <c r="I845">
        <v>12</v>
      </c>
      <c r="J845">
        <v>0</v>
      </c>
      <c r="K845">
        <v>12</v>
      </c>
      <c r="L845">
        <v>0</v>
      </c>
      <c r="O845" s="28">
        <v>46290</v>
      </c>
      <c r="R845">
        <v>-1</v>
      </c>
      <c r="S845">
        <v>13</v>
      </c>
      <c r="T845">
        <v>2</v>
      </c>
      <c r="U845">
        <v>13</v>
      </c>
      <c r="V845">
        <v>20260927013</v>
      </c>
    </row>
    <row r="846" spans="1:22" x14ac:dyDescent="0.2">
      <c r="A846" s="34" t="s">
        <v>122</v>
      </c>
      <c r="B846" s="28">
        <v>46292</v>
      </c>
      <c r="C846" s="34"/>
      <c r="D846" s="34" t="s">
        <v>343</v>
      </c>
      <c r="E846" s="34" t="s">
        <v>176</v>
      </c>
      <c r="F846" s="34" t="s">
        <v>177</v>
      </c>
      <c r="G846" s="34" t="s">
        <v>178</v>
      </c>
      <c r="H846" s="34" t="s">
        <v>179</v>
      </c>
      <c r="I846">
        <v>24</v>
      </c>
      <c r="J846">
        <v>20</v>
      </c>
      <c r="K846">
        <v>7</v>
      </c>
      <c r="L846">
        <v>37</v>
      </c>
      <c r="O846" s="28">
        <v>46290</v>
      </c>
      <c r="R846">
        <v>-1</v>
      </c>
      <c r="S846">
        <v>14</v>
      </c>
      <c r="T846">
        <v>2</v>
      </c>
      <c r="U846">
        <v>14</v>
      </c>
      <c r="V846">
        <v>20260927014</v>
      </c>
    </row>
    <row r="847" spans="1:22" x14ac:dyDescent="0.2">
      <c r="A847" s="34" t="s">
        <v>122</v>
      </c>
      <c r="B847" s="28">
        <v>46292</v>
      </c>
      <c r="C847" s="34"/>
      <c r="D847" s="34" t="s">
        <v>343</v>
      </c>
      <c r="E847" s="34" t="s">
        <v>180</v>
      </c>
      <c r="F847" s="34" t="s">
        <v>181</v>
      </c>
      <c r="G847" s="34" t="s">
        <v>182</v>
      </c>
      <c r="H847" s="34" t="s">
        <v>183</v>
      </c>
      <c r="I847">
        <v>15</v>
      </c>
      <c r="J847">
        <v>0</v>
      </c>
      <c r="K847">
        <v>15</v>
      </c>
      <c r="L847">
        <v>0</v>
      </c>
      <c r="O847" s="28">
        <v>46290</v>
      </c>
      <c r="R847">
        <v>-1</v>
      </c>
      <c r="S847">
        <v>15</v>
      </c>
      <c r="T847">
        <v>2</v>
      </c>
      <c r="U847">
        <v>15</v>
      </c>
      <c r="V847">
        <v>20260927015</v>
      </c>
    </row>
    <row r="848" spans="1:22" x14ac:dyDescent="0.2">
      <c r="A848" s="34" t="s">
        <v>122</v>
      </c>
      <c r="B848" s="28">
        <v>46292</v>
      </c>
      <c r="C848" s="34"/>
      <c r="D848" s="34" t="s">
        <v>343</v>
      </c>
      <c r="E848" s="34" t="s">
        <v>184</v>
      </c>
      <c r="F848" s="34" t="s">
        <v>185</v>
      </c>
      <c r="G848" s="34" t="s">
        <v>186</v>
      </c>
      <c r="H848" s="34" t="s">
        <v>187</v>
      </c>
      <c r="I848">
        <v>10</v>
      </c>
      <c r="J848">
        <v>0</v>
      </c>
      <c r="K848">
        <v>10</v>
      </c>
      <c r="L848">
        <v>0</v>
      </c>
      <c r="O848" s="28">
        <v>46290</v>
      </c>
      <c r="R848">
        <v>-1</v>
      </c>
      <c r="S848">
        <v>16</v>
      </c>
      <c r="T848">
        <v>2</v>
      </c>
      <c r="U848">
        <v>16</v>
      </c>
      <c r="V848">
        <v>20260927016</v>
      </c>
    </row>
    <row r="849" spans="1:22" x14ac:dyDescent="0.2">
      <c r="A849" s="34" t="s">
        <v>122</v>
      </c>
      <c r="B849" s="28">
        <v>46292</v>
      </c>
      <c r="C849" s="34"/>
      <c r="D849" s="34" t="s">
        <v>343</v>
      </c>
      <c r="E849" s="34" t="s">
        <v>344</v>
      </c>
      <c r="F849" s="34" t="s">
        <v>345</v>
      </c>
      <c r="G849" s="34" t="s">
        <v>346</v>
      </c>
      <c r="H849" s="34" t="s">
        <v>346</v>
      </c>
      <c r="I849">
        <v>12</v>
      </c>
      <c r="J849">
        <v>0</v>
      </c>
      <c r="K849">
        <v>12</v>
      </c>
      <c r="L849">
        <v>0</v>
      </c>
      <c r="O849" s="28">
        <v>46290</v>
      </c>
      <c r="R849">
        <v>-1</v>
      </c>
      <c r="S849">
        <v>17</v>
      </c>
      <c r="T849">
        <v>2</v>
      </c>
      <c r="U849">
        <v>17</v>
      </c>
      <c r="V849">
        <v>20260927017</v>
      </c>
    </row>
    <row r="850" spans="1:22" x14ac:dyDescent="0.2">
      <c r="A850" s="34" t="s">
        <v>122</v>
      </c>
      <c r="B850" s="28">
        <v>46292</v>
      </c>
      <c r="C850" s="34"/>
      <c r="D850" s="34" t="s">
        <v>343</v>
      </c>
      <c r="E850" s="34" t="s">
        <v>347</v>
      </c>
      <c r="F850" s="34" t="s">
        <v>348</v>
      </c>
      <c r="G850" s="34" t="s">
        <v>349</v>
      </c>
      <c r="H850" s="34" t="s">
        <v>349</v>
      </c>
      <c r="I850">
        <v>6</v>
      </c>
      <c r="J850">
        <v>0</v>
      </c>
      <c r="K850">
        <v>6</v>
      </c>
      <c r="L850">
        <v>0</v>
      </c>
      <c r="O850" s="28">
        <v>46290</v>
      </c>
      <c r="R850">
        <v>-1</v>
      </c>
      <c r="S850">
        <v>18</v>
      </c>
      <c r="T850">
        <v>2</v>
      </c>
      <c r="U850">
        <v>18</v>
      </c>
      <c r="V850">
        <v>20260927018</v>
      </c>
    </row>
    <row r="851" spans="1:22" x14ac:dyDescent="0.2">
      <c r="A851" s="34" t="s">
        <v>122</v>
      </c>
      <c r="B851" s="28">
        <v>46292</v>
      </c>
      <c r="C851" s="34"/>
      <c r="D851" s="34" t="s">
        <v>343</v>
      </c>
      <c r="E851" s="34" t="s">
        <v>350</v>
      </c>
      <c r="F851" s="34" t="s">
        <v>351</v>
      </c>
      <c r="G851" s="34" t="s">
        <v>352</v>
      </c>
      <c r="H851" s="34" t="s">
        <v>352</v>
      </c>
      <c r="I851">
        <v>7</v>
      </c>
      <c r="J851">
        <v>0</v>
      </c>
      <c r="K851">
        <v>7</v>
      </c>
      <c r="L851">
        <v>0</v>
      </c>
      <c r="O851" s="28">
        <v>46290</v>
      </c>
      <c r="R851">
        <v>-1</v>
      </c>
      <c r="S851">
        <v>19</v>
      </c>
      <c r="T851">
        <v>2</v>
      </c>
      <c r="U851">
        <v>19</v>
      </c>
      <c r="V851">
        <v>20260927019</v>
      </c>
    </row>
    <row r="852" spans="1:22" x14ac:dyDescent="0.2">
      <c r="A852" s="34" t="s">
        <v>122</v>
      </c>
      <c r="B852" s="28">
        <v>46292</v>
      </c>
      <c r="C852" s="34"/>
      <c r="D852" s="34" t="s">
        <v>343</v>
      </c>
      <c r="E852" s="34" t="s">
        <v>353</v>
      </c>
      <c r="F852" s="34" t="s">
        <v>354</v>
      </c>
      <c r="G852" s="34" t="s">
        <v>355</v>
      </c>
      <c r="H852" s="34" t="s">
        <v>356</v>
      </c>
      <c r="I852">
        <v>1</v>
      </c>
      <c r="J852">
        <v>0</v>
      </c>
      <c r="K852">
        <v>1</v>
      </c>
      <c r="L852">
        <v>0</v>
      </c>
      <c r="O852" s="28">
        <v>46290</v>
      </c>
      <c r="R852">
        <v>-1</v>
      </c>
      <c r="S852">
        <v>20</v>
      </c>
      <c r="T852">
        <v>2</v>
      </c>
      <c r="U852">
        <v>20</v>
      </c>
      <c r="V852">
        <v>20260927020</v>
      </c>
    </row>
    <row r="853" spans="1:22" x14ac:dyDescent="0.2">
      <c r="A853" s="34" t="s">
        <v>122</v>
      </c>
      <c r="B853" s="28">
        <v>46292</v>
      </c>
      <c r="C853" s="34"/>
      <c r="D853" s="34" t="s">
        <v>343</v>
      </c>
      <c r="E853" s="34" t="s">
        <v>188</v>
      </c>
      <c r="F853" s="34" t="s">
        <v>189</v>
      </c>
      <c r="G853" s="34" t="s">
        <v>190</v>
      </c>
      <c r="H853" s="34" t="s">
        <v>191</v>
      </c>
      <c r="I853">
        <v>4</v>
      </c>
      <c r="J853">
        <v>0</v>
      </c>
      <c r="K853">
        <v>4</v>
      </c>
      <c r="L853">
        <v>0</v>
      </c>
      <c r="O853" s="28">
        <v>46290</v>
      </c>
      <c r="R853">
        <v>-1</v>
      </c>
      <c r="S853">
        <v>21</v>
      </c>
      <c r="T853">
        <v>2</v>
      </c>
      <c r="U853">
        <v>21</v>
      </c>
      <c r="V853">
        <v>20260927021</v>
      </c>
    </row>
    <row r="854" spans="1:22" x14ac:dyDescent="0.2">
      <c r="A854" s="34" t="s">
        <v>122</v>
      </c>
      <c r="B854" s="28">
        <v>46292</v>
      </c>
      <c r="C854" s="34"/>
      <c r="D854" s="34" t="s">
        <v>343</v>
      </c>
      <c r="E854" s="34" t="s">
        <v>192</v>
      </c>
      <c r="F854" s="34" t="s">
        <v>193</v>
      </c>
      <c r="G854" s="34" t="s">
        <v>194</v>
      </c>
      <c r="H854" s="34" t="s">
        <v>195</v>
      </c>
      <c r="I854">
        <v>4</v>
      </c>
      <c r="J854">
        <v>0</v>
      </c>
      <c r="K854">
        <v>4</v>
      </c>
      <c r="L854">
        <v>0</v>
      </c>
      <c r="O854" s="28">
        <v>46290</v>
      </c>
      <c r="R854">
        <v>-1</v>
      </c>
      <c r="S854">
        <v>22</v>
      </c>
      <c r="T854">
        <v>2</v>
      </c>
      <c r="U854">
        <v>22</v>
      </c>
      <c r="V854">
        <v>20260927022</v>
      </c>
    </row>
    <row r="855" spans="1:22" x14ac:dyDescent="0.2">
      <c r="A855" s="34" t="s">
        <v>122</v>
      </c>
      <c r="B855" s="28">
        <v>46292</v>
      </c>
      <c r="C855" s="34"/>
      <c r="D855" s="34" t="s">
        <v>343</v>
      </c>
      <c r="E855" s="34" t="s">
        <v>196</v>
      </c>
      <c r="F855" s="34" t="s">
        <v>197</v>
      </c>
      <c r="G855" s="34" t="s">
        <v>198</v>
      </c>
      <c r="H855" s="34" t="s">
        <v>199</v>
      </c>
      <c r="I855">
        <v>11</v>
      </c>
      <c r="J855">
        <v>0</v>
      </c>
      <c r="K855">
        <v>9</v>
      </c>
      <c r="L855">
        <v>2</v>
      </c>
      <c r="O855" s="28">
        <v>46290</v>
      </c>
      <c r="R855">
        <v>-1</v>
      </c>
      <c r="S855">
        <v>23</v>
      </c>
      <c r="T855">
        <v>2</v>
      </c>
      <c r="U855">
        <v>23</v>
      </c>
      <c r="V855">
        <v>20260927023</v>
      </c>
    </row>
    <row r="856" spans="1:22" x14ac:dyDescent="0.2">
      <c r="A856" s="34" t="s">
        <v>122</v>
      </c>
      <c r="B856" s="28">
        <v>46292</v>
      </c>
      <c r="C856" s="34"/>
      <c r="D856" s="34" t="s">
        <v>343</v>
      </c>
      <c r="E856" s="34" t="s">
        <v>200</v>
      </c>
      <c r="F856" s="34" t="s">
        <v>201</v>
      </c>
      <c r="G856" s="34" t="s">
        <v>202</v>
      </c>
      <c r="H856" s="34" t="s">
        <v>203</v>
      </c>
      <c r="I856">
        <v>24</v>
      </c>
      <c r="J856">
        <v>20</v>
      </c>
      <c r="K856">
        <v>10</v>
      </c>
      <c r="L856">
        <v>34</v>
      </c>
      <c r="O856" s="28">
        <v>46290</v>
      </c>
      <c r="R856">
        <v>-1</v>
      </c>
      <c r="S856">
        <v>24</v>
      </c>
      <c r="T856">
        <v>2</v>
      </c>
      <c r="U856">
        <v>24</v>
      </c>
      <c r="V856">
        <v>20260927024</v>
      </c>
    </row>
    <row r="857" spans="1:22" x14ac:dyDescent="0.2">
      <c r="A857" s="34" t="s">
        <v>122</v>
      </c>
      <c r="B857" s="28">
        <v>46292</v>
      </c>
      <c r="C857" s="34"/>
      <c r="D857" s="34" t="s">
        <v>343</v>
      </c>
      <c r="E857" s="34" t="s">
        <v>204</v>
      </c>
      <c r="F857" s="34" t="s">
        <v>205</v>
      </c>
      <c r="G857" s="34" t="s">
        <v>206</v>
      </c>
      <c r="H857" s="34" t="s">
        <v>207</v>
      </c>
      <c r="I857">
        <v>11</v>
      </c>
      <c r="J857">
        <v>10</v>
      </c>
      <c r="K857">
        <v>3</v>
      </c>
      <c r="L857">
        <v>18</v>
      </c>
      <c r="O857" s="28">
        <v>46290</v>
      </c>
      <c r="R857">
        <v>-1</v>
      </c>
      <c r="S857">
        <v>25</v>
      </c>
      <c r="T857">
        <v>2</v>
      </c>
      <c r="U857">
        <v>25</v>
      </c>
      <c r="V857">
        <v>20260927025</v>
      </c>
    </row>
    <row r="858" spans="1:22" x14ac:dyDescent="0.2">
      <c r="A858" s="34" t="s">
        <v>122</v>
      </c>
      <c r="B858" s="28">
        <v>46292</v>
      </c>
      <c r="C858" s="34"/>
      <c r="D858" s="34" t="s">
        <v>343</v>
      </c>
      <c r="E858" s="34" t="s">
        <v>208</v>
      </c>
      <c r="F858" s="34" t="s">
        <v>209</v>
      </c>
      <c r="G858" s="34" t="s">
        <v>210</v>
      </c>
      <c r="H858" s="34" t="s">
        <v>211</v>
      </c>
      <c r="I858">
        <v>3</v>
      </c>
      <c r="J858">
        <v>10</v>
      </c>
      <c r="K858">
        <v>3</v>
      </c>
      <c r="L858">
        <v>10</v>
      </c>
      <c r="O858" s="28">
        <v>46290</v>
      </c>
      <c r="R858">
        <v>-1</v>
      </c>
      <c r="S858">
        <v>26</v>
      </c>
      <c r="T858">
        <v>2</v>
      </c>
      <c r="U858">
        <v>26</v>
      </c>
      <c r="V858">
        <v>20260927026</v>
      </c>
    </row>
    <row r="859" spans="1:22" x14ac:dyDescent="0.2">
      <c r="A859" s="34" t="s">
        <v>122</v>
      </c>
      <c r="B859" s="28">
        <v>46292</v>
      </c>
      <c r="C859" s="34"/>
      <c r="D859" s="34" t="s">
        <v>343</v>
      </c>
      <c r="E859" s="34" t="s">
        <v>212</v>
      </c>
      <c r="F859" s="34" t="s">
        <v>213</v>
      </c>
      <c r="G859" s="34" t="s">
        <v>214</v>
      </c>
      <c r="H859" s="34" t="s">
        <v>215</v>
      </c>
      <c r="I859">
        <v>17</v>
      </c>
      <c r="J859">
        <v>0</v>
      </c>
      <c r="K859">
        <v>14</v>
      </c>
      <c r="L859">
        <v>3</v>
      </c>
      <c r="O859" s="28">
        <v>46290</v>
      </c>
      <c r="R859">
        <v>-1</v>
      </c>
      <c r="S859">
        <v>27</v>
      </c>
      <c r="T859">
        <v>2</v>
      </c>
      <c r="U859">
        <v>27</v>
      </c>
      <c r="V859">
        <v>20260927027</v>
      </c>
    </row>
    <row r="860" spans="1:22" x14ac:dyDescent="0.2">
      <c r="A860" s="34" t="s">
        <v>122</v>
      </c>
      <c r="B860" s="28">
        <v>46292</v>
      </c>
      <c r="C860" s="34"/>
      <c r="D860" s="34" t="s">
        <v>343</v>
      </c>
      <c r="E860" s="34" t="s">
        <v>216</v>
      </c>
      <c r="F860" s="34" t="s">
        <v>217</v>
      </c>
      <c r="G860" s="34" t="s">
        <v>218</v>
      </c>
      <c r="H860" s="34" t="s">
        <v>219</v>
      </c>
      <c r="I860">
        <v>8</v>
      </c>
      <c r="J860">
        <v>0</v>
      </c>
      <c r="K860">
        <v>6</v>
      </c>
      <c r="L860">
        <v>2</v>
      </c>
      <c r="O860" s="28">
        <v>46290</v>
      </c>
      <c r="R860">
        <v>-1</v>
      </c>
      <c r="S860">
        <v>28</v>
      </c>
      <c r="T860">
        <v>2</v>
      </c>
      <c r="U860">
        <v>28</v>
      </c>
      <c r="V860">
        <v>20260927028</v>
      </c>
    </row>
    <row r="861" spans="1:22" x14ac:dyDescent="0.2">
      <c r="A861" s="34" t="s">
        <v>122</v>
      </c>
      <c r="B861" s="28">
        <v>46292</v>
      </c>
      <c r="C861" s="34"/>
      <c r="D861" s="34" t="s">
        <v>343</v>
      </c>
      <c r="E861" s="34" t="s">
        <v>220</v>
      </c>
      <c r="F861" s="34" t="s">
        <v>221</v>
      </c>
      <c r="G861" s="34" t="s">
        <v>222</v>
      </c>
      <c r="H861" s="34" t="s">
        <v>223</v>
      </c>
      <c r="I861">
        <v>7</v>
      </c>
      <c r="J861">
        <v>0</v>
      </c>
      <c r="K861">
        <v>7</v>
      </c>
      <c r="L861">
        <v>0</v>
      </c>
      <c r="O861" s="28">
        <v>46290</v>
      </c>
      <c r="R861">
        <v>-1</v>
      </c>
      <c r="S861">
        <v>29</v>
      </c>
      <c r="T861">
        <v>2</v>
      </c>
      <c r="U861">
        <v>29</v>
      </c>
      <c r="V861">
        <v>20260927029</v>
      </c>
    </row>
    <row r="862" spans="1:22" x14ac:dyDescent="0.2">
      <c r="A862" s="34" t="s">
        <v>122</v>
      </c>
      <c r="B862" s="28">
        <v>46292</v>
      </c>
      <c r="C862" s="34"/>
      <c r="D862" s="34" t="s">
        <v>343</v>
      </c>
      <c r="E862" s="34" t="s">
        <v>224</v>
      </c>
      <c r="F862" s="34" t="s">
        <v>225</v>
      </c>
      <c r="G862" s="34" t="s">
        <v>226</v>
      </c>
      <c r="H862" s="34" t="s">
        <v>227</v>
      </c>
      <c r="I862">
        <v>10</v>
      </c>
      <c r="J862">
        <v>0</v>
      </c>
      <c r="K862">
        <v>10</v>
      </c>
      <c r="L862">
        <v>0</v>
      </c>
      <c r="O862" s="28">
        <v>46290</v>
      </c>
      <c r="R862">
        <v>-1</v>
      </c>
      <c r="S862">
        <v>30</v>
      </c>
      <c r="T862">
        <v>2</v>
      </c>
      <c r="U862">
        <v>30</v>
      </c>
      <c r="V862">
        <v>20260927030</v>
      </c>
    </row>
    <row r="863" spans="1:22" x14ac:dyDescent="0.2">
      <c r="A863" s="34" t="s">
        <v>122</v>
      </c>
      <c r="B863" s="28">
        <v>46292</v>
      </c>
      <c r="C863" s="34"/>
      <c r="D863" s="34" t="s">
        <v>343</v>
      </c>
      <c r="E863" s="34" t="s">
        <v>228</v>
      </c>
      <c r="F863" s="34" t="s">
        <v>229</v>
      </c>
      <c r="G863" s="34" t="s">
        <v>230</v>
      </c>
      <c r="H863" s="34" t="s">
        <v>231</v>
      </c>
      <c r="I863">
        <v>15</v>
      </c>
      <c r="J863">
        <v>0</v>
      </c>
      <c r="K863">
        <v>13</v>
      </c>
      <c r="L863">
        <v>2</v>
      </c>
      <c r="O863" s="28">
        <v>46290</v>
      </c>
      <c r="R863">
        <v>-1</v>
      </c>
      <c r="S863">
        <v>31</v>
      </c>
      <c r="T863">
        <v>2</v>
      </c>
      <c r="U863">
        <v>31</v>
      </c>
      <c r="V863">
        <v>20260927031</v>
      </c>
    </row>
    <row r="864" spans="1:22" x14ac:dyDescent="0.2">
      <c r="A864" s="34" t="s">
        <v>122</v>
      </c>
      <c r="B864" s="28">
        <v>46292</v>
      </c>
      <c r="C864" s="34"/>
      <c r="D864" s="34" t="s">
        <v>343</v>
      </c>
      <c r="E864" s="34" t="s">
        <v>232</v>
      </c>
      <c r="F864" s="34" t="s">
        <v>233</v>
      </c>
      <c r="G864" s="34" t="s">
        <v>234</v>
      </c>
      <c r="H864" s="34" t="s">
        <v>235</v>
      </c>
      <c r="I864">
        <v>7</v>
      </c>
      <c r="J864">
        <v>0</v>
      </c>
      <c r="K864">
        <v>18</v>
      </c>
      <c r="L864">
        <v>-11</v>
      </c>
      <c r="O864" s="28">
        <v>46290</v>
      </c>
      <c r="R864">
        <v>-1</v>
      </c>
      <c r="S864">
        <v>32</v>
      </c>
      <c r="T864">
        <v>2</v>
      </c>
      <c r="U864">
        <v>32</v>
      </c>
      <c r="V864">
        <v>20260927032</v>
      </c>
    </row>
    <row r="865" spans="1:22" x14ac:dyDescent="0.2">
      <c r="A865" s="34" t="s">
        <v>122</v>
      </c>
      <c r="B865" s="28">
        <v>46292</v>
      </c>
      <c r="C865" s="34"/>
      <c r="D865" s="34" t="s">
        <v>343</v>
      </c>
      <c r="E865" s="34" t="s">
        <v>236</v>
      </c>
      <c r="F865" s="34" t="s">
        <v>237</v>
      </c>
      <c r="G865" s="34" t="s">
        <v>238</v>
      </c>
      <c r="H865" s="34" t="s">
        <v>239</v>
      </c>
      <c r="I865">
        <v>10</v>
      </c>
      <c r="J865">
        <v>0</v>
      </c>
      <c r="K865">
        <v>9</v>
      </c>
      <c r="L865">
        <v>1</v>
      </c>
      <c r="O865" s="28">
        <v>46290</v>
      </c>
      <c r="R865">
        <v>-1</v>
      </c>
      <c r="S865">
        <v>33</v>
      </c>
      <c r="T865">
        <v>2</v>
      </c>
      <c r="U865">
        <v>33</v>
      </c>
      <c r="V865">
        <v>20260927033</v>
      </c>
    </row>
    <row r="866" spans="1:22" x14ac:dyDescent="0.2">
      <c r="A866" s="34" t="s">
        <v>122</v>
      </c>
      <c r="B866" s="28">
        <v>46292</v>
      </c>
      <c r="C866" s="34"/>
      <c r="D866" s="34" t="s">
        <v>343</v>
      </c>
      <c r="E866" s="34" t="s">
        <v>240</v>
      </c>
      <c r="F866" s="34" t="s">
        <v>241</v>
      </c>
      <c r="G866" s="34" t="s">
        <v>242</v>
      </c>
      <c r="H866" s="34" t="s">
        <v>243</v>
      </c>
      <c r="I866">
        <v>3</v>
      </c>
      <c r="J866">
        <v>0</v>
      </c>
      <c r="K866">
        <v>10</v>
      </c>
      <c r="L866">
        <v>-7</v>
      </c>
      <c r="O866" s="28">
        <v>46290</v>
      </c>
      <c r="R866">
        <v>-1</v>
      </c>
      <c r="S866">
        <v>34</v>
      </c>
      <c r="T866">
        <v>2</v>
      </c>
      <c r="U866">
        <v>34</v>
      </c>
      <c r="V866">
        <v>20260927034</v>
      </c>
    </row>
    <row r="867" spans="1:22" x14ac:dyDescent="0.2">
      <c r="A867" s="34" t="s">
        <v>122</v>
      </c>
      <c r="B867" s="28">
        <v>46292</v>
      </c>
      <c r="C867" s="34"/>
      <c r="D867" s="34" t="s">
        <v>343</v>
      </c>
      <c r="E867" s="34" t="s">
        <v>244</v>
      </c>
      <c r="F867" s="34" t="s">
        <v>245</v>
      </c>
      <c r="G867" s="34" t="s">
        <v>246</v>
      </c>
      <c r="H867" s="34" t="s">
        <v>247</v>
      </c>
      <c r="I867">
        <v>5</v>
      </c>
      <c r="J867">
        <v>0</v>
      </c>
      <c r="K867">
        <v>4</v>
      </c>
      <c r="L867">
        <v>1</v>
      </c>
      <c r="O867" s="28">
        <v>46290</v>
      </c>
      <c r="R867">
        <v>-1</v>
      </c>
      <c r="S867">
        <v>35</v>
      </c>
      <c r="T867">
        <v>2</v>
      </c>
      <c r="U867">
        <v>35</v>
      </c>
      <c r="V867">
        <v>20260927035</v>
      </c>
    </row>
    <row r="868" spans="1:22" x14ac:dyDescent="0.2">
      <c r="A868" s="34" t="s">
        <v>122</v>
      </c>
      <c r="B868" s="28">
        <v>46292</v>
      </c>
      <c r="C868" s="34"/>
      <c r="D868" s="34" t="s">
        <v>343</v>
      </c>
      <c r="E868" s="34" t="s">
        <v>248</v>
      </c>
      <c r="F868" s="34" t="s">
        <v>249</v>
      </c>
      <c r="G868" s="34" t="s">
        <v>250</v>
      </c>
      <c r="H868" s="34" t="s">
        <v>251</v>
      </c>
      <c r="I868">
        <v>5</v>
      </c>
      <c r="J868">
        <v>0</v>
      </c>
      <c r="K868">
        <v>5</v>
      </c>
      <c r="L868">
        <v>0</v>
      </c>
      <c r="O868" s="28">
        <v>46290</v>
      </c>
      <c r="R868">
        <v>-1</v>
      </c>
      <c r="S868">
        <v>36</v>
      </c>
      <c r="T868">
        <v>2</v>
      </c>
      <c r="U868">
        <v>36</v>
      </c>
      <c r="V868">
        <v>20260927036</v>
      </c>
    </row>
    <row r="869" spans="1:22" x14ac:dyDescent="0.2">
      <c r="A869" s="34" t="s">
        <v>122</v>
      </c>
      <c r="B869" s="28">
        <v>46292</v>
      </c>
      <c r="C869" s="34"/>
      <c r="D869" s="34" t="s">
        <v>343</v>
      </c>
      <c r="E869" s="34" t="s">
        <v>252</v>
      </c>
      <c r="F869" s="34" t="s">
        <v>253</v>
      </c>
      <c r="G869" s="34" t="s">
        <v>254</v>
      </c>
      <c r="H869" s="34" t="s">
        <v>255</v>
      </c>
      <c r="I869">
        <v>8</v>
      </c>
      <c r="J869">
        <v>10</v>
      </c>
      <c r="K869">
        <v>15</v>
      </c>
      <c r="L869">
        <v>3</v>
      </c>
      <c r="O869" s="28">
        <v>46290</v>
      </c>
      <c r="R869">
        <v>-1</v>
      </c>
      <c r="S869">
        <v>37</v>
      </c>
      <c r="T869">
        <v>2</v>
      </c>
      <c r="U869">
        <v>37</v>
      </c>
      <c r="V869">
        <v>20260927037</v>
      </c>
    </row>
    <row r="870" spans="1:22" x14ac:dyDescent="0.2">
      <c r="A870" s="34" t="s">
        <v>122</v>
      </c>
      <c r="B870" s="28">
        <v>46292</v>
      </c>
      <c r="C870" s="34"/>
      <c r="D870" s="34" t="s">
        <v>343</v>
      </c>
      <c r="E870" s="34" t="s">
        <v>256</v>
      </c>
      <c r="F870" s="34" t="s">
        <v>257</v>
      </c>
      <c r="G870" s="34" t="s">
        <v>258</v>
      </c>
      <c r="H870" s="34" t="s">
        <v>259</v>
      </c>
      <c r="I870">
        <v>4</v>
      </c>
      <c r="J870">
        <v>0</v>
      </c>
      <c r="K870">
        <v>2</v>
      </c>
      <c r="L870">
        <v>2</v>
      </c>
      <c r="O870" s="28">
        <v>46290</v>
      </c>
      <c r="R870">
        <v>-1</v>
      </c>
      <c r="S870">
        <v>38</v>
      </c>
      <c r="T870">
        <v>2</v>
      </c>
      <c r="U870">
        <v>38</v>
      </c>
      <c r="V870">
        <v>20260927038</v>
      </c>
    </row>
    <row r="871" spans="1:22" x14ac:dyDescent="0.2">
      <c r="A871" s="34" t="s">
        <v>122</v>
      </c>
      <c r="B871" s="28">
        <v>46292</v>
      </c>
      <c r="C871" s="34"/>
      <c r="D871" s="34" t="s">
        <v>343</v>
      </c>
      <c r="E871" s="34" t="s">
        <v>260</v>
      </c>
      <c r="F871" s="34" t="s">
        <v>261</v>
      </c>
      <c r="G871" s="34" t="s">
        <v>262</v>
      </c>
      <c r="H871" s="34" t="s">
        <v>263</v>
      </c>
      <c r="I871">
        <v>2</v>
      </c>
      <c r="J871">
        <v>0</v>
      </c>
      <c r="K871">
        <v>2</v>
      </c>
      <c r="L871">
        <v>0</v>
      </c>
      <c r="O871" s="28">
        <v>46290</v>
      </c>
      <c r="R871">
        <v>-1</v>
      </c>
      <c r="S871">
        <v>39</v>
      </c>
      <c r="T871">
        <v>2</v>
      </c>
      <c r="U871">
        <v>39</v>
      </c>
      <c r="V871">
        <v>20260927039</v>
      </c>
    </row>
    <row r="872" spans="1:22" x14ac:dyDescent="0.2">
      <c r="A872" s="34" t="s">
        <v>122</v>
      </c>
      <c r="B872" s="28">
        <v>46292</v>
      </c>
      <c r="C872" s="34"/>
      <c r="D872" s="34" t="s">
        <v>343</v>
      </c>
      <c r="E872" s="34" t="s">
        <v>264</v>
      </c>
      <c r="F872" s="34" t="s">
        <v>265</v>
      </c>
      <c r="G872" s="34" t="s">
        <v>266</v>
      </c>
      <c r="H872" s="34" t="s">
        <v>267</v>
      </c>
      <c r="I872">
        <v>11</v>
      </c>
      <c r="J872">
        <v>0</v>
      </c>
      <c r="K872">
        <v>6</v>
      </c>
      <c r="L872">
        <v>5</v>
      </c>
      <c r="O872" s="28">
        <v>46290</v>
      </c>
      <c r="R872">
        <v>-1</v>
      </c>
      <c r="S872">
        <v>40</v>
      </c>
      <c r="T872">
        <v>2</v>
      </c>
      <c r="U872">
        <v>40</v>
      </c>
      <c r="V872">
        <v>20260927040</v>
      </c>
    </row>
    <row r="873" spans="1:22" x14ac:dyDescent="0.2">
      <c r="A873" s="34" t="s">
        <v>122</v>
      </c>
      <c r="B873" s="28">
        <v>46292</v>
      </c>
      <c r="C873" s="34"/>
      <c r="D873" s="34" t="s">
        <v>343</v>
      </c>
      <c r="E873" s="34" t="s">
        <v>268</v>
      </c>
      <c r="F873" s="34" t="s">
        <v>269</v>
      </c>
      <c r="G873" s="34" t="s">
        <v>270</v>
      </c>
      <c r="H873" s="34" t="s">
        <v>271</v>
      </c>
      <c r="I873">
        <v>6</v>
      </c>
      <c r="J873">
        <v>0</v>
      </c>
      <c r="K873">
        <v>4</v>
      </c>
      <c r="L873">
        <v>2</v>
      </c>
      <c r="O873" s="28">
        <v>46290</v>
      </c>
      <c r="R873">
        <v>-1</v>
      </c>
      <c r="S873">
        <v>41</v>
      </c>
      <c r="T873">
        <v>2</v>
      </c>
      <c r="U873">
        <v>41</v>
      </c>
      <c r="V873">
        <v>20260927041</v>
      </c>
    </row>
    <row r="874" spans="1:22" x14ac:dyDescent="0.2">
      <c r="A874" s="34" t="s">
        <v>122</v>
      </c>
      <c r="B874" s="28">
        <v>46292</v>
      </c>
      <c r="C874" s="34"/>
      <c r="D874" s="34" t="s">
        <v>343</v>
      </c>
      <c r="E874" s="34" t="s">
        <v>272</v>
      </c>
      <c r="F874" s="34" t="s">
        <v>341</v>
      </c>
      <c r="G874" s="34" t="s">
        <v>273</v>
      </c>
      <c r="H874" s="34" t="s">
        <v>274</v>
      </c>
      <c r="I874">
        <v>10</v>
      </c>
      <c r="J874">
        <v>0</v>
      </c>
      <c r="K874">
        <v>17</v>
      </c>
      <c r="L874">
        <v>-7</v>
      </c>
      <c r="O874" s="28">
        <v>46290</v>
      </c>
      <c r="R874">
        <v>-1</v>
      </c>
      <c r="S874">
        <v>42</v>
      </c>
      <c r="T874">
        <v>2</v>
      </c>
      <c r="U874">
        <v>42</v>
      </c>
      <c r="V874">
        <v>20260927042</v>
      </c>
    </row>
    <row r="875" spans="1:22" x14ac:dyDescent="0.2">
      <c r="A875" s="34" t="s">
        <v>122</v>
      </c>
      <c r="B875" s="28">
        <v>46292</v>
      </c>
      <c r="C875" s="34"/>
      <c r="D875" s="34" t="s">
        <v>343</v>
      </c>
      <c r="E875" s="34" t="s">
        <v>275</v>
      </c>
      <c r="F875" s="34" t="s">
        <v>276</v>
      </c>
      <c r="G875" s="34" t="s">
        <v>277</v>
      </c>
      <c r="H875" s="34" t="s">
        <v>278</v>
      </c>
      <c r="I875">
        <v>1</v>
      </c>
      <c r="J875">
        <v>5</v>
      </c>
      <c r="K875">
        <v>0</v>
      </c>
      <c r="L875">
        <v>6</v>
      </c>
      <c r="O875" s="28">
        <v>46290</v>
      </c>
      <c r="R875">
        <v>-1</v>
      </c>
      <c r="S875">
        <v>43</v>
      </c>
      <c r="T875">
        <v>2</v>
      </c>
      <c r="U875">
        <v>43</v>
      </c>
      <c r="V875">
        <v>20260927043</v>
      </c>
    </row>
    <row r="876" spans="1:22" x14ac:dyDescent="0.2">
      <c r="A876" s="34" t="s">
        <v>122</v>
      </c>
      <c r="B876" s="28">
        <v>46292</v>
      </c>
      <c r="C876" s="34"/>
      <c r="D876" s="34" t="s">
        <v>343</v>
      </c>
      <c r="E876" s="34" t="s">
        <v>279</v>
      </c>
      <c r="F876" s="34" t="s">
        <v>280</v>
      </c>
      <c r="G876" s="34" t="s">
        <v>281</v>
      </c>
      <c r="H876" s="34" t="s">
        <v>282</v>
      </c>
      <c r="I876">
        <v>4</v>
      </c>
      <c r="J876">
        <v>0</v>
      </c>
      <c r="K876">
        <v>5</v>
      </c>
      <c r="L876">
        <v>-1</v>
      </c>
      <c r="O876" s="28">
        <v>46290</v>
      </c>
      <c r="R876">
        <v>-1</v>
      </c>
      <c r="S876">
        <v>44</v>
      </c>
      <c r="T876">
        <v>2</v>
      </c>
      <c r="U876">
        <v>44</v>
      </c>
      <c r="V876">
        <v>20260927044</v>
      </c>
    </row>
    <row r="877" spans="1:22" x14ac:dyDescent="0.2">
      <c r="A877" s="34" t="s">
        <v>122</v>
      </c>
      <c r="B877" s="28">
        <v>46292</v>
      </c>
      <c r="C877" s="34"/>
      <c r="D877" s="34" t="s">
        <v>343</v>
      </c>
      <c r="E877" s="34" t="s">
        <v>283</v>
      </c>
      <c r="F877" s="34" t="s">
        <v>284</v>
      </c>
      <c r="G877" s="34" t="s">
        <v>285</v>
      </c>
      <c r="H877" s="34" t="s">
        <v>286</v>
      </c>
      <c r="I877">
        <v>19</v>
      </c>
      <c r="J877">
        <v>0</v>
      </c>
      <c r="K877">
        <v>18</v>
      </c>
      <c r="L877">
        <v>1</v>
      </c>
      <c r="O877" s="28">
        <v>46290</v>
      </c>
      <c r="R877">
        <v>-1</v>
      </c>
      <c r="S877">
        <v>45</v>
      </c>
      <c r="T877">
        <v>2</v>
      </c>
      <c r="U877">
        <v>45</v>
      </c>
      <c r="V877">
        <v>20260927045</v>
      </c>
    </row>
    <row r="878" spans="1:22" x14ac:dyDescent="0.2">
      <c r="A878" s="34" t="s">
        <v>122</v>
      </c>
      <c r="B878" s="28">
        <v>46292</v>
      </c>
      <c r="C878" s="34"/>
      <c r="D878" s="34" t="s">
        <v>343</v>
      </c>
      <c r="E878" s="34" t="s">
        <v>287</v>
      </c>
      <c r="F878" s="34" t="s">
        <v>288</v>
      </c>
      <c r="G878" s="34" t="s">
        <v>289</v>
      </c>
      <c r="H878" s="34" t="s">
        <v>290</v>
      </c>
      <c r="I878">
        <v>13</v>
      </c>
      <c r="J878">
        <v>10</v>
      </c>
      <c r="K878">
        <v>9</v>
      </c>
      <c r="L878">
        <v>14</v>
      </c>
      <c r="O878" s="28">
        <v>46290</v>
      </c>
      <c r="R878">
        <v>-1</v>
      </c>
      <c r="S878">
        <v>46</v>
      </c>
      <c r="T878">
        <v>2</v>
      </c>
      <c r="U878">
        <v>46</v>
      </c>
      <c r="V878">
        <v>20260927046</v>
      </c>
    </row>
    <row r="879" spans="1:22" x14ac:dyDescent="0.2">
      <c r="A879" s="34" t="s">
        <v>122</v>
      </c>
      <c r="B879" s="28">
        <v>46292</v>
      </c>
      <c r="C879" s="34"/>
      <c r="D879" s="34" t="s">
        <v>343</v>
      </c>
      <c r="E879" s="34" t="s">
        <v>291</v>
      </c>
      <c r="F879" s="34" t="s">
        <v>342</v>
      </c>
      <c r="G879" s="34" t="s">
        <v>292</v>
      </c>
      <c r="H879" s="34" t="s">
        <v>293</v>
      </c>
      <c r="I879">
        <v>20</v>
      </c>
      <c r="J879">
        <v>0</v>
      </c>
      <c r="K879">
        <v>19</v>
      </c>
      <c r="L879">
        <v>1</v>
      </c>
      <c r="O879" s="28">
        <v>46290</v>
      </c>
      <c r="R879">
        <v>-1</v>
      </c>
      <c r="S879">
        <v>47</v>
      </c>
      <c r="T879">
        <v>2</v>
      </c>
      <c r="U879">
        <v>47</v>
      </c>
      <c r="V879">
        <v>20260927047</v>
      </c>
    </row>
    <row r="880" spans="1:22" x14ac:dyDescent="0.2">
      <c r="A880" s="34" t="s">
        <v>122</v>
      </c>
      <c r="B880" s="28">
        <v>46292</v>
      </c>
      <c r="C880" s="34"/>
      <c r="D880" s="34" t="s">
        <v>343</v>
      </c>
      <c r="E880" s="34" t="s">
        <v>294</v>
      </c>
      <c r="F880" s="34" t="s">
        <v>295</v>
      </c>
      <c r="G880" s="34" t="s">
        <v>296</v>
      </c>
      <c r="H880" s="34" t="s">
        <v>297</v>
      </c>
      <c r="I880">
        <v>14</v>
      </c>
      <c r="J880">
        <v>10</v>
      </c>
      <c r="K880">
        <v>13</v>
      </c>
      <c r="L880">
        <v>11</v>
      </c>
      <c r="O880" s="28">
        <v>46290</v>
      </c>
      <c r="R880">
        <v>-1</v>
      </c>
      <c r="S880">
        <v>48</v>
      </c>
      <c r="T880">
        <v>2</v>
      </c>
      <c r="U880">
        <v>48</v>
      </c>
      <c r="V880">
        <v>20260927048</v>
      </c>
    </row>
    <row r="881" spans="1:22" x14ac:dyDescent="0.2">
      <c r="A881" s="34" t="s">
        <v>122</v>
      </c>
      <c r="B881" s="28">
        <v>46292</v>
      </c>
      <c r="C881" s="34"/>
      <c r="D881" s="34" t="s">
        <v>343</v>
      </c>
      <c r="E881" s="34" t="s">
        <v>298</v>
      </c>
      <c r="F881" s="34" t="s">
        <v>299</v>
      </c>
      <c r="G881" s="34" t="s">
        <v>300</v>
      </c>
      <c r="H881" s="34" t="s">
        <v>301</v>
      </c>
      <c r="I881">
        <v>6</v>
      </c>
      <c r="J881">
        <v>10</v>
      </c>
      <c r="K881">
        <v>6</v>
      </c>
      <c r="L881">
        <v>10</v>
      </c>
      <c r="O881" s="28">
        <v>46290</v>
      </c>
      <c r="R881">
        <v>-1</v>
      </c>
      <c r="S881">
        <v>49</v>
      </c>
      <c r="T881">
        <v>2</v>
      </c>
      <c r="U881">
        <v>49</v>
      </c>
      <c r="V881">
        <v>20260927049</v>
      </c>
    </row>
    <row r="882" spans="1:22" x14ac:dyDescent="0.2">
      <c r="A882" s="34" t="s">
        <v>122</v>
      </c>
      <c r="B882" s="28">
        <v>46292</v>
      </c>
      <c r="C882" s="34"/>
      <c r="D882" s="34" t="s">
        <v>343</v>
      </c>
      <c r="E882" s="34" t="s">
        <v>302</v>
      </c>
      <c r="F882" s="34" t="s">
        <v>303</v>
      </c>
      <c r="G882" s="34" t="s">
        <v>304</v>
      </c>
      <c r="H882" s="34" t="s">
        <v>305</v>
      </c>
      <c r="I882">
        <v>8</v>
      </c>
      <c r="J882">
        <v>0</v>
      </c>
      <c r="K882">
        <v>5</v>
      </c>
      <c r="L882">
        <v>3</v>
      </c>
      <c r="O882" s="28">
        <v>46290</v>
      </c>
      <c r="R882">
        <v>-1</v>
      </c>
      <c r="S882">
        <v>50</v>
      </c>
      <c r="T882">
        <v>2</v>
      </c>
      <c r="U882">
        <v>50</v>
      </c>
      <c r="V882">
        <v>20260927050</v>
      </c>
    </row>
    <row r="883" spans="1:22" x14ac:dyDescent="0.2">
      <c r="A883" s="34" t="s">
        <v>122</v>
      </c>
      <c r="B883" s="28">
        <v>46292</v>
      </c>
      <c r="C883" s="34"/>
      <c r="D883" s="34" t="s">
        <v>343</v>
      </c>
      <c r="E883" s="34" t="s">
        <v>306</v>
      </c>
      <c r="F883" s="34" t="s">
        <v>307</v>
      </c>
      <c r="G883" s="34" t="s">
        <v>308</v>
      </c>
      <c r="H883" s="34" t="s">
        <v>309</v>
      </c>
      <c r="I883">
        <v>6</v>
      </c>
      <c r="J883">
        <v>0</v>
      </c>
      <c r="K883">
        <v>6</v>
      </c>
      <c r="L883">
        <v>0</v>
      </c>
      <c r="O883" s="28">
        <v>46290</v>
      </c>
      <c r="R883">
        <v>-1</v>
      </c>
      <c r="S883">
        <v>51</v>
      </c>
      <c r="T883">
        <v>2</v>
      </c>
      <c r="U883">
        <v>51</v>
      </c>
      <c r="V883">
        <v>20260927051</v>
      </c>
    </row>
    <row r="884" spans="1:22" x14ac:dyDescent="0.2">
      <c r="A884" s="34" t="s">
        <v>122</v>
      </c>
      <c r="B884" s="28">
        <v>46292</v>
      </c>
      <c r="C884" s="34"/>
      <c r="D884" s="34" t="s">
        <v>343</v>
      </c>
      <c r="E884" s="34" t="s">
        <v>310</v>
      </c>
      <c r="F884" s="34" t="s">
        <v>311</v>
      </c>
      <c r="G884" s="34" t="s">
        <v>312</v>
      </c>
      <c r="H884" s="34" t="s">
        <v>313</v>
      </c>
      <c r="I884">
        <v>9</v>
      </c>
      <c r="J884">
        <v>0</v>
      </c>
      <c r="K884">
        <v>9</v>
      </c>
      <c r="L884">
        <v>0</v>
      </c>
      <c r="O884" s="28">
        <v>46290</v>
      </c>
      <c r="R884">
        <v>-1</v>
      </c>
      <c r="S884">
        <v>52</v>
      </c>
      <c r="T884">
        <v>2</v>
      </c>
      <c r="U884">
        <v>52</v>
      </c>
      <c r="V884">
        <v>20260927052</v>
      </c>
    </row>
    <row r="885" spans="1:22" x14ac:dyDescent="0.2">
      <c r="A885" s="34" t="s">
        <v>122</v>
      </c>
      <c r="B885" s="28">
        <v>46292</v>
      </c>
      <c r="C885" s="34"/>
      <c r="D885" s="34" t="s">
        <v>343</v>
      </c>
      <c r="E885" s="34" t="s">
        <v>314</v>
      </c>
      <c r="F885" s="34" t="s">
        <v>315</v>
      </c>
      <c r="G885" s="34" t="s">
        <v>316</v>
      </c>
      <c r="H885" s="34" t="s">
        <v>317</v>
      </c>
      <c r="I885">
        <v>18</v>
      </c>
      <c r="J885">
        <v>10</v>
      </c>
      <c r="K885">
        <v>15</v>
      </c>
      <c r="L885">
        <v>13</v>
      </c>
      <c r="O885" s="28">
        <v>46290</v>
      </c>
      <c r="R885">
        <v>-1</v>
      </c>
      <c r="S885">
        <v>53</v>
      </c>
      <c r="T885">
        <v>2</v>
      </c>
      <c r="U885">
        <v>53</v>
      </c>
      <c r="V885">
        <v>20260927053</v>
      </c>
    </row>
    <row r="886" spans="1:22" x14ac:dyDescent="0.2">
      <c r="A886" s="34" t="s">
        <v>122</v>
      </c>
      <c r="B886" s="28">
        <v>46292</v>
      </c>
      <c r="C886" s="34"/>
      <c r="D886" s="34" t="s">
        <v>343</v>
      </c>
      <c r="E886" s="34" t="s">
        <v>318</v>
      </c>
      <c r="F886" s="34" t="s">
        <v>319</v>
      </c>
      <c r="G886" s="34" t="s">
        <v>320</v>
      </c>
      <c r="H886" s="34" t="s">
        <v>321</v>
      </c>
      <c r="I886">
        <v>7</v>
      </c>
      <c r="J886">
        <v>0</v>
      </c>
      <c r="K886">
        <v>7</v>
      </c>
      <c r="L886">
        <v>0</v>
      </c>
      <c r="O886" s="28">
        <v>46290</v>
      </c>
      <c r="R886">
        <v>-1</v>
      </c>
      <c r="S886">
        <v>54</v>
      </c>
      <c r="T886">
        <v>2</v>
      </c>
      <c r="U886">
        <v>54</v>
      </c>
      <c r="V886">
        <v>20260927054</v>
      </c>
    </row>
    <row r="887" spans="1:22" x14ac:dyDescent="0.2">
      <c r="A887" s="34" t="s">
        <v>122</v>
      </c>
      <c r="B887" s="28">
        <v>46292</v>
      </c>
      <c r="C887" s="34"/>
      <c r="D887" s="34" t="s">
        <v>343</v>
      </c>
      <c r="E887" s="34" t="s">
        <v>322</v>
      </c>
      <c r="F887" s="34" t="s">
        <v>323</v>
      </c>
      <c r="G887" s="34" t="s">
        <v>324</v>
      </c>
      <c r="H887" s="34" t="s">
        <v>325</v>
      </c>
      <c r="I887">
        <v>5</v>
      </c>
      <c r="J887">
        <v>0</v>
      </c>
      <c r="K887">
        <v>2</v>
      </c>
      <c r="L887">
        <v>3</v>
      </c>
      <c r="O887" s="28">
        <v>46290</v>
      </c>
      <c r="R887">
        <v>-1</v>
      </c>
      <c r="S887">
        <v>55</v>
      </c>
      <c r="T887">
        <v>2</v>
      </c>
      <c r="U887">
        <v>55</v>
      </c>
      <c r="V887">
        <v>20260927055</v>
      </c>
    </row>
    <row r="888" spans="1:22" x14ac:dyDescent="0.2">
      <c r="A888" s="34" t="s">
        <v>122</v>
      </c>
      <c r="B888" s="28">
        <v>46292</v>
      </c>
      <c r="C888" s="34"/>
      <c r="D888" s="34" t="s">
        <v>343</v>
      </c>
      <c r="E888" s="34" t="s">
        <v>357</v>
      </c>
      <c r="F888" s="34" t="s">
        <v>358</v>
      </c>
      <c r="G888" s="34" t="s">
        <v>359</v>
      </c>
      <c r="H888" s="34" t="s">
        <v>359</v>
      </c>
      <c r="I888">
        <v>16</v>
      </c>
      <c r="J888">
        <v>0</v>
      </c>
      <c r="K888">
        <v>13</v>
      </c>
      <c r="L888">
        <v>3</v>
      </c>
      <c r="O888" s="28">
        <v>46290</v>
      </c>
      <c r="R888">
        <v>-1</v>
      </c>
      <c r="S888">
        <v>56</v>
      </c>
      <c r="T888">
        <v>2</v>
      </c>
      <c r="U888">
        <v>56</v>
      </c>
      <c r="V888">
        <v>20260927056</v>
      </c>
    </row>
    <row r="889" spans="1:22" x14ac:dyDescent="0.2">
      <c r="A889" s="34" t="s">
        <v>122</v>
      </c>
      <c r="B889" s="28">
        <v>46292</v>
      </c>
      <c r="C889" s="34"/>
      <c r="D889" s="34" t="s">
        <v>343</v>
      </c>
      <c r="E889" s="34" t="s">
        <v>360</v>
      </c>
      <c r="F889" s="34" t="s">
        <v>361</v>
      </c>
      <c r="G889" s="34" t="s">
        <v>362</v>
      </c>
      <c r="H889" s="34" t="s">
        <v>362</v>
      </c>
      <c r="I889">
        <v>1</v>
      </c>
      <c r="J889">
        <v>0</v>
      </c>
      <c r="K889">
        <v>0</v>
      </c>
      <c r="L889">
        <v>1</v>
      </c>
      <c r="O889" s="28">
        <v>46290</v>
      </c>
      <c r="R889">
        <v>-1</v>
      </c>
      <c r="S889">
        <v>57</v>
      </c>
      <c r="T889">
        <v>2</v>
      </c>
      <c r="U889">
        <v>57</v>
      </c>
      <c r="V889">
        <v>20260927057</v>
      </c>
    </row>
    <row r="890" spans="1:22" x14ac:dyDescent="0.2">
      <c r="A890" s="34" t="s">
        <v>122</v>
      </c>
      <c r="B890" s="28">
        <v>46292</v>
      </c>
      <c r="C890" s="34"/>
      <c r="D890" s="34" t="s">
        <v>343</v>
      </c>
      <c r="E890" s="34" t="s">
        <v>363</v>
      </c>
      <c r="F890" s="34" t="s">
        <v>364</v>
      </c>
      <c r="G890" s="34" t="s">
        <v>365</v>
      </c>
      <c r="H890" s="34" t="s">
        <v>366</v>
      </c>
      <c r="I890">
        <v>9</v>
      </c>
      <c r="J890">
        <v>0</v>
      </c>
      <c r="K890">
        <v>9</v>
      </c>
      <c r="L890">
        <v>0</v>
      </c>
      <c r="O890" s="28">
        <v>46290</v>
      </c>
      <c r="R890">
        <v>-1</v>
      </c>
      <c r="S890">
        <v>58</v>
      </c>
      <c r="T890">
        <v>2</v>
      </c>
      <c r="U890">
        <v>58</v>
      </c>
      <c r="V890">
        <v>20260927058</v>
      </c>
    </row>
    <row r="891" spans="1:22" x14ac:dyDescent="0.2">
      <c r="A891" s="34" t="s">
        <v>122</v>
      </c>
      <c r="B891" s="28">
        <v>46292</v>
      </c>
      <c r="C891" s="34"/>
      <c r="D891" s="34" t="s">
        <v>343</v>
      </c>
      <c r="E891" s="34" t="s">
        <v>367</v>
      </c>
      <c r="F891" s="34" t="s">
        <v>368</v>
      </c>
      <c r="G891" s="34" t="s">
        <v>369</v>
      </c>
      <c r="H891" s="34" t="s">
        <v>370</v>
      </c>
      <c r="I891">
        <v>4</v>
      </c>
      <c r="J891">
        <v>0</v>
      </c>
      <c r="K891">
        <v>4</v>
      </c>
      <c r="L891">
        <v>0</v>
      </c>
      <c r="O891" s="28">
        <v>46290</v>
      </c>
      <c r="R891">
        <v>-1</v>
      </c>
      <c r="S891">
        <v>59</v>
      </c>
      <c r="T891">
        <v>2</v>
      </c>
      <c r="U891">
        <v>59</v>
      </c>
      <c r="V891">
        <v>20260927059</v>
      </c>
    </row>
    <row r="892" spans="1:22" x14ac:dyDescent="0.2">
      <c r="A892" s="34" t="s">
        <v>122</v>
      </c>
      <c r="B892" s="28">
        <v>46292</v>
      </c>
      <c r="C892" s="34"/>
      <c r="D892" s="34" t="s">
        <v>343</v>
      </c>
      <c r="E892" s="34" t="s">
        <v>371</v>
      </c>
      <c r="F892" s="34" t="s">
        <v>372</v>
      </c>
      <c r="G892" s="34" t="s">
        <v>373</v>
      </c>
      <c r="H892" s="34" t="s">
        <v>373</v>
      </c>
      <c r="I892">
        <v>23</v>
      </c>
      <c r="J892">
        <v>0</v>
      </c>
      <c r="K892">
        <v>20</v>
      </c>
      <c r="L892">
        <v>3</v>
      </c>
      <c r="O892" s="28">
        <v>46290</v>
      </c>
      <c r="R892">
        <v>-1</v>
      </c>
      <c r="S892">
        <v>60</v>
      </c>
      <c r="T892">
        <v>2</v>
      </c>
      <c r="U892">
        <v>60</v>
      </c>
      <c r="V892">
        <v>20260927060</v>
      </c>
    </row>
    <row r="893" spans="1:22" x14ac:dyDescent="0.2">
      <c r="A893" s="34" t="s">
        <v>122</v>
      </c>
      <c r="B893" s="28">
        <v>46292</v>
      </c>
      <c r="C893" s="34"/>
      <c r="D893" s="34" t="s">
        <v>343</v>
      </c>
      <c r="E893" s="34" t="s">
        <v>374</v>
      </c>
      <c r="F893" s="34" t="s">
        <v>375</v>
      </c>
      <c r="G893" s="34" t="s">
        <v>376</v>
      </c>
      <c r="H893" s="34" t="s">
        <v>376</v>
      </c>
      <c r="I893">
        <v>7</v>
      </c>
      <c r="J893">
        <v>0</v>
      </c>
      <c r="K893">
        <v>7</v>
      </c>
      <c r="L893">
        <v>0</v>
      </c>
      <c r="O893" s="28">
        <v>46290</v>
      </c>
      <c r="R893">
        <v>-1</v>
      </c>
      <c r="S893">
        <v>61</v>
      </c>
      <c r="T893">
        <v>2</v>
      </c>
      <c r="U893">
        <v>61</v>
      </c>
      <c r="V893">
        <v>20260927061</v>
      </c>
    </row>
    <row r="894" spans="1:22" x14ac:dyDescent="0.2">
      <c r="A894" s="34" t="s">
        <v>122</v>
      </c>
      <c r="B894" s="28">
        <v>46292</v>
      </c>
      <c r="C894" s="34"/>
      <c r="D894" s="34" t="s">
        <v>343</v>
      </c>
      <c r="E894" s="34" t="s">
        <v>377</v>
      </c>
      <c r="F894" s="34" t="s">
        <v>378</v>
      </c>
      <c r="G894" s="34" t="s">
        <v>379</v>
      </c>
      <c r="H894" s="34" t="s">
        <v>380</v>
      </c>
      <c r="I894">
        <v>0</v>
      </c>
      <c r="J894">
        <v>0</v>
      </c>
      <c r="K894">
        <v>4</v>
      </c>
      <c r="L894">
        <v>-4</v>
      </c>
      <c r="O894" s="28">
        <v>46290</v>
      </c>
      <c r="R894">
        <v>-1</v>
      </c>
      <c r="S894">
        <v>62</v>
      </c>
      <c r="T894">
        <v>2</v>
      </c>
      <c r="U894">
        <v>62</v>
      </c>
      <c r="V894">
        <v>20260927062</v>
      </c>
    </row>
    <row r="895" spans="1:22" x14ac:dyDescent="0.2">
      <c r="A895" s="34" t="s">
        <v>122</v>
      </c>
      <c r="B895" s="28">
        <v>46292</v>
      </c>
      <c r="C895" s="34"/>
      <c r="D895" s="34" t="s">
        <v>343</v>
      </c>
      <c r="E895" s="34" t="s">
        <v>381</v>
      </c>
      <c r="F895" s="34" t="s">
        <v>382</v>
      </c>
      <c r="G895" s="34" t="s">
        <v>383</v>
      </c>
      <c r="H895" s="34" t="s">
        <v>384</v>
      </c>
      <c r="I895">
        <v>11</v>
      </c>
      <c r="J895">
        <v>0</v>
      </c>
      <c r="K895">
        <v>11</v>
      </c>
      <c r="L895">
        <v>0</v>
      </c>
      <c r="O895" s="28">
        <v>46290</v>
      </c>
      <c r="R895">
        <v>-1</v>
      </c>
      <c r="S895">
        <v>63</v>
      </c>
      <c r="T895">
        <v>2</v>
      </c>
      <c r="U895">
        <v>63</v>
      </c>
      <c r="V895">
        <v>20260927063</v>
      </c>
    </row>
    <row r="896" spans="1:22" x14ac:dyDescent="0.2">
      <c r="A896" s="34" t="s">
        <v>122</v>
      </c>
      <c r="B896" s="28">
        <v>46292</v>
      </c>
      <c r="C896" s="34"/>
      <c r="D896" s="34" t="s">
        <v>343</v>
      </c>
      <c r="E896" s="34" t="s">
        <v>385</v>
      </c>
      <c r="F896" s="34" t="s">
        <v>386</v>
      </c>
      <c r="G896" s="34" t="s">
        <v>387</v>
      </c>
      <c r="H896" s="34" t="s">
        <v>388</v>
      </c>
      <c r="I896">
        <v>10</v>
      </c>
      <c r="J896">
        <v>0</v>
      </c>
      <c r="K896">
        <v>10</v>
      </c>
      <c r="L896">
        <v>0</v>
      </c>
      <c r="O896" s="28">
        <v>46290</v>
      </c>
      <c r="R896">
        <v>-1</v>
      </c>
      <c r="S896">
        <v>64</v>
      </c>
      <c r="T896">
        <v>2</v>
      </c>
      <c r="U896">
        <v>64</v>
      </c>
      <c r="V896">
        <v>20260927064</v>
      </c>
    </row>
    <row r="897" spans="1:22" x14ac:dyDescent="0.2">
      <c r="A897" s="34" t="s">
        <v>122</v>
      </c>
      <c r="B897" s="28">
        <v>46292</v>
      </c>
      <c r="C897" s="34"/>
      <c r="D897" s="34" t="s">
        <v>343</v>
      </c>
      <c r="E897" s="34" t="s">
        <v>389</v>
      </c>
      <c r="F897" s="34" t="s">
        <v>390</v>
      </c>
      <c r="G897" s="34" t="s">
        <v>391</v>
      </c>
      <c r="H897" s="34" t="s">
        <v>391</v>
      </c>
      <c r="I897">
        <v>0</v>
      </c>
      <c r="J897">
        <v>0</v>
      </c>
      <c r="K897">
        <v>0</v>
      </c>
      <c r="L897">
        <v>0</v>
      </c>
      <c r="O897" s="28">
        <v>46290</v>
      </c>
      <c r="R897">
        <v>-1</v>
      </c>
      <c r="S897">
        <v>65</v>
      </c>
      <c r="T897">
        <v>2</v>
      </c>
      <c r="U897">
        <v>65</v>
      </c>
      <c r="V897">
        <v>20260927065</v>
      </c>
    </row>
    <row r="898" spans="1:22" x14ac:dyDescent="0.2">
      <c r="A898" s="34" t="s">
        <v>122</v>
      </c>
      <c r="B898" s="28">
        <v>46292</v>
      </c>
      <c r="C898" s="34"/>
      <c r="D898" s="34" t="s">
        <v>343</v>
      </c>
      <c r="E898" s="34" t="s">
        <v>392</v>
      </c>
      <c r="F898" s="34" t="s">
        <v>393</v>
      </c>
      <c r="G898" s="34" t="s">
        <v>394</v>
      </c>
      <c r="H898" s="34" t="s">
        <v>395</v>
      </c>
      <c r="I898">
        <v>0</v>
      </c>
      <c r="J898">
        <v>0</v>
      </c>
      <c r="K898">
        <v>1</v>
      </c>
      <c r="L898">
        <v>-1</v>
      </c>
      <c r="O898" s="28">
        <v>46290</v>
      </c>
      <c r="R898">
        <v>-1</v>
      </c>
      <c r="S898">
        <v>66</v>
      </c>
      <c r="T898">
        <v>2</v>
      </c>
      <c r="U898">
        <v>66</v>
      </c>
      <c r="V898">
        <v>20260927066</v>
      </c>
    </row>
    <row r="899" spans="1:22" x14ac:dyDescent="0.2">
      <c r="A899" s="34" t="s">
        <v>122</v>
      </c>
      <c r="B899" s="28">
        <v>46292</v>
      </c>
      <c r="C899" s="34"/>
      <c r="D899" s="34" t="s">
        <v>343</v>
      </c>
      <c r="E899" s="34" t="s">
        <v>396</v>
      </c>
      <c r="F899" s="34" t="s">
        <v>397</v>
      </c>
      <c r="G899" s="34" t="s">
        <v>398</v>
      </c>
      <c r="H899" s="34" t="s">
        <v>399</v>
      </c>
      <c r="I899">
        <v>8</v>
      </c>
      <c r="J899">
        <v>0</v>
      </c>
      <c r="K899">
        <v>8</v>
      </c>
      <c r="L899">
        <v>0</v>
      </c>
      <c r="O899" s="28">
        <v>46290</v>
      </c>
      <c r="R899">
        <v>-1</v>
      </c>
      <c r="S899">
        <v>67</v>
      </c>
      <c r="T899">
        <v>2</v>
      </c>
      <c r="U899">
        <v>67</v>
      </c>
      <c r="V899">
        <v>20260927067</v>
      </c>
    </row>
    <row r="900" spans="1:22" x14ac:dyDescent="0.2">
      <c r="A900" s="34" t="s">
        <v>122</v>
      </c>
      <c r="B900" s="28">
        <v>46292</v>
      </c>
      <c r="C900" s="34"/>
      <c r="D900" s="34" t="s">
        <v>343</v>
      </c>
      <c r="E900" s="34" t="s">
        <v>400</v>
      </c>
      <c r="F900" s="34" t="s">
        <v>401</v>
      </c>
      <c r="G900" s="34" t="s">
        <v>402</v>
      </c>
      <c r="H900" s="34" t="s">
        <v>403</v>
      </c>
      <c r="I900">
        <v>18</v>
      </c>
      <c r="J900">
        <v>0</v>
      </c>
      <c r="K900">
        <v>18</v>
      </c>
      <c r="L900">
        <v>0</v>
      </c>
      <c r="O900" s="28">
        <v>46290</v>
      </c>
      <c r="R900">
        <v>-1</v>
      </c>
      <c r="S900">
        <v>68</v>
      </c>
      <c r="T900">
        <v>2</v>
      </c>
      <c r="U900">
        <v>68</v>
      </c>
      <c r="V900">
        <v>20260927068</v>
      </c>
    </row>
    <row r="901" spans="1:22" x14ac:dyDescent="0.2">
      <c r="A901" s="34" t="s">
        <v>122</v>
      </c>
      <c r="B901" s="28">
        <v>46292</v>
      </c>
      <c r="C901" s="34"/>
      <c r="D901" s="34" t="s">
        <v>343</v>
      </c>
      <c r="E901" s="34" t="s">
        <v>404</v>
      </c>
      <c r="F901" s="34" t="s">
        <v>405</v>
      </c>
      <c r="G901" s="34" t="s">
        <v>406</v>
      </c>
      <c r="H901" s="34" t="s">
        <v>406</v>
      </c>
      <c r="I901">
        <v>25</v>
      </c>
      <c r="J901">
        <v>0</v>
      </c>
      <c r="K901">
        <v>23</v>
      </c>
      <c r="L901">
        <v>2</v>
      </c>
      <c r="O901" s="28">
        <v>46290</v>
      </c>
      <c r="R901">
        <v>-1</v>
      </c>
      <c r="S901">
        <v>69</v>
      </c>
      <c r="T901">
        <v>2</v>
      </c>
      <c r="U901">
        <v>69</v>
      </c>
      <c r="V901">
        <v>20260927069</v>
      </c>
    </row>
    <row r="902" spans="1:22" x14ac:dyDescent="0.2">
      <c r="A902" s="34" t="s">
        <v>122</v>
      </c>
      <c r="B902" s="28">
        <v>46292</v>
      </c>
      <c r="C902" s="34"/>
      <c r="D902" s="34" t="s">
        <v>343</v>
      </c>
      <c r="E902" s="34" t="s">
        <v>407</v>
      </c>
      <c r="F902" s="34" t="s">
        <v>408</v>
      </c>
      <c r="G902" s="34" t="s">
        <v>409</v>
      </c>
      <c r="H902" s="34" t="s">
        <v>410</v>
      </c>
      <c r="I902">
        <v>0</v>
      </c>
      <c r="J902">
        <v>0</v>
      </c>
      <c r="K902">
        <v>0</v>
      </c>
      <c r="L902">
        <v>0</v>
      </c>
      <c r="O902" s="28">
        <v>46290</v>
      </c>
      <c r="R902">
        <v>-1</v>
      </c>
      <c r="S902">
        <v>70</v>
      </c>
      <c r="T902">
        <v>2</v>
      </c>
      <c r="U902">
        <v>70</v>
      </c>
      <c r="V902">
        <v>20260927070</v>
      </c>
    </row>
    <row r="903" spans="1:22" x14ac:dyDescent="0.2">
      <c r="A903" s="34" t="s">
        <v>122</v>
      </c>
      <c r="B903" s="28">
        <v>46292</v>
      </c>
      <c r="C903" s="34"/>
      <c r="D903" s="34" t="s">
        <v>343</v>
      </c>
      <c r="E903" s="34" t="s">
        <v>411</v>
      </c>
      <c r="F903" s="34" t="s">
        <v>412</v>
      </c>
      <c r="G903" s="34" t="s">
        <v>413</v>
      </c>
      <c r="H903" s="34" t="s">
        <v>413</v>
      </c>
      <c r="I903">
        <v>4</v>
      </c>
      <c r="J903">
        <v>0</v>
      </c>
      <c r="K903">
        <v>3</v>
      </c>
      <c r="L903">
        <v>1</v>
      </c>
      <c r="O903" s="28">
        <v>46290</v>
      </c>
      <c r="R903">
        <v>-1</v>
      </c>
      <c r="S903">
        <v>71</v>
      </c>
      <c r="T903">
        <v>2</v>
      </c>
      <c r="U903">
        <v>71</v>
      </c>
      <c r="V903">
        <v>20260927071</v>
      </c>
    </row>
    <row r="904" spans="1:22" x14ac:dyDescent="0.2">
      <c r="A904" s="34" t="s">
        <v>122</v>
      </c>
      <c r="B904" s="28">
        <v>46292</v>
      </c>
      <c r="C904" s="34"/>
      <c r="D904" s="34" t="s">
        <v>343</v>
      </c>
      <c r="E904" s="34" t="s">
        <v>414</v>
      </c>
      <c r="F904" s="34" t="s">
        <v>415</v>
      </c>
      <c r="G904" s="34" t="s">
        <v>416</v>
      </c>
      <c r="H904" s="34" t="s">
        <v>417</v>
      </c>
      <c r="I904">
        <v>0</v>
      </c>
      <c r="J904">
        <v>0</v>
      </c>
      <c r="K904">
        <v>8</v>
      </c>
      <c r="L904">
        <v>-8</v>
      </c>
      <c r="O904" s="28">
        <v>46290</v>
      </c>
      <c r="R904">
        <v>-1</v>
      </c>
      <c r="S904">
        <v>72</v>
      </c>
      <c r="T904">
        <v>2</v>
      </c>
      <c r="U904">
        <v>72</v>
      </c>
      <c r="V904">
        <v>20260927072</v>
      </c>
    </row>
    <row r="905" spans="1:22" x14ac:dyDescent="0.2">
      <c r="A905" s="34" t="s">
        <v>122</v>
      </c>
      <c r="B905" s="28">
        <v>46292</v>
      </c>
      <c r="C905" s="34"/>
      <c r="D905" s="34" t="s">
        <v>343</v>
      </c>
      <c r="E905" s="34" t="s">
        <v>326</v>
      </c>
      <c r="F905" s="34" t="s">
        <v>327</v>
      </c>
      <c r="G905" s="34" t="s">
        <v>328</v>
      </c>
      <c r="H905" s="34" t="s">
        <v>329</v>
      </c>
      <c r="I905">
        <v>13</v>
      </c>
      <c r="J905">
        <v>10</v>
      </c>
      <c r="K905">
        <v>8</v>
      </c>
      <c r="L905">
        <v>15</v>
      </c>
      <c r="O905" s="28">
        <v>46290</v>
      </c>
      <c r="R905">
        <v>-1</v>
      </c>
      <c r="S905">
        <v>73</v>
      </c>
      <c r="T905">
        <v>2</v>
      </c>
      <c r="U905">
        <v>73</v>
      </c>
      <c r="V905">
        <v>20260927073</v>
      </c>
    </row>
    <row r="906" spans="1:22" x14ac:dyDescent="0.2">
      <c r="A906" s="34" t="s">
        <v>122</v>
      </c>
      <c r="B906" s="28">
        <v>46292</v>
      </c>
      <c r="C906" s="34"/>
      <c r="D906" s="34" t="s">
        <v>343</v>
      </c>
      <c r="E906" s="34" t="s">
        <v>330</v>
      </c>
      <c r="F906" s="34" t="s">
        <v>331</v>
      </c>
      <c r="G906" s="34" t="s">
        <v>332</v>
      </c>
      <c r="H906" s="34" t="s">
        <v>333</v>
      </c>
      <c r="I906">
        <v>12</v>
      </c>
      <c r="J906">
        <v>0</v>
      </c>
      <c r="K906">
        <v>12</v>
      </c>
      <c r="L906">
        <v>0</v>
      </c>
      <c r="O906" s="28">
        <v>46290</v>
      </c>
      <c r="R906">
        <v>-1</v>
      </c>
      <c r="S906">
        <v>74</v>
      </c>
      <c r="T906">
        <v>2</v>
      </c>
      <c r="U906">
        <v>74</v>
      </c>
      <c r="V906">
        <v>20260927074</v>
      </c>
    </row>
    <row r="907" spans="1:22" x14ac:dyDescent="0.2">
      <c r="A907" s="34" t="s">
        <v>122</v>
      </c>
      <c r="B907" s="28">
        <v>46292</v>
      </c>
      <c r="C907" s="34"/>
      <c r="D907" s="34" t="s">
        <v>343</v>
      </c>
      <c r="E907" s="34" t="s">
        <v>334</v>
      </c>
      <c r="F907" s="34" t="s">
        <v>335</v>
      </c>
      <c r="G907" s="34" t="s">
        <v>336</v>
      </c>
      <c r="H907" s="34" t="s">
        <v>337</v>
      </c>
      <c r="I907">
        <v>16</v>
      </c>
      <c r="J907">
        <v>10</v>
      </c>
      <c r="K907">
        <v>12</v>
      </c>
      <c r="L907">
        <v>14</v>
      </c>
      <c r="O907" s="28">
        <v>46290</v>
      </c>
      <c r="R907">
        <v>-1</v>
      </c>
      <c r="S907">
        <v>75</v>
      </c>
      <c r="T907">
        <v>2</v>
      </c>
      <c r="U907">
        <v>75</v>
      </c>
      <c r="V907">
        <v>20260927075</v>
      </c>
    </row>
    <row r="908" spans="1:22" x14ac:dyDescent="0.2">
      <c r="A908" s="34" t="s">
        <v>122</v>
      </c>
      <c r="B908" s="28">
        <v>46293</v>
      </c>
      <c r="C908" s="34"/>
      <c r="D908" s="34" t="s">
        <v>123</v>
      </c>
      <c r="E908" s="34" t="s">
        <v>124</v>
      </c>
      <c r="F908" s="34" t="s">
        <v>125</v>
      </c>
      <c r="G908" s="34" t="s">
        <v>126</v>
      </c>
      <c r="H908" s="34" t="s">
        <v>127</v>
      </c>
      <c r="I908">
        <v>7</v>
      </c>
      <c r="J908">
        <v>0</v>
      </c>
      <c r="K908">
        <v>7</v>
      </c>
      <c r="L908">
        <v>0</v>
      </c>
      <c r="O908" s="28">
        <v>46292</v>
      </c>
      <c r="R908">
        <v>-1</v>
      </c>
      <c r="S908">
        <v>1</v>
      </c>
      <c r="T908">
        <v>1</v>
      </c>
      <c r="U908">
        <v>1</v>
      </c>
      <c r="V908">
        <v>20260928001</v>
      </c>
    </row>
    <row r="909" spans="1:22" x14ac:dyDescent="0.2">
      <c r="A909" s="34" t="s">
        <v>122</v>
      </c>
      <c r="B909" s="28">
        <v>46293</v>
      </c>
      <c r="C909" s="34"/>
      <c r="D909" s="34" t="s">
        <v>123</v>
      </c>
      <c r="E909" s="34" t="s">
        <v>128</v>
      </c>
      <c r="F909" s="34" t="s">
        <v>129</v>
      </c>
      <c r="G909" s="34" t="s">
        <v>130</v>
      </c>
      <c r="H909" s="34" t="s">
        <v>131</v>
      </c>
      <c r="I909">
        <v>5</v>
      </c>
      <c r="J909">
        <v>0</v>
      </c>
      <c r="K909">
        <v>5</v>
      </c>
      <c r="L909">
        <v>0</v>
      </c>
      <c r="O909" s="28">
        <v>46292</v>
      </c>
      <c r="R909">
        <v>-1</v>
      </c>
      <c r="S909">
        <v>2</v>
      </c>
      <c r="T909">
        <v>1</v>
      </c>
      <c r="U909">
        <v>2</v>
      </c>
      <c r="V909">
        <v>20260928002</v>
      </c>
    </row>
    <row r="910" spans="1:22" x14ac:dyDescent="0.2">
      <c r="A910" s="34" t="s">
        <v>122</v>
      </c>
      <c r="B910" s="28">
        <v>46293</v>
      </c>
      <c r="C910" s="34"/>
      <c r="D910" s="34" t="s">
        <v>123</v>
      </c>
      <c r="E910" s="34" t="s">
        <v>132</v>
      </c>
      <c r="F910" s="34" t="s">
        <v>133</v>
      </c>
      <c r="G910" s="34" t="s">
        <v>134</v>
      </c>
      <c r="H910" s="34" t="s">
        <v>135</v>
      </c>
      <c r="I910">
        <v>4</v>
      </c>
      <c r="J910">
        <v>0</v>
      </c>
      <c r="K910">
        <v>2</v>
      </c>
      <c r="L910">
        <v>2</v>
      </c>
      <c r="O910" s="28">
        <v>46292</v>
      </c>
      <c r="R910">
        <v>-1</v>
      </c>
      <c r="S910">
        <v>3</v>
      </c>
      <c r="T910">
        <v>1</v>
      </c>
      <c r="U910">
        <v>3</v>
      </c>
      <c r="V910">
        <v>20260928003</v>
      </c>
    </row>
    <row r="911" spans="1:22" x14ac:dyDescent="0.2">
      <c r="A911" s="34" t="s">
        <v>122</v>
      </c>
      <c r="B911" s="28">
        <v>46293</v>
      </c>
      <c r="C911" s="34"/>
      <c r="D911" s="34" t="s">
        <v>123</v>
      </c>
      <c r="E911" s="34" t="s">
        <v>136</v>
      </c>
      <c r="F911" s="34" t="s">
        <v>137</v>
      </c>
      <c r="G911" s="34" t="s">
        <v>138</v>
      </c>
      <c r="H911" s="34" t="s">
        <v>139</v>
      </c>
      <c r="I911">
        <v>2</v>
      </c>
      <c r="J911">
        <v>0</v>
      </c>
      <c r="K911">
        <v>0</v>
      </c>
      <c r="L911">
        <v>2</v>
      </c>
      <c r="O911" s="28">
        <v>46292</v>
      </c>
      <c r="R911">
        <v>-1</v>
      </c>
      <c r="S911">
        <v>4</v>
      </c>
      <c r="T911">
        <v>1</v>
      </c>
      <c r="U911">
        <v>4</v>
      </c>
      <c r="V911">
        <v>20260928004</v>
      </c>
    </row>
    <row r="912" spans="1:22" x14ac:dyDescent="0.2">
      <c r="A912" s="34" t="s">
        <v>122</v>
      </c>
      <c r="B912" s="28">
        <v>46293</v>
      </c>
      <c r="C912" s="34"/>
      <c r="D912" s="34" t="s">
        <v>123</v>
      </c>
      <c r="E912" s="34" t="s">
        <v>140</v>
      </c>
      <c r="F912" s="34" t="s">
        <v>141</v>
      </c>
      <c r="G912" s="34" t="s">
        <v>142</v>
      </c>
      <c r="H912" s="34" t="s">
        <v>143</v>
      </c>
      <c r="I912">
        <v>5</v>
      </c>
      <c r="J912">
        <v>0</v>
      </c>
      <c r="K912">
        <v>2</v>
      </c>
      <c r="L912">
        <v>3</v>
      </c>
      <c r="O912" s="28">
        <v>46292</v>
      </c>
      <c r="R912">
        <v>-1</v>
      </c>
      <c r="S912">
        <v>5</v>
      </c>
      <c r="T912">
        <v>1</v>
      </c>
      <c r="U912">
        <v>5</v>
      </c>
      <c r="V912">
        <v>20260928005</v>
      </c>
    </row>
    <row r="913" spans="1:22" x14ac:dyDescent="0.2">
      <c r="A913" s="34" t="s">
        <v>122</v>
      </c>
      <c r="B913" s="28">
        <v>46293</v>
      </c>
      <c r="C913" s="34"/>
      <c r="D913" s="34" t="s">
        <v>123</v>
      </c>
      <c r="E913" s="34" t="s">
        <v>144</v>
      </c>
      <c r="F913" s="34" t="s">
        <v>145</v>
      </c>
      <c r="G913" s="34" t="s">
        <v>146</v>
      </c>
      <c r="H913" s="34" t="s">
        <v>147</v>
      </c>
      <c r="I913">
        <v>12</v>
      </c>
      <c r="J913">
        <v>0</v>
      </c>
      <c r="K913">
        <v>11</v>
      </c>
      <c r="L913">
        <v>1</v>
      </c>
      <c r="O913" s="28">
        <v>46292</v>
      </c>
      <c r="R913">
        <v>-1</v>
      </c>
      <c r="S913">
        <v>6</v>
      </c>
      <c r="T913">
        <v>1</v>
      </c>
      <c r="U913">
        <v>6</v>
      </c>
      <c r="V913">
        <v>20260928006</v>
      </c>
    </row>
    <row r="914" spans="1:22" x14ac:dyDescent="0.2">
      <c r="A914" s="34" t="s">
        <v>122</v>
      </c>
      <c r="B914" s="28">
        <v>46293</v>
      </c>
      <c r="C914" s="34"/>
      <c r="D914" s="34" t="s">
        <v>123</v>
      </c>
      <c r="E914" s="34" t="s">
        <v>148</v>
      </c>
      <c r="F914" s="34" t="s">
        <v>149</v>
      </c>
      <c r="G914" s="34" t="s">
        <v>150</v>
      </c>
      <c r="H914" s="34" t="s">
        <v>151</v>
      </c>
      <c r="I914">
        <v>6</v>
      </c>
      <c r="J914">
        <v>0</v>
      </c>
      <c r="K914">
        <v>6</v>
      </c>
      <c r="L914">
        <v>0</v>
      </c>
      <c r="O914" s="28">
        <v>46292</v>
      </c>
      <c r="R914">
        <v>-1</v>
      </c>
      <c r="S914">
        <v>7</v>
      </c>
      <c r="T914">
        <v>1</v>
      </c>
      <c r="U914">
        <v>7</v>
      </c>
      <c r="V914">
        <v>20260928007</v>
      </c>
    </row>
    <row r="915" spans="1:22" x14ac:dyDescent="0.2">
      <c r="A915" s="34" t="s">
        <v>122</v>
      </c>
      <c r="B915" s="28">
        <v>46293</v>
      </c>
      <c r="C915" s="34"/>
      <c r="D915" s="34" t="s">
        <v>123</v>
      </c>
      <c r="E915" s="34" t="s">
        <v>152</v>
      </c>
      <c r="F915" s="34" t="s">
        <v>153</v>
      </c>
      <c r="G915" s="34" t="s">
        <v>154</v>
      </c>
      <c r="H915" s="34" t="s">
        <v>155</v>
      </c>
      <c r="I915">
        <v>12</v>
      </c>
      <c r="J915">
        <v>10</v>
      </c>
      <c r="K915">
        <v>10</v>
      </c>
      <c r="L915">
        <v>12</v>
      </c>
      <c r="O915" s="28">
        <v>46292</v>
      </c>
      <c r="R915">
        <v>-1</v>
      </c>
      <c r="S915">
        <v>8</v>
      </c>
      <c r="T915">
        <v>1</v>
      </c>
      <c r="U915">
        <v>8</v>
      </c>
      <c r="V915">
        <v>20260928008</v>
      </c>
    </row>
    <row r="916" spans="1:22" x14ac:dyDescent="0.2">
      <c r="A916" s="34" t="s">
        <v>122</v>
      </c>
      <c r="B916" s="28">
        <v>46293</v>
      </c>
      <c r="C916" s="34"/>
      <c r="D916" s="34" t="s">
        <v>123</v>
      </c>
      <c r="E916" s="34" t="s">
        <v>156</v>
      </c>
      <c r="F916" s="34" t="s">
        <v>157</v>
      </c>
      <c r="G916" s="34" t="s">
        <v>158</v>
      </c>
      <c r="H916" s="34" t="s">
        <v>159</v>
      </c>
      <c r="I916">
        <v>18</v>
      </c>
      <c r="J916">
        <v>0</v>
      </c>
      <c r="K916">
        <v>25</v>
      </c>
      <c r="L916">
        <v>-7</v>
      </c>
      <c r="O916" s="28">
        <v>46292</v>
      </c>
      <c r="R916">
        <v>-1</v>
      </c>
      <c r="S916">
        <v>9</v>
      </c>
      <c r="T916">
        <v>1</v>
      </c>
      <c r="U916">
        <v>9</v>
      </c>
      <c r="V916">
        <v>20260928009</v>
      </c>
    </row>
    <row r="917" spans="1:22" x14ac:dyDescent="0.2">
      <c r="A917" s="34" t="s">
        <v>122</v>
      </c>
      <c r="B917" s="28">
        <v>46293</v>
      </c>
      <c r="C917" s="34"/>
      <c r="D917" s="34" t="s">
        <v>123</v>
      </c>
      <c r="E917" s="34" t="s">
        <v>160</v>
      </c>
      <c r="F917" s="34" t="s">
        <v>161</v>
      </c>
      <c r="G917" s="34" t="s">
        <v>162</v>
      </c>
      <c r="H917" s="34" t="s">
        <v>163</v>
      </c>
      <c r="I917">
        <v>12</v>
      </c>
      <c r="J917">
        <v>0</v>
      </c>
      <c r="K917">
        <v>12</v>
      </c>
      <c r="L917">
        <v>0</v>
      </c>
      <c r="O917" s="28">
        <v>46292</v>
      </c>
      <c r="R917">
        <v>-1</v>
      </c>
      <c r="S917">
        <v>10</v>
      </c>
      <c r="T917">
        <v>1</v>
      </c>
      <c r="U917">
        <v>10</v>
      </c>
      <c r="V917">
        <v>20260928010</v>
      </c>
    </row>
    <row r="918" spans="1:22" x14ac:dyDescent="0.2">
      <c r="A918" s="34" t="s">
        <v>122</v>
      </c>
      <c r="B918" s="28">
        <v>46293</v>
      </c>
      <c r="C918" s="34"/>
      <c r="D918" s="34" t="s">
        <v>123</v>
      </c>
      <c r="E918" s="34" t="s">
        <v>164</v>
      </c>
      <c r="F918" s="34" t="s">
        <v>165</v>
      </c>
      <c r="G918" s="34" t="s">
        <v>166</v>
      </c>
      <c r="H918" s="34" t="s">
        <v>167</v>
      </c>
      <c r="I918">
        <v>0</v>
      </c>
      <c r="J918">
        <v>20</v>
      </c>
      <c r="K918">
        <v>32</v>
      </c>
      <c r="L918">
        <v>-12</v>
      </c>
      <c r="O918" s="28">
        <v>46292</v>
      </c>
      <c r="R918">
        <v>-1</v>
      </c>
      <c r="S918">
        <v>11</v>
      </c>
      <c r="T918">
        <v>1</v>
      </c>
      <c r="U918">
        <v>11</v>
      </c>
      <c r="V918">
        <v>20260928011</v>
      </c>
    </row>
    <row r="919" spans="1:22" x14ac:dyDescent="0.2">
      <c r="A919" s="34" t="s">
        <v>122</v>
      </c>
      <c r="B919" s="28">
        <v>46293</v>
      </c>
      <c r="C919" s="34"/>
      <c r="D919" s="34" t="s">
        <v>123</v>
      </c>
      <c r="E919" s="34" t="s">
        <v>168</v>
      </c>
      <c r="F919" s="34" t="s">
        <v>169</v>
      </c>
      <c r="G919" s="34" t="s">
        <v>170</v>
      </c>
      <c r="H919" s="34" t="s">
        <v>171</v>
      </c>
      <c r="I919">
        <v>11</v>
      </c>
      <c r="J919">
        <v>0</v>
      </c>
      <c r="K919">
        <v>9</v>
      </c>
      <c r="L919">
        <v>2</v>
      </c>
      <c r="O919" s="28">
        <v>46292</v>
      </c>
      <c r="R919">
        <v>-1</v>
      </c>
      <c r="S919">
        <v>12</v>
      </c>
      <c r="T919">
        <v>1</v>
      </c>
      <c r="U919">
        <v>12</v>
      </c>
      <c r="V919">
        <v>20260928012</v>
      </c>
    </row>
    <row r="920" spans="1:22" x14ac:dyDescent="0.2">
      <c r="A920" s="34" t="s">
        <v>122</v>
      </c>
      <c r="B920" s="28">
        <v>46293</v>
      </c>
      <c r="C920" s="34"/>
      <c r="D920" s="34" t="s">
        <v>123</v>
      </c>
      <c r="E920" s="34" t="s">
        <v>172</v>
      </c>
      <c r="F920" s="34" t="s">
        <v>173</v>
      </c>
      <c r="G920" s="34" t="s">
        <v>174</v>
      </c>
      <c r="H920" s="34" t="s">
        <v>175</v>
      </c>
      <c r="I920">
        <v>12</v>
      </c>
      <c r="J920">
        <v>0</v>
      </c>
      <c r="K920">
        <v>6</v>
      </c>
      <c r="L920">
        <v>6</v>
      </c>
      <c r="O920" s="28">
        <v>46292</v>
      </c>
      <c r="R920">
        <v>-1</v>
      </c>
      <c r="S920">
        <v>13</v>
      </c>
      <c r="T920">
        <v>1</v>
      </c>
      <c r="U920">
        <v>13</v>
      </c>
      <c r="V920">
        <v>20260928013</v>
      </c>
    </row>
    <row r="921" spans="1:22" x14ac:dyDescent="0.2">
      <c r="A921" s="34" t="s">
        <v>122</v>
      </c>
      <c r="B921" s="28">
        <v>46293</v>
      </c>
      <c r="C921" s="34"/>
      <c r="D921" s="34" t="s">
        <v>123</v>
      </c>
      <c r="E921" s="34" t="s">
        <v>176</v>
      </c>
      <c r="F921" s="34" t="s">
        <v>177</v>
      </c>
      <c r="G921" s="34" t="s">
        <v>178</v>
      </c>
      <c r="H921" s="34" t="s">
        <v>179</v>
      </c>
      <c r="I921">
        <v>7</v>
      </c>
      <c r="J921">
        <v>0</v>
      </c>
      <c r="K921">
        <v>16</v>
      </c>
      <c r="L921">
        <v>-9</v>
      </c>
      <c r="O921" s="28">
        <v>46292</v>
      </c>
      <c r="R921">
        <v>-1</v>
      </c>
      <c r="S921">
        <v>14</v>
      </c>
      <c r="T921">
        <v>1</v>
      </c>
      <c r="U921">
        <v>14</v>
      </c>
      <c r="V921">
        <v>20260928014</v>
      </c>
    </row>
    <row r="922" spans="1:22" x14ac:dyDescent="0.2">
      <c r="A922" s="34" t="s">
        <v>122</v>
      </c>
      <c r="B922" s="28">
        <v>46293</v>
      </c>
      <c r="C922" s="34"/>
      <c r="D922" s="34" t="s">
        <v>123</v>
      </c>
      <c r="E922" s="34" t="s">
        <v>180</v>
      </c>
      <c r="F922" s="34" t="s">
        <v>181</v>
      </c>
      <c r="G922" s="34" t="s">
        <v>182</v>
      </c>
      <c r="H922" s="34" t="s">
        <v>183</v>
      </c>
      <c r="I922">
        <v>15</v>
      </c>
      <c r="J922">
        <v>0</v>
      </c>
      <c r="K922">
        <v>14</v>
      </c>
      <c r="L922">
        <v>1</v>
      </c>
      <c r="O922" s="28">
        <v>46292</v>
      </c>
      <c r="R922">
        <v>-1</v>
      </c>
      <c r="S922">
        <v>15</v>
      </c>
      <c r="T922">
        <v>1</v>
      </c>
      <c r="U922">
        <v>15</v>
      </c>
      <c r="V922">
        <v>20260928015</v>
      </c>
    </row>
    <row r="923" spans="1:22" x14ac:dyDescent="0.2">
      <c r="A923" s="34" t="s">
        <v>122</v>
      </c>
      <c r="B923" s="28">
        <v>46293</v>
      </c>
      <c r="C923" s="34"/>
      <c r="D923" s="34" t="s">
        <v>123</v>
      </c>
      <c r="E923" s="34" t="s">
        <v>184</v>
      </c>
      <c r="F923" s="34" t="s">
        <v>185</v>
      </c>
      <c r="G923" s="34" t="s">
        <v>186</v>
      </c>
      <c r="H923" s="34" t="s">
        <v>187</v>
      </c>
      <c r="I923">
        <v>10</v>
      </c>
      <c r="J923">
        <v>0</v>
      </c>
      <c r="K923">
        <v>8</v>
      </c>
      <c r="L923">
        <v>2</v>
      </c>
      <c r="O923" s="28">
        <v>46292</v>
      </c>
      <c r="R923">
        <v>-1</v>
      </c>
      <c r="S923">
        <v>16</v>
      </c>
      <c r="T923">
        <v>1</v>
      </c>
      <c r="U923">
        <v>16</v>
      </c>
      <c r="V923">
        <v>20260928016</v>
      </c>
    </row>
    <row r="924" spans="1:22" x14ac:dyDescent="0.2">
      <c r="A924" s="34" t="s">
        <v>122</v>
      </c>
      <c r="B924" s="28">
        <v>46293</v>
      </c>
      <c r="C924" s="34"/>
      <c r="D924" s="34" t="s">
        <v>123</v>
      </c>
      <c r="E924" s="34" t="s">
        <v>344</v>
      </c>
      <c r="F924" s="34" t="s">
        <v>345</v>
      </c>
      <c r="G924" s="34" t="s">
        <v>346</v>
      </c>
      <c r="H924" s="34" t="s">
        <v>346</v>
      </c>
      <c r="I924">
        <v>12</v>
      </c>
      <c r="J924">
        <v>0</v>
      </c>
      <c r="K924">
        <v>12</v>
      </c>
      <c r="L924">
        <v>0</v>
      </c>
      <c r="O924" s="28">
        <v>46292</v>
      </c>
      <c r="R924">
        <v>-1</v>
      </c>
      <c r="S924">
        <v>17</v>
      </c>
      <c r="T924">
        <v>1</v>
      </c>
      <c r="U924">
        <v>17</v>
      </c>
      <c r="V924">
        <v>20260928017</v>
      </c>
    </row>
    <row r="925" spans="1:22" x14ac:dyDescent="0.2">
      <c r="A925" s="34" t="s">
        <v>122</v>
      </c>
      <c r="B925" s="28">
        <v>46293</v>
      </c>
      <c r="C925" s="34"/>
      <c r="D925" s="34" t="s">
        <v>123</v>
      </c>
      <c r="E925" s="34" t="s">
        <v>347</v>
      </c>
      <c r="F925" s="34" t="s">
        <v>348</v>
      </c>
      <c r="G925" s="34" t="s">
        <v>349</v>
      </c>
      <c r="H925" s="34" t="s">
        <v>349</v>
      </c>
      <c r="I925">
        <v>6</v>
      </c>
      <c r="J925">
        <v>0</v>
      </c>
      <c r="K925">
        <v>6</v>
      </c>
      <c r="L925">
        <v>0</v>
      </c>
      <c r="O925" s="28">
        <v>46292</v>
      </c>
      <c r="R925">
        <v>-1</v>
      </c>
      <c r="S925">
        <v>18</v>
      </c>
      <c r="T925">
        <v>1</v>
      </c>
      <c r="U925">
        <v>18</v>
      </c>
      <c r="V925">
        <v>20260928018</v>
      </c>
    </row>
    <row r="926" spans="1:22" x14ac:dyDescent="0.2">
      <c r="A926" s="34" t="s">
        <v>122</v>
      </c>
      <c r="B926" s="28">
        <v>46293</v>
      </c>
      <c r="C926" s="34"/>
      <c r="D926" s="34" t="s">
        <v>123</v>
      </c>
      <c r="E926" s="34" t="s">
        <v>350</v>
      </c>
      <c r="F926" s="34" t="s">
        <v>351</v>
      </c>
      <c r="G926" s="34" t="s">
        <v>352</v>
      </c>
      <c r="H926" s="34" t="s">
        <v>352</v>
      </c>
      <c r="I926">
        <v>7</v>
      </c>
      <c r="J926">
        <v>0</v>
      </c>
      <c r="K926">
        <v>7</v>
      </c>
      <c r="L926">
        <v>0</v>
      </c>
      <c r="O926" s="28">
        <v>46292</v>
      </c>
      <c r="R926">
        <v>-1</v>
      </c>
      <c r="S926">
        <v>19</v>
      </c>
      <c r="T926">
        <v>1</v>
      </c>
      <c r="U926">
        <v>19</v>
      </c>
      <c r="V926">
        <v>20260928019</v>
      </c>
    </row>
    <row r="927" spans="1:22" x14ac:dyDescent="0.2">
      <c r="A927" s="34" t="s">
        <v>122</v>
      </c>
      <c r="B927" s="28">
        <v>46293</v>
      </c>
      <c r="C927" s="34"/>
      <c r="D927" s="34" t="s">
        <v>123</v>
      </c>
      <c r="E927" s="34" t="s">
        <v>353</v>
      </c>
      <c r="F927" s="34" t="s">
        <v>354</v>
      </c>
      <c r="G927" s="34" t="s">
        <v>355</v>
      </c>
      <c r="H927" s="34" t="s">
        <v>356</v>
      </c>
      <c r="I927">
        <v>1</v>
      </c>
      <c r="J927">
        <v>0</v>
      </c>
      <c r="K927">
        <v>1</v>
      </c>
      <c r="L927">
        <v>0</v>
      </c>
      <c r="O927" s="28">
        <v>46292</v>
      </c>
      <c r="R927">
        <v>-1</v>
      </c>
      <c r="S927">
        <v>20</v>
      </c>
      <c r="T927">
        <v>1</v>
      </c>
      <c r="U927">
        <v>20</v>
      </c>
      <c r="V927">
        <v>20260928020</v>
      </c>
    </row>
    <row r="928" spans="1:22" x14ac:dyDescent="0.2">
      <c r="A928" s="34" t="s">
        <v>122</v>
      </c>
      <c r="B928" s="28">
        <v>46293</v>
      </c>
      <c r="C928" s="34"/>
      <c r="D928" s="34" t="s">
        <v>123</v>
      </c>
      <c r="E928" s="34" t="s">
        <v>188</v>
      </c>
      <c r="F928" s="34" t="s">
        <v>189</v>
      </c>
      <c r="G928" s="34" t="s">
        <v>190</v>
      </c>
      <c r="H928" s="34" t="s">
        <v>191</v>
      </c>
      <c r="I928">
        <v>4</v>
      </c>
      <c r="J928">
        <v>0</v>
      </c>
      <c r="K928">
        <v>3</v>
      </c>
      <c r="L928">
        <v>1</v>
      </c>
      <c r="O928" s="28">
        <v>46292</v>
      </c>
      <c r="R928">
        <v>-1</v>
      </c>
      <c r="S928">
        <v>21</v>
      </c>
      <c r="T928">
        <v>1</v>
      </c>
      <c r="U928">
        <v>21</v>
      </c>
      <c r="V928">
        <v>20260928021</v>
      </c>
    </row>
    <row r="929" spans="1:22" x14ac:dyDescent="0.2">
      <c r="A929" s="34" t="s">
        <v>122</v>
      </c>
      <c r="B929" s="28">
        <v>46293</v>
      </c>
      <c r="C929" s="34"/>
      <c r="D929" s="34" t="s">
        <v>123</v>
      </c>
      <c r="E929" s="34" t="s">
        <v>192</v>
      </c>
      <c r="F929" s="34" t="s">
        <v>193</v>
      </c>
      <c r="G929" s="34" t="s">
        <v>194</v>
      </c>
      <c r="H929" s="34" t="s">
        <v>195</v>
      </c>
      <c r="I929">
        <v>4</v>
      </c>
      <c r="J929">
        <v>0</v>
      </c>
      <c r="K929">
        <v>4</v>
      </c>
      <c r="L929">
        <v>0</v>
      </c>
      <c r="O929" s="28">
        <v>46292</v>
      </c>
      <c r="R929">
        <v>-1</v>
      </c>
      <c r="S929">
        <v>22</v>
      </c>
      <c r="T929">
        <v>1</v>
      </c>
      <c r="U929">
        <v>22</v>
      </c>
      <c r="V929">
        <v>20260928022</v>
      </c>
    </row>
    <row r="930" spans="1:22" x14ac:dyDescent="0.2">
      <c r="A930" s="34" t="s">
        <v>122</v>
      </c>
      <c r="B930" s="28">
        <v>46293</v>
      </c>
      <c r="C930" s="34"/>
      <c r="D930" s="34" t="s">
        <v>123</v>
      </c>
      <c r="E930" s="34" t="s">
        <v>196</v>
      </c>
      <c r="F930" s="34" t="s">
        <v>197</v>
      </c>
      <c r="G930" s="34" t="s">
        <v>198</v>
      </c>
      <c r="H930" s="34" t="s">
        <v>199</v>
      </c>
      <c r="I930">
        <v>9</v>
      </c>
      <c r="J930">
        <v>0</v>
      </c>
      <c r="K930">
        <v>10</v>
      </c>
      <c r="L930">
        <v>-1</v>
      </c>
      <c r="O930" s="28">
        <v>46292</v>
      </c>
      <c r="R930">
        <v>-1</v>
      </c>
      <c r="S930">
        <v>23</v>
      </c>
      <c r="T930">
        <v>1</v>
      </c>
      <c r="U930">
        <v>23</v>
      </c>
      <c r="V930">
        <v>20260928023</v>
      </c>
    </row>
    <row r="931" spans="1:22" x14ac:dyDescent="0.2">
      <c r="A931" s="34" t="s">
        <v>122</v>
      </c>
      <c r="B931" s="28">
        <v>46293</v>
      </c>
      <c r="C931" s="34"/>
      <c r="D931" s="34" t="s">
        <v>123</v>
      </c>
      <c r="E931" s="34" t="s">
        <v>200</v>
      </c>
      <c r="F931" s="34" t="s">
        <v>201</v>
      </c>
      <c r="G931" s="34" t="s">
        <v>202</v>
      </c>
      <c r="H931" s="34" t="s">
        <v>203</v>
      </c>
      <c r="I931">
        <v>10</v>
      </c>
      <c r="J931">
        <v>0</v>
      </c>
      <c r="K931">
        <v>17</v>
      </c>
      <c r="L931">
        <v>-7</v>
      </c>
      <c r="O931" s="28">
        <v>46292</v>
      </c>
      <c r="R931">
        <v>-1</v>
      </c>
      <c r="S931">
        <v>24</v>
      </c>
      <c r="T931">
        <v>1</v>
      </c>
      <c r="U931">
        <v>24</v>
      </c>
      <c r="V931">
        <v>20260928024</v>
      </c>
    </row>
    <row r="932" spans="1:22" x14ac:dyDescent="0.2">
      <c r="A932" s="34" t="s">
        <v>122</v>
      </c>
      <c r="B932" s="28">
        <v>46293</v>
      </c>
      <c r="C932" s="34"/>
      <c r="D932" s="34" t="s">
        <v>123</v>
      </c>
      <c r="E932" s="34" t="s">
        <v>204</v>
      </c>
      <c r="F932" s="34" t="s">
        <v>205</v>
      </c>
      <c r="G932" s="34" t="s">
        <v>206</v>
      </c>
      <c r="H932" s="34" t="s">
        <v>207</v>
      </c>
      <c r="I932">
        <v>3</v>
      </c>
      <c r="J932">
        <v>0</v>
      </c>
      <c r="K932">
        <v>11</v>
      </c>
      <c r="L932">
        <v>-8</v>
      </c>
      <c r="O932" s="28">
        <v>46292</v>
      </c>
      <c r="R932">
        <v>-1</v>
      </c>
      <c r="S932">
        <v>25</v>
      </c>
      <c r="T932">
        <v>1</v>
      </c>
      <c r="U932">
        <v>25</v>
      </c>
      <c r="V932">
        <v>20260928025</v>
      </c>
    </row>
    <row r="933" spans="1:22" x14ac:dyDescent="0.2">
      <c r="A933" s="34" t="s">
        <v>122</v>
      </c>
      <c r="B933" s="28">
        <v>46293</v>
      </c>
      <c r="C933" s="34"/>
      <c r="D933" s="34" t="s">
        <v>123</v>
      </c>
      <c r="E933" s="34" t="s">
        <v>208</v>
      </c>
      <c r="F933" s="34" t="s">
        <v>209</v>
      </c>
      <c r="G933" s="34" t="s">
        <v>210</v>
      </c>
      <c r="H933" s="34" t="s">
        <v>211</v>
      </c>
      <c r="I933">
        <v>3</v>
      </c>
      <c r="J933">
        <v>0</v>
      </c>
      <c r="K933">
        <v>9</v>
      </c>
      <c r="L933">
        <v>-6</v>
      </c>
      <c r="O933" s="28">
        <v>46292</v>
      </c>
      <c r="R933">
        <v>-1</v>
      </c>
      <c r="S933">
        <v>26</v>
      </c>
      <c r="T933">
        <v>1</v>
      </c>
      <c r="U933">
        <v>26</v>
      </c>
      <c r="V933">
        <v>20260928026</v>
      </c>
    </row>
    <row r="934" spans="1:22" x14ac:dyDescent="0.2">
      <c r="A934" s="34" t="s">
        <v>122</v>
      </c>
      <c r="B934" s="28">
        <v>46293</v>
      </c>
      <c r="C934" s="34"/>
      <c r="D934" s="34" t="s">
        <v>123</v>
      </c>
      <c r="E934" s="34" t="s">
        <v>212</v>
      </c>
      <c r="F934" s="34" t="s">
        <v>213</v>
      </c>
      <c r="G934" s="34" t="s">
        <v>214</v>
      </c>
      <c r="H934" s="34" t="s">
        <v>215</v>
      </c>
      <c r="I934">
        <v>14</v>
      </c>
      <c r="J934">
        <v>20</v>
      </c>
      <c r="K934">
        <v>17</v>
      </c>
      <c r="L934">
        <v>17</v>
      </c>
      <c r="O934" s="28">
        <v>46292</v>
      </c>
      <c r="R934">
        <v>-1</v>
      </c>
      <c r="S934">
        <v>27</v>
      </c>
      <c r="T934">
        <v>1</v>
      </c>
      <c r="U934">
        <v>27</v>
      </c>
      <c r="V934">
        <v>20260928027</v>
      </c>
    </row>
    <row r="935" spans="1:22" x14ac:dyDescent="0.2">
      <c r="A935" s="34" t="s">
        <v>122</v>
      </c>
      <c r="B935" s="28">
        <v>46293</v>
      </c>
      <c r="C935" s="34"/>
      <c r="D935" s="34" t="s">
        <v>123</v>
      </c>
      <c r="E935" s="34" t="s">
        <v>216</v>
      </c>
      <c r="F935" s="34" t="s">
        <v>217</v>
      </c>
      <c r="G935" s="34" t="s">
        <v>218</v>
      </c>
      <c r="H935" s="34" t="s">
        <v>219</v>
      </c>
      <c r="I935">
        <v>6</v>
      </c>
      <c r="J935">
        <v>0</v>
      </c>
      <c r="K935">
        <v>3</v>
      </c>
      <c r="L935">
        <v>3</v>
      </c>
      <c r="O935" s="28">
        <v>46292</v>
      </c>
      <c r="R935">
        <v>-1</v>
      </c>
      <c r="S935">
        <v>28</v>
      </c>
      <c r="T935">
        <v>1</v>
      </c>
      <c r="U935">
        <v>28</v>
      </c>
      <c r="V935">
        <v>20260928028</v>
      </c>
    </row>
    <row r="936" spans="1:22" x14ac:dyDescent="0.2">
      <c r="A936" s="34" t="s">
        <v>122</v>
      </c>
      <c r="B936" s="28">
        <v>46293</v>
      </c>
      <c r="C936" s="34"/>
      <c r="D936" s="34" t="s">
        <v>123</v>
      </c>
      <c r="E936" s="34" t="s">
        <v>220</v>
      </c>
      <c r="F936" s="34" t="s">
        <v>221</v>
      </c>
      <c r="G936" s="34" t="s">
        <v>222</v>
      </c>
      <c r="H936" s="34" t="s">
        <v>223</v>
      </c>
      <c r="I936">
        <v>7</v>
      </c>
      <c r="J936">
        <v>0</v>
      </c>
      <c r="K936">
        <v>7</v>
      </c>
      <c r="L936">
        <v>0</v>
      </c>
      <c r="O936" s="28">
        <v>46292</v>
      </c>
      <c r="R936">
        <v>-1</v>
      </c>
      <c r="S936">
        <v>29</v>
      </c>
      <c r="T936">
        <v>1</v>
      </c>
      <c r="U936">
        <v>29</v>
      </c>
      <c r="V936">
        <v>20260928029</v>
      </c>
    </row>
    <row r="937" spans="1:22" x14ac:dyDescent="0.2">
      <c r="A937" s="34" t="s">
        <v>122</v>
      </c>
      <c r="B937" s="28">
        <v>46293</v>
      </c>
      <c r="C937" s="34"/>
      <c r="D937" s="34" t="s">
        <v>123</v>
      </c>
      <c r="E937" s="34" t="s">
        <v>224</v>
      </c>
      <c r="F937" s="34" t="s">
        <v>225</v>
      </c>
      <c r="G937" s="34" t="s">
        <v>226</v>
      </c>
      <c r="H937" s="34" t="s">
        <v>227</v>
      </c>
      <c r="I937">
        <v>10</v>
      </c>
      <c r="J937">
        <v>0</v>
      </c>
      <c r="K937">
        <v>10</v>
      </c>
      <c r="L937">
        <v>0</v>
      </c>
      <c r="O937" s="28">
        <v>46292</v>
      </c>
      <c r="R937">
        <v>-1</v>
      </c>
      <c r="S937">
        <v>30</v>
      </c>
      <c r="T937">
        <v>1</v>
      </c>
      <c r="U937">
        <v>30</v>
      </c>
      <c r="V937">
        <v>20260928030</v>
      </c>
    </row>
    <row r="938" spans="1:22" x14ac:dyDescent="0.2">
      <c r="A938" s="34" t="s">
        <v>122</v>
      </c>
      <c r="B938" s="28">
        <v>46293</v>
      </c>
      <c r="C938" s="34"/>
      <c r="D938" s="34" t="s">
        <v>123</v>
      </c>
      <c r="E938" s="34" t="s">
        <v>228</v>
      </c>
      <c r="F938" s="34" t="s">
        <v>229</v>
      </c>
      <c r="G938" s="34" t="s">
        <v>230</v>
      </c>
      <c r="H938" s="34" t="s">
        <v>231</v>
      </c>
      <c r="I938">
        <v>13</v>
      </c>
      <c r="J938">
        <v>0</v>
      </c>
      <c r="K938">
        <v>0</v>
      </c>
      <c r="L938">
        <v>13</v>
      </c>
      <c r="O938" s="28">
        <v>46292</v>
      </c>
      <c r="R938">
        <v>-1</v>
      </c>
      <c r="S938">
        <v>31</v>
      </c>
      <c r="T938">
        <v>1</v>
      </c>
      <c r="U938">
        <v>31</v>
      </c>
      <c r="V938">
        <v>20260928031</v>
      </c>
    </row>
    <row r="939" spans="1:22" x14ac:dyDescent="0.2">
      <c r="A939" s="34" t="s">
        <v>122</v>
      </c>
      <c r="B939" s="28">
        <v>46293</v>
      </c>
      <c r="C939" s="34"/>
      <c r="D939" s="34" t="s">
        <v>123</v>
      </c>
      <c r="E939" s="34" t="s">
        <v>232</v>
      </c>
      <c r="F939" s="34" t="s">
        <v>233</v>
      </c>
      <c r="G939" s="34" t="s">
        <v>234</v>
      </c>
      <c r="H939" s="34" t="s">
        <v>235</v>
      </c>
      <c r="I939">
        <v>18</v>
      </c>
      <c r="J939">
        <v>0</v>
      </c>
      <c r="K939">
        <v>17</v>
      </c>
      <c r="L939">
        <v>1</v>
      </c>
      <c r="O939" s="28">
        <v>46292</v>
      </c>
      <c r="R939">
        <v>-1</v>
      </c>
      <c r="S939">
        <v>32</v>
      </c>
      <c r="T939">
        <v>1</v>
      </c>
      <c r="U939">
        <v>32</v>
      </c>
      <c r="V939">
        <v>20260928032</v>
      </c>
    </row>
    <row r="940" spans="1:22" x14ac:dyDescent="0.2">
      <c r="A940" s="34" t="s">
        <v>122</v>
      </c>
      <c r="B940" s="28">
        <v>46293</v>
      </c>
      <c r="C940" s="34"/>
      <c r="D940" s="34" t="s">
        <v>123</v>
      </c>
      <c r="E940" s="34" t="s">
        <v>236</v>
      </c>
      <c r="F940" s="34" t="s">
        <v>237</v>
      </c>
      <c r="G940" s="34" t="s">
        <v>238</v>
      </c>
      <c r="H940" s="34" t="s">
        <v>239</v>
      </c>
      <c r="I940">
        <v>9</v>
      </c>
      <c r="J940">
        <v>0</v>
      </c>
      <c r="K940">
        <v>9</v>
      </c>
      <c r="L940">
        <v>0</v>
      </c>
      <c r="O940" s="28">
        <v>46292</v>
      </c>
      <c r="R940">
        <v>-1</v>
      </c>
      <c r="S940">
        <v>33</v>
      </c>
      <c r="T940">
        <v>1</v>
      </c>
      <c r="U940">
        <v>33</v>
      </c>
      <c r="V940">
        <v>20260928033</v>
      </c>
    </row>
    <row r="941" spans="1:22" x14ac:dyDescent="0.2">
      <c r="A941" s="34" t="s">
        <v>122</v>
      </c>
      <c r="B941" s="28">
        <v>46293</v>
      </c>
      <c r="C941" s="34"/>
      <c r="D941" s="34" t="s">
        <v>123</v>
      </c>
      <c r="E941" s="34" t="s">
        <v>240</v>
      </c>
      <c r="F941" s="34" t="s">
        <v>241</v>
      </c>
      <c r="G941" s="34" t="s">
        <v>242</v>
      </c>
      <c r="H941" s="34" t="s">
        <v>243</v>
      </c>
      <c r="I941">
        <v>10</v>
      </c>
      <c r="J941">
        <v>0</v>
      </c>
      <c r="K941">
        <v>9</v>
      </c>
      <c r="L941">
        <v>1</v>
      </c>
      <c r="O941" s="28">
        <v>46292</v>
      </c>
      <c r="R941">
        <v>-1</v>
      </c>
      <c r="S941">
        <v>34</v>
      </c>
      <c r="T941">
        <v>1</v>
      </c>
      <c r="U941">
        <v>34</v>
      </c>
      <c r="V941">
        <v>20260928034</v>
      </c>
    </row>
    <row r="942" spans="1:22" x14ac:dyDescent="0.2">
      <c r="A942" s="34" t="s">
        <v>122</v>
      </c>
      <c r="B942" s="28">
        <v>46293</v>
      </c>
      <c r="C942" s="34"/>
      <c r="D942" s="34" t="s">
        <v>123</v>
      </c>
      <c r="E942" s="34" t="s">
        <v>244</v>
      </c>
      <c r="F942" s="34" t="s">
        <v>245</v>
      </c>
      <c r="G942" s="34" t="s">
        <v>246</v>
      </c>
      <c r="H942" s="34" t="s">
        <v>247</v>
      </c>
      <c r="I942">
        <v>4</v>
      </c>
      <c r="J942">
        <v>0</v>
      </c>
      <c r="K942">
        <v>4</v>
      </c>
      <c r="L942">
        <v>0</v>
      </c>
      <c r="O942" s="28">
        <v>46292</v>
      </c>
      <c r="R942">
        <v>-1</v>
      </c>
      <c r="S942">
        <v>35</v>
      </c>
      <c r="T942">
        <v>1</v>
      </c>
      <c r="U942">
        <v>35</v>
      </c>
      <c r="V942">
        <v>20260928035</v>
      </c>
    </row>
    <row r="943" spans="1:22" x14ac:dyDescent="0.2">
      <c r="A943" s="34" t="s">
        <v>122</v>
      </c>
      <c r="B943" s="28">
        <v>46293</v>
      </c>
      <c r="C943" s="34"/>
      <c r="D943" s="34" t="s">
        <v>123</v>
      </c>
      <c r="E943" s="34" t="s">
        <v>248</v>
      </c>
      <c r="F943" s="34" t="s">
        <v>249</v>
      </c>
      <c r="G943" s="34" t="s">
        <v>250</v>
      </c>
      <c r="H943" s="34" t="s">
        <v>251</v>
      </c>
      <c r="I943">
        <v>5</v>
      </c>
      <c r="J943">
        <v>0</v>
      </c>
      <c r="K943">
        <v>5</v>
      </c>
      <c r="L943">
        <v>0</v>
      </c>
      <c r="O943" s="28">
        <v>46292</v>
      </c>
      <c r="R943">
        <v>-1</v>
      </c>
      <c r="S943">
        <v>36</v>
      </c>
      <c r="T943">
        <v>1</v>
      </c>
      <c r="U943">
        <v>36</v>
      </c>
      <c r="V943">
        <v>20260928036</v>
      </c>
    </row>
    <row r="944" spans="1:22" x14ac:dyDescent="0.2">
      <c r="A944" s="34" t="s">
        <v>122</v>
      </c>
      <c r="B944" s="28">
        <v>46293</v>
      </c>
      <c r="C944" s="34"/>
      <c r="D944" s="34" t="s">
        <v>123</v>
      </c>
      <c r="E944" s="34" t="s">
        <v>252</v>
      </c>
      <c r="F944" s="34" t="s">
        <v>253</v>
      </c>
      <c r="G944" s="34" t="s">
        <v>254</v>
      </c>
      <c r="H944" s="34" t="s">
        <v>255</v>
      </c>
      <c r="I944">
        <v>15</v>
      </c>
      <c r="J944">
        <v>0</v>
      </c>
      <c r="K944">
        <v>19</v>
      </c>
      <c r="L944">
        <v>-4</v>
      </c>
      <c r="O944" s="28">
        <v>46292</v>
      </c>
      <c r="R944">
        <v>-1</v>
      </c>
      <c r="S944">
        <v>37</v>
      </c>
      <c r="T944">
        <v>1</v>
      </c>
      <c r="U944">
        <v>37</v>
      </c>
      <c r="V944">
        <v>20260928037</v>
      </c>
    </row>
    <row r="945" spans="1:22" x14ac:dyDescent="0.2">
      <c r="A945" s="34" t="s">
        <v>122</v>
      </c>
      <c r="B945" s="28">
        <v>46293</v>
      </c>
      <c r="C945" s="34"/>
      <c r="D945" s="34" t="s">
        <v>123</v>
      </c>
      <c r="E945" s="34" t="s">
        <v>256</v>
      </c>
      <c r="F945" s="34" t="s">
        <v>257</v>
      </c>
      <c r="G945" s="34" t="s">
        <v>258</v>
      </c>
      <c r="H945" s="34" t="s">
        <v>259</v>
      </c>
      <c r="I945">
        <v>2</v>
      </c>
      <c r="J945">
        <v>0</v>
      </c>
      <c r="K945">
        <v>2</v>
      </c>
      <c r="L945">
        <v>0</v>
      </c>
      <c r="O945" s="28">
        <v>46292</v>
      </c>
      <c r="R945">
        <v>-1</v>
      </c>
      <c r="S945">
        <v>38</v>
      </c>
      <c r="T945">
        <v>1</v>
      </c>
      <c r="U945">
        <v>38</v>
      </c>
      <c r="V945">
        <v>20260928038</v>
      </c>
    </row>
    <row r="946" spans="1:22" x14ac:dyDescent="0.2">
      <c r="A946" s="34" t="s">
        <v>122</v>
      </c>
      <c r="B946" s="28">
        <v>46293</v>
      </c>
      <c r="C946" s="34"/>
      <c r="D946" s="34" t="s">
        <v>123</v>
      </c>
      <c r="E946" s="34" t="s">
        <v>260</v>
      </c>
      <c r="F946" s="34" t="s">
        <v>261</v>
      </c>
      <c r="G946" s="34" t="s">
        <v>262</v>
      </c>
      <c r="H946" s="34" t="s">
        <v>263</v>
      </c>
      <c r="I946">
        <v>2</v>
      </c>
      <c r="J946">
        <v>0</v>
      </c>
      <c r="K946">
        <v>1</v>
      </c>
      <c r="L946">
        <v>1</v>
      </c>
      <c r="O946" s="28">
        <v>46292</v>
      </c>
      <c r="R946">
        <v>-1</v>
      </c>
      <c r="S946">
        <v>39</v>
      </c>
      <c r="T946">
        <v>1</v>
      </c>
      <c r="U946">
        <v>39</v>
      </c>
      <c r="V946">
        <v>20260928039</v>
      </c>
    </row>
    <row r="947" spans="1:22" x14ac:dyDescent="0.2">
      <c r="A947" s="34" t="s">
        <v>122</v>
      </c>
      <c r="B947" s="28">
        <v>46293</v>
      </c>
      <c r="C947" s="34"/>
      <c r="D947" s="34" t="s">
        <v>123</v>
      </c>
      <c r="E947" s="34" t="s">
        <v>264</v>
      </c>
      <c r="F947" s="34" t="s">
        <v>265</v>
      </c>
      <c r="G947" s="34" t="s">
        <v>266</v>
      </c>
      <c r="H947" s="34" t="s">
        <v>267</v>
      </c>
      <c r="I947">
        <v>6</v>
      </c>
      <c r="J947">
        <v>0</v>
      </c>
      <c r="K947">
        <v>0</v>
      </c>
      <c r="L947">
        <v>6</v>
      </c>
      <c r="O947" s="28">
        <v>46292</v>
      </c>
      <c r="R947">
        <v>-1</v>
      </c>
      <c r="S947">
        <v>40</v>
      </c>
      <c r="T947">
        <v>1</v>
      </c>
      <c r="U947">
        <v>40</v>
      </c>
      <c r="V947">
        <v>20260928040</v>
      </c>
    </row>
    <row r="948" spans="1:22" x14ac:dyDescent="0.2">
      <c r="A948" s="34" t="s">
        <v>122</v>
      </c>
      <c r="B948" s="28">
        <v>46293</v>
      </c>
      <c r="C948" s="34"/>
      <c r="D948" s="34" t="s">
        <v>123</v>
      </c>
      <c r="E948" s="34" t="s">
        <v>268</v>
      </c>
      <c r="F948" s="34" t="s">
        <v>269</v>
      </c>
      <c r="G948" s="34" t="s">
        <v>270</v>
      </c>
      <c r="H948" s="34" t="s">
        <v>271</v>
      </c>
      <c r="I948">
        <v>4</v>
      </c>
      <c r="J948">
        <v>0</v>
      </c>
      <c r="K948">
        <v>4</v>
      </c>
      <c r="L948">
        <v>0</v>
      </c>
      <c r="O948" s="28">
        <v>46292</v>
      </c>
      <c r="R948">
        <v>-1</v>
      </c>
      <c r="S948">
        <v>41</v>
      </c>
      <c r="T948">
        <v>1</v>
      </c>
      <c r="U948">
        <v>41</v>
      </c>
      <c r="V948">
        <v>20260928041</v>
      </c>
    </row>
    <row r="949" spans="1:22" x14ac:dyDescent="0.2">
      <c r="A949" s="34" t="s">
        <v>122</v>
      </c>
      <c r="B949" s="28">
        <v>46293</v>
      </c>
      <c r="C949" s="34"/>
      <c r="D949" s="34" t="s">
        <v>123</v>
      </c>
      <c r="E949" s="34" t="s">
        <v>272</v>
      </c>
      <c r="F949" s="34" t="s">
        <v>341</v>
      </c>
      <c r="G949" s="34" t="s">
        <v>273</v>
      </c>
      <c r="H949" s="34" t="s">
        <v>274</v>
      </c>
      <c r="I949">
        <v>17</v>
      </c>
      <c r="J949">
        <v>0</v>
      </c>
      <c r="K949">
        <v>13</v>
      </c>
      <c r="L949">
        <v>4</v>
      </c>
      <c r="O949" s="28">
        <v>46292</v>
      </c>
      <c r="R949">
        <v>-1</v>
      </c>
      <c r="S949">
        <v>42</v>
      </c>
      <c r="T949">
        <v>1</v>
      </c>
      <c r="U949">
        <v>42</v>
      </c>
      <c r="V949">
        <v>20260928042</v>
      </c>
    </row>
    <row r="950" spans="1:22" x14ac:dyDescent="0.2">
      <c r="A950" s="34" t="s">
        <v>122</v>
      </c>
      <c r="B950" s="28">
        <v>46293</v>
      </c>
      <c r="C950" s="34"/>
      <c r="D950" s="34" t="s">
        <v>123</v>
      </c>
      <c r="E950" s="34" t="s">
        <v>275</v>
      </c>
      <c r="F950" s="34" t="s">
        <v>276</v>
      </c>
      <c r="G950" s="34" t="s">
        <v>277</v>
      </c>
      <c r="H950" s="34" t="s">
        <v>278</v>
      </c>
      <c r="I950">
        <v>0</v>
      </c>
      <c r="J950">
        <v>0</v>
      </c>
      <c r="K950">
        <v>4</v>
      </c>
      <c r="L950">
        <v>-4</v>
      </c>
      <c r="O950" s="28">
        <v>46292</v>
      </c>
      <c r="R950">
        <v>-1</v>
      </c>
      <c r="S950">
        <v>43</v>
      </c>
      <c r="T950">
        <v>1</v>
      </c>
      <c r="U950">
        <v>43</v>
      </c>
      <c r="V950">
        <v>20260928043</v>
      </c>
    </row>
    <row r="951" spans="1:22" x14ac:dyDescent="0.2">
      <c r="A951" s="34" t="s">
        <v>122</v>
      </c>
      <c r="B951" s="28">
        <v>46293</v>
      </c>
      <c r="C951" s="34"/>
      <c r="D951" s="34" t="s">
        <v>123</v>
      </c>
      <c r="E951" s="34" t="s">
        <v>279</v>
      </c>
      <c r="F951" s="34" t="s">
        <v>280</v>
      </c>
      <c r="G951" s="34" t="s">
        <v>281</v>
      </c>
      <c r="H951" s="34" t="s">
        <v>282</v>
      </c>
      <c r="I951">
        <v>5</v>
      </c>
      <c r="J951">
        <v>0</v>
      </c>
      <c r="K951">
        <v>4</v>
      </c>
      <c r="L951">
        <v>1</v>
      </c>
      <c r="O951" s="28">
        <v>46292</v>
      </c>
      <c r="R951">
        <v>-1</v>
      </c>
      <c r="S951">
        <v>44</v>
      </c>
      <c r="T951">
        <v>1</v>
      </c>
      <c r="U951">
        <v>44</v>
      </c>
      <c r="V951">
        <v>20260928044</v>
      </c>
    </row>
    <row r="952" spans="1:22" x14ac:dyDescent="0.2">
      <c r="A952" s="34" t="s">
        <v>122</v>
      </c>
      <c r="B952" s="28">
        <v>46293</v>
      </c>
      <c r="C952" s="34"/>
      <c r="D952" s="34" t="s">
        <v>123</v>
      </c>
      <c r="E952" s="34" t="s">
        <v>283</v>
      </c>
      <c r="F952" s="34" t="s">
        <v>284</v>
      </c>
      <c r="G952" s="34" t="s">
        <v>285</v>
      </c>
      <c r="H952" s="34" t="s">
        <v>286</v>
      </c>
      <c r="I952">
        <v>18</v>
      </c>
      <c r="J952">
        <v>0</v>
      </c>
      <c r="K952">
        <v>17</v>
      </c>
      <c r="L952">
        <v>1</v>
      </c>
      <c r="O952" s="28">
        <v>46292</v>
      </c>
      <c r="R952">
        <v>-1</v>
      </c>
      <c r="S952">
        <v>45</v>
      </c>
      <c r="T952">
        <v>1</v>
      </c>
      <c r="U952">
        <v>45</v>
      </c>
      <c r="V952">
        <v>20260928045</v>
      </c>
    </row>
    <row r="953" spans="1:22" x14ac:dyDescent="0.2">
      <c r="A953" s="34" t="s">
        <v>122</v>
      </c>
      <c r="B953" s="28">
        <v>46293</v>
      </c>
      <c r="C953" s="34"/>
      <c r="D953" s="34" t="s">
        <v>123</v>
      </c>
      <c r="E953" s="34" t="s">
        <v>287</v>
      </c>
      <c r="F953" s="34" t="s">
        <v>288</v>
      </c>
      <c r="G953" s="34" t="s">
        <v>289</v>
      </c>
      <c r="H953" s="34" t="s">
        <v>290</v>
      </c>
      <c r="I953">
        <v>9</v>
      </c>
      <c r="J953">
        <v>0</v>
      </c>
      <c r="K953">
        <v>13</v>
      </c>
      <c r="L953">
        <v>-4</v>
      </c>
      <c r="O953" s="28">
        <v>46292</v>
      </c>
      <c r="R953">
        <v>-1</v>
      </c>
      <c r="S953">
        <v>46</v>
      </c>
      <c r="T953">
        <v>1</v>
      </c>
      <c r="U953">
        <v>46</v>
      </c>
      <c r="V953">
        <v>20260928046</v>
      </c>
    </row>
    <row r="954" spans="1:22" x14ac:dyDescent="0.2">
      <c r="A954" s="34" t="s">
        <v>122</v>
      </c>
      <c r="B954" s="28">
        <v>46293</v>
      </c>
      <c r="C954" s="34"/>
      <c r="D954" s="34" t="s">
        <v>123</v>
      </c>
      <c r="E954" s="34" t="s">
        <v>291</v>
      </c>
      <c r="F954" s="34" t="s">
        <v>342</v>
      </c>
      <c r="G954" s="34" t="s">
        <v>292</v>
      </c>
      <c r="H954" s="34" t="s">
        <v>293</v>
      </c>
      <c r="I954">
        <v>19</v>
      </c>
      <c r="J954">
        <v>0</v>
      </c>
      <c r="K954">
        <v>19</v>
      </c>
      <c r="L954">
        <v>0</v>
      </c>
      <c r="O954" s="28">
        <v>46292</v>
      </c>
      <c r="R954">
        <v>-1</v>
      </c>
      <c r="S954">
        <v>47</v>
      </c>
      <c r="T954">
        <v>1</v>
      </c>
      <c r="U954">
        <v>47</v>
      </c>
      <c r="V954">
        <v>20260928047</v>
      </c>
    </row>
    <row r="955" spans="1:22" x14ac:dyDescent="0.2">
      <c r="A955" s="34" t="s">
        <v>122</v>
      </c>
      <c r="B955" s="28">
        <v>46293</v>
      </c>
      <c r="C955" s="34"/>
      <c r="D955" s="34" t="s">
        <v>123</v>
      </c>
      <c r="E955" s="34" t="s">
        <v>294</v>
      </c>
      <c r="F955" s="34" t="s">
        <v>295</v>
      </c>
      <c r="G955" s="34" t="s">
        <v>296</v>
      </c>
      <c r="H955" s="34" t="s">
        <v>297</v>
      </c>
      <c r="I955">
        <v>13</v>
      </c>
      <c r="J955">
        <v>0</v>
      </c>
      <c r="K955">
        <v>19</v>
      </c>
      <c r="L955">
        <v>-6</v>
      </c>
      <c r="O955" s="28">
        <v>46292</v>
      </c>
      <c r="R955">
        <v>-1</v>
      </c>
      <c r="S955">
        <v>48</v>
      </c>
      <c r="T955">
        <v>1</v>
      </c>
      <c r="U955">
        <v>48</v>
      </c>
      <c r="V955">
        <v>20260928048</v>
      </c>
    </row>
    <row r="956" spans="1:22" x14ac:dyDescent="0.2">
      <c r="A956" s="34" t="s">
        <v>122</v>
      </c>
      <c r="B956" s="28">
        <v>46293</v>
      </c>
      <c r="C956" s="34"/>
      <c r="D956" s="34" t="s">
        <v>123</v>
      </c>
      <c r="E956" s="34" t="s">
        <v>298</v>
      </c>
      <c r="F956" s="34" t="s">
        <v>299</v>
      </c>
      <c r="G956" s="34" t="s">
        <v>300</v>
      </c>
      <c r="H956" s="34" t="s">
        <v>301</v>
      </c>
      <c r="I956">
        <v>6</v>
      </c>
      <c r="J956">
        <v>0</v>
      </c>
      <c r="K956">
        <v>14</v>
      </c>
      <c r="L956">
        <v>-8</v>
      </c>
      <c r="O956" s="28">
        <v>46292</v>
      </c>
      <c r="R956">
        <v>-1</v>
      </c>
      <c r="S956">
        <v>49</v>
      </c>
      <c r="T956">
        <v>1</v>
      </c>
      <c r="U956">
        <v>49</v>
      </c>
      <c r="V956">
        <v>20260928049</v>
      </c>
    </row>
    <row r="957" spans="1:22" x14ac:dyDescent="0.2">
      <c r="A957" s="34" t="s">
        <v>122</v>
      </c>
      <c r="B957" s="28">
        <v>46293</v>
      </c>
      <c r="C957" s="34"/>
      <c r="D957" s="34" t="s">
        <v>123</v>
      </c>
      <c r="E957" s="34" t="s">
        <v>302</v>
      </c>
      <c r="F957" s="34" t="s">
        <v>303</v>
      </c>
      <c r="G957" s="34" t="s">
        <v>304</v>
      </c>
      <c r="H957" s="34" t="s">
        <v>305</v>
      </c>
      <c r="I957">
        <v>5</v>
      </c>
      <c r="J957">
        <v>0</v>
      </c>
      <c r="K957">
        <v>6</v>
      </c>
      <c r="L957">
        <v>-1</v>
      </c>
      <c r="O957" s="28">
        <v>46292</v>
      </c>
      <c r="R957">
        <v>-1</v>
      </c>
      <c r="S957">
        <v>50</v>
      </c>
      <c r="T957">
        <v>1</v>
      </c>
      <c r="U957">
        <v>50</v>
      </c>
      <c r="V957">
        <v>20260928050</v>
      </c>
    </row>
    <row r="958" spans="1:22" x14ac:dyDescent="0.2">
      <c r="A958" s="34" t="s">
        <v>122</v>
      </c>
      <c r="B958" s="28">
        <v>46293</v>
      </c>
      <c r="C958" s="34"/>
      <c r="D958" s="34" t="s">
        <v>123</v>
      </c>
      <c r="E958" s="34" t="s">
        <v>306</v>
      </c>
      <c r="F958" s="34" t="s">
        <v>307</v>
      </c>
      <c r="G958" s="34" t="s">
        <v>308</v>
      </c>
      <c r="H958" s="34" t="s">
        <v>309</v>
      </c>
      <c r="I958">
        <v>6</v>
      </c>
      <c r="J958">
        <v>0</v>
      </c>
      <c r="K958">
        <v>4</v>
      </c>
      <c r="L958">
        <v>2</v>
      </c>
      <c r="O958" s="28">
        <v>46292</v>
      </c>
      <c r="R958">
        <v>-1</v>
      </c>
      <c r="S958">
        <v>51</v>
      </c>
      <c r="T958">
        <v>1</v>
      </c>
      <c r="U958">
        <v>51</v>
      </c>
      <c r="V958">
        <v>20260928051</v>
      </c>
    </row>
    <row r="959" spans="1:22" x14ac:dyDescent="0.2">
      <c r="A959" s="34" t="s">
        <v>122</v>
      </c>
      <c r="B959" s="28">
        <v>46293</v>
      </c>
      <c r="C959" s="34"/>
      <c r="D959" s="34" t="s">
        <v>123</v>
      </c>
      <c r="E959" s="34" t="s">
        <v>310</v>
      </c>
      <c r="F959" s="34" t="s">
        <v>311</v>
      </c>
      <c r="G959" s="34" t="s">
        <v>312</v>
      </c>
      <c r="H959" s="34" t="s">
        <v>313</v>
      </c>
      <c r="I959">
        <v>9</v>
      </c>
      <c r="J959">
        <v>0</v>
      </c>
      <c r="K959">
        <v>5</v>
      </c>
      <c r="L959">
        <v>4</v>
      </c>
      <c r="O959" s="28">
        <v>46292</v>
      </c>
      <c r="R959">
        <v>-1</v>
      </c>
      <c r="S959">
        <v>52</v>
      </c>
      <c r="T959">
        <v>1</v>
      </c>
      <c r="U959">
        <v>52</v>
      </c>
      <c r="V959">
        <v>20260928052</v>
      </c>
    </row>
    <row r="960" spans="1:22" x14ac:dyDescent="0.2">
      <c r="A960" s="34" t="s">
        <v>122</v>
      </c>
      <c r="B960" s="28">
        <v>46293</v>
      </c>
      <c r="C960" s="34"/>
      <c r="D960" s="34" t="s">
        <v>123</v>
      </c>
      <c r="E960" s="34" t="s">
        <v>314</v>
      </c>
      <c r="F960" s="34" t="s">
        <v>315</v>
      </c>
      <c r="G960" s="34" t="s">
        <v>316</v>
      </c>
      <c r="H960" s="34" t="s">
        <v>317</v>
      </c>
      <c r="I960">
        <v>15</v>
      </c>
      <c r="J960">
        <v>0</v>
      </c>
      <c r="K960">
        <v>10</v>
      </c>
      <c r="L960">
        <v>5</v>
      </c>
      <c r="O960" s="28">
        <v>46292</v>
      </c>
      <c r="R960">
        <v>-1</v>
      </c>
      <c r="S960">
        <v>53</v>
      </c>
      <c r="T960">
        <v>1</v>
      </c>
      <c r="U960">
        <v>53</v>
      </c>
      <c r="V960">
        <v>20260928053</v>
      </c>
    </row>
    <row r="961" spans="1:22" x14ac:dyDescent="0.2">
      <c r="A961" s="34" t="s">
        <v>122</v>
      </c>
      <c r="B961" s="28">
        <v>46293</v>
      </c>
      <c r="C961" s="34"/>
      <c r="D961" s="34" t="s">
        <v>123</v>
      </c>
      <c r="E961" s="34" t="s">
        <v>318</v>
      </c>
      <c r="F961" s="34" t="s">
        <v>319</v>
      </c>
      <c r="G961" s="34" t="s">
        <v>320</v>
      </c>
      <c r="H961" s="34" t="s">
        <v>321</v>
      </c>
      <c r="I961">
        <v>7</v>
      </c>
      <c r="J961">
        <v>0</v>
      </c>
      <c r="K961">
        <v>7</v>
      </c>
      <c r="L961">
        <v>0</v>
      </c>
      <c r="O961" s="28">
        <v>46292</v>
      </c>
      <c r="R961">
        <v>-1</v>
      </c>
      <c r="S961">
        <v>54</v>
      </c>
      <c r="T961">
        <v>1</v>
      </c>
      <c r="U961">
        <v>54</v>
      </c>
      <c r="V961">
        <v>20260928054</v>
      </c>
    </row>
    <row r="962" spans="1:22" x14ac:dyDescent="0.2">
      <c r="A962" s="34" t="s">
        <v>122</v>
      </c>
      <c r="B962" s="28">
        <v>46293</v>
      </c>
      <c r="C962" s="34"/>
      <c r="D962" s="34" t="s">
        <v>123</v>
      </c>
      <c r="E962" s="34" t="s">
        <v>322</v>
      </c>
      <c r="F962" s="34" t="s">
        <v>323</v>
      </c>
      <c r="G962" s="34" t="s">
        <v>324</v>
      </c>
      <c r="H962" s="34" t="s">
        <v>325</v>
      </c>
      <c r="I962">
        <v>2</v>
      </c>
      <c r="J962">
        <v>0</v>
      </c>
      <c r="K962">
        <v>2</v>
      </c>
      <c r="L962">
        <v>0</v>
      </c>
      <c r="O962" s="28">
        <v>46292</v>
      </c>
      <c r="R962">
        <v>-1</v>
      </c>
      <c r="S962">
        <v>55</v>
      </c>
      <c r="T962">
        <v>1</v>
      </c>
      <c r="U962">
        <v>55</v>
      </c>
      <c r="V962">
        <v>20260928055</v>
      </c>
    </row>
    <row r="963" spans="1:22" x14ac:dyDescent="0.2">
      <c r="A963" s="34" t="s">
        <v>122</v>
      </c>
      <c r="B963" s="28">
        <v>46293</v>
      </c>
      <c r="C963" s="34"/>
      <c r="D963" s="34" t="s">
        <v>123</v>
      </c>
      <c r="E963" s="34" t="s">
        <v>357</v>
      </c>
      <c r="F963" s="34" t="s">
        <v>358</v>
      </c>
      <c r="G963" s="34" t="s">
        <v>359</v>
      </c>
      <c r="H963" s="34" t="s">
        <v>359</v>
      </c>
      <c r="I963">
        <v>13</v>
      </c>
      <c r="J963">
        <v>10</v>
      </c>
      <c r="K963">
        <v>11</v>
      </c>
      <c r="L963">
        <v>12</v>
      </c>
      <c r="O963" s="28">
        <v>46292</v>
      </c>
      <c r="R963">
        <v>-1</v>
      </c>
      <c r="S963">
        <v>56</v>
      </c>
      <c r="T963">
        <v>1</v>
      </c>
      <c r="U963">
        <v>56</v>
      </c>
      <c r="V963">
        <v>20260928056</v>
      </c>
    </row>
    <row r="964" spans="1:22" x14ac:dyDescent="0.2">
      <c r="A964" s="34" t="s">
        <v>122</v>
      </c>
      <c r="B964" s="28">
        <v>46293</v>
      </c>
      <c r="C964" s="34"/>
      <c r="D964" s="34" t="s">
        <v>123</v>
      </c>
      <c r="E964" s="34" t="s">
        <v>360</v>
      </c>
      <c r="F964" s="34" t="s">
        <v>361</v>
      </c>
      <c r="G964" s="34" t="s">
        <v>362</v>
      </c>
      <c r="H964" s="34" t="s">
        <v>362</v>
      </c>
      <c r="I964">
        <v>0</v>
      </c>
      <c r="J964">
        <v>0</v>
      </c>
      <c r="K964">
        <v>0</v>
      </c>
      <c r="L964">
        <v>0</v>
      </c>
      <c r="O964" s="28">
        <v>46292</v>
      </c>
      <c r="R964">
        <v>-1</v>
      </c>
      <c r="S964">
        <v>57</v>
      </c>
      <c r="T964">
        <v>1</v>
      </c>
      <c r="U964">
        <v>57</v>
      </c>
      <c r="V964">
        <v>20260928057</v>
      </c>
    </row>
    <row r="965" spans="1:22" x14ac:dyDescent="0.2">
      <c r="A965" s="34" t="s">
        <v>122</v>
      </c>
      <c r="B965" s="28">
        <v>46293</v>
      </c>
      <c r="C965" s="34"/>
      <c r="D965" s="34" t="s">
        <v>123</v>
      </c>
      <c r="E965" s="34" t="s">
        <v>363</v>
      </c>
      <c r="F965" s="34" t="s">
        <v>364</v>
      </c>
      <c r="G965" s="34" t="s">
        <v>365</v>
      </c>
      <c r="H965" s="34" t="s">
        <v>366</v>
      </c>
      <c r="I965">
        <v>9</v>
      </c>
      <c r="J965">
        <v>0</v>
      </c>
      <c r="K965">
        <v>6</v>
      </c>
      <c r="L965">
        <v>3</v>
      </c>
      <c r="O965" s="28">
        <v>46292</v>
      </c>
      <c r="R965">
        <v>-1</v>
      </c>
      <c r="S965">
        <v>58</v>
      </c>
      <c r="T965">
        <v>1</v>
      </c>
      <c r="U965">
        <v>58</v>
      </c>
      <c r="V965">
        <v>20260928058</v>
      </c>
    </row>
    <row r="966" spans="1:22" x14ac:dyDescent="0.2">
      <c r="A966" s="34" t="s">
        <v>122</v>
      </c>
      <c r="B966" s="28">
        <v>46293</v>
      </c>
      <c r="C966" s="34"/>
      <c r="D966" s="34" t="s">
        <v>123</v>
      </c>
      <c r="E966" s="34" t="s">
        <v>367</v>
      </c>
      <c r="F966" s="34" t="s">
        <v>368</v>
      </c>
      <c r="G966" s="34" t="s">
        <v>369</v>
      </c>
      <c r="H966" s="34" t="s">
        <v>370</v>
      </c>
      <c r="I966">
        <v>4</v>
      </c>
      <c r="J966">
        <v>10</v>
      </c>
      <c r="K966">
        <v>10</v>
      </c>
      <c r="L966">
        <v>4</v>
      </c>
      <c r="O966" s="28">
        <v>46292</v>
      </c>
      <c r="R966">
        <v>-1</v>
      </c>
      <c r="S966">
        <v>59</v>
      </c>
      <c r="T966">
        <v>1</v>
      </c>
      <c r="U966">
        <v>59</v>
      </c>
      <c r="V966">
        <v>20260928059</v>
      </c>
    </row>
    <row r="967" spans="1:22" x14ac:dyDescent="0.2">
      <c r="A967" s="34" t="s">
        <v>122</v>
      </c>
      <c r="B967" s="28">
        <v>46293</v>
      </c>
      <c r="C967" s="34"/>
      <c r="D967" s="34" t="s">
        <v>123</v>
      </c>
      <c r="E967" s="34" t="s">
        <v>371</v>
      </c>
      <c r="F967" s="34" t="s">
        <v>372</v>
      </c>
      <c r="G967" s="34" t="s">
        <v>373</v>
      </c>
      <c r="H967" s="34" t="s">
        <v>373</v>
      </c>
      <c r="I967">
        <v>20</v>
      </c>
      <c r="J967">
        <v>0</v>
      </c>
      <c r="K967">
        <v>11</v>
      </c>
      <c r="L967">
        <v>9</v>
      </c>
      <c r="O967" s="28">
        <v>46292</v>
      </c>
      <c r="R967">
        <v>-1</v>
      </c>
      <c r="S967">
        <v>60</v>
      </c>
      <c r="T967">
        <v>1</v>
      </c>
      <c r="U967">
        <v>60</v>
      </c>
      <c r="V967">
        <v>20260928060</v>
      </c>
    </row>
    <row r="968" spans="1:22" x14ac:dyDescent="0.2">
      <c r="A968" s="34" t="s">
        <v>122</v>
      </c>
      <c r="B968" s="28">
        <v>46293</v>
      </c>
      <c r="C968" s="34"/>
      <c r="D968" s="34" t="s">
        <v>123</v>
      </c>
      <c r="E968" s="34" t="s">
        <v>374</v>
      </c>
      <c r="F968" s="34" t="s">
        <v>375</v>
      </c>
      <c r="G968" s="34" t="s">
        <v>376</v>
      </c>
      <c r="H968" s="34" t="s">
        <v>376</v>
      </c>
      <c r="I968">
        <v>7</v>
      </c>
      <c r="J968">
        <v>0</v>
      </c>
      <c r="K968">
        <v>0</v>
      </c>
      <c r="L968">
        <v>7</v>
      </c>
      <c r="O968" s="28">
        <v>46292</v>
      </c>
      <c r="R968">
        <v>-1</v>
      </c>
      <c r="S968">
        <v>61</v>
      </c>
      <c r="T968">
        <v>1</v>
      </c>
      <c r="U968">
        <v>61</v>
      </c>
      <c r="V968">
        <v>20260928061</v>
      </c>
    </row>
    <row r="969" spans="1:22" x14ac:dyDescent="0.2">
      <c r="A969" s="34" t="s">
        <v>122</v>
      </c>
      <c r="B969" s="28">
        <v>46293</v>
      </c>
      <c r="C969" s="34"/>
      <c r="D969" s="34" t="s">
        <v>123</v>
      </c>
      <c r="E969" s="34" t="s">
        <v>377</v>
      </c>
      <c r="F969" s="34" t="s">
        <v>378</v>
      </c>
      <c r="G969" s="34" t="s">
        <v>379</v>
      </c>
      <c r="H969" s="34" t="s">
        <v>380</v>
      </c>
      <c r="I969">
        <v>4</v>
      </c>
      <c r="J969">
        <v>0</v>
      </c>
      <c r="K969">
        <v>4</v>
      </c>
      <c r="L969">
        <v>0</v>
      </c>
      <c r="O969" s="28">
        <v>46292</v>
      </c>
      <c r="R969">
        <v>-1</v>
      </c>
      <c r="S969">
        <v>62</v>
      </c>
      <c r="T969">
        <v>1</v>
      </c>
      <c r="U969">
        <v>62</v>
      </c>
      <c r="V969">
        <v>20260928062</v>
      </c>
    </row>
    <row r="970" spans="1:22" x14ac:dyDescent="0.2">
      <c r="A970" s="34" t="s">
        <v>122</v>
      </c>
      <c r="B970" s="28">
        <v>46293</v>
      </c>
      <c r="C970" s="34"/>
      <c r="D970" s="34" t="s">
        <v>123</v>
      </c>
      <c r="E970" s="34" t="s">
        <v>381</v>
      </c>
      <c r="F970" s="34" t="s">
        <v>382</v>
      </c>
      <c r="G970" s="34" t="s">
        <v>383</v>
      </c>
      <c r="H970" s="34" t="s">
        <v>384</v>
      </c>
      <c r="I970">
        <v>11</v>
      </c>
      <c r="J970">
        <v>0</v>
      </c>
      <c r="K970">
        <v>11</v>
      </c>
      <c r="L970">
        <v>0</v>
      </c>
      <c r="O970" s="28">
        <v>46292</v>
      </c>
      <c r="R970">
        <v>-1</v>
      </c>
      <c r="S970">
        <v>63</v>
      </c>
      <c r="T970">
        <v>1</v>
      </c>
      <c r="U970">
        <v>63</v>
      </c>
      <c r="V970">
        <v>20260928063</v>
      </c>
    </row>
    <row r="971" spans="1:22" x14ac:dyDescent="0.2">
      <c r="A971" s="34" t="s">
        <v>122</v>
      </c>
      <c r="B971" s="28">
        <v>46293</v>
      </c>
      <c r="C971" s="34"/>
      <c r="D971" s="34" t="s">
        <v>123</v>
      </c>
      <c r="E971" s="34" t="s">
        <v>385</v>
      </c>
      <c r="F971" s="34" t="s">
        <v>386</v>
      </c>
      <c r="G971" s="34" t="s">
        <v>387</v>
      </c>
      <c r="H971" s="34" t="s">
        <v>388</v>
      </c>
      <c r="I971">
        <v>10</v>
      </c>
      <c r="J971">
        <v>0</v>
      </c>
      <c r="K971">
        <v>10</v>
      </c>
      <c r="L971">
        <v>0</v>
      </c>
      <c r="O971" s="28">
        <v>46292</v>
      </c>
      <c r="R971">
        <v>-1</v>
      </c>
      <c r="S971">
        <v>64</v>
      </c>
      <c r="T971">
        <v>1</v>
      </c>
      <c r="U971">
        <v>64</v>
      </c>
      <c r="V971">
        <v>20260928064</v>
      </c>
    </row>
    <row r="972" spans="1:22" x14ac:dyDescent="0.2">
      <c r="A972" s="34" t="s">
        <v>122</v>
      </c>
      <c r="B972" s="28">
        <v>46293</v>
      </c>
      <c r="C972" s="34"/>
      <c r="D972" s="34" t="s">
        <v>123</v>
      </c>
      <c r="E972" s="34" t="s">
        <v>389</v>
      </c>
      <c r="F972" s="34" t="s">
        <v>390</v>
      </c>
      <c r="G972" s="34" t="s">
        <v>391</v>
      </c>
      <c r="H972" s="34" t="s">
        <v>391</v>
      </c>
      <c r="I972">
        <v>0</v>
      </c>
      <c r="J972">
        <v>0</v>
      </c>
      <c r="K972">
        <v>0</v>
      </c>
      <c r="L972">
        <v>0</v>
      </c>
      <c r="O972" s="28">
        <v>46292</v>
      </c>
      <c r="R972">
        <v>-1</v>
      </c>
      <c r="S972">
        <v>65</v>
      </c>
      <c r="T972">
        <v>1</v>
      </c>
      <c r="U972">
        <v>65</v>
      </c>
      <c r="V972">
        <v>20260928065</v>
      </c>
    </row>
    <row r="973" spans="1:22" x14ac:dyDescent="0.2">
      <c r="A973" s="34" t="s">
        <v>122</v>
      </c>
      <c r="B973" s="28">
        <v>46293</v>
      </c>
      <c r="C973" s="34"/>
      <c r="D973" s="34" t="s">
        <v>123</v>
      </c>
      <c r="E973" s="34" t="s">
        <v>392</v>
      </c>
      <c r="F973" s="34" t="s">
        <v>393</v>
      </c>
      <c r="G973" s="34" t="s">
        <v>394</v>
      </c>
      <c r="H973" s="34" t="s">
        <v>395</v>
      </c>
      <c r="I973">
        <v>1</v>
      </c>
      <c r="J973">
        <v>0</v>
      </c>
      <c r="K973">
        <v>0</v>
      </c>
      <c r="L973">
        <v>1</v>
      </c>
      <c r="O973" s="28">
        <v>46292</v>
      </c>
      <c r="R973">
        <v>-1</v>
      </c>
      <c r="S973">
        <v>66</v>
      </c>
      <c r="T973">
        <v>1</v>
      </c>
      <c r="U973">
        <v>66</v>
      </c>
      <c r="V973">
        <v>20260928066</v>
      </c>
    </row>
    <row r="974" spans="1:22" x14ac:dyDescent="0.2">
      <c r="A974" s="34" t="s">
        <v>122</v>
      </c>
      <c r="B974" s="28">
        <v>46293</v>
      </c>
      <c r="C974" s="34"/>
      <c r="D974" s="34" t="s">
        <v>123</v>
      </c>
      <c r="E974" s="34" t="s">
        <v>396</v>
      </c>
      <c r="F974" s="34" t="s">
        <v>397</v>
      </c>
      <c r="G974" s="34" t="s">
        <v>398</v>
      </c>
      <c r="H974" s="34" t="s">
        <v>399</v>
      </c>
      <c r="I974">
        <v>8</v>
      </c>
      <c r="J974">
        <v>0</v>
      </c>
      <c r="K974">
        <v>8</v>
      </c>
      <c r="L974">
        <v>0</v>
      </c>
      <c r="O974" s="28">
        <v>46292</v>
      </c>
      <c r="R974">
        <v>-1</v>
      </c>
      <c r="S974">
        <v>67</v>
      </c>
      <c r="T974">
        <v>1</v>
      </c>
      <c r="U974">
        <v>67</v>
      </c>
      <c r="V974">
        <v>20260928067</v>
      </c>
    </row>
    <row r="975" spans="1:22" x14ac:dyDescent="0.2">
      <c r="A975" s="34" t="s">
        <v>122</v>
      </c>
      <c r="B975" s="28">
        <v>46293</v>
      </c>
      <c r="C975" s="34"/>
      <c r="D975" s="34" t="s">
        <v>123</v>
      </c>
      <c r="E975" s="34" t="s">
        <v>400</v>
      </c>
      <c r="F975" s="34" t="s">
        <v>401</v>
      </c>
      <c r="G975" s="34" t="s">
        <v>402</v>
      </c>
      <c r="H975" s="34" t="s">
        <v>403</v>
      </c>
      <c r="I975">
        <v>18</v>
      </c>
      <c r="J975">
        <v>0</v>
      </c>
      <c r="K975">
        <v>15</v>
      </c>
      <c r="L975">
        <v>3</v>
      </c>
      <c r="O975" s="28">
        <v>46292</v>
      </c>
      <c r="R975">
        <v>-1</v>
      </c>
      <c r="S975">
        <v>68</v>
      </c>
      <c r="T975">
        <v>1</v>
      </c>
      <c r="U975">
        <v>68</v>
      </c>
      <c r="V975">
        <v>20260928068</v>
      </c>
    </row>
    <row r="976" spans="1:22" x14ac:dyDescent="0.2">
      <c r="A976" s="34" t="s">
        <v>122</v>
      </c>
      <c r="B976" s="28">
        <v>46293</v>
      </c>
      <c r="C976" s="34"/>
      <c r="D976" s="34" t="s">
        <v>123</v>
      </c>
      <c r="E976" s="34" t="s">
        <v>404</v>
      </c>
      <c r="F976" s="34" t="s">
        <v>405</v>
      </c>
      <c r="G976" s="34" t="s">
        <v>406</v>
      </c>
      <c r="H976" s="34" t="s">
        <v>406</v>
      </c>
      <c r="I976">
        <v>23</v>
      </c>
      <c r="J976">
        <v>0</v>
      </c>
      <c r="K976">
        <v>21</v>
      </c>
      <c r="L976">
        <v>2</v>
      </c>
      <c r="O976" s="28">
        <v>46292</v>
      </c>
      <c r="R976">
        <v>-1</v>
      </c>
      <c r="S976">
        <v>69</v>
      </c>
      <c r="T976">
        <v>1</v>
      </c>
      <c r="U976">
        <v>69</v>
      </c>
      <c r="V976">
        <v>20260928069</v>
      </c>
    </row>
    <row r="977" spans="1:22" x14ac:dyDescent="0.2">
      <c r="A977" s="34" t="s">
        <v>122</v>
      </c>
      <c r="B977" s="28">
        <v>46293</v>
      </c>
      <c r="C977" s="34"/>
      <c r="D977" s="34" t="s">
        <v>123</v>
      </c>
      <c r="E977" s="34" t="s">
        <v>407</v>
      </c>
      <c r="F977" s="34" t="s">
        <v>408</v>
      </c>
      <c r="G977" s="34" t="s">
        <v>409</v>
      </c>
      <c r="H977" s="34" t="s">
        <v>410</v>
      </c>
      <c r="I977">
        <v>0</v>
      </c>
      <c r="J977">
        <v>0</v>
      </c>
      <c r="K977">
        <v>0</v>
      </c>
      <c r="L977">
        <v>0</v>
      </c>
      <c r="O977" s="28">
        <v>46292</v>
      </c>
      <c r="R977">
        <v>-1</v>
      </c>
      <c r="S977">
        <v>70</v>
      </c>
      <c r="T977">
        <v>1</v>
      </c>
      <c r="U977">
        <v>70</v>
      </c>
      <c r="V977">
        <v>20260928070</v>
      </c>
    </row>
    <row r="978" spans="1:22" x14ac:dyDescent="0.2">
      <c r="A978" s="34" t="s">
        <v>122</v>
      </c>
      <c r="B978" s="28">
        <v>46293</v>
      </c>
      <c r="C978" s="34"/>
      <c r="D978" s="34" t="s">
        <v>123</v>
      </c>
      <c r="E978" s="34" t="s">
        <v>411</v>
      </c>
      <c r="F978" s="34" t="s">
        <v>412</v>
      </c>
      <c r="G978" s="34" t="s">
        <v>413</v>
      </c>
      <c r="H978" s="34" t="s">
        <v>413</v>
      </c>
      <c r="I978">
        <v>3</v>
      </c>
      <c r="J978">
        <v>0</v>
      </c>
      <c r="K978">
        <v>0</v>
      </c>
      <c r="L978">
        <v>3</v>
      </c>
      <c r="O978" s="28">
        <v>46292</v>
      </c>
      <c r="R978">
        <v>-1</v>
      </c>
      <c r="S978">
        <v>71</v>
      </c>
      <c r="T978">
        <v>1</v>
      </c>
      <c r="U978">
        <v>71</v>
      </c>
      <c r="V978">
        <v>20260928071</v>
      </c>
    </row>
    <row r="979" spans="1:22" x14ac:dyDescent="0.2">
      <c r="A979" s="34" t="s">
        <v>122</v>
      </c>
      <c r="B979" s="28">
        <v>46293</v>
      </c>
      <c r="C979" s="34"/>
      <c r="D979" s="34" t="s">
        <v>123</v>
      </c>
      <c r="E979" s="34" t="s">
        <v>414</v>
      </c>
      <c r="F979" s="34" t="s">
        <v>415</v>
      </c>
      <c r="G979" s="34" t="s">
        <v>416</v>
      </c>
      <c r="H979" s="34" t="s">
        <v>417</v>
      </c>
      <c r="I979">
        <v>8</v>
      </c>
      <c r="J979">
        <v>0</v>
      </c>
      <c r="K979">
        <v>7</v>
      </c>
      <c r="L979">
        <v>1</v>
      </c>
      <c r="O979" s="28">
        <v>46292</v>
      </c>
      <c r="R979">
        <v>-1</v>
      </c>
      <c r="S979">
        <v>72</v>
      </c>
      <c r="T979">
        <v>1</v>
      </c>
      <c r="U979">
        <v>72</v>
      </c>
      <c r="V979">
        <v>20260928072</v>
      </c>
    </row>
    <row r="980" spans="1:22" x14ac:dyDescent="0.2">
      <c r="A980" s="34" t="s">
        <v>122</v>
      </c>
      <c r="B980" s="28">
        <v>46293</v>
      </c>
      <c r="C980" s="34"/>
      <c r="D980" s="34" t="s">
        <v>123</v>
      </c>
      <c r="E980" s="34" t="s">
        <v>326</v>
      </c>
      <c r="F980" s="34" t="s">
        <v>327</v>
      </c>
      <c r="G980" s="34" t="s">
        <v>328</v>
      </c>
      <c r="H980" s="34" t="s">
        <v>329</v>
      </c>
      <c r="I980">
        <v>8</v>
      </c>
      <c r="J980">
        <v>0</v>
      </c>
      <c r="K980">
        <v>15</v>
      </c>
      <c r="L980">
        <v>-7</v>
      </c>
      <c r="O980" s="28">
        <v>46292</v>
      </c>
      <c r="R980">
        <v>-1</v>
      </c>
      <c r="S980">
        <v>73</v>
      </c>
      <c r="T980">
        <v>1</v>
      </c>
      <c r="U980">
        <v>73</v>
      </c>
      <c r="V980">
        <v>20260928073</v>
      </c>
    </row>
    <row r="981" spans="1:22" x14ac:dyDescent="0.2">
      <c r="A981" s="34" t="s">
        <v>122</v>
      </c>
      <c r="B981" s="28">
        <v>46293</v>
      </c>
      <c r="C981" s="34"/>
      <c r="D981" s="34" t="s">
        <v>123</v>
      </c>
      <c r="E981" s="34" t="s">
        <v>330</v>
      </c>
      <c r="F981" s="34" t="s">
        <v>331</v>
      </c>
      <c r="G981" s="34" t="s">
        <v>332</v>
      </c>
      <c r="H981" s="34" t="s">
        <v>333</v>
      </c>
      <c r="I981">
        <v>12</v>
      </c>
      <c r="J981">
        <v>0</v>
      </c>
      <c r="K981">
        <v>10</v>
      </c>
      <c r="L981">
        <v>2</v>
      </c>
      <c r="O981" s="28">
        <v>46292</v>
      </c>
      <c r="R981">
        <v>-1</v>
      </c>
      <c r="S981">
        <v>74</v>
      </c>
      <c r="T981">
        <v>1</v>
      </c>
      <c r="U981">
        <v>74</v>
      </c>
      <c r="V981">
        <v>20260928074</v>
      </c>
    </row>
    <row r="982" spans="1:22" x14ac:dyDescent="0.2">
      <c r="A982" s="34" t="s">
        <v>122</v>
      </c>
      <c r="B982" s="28">
        <v>46293</v>
      </c>
      <c r="C982" s="34"/>
      <c r="D982" s="34" t="s">
        <v>123</v>
      </c>
      <c r="E982" s="34" t="s">
        <v>334</v>
      </c>
      <c r="F982" s="34" t="s">
        <v>335</v>
      </c>
      <c r="G982" s="34" t="s">
        <v>336</v>
      </c>
      <c r="H982" s="34" t="s">
        <v>337</v>
      </c>
      <c r="I982">
        <v>12</v>
      </c>
      <c r="J982">
        <v>0</v>
      </c>
      <c r="K982">
        <v>9</v>
      </c>
      <c r="L982">
        <v>3</v>
      </c>
      <c r="O982" s="28">
        <v>46292</v>
      </c>
      <c r="R982">
        <v>-1</v>
      </c>
      <c r="S982">
        <v>75</v>
      </c>
      <c r="T982">
        <v>1</v>
      </c>
      <c r="U982">
        <v>75</v>
      </c>
      <c r="V982">
        <v>20260928075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24"/>
  <sheetViews>
    <sheetView showGridLines="0" workbookViewId="0"/>
  </sheetViews>
  <sheetFormatPr baseColWidth="10" defaultColWidth="8.83203125" defaultRowHeight="15" x14ac:dyDescent="0.2"/>
  <cols>
    <col min="1" max="1" width="104" customWidth="1"/>
  </cols>
  <sheetData>
    <row r="1" spans="1:1" ht="21" x14ac:dyDescent="0.25">
      <c r="A1" s="21" t="s">
        <v>49</v>
      </c>
    </row>
    <row r="2" spans="1:1" x14ac:dyDescent="0.2">
      <c r="A2" s="23"/>
    </row>
    <row r="3" spans="1:1" ht="30" x14ac:dyDescent="0.2">
      <c r="A3" s="23" t="s">
        <v>50</v>
      </c>
    </row>
    <row r="4" spans="1:1" x14ac:dyDescent="0.2">
      <c r="A4" s="23"/>
    </row>
    <row r="5" spans="1:1" ht="16" x14ac:dyDescent="0.2">
      <c r="A5" s="24" t="s">
        <v>51</v>
      </c>
    </row>
    <row r="6" spans="1:1" x14ac:dyDescent="0.2">
      <c r="A6" s="23" t="s">
        <v>52</v>
      </c>
    </row>
    <row r="7" spans="1:1" x14ac:dyDescent="0.2">
      <c r="A7" s="23"/>
    </row>
    <row r="8" spans="1:1" ht="16" x14ac:dyDescent="0.2">
      <c r="A8" s="24" t="s">
        <v>53</v>
      </c>
    </row>
    <row r="9" spans="1:1" x14ac:dyDescent="0.2">
      <c r="A9" s="23" t="s">
        <v>54</v>
      </c>
    </row>
    <row r="10" spans="1:1" x14ac:dyDescent="0.2">
      <c r="A10" s="23"/>
    </row>
    <row r="11" spans="1:1" ht="16" x14ac:dyDescent="0.2">
      <c r="A11" s="24" t="s">
        <v>55</v>
      </c>
    </row>
    <row r="12" spans="1:1" ht="30" x14ac:dyDescent="0.2">
      <c r="A12" s="23" t="s">
        <v>56</v>
      </c>
    </row>
    <row r="13" spans="1:1" x14ac:dyDescent="0.2">
      <c r="A13" s="23"/>
    </row>
    <row r="14" spans="1:1" ht="16" x14ac:dyDescent="0.2">
      <c r="A14" s="24" t="s">
        <v>57</v>
      </c>
    </row>
    <row r="15" spans="1:1" ht="30" x14ac:dyDescent="0.2">
      <c r="A15" s="23" t="s">
        <v>58</v>
      </c>
    </row>
    <row r="16" spans="1:1" ht="30" x14ac:dyDescent="0.2">
      <c r="A16" s="23" t="s">
        <v>59</v>
      </c>
    </row>
    <row r="17" spans="1:1" x14ac:dyDescent="0.2">
      <c r="A17" s="23"/>
    </row>
    <row r="18" spans="1:1" ht="16" x14ac:dyDescent="0.2">
      <c r="A18" s="24" t="s">
        <v>60</v>
      </c>
    </row>
    <row r="19" spans="1:1" x14ac:dyDescent="0.2">
      <c r="A19" s="23" t="s">
        <v>61</v>
      </c>
    </row>
    <row r="20" spans="1:1" x14ac:dyDescent="0.2">
      <c r="A20" s="23"/>
    </row>
    <row r="21" spans="1:1" ht="16" x14ac:dyDescent="0.2">
      <c r="A21" s="24" t="s">
        <v>62</v>
      </c>
    </row>
    <row r="22" spans="1:1" x14ac:dyDescent="0.2">
      <c r="A22" s="23" t="s">
        <v>63</v>
      </c>
    </row>
    <row r="23" spans="1:1" ht="45" x14ac:dyDescent="0.2">
      <c r="A23" s="23" t="s">
        <v>64</v>
      </c>
    </row>
    <row r="24" spans="1:1" x14ac:dyDescent="0.2">
      <c r="A24" s="23" t="s">
        <v>65</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22"/>
  <sheetViews>
    <sheetView workbookViewId="0"/>
  </sheetViews>
  <sheetFormatPr baseColWidth="10" defaultColWidth="8.83203125" defaultRowHeight="15" x14ac:dyDescent="0.2"/>
  <sheetData>
    <row r="1" spans="1:40" x14ac:dyDescent="0.2">
      <c r="A1" s="25" t="s">
        <v>66</v>
      </c>
      <c r="R1" s="25" t="s">
        <v>67</v>
      </c>
    </row>
    <row r="2" spans="1:40" x14ac:dyDescent="0.2">
      <c r="A2" s="26" t="s">
        <v>68</v>
      </c>
      <c r="B2" s="26" t="s">
        <v>69</v>
      </c>
      <c r="C2" s="26" t="s">
        <v>70</v>
      </c>
      <c r="D2" s="26" t="s">
        <v>71</v>
      </c>
      <c r="E2" s="26" t="s">
        <v>72</v>
      </c>
      <c r="F2" s="26" t="s">
        <v>73</v>
      </c>
      <c r="G2" s="26" t="s">
        <v>74</v>
      </c>
      <c r="H2" s="26" t="s">
        <v>75</v>
      </c>
      <c r="I2" s="26" t="s">
        <v>76</v>
      </c>
      <c r="J2" s="26" t="s">
        <v>77</v>
      </c>
      <c r="K2" s="26" t="s">
        <v>78</v>
      </c>
      <c r="L2" s="26" t="s">
        <v>79</v>
      </c>
      <c r="M2" s="26" t="s">
        <v>80</v>
      </c>
      <c r="N2" s="26" t="s">
        <v>81</v>
      </c>
      <c r="O2" s="26" t="s">
        <v>82</v>
      </c>
      <c r="R2" s="26" t="s">
        <v>83</v>
      </c>
      <c r="S2" s="26" t="s">
        <v>84</v>
      </c>
      <c r="T2" s="26" t="s">
        <v>85</v>
      </c>
      <c r="U2" s="26" t="s">
        <v>86</v>
      </c>
      <c r="V2" s="26" t="s">
        <v>87</v>
      </c>
      <c r="W2" s="26" t="s">
        <v>88</v>
      </c>
      <c r="X2" s="26" t="s">
        <v>89</v>
      </c>
      <c r="Y2" s="26" t="s">
        <v>90</v>
      </c>
      <c r="Z2" s="26" t="s">
        <v>91</v>
      </c>
      <c r="AA2" s="26" t="s">
        <v>92</v>
      </c>
      <c r="AB2" s="26" t="s">
        <v>93</v>
      </c>
      <c r="AC2" s="26" t="s">
        <v>94</v>
      </c>
      <c r="AD2" s="26" t="s">
        <v>95</v>
      </c>
      <c r="AE2" s="26" t="s">
        <v>96</v>
      </c>
      <c r="AF2" s="26" t="s">
        <v>97</v>
      </c>
      <c r="AG2" s="26" t="s">
        <v>98</v>
      </c>
      <c r="AH2" s="26" t="s">
        <v>73</v>
      </c>
      <c r="AI2" s="26" t="s">
        <v>74</v>
      </c>
      <c r="AJ2" s="26" t="s">
        <v>99</v>
      </c>
      <c r="AK2" s="26" t="s">
        <v>100</v>
      </c>
      <c r="AL2" s="26" t="s">
        <v>101</v>
      </c>
      <c r="AM2" s="26" t="s">
        <v>102</v>
      </c>
      <c r="AN2" s="26" t="s">
        <v>103</v>
      </c>
    </row>
    <row r="3" spans="1:40" x14ac:dyDescent="0.2">
      <c r="A3">
        <v>1</v>
      </c>
      <c r="B3" s="27">
        <f>IFERROR(IF(INDEX(Data!$B:$B,MATCH($A3,Data!$T:$T,0))="","",INDEX(Data!$B:$B,MATCH($A3,Data!$T:$T,0))),"")</f>
        <v>46293</v>
      </c>
      <c r="C3" t="str">
        <f>IFERROR(IF(INDEX(Data!$D:$D,MATCH($A3,Data!$T:$T,0))="","",INDEX(Data!$D:$D,MATCH($A3,Data!$T:$T,0))),"")</f>
        <v>Luqman</v>
      </c>
      <c r="D3" s="27">
        <f>IFERROR(IF(INDEX(Data!$O:$O,MATCH($A3,Data!$T:$T,0))="","",INDEX(Data!$O:$O,MATCH($A3,Data!$T:$T,0))),"")</f>
        <v>46292</v>
      </c>
      <c r="E3">
        <f>COUNTIFS(Data!$T:$T,$A3)</f>
        <v>75</v>
      </c>
      <c r="F3">
        <f>COUNTIFS(Data!$T:$T,$A3,Data!$N:$N,"&lt;&gt;")</f>
        <v>0</v>
      </c>
      <c r="G3">
        <f>COUNTIFS(Data!$T:$T,$A3,Data!$N:$N,0)</f>
        <v>0</v>
      </c>
      <c r="H3" t="str">
        <f t="shared" ref="H3:H34" si="0">IF($F3=0,"",$F3-$G3)</f>
        <v/>
      </c>
      <c r="I3" t="str">
        <f>IF($F3=0,"",SUMIFS(Data!$N:$N,Data!$T:$T,$A3))</f>
        <v/>
      </c>
      <c r="J3">
        <f>COUNTIFS(Data!$T:$T,$A3,Data!$Q:$Q,"&lt;&gt;")</f>
        <v>0</v>
      </c>
      <c r="K3" t="str">
        <f>IF($J3=0,"",SUMIFS(Data!$Q:$Q,Data!$T:$T,$A3))</f>
        <v/>
      </c>
      <c r="L3">
        <f>COUNTIFS(Data!$T:$T,$A3,Data!$M:$M,"&lt;&gt;")</f>
        <v>0</v>
      </c>
      <c r="M3" t="str">
        <f t="shared" ref="M3:M34" si="1">IF($E3=0,"",IF($L3=0,"not loaded","loaded"))</f>
        <v>not loaded</v>
      </c>
      <c r="N3">
        <f>COUNTIFS(Data!$T:$T,$A3,Data!$I:$I,"&lt;&gt;")</f>
        <v>75</v>
      </c>
      <c r="O3" t="str">
        <f t="shared" ref="O3:O34" si="2">IF($E3=0,"",IF($L3=0,"No POS sales have been loaded for this date, so variance cannot be worked out. Import the sales report for this day and it fills in.",IF($N3=0,"This is the first count of these products, so there is no opening figure to sell down from. Variance starts from the next count.",IF($F3-$G3=0,"Physical and POS agree on every product.",($F3-$G3)&amp;" of "&amp;$F3&amp;" products disagree with the POS. Largest first below."))))</f>
        <v>No POS sales have been loaded for this date, so variance cannot be worked out. Import the sales report for this day and it fills in.</v>
      </c>
      <c r="R3">
        <v>1</v>
      </c>
      <c r="S3" t="str">
        <f>IFERROR(INDEX(Data!$G:$G,MATCH($R3,Data!$U:$U,0)),"")</f>
        <v>Benson &amp; Hedges</v>
      </c>
      <c r="T3" t="str">
        <f>IF(COUNTIFS(Data!$U:$U,$R3,Data!$T:$T,1,Data!$N:$N,"&lt;&gt;")=0,"",SUMIFS(Data!$N:$N,Data!$U:$U,$R3,Data!$T:$T,1))</f>
        <v/>
      </c>
      <c r="U3" t="str">
        <f>IF(COUNTIFS(Data!$U:$U,$R3,Data!$T:$T,2,Data!$N:$N,"&lt;&gt;")=0,"",SUMIFS(Data!$N:$N,Data!$U:$U,$R3,Data!$T:$T,2))</f>
        <v/>
      </c>
      <c r="V3" t="str">
        <f>IF(COUNTIFS(Data!$U:$U,$R3,Data!$T:$T,3,Data!$N:$N,"&lt;&gt;")=0,"",SUMIFS(Data!$N:$N,Data!$U:$U,$R3,Data!$T:$T,3))</f>
        <v/>
      </c>
      <c r="W3" t="str">
        <f>IF(COUNTIFS(Data!$U:$U,$R3,Data!$T:$T,4,Data!$N:$N,"&lt;&gt;")=0,"",SUMIFS(Data!$N:$N,Data!$U:$U,$R3,Data!$T:$T,4))</f>
        <v/>
      </c>
      <c r="X3" t="str">
        <f>IF(COUNTIFS(Data!$U:$U,$R3,Data!$T:$T,5,Data!$N:$N,"&lt;&gt;")=0,"",SUMIFS(Data!$N:$N,Data!$U:$U,$R3,Data!$T:$T,5))</f>
        <v/>
      </c>
      <c r="Y3" t="str">
        <f>IF(COUNTIFS(Data!$U:$U,$R3,Data!$T:$T,6,Data!$N:$N,"&lt;&gt;")=0,"",SUMIFS(Data!$N:$N,Data!$U:$U,$R3,Data!$T:$T,6))</f>
        <v/>
      </c>
      <c r="Z3" t="str">
        <f>IF(COUNTIFS(Data!$U:$U,$R3,Data!$T:$T,7,Data!$N:$N,"&lt;&gt;")=0,"",SUMIFS(Data!$N:$N,Data!$U:$U,$R3,Data!$T:$T,7))</f>
        <v/>
      </c>
      <c r="AA3">
        <f>IF(COUNTIFS(Data!$U:$U,$R3,Data!$T:$T,8,Data!$N:$N,"&lt;&gt;")=0,"",SUMIFS(Data!$N:$N,Data!$U:$U,$R3,Data!$T:$T,8))</f>
        <v>0</v>
      </c>
      <c r="AB3">
        <f>IF(COUNTIFS(Data!$U:$U,$R3,Data!$T:$T,9,Data!$N:$N,"&lt;&gt;")=0,"",SUMIFS(Data!$N:$N,Data!$U:$U,$R3,Data!$T:$T,9))</f>
        <v>0</v>
      </c>
      <c r="AC3">
        <f>IF(COUNTIFS(Data!$U:$U,$R3,Data!$T:$T,10,Data!$N:$N,"&lt;&gt;")=0,"",SUMIFS(Data!$N:$N,Data!$U:$U,$R3,Data!$T:$T,10))</f>
        <v>0</v>
      </c>
      <c r="AD3">
        <f>IF(COUNTIFS(Data!$U:$U,$R3,Data!$T:$T,11,Data!$N:$N,"&lt;&gt;")=0,"",SUMIFS(Data!$N:$N,Data!$U:$U,$R3,Data!$T:$T,11))</f>
        <v>-10</v>
      </c>
      <c r="AE3">
        <f>IF(COUNTIFS(Data!$U:$U,$R3,Data!$T:$T,12,Data!$N:$N,"&lt;&gt;")=0,"",SUMIFS(Data!$N:$N,Data!$U:$U,$R3,Data!$T:$T,12))</f>
        <v>0</v>
      </c>
      <c r="AF3" t="str">
        <f>IF(COUNTIFS(Data!$U:$U,$R3,Data!$T:$T,13,Data!$N:$N,"&lt;&gt;")=0,"",SUMIFS(Data!$N:$N,Data!$U:$U,$R3,Data!$T:$T,13))</f>
        <v/>
      </c>
      <c r="AG3" t="str">
        <f>IF(COUNTIFS(Data!$U:$U,$R3,Data!$T:$T,14,Data!$N:$N,"&lt;&gt;")=0,"",SUMIFS(Data!$N:$N,Data!$U:$U,$R3,Data!$T:$T,14))</f>
        <v/>
      </c>
      <c r="AH3">
        <f>COUNTIFS(Data!$U:$U,$R3,Data!$T:$T,"&lt;="&amp;14,Data!$N:$N,"&lt;&gt;")</f>
        <v>5</v>
      </c>
      <c r="AI3">
        <f>COUNTIFS(Data!$U:$U,$R3,Data!$T:$T,"&lt;="&amp;14,Data!$N:$N,0)</f>
        <v>4</v>
      </c>
      <c r="AJ3">
        <f t="shared" ref="AJ3:AJ34" si="3">IF(AH3=0,"",AH3-AI3)</f>
        <v>1</v>
      </c>
      <c r="AK3">
        <f>IF(AH3=0,"",SUMIFS(Data!$N:$N,Data!$U:$U,$R3,Data!$T:$T,"&lt;="&amp;14))</f>
        <v>-10</v>
      </c>
      <c r="AL3">
        <f t="shared" ref="AL3:AL34" si="4">IF(AH3=0,"",IF(ABS(MAX(T3:AG3))&gt;=ABS(MIN(T3:AG3)),MAX(T3:AG3),MIN(T3:AG3)))</f>
        <v>-10</v>
      </c>
      <c r="AM3">
        <f t="shared" ref="AM3:AM34" si="5">IF(AH3=0,-1,AJ3*100000+MIN(ABS(AK3),99999))</f>
        <v>100010</v>
      </c>
      <c r="AN3">
        <f t="shared" ref="AN3:AN34" si="6">IF($S3="","",1+COUNTIFS($AM$3:$AM$122,"&gt;"&amp;AM3)+COUNTIFS($AM$3:$AM$122,AM3,$R$3:$R$122,"&lt;"&amp;$R3))</f>
        <v>24</v>
      </c>
    </row>
    <row r="4" spans="1:40" x14ac:dyDescent="0.2">
      <c r="A4">
        <v>2</v>
      </c>
      <c r="B4" s="27">
        <f>IFERROR(IF(INDEX(Data!$B:$B,MATCH($A4,Data!$T:$T,0))="","",INDEX(Data!$B:$B,MATCH($A4,Data!$T:$T,0))),"")</f>
        <v>46292</v>
      </c>
      <c r="C4" t="str">
        <f>IFERROR(IF(INDEX(Data!$D:$D,MATCH($A4,Data!$T:$T,0))="","",INDEX(Data!$D:$D,MATCH($A4,Data!$T:$T,0))),"")</f>
        <v>Asyraf</v>
      </c>
      <c r="D4" s="27">
        <f>IFERROR(IF(INDEX(Data!$O:$O,MATCH($A4,Data!$T:$T,0))="","",INDEX(Data!$O:$O,MATCH($A4,Data!$T:$T,0))),"")</f>
        <v>46290</v>
      </c>
      <c r="E4">
        <f>COUNTIFS(Data!$T:$T,$A4)</f>
        <v>75</v>
      </c>
      <c r="F4">
        <f>COUNTIFS(Data!$T:$T,$A4,Data!$N:$N,"&lt;&gt;")</f>
        <v>0</v>
      </c>
      <c r="G4">
        <f>COUNTIFS(Data!$T:$T,$A4,Data!$N:$N,0)</f>
        <v>0</v>
      </c>
      <c r="H4" t="str">
        <f t="shared" si="0"/>
        <v/>
      </c>
      <c r="I4" t="str">
        <f>IF($F4=0,"",SUMIFS(Data!$N:$N,Data!$T:$T,$A4))</f>
        <v/>
      </c>
      <c r="J4">
        <f>COUNTIFS(Data!$T:$T,$A4,Data!$Q:$Q,"&lt;&gt;")</f>
        <v>0</v>
      </c>
      <c r="K4" t="str">
        <f>IF($J4=0,"",SUMIFS(Data!$Q:$Q,Data!$T:$T,$A4))</f>
        <v/>
      </c>
      <c r="L4">
        <f>COUNTIFS(Data!$T:$T,$A4,Data!$M:$M,"&lt;&gt;")</f>
        <v>0</v>
      </c>
      <c r="M4" t="str">
        <f t="shared" si="1"/>
        <v>not loaded</v>
      </c>
      <c r="N4">
        <f>COUNTIFS(Data!$T:$T,$A4,Data!$I:$I,"&lt;&gt;")</f>
        <v>75</v>
      </c>
      <c r="O4" t="str">
        <f t="shared" si="2"/>
        <v>No POS sales have been loaded for this date, so variance cannot be worked out. Import the sales report for this day and it fills in.</v>
      </c>
      <c r="R4">
        <v>2</v>
      </c>
      <c r="S4" t="str">
        <f>IFERROR(INDEX(Data!$G:$G,MATCH($R4,Data!$U:$U,0)),"")</f>
        <v>Bond Light</v>
      </c>
      <c r="T4" t="str">
        <f>IF(COUNTIFS(Data!$U:$U,$R4,Data!$T:$T,1,Data!$N:$N,"&lt;&gt;")=0,"",SUMIFS(Data!$N:$N,Data!$U:$U,$R4,Data!$T:$T,1))</f>
        <v/>
      </c>
      <c r="U4" t="str">
        <f>IF(COUNTIFS(Data!$U:$U,$R4,Data!$T:$T,2,Data!$N:$N,"&lt;&gt;")=0,"",SUMIFS(Data!$N:$N,Data!$U:$U,$R4,Data!$T:$T,2))</f>
        <v/>
      </c>
      <c r="V4" t="str">
        <f>IF(COUNTIFS(Data!$U:$U,$R4,Data!$T:$T,3,Data!$N:$N,"&lt;&gt;")=0,"",SUMIFS(Data!$N:$N,Data!$U:$U,$R4,Data!$T:$T,3))</f>
        <v/>
      </c>
      <c r="W4" t="str">
        <f>IF(COUNTIFS(Data!$U:$U,$R4,Data!$T:$T,4,Data!$N:$N,"&lt;&gt;")=0,"",SUMIFS(Data!$N:$N,Data!$U:$U,$R4,Data!$T:$T,4))</f>
        <v/>
      </c>
      <c r="X4" t="str">
        <f>IF(COUNTIFS(Data!$U:$U,$R4,Data!$T:$T,5,Data!$N:$N,"&lt;&gt;")=0,"",SUMIFS(Data!$N:$N,Data!$U:$U,$R4,Data!$T:$T,5))</f>
        <v/>
      </c>
      <c r="Y4" t="str">
        <f>IF(COUNTIFS(Data!$U:$U,$R4,Data!$T:$T,6,Data!$N:$N,"&lt;&gt;")=0,"",SUMIFS(Data!$N:$N,Data!$U:$U,$R4,Data!$T:$T,6))</f>
        <v/>
      </c>
      <c r="Z4" t="str">
        <f>IF(COUNTIFS(Data!$U:$U,$R4,Data!$T:$T,7,Data!$N:$N,"&lt;&gt;")=0,"",SUMIFS(Data!$N:$N,Data!$U:$U,$R4,Data!$T:$T,7))</f>
        <v/>
      </c>
      <c r="AA4">
        <f>IF(COUNTIFS(Data!$U:$U,$R4,Data!$T:$T,8,Data!$N:$N,"&lt;&gt;")=0,"",SUMIFS(Data!$N:$N,Data!$U:$U,$R4,Data!$T:$T,8))</f>
        <v>0</v>
      </c>
      <c r="AB4">
        <f>IF(COUNTIFS(Data!$U:$U,$R4,Data!$T:$T,9,Data!$N:$N,"&lt;&gt;")=0,"",SUMIFS(Data!$N:$N,Data!$U:$U,$R4,Data!$T:$T,9))</f>
        <v>0</v>
      </c>
      <c r="AC4">
        <f>IF(COUNTIFS(Data!$U:$U,$R4,Data!$T:$T,10,Data!$N:$N,"&lt;&gt;")=0,"",SUMIFS(Data!$N:$N,Data!$U:$U,$R4,Data!$T:$T,10))</f>
        <v>0</v>
      </c>
      <c r="AD4">
        <f>IF(COUNTIFS(Data!$U:$U,$R4,Data!$T:$T,11,Data!$N:$N,"&lt;&gt;")=0,"",SUMIFS(Data!$N:$N,Data!$U:$U,$R4,Data!$T:$T,11))</f>
        <v>0</v>
      </c>
      <c r="AE4">
        <f>IF(COUNTIFS(Data!$U:$U,$R4,Data!$T:$T,12,Data!$N:$N,"&lt;&gt;")=0,"",SUMIFS(Data!$N:$N,Data!$U:$U,$R4,Data!$T:$T,12))</f>
        <v>0</v>
      </c>
      <c r="AF4" t="str">
        <f>IF(COUNTIFS(Data!$U:$U,$R4,Data!$T:$T,13,Data!$N:$N,"&lt;&gt;")=0,"",SUMIFS(Data!$N:$N,Data!$U:$U,$R4,Data!$T:$T,13))</f>
        <v/>
      </c>
      <c r="AG4" t="str">
        <f>IF(COUNTIFS(Data!$U:$U,$R4,Data!$T:$T,14,Data!$N:$N,"&lt;&gt;")=0,"",SUMIFS(Data!$N:$N,Data!$U:$U,$R4,Data!$T:$T,14))</f>
        <v/>
      </c>
      <c r="AH4">
        <f>COUNTIFS(Data!$U:$U,$R4,Data!$T:$T,"&lt;="&amp;14,Data!$N:$N,"&lt;&gt;")</f>
        <v>5</v>
      </c>
      <c r="AI4">
        <f>COUNTIFS(Data!$U:$U,$R4,Data!$T:$T,"&lt;="&amp;14,Data!$N:$N,0)</f>
        <v>5</v>
      </c>
      <c r="AJ4">
        <f t="shared" si="3"/>
        <v>0</v>
      </c>
      <c r="AK4">
        <f>IF(AH4=0,"",SUMIFS(Data!$N:$N,Data!$U:$U,$R4,Data!$T:$T,"&lt;="&amp;14))</f>
        <v>0</v>
      </c>
      <c r="AL4">
        <f t="shared" si="4"/>
        <v>0</v>
      </c>
      <c r="AM4">
        <f t="shared" si="5"/>
        <v>0</v>
      </c>
      <c r="AN4">
        <f t="shared" si="6"/>
        <v>32</v>
      </c>
    </row>
    <row r="5" spans="1:40" x14ac:dyDescent="0.2">
      <c r="A5">
        <v>3</v>
      </c>
      <c r="B5" s="27">
        <f>IFERROR(IF(INDEX(Data!$B:$B,MATCH($A5,Data!$T:$T,0))="","",INDEX(Data!$B:$B,MATCH($A5,Data!$T:$T,0))),"")</f>
        <v>46290</v>
      </c>
      <c r="C5" t="str">
        <f>IFERROR(IF(INDEX(Data!$D:$D,MATCH($A5,Data!$T:$T,0))="","",INDEX(Data!$D:$D,MATCH($A5,Data!$T:$T,0))),"")</f>
        <v>Aktarul</v>
      </c>
      <c r="D5" s="27">
        <f>IFERROR(IF(INDEX(Data!$O:$O,MATCH($A5,Data!$T:$T,0))="","",INDEX(Data!$O:$O,MATCH($A5,Data!$T:$T,0))),"")</f>
        <v>46289</v>
      </c>
      <c r="E5">
        <f>COUNTIFS(Data!$T:$T,$A5)</f>
        <v>75</v>
      </c>
      <c r="F5">
        <f>COUNTIFS(Data!$T:$T,$A5,Data!$N:$N,"&lt;&gt;")</f>
        <v>0</v>
      </c>
      <c r="G5">
        <f>COUNTIFS(Data!$T:$T,$A5,Data!$N:$N,0)</f>
        <v>0</v>
      </c>
      <c r="H5" t="str">
        <f t="shared" si="0"/>
        <v/>
      </c>
      <c r="I5" t="str">
        <f>IF($F5=0,"",SUMIFS(Data!$N:$N,Data!$T:$T,$A5))</f>
        <v/>
      </c>
      <c r="J5">
        <f>COUNTIFS(Data!$T:$T,$A5,Data!$Q:$Q,"&lt;&gt;")</f>
        <v>0</v>
      </c>
      <c r="K5" t="str">
        <f>IF($J5=0,"",SUMIFS(Data!$Q:$Q,Data!$T:$T,$A5))</f>
        <v/>
      </c>
      <c r="L5">
        <f>COUNTIFS(Data!$T:$T,$A5,Data!$M:$M,"&lt;&gt;")</f>
        <v>0</v>
      </c>
      <c r="M5" t="str">
        <f t="shared" si="1"/>
        <v>not loaded</v>
      </c>
      <c r="N5">
        <f>COUNTIFS(Data!$T:$T,$A5,Data!$I:$I,"&lt;&gt;")</f>
        <v>54</v>
      </c>
      <c r="O5" t="str">
        <f t="shared" si="2"/>
        <v>No POS sales have been loaded for this date, so variance cannot be worked out. Import the sales report for this day and it fills in.</v>
      </c>
      <c r="R5">
        <v>3</v>
      </c>
      <c r="S5" t="str">
        <f>IFERROR(INDEX(Data!$G:$G,MATCH($R5,Data!$U:$U,0)),"")</f>
        <v>Bond Red</v>
      </c>
      <c r="T5" t="str">
        <f>IF(COUNTIFS(Data!$U:$U,$R5,Data!$T:$T,1,Data!$N:$N,"&lt;&gt;")=0,"",SUMIFS(Data!$N:$N,Data!$U:$U,$R5,Data!$T:$T,1))</f>
        <v/>
      </c>
      <c r="U5" t="str">
        <f>IF(COUNTIFS(Data!$U:$U,$R5,Data!$T:$T,2,Data!$N:$N,"&lt;&gt;")=0,"",SUMIFS(Data!$N:$N,Data!$U:$U,$R5,Data!$T:$T,2))</f>
        <v/>
      </c>
      <c r="V5" t="str">
        <f>IF(COUNTIFS(Data!$U:$U,$R5,Data!$T:$T,3,Data!$N:$N,"&lt;&gt;")=0,"",SUMIFS(Data!$N:$N,Data!$U:$U,$R5,Data!$T:$T,3))</f>
        <v/>
      </c>
      <c r="W5" t="str">
        <f>IF(COUNTIFS(Data!$U:$U,$R5,Data!$T:$T,4,Data!$N:$N,"&lt;&gt;")=0,"",SUMIFS(Data!$N:$N,Data!$U:$U,$R5,Data!$T:$T,4))</f>
        <v/>
      </c>
      <c r="X5" t="str">
        <f>IF(COUNTIFS(Data!$U:$U,$R5,Data!$T:$T,5,Data!$N:$N,"&lt;&gt;")=0,"",SUMIFS(Data!$N:$N,Data!$U:$U,$R5,Data!$T:$T,5))</f>
        <v/>
      </c>
      <c r="Y5" t="str">
        <f>IF(COUNTIFS(Data!$U:$U,$R5,Data!$T:$T,6,Data!$N:$N,"&lt;&gt;")=0,"",SUMIFS(Data!$N:$N,Data!$U:$U,$R5,Data!$T:$T,6))</f>
        <v/>
      </c>
      <c r="Z5" t="str">
        <f>IF(COUNTIFS(Data!$U:$U,$R5,Data!$T:$T,7,Data!$N:$N,"&lt;&gt;")=0,"",SUMIFS(Data!$N:$N,Data!$U:$U,$R5,Data!$T:$T,7))</f>
        <v/>
      </c>
      <c r="AA5">
        <f>IF(COUNTIFS(Data!$U:$U,$R5,Data!$T:$T,8,Data!$N:$N,"&lt;&gt;")=0,"",SUMIFS(Data!$N:$N,Data!$U:$U,$R5,Data!$T:$T,8))</f>
        <v>0</v>
      </c>
      <c r="AB5">
        <f>IF(COUNTIFS(Data!$U:$U,$R5,Data!$T:$T,9,Data!$N:$N,"&lt;&gt;")=0,"",SUMIFS(Data!$N:$N,Data!$U:$U,$R5,Data!$T:$T,9))</f>
        <v>0</v>
      </c>
      <c r="AC5">
        <f>IF(COUNTIFS(Data!$U:$U,$R5,Data!$T:$T,10,Data!$N:$N,"&lt;&gt;")=0,"",SUMIFS(Data!$N:$N,Data!$U:$U,$R5,Data!$T:$T,10))</f>
        <v>0</v>
      </c>
      <c r="AD5">
        <f>IF(COUNTIFS(Data!$U:$U,$R5,Data!$T:$T,11,Data!$N:$N,"&lt;&gt;")=0,"",SUMIFS(Data!$N:$N,Data!$U:$U,$R5,Data!$T:$T,11))</f>
        <v>0</v>
      </c>
      <c r="AE5">
        <f>IF(COUNTIFS(Data!$U:$U,$R5,Data!$T:$T,12,Data!$N:$N,"&lt;&gt;")=0,"",SUMIFS(Data!$N:$N,Data!$U:$U,$R5,Data!$T:$T,12))</f>
        <v>0</v>
      </c>
      <c r="AF5" t="str">
        <f>IF(COUNTIFS(Data!$U:$U,$R5,Data!$T:$T,13,Data!$N:$N,"&lt;&gt;")=0,"",SUMIFS(Data!$N:$N,Data!$U:$U,$R5,Data!$T:$T,13))</f>
        <v/>
      </c>
      <c r="AG5" t="str">
        <f>IF(COUNTIFS(Data!$U:$U,$R5,Data!$T:$T,14,Data!$N:$N,"&lt;&gt;")=0,"",SUMIFS(Data!$N:$N,Data!$U:$U,$R5,Data!$T:$T,14))</f>
        <v/>
      </c>
      <c r="AH5">
        <f>COUNTIFS(Data!$U:$U,$R5,Data!$T:$T,"&lt;="&amp;14,Data!$N:$N,"&lt;&gt;")</f>
        <v>5</v>
      </c>
      <c r="AI5">
        <f>COUNTIFS(Data!$U:$U,$R5,Data!$T:$T,"&lt;="&amp;14,Data!$N:$N,0)</f>
        <v>5</v>
      </c>
      <c r="AJ5">
        <f t="shared" si="3"/>
        <v>0</v>
      </c>
      <c r="AK5">
        <f>IF(AH5=0,"",SUMIFS(Data!$N:$N,Data!$U:$U,$R5,Data!$T:$T,"&lt;="&amp;14))</f>
        <v>0</v>
      </c>
      <c r="AL5">
        <f t="shared" si="4"/>
        <v>0</v>
      </c>
      <c r="AM5">
        <f t="shared" si="5"/>
        <v>0</v>
      </c>
      <c r="AN5">
        <f t="shared" si="6"/>
        <v>33</v>
      </c>
    </row>
    <row r="6" spans="1:40" x14ac:dyDescent="0.2">
      <c r="A6">
        <v>4</v>
      </c>
      <c r="B6" s="27">
        <f>IFERROR(IF(INDEX(Data!$B:$B,MATCH($A6,Data!$T:$T,0))="","",INDEX(Data!$B:$B,MATCH($A6,Data!$T:$T,0))),"")</f>
        <v>46289</v>
      </c>
      <c r="C6" t="str">
        <f>IFERROR(IF(INDEX(Data!$D:$D,MATCH($A6,Data!$T:$T,0))="","",INDEX(Data!$D:$D,MATCH($A6,Data!$T:$T,0))),"")</f>
        <v>Aktarul</v>
      </c>
      <c r="D6" s="27">
        <f>IFERROR(IF(INDEX(Data!$O:$O,MATCH($A6,Data!$T:$T,0))="","",INDEX(Data!$O:$O,MATCH($A6,Data!$T:$T,0))),"")</f>
        <v>46287</v>
      </c>
      <c r="E6">
        <f>COUNTIFS(Data!$T:$T,$A6)</f>
        <v>54</v>
      </c>
      <c r="F6">
        <f>COUNTIFS(Data!$T:$T,$A6,Data!$N:$N,"&lt;&gt;")</f>
        <v>0</v>
      </c>
      <c r="G6">
        <f>COUNTIFS(Data!$T:$T,$A6,Data!$N:$N,0)</f>
        <v>0</v>
      </c>
      <c r="H6" t="str">
        <f t="shared" si="0"/>
        <v/>
      </c>
      <c r="I6" t="str">
        <f>IF($F6=0,"",SUMIFS(Data!$N:$N,Data!$T:$T,$A6))</f>
        <v/>
      </c>
      <c r="J6">
        <f>COUNTIFS(Data!$T:$T,$A6,Data!$Q:$Q,"&lt;&gt;")</f>
        <v>0</v>
      </c>
      <c r="K6" t="str">
        <f>IF($J6=0,"",SUMIFS(Data!$Q:$Q,Data!$T:$T,$A6))</f>
        <v/>
      </c>
      <c r="L6">
        <f>COUNTIFS(Data!$T:$T,$A6,Data!$M:$M,"&lt;&gt;")</f>
        <v>0</v>
      </c>
      <c r="M6" t="str">
        <f t="shared" si="1"/>
        <v>not loaded</v>
      </c>
      <c r="N6">
        <f>COUNTIFS(Data!$T:$T,$A6,Data!$I:$I,"&lt;&gt;")</f>
        <v>54</v>
      </c>
      <c r="O6" t="str">
        <f t="shared" si="2"/>
        <v>No POS sales have been loaded for this date, so variance cannot be worked out. Import the sales report for this day and it fills in.</v>
      </c>
      <c r="R6">
        <v>4</v>
      </c>
      <c r="S6" t="str">
        <f>IFERROR(INDEX(Data!$G:$G,MATCH($R6,Data!$U:$U,0)),"")</f>
        <v>Chesterfield Blue</v>
      </c>
      <c r="T6" t="str">
        <f>IF(COUNTIFS(Data!$U:$U,$R6,Data!$T:$T,1,Data!$N:$N,"&lt;&gt;")=0,"",SUMIFS(Data!$N:$N,Data!$U:$U,$R6,Data!$T:$T,1))</f>
        <v/>
      </c>
      <c r="U6" t="str">
        <f>IF(COUNTIFS(Data!$U:$U,$R6,Data!$T:$T,2,Data!$N:$N,"&lt;&gt;")=0,"",SUMIFS(Data!$N:$N,Data!$U:$U,$R6,Data!$T:$T,2))</f>
        <v/>
      </c>
      <c r="V6" t="str">
        <f>IF(COUNTIFS(Data!$U:$U,$R6,Data!$T:$T,3,Data!$N:$N,"&lt;&gt;")=0,"",SUMIFS(Data!$N:$N,Data!$U:$U,$R6,Data!$T:$T,3))</f>
        <v/>
      </c>
      <c r="W6" t="str">
        <f>IF(COUNTIFS(Data!$U:$U,$R6,Data!$T:$T,4,Data!$N:$N,"&lt;&gt;")=0,"",SUMIFS(Data!$N:$N,Data!$U:$U,$R6,Data!$T:$T,4))</f>
        <v/>
      </c>
      <c r="X6" t="str">
        <f>IF(COUNTIFS(Data!$U:$U,$R6,Data!$T:$T,5,Data!$N:$N,"&lt;&gt;")=0,"",SUMIFS(Data!$N:$N,Data!$U:$U,$R6,Data!$T:$T,5))</f>
        <v/>
      </c>
      <c r="Y6" t="str">
        <f>IF(COUNTIFS(Data!$U:$U,$R6,Data!$T:$T,6,Data!$N:$N,"&lt;&gt;")=0,"",SUMIFS(Data!$N:$N,Data!$U:$U,$R6,Data!$T:$T,6))</f>
        <v/>
      </c>
      <c r="Z6" t="str">
        <f>IF(COUNTIFS(Data!$U:$U,$R6,Data!$T:$T,7,Data!$N:$N,"&lt;&gt;")=0,"",SUMIFS(Data!$N:$N,Data!$U:$U,$R6,Data!$T:$T,7))</f>
        <v/>
      </c>
      <c r="AA6">
        <f>IF(COUNTIFS(Data!$U:$U,$R6,Data!$T:$T,8,Data!$N:$N,"&lt;&gt;")=0,"",SUMIFS(Data!$N:$N,Data!$U:$U,$R6,Data!$T:$T,8))</f>
        <v>-3</v>
      </c>
      <c r="AB6">
        <f>IF(COUNTIFS(Data!$U:$U,$R6,Data!$T:$T,9,Data!$N:$N,"&lt;&gt;")=0,"",SUMIFS(Data!$N:$N,Data!$U:$U,$R6,Data!$T:$T,9))</f>
        <v>3</v>
      </c>
      <c r="AC6">
        <f>IF(COUNTIFS(Data!$U:$U,$R6,Data!$T:$T,10,Data!$N:$N,"&lt;&gt;")=0,"",SUMIFS(Data!$N:$N,Data!$U:$U,$R6,Data!$T:$T,10))</f>
        <v>0</v>
      </c>
      <c r="AD6">
        <f>IF(COUNTIFS(Data!$U:$U,$R6,Data!$T:$T,11,Data!$N:$N,"&lt;&gt;")=0,"",SUMIFS(Data!$N:$N,Data!$U:$U,$R6,Data!$T:$T,11))</f>
        <v>0</v>
      </c>
      <c r="AE6">
        <f>IF(COUNTIFS(Data!$U:$U,$R6,Data!$T:$T,12,Data!$N:$N,"&lt;&gt;")=0,"",SUMIFS(Data!$N:$N,Data!$U:$U,$R6,Data!$T:$T,12))</f>
        <v>0</v>
      </c>
      <c r="AF6" t="str">
        <f>IF(COUNTIFS(Data!$U:$U,$R6,Data!$T:$T,13,Data!$N:$N,"&lt;&gt;")=0,"",SUMIFS(Data!$N:$N,Data!$U:$U,$R6,Data!$T:$T,13))</f>
        <v/>
      </c>
      <c r="AG6" t="str">
        <f>IF(COUNTIFS(Data!$U:$U,$R6,Data!$T:$T,14,Data!$N:$N,"&lt;&gt;")=0,"",SUMIFS(Data!$N:$N,Data!$U:$U,$R6,Data!$T:$T,14))</f>
        <v/>
      </c>
      <c r="AH6">
        <f>COUNTIFS(Data!$U:$U,$R6,Data!$T:$T,"&lt;="&amp;14,Data!$N:$N,"&lt;&gt;")</f>
        <v>5</v>
      </c>
      <c r="AI6">
        <f>COUNTIFS(Data!$U:$U,$R6,Data!$T:$T,"&lt;="&amp;14,Data!$N:$N,0)</f>
        <v>3</v>
      </c>
      <c r="AJ6">
        <f t="shared" si="3"/>
        <v>2</v>
      </c>
      <c r="AK6">
        <f>IF(AH6=0,"",SUMIFS(Data!$N:$N,Data!$U:$U,$R6,Data!$T:$T,"&lt;="&amp;14))</f>
        <v>0</v>
      </c>
      <c r="AL6">
        <f t="shared" si="4"/>
        <v>3</v>
      </c>
      <c r="AM6">
        <f t="shared" si="5"/>
        <v>200000</v>
      </c>
      <c r="AN6">
        <f t="shared" si="6"/>
        <v>18</v>
      </c>
    </row>
    <row r="7" spans="1:40" x14ac:dyDescent="0.2">
      <c r="A7">
        <v>5</v>
      </c>
      <c r="B7" s="27">
        <f>IFERROR(IF(INDEX(Data!$B:$B,MATCH($A7,Data!$T:$T,0))="","",INDEX(Data!$B:$B,MATCH($A7,Data!$T:$T,0))),"")</f>
        <v>46287</v>
      </c>
      <c r="C7" t="str">
        <f>IFERROR(IF(INDEX(Data!$D:$D,MATCH($A7,Data!$T:$T,0))="","",INDEX(Data!$D:$D,MATCH($A7,Data!$T:$T,0))),"")</f>
        <v>Aktarul</v>
      </c>
      <c r="D7" s="27">
        <f>IFERROR(IF(INDEX(Data!$O:$O,MATCH($A7,Data!$T:$T,0))="","",INDEX(Data!$O:$O,MATCH($A7,Data!$T:$T,0))),"")</f>
        <v>46286</v>
      </c>
      <c r="E7">
        <f>COUNTIFS(Data!$T:$T,$A7)</f>
        <v>54</v>
      </c>
      <c r="F7">
        <f>COUNTIFS(Data!$T:$T,$A7,Data!$N:$N,"&lt;&gt;")</f>
        <v>0</v>
      </c>
      <c r="G7">
        <f>COUNTIFS(Data!$T:$T,$A7,Data!$N:$N,0)</f>
        <v>0</v>
      </c>
      <c r="H7" t="str">
        <f t="shared" si="0"/>
        <v/>
      </c>
      <c r="I7" t="str">
        <f>IF($F7=0,"",SUMIFS(Data!$N:$N,Data!$T:$T,$A7))</f>
        <v/>
      </c>
      <c r="J7">
        <f>COUNTIFS(Data!$T:$T,$A7,Data!$Q:$Q,"&lt;&gt;")</f>
        <v>0</v>
      </c>
      <c r="K7" t="str">
        <f>IF($J7=0,"",SUMIFS(Data!$Q:$Q,Data!$T:$T,$A7))</f>
        <v/>
      </c>
      <c r="L7">
        <f>COUNTIFS(Data!$T:$T,$A7,Data!$M:$M,"&lt;&gt;")</f>
        <v>0</v>
      </c>
      <c r="M7" t="str">
        <f t="shared" si="1"/>
        <v>not loaded</v>
      </c>
      <c r="N7">
        <f>COUNTIFS(Data!$T:$T,$A7,Data!$I:$I,"&lt;&gt;")</f>
        <v>54</v>
      </c>
      <c r="O7" t="str">
        <f t="shared" si="2"/>
        <v>No POS sales have been loaded for this date, so variance cannot be worked out. Import the sales report for this day and it fills in.</v>
      </c>
      <c r="R7">
        <v>5</v>
      </c>
      <c r="S7" t="str">
        <f>IFERROR(INDEX(Data!$G:$G,MATCH($R7,Data!$U:$U,0)),"")</f>
        <v>Chesterfield Charcoal</v>
      </c>
      <c r="T7" t="str">
        <f>IF(COUNTIFS(Data!$U:$U,$R7,Data!$T:$T,1,Data!$N:$N,"&lt;&gt;")=0,"",SUMIFS(Data!$N:$N,Data!$U:$U,$R7,Data!$T:$T,1))</f>
        <v/>
      </c>
      <c r="U7" t="str">
        <f>IF(COUNTIFS(Data!$U:$U,$R7,Data!$T:$T,2,Data!$N:$N,"&lt;&gt;")=0,"",SUMIFS(Data!$N:$N,Data!$U:$U,$R7,Data!$T:$T,2))</f>
        <v/>
      </c>
      <c r="V7" t="str">
        <f>IF(COUNTIFS(Data!$U:$U,$R7,Data!$T:$T,3,Data!$N:$N,"&lt;&gt;")=0,"",SUMIFS(Data!$N:$N,Data!$U:$U,$R7,Data!$T:$T,3))</f>
        <v/>
      </c>
      <c r="W7" t="str">
        <f>IF(COUNTIFS(Data!$U:$U,$R7,Data!$T:$T,4,Data!$N:$N,"&lt;&gt;")=0,"",SUMIFS(Data!$N:$N,Data!$U:$U,$R7,Data!$T:$T,4))</f>
        <v/>
      </c>
      <c r="X7" t="str">
        <f>IF(COUNTIFS(Data!$U:$U,$R7,Data!$T:$T,5,Data!$N:$N,"&lt;&gt;")=0,"",SUMIFS(Data!$N:$N,Data!$U:$U,$R7,Data!$T:$T,5))</f>
        <v/>
      </c>
      <c r="Y7" t="str">
        <f>IF(COUNTIFS(Data!$U:$U,$R7,Data!$T:$T,6,Data!$N:$N,"&lt;&gt;")=0,"",SUMIFS(Data!$N:$N,Data!$U:$U,$R7,Data!$T:$T,6))</f>
        <v/>
      </c>
      <c r="Z7" t="str">
        <f>IF(COUNTIFS(Data!$U:$U,$R7,Data!$T:$T,7,Data!$N:$N,"&lt;&gt;")=0,"",SUMIFS(Data!$N:$N,Data!$U:$U,$R7,Data!$T:$T,7))</f>
        <v/>
      </c>
      <c r="AA7">
        <f>IF(COUNTIFS(Data!$U:$U,$R7,Data!$T:$T,8,Data!$N:$N,"&lt;&gt;")=0,"",SUMIFS(Data!$N:$N,Data!$U:$U,$R7,Data!$T:$T,8))</f>
        <v>0</v>
      </c>
      <c r="AB7">
        <f>IF(COUNTIFS(Data!$U:$U,$R7,Data!$T:$T,9,Data!$N:$N,"&lt;&gt;")=0,"",SUMIFS(Data!$N:$N,Data!$U:$U,$R7,Data!$T:$T,9))</f>
        <v>0</v>
      </c>
      <c r="AC7">
        <f>IF(COUNTIFS(Data!$U:$U,$R7,Data!$T:$T,10,Data!$N:$N,"&lt;&gt;")=0,"",SUMIFS(Data!$N:$N,Data!$U:$U,$R7,Data!$T:$T,10))</f>
        <v>0</v>
      </c>
      <c r="AD7">
        <f>IF(COUNTIFS(Data!$U:$U,$R7,Data!$T:$T,11,Data!$N:$N,"&lt;&gt;")=0,"",SUMIFS(Data!$N:$N,Data!$U:$U,$R7,Data!$T:$T,11))</f>
        <v>0</v>
      </c>
      <c r="AE7">
        <f>IF(COUNTIFS(Data!$U:$U,$R7,Data!$T:$T,12,Data!$N:$N,"&lt;&gt;")=0,"",SUMIFS(Data!$N:$N,Data!$U:$U,$R7,Data!$T:$T,12))</f>
        <v>0</v>
      </c>
      <c r="AF7" t="str">
        <f>IF(COUNTIFS(Data!$U:$U,$R7,Data!$T:$T,13,Data!$N:$N,"&lt;&gt;")=0,"",SUMIFS(Data!$N:$N,Data!$U:$U,$R7,Data!$T:$T,13))</f>
        <v/>
      </c>
      <c r="AG7" t="str">
        <f>IF(COUNTIFS(Data!$U:$U,$R7,Data!$T:$T,14,Data!$N:$N,"&lt;&gt;")=0,"",SUMIFS(Data!$N:$N,Data!$U:$U,$R7,Data!$T:$T,14))</f>
        <v/>
      </c>
      <c r="AH7">
        <f>COUNTIFS(Data!$U:$U,$R7,Data!$T:$T,"&lt;="&amp;14,Data!$N:$N,"&lt;&gt;")</f>
        <v>5</v>
      </c>
      <c r="AI7">
        <f>COUNTIFS(Data!$U:$U,$R7,Data!$T:$T,"&lt;="&amp;14,Data!$N:$N,0)</f>
        <v>5</v>
      </c>
      <c r="AJ7">
        <f t="shared" si="3"/>
        <v>0</v>
      </c>
      <c r="AK7">
        <f>IF(AH7=0,"",SUMIFS(Data!$N:$N,Data!$U:$U,$R7,Data!$T:$T,"&lt;="&amp;14))</f>
        <v>0</v>
      </c>
      <c r="AL7">
        <f t="shared" si="4"/>
        <v>0</v>
      </c>
      <c r="AM7">
        <f t="shared" si="5"/>
        <v>0</v>
      </c>
      <c r="AN7">
        <f t="shared" si="6"/>
        <v>34</v>
      </c>
    </row>
    <row r="8" spans="1:40" x14ac:dyDescent="0.2">
      <c r="A8">
        <v>6</v>
      </c>
      <c r="B8" s="27">
        <f>IFERROR(IF(INDEX(Data!$B:$B,MATCH($A8,Data!$T:$T,0))="","",INDEX(Data!$B:$B,MATCH($A8,Data!$T:$T,0))),"")</f>
        <v>46286</v>
      </c>
      <c r="C8" t="str">
        <f>IFERROR(IF(INDEX(Data!$D:$D,MATCH($A8,Data!$T:$T,0))="","",INDEX(Data!$D:$D,MATCH($A8,Data!$T:$T,0))),"")</f>
        <v>Aktarul</v>
      </c>
      <c r="D8" s="27">
        <f>IFERROR(IF(INDEX(Data!$O:$O,MATCH($A8,Data!$T:$T,0))="","",INDEX(Data!$O:$O,MATCH($A8,Data!$T:$T,0))),"")</f>
        <v>46285</v>
      </c>
      <c r="E8">
        <f>COUNTIFS(Data!$T:$T,$A8)</f>
        <v>54</v>
      </c>
      <c r="F8">
        <f>COUNTIFS(Data!$T:$T,$A8,Data!$N:$N,"&lt;&gt;")</f>
        <v>0</v>
      </c>
      <c r="G8">
        <f>COUNTIFS(Data!$T:$T,$A8,Data!$N:$N,0)</f>
        <v>0</v>
      </c>
      <c r="H8" t="str">
        <f t="shared" si="0"/>
        <v/>
      </c>
      <c r="I8" t="str">
        <f>IF($F8=0,"",SUMIFS(Data!$N:$N,Data!$T:$T,$A8))</f>
        <v/>
      </c>
      <c r="J8">
        <f>COUNTIFS(Data!$T:$T,$A8,Data!$Q:$Q,"&lt;&gt;")</f>
        <v>0</v>
      </c>
      <c r="K8" t="str">
        <f>IF($J8=0,"",SUMIFS(Data!$Q:$Q,Data!$T:$T,$A8))</f>
        <v/>
      </c>
      <c r="L8">
        <f>COUNTIFS(Data!$T:$T,$A8,Data!$M:$M,"&lt;&gt;")</f>
        <v>0</v>
      </c>
      <c r="M8" t="str">
        <f t="shared" si="1"/>
        <v>not loaded</v>
      </c>
      <c r="N8">
        <f>COUNTIFS(Data!$T:$T,$A8,Data!$I:$I,"&lt;&gt;")</f>
        <v>54</v>
      </c>
      <c r="O8" t="str">
        <f t="shared" si="2"/>
        <v>No POS sales have been loaded for this date, so variance cannot be worked out. Import the sales report for this day and it fills in.</v>
      </c>
      <c r="R8">
        <v>6</v>
      </c>
      <c r="S8" t="str">
        <f>IFERROR(INDEX(Data!$G:$G,MATCH($R8,Data!$U:$U,0)),"")</f>
        <v>Chesterfield Menthol</v>
      </c>
      <c r="T8" t="str">
        <f>IF(COUNTIFS(Data!$U:$U,$R8,Data!$T:$T,1,Data!$N:$N,"&lt;&gt;")=0,"",SUMIFS(Data!$N:$N,Data!$U:$U,$R8,Data!$T:$T,1))</f>
        <v/>
      </c>
      <c r="U8" t="str">
        <f>IF(COUNTIFS(Data!$U:$U,$R8,Data!$T:$T,2,Data!$N:$N,"&lt;&gt;")=0,"",SUMIFS(Data!$N:$N,Data!$U:$U,$R8,Data!$T:$T,2))</f>
        <v/>
      </c>
      <c r="V8" t="str">
        <f>IF(COUNTIFS(Data!$U:$U,$R8,Data!$T:$T,3,Data!$N:$N,"&lt;&gt;")=0,"",SUMIFS(Data!$N:$N,Data!$U:$U,$R8,Data!$T:$T,3))</f>
        <v/>
      </c>
      <c r="W8" t="str">
        <f>IF(COUNTIFS(Data!$U:$U,$R8,Data!$T:$T,4,Data!$N:$N,"&lt;&gt;")=0,"",SUMIFS(Data!$N:$N,Data!$U:$U,$R8,Data!$T:$T,4))</f>
        <v/>
      </c>
      <c r="X8" t="str">
        <f>IF(COUNTIFS(Data!$U:$U,$R8,Data!$T:$T,5,Data!$N:$N,"&lt;&gt;")=0,"",SUMIFS(Data!$N:$N,Data!$U:$U,$R8,Data!$T:$T,5))</f>
        <v/>
      </c>
      <c r="Y8" t="str">
        <f>IF(COUNTIFS(Data!$U:$U,$R8,Data!$T:$T,6,Data!$N:$N,"&lt;&gt;")=0,"",SUMIFS(Data!$N:$N,Data!$U:$U,$R8,Data!$T:$T,6))</f>
        <v/>
      </c>
      <c r="Z8" t="str">
        <f>IF(COUNTIFS(Data!$U:$U,$R8,Data!$T:$T,7,Data!$N:$N,"&lt;&gt;")=0,"",SUMIFS(Data!$N:$N,Data!$U:$U,$R8,Data!$T:$T,7))</f>
        <v/>
      </c>
      <c r="AA8">
        <f>IF(COUNTIFS(Data!$U:$U,$R8,Data!$T:$T,8,Data!$N:$N,"&lt;&gt;")=0,"",SUMIFS(Data!$N:$N,Data!$U:$U,$R8,Data!$T:$T,8))</f>
        <v>-10</v>
      </c>
      <c r="AB8">
        <f>IF(COUNTIFS(Data!$U:$U,$R8,Data!$T:$T,9,Data!$N:$N,"&lt;&gt;")=0,"",SUMIFS(Data!$N:$N,Data!$U:$U,$R8,Data!$T:$T,9))</f>
        <v>0</v>
      </c>
      <c r="AC8">
        <f>IF(COUNTIFS(Data!$U:$U,$R8,Data!$T:$T,10,Data!$N:$N,"&lt;&gt;")=0,"",SUMIFS(Data!$N:$N,Data!$U:$U,$R8,Data!$T:$T,10))</f>
        <v>0</v>
      </c>
      <c r="AD8">
        <f>IF(COUNTIFS(Data!$U:$U,$R8,Data!$T:$T,11,Data!$N:$N,"&lt;&gt;")=0,"",SUMIFS(Data!$N:$N,Data!$U:$U,$R8,Data!$T:$T,11))</f>
        <v>0</v>
      </c>
      <c r="AE8">
        <f>IF(COUNTIFS(Data!$U:$U,$R8,Data!$T:$T,12,Data!$N:$N,"&lt;&gt;")=0,"",SUMIFS(Data!$N:$N,Data!$U:$U,$R8,Data!$T:$T,12))</f>
        <v>0</v>
      </c>
      <c r="AF8" t="str">
        <f>IF(COUNTIFS(Data!$U:$U,$R8,Data!$T:$T,13,Data!$N:$N,"&lt;&gt;")=0,"",SUMIFS(Data!$N:$N,Data!$U:$U,$R8,Data!$T:$T,13))</f>
        <v/>
      </c>
      <c r="AG8" t="str">
        <f>IF(COUNTIFS(Data!$U:$U,$R8,Data!$T:$T,14,Data!$N:$N,"&lt;&gt;")=0,"",SUMIFS(Data!$N:$N,Data!$U:$U,$R8,Data!$T:$T,14))</f>
        <v/>
      </c>
      <c r="AH8">
        <f>COUNTIFS(Data!$U:$U,$R8,Data!$T:$T,"&lt;="&amp;14,Data!$N:$N,"&lt;&gt;")</f>
        <v>5</v>
      </c>
      <c r="AI8">
        <f>COUNTIFS(Data!$U:$U,$R8,Data!$T:$T,"&lt;="&amp;14,Data!$N:$N,0)</f>
        <v>4</v>
      </c>
      <c r="AJ8">
        <f t="shared" si="3"/>
        <v>1</v>
      </c>
      <c r="AK8">
        <f>IF(AH8=0,"",SUMIFS(Data!$N:$N,Data!$U:$U,$R8,Data!$T:$T,"&lt;="&amp;14))</f>
        <v>-10</v>
      </c>
      <c r="AL8">
        <f t="shared" si="4"/>
        <v>-10</v>
      </c>
      <c r="AM8">
        <f t="shared" si="5"/>
        <v>100010</v>
      </c>
      <c r="AN8">
        <f t="shared" si="6"/>
        <v>25</v>
      </c>
    </row>
    <row r="9" spans="1:40" x14ac:dyDescent="0.2">
      <c r="A9">
        <v>7</v>
      </c>
      <c r="B9" s="27">
        <f>IFERROR(IF(INDEX(Data!$B:$B,MATCH($A9,Data!$T:$T,0))="","",INDEX(Data!$B:$B,MATCH($A9,Data!$T:$T,0))),"")</f>
        <v>46285</v>
      </c>
      <c r="C9" t="str">
        <f>IFERROR(IF(INDEX(Data!$D:$D,MATCH($A9,Data!$T:$T,0))="","",INDEX(Data!$D:$D,MATCH($A9,Data!$T:$T,0))),"")</f>
        <v>Suzy</v>
      </c>
      <c r="D9" s="27">
        <f>IFERROR(IF(INDEX(Data!$O:$O,MATCH($A9,Data!$T:$T,0))="","",INDEX(Data!$O:$O,MATCH($A9,Data!$T:$T,0))),"")</f>
        <v>46283</v>
      </c>
      <c r="E9">
        <f>COUNTIFS(Data!$T:$T,$A9)</f>
        <v>54</v>
      </c>
      <c r="F9">
        <f>COUNTIFS(Data!$T:$T,$A9,Data!$N:$N,"&lt;&gt;")</f>
        <v>0</v>
      </c>
      <c r="G9">
        <f>COUNTIFS(Data!$T:$T,$A9,Data!$N:$N,0)</f>
        <v>0</v>
      </c>
      <c r="H9" t="str">
        <f t="shared" si="0"/>
        <v/>
      </c>
      <c r="I9" t="str">
        <f>IF($F9=0,"",SUMIFS(Data!$N:$N,Data!$T:$T,$A9))</f>
        <v/>
      </c>
      <c r="J9">
        <f>COUNTIFS(Data!$T:$T,$A9,Data!$Q:$Q,"&lt;&gt;")</f>
        <v>0</v>
      </c>
      <c r="K9" t="str">
        <f>IF($J9=0,"",SUMIFS(Data!$Q:$Q,Data!$T:$T,$A9))</f>
        <v/>
      </c>
      <c r="L9">
        <f>COUNTIFS(Data!$T:$T,$A9,Data!$M:$M,"&lt;&gt;")</f>
        <v>0</v>
      </c>
      <c r="M9" t="str">
        <f t="shared" si="1"/>
        <v>not loaded</v>
      </c>
      <c r="N9">
        <f>COUNTIFS(Data!$T:$T,$A9,Data!$I:$I,"&lt;&gt;")</f>
        <v>54</v>
      </c>
      <c r="O9" t="str">
        <f t="shared" si="2"/>
        <v>No POS sales have been loaded for this date, so variance cannot be worked out. Import the sales report for this day and it fills in.</v>
      </c>
      <c r="R9">
        <v>7</v>
      </c>
      <c r="S9" t="str">
        <f>IFERROR(INDEX(Data!$G:$G,MATCH($R9,Data!$U:$U,0)),"")</f>
        <v>Chesterfield Purple</v>
      </c>
      <c r="T9" t="str">
        <f>IF(COUNTIFS(Data!$U:$U,$R9,Data!$T:$T,1,Data!$N:$N,"&lt;&gt;")=0,"",SUMIFS(Data!$N:$N,Data!$U:$U,$R9,Data!$T:$T,1))</f>
        <v/>
      </c>
      <c r="U9" t="str">
        <f>IF(COUNTIFS(Data!$U:$U,$R9,Data!$T:$T,2,Data!$N:$N,"&lt;&gt;")=0,"",SUMIFS(Data!$N:$N,Data!$U:$U,$R9,Data!$T:$T,2))</f>
        <v/>
      </c>
      <c r="V9" t="str">
        <f>IF(COUNTIFS(Data!$U:$U,$R9,Data!$T:$T,3,Data!$N:$N,"&lt;&gt;")=0,"",SUMIFS(Data!$N:$N,Data!$U:$U,$R9,Data!$T:$T,3))</f>
        <v/>
      </c>
      <c r="W9" t="str">
        <f>IF(COUNTIFS(Data!$U:$U,$R9,Data!$T:$T,4,Data!$N:$N,"&lt;&gt;")=0,"",SUMIFS(Data!$N:$N,Data!$U:$U,$R9,Data!$T:$T,4))</f>
        <v/>
      </c>
      <c r="X9" t="str">
        <f>IF(COUNTIFS(Data!$U:$U,$R9,Data!$T:$T,5,Data!$N:$N,"&lt;&gt;")=0,"",SUMIFS(Data!$N:$N,Data!$U:$U,$R9,Data!$T:$T,5))</f>
        <v/>
      </c>
      <c r="Y9" t="str">
        <f>IF(COUNTIFS(Data!$U:$U,$R9,Data!$T:$T,6,Data!$N:$N,"&lt;&gt;")=0,"",SUMIFS(Data!$N:$N,Data!$U:$U,$R9,Data!$T:$T,6))</f>
        <v/>
      </c>
      <c r="Z9" t="str">
        <f>IF(COUNTIFS(Data!$U:$U,$R9,Data!$T:$T,7,Data!$N:$N,"&lt;&gt;")=0,"",SUMIFS(Data!$N:$N,Data!$U:$U,$R9,Data!$T:$T,7))</f>
        <v/>
      </c>
      <c r="AA9">
        <f>IF(COUNTIFS(Data!$U:$U,$R9,Data!$T:$T,8,Data!$N:$N,"&lt;&gt;")=0,"",SUMIFS(Data!$N:$N,Data!$U:$U,$R9,Data!$T:$T,8))</f>
        <v>0</v>
      </c>
      <c r="AB9">
        <f>IF(COUNTIFS(Data!$U:$U,$R9,Data!$T:$T,9,Data!$N:$N,"&lt;&gt;")=0,"",SUMIFS(Data!$N:$N,Data!$U:$U,$R9,Data!$T:$T,9))</f>
        <v>0</v>
      </c>
      <c r="AC9">
        <f>IF(COUNTIFS(Data!$U:$U,$R9,Data!$T:$T,10,Data!$N:$N,"&lt;&gt;")=0,"",SUMIFS(Data!$N:$N,Data!$U:$U,$R9,Data!$T:$T,10))</f>
        <v>0</v>
      </c>
      <c r="AD9">
        <f>IF(COUNTIFS(Data!$U:$U,$R9,Data!$T:$T,11,Data!$N:$N,"&lt;&gt;")=0,"",SUMIFS(Data!$N:$N,Data!$U:$U,$R9,Data!$T:$T,11))</f>
        <v>0</v>
      </c>
      <c r="AE9">
        <f>IF(COUNTIFS(Data!$U:$U,$R9,Data!$T:$T,12,Data!$N:$N,"&lt;&gt;")=0,"",SUMIFS(Data!$N:$N,Data!$U:$U,$R9,Data!$T:$T,12))</f>
        <v>0</v>
      </c>
      <c r="AF9" t="str">
        <f>IF(COUNTIFS(Data!$U:$U,$R9,Data!$T:$T,13,Data!$N:$N,"&lt;&gt;")=0,"",SUMIFS(Data!$N:$N,Data!$U:$U,$R9,Data!$T:$T,13))</f>
        <v/>
      </c>
      <c r="AG9" t="str">
        <f>IF(COUNTIFS(Data!$U:$U,$R9,Data!$T:$T,14,Data!$N:$N,"&lt;&gt;")=0,"",SUMIFS(Data!$N:$N,Data!$U:$U,$R9,Data!$T:$T,14))</f>
        <v/>
      </c>
      <c r="AH9">
        <f>COUNTIFS(Data!$U:$U,$R9,Data!$T:$T,"&lt;="&amp;14,Data!$N:$N,"&lt;&gt;")</f>
        <v>5</v>
      </c>
      <c r="AI9">
        <f>COUNTIFS(Data!$U:$U,$R9,Data!$T:$T,"&lt;="&amp;14,Data!$N:$N,0)</f>
        <v>5</v>
      </c>
      <c r="AJ9">
        <f t="shared" si="3"/>
        <v>0</v>
      </c>
      <c r="AK9">
        <f>IF(AH9=0,"",SUMIFS(Data!$N:$N,Data!$U:$U,$R9,Data!$T:$T,"&lt;="&amp;14))</f>
        <v>0</v>
      </c>
      <c r="AL9">
        <f t="shared" si="4"/>
        <v>0</v>
      </c>
      <c r="AM9">
        <f t="shared" si="5"/>
        <v>0</v>
      </c>
      <c r="AN9">
        <f t="shared" si="6"/>
        <v>35</v>
      </c>
    </row>
    <row r="10" spans="1:40" x14ac:dyDescent="0.2">
      <c r="A10">
        <v>8</v>
      </c>
      <c r="B10" s="27">
        <f>IFERROR(IF(INDEX(Data!$B:$B,MATCH($A10,Data!$T:$T,0))="","",INDEX(Data!$B:$B,MATCH($A10,Data!$T:$T,0))),"")</f>
        <v>46283</v>
      </c>
      <c r="C10" t="str">
        <f>IFERROR(IF(INDEX(Data!$D:$D,MATCH($A10,Data!$T:$T,0))="","",INDEX(Data!$D:$D,MATCH($A10,Data!$T:$T,0))),"")</f>
        <v>Asyraf</v>
      </c>
      <c r="D10" s="27">
        <f>IFERROR(IF(INDEX(Data!$O:$O,MATCH($A10,Data!$T:$T,0))="","",INDEX(Data!$O:$O,MATCH($A10,Data!$T:$T,0))),"")</f>
        <v>46282</v>
      </c>
      <c r="E10">
        <f>COUNTIFS(Data!$T:$T,$A10)</f>
        <v>54</v>
      </c>
      <c r="F10">
        <f>COUNTIFS(Data!$T:$T,$A10,Data!$N:$N,"&lt;&gt;")</f>
        <v>54</v>
      </c>
      <c r="G10">
        <f>COUNTIFS(Data!$T:$T,$A10,Data!$N:$N,0)</f>
        <v>31</v>
      </c>
      <c r="H10">
        <f t="shared" si="0"/>
        <v>23</v>
      </c>
      <c r="I10">
        <f>IF($F10=0,"",SUMIFS(Data!$N:$N,Data!$T:$T,$A10))</f>
        <v>-127</v>
      </c>
      <c r="J10">
        <f>COUNTIFS(Data!$T:$T,$A10,Data!$Q:$Q,"&lt;&gt;")</f>
        <v>33</v>
      </c>
      <c r="K10">
        <f>IF($J10=0,"",SUMIFS(Data!$Q:$Q,Data!$T:$T,$A10))</f>
        <v>-1594.4000000000005</v>
      </c>
      <c r="L10">
        <f>COUNTIFS(Data!$T:$T,$A10,Data!$M:$M,"&lt;&gt;")</f>
        <v>54</v>
      </c>
      <c r="M10" t="str">
        <f t="shared" si="1"/>
        <v>loaded</v>
      </c>
      <c r="N10">
        <f>COUNTIFS(Data!$T:$T,$A10,Data!$I:$I,"&lt;&gt;")</f>
        <v>54</v>
      </c>
      <c r="O10" t="str">
        <f t="shared" si="2"/>
        <v>23 of 54 products disagree with the POS. Largest first below.</v>
      </c>
      <c r="R10">
        <v>8</v>
      </c>
      <c r="S10" t="str">
        <f>IFERROR(INDEX(Data!$G:$G,MATCH($R10,Data!$U:$U,0)),"")</f>
        <v>Chesterfield Red</v>
      </c>
      <c r="T10" t="str">
        <f>IF(COUNTIFS(Data!$U:$U,$R10,Data!$T:$T,1,Data!$N:$N,"&lt;&gt;")=0,"",SUMIFS(Data!$N:$N,Data!$U:$U,$R10,Data!$T:$T,1))</f>
        <v/>
      </c>
      <c r="U10" t="str">
        <f>IF(COUNTIFS(Data!$U:$U,$R10,Data!$T:$T,2,Data!$N:$N,"&lt;&gt;")=0,"",SUMIFS(Data!$N:$N,Data!$U:$U,$R10,Data!$T:$T,2))</f>
        <v/>
      </c>
      <c r="V10" t="str">
        <f>IF(COUNTIFS(Data!$U:$U,$R10,Data!$T:$T,3,Data!$N:$N,"&lt;&gt;")=0,"",SUMIFS(Data!$N:$N,Data!$U:$U,$R10,Data!$T:$T,3))</f>
        <v/>
      </c>
      <c r="W10" t="str">
        <f>IF(COUNTIFS(Data!$U:$U,$R10,Data!$T:$T,4,Data!$N:$N,"&lt;&gt;")=0,"",SUMIFS(Data!$N:$N,Data!$U:$U,$R10,Data!$T:$T,4))</f>
        <v/>
      </c>
      <c r="X10" t="str">
        <f>IF(COUNTIFS(Data!$U:$U,$R10,Data!$T:$T,5,Data!$N:$N,"&lt;&gt;")=0,"",SUMIFS(Data!$N:$N,Data!$U:$U,$R10,Data!$T:$T,5))</f>
        <v/>
      </c>
      <c r="Y10" t="str">
        <f>IF(COUNTIFS(Data!$U:$U,$R10,Data!$T:$T,6,Data!$N:$N,"&lt;&gt;")=0,"",SUMIFS(Data!$N:$N,Data!$U:$U,$R10,Data!$T:$T,6))</f>
        <v/>
      </c>
      <c r="Z10" t="str">
        <f>IF(COUNTIFS(Data!$U:$U,$R10,Data!$T:$T,7,Data!$N:$N,"&lt;&gt;")=0,"",SUMIFS(Data!$N:$N,Data!$U:$U,$R10,Data!$T:$T,7))</f>
        <v/>
      </c>
      <c r="AA10">
        <f>IF(COUNTIFS(Data!$U:$U,$R10,Data!$T:$T,8,Data!$N:$N,"&lt;&gt;")=0,"",SUMIFS(Data!$N:$N,Data!$U:$U,$R10,Data!$T:$T,8))</f>
        <v>-7</v>
      </c>
      <c r="AB10">
        <f>IF(COUNTIFS(Data!$U:$U,$R10,Data!$T:$T,9,Data!$N:$N,"&lt;&gt;")=0,"",SUMIFS(Data!$N:$N,Data!$U:$U,$R10,Data!$T:$T,9))</f>
        <v>0</v>
      </c>
      <c r="AC10">
        <f>IF(COUNTIFS(Data!$U:$U,$R10,Data!$T:$T,10,Data!$N:$N,"&lt;&gt;")=0,"",SUMIFS(Data!$N:$N,Data!$U:$U,$R10,Data!$T:$T,10))</f>
        <v>-10</v>
      </c>
      <c r="AD10">
        <f>IF(COUNTIFS(Data!$U:$U,$R10,Data!$T:$T,11,Data!$N:$N,"&lt;&gt;")=0,"",SUMIFS(Data!$N:$N,Data!$U:$U,$R10,Data!$T:$T,11))</f>
        <v>0</v>
      </c>
      <c r="AE10">
        <f>IF(COUNTIFS(Data!$U:$U,$R10,Data!$T:$T,12,Data!$N:$N,"&lt;&gt;")=0,"",SUMIFS(Data!$N:$N,Data!$U:$U,$R10,Data!$T:$T,12))</f>
        <v>-10</v>
      </c>
      <c r="AF10" t="str">
        <f>IF(COUNTIFS(Data!$U:$U,$R10,Data!$T:$T,13,Data!$N:$N,"&lt;&gt;")=0,"",SUMIFS(Data!$N:$N,Data!$U:$U,$R10,Data!$T:$T,13))</f>
        <v/>
      </c>
      <c r="AG10" t="str">
        <f>IF(COUNTIFS(Data!$U:$U,$R10,Data!$T:$T,14,Data!$N:$N,"&lt;&gt;")=0,"",SUMIFS(Data!$N:$N,Data!$U:$U,$R10,Data!$T:$T,14))</f>
        <v/>
      </c>
      <c r="AH10">
        <f>COUNTIFS(Data!$U:$U,$R10,Data!$T:$T,"&lt;="&amp;14,Data!$N:$N,"&lt;&gt;")</f>
        <v>5</v>
      </c>
      <c r="AI10">
        <f>COUNTIFS(Data!$U:$U,$R10,Data!$T:$T,"&lt;="&amp;14,Data!$N:$N,0)</f>
        <v>2</v>
      </c>
      <c r="AJ10">
        <f t="shared" si="3"/>
        <v>3</v>
      </c>
      <c r="AK10">
        <f>IF(AH10=0,"",SUMIFS(Data!$N:$N,Data!$U:$U,$R10,Data!$T:$T,"&lt;="&amp;14))</f>
        <v>-27</v>
      </c>
      <c r="AL10">
        <f t="shared" si="4"/>
        <v>-10</v>
      </c>
      <c r="AM10">
        <f t="shared" si="5"/>
        <v>300027</v>
      </c>
      <c r="AN10">
        <f t="shared" si="6"/>
        <v>4</v>
      </c>
    </row>
    <row r="11" spans="1:40" x14ac:dyDescent="0.2">
      <c r="A11">
        <v>9</v>
      </c>
      <c r="B11" s="27">
        <f>IFERROR(IF(INDEX(Data!$B:$B,MATCH($A11,Data!$T:$T,0))="","",INDEX(Data!$B:$B,MATCH($A11,Data!$T:$T,0))),"")</f>
        <v>46282</v>
      </c>
      <c r="C11" t="str">
        <f>IFERROR(IF(INDEX(Data!$D:$D,MATCH($A11,Data!$T:$T,0))="","",INDEX(Data!$D:$D,MATCH($A11,Data!$T:$T,0))),"")</f>
        <v>Luqman</v>
      </c>
      <c r="D11" s="27">
        <f>IFERROR(IF(INDEX(Data!$O:$O,MATCH($A11,Data!$T:$T,0))="","",INDEX(Data!$O:$O,MATCH($A11,Data!$T:$T,0))),"")</f>
        <v>46281</v>
      </c>
      <c r="E11">
        <f>COUNTIFS(Data!$T:$T,$A11)</f>
        <v>54</v>
      </c>
      <c r="F11">
        <f>COUNTIFS(Data!$T:$T,$A11,Data!$N:$N,"&lt;&gt;")</f>
        <v>54</v>
      </c>
      <c r="G11">
        <f>COUNTIFS(Data!$T:$T,$A11,Data!$N:$N,0)</f>
        <v>38</v>
      </c>
      <c r="H11">
        <f t="shared" si="0"/>
        <v>16</v>
      </c>
      <c r="I11">
        <f>IF($F11=0,"",SUMIFS(Data!$N:$N,Data!$T:$T,$A11))</f>
        <v>33</v>
      </c>
      <c r="J11">
        <f>COUNTIFS(Data!$T:$T,$A11,Data!$Q:$Q,"&lt;&gt;")</f>
        <v>33</v>
      </c>
      <c r="K11">
        <f>IF($J11=0,"",SUMIFS(Data!$Q:$Q,Data!$T:$T,$A11))</f>
        <v>258.70000000000005</v>
      </c>
      <c r="L11">
        <f>COUNTIFS(Data!$T:$T,$A11,Data!$M:$M,"&lt;&gt;")</f>
        <v>54</v>
      </c>
      <c r="M11" t="str">
        <f t="shared" si="1"/>
        <v>loaded</v>
      </c>
      <c r="N11">
        <f>COUNTIFS(Data!$T:$T,$A11,Data!$I:$I,"&lt;&gt;")</f>
        <v>54</v>
      </c>
      <c r="O11" t="str">
        <f t="shared" si="2"/>
        <v>16 of 54 products disagree with the POS. Largest first below.</v>
      </c>
      <c r="R11">
        <v>9</v>
      </c>
      <c r="S11" t="str">
        <f>IFERROR(INDEX(Data!$G:$G,MATCH($R11,Data!$U:$U,0)),"")</f>
        <v>Dunhill Blue</v>
      </c>
      <c r="T11" t="str">
        <f>IF(COUNTIFS(Data!$U:$U,$R11,Data!$T:$T,1,Data!$N:$N,"&lt;&gt;")=0,"",SUMIFS(Data!$N:$N,Data!$U:$U,$R11,Data!$T:$T,1))</f>
        <v/>
      </c>
      <c r="U11" t="str">
        <f>IF(COUNTIFS(Data!$U:$U,$R11,Data!$T:$T,2,Data!$N:$N,"&lt;&gt;")=0,"",SUMIFS(Data!$N:$N,Data!$U:$U,$R11,Data!$T:$T,2))</f>
        <v/>
      </c>
      <c r="V11" t="str">
        <f>IF(COUNTIFS(Data!$U:$U,$R11,Data!$T:$T,3,Data!$N:$N,"&lt;&gt;")=0,"",SUMIFS(Data!$N:$N,Data!$U:$U,$R11,Data!$T:$T,3))</f>
        <v/>
      </c>
      <c r="W11" t="str">
        <f>IF(COUNTIFS(Data!$U:$U,$R11,Data!$T:$T,4,Data!$N:$N,"&lt;&gt;")=0,"",SUMIFS(Data!$N:$N,Data!$U:$U,$R11,Data!$T:$T,4))</f>
        <v/>
      </c>
      <c r="X11" t="str">
        <f>IF(COUNTIFS(Data!$U:$U,$R11,Data!$T:$T,5,Data!$N:$N,"&lt;&gt;")=0,"",SUMIFS(Data!$N:$N,Data!$U:$U,$R11,Data!$T:$T,5))</f>
        <v/>
      </c>
      <c r="Y11" t="str">
        <f>IF(COUNTIFS(Data!$U:$U,$R11,Data!$T:$T,6,Data!$N:$N,"&lt;&gt;")=0,"",SUMIFS(Data!$N:$N,Data!$U:$U,$R11,Data!$T:$T,6))</f>
        <v/>
      </c>
      <c r="Z11" t="str">
        <f>IF(COUNTIFS(Data!$U:$U,$R11,Data!$T:$T,7,Data!$N:$N,"&lt;&gt;")=0,"",SUMIFS(Data!$N:$N,Data!$U:$U,$R11,Data!$T:$T,7))</f>
        <v/>
      </c>
      <c r="AA11">
        <f>IF(COUNTIFS(Data!$U:$U,$R11,Data!$T:$T,8,Data!$N:$N,"&lt;&gt;")=0,"",SUMIFS(Data!$N:$N,Data!$U:$U,$R11,Data!$T:$T,8))</f>
        <v>-7</v>
      </c>
      <c r="AB11">
        <f>IF(COUNTIFS(Data!$U:$U,$R11,Data!$T:$T,9,Data!$N:$N,"&lt;&gt;")=0,"",SUMIFS(Data!$N:$N,Data!$U:$U,$R11,Data!$T:$T,9))</f>
        <v>12</v>
      </c>
      <c r="AC11">
        <f>IF(COUNTIFS(Data!$U:$U,$R11,Data!$T:$T,10,Data!$N:$N,"&lt;&gt;")=0,"",SUMIFS(Data!$N:$N,Data!$U:$U,$R11,Data!$T:$T,10))</f>
        <v>0</v>
      </c>
      <c r="AD11">
        <f>IF(COUNTIFS(Data!$U:$U,$R11,Data!$T:$T,11,Data!$N:$N,"&lt;&gt;")=0,"",SUMIFS(Data!$N:$N,Data!$U:$U,$R11,Data!$T:$T,11))</f>
        <v>0</v>
      </c>
      <c r="AE11">
        <f>IF(COUNTIFS(Data!$U:$U,$R11,Data!$T:$T,12,Data!$N:$N,"&lt;&gt;")=0,"",SUMIFS(Data!$N:$N,Data!$U:$U,$R11,Data!$T:$T,12))</f>
        <v>0</v>
      </c>
      <c r="AF11" t="str">
        <f>IF(COUNTIFS(Data!$U:$U,$R11,Data!$T:$T,13,Data!$N:$N,"&lt;&gt;")=0,"",SUMIFS(Data!$N:$N,Data!$U:$U,$R11,Data!$T:$T,13))</f>
        <v/>
      </c>
      <c r="AG11" t="str">
        <f>IF(COUNTIFS(Data!$U:$U,$R11,Data!$T:$T,14,Data!$N:$N,"&lt;&gt;")=0,"",SUMIFS(Data!$N:$N,Data!$U:$U,$R11,Data!$T:$T,14))</f>
        <v/>
      </c>
      <c r="AH11">
        <f>COUNTIFS(Data!$U:$U,$R11,Data!$T:$T,"&lt;="&amp;14,Data!$N:$N,"&lt;&gt;")</f>
        <v>5</v>
      </c>
      <c r="AI11">
        <f>COUNTIFS(Data!$U:$U,$R11,Data!$T:$T,"&lt;="&amp;14,Data!$N:$N,0)</f>
        <v>3</v>
      </c>
      <c r="AJ11">
        <f t="shared" si="3"/>
        <v>2</v>
      </c>
      <c r="AK11">
        <f>IF(AH11=0,"",SUMIFS(Data!$N:$N,Data!$U:$U,$R11,Data!$T:$T,"&lt;="&amp;14))</f>
        <v>5</v>
      </c>
      <c r="AL11">
        <f t="shared" si="4"/>
        <v>12</v>
      </c>
      <c r="AM11">
        <f t="shared" si="5"/>
        <v>200005</v>
      </c>
      <c r="AN11">
        <f t="shared" si="6"/>
        <v>14</v>
      </c>
    </row>
    <row r="12" spans="1:40" x14ac:dyDescent="0.2">
      <c r="A12">
        <v>10</v>
      </c>
      <c r="B12" s="27">
        <f>IFERROR(IF(INDEX(Data!$B:$B,MATCH($A12,Data!$T:$T,0))="","",INDEX(Data!$B:$B,MATCH($A12,Data!$T:$T,0))),"")</f>
        <v>46281</v>
      </c>
      <c r="C12" t="str">
        <f>IFERROR(IF(INDEX(Data!$D:$D,MATCH($A12,Data!$T:$T,0))="","",INDEX(Data!$D:$D,MATCH($A12,Data!$T:$T,0))),"")</f>
        <v>Suzy</v>
      </c>
      <c r="D12" s="27">
        <f>IFERROR(IF(INDEX(Data!$O:$O,MATCH($A12,Data!$T:$T,0))="","",INDEX(Data!$O:$O,MATCH($A12,Data!$T:$T,0))),"")</f>
        <v>46280</v>
      </c>
      <c r="E12">
        <f>COUNTIFS(Data!$T:$T,$A12)</f>
        <v>54</v>
      </c>
      <c r="F12">
        <f>COUNTIFS(Data!$T:$T,$A12,Data!$N:$N,"&lt;&gt;")</f>
        <v>54</v>
      </c>
      <c r="G12">
        <f>COUNTIFS(Data!$T:$T,$A12,Data!$N:$N,0)</f>
        <v>48</v>
      </c>
      <c r="H12">
        <f t="shared" si="0"/>
        <v>6</v>
      </c>
      <c r="I12">
        <f>IF($F12=0,"",SUMIFS(Data!$N:$N,Data!$T:$T,$A12))</f>
        <v>-60</v>
      </c>
      <c r="J12">
        <f>COUNTIFS(Data!$T:$T,$A12,Data!$Q:$Q,"&lt;&gt;")</f>
        <v>27</v>
      </c>
      <c r="K12">
        <f>IF($J12=0,"",SUMIFS(Data!$Q:$Q,Data!$T:$T,$A12))</f>
        <v>-984</v>
      </c>
      <c r="L12">
        <f>COUNTIFS(Data!$T:$T,$A12,Data!$M:$M,"&lt;&gt;")</f>
        <v>54</v>
      </c>
      <c r="M12" t="str">
        <f t="shared" si="1"/>
        <v>loaded</v>
      </c>
      <c r="N12">
        <f>COUNTIFS(Data!$T:$T,$A12,Data!$I:$I,"&lt;&gt;")</f>
        <v>54</v>
      </c>
      <c r="O12" t="str">
        <f t="shared" si="2"/>
        <v>6 of 54 products disagree with the POS. Largest first below.</v>
      </c>
      <c r="R12">
        <v>10</v>
      </c>
      <c r="S12" t="str">
        <f>IFERROR(INDEX(Data!$G:$G,MATCH($R12,Data!$U:$U,0)),"")</f>
        <v>Dunhill Boost</v>
      </c>
      <c r="T12" t="str">
        <f>IF(COUNTIFS(Data!$U:$U,$R12,Data!$T:$T,1,Data!$N:$N,"&lt;&gt;")=0,"",SUMIFS(Data!$N:$N,Data!$U:$U,$R12,Data!$T:$T,1))</f>
        <v/>
      </c>
      <c r="U12" t="str">
        <f>IF(COUNTIFS(Data!$U:$U,$R12,Data!$T:$T,2,Data!$N:$N,"&lt;&gt;")=0,"",SUMIFS(Data!$N:$N,Data!$U:$U,$R12,Data!$T:$T,2))</f>
        <v/>
      </c>
      <c r="V12" t="str">
        <f>IF(COUNTIFS(Data!$U:$U,$R12,Data!$T:$T,3,Data!$N:$N,"&lt;&gt;")=0,"",SUMIFS(Data!$N:$N,Data!$U:$U,$R12,Data!$T:$T,3))</f>
        <v/>
      </c>
      <c r="W12" t="str">
        <f>IF(COUNTIFS(Data!$U:$U,$R12,Data!$T:$T,4,Data!$N:$N,"&lt;&gt;")=0,"",SUMIFS(Data!$N:$N,Data!$U:$U,$R12,Data!$T:$T,4))</f>
        <v/>
      </c>
      <c r="X12" t="str">
        <f>IF(COUNTIFS(Data!$U:$U,$R12,Data!$T:$T,5,Data!$N:$N,"&lt;&gt;")=0,"",SUMIFS(Data!$N:$N,Data!$U:$U,$R12,Data!$T:$T,5))</f>
        <v/>
      </c>
      <c r="Y12" t="str">
        <f>IF(COUNTIFS(Data!$U:$U,$R12,Data!$T:$T,6,Data!$N:$N,"&lt;&gt;")=0,"",SUMIFS(Data!$N:$N,Data!$U:$U,$R12,Data!$T:$T,6))</f>
        <v/>
      </c>
      <c r="Z12" t="str">
        <f>IF(COUNTIFS(Data!$U:$U,$R12,Data!$T:$T,7,Data!$N:$N,"&lt;&gt;")=0,"",SUMIFS(Data!$N:$N,Data!$U:$U,$R12,Data!$T:$T,7))</f>
        <v/>
      </c>
      <c r="AA12">
        <f>IF(COUNTIFS(Data!$U:$U,$R12,Data!$T:$T,8,Data!$N:$N,"&lt;&gt;")=0,"",SUMIFS(Data!$N:$N,Data!$U:$U,$R12,Data!$T:$T,8))</f>
        <v>0</v>
      </c>
      <c r="AB12">
        <f>IF(COUNTIFS(Data!$U:$U,$R12,Data!$T:$T,9,Data!$N:$N,"&lt;&gt;")=0,"",SUMIFS(Data!$N:$N,Data!$U:$U,$R12,Data!$T:$T,9))</f>
        <v>0</v>
      </c>
      <c r="AC12">
        <f>IF(COUNTIFS(Data!$U:$U,$R12,Data!$T:$T,10,Data!$N:$N,"&lt;&gt;")=0,"",SUMIFS(Data!$N:$N,Data!$U:$U,$R12,Data!$T:$T,10))</f>
        <v>0</v>
      </c>
      <c r="AD12">
        <f>IF(COUNTIFS(Data!$U:$U,$R12,Data!$T:$T,11,Data!$N:$N,"&lt;&gt;")=0,"",SUMIFS(Data!$N:$N,Data!$U:$U,$R12,Data!$T:$T,11))</f>
        <v>0</v>
      </c>
      <c r="AE12">
        <f>IF(COUNTIFS(Data!$U:$U,$R12,Data!$T:$T,12,Data!$N:$N,"&lt;&gt;")=0,"",SUMIFS(Data!$N:$N,Data!$U:$U,$R12,Data!$T:$T,12))</f>
        <v>0</v>
      </c>
      <c r="AF12" t="str">
        <f>IF(COUNTIFS(Data!$U:$U,$R12,Data!$T:$T,13,Data!$N:$N,"&lt;&gt;")=0,"",SUMIFS(Data!$N:$N,Data!$U:$U,$R12,Data!$T:$T,13))</f>
        <v/>
      </c>
      <c r="AG12" t="str">
        <f>IF(COUNTIFS(Data!$U:$U,$R12,Data!$T:$T,14,Data!$N:$N,"&lt;&gt;")=0,"",SUMIFS(Data!$N:$N,Data!$U:$U,$R12,Data!$T:$T,14))</f>
        <v/>
      </c>
      <c r="AH12">
        <f>COUNTIFS(Data!$U:$U,$R12,Data!$T:$T,"&lt;="&amp;14,Data!$N:$N,"&lt;&gt;")</f>
        <v>5</v>
      </c>
      <c r="AI12">
        <f>COUNTIFS(Data!$U:$U,$R12,Data!$T:$T,"&lt;="&amp;14,Data!$N:$N,0)</f>
        <v>5</v>
      </c>
      <c r="AJ12">
        <f t="shared" si="3"/>
        <v>0</v>
      </c>
      <c r="AK12">
        <f>IF(AH12=0,"",SUMIFS(Data!$N:$N,Data!$U:$U,$R12,Data!$T:$T,"&lt;="&amp;14))</f>
        <v>0</v>
      </c>
      <c r="AL12">
        <f t="shared" si="4"/>
        <v>0</v>
      </c>
      <c r="AM12">
        <f t="shared" si="5"/>
        <v>0</v>
      </c>
      <c r="AN12">
        <f t="shared" si="6"/>
        <v>36</v>
      </c>
    </row>
    <row r="13" spans="1:40" x14ac:dyDescent="0.2">
      <c r="A13">
        <v>11</v>
      </c>
      <c r="B13" s="27">
        <f>IFERROR(IF(INDEX(Data!$B:$B,MATCH($A13,Data!$T:$T,0))="","",INDEX(Data!$B:$B,MATCH($A13,Data!$T:$T,0))),"")</f>
        <v>46280</v>
      </c>
      <c r="C13" t="str">
        <f>IFERROR(IF(INDEX(Data!$D:$D,MATCH($A13,Data!$T:$T,0))="","",INDEX(Data!$D:$D,MATCH($A13,Data!$T:$T,0))),"")</f>
        <v>Suzy</v>
      </c>
      <c r="D13" s="27">
        <f>IFERROR(IF(INDEX(Data!$O:$O,MATCH($A13,Data!$T:$T,0))="","",INDEX(Data!$O:$O,MATCH($A13,Data!$T:$T,0))),"")</f>
        <v>46279</v>
      </c>
      <c r="E13">
        <f>COUNTIFS(Data!$T:$T,$A13)</f>
        <v>54</v>
      </c>
      <c r="F13">
        <f>COUNTIFS(Data!$T:$T,$A13,Data!$N:$N,"&lt;&gt;")</f>
        <v>54</v>
      </c>
      <c r="G13">
        <f>COUNTIFS(Data!$T:$T,$A13,Data!$N:$N,0)</f>
        <v>44</v>
      </c>
      <c r="H13">
        <f t="shared" si="0"/>
        <v>10</v>
      </c>
      <c r="I13">
        <f>IF($F13=0,"",SUMIFS(Data!$N:$N,Data!$T:$T,$A13))</f>
        <v>-99</v>
      </c>
      <c r="J13">
        <f>COUNTIFS(Data!$T:$T,$A13,Data!$Q:$Q,"&lt;&gt;")</f>
        <v>29</v>
      </c>
      <c r="K13">
        <f>IF($J13=0,"",SUMIFS(Data!$Q:$Q,Data!$T:$T,$A13))</f>
        <v>-1691.63</v>
      </c>
      <c r="L13">
        <f>COUNTIFS(Data!$T:$T,$A13,Data!$M:$M,"&lt;&gt;")</f>
        <v>54</v>
      </c>
      <c r="M13" t="str">
        <f t="shared" si="1"/>
        <v>loaded</v>
      </c>
      <c r="N13">
        <f>COUNTIFS(Data!$T:$T,$A13,Data!$I:$I,"&lt;&gt;")</f>
        <v>54</v>
      </c>
      <c r="O13" t="str">
        <f t="shared" si="2"/>
        <v>10 of 54 products disagree with the POS. Largest first below.</v>
      </c>
      <c r="R13">
        <v>11</v>
      </c>
      <c r="S13" t="str">
        <f>IFERROR(INDEX(Data!$G:$G,MATCH($R13,Data!$U:$U,0)),"")</f>
        <v>Dunhill Classic</v>
      </c>
      <c r="T13" t="str">
        <f>IF(COUNTIFS(Data!$U:$U,$R13,Data!$T:$T,1,Data!$N:$N,"&lt;&gt;")=0,"",SUMIFS(Data!$N:$N,Data!$U:$U,$R13,Data!$T:$T,1))</f>
        <v/>
      </c>
      <c r="U13" t="str">
        <f>IF(COUNTIFS(Data!$U:$U,$R13,Data!$T:$T,2,Data!$N:$N,"&lt;&gt;")=0,"",SUMIFS(Data!$N:$N,Data!$U:$U,$R13,Data!$T:$T,2))</f>
        <v/>
      </c>
      <c r="V13" t="str">
        <f>IF(COUNTIFS(Data!$U:$U,$R13,Data!$T:$T,3,Data!$N:$N,"&lt;&gt;")=0,"",SUMIFS(Data!$N:$N,Data!$U:$U,$R13,Data!$T:$T,3))</f>
        <v/>
      </c>
      <c r="W13" t="str">
        <f>IF(COUNTIFS(Data!$U:$U,$R13,Data!$T:$T,4,Data!$N:$N,"&lt;&gt;")=0,"",SUMIFS(Data!$N:$N,Data!$U:$U,$R13,Data!$T:$T,4))</f>
        <v/>
      </c>
      <c r="X13" t="str">
        <f>IF(COUNTIFS(Data!$U:$U,$R13,Data!$T:$T,5,Data!$N:$N,"&lt;&gt;")=0,"",SUMIFS(Data!$N:$N,Data!$U:$U,$R13,Data!$T:$T,5))</f>
        <v/>
      </c>
      <c r="Y13" t="str">
        <f>IF(COUNTIFS(Data!$U:$U,$R13,Data!$T:$T,6,Data!$N:$N,"&lt;&gt;")=0,"",SUMIFS(Data!$N:$N,Data!$U:$U,$R13,Data!$T:$T,6))</f>
        <v/>
      </c>
      <c r="Z13" t="str">
        <f>IF(COUNTIFS(Data!$U:$U,$R13,Data!$T:$T,7,Data!$N:$N,"&lt;&gt;")=0,"",SUMIFS(Data!$N:$N,Data!$U:$U,$R13,Data!$T:$T,7))</f>
        <v/>
      </c>
      <c r="AA13">
        <f>IF(COUNTIFS(Data!$U:$U,$R13,Data!$T:$T,8,Data!$N:$N,"&lt;&gt;")=0,"",SUMIFS(Data!$N:$N,Data!$U:$U,$R13,Data!$T:$T,8))</f>
        <v>-30</v>
      </c>
      <c r="AB13">
        <f>IF(COUNTIFS(Data!$U:$U,$R13,Data!$T:$T,9,Data!$N:$N,"&lt;&gt;")=0,"",SUMIFS(Data!$N:$N,Data!$U:$U,$R13,Data!$T:$T,9))</f>
        <v>0</v>
      </c>
      <c r="AC13">
        <f>IF(COUNTIFS(Data!$U:$U,$R13,Data!$T:$T,10,Data!$N:$N,"&lt;&gt;")=0,"",SUMIFS(Data!$N:$N,Data!$U:$U,$R13,Data!$T:$T,10))</f>
        <v>-30</v>
      </c>
      <c r="AD13">
        <f>IF(COUNTIFS(Data!$U:$U,$R13,Data!$T:$T,11,Data!$N:$N,"&lt;&gt;")=0,"",SUMIFS(Data!$N:$N,Data!$U:$U,$R13,Data!$T:$T,11))</f>
        <v>-30</v>
      </c>
      <c r="AE13">
        <f>IF(COUNTIFS(Data!$U:$U,$R13,Data!$T:$T,12,Data!$N:$N,"&lt;&gt;")=0,"",SUMIFS(Data!$N:$N,Data!$U:$U,$R13,Data!$T:$T,12))</f>
        <v>-20</v>
      </c>
      <c r="AF13" t="str">
        <f>IF(COUNTIFS(Data!$U:$U,$R13,Data!$T:$T,13,Data!$N:$N,"&lt;&gt;")=0,"",SUMIFS(Data!$N:$N,Data!$U:$U,$R13,Data!$T:$T,13))</f>
        <v/>
      </c>
      <c r="AG13" t="str">
        <f>IF(COUNTIFS(Data!$U:$U,$R13,Data!$T:$T,14,Data!$N:$N,"&lt;&gt;")=0,"",SUMIFS(Data!$N:$N,Data!$U:$U,$R13,Data!$T:$T,14))</f>
        <v/>
      </c>
      <c r="AH13">
        <f>COUNTIFS(Data!$U:$U,$R13,Data!$T:$T,"&lt;="&amp;14,Data!$N:$N,"&lt;&gt;")</f>
        <v>5</v>
      </c>
      <c r="AI13">
        <f>COUNTIFS(Data!$U:$U,$R13,Data!$T:$T,"&lt;="&amp;14,Data!$N:$N,0)</f>
        <v>1</v>
      </c>
      <c r="AJ13">
        <f t="shared" si="3"/>
        <v>4</v>
      </c>
      <c r="AK13">
        <f>IF(AH13=0,"",SUMIFS(Data!$N:$N,Data!$U:$U,$R13,Data!$T:$T,"&lt;="&amp;14))</f>
        <v>-110</v>
      </c>
      <c r="AL13">
        <f t="shared" si="4"/>
        <v>-30</v>
      </c>
      <c r="AM13">
        <f t="shared" si="5"/>
        <v>400110</v>
      </c>
      <c r="AN13">
        <f t="shared" si="6"/>
        <v>2</v>
      </c>
    </row>
    <row r="14" spans="1:40" x14ac:dyDescent="0.2">
      <c r="A14">
        <v>12</v>
      </c>
      <c r="B14" s="27">
        <f>IFERROR(IF(INDEX(Data!$B:$B,MATCH($A14,Data!$T:$T,0))="","",INDEX(Data!$B:$B,MATCH($A14,Data!$T:$T,0))),"")</f>
        <v>46279</v>
      </c>
      <c r="C14" t="str">
        <f>IFERROR(IF(INDEX(Data!$D:$D,MATCH($A14,Data!$T:$T,0))="","",INDEX(Data!$D:$D,MATCH($A14,Data!$T:$T,0))),"")</f>
        <v>Aktarul</v>
      </c>
      <c r="D14" s="27">
        <f>IFERROR(IF(INDEX(Data!$O:$O,MATCH($A14,Data!$T:$T,0))="","",INDEX(Data!$O:$O,MATCH($A14,Data!$T:$T,0))),"")</f>
        <v>46278</v>
      </c>
      <c r="E14">
        <f>COUNTIFS(Data!$T:$T,$A14)</f>
        <v>54</v>
      </c>
      <c r="F14">
        <f>COUNTIFS(Data!$T:$T,$A14,Data!$N:$N,"&lt;&gt;")</f>
        <v>54</v>
      </c>
      <c r="G14">
        <f>COUNTIFS(Data!$T:$T,$A14,Data!$N:$N,0)</f>
        <v>41</v>
      </c>
      <c r="H14">
        <f t="shared" si="0"/>
        <v>13</v>
      </c>
      <c r="I14">
        <f>IF($F14=0,"",SUMIFS(Data!$N:$N,Data!$T:$T,$A14))</f>
        <v>-131</v>
      </c>
      <c r="J14">
        <f>COUNTIFS(Data!$T:$T,$A14,Data!$Q:$Q,"&lt;&gt;")</f>
        <v>28</v>
      </c>
      <c r="K14">
        <f>IF($J14=0,"",SUMIFS(Data!$Q:$Q,Data!$T:$T,$A14))</f>
        <v>-1942.8000000000002</v>
      </c>
      <c r="L14">
        <f>COUNTIFS(Data!$T:$T,$A14,Data!$M:$M,"&lt;&gt;")</f>
        <v>54</v>
      </c>
      <c r="M14" t="str">
        <f t="shared" si="1"/>
        <v>loaded</v>
      </c>
      <c r="N14">
        <f>COUNTIFS(Data!$T:$T,$A14,Data!$I:$I,"&lt;&gt;")</f>
        <v>54</v>
      </c>
      <c r="O14" t="str">
        <f t="shared" si="2"/>
        <v>13 of 54 products disagree with the POS. Largest first below.</v>
      </c>
      <c r="R14">
        <v>12</v>
      </c>
      <c r="S14" t="str">
        <f>IFERROR(INDEX(Data!$G:$G,MATCH($R14,Data!$U:$U,0)),"")</f>
        <v>Dunhill Menthol</v>
      </c>
      <c r="T14" t="str">
        <f>IF(COUNTIFS(Data!$U:$U,$R14,Data!$T:$T,1,Data!$N:$N,"&lt;&gt;")=0,"",SUMIFS(Data!$N:$N,Data!$U:$U,$R14,Data!$T:$T,1))</f>
        <v/>
      </c>
      <c r="U14" t="str">
        <f>IF(COUNTIFS(Data!$U:$U,$R14,Data!$T:$T,2,Data!$N:$N,"&lt;&gt;")=0,"",SUMIFS(Data!$N:$N,Data!$U:$U,$R14,Data!$T:$T,2))</f>
        <v/>
      </c>
      <c r="V14" t="str">
        <f>IF(COUNTIFS(Data!$U:$U,$R14,Data!$T:$T,3,Data!$N:$N,"&lt;&gt;")=0,"",SUMIFS(Data!$N:$N,Data!$U:$U,$R14,Data!$T:$T,3))</f>
        <v/>
      </c>
      <c r="W14" t="str">
        <f>IF(COUNTIFS(Data!$U:$U,$R14,Data!$T:$T,4,Data!$N:$N,"&lt;&gt;")=0,"",SUMIFS(Data!$N:$N,Data!$U:$U,$R14,Data!$T:$T,4))</f>
        <v/>
      </c>
      <c r="X14" t="str">
        <f>IF(COUNTIFS(Data!$U:$U,$R14,Data!$T:$T,5,Data!$N:$N,"&lt;&gt;")=0,"",SUMIFS(Data!$N:$N,Data!$U:$U,$R14,Data!$T:$T,5))</f>
        <v/>
      </c>
      <c r="Y14" t="str">
        <f>IF(COUNTIFS(Data!$U:$U,$R14,Data!$T:$T,6,Data!$N:$N,"&lt;&gt;")=0,"",SUMIFS(Data!$N:$N,Data!$U:$U,$R14,Data!$T:$T,6))</f>
        <v/>
      </c>
      <c r="Z14" t="str">
        <f>IF(COUNTIFS(Data!$U:$U,$R14,Data!$T:$T,7,Data!$N:$N,"&lt;&gt;")=0,"",SUMIFS(Data!$N:$N,Data!$U:$U,$R14,Data!$T:$T,7))</f>
        <v/>
      </c>
      <c r="AA14">
        <f>IF(COUNTIFS(Data!$U:$U,$R14,Data!$T:$T,8,Data!$N:$N,"&lt;&gt;")=0,"",SUMIFS(Data!$N:$N,Data!$U:$U,$R14,Data!$T:$T,8))</f>
        <v>0</v>
      </c>
      <c r="AB14">
        <f>IF(COUNTIFS(Data!$U:$U,$R14,Data!$T:$T,9,Data!$N:$N,"&lt;&gt;")=0,"",SUMIFS(Data!$N:$N,Data!$U:$U,$R14,Data!$T:$T,9))</f>
        <v>0</v>
      </c>
      <c r="AC14">
        <f>IF(COUNTIFS(Data!$U:$U,$R14,Data!$T:$T,10,Data!$N:$N,"&lt;&gt;")=0,"",SUMIFS(Data!$N:$N,Data!$U:$U,$R14,Data!$T:$T,10))</f>
        <v>0</v>
      </c>
      <c r="AD14">
        <f>IF(COUNTIFS(Data!$U:$U,$R14,Data!$T:$T,11,Data!$N:$N,"&lt;&gt;")=0,"",SUMIFS(Data!$N:$N,Data!$U:$U,$R14,Data!$T:$T,11))</f>
        <v>0</v>
      </c>
      <c r="AE14">
        <f>IF(COUNTIFS(Data!$U:$U,$R14,Data!$T:$T,12,Data!$N:$N,"&lt;&gt;")=0,"",SUMIFS(Data!$N:$N,Data!$U:$U,$R14,Data!$T:$T,12))</f>
        <v>0</v>
      </c>
      <c r="AF14" t="str">
        <f>IF(COUNTIFS(Data!$U:$U,$R14,Data!$T:$T,13,Data!$N:$N,"&lt;&gt;")=0,"",SUMIFS(Data!$N:$N,Data!$U:$U,$R14,Data!$T:$T,13))</f>
        <v/>
      </c>
      <c r="AG14" t="str">
        <f>IF(COUNTIFS(Data!$U:$U,$R14,Data!$T:$T,14,Data!$N:$N,"&lt;&gt;")=0,"",SUMIFS(Data!$N:$N,Data!$U:$U,$R14,Data!$T:$T,14))</f>
        <v/>
      </c>
      <c r="AH14">
        <f>COUNTIFS(Data!$U:$U,$R14,Data!$T:$T,"&lt;="&amp;14,Data!$N:$N,"&lt;&gt;")</f>
        <v>5</v>
      </c>
      <c r="AI14">
        <f>COUNTIFS(Data!$U:$U,$R14,Data!$T:$T,"&lt;="&amp;14,Data!$N:$N,0)</f>
        <v>5</v>
      </c>
      <c r="AJ14">
        <f t="shared" si="3"/>
        <v>0</v>
      </c>
      <c r="AK14">
        <f>IF(AH14=0,"",SUMIFS(Data!$N:$N,Data!$U:$U,$R14,Data!$T:$T,"&lt;="&amp;14))</f>
        <v>0</v>
      </c>
      <c r="AL14">
        <f t="shared" si="4"/>
        <v>0</v>
      </c>
      <c r="AM14">
        <f t="shared" si="5"/>
        <v>0</v>
      </c>
      <c r="AN14">
        <f t="shared" si="6"/>
        <v>37</v>
      </c>
    </row>
    <row r="15" spans="1:40" x14ac:dyDescent="0.2">
      <c r="A15">
        <v>13</v>
      </c>
      <c r="B15" s="27">
        <f>IFERROR(IF(INDEX(Data!$B:$B,MATCH($A15,Data!$T:$T,0))="","",INDEX(Data!$B:$B,MATCH($A15,Data!$T:$T,0))),"")</f>
        <v>46278</v>
      </c>
      <c r="C15" t="str">
        <f>IFERROR(IF(INDEX(Data!$D:$D,MATCH($A15,Data!$T:$T,0))="","",INDEX(Data!$D:$D,MATCH($A15,Data!$T:$T,0))),"")</f>
        <v>Aktarul</v>
      </c>
      <c r="D15" s="27">
        <f>IFERROR(IF(INDEX(Data!$O:$O,MATCH($A15,Data!$T:$T,0))="","",INDEX(Data!$O:$O,MATCH($A15,Data!$T:$T,0))),"")</f>
        <v>46277</v>
      </c>
      <c r="E15">
        <f>COUNTIFS(Data!$T:$T,$A15)</f>
        <v>54</v>
      </c>
      <c r="F15">
        <f>COUNTIFS(Data!$T:$T,$A15,Data!$N:$N,"&lt;&gt;")</f>
        <v>0</v>
      </c>
      <c r="G15">
        <f>COUNTIFS(Data!$T:$T,$A15,Data!$N:$N,0)</f>
        <v>0</v>
      </c>
      <c r="H15" t="str">
        <f t="shared" si="0"/>
        <v/>
      </c>
      <c r="I15" t="str">
        <f>IF($F15=0,"",SUMIFS(Data!$N:$N,Data!$T:$T,$A15))</f>
        <v/>
      </c>
      <c r="J15">
        <f>COUNTIFS(Data!$T:$T,$A15,Data!$Q:$Q,"&lt;&gt;")</f>
        <v>0</v>
      </c>
      <c r="K15" t="str">
        <f>IF($J15=0,"",SUMIFS(Data!$Q:$Q,Data!$T:$T,$A15))</f>
        <v/>
      </c>
      <c r="L15">
        <f>COUNTIFS(Data!$T:$T,$A15,Data!$M:$M,"&lt;&gt;")</f>
        <v>0</v>
      </c>
      <c r="M15" t="str">
        <f t="shared" si="1"/>
        <v>not loaded</v>
      </c>
      <c r="N15">
        <f>COUNTIFS(Data!$T:$T,$A15,Data!$I:$I,"&lt;&gt;")</f>
        <v>54</v>
      </c>
      <c r="O15" t="str">
        <f t="shared" si="2"/>
        <v>No POS sales have been loaded for this date, so variance cannot be worked out. Import the sales report for this day and it fills in.</v>
      </c>
      <c r="R15">
        <v>13</v>
      </c>
      <c r="S15" t="str">
        <f>IFERROR(INDEX(Data!$G:$G,MATCH($R15,Data!$U:$U,0)),"")</f>
        <v>Dunhill Mix</v>
      </c>
      <c r="T15" t="str">
        <f>IF(COUNTIFS(Data!$U:$U,$R15,Data!$T:$T,1,Data!$N:$N,"&lt;&gt;")=0,"",SUMIFS(Data!$N:$N,Data!$U:$U,$R15,Data!$T:$T,1))</f>
        <v/>
      </c>
      <c r="U15" t="str">
        <f>IF(COUNTIFS(Data!$U:$U,$R15,Data!$T:$T,2,Data!$N:$N,"&lt;&gt;")=0,"",SUMIFS(Data!$N:$N,Data!$U:$U,$R15,Data!$T:$T,2))</f>
        <v/>
      </c>
      <c r="V15" t="str">
        <f>IF(COUNTIFS(Data!$U:$U,$R15,Data!$T:$T,3,Data!$N:$N,"&lt;&gt;")=0,"",SUMIFS(Data!$N:$N,Data!$U:$U,$R15,Data!$T:$T,3))</f>
        <v/>
      </c>
      <c r="W15" t="str">
        <f>IF(COUNTIFS(Data!$U:$U,$R15,Data!$T:$T,4,Data!$N:$N,"&lt;&gt;")=0,"",SUMIFS(Data!$N:$N,Data!$U:$U,$R15,Data!$T:$T,4))</f>
        <v/>
      </c>
      <c r="X15" t="str">
        <f>IF(COUNTIFS(Data!$U:$U,$R15,Data!$T:$T,5,Data!$N:$N,"&lt;&gt;")=0,"",SUMIFS(Data!$N:$N,Data!$U:$U,$R15,Data!$T:$T,5))</f>
        <v/>
      </c>
      <c r="Y15" t="str">
        <f>IF(COUNTIFS(Data!$U:$U,$R15,Data!$T:$T,6,Data!$N:$N,"&lt;&gt;")=0,"",SUMIFS(Data!$N:$N,Data!$U:$U,$R15,Data!$T:$T,6))</f>
        <v/>
      </c>
      <c r="Z15" t="str">
        <f>IF(COUNTIFS(Data!$U:$U,$R15,Data!$T:$T,7,Data!$N:$N,"&lt;&gt;")=0,"",SUMIFS(Data!$N:$N,Data!$U:$U,$R15,Data!$T:$T,7))</f>
        <v/>
      </c>
      <c r="AA15">
        <f>IF(COUNTIFS(Data!$U:$U,$R15,Data!$T:$T,8,Data!$N:$N,"&lt;&gt;")=0,"",SUMIFS(Data!$N:$N,Data!$U:$U,$R15,Data!$T:$T,8))</f>
        <v>0</v>
      </c>
      <c r="AB15">
        <f>IF(COUNTIFS(Data!$U:$U,$R15,Data!$T:$T,9,Data!$N:$N,"&lt;&gt;")=0,"",SUMIFS(Data!$N:$N,Data!$U:$U,$R15,Data!$T:$T,9))</f>
        <v>0</v>
      </c>
      <c r="AC15">
        <f>IF(COUNTIFS(Data!$U:$U,$R15,Data!$T:$T,10,Data!$N:$N,"&lt;&gt;")=0,"",SUMIFS(Data!$N:$N,Data!$U:$U,$R15,Data!$T:$T,10))</f>
        <v>0</v>
      </c>
      <c r="AD15">
        <f>IF(COUNTIFS(Data!$U:$U,$R15,Data!$T:$T,11,Data!$N:$N,"&lt;&gt;")=0,"",SUMIFS(Data!$N:$N,Data!$U:$U,$R15,Data!$T:$T,11))</f>
        <v>0</v>
      </c>
      <c r="AE15">
        <f>IF(COUNTIFS(Data!$U:$U,$R15,Data!$T:$T,12,Data!$N:$N,"&lt;&gt;")=0,"",SUMIFS(Data!$N:$N,Data!$U:$U,$R15,Data!$T:$T,12))</f>
        <v>0</v>
      </c>
      <c r="AF15" t="str">
        <f>IF(COUNTIFS(Data!$U:$U,$R15,Data!$T:$T,13,Data!$N:$N,"&lt;&gt;")=0,"",SUMIFS(Data!$N:$N,Data!$U:$U,$R15,Data!$T:$T,13))</f>
        <v/>
      </c>
      <c r="AG15" t="str">
        <f>IF(COUNTIFS(Data!$U:$U,$R15,Data!$T:$T,14,Data!$N:$N,"&lt;&gt;")=0,"",SUMIFS(Data!$N:$N,Data!$U:$U,$R15,Data!$T:$T,14))</f>
        <v/>
      </c>
      <c r="AH15">
        <f>COUNTIFS(Data!$U:$U,$R15,Data!$T:$T,"&lt;="&amp;14,Data!$N:$N,"&lt;&gt;")</f>
        <v>5</v>
      </c>
      <c r="AI15">
        <f>COUNTIFS(Data!$U:$U,$R15,Data!$T:$T,"&lt;="&amp;14,Data!$N:$N,0)</f>
        <v>5</v>
      </c>
      <c r="AJ15">
        <f t="shared" si="3"/>
        <v>0</v>
      </c>
      <c r="AK15">
        <f>IF(AH15=0,"",SUMIFS(Data!$N:$N,Data!$U:$U,$R15,Data!$T:$T,"&lt;="&amp;14))</f>
        <v>0</v>
      </c>
      <c r="AL15">
        <f t="shared" si="4"/>
        <v>0</v>
      </c>
      <c r="AM15">
        <f t="shared" si="5"/>
        <v>0</v>
      </c>
      <c r="AN15">
        <f t="shared" si="6"/>
        <v>38</v>
      </c>
    </row>
    <row r="16" spans="1:40" x14ac:dyDescent="0.2">
      <c r="A16">
        <v>14</v>
      </c>
      <c r="B16" s="27">
        <f>IFERROR(IF(INDEX(Data!$B:$B,MATCH($A16,Data!$T:$T,0))="","",INDEX(Data!$B:$B,MATCH($A16,Data!$T:$T,0))),"")</f>
        <v>46277</v>
      </c>
      <c r="C16" t="str">
        <f>IFERROR(IF(INDEX(Data!$D:$D,MATCH($A16,Data!$T:$T,0))="","",INDEX(Data!$D:$D,MATCH($A16,Data!$T:$T,0))),"")</f>
        <v>Aktar</v>
      </c>
      <c r="D16" s="27">
        <f>IFERROR(IF(INDEX(Data!$O:$O,MATCH($A16,Data!$T:$T,0))="","",INDEX(Data!$O:$O,MATCH($A16,Data!$T:$T,0))),"")</f>
        <v>46276</v>
      </c>
      <c r="E16">
        <f>COUNTIFS(Data!$T:$T,$A16)</f>
        <v>54</v>
      </c>
      <c r="F16">
        <f>COUNTIFS(Data!$T:$T,$A16,Data!$N:$N,"&lt;&gt;")</f>
        <v>0</v>
      </c>
      <c r="G16">
        <f>COUNTIFS(Data!$T:$T,$A16,Data!$N:$N,0)</f>
        <v>0</v>
      </c>
      <c r="H16" t="str">
        <f t="shared" si="0"/>
        <v/>
      </c>
      <c r="I16" t="str">
        <f>IF($F16=0,"",SUMIFS(Data!$N:$N,Data!$T:$T,$A16))</f>
        <v/>
      </c>
      <c r="J16">
        <f>COUNTIFS(Data!$T:$T,$A16,Data!$Q:$Q,"&lt;&gt;")</f>
        <v>0</v>
      </c>
      <c r="K16" t="str">
        <f>IF($J16=0,"",SUMIFS(Data!$Q:$Q,Data!$T:$T,$A16))</f>
        <v/>
      </c>
      <c r="L16">
        <f>COUNTIFS(Data!$T:$T,$A16,Data!$M:$M,"&lt;&gt;")</f>
        <v>0</v>
      </c>
      <c r="M16" t="str">
        <f t="shared" si="1"/>
        <v>not loaded</v>
      </c>
      <c r="N16">
        <f>COUNTIFS(Data!$T:$T,$A16,Data!$I:$I,"&lt;&gt;")</f>
        <v>54</v>
      </c>
      <c r="O16" t="str">
        <f t="shared" si="2"/>
        <v>No POS sales have been loaded for this date, so variance cannot be worked out. Import the sales report for this day and it fills in.</v>
      </c>
      <c r="R16">
        <v>14</v>
      </c>
      <c r="S16" t="str">
        <f>IFERROR(INDEX(Data!$G:$G,MATCH($R16,Data!$U:$U,0)),"")</f>
        <v>Dunhill Red</v>
      </c>
      <c r="T16" t="str">
        <f>IF(COUNTIFS(Data!$U:$U,$R16,Data!$T:$T,1,Data!$N:$N,"&lt;&gt;")=0,"",SUMIFS(Data!$N:$N,Data!$U:$U,$R16,Data!$T:$T,1))</f>
        <v/>
      </c>
      <c r="U16" t="str">
        <f>IF(COUNTIFS(Data!$U:$U,$R16,Data!$T:$T,2,Data!$N:$N,"&lt;&gt;")=0,"",SUMIFS(Data!$N:$N,Data!$U:$U,$R16,Data!$T:$T,2))</f>
        <v/>
      </c>
      <c r="V16" t="str">
        <f>IF(COUNTIFS(Data!$U:$U,$R16,Data!$T:$T,3,Data!$N:$N,"&lt;&gt;")=0,"",SUMIFS(Data!$N:$N,Data!$U:$U,$R16,Data!$T:$T,3))</f>
        <v/>
      </c>
      <c r="W16" t="str">
        <f>IF(COUNTIFS(Data!$U:$U,$R16,Data!$T:$T,4,Data!$N:$N,"&lt;&gt;")=0,"",SUMIFS(Data!$N:$N,Data!$U:$U,$R16,Data!$T:$T,4))</f>
        <v/>
      </c>
      <c r="X16" t="str">
        <f>IF(COUNTIFS(Data!$U:$U,$R16,Data!$T:$T,5,Data!$N:$N,"&lt;&gt;")=0,"",SUMIFS(Data!$N:$N,Data!$U:$U,$R16,Data!$T:$T,5))</f>
        <v/>
      </c>
      <c r="Y16" t="str">
        <f>IF(COUNTIFS(Data!$U:$U,$R16,Data!$T:$T,6,Data!$N:$N,"&lt;&gt;")=0,"",SUMIFS(Data!$N:$N,Data!$U:$U,$R16,Data!$T:$T,6))</f>
        <v/>
      </c>
      <c r="Z16" t="str">
        <f>IF(COUNTIFS(Data!$U:$U,$R16,Data!$T:$T,7,Data!$N:$N,"&lt;&gt;")=0,"",SUMIFS(Data!$N:$N,Data!$U:$U,$R16,Data!$T:$T,7))</f>
        <v/>
      </c>
      <c r="AA16">
        <f>IF(COUNTIFS(Data!$U:$U,$R16,Data!$T:$T,8,Data!$N:$N,"&lt;&gt;")=0,"",SUMIFS(Data!$N:$N,Data!$U:$U,$R16,Data!$T:$T,8))</f>
        <v>-1</v>
      </c>
      <c r="AB16">
        <f>IF(COUNTIFS(Data!$U:$U,$R16,Data!$T:$T,9,Data!$N:$N,"&lt;&gt;")=0,"",SUMIFS(Data!$N:$N,Data!$U:$U,$R16,Data!$T:$T,9))</f>
        <v>1</v>
      </c>
      <c r="AC16">
        <f>IF(COUNTIFS(Data!$U:$U,$R16,Data!$T:$T,10,Data!$N:$N,"&lt;&gt;")=0,"",SUMIFS(Data!$N:$N,Data!$U:$U,$R16,Data!$T:$T,10))</f>
        <v>-10</v>
      </c>
      <c r="AD16">
        <f>IF(COUNTIFS(Data!$U:$U,$R16,Data!$T:$T,11,Data!$N:$N,"&lt;&gt;")=0,"",SUMIFS(Data!$N:$N,Data!$U:$U,$R16,Data!$T:$T,11))</f>
        <v>1</v>
      </c>
      <c r="AE16">
        <f>IF(COUNTIFS(Data!$U:$U,$R16,Data!$T:$T,12,Data!$N:$N,"&lt;&gt;")=0,"",SUMIFS(Data!$N:$N,Data!$U:$U,$R16,Data!$T:$T,12))</f>
        <v>-11</v>
      </c>
      <c r="AF16" t="str">
        <f>IF(COUNTIFS(Data!$U:$U,$R16,Data!$T:$T,13,Data!$N:$N,"&lt;&gt;")=0,"",SUMIFS(Data!$N:$N,Data!$U:$U,$R16,Data!$T:$T,13))</f>
        <v/>
      </c>
      <c r="AG16" t="str">
        <f>IF(COUNTIFS(Data!$U:$U,$R16,Data!$T:$T,14,Data!$N:$N,"&lt;&gt;")=0,"",SUMIFS(Data!$N:$N,Data!$U:$U,$R16,Data!$T:$T,14))</f>
        <v/>
      </c>
      <c r="AH16">
        <f>COUNTIFS(Data!$U:$U,$R16,Data!$T:$T,"&lt;="&amp;14,Data!$N:$N,"&lt;&gt;")</f>
        <v>5</v>
      </c>
      <c r="AI16">
        <f>COUNTIFS(Data!$U:$U,$R16,Data!$T:$T,"&lt;="&amp;14,Data!$N:$N,0)</f>
        <v>0</v>
      </c>
      <c r="AJ16">
        <f t="shared" si="3"/>
        <v>5</v>
      </c>
      <c r="AK16">
        <f>IF(AH16=0,"",SUMIFS(Data!$N:$N,Data!$U:$U,$R16,Data!$T:$T,"&lt;="&amp;14))</f>
        <v>-20</v>
      </c>
      <c r="AL16">
        <f t="shared" si="4"/>
        <v>-11</v>
      </c>
      <c r="AM16">
        <f t="shared" si="5"/>
        <v>500020</v>
      </c>
      <c r="AN16">
        <f t="shared" si="6"/>
        <v>1</v>
      </c>
    </row>
    <row r="17" spans="1:40" x14ac:dyDescent="0.2">
      <c r="A17">
        <v>15</v>
      </c>
      <c r="B17" s="27">
        <f>IFERROR(IF(INDEX(Data!$B:$B,MATCH($A17,Data!$T:$T,0))="","",INDEX(Data!$B:$B,MATCH($A17,Data!$T:$T,0))),"")</f>
        <v>46276</v>
      </c>
      <c r="C17" t="str">
        <f>IFERROR(IF(INDEX(Data!$D:$D,MATCH($A17,Data!$T:$T,0))="","",INDEX(Data!$D:$D,MATCH($A17,Data!$T:$T,0))),"")</f>
        <v>Aktar</v>
      </c>
      <c r="D17" s="27">
        <f>IFERROR(IF(INDEX(Data!$O:$O,MATCH($A17,Data!$T:$T,0))="","",INDEX(Data!$O:$O,MATCH($A17,Data!$T:$T,0))),"")</f>
        <v>46275</v>
      </c>
      <c r="E17">
        <f>COUNTIFS(Data!$T:$T,$A17)</f>
        <v>54</v>
      </c>
      <c r="F17">
        <f>COUNTIFS(Data!$T:$T,$A17,Data!$N:$N,"&lt;&gt;")</f>
        <v>0</v>
      </c>
      <c r="G17">
        <f>COUNTIFS(Data!$T:$T,$A17,Data!$N:$N,0)</f>
        <v>0</v>
      </c>
      <c r="H17" t="str">
        <f t="shared" si="0"/>
        <v/>
      </c>
      <c r="I17" t="str">
        <f>IF($F17=0,"",SUMIFS(Data!$N:$N,Data!$T:$T,$A17))</f>
        <v/>
      </c>
      <c r="J17">
        <f>COUNTIFS(Data!$T:$T,$A17,Data!$Q:$Q,"&lt;&gt;")</f>
        <v>0</v>
      </c>
      <c r="K17" t="str">
        <f>IF($J17=0,"",SUMIFS(Data!$Q:$Q,Data!$T:$T,$A17))</f>
        <v/>
      </c>
      <c r="L17">
        <f>COUNTIFS(Data!$T:$T,$A17,Data!$M:$M,"&lt;&gt;")</f>
        <v>0</v>
      </c>
      <c r="M17" t="str">
        <f t="shared" si="1"/>
        <v>not loaded</v>
      </c>
      <c r="N17">
        <f>COUNTIFS(Data!$T:$T,$A17,Data!$I:$I,"&lt;&gt;")</f>
        <v>54</v>
      </c>
      <c r="O17" t="str">
        <f t="shared" si="2"/>
        <v>No POS sales have been loaded for this date, so variance cannot be worked out. Import the sales report for this day and it fills in.</v>
      </c>
      <c r="R17">
        <v>15</v>
      </c>
      <c r="S17" t="str">
        <f>IFERROR(INDEX(Data!$G:$G,MATCH($R17,Data!$U:$U,0)),"")</f>
        <v>Dunhill Switch</v>
      </c>
      <c r="T17" t="str">
        <f>IF(COUNTIFS(Data!$U:$U,$R17,Data!$T:$T,1,Data!$N:$N,"&lt;&gt;")=0,"",SUMIFS(Data!$N:$N,Data!$U:$U,$R17,Data!$T:$T,1))</f>
        <v/>
      </c>
      <c r="U17" t="str">
        <f>IF(COUNTIFS(Data!$U:$U,$R17,Data!$T:$T,2,Data!$N:$N,"&lt;&gt;")=0,"",SUMIFS(Data!$N:$N,Data!$U:$U,$R17,Data!$T:$T,2))</f>
        <v/>
      </c>
      <c r="V17" t="str">
        <f>IF(COUNTIFS(Data!$U:$U,$R17,Data!$T:$T,3,Data!$N:$N,"&lt;&gt;")=0,"",SUMIFS(Data!$N:$N,Data!$U:$U,$R17,Data!$T:$T,3))</f>
        <v/>
      </c>
      <c r="W17" t="str">
        <f>IF(COUNTIFS(Data!$U:$U,$R17,Data!$T:$T,4,Data!$N:$N,"&lt;&gt;")=0,"",SUMIFS(Data!$N:$N,Data!$U:$U,$R17,Data!$T:$T,4))</f>
        <v/>
      </c>
      <c r="X17" t="str">
        <f>IF(COUNTIFS(Data!$U:$U,$R17,Data!$T:$T,5,Data!$N:$N,"&lt;&gt;")=0,"",SUMIFS(Data!$N:$N,Data!$U:$U,$R17,Data!$T:$T,5))</f>
        <v/>
      </c>
      <c r="Y17" t="str">
        <f>IF(COUNTIFS(Data!$U:$U,$R17,Data!$T:$T,6,Data!$N:$N,"&lt;&gt;")=0,"",SUMIFS(Data!$N:$N,Data!$U:$U,$R17,Data!$T:$T,6))</f>
        <v/>
      </c>
      <c r="Z17" t="str">
        <f>IF(COUNTIFS(Data!$U:$U,$R17,Data!$T:$T,7,Data!$N:$N,"&lt;&gt;")=0,"",SUMIFS(Data!$N:$N,Data!$U:$U,$R17,Data!$T:$T,7))</f>
        <v/>
      </c>
      <c r="AA17">
        <f>IF(COUNTIFS(Data!$U:$U,$R17,Data!$T:$T,8,Data!$N:$N,"&lt;&gt;")=0,"",SUMIFS(Data!$N:$N,Data!$U:$U,$R17,Data!$T:$T,8))</f>
        <v>0</v>
      </c>
      <c r="AB17">
        <f>IF(COUNTIFS(Data!$U:$U,$R17,Data!$T:$T,9,Data!$N:$N,"&lt;&gt;")=0,"",SUMIFS(Data!$N:$N,Data!$U:$U,$R17,Data!$T:$T,9))</f>
        <v>0</v>
      </c>
      <c r="AC17">
        <f>IF(COUNTIFS(Data!$U:$U,$R17,Data!$T:$T,10,Data!$N:$N,"&lt;&gt;")=0,"",SUMIFS(Data!$N:$N,Data!$U:$U,$R17,Data!$T:$T,10))</f>
        <v>0</v>
      </c>
      <c r="AD17">
        <f>IF(COUNTIFS(Data!$U:$U,$R17,Data!$T:$T,11,Data!$N:$N,"&lt;&gt;")=0,"",SUMIFS(Data!$N:$N,Data!$U:$U,$R17,Data!$T:$T,11))</f>
        <v>0</v>
      </c>
      <c r="AE17">
        <f>IF(COUNTIFS(Data!$U:$U,$R17,Data!$T:$T,12,Data!$N:$N,"&lt;&gt;")=0,"",SUMIFS(Data!$N:$N,Data!$U:$U,$R17,Data!$T:$T,12))</f>
        <v>0</v>
      </c>
      <c r="AF17" t="str">
        <f>IF(COUNTIFS(Data!$U:$U,$R17,Data!$T:$T,13,Data!$N:$N,"&lt;&gt;")=0,"",SUMIFS(Data!$N:$N,Data!$U:$U,$R17,Data!$T:$T,13))</f>
        <v/>
      </c>
      <c r="AG17" t="str">
        <f>IF(COUNTIFS(Data!$U:$U,$R17,Data!$T:$T,14,Data!$N:$N,"&lt;&gt;")=0,"",SUMIFS(Data!$N:$N,Data!$U:$U,$R17,Data!$T:$T,14))</f>
        <v/>
      </c>
      <c r="AH17">
        <f>COUNTIFS(Data!$U:$U,$R17,Data!$T:$T,"&lt;="&amp;14,Data!$N:$N,"&lt;&gt;")</f>
        <v>5</v>
      </c>
      <c r="AI17">
        <f>COUNTIFS(Data!$U:$U,$R17,Data!$T:$T,"&lt;="&amp;14,Data!$N:$N,0)</f>
        <v>5</v>
      </c>
      <c r="AJ17">
        <f t="shared" si="3"/>
        <v>0</v>
      </c>
      <c r="AK17">
        <f>IF(AH17=0,"",SUMIFS(Data!$N:$N,Data!$U:$U,$R17,Data!$T:$T,"&lt;="&amp;14))</f>
        <v>0</v>
      </c>
      <c r="AL17">
        <f t="shared" si="4"/>
        <v>0</v>
      </c>
      <c r="AM17">
        <f t="shared" si="5"/>
        <v>0</v>
      </c>
      <c r="AN17">
        <f t="shared" si="6"/>
        <v>39</v>
      </c>
    </row>
    <row r="18" spans="1:40" x14ac:dyDescent="0.2">
      <c r="A18">
        <v>16</v>
      </c>
      <c r="B18" s="27">
        <f>IFERROR(IF(INDEX(Data!$B:$B,MATCH($A18,Data!$T:$T,0))="","",INDEX(Data!$B:$B,MATCH($A18,Data!$T:$T,0))),"")</f>
        <v>46275</v>
      </c>
      <c r="C18" t="str">
        <f>IFERROR(IF(INDEX(Data!$D:$D,MATCH($A18,Data!$T:$T,0))="","",INDEX(Data!$D:$D,MATCH($A18,Data!$T:$T,0))),"")</f>
        <v>Luqman</v>
      </c>
      <c r="D18" s="27">
        <f>IFERROR(IF(INDEX(Data!$O:$O,MATCH($A18,Data!$T:$T,0))="","",INDEX(Data!$O:$O,MATCH($A18,Data!$T:$T,0))),"")</f>
        <v>46274</v>
      </c>
      <c r="E18">
        <f>COUNTIFS(Data!$T:$T,$A18)</f>
        <v>54</v>
      </c>
      <c r="F18">
        <f>COUNTIFS(Data!$T:$T,$A18,Data!$N:$N,"&lt;&gt;")</f>
        <v>0</v>
      </c>
      <c r="G18">
        <f>COUNTIFS(Data!$T:$T,$A18,Data!$N:$N,0)</f>
        <v>0</v>
      </c>
      <c r="H18" t="str">
        <f t="shared" si="0"/>
        <v/>
      </c>
      <c r="I18" t="str">
        <f>IF($F18=0,"",SUMIFS(Data!$N:$N,Data!$T:$T,$A18))</f>
        <v/>
      </c>
      <c r="J18">
        <f>COUNTIFS(Data!$T:$T,$A18,Data!$Q:$Q,"&lt;&gt;")</f>
        <v>0</v>
      </c>
      <c r="K18" t="str">
        <f>IF($J18=0,"",SUMIFS(Data!$Q:$Q,Data!$T:$T,$A18))</f>
        <v/>
      </c>
      <c r="L18">
        <f>COUNTIFS(Data!$T:$T,$A18,Data!$M:$M,"&lt;&gt;")</f>
        <v>0</v>
      </c>
      <c r="M18" t="str">
        <f t="shared" si="1"/>
        <v>not loaded</v>
      </c>
      <c r="N18">
        <f>COUNTIFS(Data!$T:$T,$A18,Data!$I:$I,"&lt;&gt;")</f>
        <v>54</v>
      </c>
      <c r="O18" t="str">
        <f t="shared" si="2"/>
        <v>No POS sales have been loaded for this date, so variance cannot be worked out. Import the sales report for this day and it fills in.</v>
      </c>
      <c r="R18">
        <v>16</v>
      </c>
      <c r="S18" t="str">
        <f>IFERROR(INDEX(Data!$G:$G,MATCH($R18,Data!$U:$U,0)),"")</f>
        <v>Dunhill Zest</v>
      </c>
      <c r="T18" t="str">
        <f>IF(COUNTIFS(Data!$U:$U,$R18,Data!$T:$T,1,Data!$N:$N,"&lt;&gt;")=0,"",SUMIFS(Data!$N:$N,Data!$U:$U,$R18,Data!$T:$T,1))</f>
        <v/>
      </c>
      <c r="U18" t="str">
        <f>IF(COUNTIFS(Data!$U:$U,$R18,Data!$T:$T,2,Data!$N:$N,"&lt;&gt;")=0,"",SUMIFS(Data!$N:$N,Data!$U:$U,$R18,Data!$T:$T,2))</f>
        <v/>
      </c>
      <c r="V18" t="str">
        <f>IF(COUNTIFS(Data!$U:$U,$R18,Data!$T:$T,3,Data!$N:$N,"&lt;&gt;")=0,"",SUMIFS(Data!$N:$N,Data!$U:$U,$R18,Data!$T:$T,3))</f>
        <v/>
      </c>
      <c r="W18" t="str">
        <f>IF(COUNTIFS(Data!$U:$U,$R18,Data!$T:$T,4,Data!$N:$N,"&lt;&gt;")=0,"",SUMIFS(Data!$N:$N,Data!$U:$U,$R18,Data!$T:$T,4))</f>
        <v/>
      </c>
      <c r="X18" t="str">
        <f>IF(COUNTIFS(Data!$U:$U,$R18,Data!$T:$T,5,Data!$N:$N,"&lt;&gt;")=0,"",SUMIFS(Data!$N:$N,Data!$U:$U,$R18,Data!$T:$T,5))</f>
        <v/>
      </c>
      <c r="Y18" t="str">
        <f>IF(COUNTIFS(Data!$U:$U,$R18,Data!$T:$T,6,Data!$N:$N,"&lt;&gt;")=0,"",SUMIFS(Data!$N:$N,Data!$U:$U,$R18,Data!$T:$T,6))</f>
        <v/>
      </c>
      <c r="Z18" t="str">
        <f>IF(COUNTIFS(Data!$U:$U,$R18,Data!$T:$T,7,Data!$N:$N,"&lt;&gt;")=0,"",SUMIFS(Data!$N:$N,Data!$U:$U,$R18,Data!$T:$T,7))</f>
        <v/>
      </c>
      <c r="AA18">
        <f>IF(COUNTIFS(Data!$U:$U,$R18,Data!$T:$T,8,Data!$N:$N,"&lt;&gt;")=0,"",SUMIFS(Data!$N:$N,Data!$U:$U,$R18,Data!$T:$T,8))</f>
        <v>0</v>
      </c>
      <c r="AB18">
        <f>IF(COUNTIFS(Data!$U:$U,$R18,Data!$T:$T,9,Data!$N:$N,"&lt;&gt;")=0,"",SUMIFS(Data!$N:$N,Data!$U:$U,$R18,Data!$T:$T,9))</f>
        <v>0</v>
      </c>
      <c r="AC18">
        <f>IF(COUNTIFS(Data!$U:$U,$R18,Data!$T:$T,10,Data!$N:$N,"&lt;&gt;")=0,"",SUMIFS(Data!$N:$N,Data!$U:$U,$R18,Data!$T:$T,10))</f>
        <v>0</v>
      </c>
      <c r="AD18">
        <f>IF(COUNTIFS(Data!$U:$U,$R18,Data!$T:$T,11,Data!$N:$N,"&lt;&gt;")=0,"",SUMIFS(Data!$N:$N,Data!$U:$U,$R18,Data!$T:$T,11))</f>
        <v>0</v>
      </c>
      <c r="AE18">
        <f>IF(COUNTIFS(Data!$U:$U,$R18,Data!$T:$T,12,Data!$N:$N,"&lt;&gt;")=0,"",SUMIFS(Data!$N:$N,Data!$U:$U,$R18,Data!$T:$T,12))</f>
        <v>0</v>
      </c>
      <c r="AF18" t="str">
        <f>IF(COUNTIFS(Data!$U:$U,$R18,Data!$T:$T,13,Data!$N:$N,"&lt;&gt;")=0,"",SUMIFS(Data!$N:$N,Data!$U:$U,$R18,Data!$T:$T,13))</f>
        <v/>
      </c>
      <c r="AG18" t="str">
        <f>IF(COUNTIFS(Data!$U:$U,$R18,Data!$T:$T,14,Data!$N:$N,"&lt;&gt;")=0,"",SUMIFS(Data!$N:$N,Data!$U:$U,$R18,Data!$T:$T,14))</f>
        <v/>
      </c>
      <c r="AH18">
        <f>COUNTIFS(Data!$U:$U,$R18,Data!$T:$T,"&lt;="&amp;14,Data!$N:$N,"&lt;&gt;")</f>
        <v>5</v>
      </c>
      <c r="AI18">
        <f>COUNTIFS(Data!$U:$U,$R18,Data!$T:$T,"&lt;="&amp;14,Data!$N:$N,0)</f>
        <v>5</v>
      </c>
      <c r="AJ18">
        <f t="shared" si="3"/>
        <v>0</v>
      </c>
      <c r="AK18">
        <f>IF(AH18=0,"",SUMIFS(Data!$N:$N,Data!$U:$U,$R18,Data!$T:$T,"&lt;="&amp;14))</f>
        <v>0</v>
      </c>
      <c r="AL18">
        <f t="shared" si="4"/>
        <v>0</v>
      </c>
      <c r="AM18">
        <f t="shared" si="5"/>
        <v>0</v>
      </c>
      <c r="AN18">
        <f t="shared" si="6"/>
        <v>40</v>
      </c>
    </row>
    <row r="19" spans="1:40" x14ac:dyDescent="0.2">
      <c r="A19">
        <v>17</v>
      </c>
      <c r="B19" s="27">
        <f>IFERROR(IF(INDEX(Data!$B:$B,MATCH($A19,Data!$T:$T,0))="","",INDEX(Data!$B:$B,MATCH($A19,Data!$T:$T,0))),"")</f>
        <v>46274</v>
      </c>
      <c r="C19" t="str">
        <f>IFERROR(IF(INDEX(Data!$D:$D,MATCH($A19,Data!$T:$T,0))="","",INDEX(Data!$D:$D,MATCH($A19,Data!$T:$T,0))),"")</f>
        <v>Luqman</v>
      </c>
      <c r="D19" s="27" t="str">
        <f>IFERROR(IF(INDEX(Data!$O:$O,MATCH($A19,Data!$T:$T,0))="","",INDEX(Data!$O:$O,MATCH($A19,Data!$T:$T,0))),"")</f>
        <v/>
      </c>
      <c r="E19">
        <f>COUNTIFS(Data!$T:$T,$A19)</f>
        <v>54</v>
      </c>
      <c r="F19">
        <f>COUNTIFS(Data!$T:$T,$A19,Data!$N:$N,"&lt;&gt;")</f>
        <v>0</v>
      </c>
      <c r="G19">
        <f>COUNTIFS(Data!$T:$T,$A19,Data!$N:$N,0)</f>
        <v>0</v>
      </c>
      <c r="H19" t="str">
        <f t="shared" si="0"/>
        <v/>
      </c>
      <c r="I19" t="str">
        <f>IF($F19=0,"",SUMIFS(Data!$N:$N,Data!$T:$T,$A19))</f>
        <v/>
      </c>
      <c r="J19">
        <f>COUNTIFS(Data!$T:$T,$A19,Data!$Q:$Q,"&lt;&gt;")</f>
        <v>0</v>
      </c>
      <c r="K19" t="str">
        <f>IF($J19=0,"",SUMIFS(Data!$Q:$Q,Data!$T:$T,$A19))</f>
        <v/>
      </c>
      <c r="L19">
        <f>COUNTIFS(Data!$T:$T,$A19,Data!$M:$M,"&lt;&gt;")</f>
        <v>54</v>
      </c>
      <c r="M19" t="str">
        <f t="shared" si="1"/>
        <v>loaded</v>
      </c>
      <c r="N19">
        <f>COUNTIFS(Data!$T:$T,$A19,Data!$I:$I,"&lt;&gt;")</f>
        <v>0</v>
      </c>
      <c r="O19" t="str">
        <f t="shared" si="2"/>
        <v>This is the first count of these products, so there is no opening figure to sell down from. Variance starts from the next count.</v>
      </c>
      <c r="R19">
        <v>17</v>
      </c>
      <c r="S19" t="str">
        <f>IFERROR(INDEX(Data!$G:$G,MATCH($R19,Data!$U:$U,0)),"")</f>
        <v>FIIT ALPINE</v>
      </c>
      <c r="T19" t="str">
        <f>IF(COUNTIFS(Data!$U:$U,$R19,Data!$T:$T,1,Data!$N:$N,"&lt;&gt;")=0,"",SUMIFS(Data!$N:$N,Data!$U:$U,$R19,Data!$T:$T,1))</f>
        <v/>
      </c>
      <c r="U19" t="str">
        <f>IF(COUNTIFS(Data!$U:$U,$R19,Data!$T:$T,2,Data!$N:$N,"&lt;&gt;")=0,"",SUMIFS(Data!$N:$N,Data!$U:$U,$R19,Data!$T:$T,2))</f>
        <v/>
      </c>
      <c r="V19" t="str">
        <f>IF(COUNTIFS(Data!$U:$U,$R19,Data!$T:$T,3,Data!$N:$N,"&lt;&gt;")=0,"",SUMIFS(Data!$N:$N,Data!$U:$U,$R19,Data!$T:$T,3))</f>
        <v/>
      </c>
      <c r="W19" t="str">
        <f>IF(COUNTIFS(Data!$U:$U,$R19,Data!$T:$T,4,Data!$N:$N,"&lt;&gt;")=0,"",SUMIFS(Data!$N:$N,Data!$U:$U,$R19,Data!$T:$T,4))</f>
        <v/>
      </c>
      <c r="X19" t="str">
        <f>IF(COUNTIFS(Data!$U:$U,$R19,Data!$T:$T,5,Data!$N:$N,"&lt;&gt;")=0,"",SUMIFS(Data!$N:$N,Data!$U:$U,$R19,Data!$T:$T,5))</f>
        <v/>
      </c>
      <c r="Y19" t="str">
        <f>IF(COUNTIFS(Data!$U:$U,$R19,Data!$T:$T,6,Data!$N:$N,"&lt;&gt;")=0,"",SUMIFS(Data!$N:$N,Data!$U:$U,$R19,Data!$T:$T,6))</f>
        <v/>
      </c>
      <c r="Z19" t="str">
        <f>IF(COUNTIFS(Data!$U:$U,$R19,Data!$T:$T,7,Data!$N:$N,"&lt;&gt;")=0,"",SUMIFS(Data!$N:$N,Data!$U:$U,$R19,Data!$T:$T,7))</f>
        <v/>
      </c>
      <c r="AA19" t="str">
        <f>IF(COUNTIFS(Data!$U:$U,$R19,Data!$T:$T,8,Data!$N:$N,"&lt;&gt;")=0,"",SUMIFS(Data!$N:$N,Data!$U:$U,$R19,Data!$T:$T,8))</f>
        <v/>
      </c>
      <c r="AB19" t="str">
        <f>IF(COUNTIFS(Data!$U:$U,$R19,Data!$T:$T,9,Data!$N:$N,"&lt;&gt;")=0,"",SUMIFS(Data!$N:$N,Data!$U:$U,$R19,Data!$T:$T,9))</f>
        <v/>
      </c>
      <c r="AC19" t="str">
        <f>IF(COUNTIFS(Data!$U:$U,$R19,Data!$T:$T,10,Data!$N:$N,"&lt;&gt;")=0,"",SUMIFS(Data!$N:$N,Data!$U:$U,$R19,Data!$T:$T,10))</f>
        <v/>
      </c>
      <c r="AD19" t="str">
        <f>IF(COUNTIFS(Data!$U:$U,$R19,Data!$T:$T,11,Data!$N:$N,"&lt;&gt;")=0,"",SUMIFS(Data!$N:$N,Data!$U:$U,$R19,Data!$T:$T,11))</f>
        <v/>
      </c>
      <c r="AE19" t="str">
        <f>IF(COUNTIFS(Data!$U:$U,$R19,Data!$T:$T,12,Data!$N:$N,"&lt;&gt;")=0,"",SUMIFS(Data!$N:$N,Data!$U:$U,$R19,Data!$T:$T,12))</f>
        <v/>
      </c>
      <c r="AF19" t="str">
        <f>IF(COUNTIFS(Data!$U:$U,$R19,Data!$T:$T,13,Data!$N:$N,"&lt;&gt;")=0,"",SUMIFS(Data!$N:$N,Data!$U:$U,$R19,Data!$T:$T,13))</f>
        <v/>
      </c>
      <c r="AG19" t="str">
        <f>IF(COUNTIFS(Data!$U:$U,$R19,Data!$T:$T,14,Data!$N:$N,"&lt;&gt;")=0,"",SUMIFS(Data!$N:$N,Data!$U:$U,$R19,Data!$T:$T,14))</f>
        <v/>
      </c>
      <c r="AH19">
        <f>COUNTIFS(Data!$U:$U,$R19,Data!$T:$T,"&lt;="&amp;14,Data!$N:$N,"&lt;&gt;")</f>
        <v>0</v>
      </c>
      <c r="AI19">
        <f>COUNTIFS(Data!$U:$U,$R19,Data!$T:$T,"&lt;="&amp;14,Data!$N:$N,0)</f>
        <v>0</v>
      </c>
      <c r="AJ19" t="str">
        <f t="shared" si="3"/>
        <v/>
      </c>
      <c r="AK19" t="str">
        <f>IF(AH19=0,"",SUMIFS(Data!$N:$N,Data!$U:$U,$R19,Data!$T:$T,"&lt;="&amp;14))</f>
        <v/>
      </c>
      <c r="AL19" t="str">
        <f t="shared" si="4"/>
        <v/>
      </c>
      <c r="AM19">
        <f t="shared" si="5"/>
        <v>-1</v>
      </c>
      <c r="AN19">
        <f t="shared" si="6"/>
        <v>55</v>
      </c>
    </row>
    <row r="20" spans="1:40" x14ac:dyDescent="0.2">
      <c r="A20">
        <v>18</v>
      </c>
      <c r="B20" s="27" t="str">
        <f>IFERROR(IF(INDEX(Data!$B:$B,MATCH($A20,Data!$T:$T,0))="","",INDEX(Data!$B:$B,MATCH($A20,Data!$T:$T,0))),"")</f>
        <v/>
      </c>
      <c r="C20" t="str">
        <f>IFERROR(IF(INDEX(Data!$D:$D,MATCH($A20,Data!$T:$T,0))="","",INDEX(Data!$D:$D,MATCH($A20,Data!$T:$T,0))),"")</f>
        <v/>
      </c>
      <c r="D20" s="27" t="str">
        <f>IFERROR(IF(INDEX(Data!$O:$O,MATCH($A20,Data!$T:$T,0))="","",INDEX(Data!$O:$O,MATCH($A20,Data!$T:$T,0))),"")</f>
        <v/>
      </c>
      <c r="E20">
        <f>COUNTIFS(Data!$T:$T,$A20)</f>
        <v>0</v>
      </c>
      <c r="F20">
        <f>COUNTIFS(Data!$T:$T,$A20,Data!$N:$N,"&lt;&gt;")</f>
        <v>0</v>
      </c>
      <c r="G20">
        <f>COUNTIFS(Data!$T:$T,$A20,Data!$N:$N,0)</f>
        <v>0</v>
      </c>
      <c r="H20" t="str">
        <f t="shared" si="0"/>
        <v/>
      </c>
      <c r="I20" t="str">
        <f>IF($F20=0,"",SUMIFS(Data!$N:$N,Data!$T:$T,$A20))</f>
        <v/>
      </c>
      <c r="J20">
        <f>COUNTIFS(Data!$T:$T,$A20,Data!$Q:$Q,"&lt;&gt;")</f>
        <v>0</v>
      </c>
      <c r="K20" t="str">
        <f>IF($J20=0,"",SUMIFS(Data!$Q:$Q,Data!$T:$T,$A20))</f>
        <v/>
      </c>
      <c r="L20">
        <f>COUNTIFS(Data!$T:$T,$A20,Data!$M:$M,"&lt;&gt;")</f>
        <v>0</v>
      </c>
      <c r="M20" t="str">
        <f t="shared" si="1"/>
        <v/>
      </c>
      <c r="N20">
        <f>COUNTIFS(Data!$T:$T,$A20,Data!$I:$I,"&lt;&gt;")</f>
        <v>0</v>
      </c>
      <c r="O20" t="str">
        <f t="shared" si="2"/>
        <v/>
      </c>
      <c r="R20">
        <v>18</v>
      </c>
      <c r="S20" t="str">
        <f>IFERROR(INDEX(Data!$G:$G,MATCH($R20,Data!$U:$U,0)),"")</f>
        <v>FIIT CRISP</v>
      </c>
      <c r="T20" t="str">
        <f>IF(COUNTIFS(Data!$U:$U,$R20,Data!$T:$T,1,Data!$N:$N,"&lt;&gt;")=0,"",SUMIFS(Data!$N:$N,Data!$U:$U,$R20,Data!$T:$T,1))</f>
        <v/>
      </c>
      <c r="U20" t="str">
        <f>IF(COUNTIFS(Data!$U:$U,$R20,Data!$T:$T,2,Data!$N:$N,"&lt;&gt;")=0,"",SUMIFS(Data!$N:$N,Data!$U:$U,$R20,Data!$T:$T,2))</f>
        <v/>
      </c>
      <c r="V20" t="str">
        <f>IF(COUNTIFS(Data!$U:$U,$R20,Data!$T:$T,3,Data!$N:$N,"&lt;&gt;")=0,"",SUMIFS(Data!$N:$N,Data!$U:$U,$R20,Data!$T:$T,3))</f>
        <v/>
      </c>
      <c r="W20" t="str">
        <f>IF(COUNTIFS(Data!$U:$U,$R20,Data!$T:$T,4,Data!$N:$N,"&lt;&gt;")=0,"",SUMIFS(Data!$N:$N,Data!$U:$U,$R20,Data!$T:$T,4))</f>
        <v/>
      </c>
      <c r="X20" t="str">
        <f>IF(COUNTIFS(Data!$U:$U,$R20,Data!$T:$T,5,Data!$N:$N,"&lt;&gt;")=0,"",SUMIFS(Data!$N:$N,Data!$U:$U,$R20,Data!$T:$T,5))</f>
        <v/>
      </c>
      <c r="Y20" t="str">
        <f>IF(COUNTIFS(Data!$U:$U,$R20,Data!$T:$T,6,Data!$N:$N,"&lt;&gt;")=0,"",SUMIFS(Data!$N:$N,Data!$U:$U,$R20,Data!$T:$T,6))</f>
        <v/>
      </c>
      <c r="Z20" t="str">
        <f>IF(COUNTIFS(Data!$U:$U,$R20,Data!$T:$T,7,Data!$N:$N,"&lt;&gt;")=0,"",SUMIFS(Data!$N:$N,Data!$U:$U,$R20,Data!$T:$T,7))</f>
        <v/>
      </c>
      <c r="AA20" t="str">
        <f>IF(COUNTIFS(Data!$U:$U,$R20,Data!$T:$T,8,Data!$N:$N,"&lt;&gt;")=0,"",SUMIFS(Data!$N:$N,Data!$U:$U,$R20,Data!$T:$T,8))</f>
        <v/>
      </c>
      <c r="AB20" t="str">
        <f>IF(COUNTIFS(Data!$U:$U,$R20,Data!$T:$T,9,Data!$N:$N,"&lt;&gt;")=0,"",SUMIFS(Data!$N:$N,Data!$U:$U,$R20,Data!$T:$T,9))</f>
        <v/>
      </c>
      <c r="AC20" t="str">
        <f>IF(COUNTIFS(Data!$U:$U,$R20,Data!$T:$T,10,Data!$N:$N,"&lt;&gt;")=0,"",SUMIFS(Data!$N:$N,Data!$U:$U,$R20,Data!$T:$T,10))</f>
        <v/>
      </c>
      <c r="AD20" t="str">
        <f>IF(COUNTIFS(Data!$U:$U,$R20,Data!$T:$T,11,Data!$N:$N,"&lt;&gt;")=0,"",SUMIFS(Data!$N:$N,Data!$U:$U,$R20,Data!$T:$T,11))</f>
        <v/>
      </c>
      <c r="AE20" t="str">
        <f>IF(COUNTIFS(Data!$U:$U,$R20,Data!$T:$T,12,Data!$N:$N,"&lt;&gt;")=0,"",SUMIFS(Data!$N:$N,Data!$U:$U,$R20,Data!$T:$T,12))</f>
        <v/>
      </c>
      <c r="AF20" t="str">
        <f>IF(COUNTIFS(Data!$U:$U,$R20,Data!$T:$T,13,Data!$N:$N,"&lt;&gt;")=0,"",SUMIFS(Data!$N:$N,Data!$U:$U,$R20,Data!$T:$T,13))</f>
        <v/>
      </c>
      <c r="AG20" t="str">
        <f>IF(COUNTIFS(Data!$U:$U,$R20,Data!$T:$T,14,Data!$N:$N,"&lt;&gt;")=0,"",SUMIFS(Data!$N:$N,Data!$U:$U,$R20,Data!$T:$T,14))</f>
        <v/>
      </c>
      <c r="AH20">
        <f>COUNTIFS(Data!$U:$U,$R20,Data!$T:$T,"&lt;="&amp;14,Data!$N:$N,"&lt;&gt;")</f>
        <v>0</v>
      </c>
      <c r="AI20">
        <f>COUNTIFS(Data!$U:$U,$R20,Data!$T:$T,"&lt;="&amp;14,Data!$N:$N,0)</f>
        <v>0</v>
      </c>
      <c r="AJ20" t="str">
        <f t="shared" si="3"/>
        <v/>
      </c>
      <c r="AK20" t="str">
        <f>IF(AH20=0,"",SUMIFS(Data!$N:$N,Data!$U:$U,$R20,Data!$T:$T,"&lt;="&amp;14))</f>
        <v/>
      </c>
      <c r="AL20" t="str">
        <f t="shared" si="4"/>
        <v/>
      </c>
      <c r="AM20">
        <f t="shared" si="5"/>
        <v>-1</v>
      </c>
      <c r="AN20">
        <f t="shared" si="6"/>
        <v>56</v>
      </c>
    </row>
    <row r="21" spans="1:40" x14ac:dyDescent="0.2">
      <c r="A21">
        <v>19</v>
      </c>
      <c r="B21" s="27" t="str">
        <f>IFERROR(IF(INDEX(Data!$B:$B,MATCH($A21,Data!$T:$T,0))="","",INDEX(Data!$B:$B,MATCH($A21,Data!$T:$T,0))),"")</f>
        <v/>
      </c>
      <c r="C21" t="str">
        <f>IFERROR(IF(INDEX(Data!$D:$D,MATCH($A21,Data!$T:$T,0))="","",INDEX(Data!$D:$D,MATCH($A21,Data!$T:$T,0))),"")</f>
        <v/>
      </c>
      <c r="D21" s="27" t="str">
        <f>IFERROR(IF(INDEX(Data!$O:$O,MATCH($A21,Data!$T:$T,0))="","",INDEX(Data!$O:$O,MATCH($A21,Data!$T:$T,0))),"")</f>
        <v/>
      </c>
      <c r="E21">
        <f>COUNTIFS(Data!$T:$T,$A21)</f>
        <v>0</v>
      </c>
      <c r="F21">
        <f>COUNTIFS(Data!$T:$T,$A21,Data!$N:$N,"&lt;&gt;")</f>
        <v>0</v>
      </c>
      <c r="G21">
        <f>COUNTIFS(Data!$T:$T,$A21,Data!$N:$N,0)</f>
        <v>0</v>
      </c>
      <c r="H21" t="str">
        <f t="shared" si="0"/>
        <v/>
      </c>
      <c r="I21" t="str">
        <f>IF($F21=0,"",SUMIFS(Data!$N:$N,Data!$T:$T,$A21))</f>
        <v/>
      </c>
      <c r="J21">
        <f>COUNTIFS(Data!$T:$T,$A21,Data!$Q:$Q,"&lt;&gt;")</f>
        <v>0</v>
      </c>
      <c r="K21" t="str">
        <f>IF($J21=0,"",SUMIFS(Data!$Q:$Q,Data!$T:$T,$A21))</f>
        <v/>
      </c>
      <c r="L21">
        <f>COUNTIFS(Data!$T:$T,$A21,Data!$M:$M,"&lt;&gt;")</f>
        <v>0</v>
      </c>
      <c r="M21" t="str">
        <f t="shared" si="1"/>
        <v/>
      </c>
      <c r="N21">
        <f>COUNTIFS(Data!$T:$T,$A21,Data!$I:$I,"&lt;&gt;")</f>
        <v>0</v>
      </c>
      <c r="O21" t="str">
        <f t="shared" si="2"/>
        <v/>
      </c>
      <c r="R21">
        <v>19</v>
      </c>
      <c r="S21" t="str">
        <f>IFERROR(INDEX(Data!$G:$G,MATCH($R21,Data!$U:$U,0)),"")</f>
        <v>FIIT REGULAR</v>
      </c>
      <c r="T21" t="str">
        <f>IF(COUNTIFS(Data!$U:$U,$R21,Data!$T:$T,1,Data!$N:$N,"&lt;&gt;")=0,"",SUMIFS(Data!$N:$N,Data!$U:$U,$R21,Data!$T:$T,1))</f>
        <v/>
      </c>
      <c r="U21" t="str">
        <f>IF(COUNTIFS(Data!$U:$U,$R21,Data!$T:$T,2,Data!$N:$N,"&lt;&gt;")=0,"",SUMIFS(Data!$N:$N,Data!$U:$U,$R21,Data!$T:$T,2))</f>
        <v/>
      </c>
      <c r="V21" t="str">
        <f>IF(COUNTIFS(Data!$U:$U,$R21,Data!$T:$T,3,Data!$N:$N,"&lt;&gt;")=0,"",SUMIFS(Data!$N:$N,Data!$U:$U,$R21,Data!$T:$T,3))</f>
        <v/>
      </c>
      <c r="W21" t="str">
        <f>IF(COUNTIFS(Data!$U:$U,$R21,Data!$T:$T,4,Data!$N:$N,"&lt;&gt;")=0,"",SUMIFS(Data!$N:$N,Data!$U:$U,$R21,Data!$T:$T,4))</f>
        <v/>
      </c>
      <c r="X21" t="str">
        <f>IF(COUNTIFS(Data!$U:$U,$R21,Data!$T:$T,5,Data!$N:$N,"&lt;&gt;")=0,"",SUMIFS(Data!$N:$N,Data!$U:$U,$R21,Data!$T:$T,5))</f>
        <v/>
      </c>
      <c r="Y21" t="str">
        <f>IF(COUNTIFS(Data!$U:$U,$R21,Data!$T:$T,6,Data!$N:$N,"&lt;&gt;")=0,"",SUMIFS(Data!$N:$N,Data!$U:$U,$R21,Data!$T:$T,6))</f>
        <v/>
      </c>
      <c r="Z21" t="str">
        <f>IF(COUNTIFS(Data!$U:$U,$R21,Data!$T:$T,7,Data!$N:$N,"&lt;&gt;")=0,"",SUMIFS(Data!$N:$N,Data!$U:$U,$R21,Data!$T:$T,7))</f>
        <v/>
      </c>
      <c r="AA21" t="str">
        <f>IF(COUNTIFS(Data!$U:$U,$R21,Data!$T:$T,8,Data!$N:$N,"&lt;&gt;")=0,"",SUMIFS(Data!$N:$N,Data!$U:$U,$R21,Data!$T:$T,8))</f>
        <v/>
      </c>
      <c r="AB21" t="str">
        <f>IF(COUNTIFS(Data!$U:$U,$R21,Data!$T:$T,9,Data!$N:$N,"&lt;&gt;")=0,"",SUMIFS(Data!$N:$N,Data!$U:$U,$R21,Data!$T:$T,9))</f>
        <v/>
      </c>
      <c r="AC21" t="str">
        <f>IF(COUNTIFS(Data!$U:$U,$R21,Data!$T:$T,10,Data!$N:$N,"&lt;&gt;")=0,"",SUMIFS(Data!$N:$N,Data!$U:$U,$R21,Data!$T:$T,10))</f>
        <v/>
      </c>
      <c r="AD21" t="str">
        <f>IF(COUNTIFS(Data!$U:$U,$R21,Data!$T:$T,11,Data!$N:$N,"&lt;&gt;")=0,"",SUMIFS(Data!$N:$N,Data!$U:$U,$R21,Data!$T:$T,11))</f>
        <v/>
      </c>
      <c r="AE21" t="str">
        <f>IF(COUNTIFS(Data!$U:$U,$R21,Data!$T:$T,12,Data!$N:$N,"&lt;&gt;")=0,"",SUMIFS(Data!$N:$N,Data!$U:$U,$R21,Data!$T:$T,12))</f>
        <v/>
      </c>
      <c r="AF21" t="str">
        <f>IF(COUNTIFS(Data!$U:$U,$R21,Data!$T:$T,13,Data!$N:$N,"&lt;&gt;")=0,"",SUMIFS(Data!$N:$N,Data!$U:$U,$R21,Data!$T:$T,13))</f>
        <v/>
      </c>
      <c r="AG21" t="str">
        <f>IF(COUNTIFS(Data!$U:$U,$R21,Data!$T:$T,14,Data!$N:$N,"&lt;&gt;")=0,"",SUMIFS(Data!$N:$N,Data!$U:$U,$R21,Data!$T:$T,14))</f>
        <v/>
      </c>
      <c r="AH21">
        <f>COUNTIFS(Data!$U:$U,$R21,Data!$T:$T,"&lt;="&amp;14,Data!$N:$N,"&lt;&gt;")</f>
        <v>0</v>
      </c>
      <c r="AI21">
        <f>COUNTIFS(Data!$U:$U,$R21,Data!$T:$T,"&lt;="&amp;14,Data!$N:$N,0)</f>
        <v>0</v>
      </c>
      <c r="AJ21" t="str">
        <f t="shared" si="3"/>
        <v/>
      </c>
      <c r="AK21" t="str">
        <f>IF(AH21=0,"",SUMIFS(Data!$N:$N,Data!$U:$U,$R21,Data!$T:$T,"&lt;="&amp;14))</f>
        <v/>
      </c>
      <c r="AL21" t="str">
        <f t="shared" si="4"/>
        <v/>
      </c>
      <c r="AM21">
        <f t="shared" si="5"/>
        <v>-1</v>
      </c>
      <c r="AN21">
        <f t="shared" si="6"/>
        <v>57</v>
      </c>
    </row>
    <row r="22" spans="1:40" x14ac:dyDescent="0.2">
      <c r="A22">
        <v>20</v>
      </c>
      <c r="B22" s="27" t="str">
        <f>IFERROR(IF(INDEX(Data!$B:$B,MATCH($A22,Data!$T:$T,0))="","",INDEX(Data!$B:$B,MATCH($A22,Data!$T:$T,0))),"")</f>
        <v/>
      </c>
      <c r="C22" t="str">
        <f>IFERROR(IF(INDEX(Data!$D:$D,MATCH($A22,Data!$T:$T,0))="","",INDEX(Data!$D:$D,MATCH($A22,Data!$T:$T,0))),"")</f>
        <v/>
      </c>
      <c r="D22" s="27" t="str">
        <f>IFERROR(IF(INDEX(Data!$O:$O,MATCH($A22,Data!$T:$T,0))="","",INDEX(Data!$O:$O,MATCH($A22,Data!$T:$T,0))),"")</f>
        <v/>
      </c>
      <c r="E22">
        <f>COUNTIFS(Data!$T:$T,$A22)</f>
        <v>0</v>
      </c>
      <c r="F22">
        <f>COUNTIFS(Data!$T:$T,$A22,Data!$N:$N,"&lt;&gt;")</f>
        <v>0</v>
      </c>
      <c r="G22">
        <f>COUNTIFS(Data!$T:$T,$A22,Data!$N:$N,0)</f>
        <v>0</v>
      </c>
      <c r="H22" t="str">
        <f t="shared" si="0"/>
        <v/>
      </c>
      <c r="I22" t="str">
        <f>IF($F22=0,"",SUMIFS(Data!$N:$N,Data!$T:$T,$A22))</f>
        <v/>
      </c>
      <c r="J22">
        <f>COUNTIFS(Data!$T:$T,$A22,Data!$Q:$Q,"&lt;&gt;")</f>
        <v>0</v>
      </c>
      <c r="K22" t="str">
        <f>IF($J22=0,"",SUMIFS(Data!$Q:$Q,Data!$T:$T,$A22))</f>
        <v/>
      </c>
      <c r="L22">
        <f>COUNTIFS(Data!$T:$T,$A22,Data!$M:$M,"&lt;&gt;")</f>
        <v>0</v>
      </c>
      <c r="M22" t="str">
        <f t="shared" si="1"/>
        <v/>
      </c>
      <c r="N22">
        <f>COUNTIFS(Data!$T:$T,$A22,Data!$I:$I,"&lt;&gt;")</f>
        <v>0</v>
      </c>
      <c r="O22" t="str">
        <f t="shared" si="2"/>
        <v/>
      </c>
      <c r="R22">
        <v>20</v>
      </c>
      <c r="S22" t="str">
        <f>IFERROR(INDEX(Data!$G:$G,MATCH($R22,Data!$U:$U,0)),"")</f>
        <v>ILUMA</v>
      </c>
      <c r="T22" t="str">
        <f>IF(COUNTIFS(Data!$U:$U,$R22,Data!$T:$T,1,Data!$N:$N,"&lt;&gt;")=0,"",SUMIFS(Data!$N:$N,Data!$U:$U,$R22,Data!$T:$T,1))</f>
        <v/>
      </c>
      <c r="U22" t="str">
        <f>IF(COUNTIFS(Data!$U:$U,$R22,Data!$T:$T,2,Data!$N:$N,"&lt;&gt;")=0,"",SUMIFS(Data!$N:$N,Data!$U:$U,$R22,Data!$T:$T,2))</f>
        <v/>
      </c>
      <c r="V22" t="str">
        <f>IF(COUNTIFS(Data!$U:$U,$R22,Data!$T:$T,3,Data!$N:$N,"&lt;&gt;")=0,"",SUMIFS(Data!$N:$N,Data!$U:$U,$R22,Data!$T:$T,3))</f>
        <v/>
      </c>
      <c r="W22" t="str">
        <f>IF(COUNTIFS(Data!$U:$U,$R22,Data!$T:$T,4,Data!$N:$N,"&lt;&gt;")=0,"",SUMIFS(Data!$N:$N,Data!$U:$U,$R22,Data!$T:$T,4))</f>
        <v/>
      </c>
      <c r="X22" t="str">
        <f>IF(COUNTIFS(Data!$U:$U,$R22,Data!$T:$T,5,Data!$N:$N,"&lt;&gt;")=0,"",SUMIFS(Data!$N:$N,Data!$U:$U,$R22,Data!$T:$T,5))</f>
        <v/>
      </c>
      <c r="Y22" t="str">
        <f>IF(COUNTIFS(Data!$U:$U,$R22,Data!$T:$T,6,Data!$N:$N,"&lt;&gt;")=0,"",SUMIFS(Data!$N:$N,Data!$U:$U,$R22,Data!$T:$T,6))</f>
        <v/>
      </c>
      <c r="Z22" t="str">
        <f>IF(COUNTIFS(Data!$U:$U,$R22,Data!$T:$T,7,Data!$N:$N,"&lt;&gt;")=0,"",SUMIFS(Data!$N:$N,Data!$U:$U,$R22,Data!$T:$T,7))</f>
        <v/>
      </c>
      <c r="AA22" t="str">
        <f>IF(COUNTIFS(Data!$U:$U,$R22,Data!$T:$T,8,Data!$N:$N,"&lt;&gt;")=0,"",SUMIFS(Data!$N:$N,Data!$U:$U,$R22,Data!$T:$T,8))</f>
        <v/>
      </c>
      <c r="AB22" t="str">
        <f>IF(COUNTIFS(Data!$U:$U,$R22,Data!$T:$T,9,Data!$N:$N,"&lt;&gt;")=0,"",SUMIFS(Data!$N:$N,Data!$U:$U,$R22,Data!$T:$T,9))</f>
        <v/>
      </c>
      <c r="AC22" t="str">
        <f>IF(COUNTIFS(Data!$U:$U,$R22,Data!$T:$T,10,Data!$N:$N,"&lt;&gt;")=0,"",SUMIFS(Data!$N:$N,Data!$U:$U,$R22,Data!$T:$T,10))</f>
        <v/>
      </c>
      <c r="AD22" t="str">
        <f>IF(COUNTIFS(Data!$U:$U,$R22,Data!$T:$T,11,Data!$N:$N,"&lt;&gt;")=0,"",SUMIFS(Data!$N:$N,Data!$U:$U,$R22,Data!$T:$T,11))</f>
        <v/>
      </c>
      <c r="AE22" t="str">
        <f>IF(COUNTIFS(Data!$U:$U,$R22,Data!$T:$T,12,Data!$N:$N,"&lt;&gt;")=0,"",SUMIFS(Data!$N:$N,Data!$U:$U,$R22,Data!$T:$T,12))</f>
        <v/>
      </c>
      <c r="AF22" t="str">
        <f>IF(COUNTIFS(Data!$U:$U,$R22,Data!$T:$T,13,Data!$N:$N,"&lt;&gt;")=0,"",SUMIFS(Data!$N:$N,Data!$U:$U,$R22,Data!$T:$T,13))</f>
        <v/>
      </c>
      <c r="AG22" t="str">
        <f>IF(COUNTIFS(Data!$U:$U,$R22,Data!$T:$T,14,Data!$N:$N,"&lt;&gt;")=0,"",SUMIFS(Data!$N:$N,Data!$U:$U,$R22,Data!$T:$T,14))</f>
        <v/>
      </c>
      <c r="AH22">
        <f>COUNTIFS(Data!$U:$U,$R22,Data!$T:$T,"&lt;="&amp;14,Data!$N:$N,"&lt;&gt;")</f>
        <v>0</v>
      </c>
      <c r="AI22">
        <f>COUNTIFS(Data!$U:$U,$R22,Data!$T:$T,"&lt;="&amp;14,Data!$N:$N,0)</f>
        <v>0</v>
      </c>
      <c r="AJ22" t="str">
        <f t="shared" si="3"/>
        <v/>
      </c>
      <c r="AK22" t="str">
        <f>IF(AH22=0,"",SUMIFS(Data!$N:$N,Data!$U:$U,$R22,Data!$T:$T,"&lt;="&amp;14))</f>
        <v/>
      </c>
      <c r="AL22" t="str">
        <f t="shared" si="4"/>
        <v/>
      </c>
      <c r="AM22">
        <f t="shared" si="5"/>
        <v>-1</v>
      </c>
      <c r="AN22">
        <f t="shared" si="6"/>
        <v>58</v>
      </c>
    </row>
    <row r="23" spans="1:40" x14ac:dyDescent="0.2">
      <c r="A23">
        <v>21</v>
      </c>
      <c r="B23" s="27" t="str">
        <f>IFERROR(IF(INDEX(Data!$B:$B,MATCH($A23,Data!$T:$T,0))="","",INDEX(Data!$B:$B,MATCH($A23,Data!$T:$T,0))),"")</f>
        <v/>
      </c>
      <c r="C23" t="str">
        <f>IFERROR(IF(INDEX(Data!$D:$D,MATCH($A23,Data!$T:$T,0))="","",INDEX(Data!$D:$D,MATCH($A23,Data!$T:$T,0))),"")</f>
        <v/>
      </c>
      <c r="D23" s="27" t="str">
        <f>IFERROR(IF(INDEX(Data!$O:$O,MATCH($A23,Data!$T:$T,0))="","",INDEX(Data!$O:$O,MATCH($A23,Data!$T:$T,0))),"")</f>
        <v/>
      </c>
      <c r="E23">
        <f>COUNTIFS(Data!$T:$T,$A23)</f>
        <v>0</v>
      </c>
      <c r="F23">
        <f>COUNTIFS(Data!$T:$T,$A23,Data!$N:$N,"&lt;&gt;")</f>
        <v>0</v>
      </c>
      <c r="G23">
        <f>COUNTIFS(Data!$T:$T,$A23,Data!$N:$N,0)</f>
        <v>0</v>
      </c>
      <c r="H23" t="str">
        <f t="shared" si="0"/>
        <v/>
      </c>
      <c r="I23" t="str">
        <f>IF($F23=0,"",SUMIFS(Data!$N:$N,Data!$T:$T,$A23))</f>
        <v/>
      </c>
      <c r="J23">
        <f>COUNTIFS(Data!$T:$T,$A23,Data!$Q:$Q,"&lt;&gt;")</f>
        <v>0</v>
      </c>
      <c r="K23" t="str">
        <f>IF($J23=0,"",SUMIFS(Data!$Q:$Q,Data!$T:$T,$A23))</f>
        <v/>
      </c>
      <c r="L23">
        <f>COUNTIFS(Data!$T:$T,$A23,Data!$M:$M,"&lt;&gt;")</f>
        <v>0</v>
      </c>
      <c r="M23" t="str">
        <f t="shared" si="1"/>
        <v/>
      </c>
      <c r="N23">
        <f>COUNTIFS(Data!$T:$T,$A23,Data!$I:$I,"&lt;&gt;")</f>
        <v>0</v>
      </c>
      <c r="O23" t="str">
        <f t="shared" si="2"/>
        <v/>
      </c>
      <c r="R23">
        <v>21</v>
      </c>
      <c r="S23" t="str">
        <f>IFERROR(INDEX(Data!$G:$G,MATCH($R23,Data!$U:$U,0)),"")</f>
        <v>Kyo Original</v>
      </c>
      <c r="T23" t="str">
        <f>IF(COUNTIFS(Data!$U:$U,$R23,Data!$T:$T,1,Data!$N:$N,"&lt;&gt;")=0,"",SUMIFS(Data!$N:$N,Data!$U:$U,$R23,Data!$T:$T,1))</f>
        <v/>
      </c>
      <c r="U23" t="str">
        <f>IF(COUNTIFS(Data!$U:$U,$R23,Data!$T:$T,2,Data!$N:$N,"&lt;&gt;")=0,"",SUMIFS(Data!$N:$N,Data!$U:$U,$R23,Data!$T:$T,2))</f>
        <v/>
      </c>
      <c r="V23" t="str">
        <f>IF(COUNTIFS(Data!$U:$U,$R23,Data!$T:$T,3,Data!$N:$N,"&lt;&gt;")=0,"",SUMIFS(Data!$N:$N,Data!$U:$U,$R23,Data!$T:$T,3))</f>
        <v/>
      </c>
      <c r="W23" t="str">
        <f>IF(COUNTIFS(Data!$U:$U,$R23,Data!$T:$T,4,Data!$N:$N,"&lt;&gt;")=0,"",SUMIFS(Data!$N:$N,Data!$U:$U,$R23,Data!$T:$T,4))</f>
        <v/>
      </c>
      <c r="X23" t="str">
        <f>IF(COUNTIFS(Data!$U:$U,$R23,Data!$T:$T,5,Data!$N:$N,"&lt;&gt;")=0,"",SUMIFS(Data!$N:$N,Data!$U:$U,$R23,Data!$T:$T,5))</f>
        <v/>
      </c>
      <c r="Y23" t="str">
        <f>IF(COUNTIFS(Data!$U:$U,$R23,Data!$T:$T,6,Data!$N:$N,"&lt;&gt;")=0,"",SUMIFS(Data!$N:$N,Data!$U:$U,$R23,Data!$T:$T,6))</f>
        <v/>
      </c>
      <c r="Z23" t="str">
        <f>IF(COUNTIFS(Data!$U:$U,$R23,Data!$T:$T,7,Data!$N:$N,"&lt;&gt;")=0,"",SUMIFS(Data!$N:$N,Data!$U:$U,$R23,Data!$T:$T,7))</f>
        <v/>
      </c>
      <c r="AA23">
        <f>IF(COUNTIFS(Data!$U:$U,$R23,Data!$T:$T,8,Data!$N:$N,"&lt;&gt;")=0,"",SUMIFS(Data!$N:$N,Data!$U:$U,$R23,Data!$T:$T,8))</f>
        <v>0</v>
      </c>
      <c r="AB23">
        <f>IF(COUNTIFS(Data!$U:$U,$R23,Data!$T:$T,9,Data!$N:$N,"&lt;&gt;")=0,"",SUMIFS(Data!$N:$N,Data!$U:$U,$R23,Data!$T:$T,9))</f>
        <v>0</v>
      </c>
      <c r="AC23">
        <f>IF(COUNTIFS(Data!$U:$U,$R23,Data!$T:$T,10,Data!$N:$N,"&lt;&gt;")=0,"",SUMIFS(Data!$N:$N,Data!$U:$U,$R23,Data!$T:$T,10))</f>
        <v>0</v>
      </c>
      <c r="AD23">
        <f>IF(COUNTIFS(Data!$U:$U,$R23,Data!$T:$T,11,Data!$N:$N,"&lt;&gt;")=0,"",SUMIFS(Data!$N:$N,Data!$U:$U,$R23,Data!$T:$T,11))</f>
        <v>0</v>
      </c>
      <c r="AE23">
        <f>IF(COUNTIFS(Data!$U:$U,$R23,Data!$T:$T,12,Data!$N:$N,"&lt;&gt;")=0,"",SUMIFS(Data!$N:$N,Data!$U:$U,$R23,Data!$T:$T,12))</f>
        <v>0</v>
      </c>
      <c r="AF23" t="str">
        <f>IF(COUNTIFS(Data!$U:$U,$R23,Data!$T:$T,13,Data!$N:$N,"&lt;&gt;")=0,"",SUMIFS(Data!$N:$N,Data!$U:$U,$R23,Data!$T:$T,13))</f>
        <v/>
      </c>
      <c r="AG23" t="str">
        <f>IF(COUNTIFS(Data!$U:$U,$R23,Data!$T:$T,14,Data!$N:$N,"&lt;&gt;")=0,"",SUMIFS(Data!$N:$N,Data!$U:$U,$R23,Data!$T:$T,14))</f>
        <v/>
      </c>
      <c r="AH23">
        <f>COUNTIFS(Data!$U:$U,$R23,Data!$T:$T,"&lt;="&amp;14,Data!$N:$N,"&lt;&gt;")</f>
        <v>5</v>
      </c>
      <c r="AI23">
        <f>COUNTIFS(Data!$U:$U,$R23,Data!$T:$T,"&lt;="&amp;14,Data!$N:$N,0)</f>
        <v>5</v>
      </c>
      <c r="AJ23">
        <f t="shared" si="3"/>
        <v>0</v>
      </c>
      <c r="AK23">
        <f>IF(AH23=0,"",SUMIFS(Data!$N:$N,Data!$U:$U,$R23,Data!$T:$T,"&lt;="&amp;14))</f>
        <v>0</v>
      </c>
      <c r="AL23">
        <f t="shared" si="4"/>
        <v>0</v>
      </c>
      <c r="AM23">
        <f t="shared" si="5"/>
        <v>0</v>
      </c>
      <c r="AN23">
        <f t="shared" si="6"/>
        <v>41</v>
      </c>
    </row>
    <row r="24" spans="1:40" x14ac:dyDescent="0.2">
      <c r="A24">
        <v>22</v>
      </c>
      <c r="B24" s="27" t="str">
        <f>IFERROR(IF(INDEX(Data!$B:$B,MATCH($A24,Data!$T:$T,0))="","",INDEX(Data!$B:$B,MATCH($A24,Data!$T:$T,0))),"")</f>
        <v/>
      </c>
      <c r="C24" t="str">
        <f>IFERROR(IF(INDEX(Data!$D:$D,MATCH($A24,Data!$T:$T,0))="","",INDEX(Data!$D:$D,MATCH($A24,Data!$T:$T,0))),"")</f>
        <v/>
      </c>
      <c r="D24" s="27" t="str">
        <f>IFERROR(IF(INDEX(Data!$O:$O,MATCH($A24,Data!$T:$T,0))="","",INDEX(Data!$O:$O,MATCH($A24,Data!$T:$T,0))),"")</f>
        <v/>
      </c>
      <c r="E24">
        <f>COUNTIFS(Data!$T:$T,$A24)</f>
        <v>0</v>
      </c>
      <c r="F24">
        <f>COUNTIFS(Data!$T:$T,$A24,Data!$N:$N,"&lt;&gt;")</f>
        <v>0</v>
      </c>
      <c r="G24">
        <f>COUNTIFS(Data!$T:$T,$A24,Data!$N:$N,0)</f>
        <v>0</v>
      </c>
      <c r="H24" t="str">
        <f t="shared" si="0"/>
        <v/>
      </c>
      <c r="I24" t="str">
        <f>IF($F24=0,"",SUMIFS(Data!$N:$N,Data!$T:$T,$A24))</f>
        <v/>
      </c>
      <c r="J24">
        <f>COUNTIFS(Data!$T:$T,$A24,Data!$Q:$Q,"&lt;&gt;")</f>
        <v>0</v>
      </c>
      <c r="K24" t="str">
        <f>IF($J24=0,"",SUMIFS(Data!$Q:$Q,Data!$T:$T,$A24))</f>
        <v/>
      </c>
      <c r="L24">
        <f>COUNTIFS(Data!$T:$T,$A24,Data!$M:$M,"&lt;&gt;")</f>
        <v>0</v>
      </c>
      <c r="M24" t="str">
        <f t="shared" si="1"/>
        <v/>
      </c>
      <c r="N24">
        <f>COUNTIFS(Data!$T:$T,$A24,Data!$I:$I,"&lt;&gt;")</f>
        <v>0</v>
      </c>
      <c r="O24" t="str">
        <f t="shared" si="2"/>
        <v/>
      </c>
      <c r="R24">
        <v>22</v>
      </c>
      <c r="S24" t="str">
        <f>IFERROR(INDEX(Data!$G:$G,MATCH($R24,Data!$U:$U,0)),"")</f>
        <v>Kyo Silver</v>
      </c>
      <c r="T24" t="str">
        <f>IF(COUNTIFS(Data!$U:$U,$R24,Data!$T:$T,1,Data!$N:$N,"&lt;&gt;")=0,"",SUMIFS(Data!$N:$N,Data!$U:$U,$R24,Data!$T:$T,1))</f>
        <v/>
      </c>
      <c r="U24" t="str">
        <f>IF(COUNTIFS(Data!$U:$U,$R24,Data!$T:$T,2,Data!$N:$N,"&lt;&gt;")=0,"",SUMIFS(Data!$N:$N,Data!$U:$U,$R24,Data!$T:$T,2))</f>
        <v/>
      </c>
      <c r="V24" t="str">
        <f>IF(COUNTIFS(Data!$U:$U,$R24,Data!$T:$T,3,Data!$N:$N,"&lt;&gt;")=0,"",SUMIFS(Data!$N:$N,Data!$U:$U,$R24,Data!$T:$T,3))</f>
        <v/>
      </c>
      <c r="W24" t="str">
        <f>IF(COUNTIFS(Data!$U:$U,$R24,Data!$T:$T,4,Data!$N:$N,"&lt;&gt;")=0,"",SUMIFS(Data!$N:$N,Data!$U:$U,$R24,Data!$T:$T,4))</f>
        <v/>
      </c>
      <c r="X24" t="str">
        <f>IF(COUNTIFS(Data!$U:$U,$R24,Data!$T:$T,5,Data!$N:$N,"&lt;&gt;")=0,"",SUMIFS(Data!$N:$N,Data!$U:$U,$R24,Data!$T:$T,5))</f>
        <v/>
      </c>
      <c r="Y24" t="str">
        <f>IF(COUNTIFS(Data!$U:$U,$R24,Data!$T:$T,6,Data!$N:$N,"&lt;&gt;")=0,"",SUMIFS(Data!$N:$N,Data!$U:$U,$R24,Data!$T:$T,6))</f>
        <v/>
      </c>
      <c r="Z24" t="str">
        <f>IF(COUNTIFS(Data!$U:$U,$R24,Data!$T:$T,7,Data!$N:$N,"&lt;&gt;")=0,"",SUMIFS(Data!$N:$N,Data!$U:$U,$R24,Data!$T:$T,7))</f>
        <v/>
      </c>
      <c r="AA24">
        <f>IF(COUNTIFS(Data!$U:$U,$R24,Data!$T:$T,8,Data!$N:$N,"&lt;&gt;")=0,"",SUMIFS(Data!$N:$N,Data!$U:$U,$R24,Data!$T:$T,8))</f>
        <v>0</v>
      </c>
      <c r="AB24">
        <f>IF(COUNTIFS(Data!$U:$U,$R24,Data!$T:$T,9,Data!$N:$N,"&lt;&gt;")=0,"",SUMIFS(Data!$N:$N,Data!$U:$U,$R24,Data!$T:$T,9))</f>
        <v>0</v>
      </c>
      <c r="AC24">
        <f>IF(COUNTIFS(Data!$U:$U,$R24,Data!$T:$T,10,Data!$N:$N,"&lt;&gt;")=0,"",SUMIFS(Data!$N:$N,Data!$U:$U,$R24,Data!$T:$T,10))</f>
        <v>0</v>
      </c>
      <c r="AD24">
        <f>IF(COUNTIFS(Data!$U:$U,$R24,Data!$T:$T,11,Data!$N:$N,"&lt;&gt;")=0,"",SUMIFS(Data!$N:$N,Data!$U:$U,$R24,Data!$T:$T,11))</f>
        <v>0</v>
      </c>
      <c r="AE24">
        <f>IF(COUNTIFS(Data!$U:$U,$R24,Data!$T:$T,12,Data!$N:$N,"&lt;&gt;")=0,"",SUMIFS(Data!$N:$N,Data!$U:$U,$R24,Data!$T:$T,12))</f>
        <v>0</v>
      </c>
      <c r="AF24" t="str">
        <f>IF(COUNTIFS(Data!$U:$U,$R24,Data!$T:$T,13,Data!$N:$N,"&lt;&gt;")=0,"",SUMIFS(Data!$N:$N,Data!$U:$U,$R24,Data!$T:$T,13))</f>
        <v/>
      </c>
      <c r="AG24" t="str">
        <f>IF(COUNTIFS(Data!$U:$U,$R24,Data!$T:$T,14,Data!$N:$N,"&lt;&gt;")=0,"",SUMIFS(Data!$N:$N,Data!$U:$U,$R24,Data!$T:$T,14))</f>
        <v/>
      </c>
      <c r="AH24">
        <f>COUNTIFS(Data!$U:$U,$R24,Data!$T:$T,"&lt;="&amp;14,Data!$N:$N,"&lt;&gt;")</f>
        <v>5</v>
      </c>
      <c r="AI24">
        <f>COUNTIFS(Data!$U:$U,$R24,Data!$T:$T,"&lt;="&amp;14,Data!$N:$N,0)</f>
        <v>5</v>
      </c>
      <c r="AJ24">
        <f t="shared" si="3"/>
        <v>0</v>
      </c>
      <c r="AK24">
        <f>IF(AH24=0,"",SUMIFS(Data!$N:$N,Data!$U:$U,$R24,Data!$T:$T,"&lt;="&amp;14))</f>
        <v>0</v>
      </c>
      <c r="AL24">
        <f t="shared" si="4"/>
        <v>0</v>
      </c>
      <c r="AM24">
        <f t="shared" si="5"/>
        <v>0</v>
      </c>
      <c r="AN24">
        <f t="shared" si="6"/>
        <v>42</v>
      </c>
    </row>
    <row r="25" spans="1:40" x14ac:dyDescent="0.2">
      <c r="A25">
        <v>23</v>
      </c>
      <c r="B25" s="27" t="str">
        <f>IFERROR(IF(INDEX(Data!$B:$B,MATCH($A25,Data!$T:$T,0))="","",INDEX(Data!$B:$B,MATCH($A25,Data!$T:$T,0))),"")</f>
        <v/>
      </c>
      <c r="C25" t="str">
        <f>IFERROR(IF(INDEX(Data!$D:$D,MATCH($A25,Data!$T:$T,0))="","",INDEX(Data!$D:$D,MATCH($A25,Data!$T:$T,0))),"")</f>
        <v/>
      </c>
      <c r="D25" s="27" t="str">
        <f>IFERROR(IF(INDEX(Data!$O:$O,MATCH($A25,Data!$T:$T,0))="","",INDEX(Data!$O:$O,MATCH($A25,Data!$T:$T,0))),"")</f>
        <v/>
      </c>
      <c r="E25">
        <f>COUNTIFS(Data!$T:$T,$A25)</f>
        <v>0</v>
      </c>
      <c r="F25">
        <f>COUNTIFS(Data!$T:$T,$A25,Data!$N:$N,"&lt;&gt;")</f>
        <v>0</v>
      </c>
      <c r="G25">
        <f>COUNTIFS(Data!$T:$T,$A25,Data!$N:$N,0)</f>
        <v>0</v>
      </c>
      <c r="H25" t="str">
        <f t="shared" si="0"/>
        <v/>
      </c>
      <c r="I25" t="str">
        <f>IF($F25=0,"",SUMIFS(Data!$N:$N,Data!$T:$T,$A25))</f>
        <v/>
      </c>
      <c r="J25">
        <f>COUNTIFS(Data!$T:$T,$A25,Data!$Q:$Q,"&lt;&gt;")</f>
        <v>0</v>
      </c>
      <c r="K25" t="str">
        <f>IF($J25=0,"",SUMIFS(Data!$Q:$Q,Data!$T:$T,$A25))</f>
        <v/>
      </c>
      <c r="L25">
        <f>COUNTIFS(Data!$T:$T,$A25,Data!$M:$M,"&lt;&gt;")</f>
        <v>0</v>
      </c>
      <c r="M25" t="str">
        <f t="shared" si="1"/>
        <v/>
      </c>
      <c r="N25">
        <f>COUNTIFS(Data!$T:$T,$A25,Data!$I:$I,"&lt;&gt;")</f>
        <v>0</v>
      </c>
      <c r="O25" t="str">
        <f t="shared" si="2"/>
        <v/>
      </c>
      <c r="R25">
        <v>23</v>
      </c>
      <c r="S25" t="str">
        <f>IFERROR(INDEX(Data!$G:$G,MATCH($R25,Data!$U:$U,0)),"")</f>
        <v>LD 100 Red</v>
      </c>
      <c r="T25" t="str">
        <f>IF(COUNTIFS(Data!$U:$U,$R25,Data!$T:$T,1,Data!$N:$N,"&lt;&gt;")=0,"",SUMIFS(Data!$N:$N,Data!$U:$U,$R25,Data!$T:$T,1))</f>
        <v/>
      </c>
      <c r="U25" t="str">
        <f>IF(COUNTIFS(Data!$U:$U,$R25,Data!$T:$T,2,Data!$N:$N,"&lt;&gt;")=0,"",SUMIFS(Data!$N:$N,Data!$U:$U,$R25,Data!$T:$T,2))</f>
        <v/>
      </c>
      <c r="V25" t="str">
        <f>IF(COUNTIFS(Data!$U:$U,$R25,Data!$T:$T,3,Data!$N:$N,"&lt;&gt;")=0,"",SUMIFS(Data!$N:$N,Data!$U:$U,$R25,Data!$T:$T,3))</f>
        <v/>
      </c>
      <c r="W25" t="str">
        <f>IF(COUNTIFS(Data!$U:$U,$R25,Data!$T:$T,4,Data!$N:$N,"&lt;&gt;")=0,"",SUMIFS(Data!$N:$N,Data!$U:$U,$R25,Data!$T:$T,4))</f>
        <v/>
      </c>
      <c r="X25" t="str">
        <f>IF(COUNTIFS(Data!$U:$U,$R25,Data!$T:$T,5,Data!$N:$N,"&lt;&gt;")=0,"",SUMIFS(Data!$N:$N,Data!$U:$U,$R25,Data!$T:$T,5))</f>
        <v/>
      </c>
      <c r="Y25" t="str">
        <f>IF(COUNTIFS(Data!$U:$U,$R25,Data!$T:$T,6,Data!$N:$N,"&lt;&gt;")=0,"",SUMIFS(Data!$N:$N,Data!$U:$U,$R25,Data!$T:$T,6))</f>
        <v/>
      </c>
      <c r="Z25" t="str">
        <f>IF(COUNTIFS(Data!$U:$U,$R25,Data!$T:$T,7,Data!$N:$N,"&lt;&gt;")=0,"",SUMIFS(Data!$N:$N,Data!$U:$U,$R25,Data!$T:$T,7))</f>
        <v/>
      </c>
      <c r="AA25">
        <f>IF(COUNTIFS(Data!$U:$U,$R25,Data!$T:$T,8,Data!$N:$N,"&lt;&gt;")=0,"",SUMIFS(Data!$N:$N,Data!$U:$U,$R25,Data!$T:$T,8))</f>
        <v>-1</v>
      </c>
      <c r="AB25">
        <f>IF(COUNTIFS(Data!$U:$U,$R25,Data!$T:$T,9,Data!$N:$N,"&lt;&gt;")=0,"",SUMIFS(Data!$N:$N,Data!$U:$U,$R25,Data!$T:$T,9))</f>
        <v>1</v>
      </c>
      <c r="AC25">
        <f>IF(COUNTIFS(Data!$U:$U,$R25,Data!$T:$T,10,Data!$N:$N,"&lt;&gt;")=0,"",SUMIFS(Data!$N:$N,Data!$U:$U,$R25,Data!$T:$T,10))</f>
        <v>0</v>
      </c>
      <c r="AD25">
        <f>IF(COUNTIFS(Data!$U:$U,$R25,Data!$T:$T,11,Data!$N:$N,"&lt;&gt;")=0,"",SUMIFS(Data!$N:$N,Data!$U:$U,$R25,Data!$T:$T,11))</f>
        <v>0</v>
      </c>
      <c r="AE25">
        <f>IF(COUNTIFS(Data!$U:$U,$R25,Data!$T:$T,12,Data!$N:$N,"&lt;&gt;")=0,"",SUMIFS(Data!$N:$N,Data!$U:$U,$R25,Data!$T:$T,12))</f>
        <v>0</v>
      </c>
      <c r="AF25" t="str">
        <f>IF(COUNTIFS(Data!$U:$U,$R25,Data!$T:$T,13,Data!$N:$N,"&lt;&gt;")=0,"",SUMIFS(Data!$N:$N,Data!$U:$U,$R25,Data!$T:$T,13))</f>
        <v/>
      </c>
      <c r="AG25" t="str">
        <f>IF(COUNTIFS(Data!$U:$U,$R25,Data!$T:$T,14,Data!$N:$N,"&lt;&gt;")=0,"",SUMIFS(Data!$N:$N,Data!$U:$U,$R25,Data!$T:$T,14))</f>
        <v/>
      </c>
      <c r="AH25">
        <f>COUNTIFS(Data!$U:$U,$R25,Data!$T:$T,"&lt;="&amp;14,Data!$N:$N,"&lt;&gt;")</f>
        <v>5</v>
      </c>
      <c r="AI25">
        <f>COUNTIFS(Data!$U:$U,$R25,Data!$T:$T,"&lt;="&amp;14,Data!$N:$N,0)</f>
        <v>3</v>
      </c>
      <c r="AJ25">
        <f t="shared" si="3"/>
        <v>2</v>
      </c>
      <c r="AK25">
        <f>IF(AH25=0,"",SUMIFS(Data!$N:$N,Data!$U:$U,$R25,Data!$T:$T,"&lt;="&amp;14))</f>
        <v>0</v>
      </c>
      <c r="AL25">
        <f t="shared" si="4"/>
        <v>1</v>
      </c>
      <c r="AM25">
        <f t="shared" si="5"/>
        <v>200000</v>
      </c>
      <c r="AN25">
        <f t="shared" si="6"/>
        <v>19</v>
      </c>
    </row>
    <row r="26" spans="1:40" x14ac:dyDescent="0.2">
      <c r="A26">
        <v>24</v>
      </c>
      <c r="B26" s="27" t="str">
        <f>IFERROR(IF(INDEX(Data!$B:$B,MATCH($A26,Data!$T:$T,0))="","",INDEX(Data!$B:$B,MATCH($A26,Data!$T:$T,0))),"")</f>
        <v/>
      </c>
      <c r="C26" t="str">
        <f>IFERROR(IF(INDEX(Data!$D:$D,MATCH($A26,Data!$T:$T,0))="","",INDEX(Data!$D:$D,MATCH($A26,Data!$T:$T,0))),"")</f>
        <v/>
      </c>
      <c r="D26" s="27" t="str">
        <f>IFERROR(IF(INDEX(Data!$O:$O,MATCH($A26,Data!$T:$T,0))="","",INDEX(Data!$O:$O,MATCH($A26,Data!$T:$T,0))),"")</f>
        <v/>
      </c>
      <c r="E26">
        <f>COUNTIFS(Data!$T:$T,$A26)</f>
        <v>0</v>
      </c>
      <c r="F26">
        <f>COUNTIFS(Data!$T:$T,$A26,Data!$N:$N,"&lt;&gt;")</f>
        <v>0</v>
      </c>
      <c r="G26">
        <f>COUNTIFS(Data!$T:$T,$A26,Data!$N:$N,0)</f>
        <v>0</v>
      </c>
      <c r="H26" t="str">
        <f t="shared" si="0"/>
        <v/>
      </c>
      <c r="I26" t="str">
        <f>IF($F26=0,"",SUMIFS(Data!$N:$N,Data!$T:$T,$A26))</f>
        <v/>
      </c>
      <c r="J26">
        <f>COUNTIFS(Data!$T:$T,$A26,Data!$Q:$Q,"&lt;&gt;")</f>
        <v>0</v>
      </c>
      <c r="K26" t="str">
        <f>IF($J26=0,"",SUMIFS(Data!$Q:$Q,Data!$T:$T,$A26))</f>
        <v/>
      </c>
      <c r="L26">
        <f>COUNTIFS(Data!$T:$T,$A26,Data!$M:$M,"&lt;&gt;")</f>
        <v>0</v>
      </c>
      <c r="M26" t="str">
        <f t="shared" si="1"/>
        <v/>
      </c>
      <c r="N26">
        <f>COUNTIFS(Data!$T:$T,$A26,Data!$I:$I,"&lt;&gt;")</f>
        <v>0</v>
      </c>
      <c r="O26" t="str">
        <f t="shared" si="2"/>
        <v/>
      </c>
      <c r="R26">
        <v>24</v>
      </c>
      <c r="S26" t="str">
        <f>IFERROR(INDEX(Data!$G:$G,MATCH($R26,Data!$U:$U,0)),"")</f>
        <v>LD Blue</v>
      </c>
      <c r="T26" t="str">
        <f>IF(COUNTIFS(Data!$U:$U,$R26,Data!$T:$T,1,Data!$N:$N,"&lt;&gt;")=0,"",SUMIFS(Data!$N:$N,Data!$U:$U,$R26,Data!$T:$T,1))</f>
        <v/>
      </c>
      <c r="U26" t="str">
        <f>IF(COUNTIFS(Data!$U:$U,$R26,Data!$T:$T,2,Data!$N:$N,"&lt;&gt;")=0,"",SUMIFS(Data!$N:$N,Data!$U:$U,$R26,Data!$T:$T,2))</f>
        <v/>
      </c>
      <c r="V26" t="str">
        <f>IF(COUNTIFS(Data!$U:$U,$R26,Data!$T:$T,3,Data!$N:$N,"&lt;&gt;")=0,"",SUMIFS(Data!$N:$N,Data!$U:$U,$R26,Data!$T:$T,3))</f>
        <v/>
      </c>
      <c r="W26" t="str">
        <f>IF(COUNTIFS(Data!$U:$U,$R26,Data!$T:$T,4,Data!$N:$N,"&lt;&gt;")=0,"",SUMIFS(Data!$N:$N,Data!$U:$U,$R26,Data!$T:$T,4))</f>
        <v/>
      </c>
      <c r="X26" t="str">
        <f>IF(COUNTIFS(Data!$U:$U,$R26,Data!$T:$T,5,Data!$N:$N,"&lt;&gt;")=0,"",SUMIFS(Data!$N:$N,Data!$U:$U,$R26,Data!$T:$T,5))</f>
        <v/>
      </c>
      <c r="Y26" t="str">
        <f>IF(COUNTIFS(Data!$U:$U,$R26,Data!$T:$T,6,Data!$N:$N,"&lt;&gt;")=0,"",SUMIFS(Data!$N:$N,Data!$U:$U,$R26,Data!$T:$T,6))</f>
        <v/>
      </c>
      <c r="Z26" t="str">
        <f>IF(COUNTIFS(Data!$U:$U,$R26,Data!$T:$T,7,Data!$N:$N,"&lt;&gt;")=0,"",SUMIFS(Data!$N:$N,Data!$U:$U,$R26,Data!$T:$T,7))</f>
        <v/>
      </c>
      <c r="AA26">
        <f>IF(COUNTIFS(Data!$U:$U,$R26,Data!$T:$T,8,Data!$N:$N,"&lt;&gt;")=0,"",SUMIFS(Data!$N:$N,Data!$U:$U,$R26,Data!$T:$T,8))</f>
        <v>-10</v>
      </c>
      <c r="AB26">
        <f>IF(COUNTIFS(Data!$U:$U,$R26,Data!$T:$T,9,Data!$N:$N,"&lt;&gt;")=0,"",SUMIFS(Data!$N:$N,Data!$U:$U,$R26,Data!$T:$T,9))</f>
        <v>0</v>
      </c>
      <c r="AC26">
        <f>IF(COUNTIFS(Data!$U:$U,$R26,Data!$T:$T,10,Data!$N:$N,"&lt;&gt;")=0,"",SUMIFS(Data!$N:$N,Data!$U:$U,$R26,Data!$T:$T,10))</f>
        <v>0</v>
      </c>
      <c r="AD26">
        <f>IF(COUNTIFS(Data!$U:$U,$R26,Data!$T:$T,11,Data!$N:$N,"&lt;&gt;")=0,"",SUMIFS(Data!$N:$N,Data!$U:$U,$R26,Data!$T:$T,11))</f>
        <v>-10</v>
      </c>
      <c r="AE26">
        <f>IF(COUNTIFS(Data!$U:$U,$R26,Data!$T:$T,12,Data!$N:$N,"&lt;&gt;")=0,"",SUMIFS(Data!$N:$N,Data!$U:$U,$R26,Data!$T:$T,12))</f>
        <v>0</v>
      </c>
      <c r="AF26" t="str">
        <f>IF(COUNTIFS(Data!$U:$U,$R26,Data!$T:$T,13,Data!$N:$N,"&lt;&gt;")=0,"",SUMIFS(Data!$N:$N,Data!$U:$U,$R26,Data!$T:$T,13))</f>
        <v/>
      </c>
      <c r="AG26" t="str">
        <f>IF(COUNTIFS(Data!$U:$U,$R26,Data!$T:$T,14,Data!$N:$N,"&lt;&gt;")=0,"",SUMIFS(Data!$N:$N,Data!$U:$U,$R26,Data!$T:$T,14))</f>
        <v/>
      </c>
      <c r="AH26">
        <f>COUNTIFS(Data!$U:$U,$R26,Data!$T:$T,"&lt;="&amp;14,Data!$N:$N,"&lt;&gt;")</f>
        <v>5</v>
      </c>
      <c r="AI26">
        <f>COUNTIFS(Data!$U:$U,$R26,Data!$T:$T,"&lt;="&amp;14,Data!$N:$N,0)</f>
        <v>3</v>
      </c>
      <c r="AJ26">
        <f t="shared" si="3"/>
        <v>2</v>
      </c>
      <c r="AK26">
        <f>IF(AH26=0,"",SUMIFS(Data!$N:$N,Data!$U:$U,$R26,Data!$T:$T,"&lt;="&amp;14))</f>
        <v>-20</v>
      </c>
      <c r="AL26">
        <f t="shared" si="4"/>
        <v>-10</v>
      </c>
      <c r="AM26">
        <f t="shared" si="5"/>
        <v>200020</v>
      </c>
      <c r="AN26">
        <f t="shared" si="6"/>
        <v>11</v>
      </c>
    </row>
    <row r="27" spans="1:40" x14ac:dyDescent="0.2">
      <c r="A27">
        <v>25</v>
      </c>
      <c r="B27" s="27" t="str">
        <f>IFERROR(IF(INDEX(Data!$B:$B,MATCH($A27,Data!$T:$T,0))="","",INDEX(Data!$B:$B,MATCH($A27,Data!$T:$T,0))),"")</f>
        <v/>
      </c>
      <c r="C27" t="str">
        <f>IFERROR(IF(INDEX(Data!$D:$D,MATCH($A27,Data!$T:$T,0))="","",INDEX(Data!$D:$D,MATCH($A27,Data!$T:$T,0))),"")</f>
        <v/>
      </c>
      <c r="D27" s="27" t="str">
        <f>IFERROR(IF(INDEX(Data!$O:$O,MATCH($A27,Data!$T:$T,0))="","",INDEX(Data!$O:$O,MATCH($A27,Data!$T:$T,0))),"")</f>
        <v/>
      </c>
      <c r="E27">
        <f>COUNTIFS(Data!$T:$T,$A27)</f>
        <v>0</v>
      </c>
      <c r="F27">
        <f>COUNTIFS(Data!$T:$T,$A27,Data!$N:$N,"&lt;&gt;")</f>
        <v>0</v>
      </c>
      <c r="G27">
        <f>COUNTIFS(Data!$T:$T,$A27,Data!$N:$N,0)</f>
        <v>0</v>
      </c>
      <c r="H27" t="str">
        <f t="shared" si="0"/>
        <v/>
      </c>
      <c r="I27" t="str">
        <f>IF($F27=0,"",SUMIFS(Data!$N:$N,Data!$T:$T,$A27))</f>
        <v/>
      </c>
      <c r="J27">
        <f>COUNTIFS(Data!$T:$T,$A27,Data!$Q:$Q,"&lt;&gt;")</f>
        <v>0</v>
      </c>
      <c r="K27" t="str">
        <f>IF($J27=0,"",SUMIFS(Data!$Q:$Q,Data!$T:$T,$A27))</f>
        <v/>
      </c>
      <c r="L27">
        <f>COUNTIFS(Data!$T:$T,$A27,Data!$M:$M,"&lt;&gt;")</f>
        <v>0</v>
      </c>
      <c r="M27" t="str">
        <f t="shared" si="1"/>
        <v/>
      </c>
      <c r="N27">
        <f>COUNTIFS(Data!$T:$T,$A27,Data!$I:$I,"&lt;&gt;")</f>
        <v>0</v>
      </c>
      <c r="O27" t="str">
        <f t="shared" si="2"/>
        <v/>
      </c>
      <c r="R27">
        <v>25</v>
      </c>
      <c r="S27" t="str">
        <f>IFERROR(INDEX(Data!$G:$G,MATCH($R27,Data!$U:$U,0)),"")</f>
        <v>LD Menthol</v>
      </c>
      <c r="T27" t="str">
        <f>IF(COUNTIFS(Data!$U:$U,$R27,Data!$T:$T,1,Data!$N:$N,"&lt;&gt;")=0,"",SUMIFS(Data!$N:$N,Data!$U:$U,$R27,Data!$T:$T,1))</f>
        <v/>
      </c>
      <c r="U27" t="str">
        <f>IF(COUNTIFS(Data!$U:$U,$R27,Data!$T:$T,2,Data!$N:$N,"&lt;&gt;")=0,"",SUMIFS(Data!$N:$N,Data!$U:$U,$R27,Data!$T:$T,2))</f>
        <v/>
      </c>
      <c r="V27" t="str">
        <f>IF(COUNTIFS(Data!$U:$U,$R27,Data!$T:$T,3,Data!$N:$N,"&lt;&gt;")=0,"",SUMIFS(Data!$N:$N,Data!$U:$U,$R27,Data!$T:$T,3))</f>
        <v/>
      </c>
      <c r="W27" t="str">
        <f>IF(COUNTIFS(Data!$U:$U,$R27,Data!$T:$T,4,Data!$N:$N,"&lt;&gt;")=0,"",SUMIFS(Data!$N:$N,Data!$U:$U,$R27,Data!$T:$T,4))</f>
        <v/>
      </c>
      <c r="X27" t="str">
        <f>IF(COUNTIFS(Data!$U:$U,$R27,Data!$T:$T,5,Data!$N:$N,"&lt;&gt;")=0,"",SUMIFS(Data!$N:$N,Data!$U:$U,$R27,Data!$T:$T,5))</f>
        <v/>
      </c>
      <c r="Y27" t="str">
        <f>IF(COUNTIFS(Data!$U:$U,$R27,Data!$T:$T,6,Data!$N:$N,"&lt;&gt;")=0,"",SUMIFS(Data!$N:$N,Data!$U:$U,$R27,Data!$T:$T,6))</f>
        <v/>
      </c>
      <c r="Z27" t="str">
        <f>IF(COUNTIFS(Data!$U:$U,$R27,Data!$T:$T,7,Data!$N:$N,"&lt;&gt;")=0,"",SUMIFS(Data!$N:$N,Data!$U:$U,$R27,Data!$T:$T,7))</f>
        <v/>
      </c>
      <c r="AA27">
        <f>IF(COUNTIFS(Data!$U:$U,$R27,Data!$T:$T,8,Data!$N:$N,"&lt;&gt;")=0,"",SUMIFS(Data!$N:$N,Data!$U:$U,$R27,Data!$T:$T,8))</f>
        <v>-12</v>
      </c>
      <c r="AB27">
        <f>IF(COUNTIFS(Data!$U:$U,$R27,Data!$T:$T,9,Data!$N:$N,"&lt;&gt;")=0,"",SUMIFS(Data!$N:$N,Data!$U:$U,$R27,Data!$T:$T,9))</f>
        <v>0</v>
      </c>
      <c r="AC27">
        <f>IF(COUNTIFS(Data!$U:$U,$R27,Data!$T:$T,10,Data!$N:$N,"&lt;&gt;")=0,"",SUMIFS(Data!$N:$N,Data!$U:$U,$R27,Data!$T:$T,10))</f>
        <v>0</v>
      </c>
      <c r="AD27">
        <f>IF(COUNTIFS(Data!$U:$U,$R27,Data!$T:$T,11,Data!$N:$N,"&lt;&gt;")=0,"",SUMIFS(Data!$N:$N,Data!$U:$U,$R27,Data!$T:$T,11))</f>
        <v>2</v>
      </c>
      <c r="AE27">
        <f>IF(COUNTIFS(Data!$U:$U,$R27,Data!$T:$T,12,Data!$N:$N,"&lt;&gt;")=0,"",SUMIFS(Data!$N:$N,Data!$U:$U,$R27,Data!$T:$T,12))</f>
        <v>-2</v>
      </c>
      <c r="AF27" t="str">
        <f>IF(COUNTIFS(Data!$U:$U,$R27,Data!$T:$T,13,Data!$N:$N,"&lt;&gt;")=0,"",SUMIFS(Data!$N:$N,Data!$U:$U,$R27,Data!$T:$T,13))</f>
        <v/>
      </c>
      <c r="AG27" t="str">
        <f>IF(COUNTIFS(Data!$U:$U,$R27,Data!$T:$T,14,Data!$N:$N,"&lt;&gt;")=0,"",SUMIFS(Data!$N:$N,Data!$U:$U,$R27,Data!$T:$T,14))</f>
        <v/>
      </c>
      <c r="AH27">
        <f>COUNTIFS(Data!$U:$U,$R27,Data!$T:$T,"&lt;="&amp;14,Data!$N:$N,"&lt;&gt;")</f>
        <v>5</v>
      </c>
      <c r="AI27">
        <f>COUNTIFS(Data!$U:$U,$R27,Data!$T:$T,"&lt;="&amp;14,Data!$N:$N,0)</f>
        <v>2</v>
      </c>
      <c r="AJ27">
        <f t="shared" si="3"/>
        <v>3</v>
      </c>
      <c r="AK27">
        <f>IF(AH27=0,"",SUMIFS(Data!$N:$N,Data!$U:$U,$R27,Data!$T:$T,"&lt;="&amp;14))</f>
        <v>-12</v>
      </c>
      <c r="AL27">
        <f t="shared" si="4"/>
        <v>-12</v>
      </c>
      <c r="AM27">
        <f t="shared" si="5"/>
        <v>300012</v>
      </c>
      <c r="AN27">
        <f t="shared" si="6"/>
        <v>8</v>
      </c>
    </row>
    <row r="28" spans="1:40" x14ac:dyDescent="0.2">
      <c r="A28">
        <v>26</v>
      </c>
      <c r="B28" s="27" t="str">
        <f>IFERROR(IF(INDEX(Data!$B:$B,MATCH($A28,Data!$T:$T,0))="","",INDEX(Data!$B:$B,MATCH($A28,Data!$T:$T,0))),"")</f>
        <v/>
      </c>
      <c r="C28" t="str">
        <f>IFERROR(IF(INDEX(Data!$D:$D,MATCH($A28,Data!$T:$T,0))="","",INDEX(Data!$D:$D,MATCH($A28,Data!$T:$T,0))),"")</f>
        <v/>
      </c>
      <c r="D28" s="27" t="str">
        <f>IFERROR(IF(INDEX(Data!$O:$O,MATCH($A28,Data!$T:$T,0))="","",INDEX(Data!$O:$O,MATCH($A28,Data!$T:$T,0))),"")</f>
        <v/>
      </c>
      <c r="E28">
        <f>COUNTIFS(Data!$T:$T,$A28)</f>
        <v>0</v>
      </c>
      <c r="F28">
        <f>COUNTIFS(Data!$T:$T,$A28,Data!$N:$N,"&lt;&gt;")</f>
        <v>0</v>
      </c>
      <c r="G28">
        <f>COUNTIFS(Data!$T:$T,$A28,Data!$N:$N,0)</f>
        <v>0</v>
      </c>
      <c r="H28" t="str">
        <f t="shared" si="0"/>
        <v/>
      </c>
      <c r="I28" t="str">
        <f>IF($F28=0,"",SUMIFS(Data!$N:$N,Data!$T:$T,$A28))</f>
        <v/>
      </c>
      <c r="J28">
        <f>COUNTIFS(Data!$T:$T,$A28,Data!$Q:$Q,"&lt;&gt;")</f>
        <v>0</v>
      </c>
      <c r="K28" t="str">
        <f>IF($J28=0,"",SUMIFS(Data!$Q:$Q,Data!$T:$T,$A28))</f>
        <v/>
      </c>
      <c r="L28">
        <f>COUNTIFS(Data!$T:$T,$A28,Data!$M:$M,"&lt;&gt;")</f>
        <v>0</v>
      </c>
      <c r="M28" t="str">
        <f t="shared" si="1"/>
        <v/>
      </c>
      <c r="N28">
        <f>COUNTIFS(Data!$T:$T,$A28,Data!$I:$I,"&lt;&gt;")</f>
        <v>0</v>
      </c>
      <c r="O28" t="str">
        <f t="shared" si="2"/>
        <v/>
      </c>
      <c r="R28">
        <v>26</v>
      </c>
      <c r="S28" t="str">
        <f>IFERROR(INDEX(Data!$G:$G,MATCH($R28,Data!$U:$U,0)),"")</f>
        <v>LD Purple</v>
      </c>
      <c r="T28" t="str">
        <f>IF(COUNTIFS(Data!$U:$U,$R28,Data!$T:$T,1,Data!$N:$N,"&lt;&gt;")=0,"",SUMIFS(Data!$N:$N,Data!$U:$U,$R28,Data!$T:$T,1))</f>
        <v/>
      </c>
      <c r="U28" t="str">
        <f>IF(COUNTIFS(Data!$U:$U,$R28,Data!$T:$T,2,Data!$N:$N,"&lt;&gt;")=0,"",SUMIFS(Data!$N:$N,Data!$U:$U,$R28,Data!$T:$T,2))</f>
        <v/>
      </c>
      <c r="V28" t="str">
        <f>IF(COUNTIFS(Data!$U:$U,$R28,Data!$T:$T,3,Data!$N:$N,"&lt;&gt;")=0,"",SUMIFS(Data!$N:$N,Data!$U:$U,$R28,Data!$T:$T,3))</f>
        <v/>
      </c>
      <c r="W28" t="str">
        <f>IF(COUNTIFS(Data!$U:$U,$R28,Data!$T:$T,4,Data!$N:$N,"&lt;&gt;")=0,"",SUMIFS(Data!$N:$N,Data!$U:$U,$R28,Data!$T:$T,4))</f>
        <v/>
      </c>
      <c r="X28" t="str">
        <f>IF(COUNTIFS(Data!$U:$U,$R28,Data!$T:$T,5,Data!$N:$N,"&lt;&gt;")=0,"",SUMIFS(Data!$N:$N,Data!$U:$U,$R28,Data!$T:$T,5))</f>
        <v/>
      </c>
      <c r="Y28" t="str">
        <f>IF(COUNTIFS(Data!$U:$U,$R28,Data!$T:$T,6,Data!$N:$N,"&lt;&gt;")=0,"",SUMIFS(Data!$N:$N,Data!$U:$U,$R28,Data!$T:$T,6))</f>
        <v/>
      </c>
      <c r="Z28" t="str">
        <f>IF(COUNTIFS(Data!$U:$U,$R28,Data!$T:$T,7,Data!$N:$N,"&lt;&gt;")=0,"",SUMIFS(Data!$N:$N,Data!$U:$U,$R28,Data!$T:$T,7))</f>
        <v/>
      </c>
      <c r="AA28">
        <f>IF(COUNTIFS(Data!$U:$U,$R28,Data!$T:$T,8,Data!$N:$N,"&lt;&gt;")=0,"",SUMIFS(Data!$N:$N,Data!$U:$U,$R28,Data!$T:$T,8))</f>
        <v>3</v>
      </c>
      <c r="AB28">
        <f>IF(COUNTIFS(Data!$U:$U,$R28,Data!$T:$T,9,Data!$N:$N,"&lt;&gt;")=0,"",SUMIFS(Data!$N:$N,Data!$U:$U,$R28,Data!$T:$T,9))</f>
        <v>0</v>
      </c>
      <c r="AC28">
        <f>IF(COUNTIFS(Data!$U:$U,$R28,Data!$T:$T,10,Data!$N:$N,"&lt;&gt;")=0,"",SUMIFS(Data!$N:$N,Data!$U:$U,$R28,Data!$T:$T,10))</f>
        <v>1</v>
      </c>
      <c r="AD28">
        <f>IF(COUNTIFS(Data!$U:$U,$R28,Data!$T:$T,11,Data!$N:$N,"&lt;&gt;")=0,"",SUMIFS(Data!$N:$N,Data!$U:$U,$R28,Data!$T:$T,11))</f>
        <v>0</v>
      </c>
      <c r="AE28">
        <f>IF(COUNTIFS(Data!$U:$U,$R28,Data!$T:$T,12,Data!$N:$N,"&lt;&gt;")=0,"",SUMIFS(Data!$N:$N,Data!$U:$U,$R28,Data!$T:$T,12))</f>
        <v>-10</v>
      </c>
      <c r="AF28" t="str">
        <f>IF(COUNTIFS(Data!$U:$U,$R28,Data!$T:$T,13,Data!$N:$N,"&lt;&gt;")=0,"",SUMIFS(Data!$N:$N,Data!$U:$U,$R28,Data!$T:$T,13))</f>
        <v/>
      </c>
      <c r="AG28" t="str">
        <f>IF(COUNTIFS(Data!$U:$U,$R28,Data!$T:$T,14,Data!$N:$N,"&lt;&gt;")=0,"",SUMIFS(Data!$N:$N,Data!$U:$U,$R28,Data!$T:$T,14))</f>
        <v/>
      </c>
      <c r="AH28">
        <f>COUNTIFS(Data!$U:$U,$R28,Data!$T:$T,"&lt;="&amp;14,Data!$N:$N,"&lt;&gt;")</f>
        <v>5</v>
      </c>
      <c r="AI28">
        <f>COUNTIFS(Data!$U:$U,$R28,Data!$T:$T,"&lt;="&amp;14,Data!$N:$N,0)</f>
        <v>2</v>
      </c>
      <c r="AJ28">
        <f t="shared" si="3"/>
        <v>3</v>
      </c>
      <c r="AK28">
        <f>IF(AH28=0,"",SUMIFS(Data!$N:$N,Data!$U:$U,$R28,Data!$T:$T,"&lt;="&amp;14))</f>
        <v>-6</v>
      </c>
      <c r="AL28">
        <f t="shared" si="4"/>
        <v>-10</v>
      </c>
      <c r="AM28">
        <f t="shared" si="5"/>
        <v>300006</v>
      </c>
      <c r="AN28">
        <f t="shared" si="6"/>
        <v>10</v>
      </c>
    </row>
    <row r="29" spans="1:40" x14ac:dyDescent="0.2">
      <c r="A29">
        <v>27</v>
      </c>
      <c r="B29" s="27" t="str">
        <f>IFERROR(IF(INDEX(Data!$B:$B,MATCH($A29,Data!$T:$T,0))="","",INDEX(Data!$B:$B,MATCH($A29,Data!$T:$T,0))),"")</f>
        <v/>
      </c>
      <c r="C29" t="str">
        <f>IFERROR(IF(INDEX(Data!$D:$D,MATCH($A29,Data!$T:$T,0))="","",INDEX(Data!$D:$D,MATCH($A29,Data!$T:$T,0))),"")</f>
        <v/>
      </c>
      <c r="D29" s="27" t="str">
        <f>IFERROR(IF(INDEX(Data!$O:$O,MATCH($A29,Data!$T:$T,0))="","",INDEX(Data!$O:$O,MATCH($A29,Data!$T:$T,0))),"")</f>
        <v/>
      </c>
      <c r="E29">
        <f>COUNTIFS(Data!$T:$T,$A29)</f>
        <v>0</v>
      </c>
      <c r="F29">
        <f>COUNTIFS(Data!$T:$T,$A29,Data!$N:$N,"&lt;&gt;")</f>
        <v>0</v>
      </c>
      <c r="G29">
        <f>COUNTIFS(Data!$T:$T,$A29,Data!$N:$N,0)</f>
        <v>0</v>
      </c>
      <c r="H29" t="str">
        <f t="shared" si="0"/>
        <v/>
      </c>
      <c r="I29" t="str">
        <f>IF($F29=0,"",SUMIFS(Data!$N:$N,Data!$T:$T,$A29))</f>
        <v/>
      </c>
      <c r="J29">
        <f>COUNTIFS(Data!$T:$T,$A29,Data!$Q:$Q,"&lt;&gt;")</f>
        <v>0</v>
      </c>
      <c r="K29" t="str">
        <f>IF($J29=0,"",SUMIFS(Data!$Q:$Q,Data!$T:$T,$A29))</f>
        <v/>
      </c>
      <c r="L29">
        <f>COUNTIFS(Data!$T:$T,$A29,Data!$M:$M,"&lt;&gt;")</f>
        <v>0</v>
      </c>
      <c r="M29" t="str">
        <f t="shared" si="1"/>
        <v/>
      </c>
      <c r="N29">
        <f>COUNTIFS(Data!$T:$T,$A29,Data!$I:$I,"&lt;&gt;")</f>
        <v>0</v>
      </c>
      <c r="O29" t="str">
        <f t="shared" si="2"/>
        <v/>
      </c>
      <c r="R29">
        <v>27</v>
      </c>
      <c r="S29" t="str">
        <f>IFERROR(INDEX(Data!$G:$G,MATCH($R29,Data!$U:$U,0)),"")</f>
        <v>LD Red</v>
      </c>
      <c r="T29" t="str">
        <f>IF(COUNTIFS(Data!$U:$U,$R29,Data!$T:$T,1,Data!$N:$N,"&lt;&gt;")=0,"",SUMIFS(Data!$N:$N,Data!$U:$U,$R29,Data!$T:$T,1))</f>
        <v/>
      </c>
      <c r="U29" t="str">
        <f>IF(COUNTIFS(Data!$U:$U,$R29,Data!$T:$T,2,Data!$N:$N,"&lt;&gt;")=0,"",SUMIFS(Data!$N:$N,Data!$U:$U,$R29,Data!$T:$T,2))</f>
        <v/>
      </c>
      <c r="V29" t="str">
        <f>IF(COUNTIFS(Data!$U:$U,$R29,Data!$T:$T,3,Data!$N:$N,"&lt;&gt;")=0,"",SUMIFS(Data!$N:$N,Data!$U:$U,$R29,Data!$T:$T,3))</f>
        <v/>
      </c>
      <c r="W29" t="str">
        <f>IF(COUNTIFS(Data!$U:$U,$R29,Data!$T:$T,4,Data!$N:$N,"&lt;&gt;")=0,"",SUMIFS(Data!$N:$N,Data!$U:$U,$R29,Data!$T:$T,4))</f>
        <v/>
      </c>
      <c r="X29" t="str">
        <f>IF(COUNTIFS(Data!$U:$U,$R29,Data!$T:$T,5,Data!$N:$N,"&lt;&gt;")=0,"",SUMIFS(Data!$N:$N,Data!$U:$U,$R29,Data!$T:$T,5))</f>
        <v/>
      </c>
      <c r="Y29" t="str">
        <f>IF(COUNTIFS(Data!$U:$U,$R29,Data!$T:$T,6,Data!$N:$N,"&lt;&gt;")=0,"",SUMIFS(Data!$N:$N,Data!$U:$U,$R29,Data!$T:$T,6))</f>
        <v/>
      </c>
      <c r="Z29" t="str">
        <f>IF(COUNTIFS(Data!$U:$U,$R29,Data!$T:$T,7,Data!$N:$N,"&lt;&gt;")=0,"",SUMIFS(Data!$N:$N,Data!$U:$U,$R29,Data!$T:$T,7))</f>
        <v/>
      </c>
      <c r="AA29">
        <f>IF(COUNTIFS(Data!$U:$U,$R29,Data!$T:$T,8,Data!$N:$N,"&lt;&gt;")=0,"",SUMIFS(Data!$N:$N,Data!$U:$U,$R29,Data!$T:$T,8))</f>
        <v>0</v>
      </c>
      <c r="AB29">
        <f>IF(COUNTIFS(Data!$U:$U,$R29,Data!$T:$T,9,Data!$N:$N,"&lt;&gt;")=0,"",SUMIFS(Data!$N:$N,Data!$U:$U,$R29,Data!$T:$T,9))</f>
        <v>0</v>
      </c>
      <c r="AC29">
        <f>IF(COUNTIFS(Data!$U:$U,$R29,Data!$T:$T,10,Data!$N:$N,"&lt;&gt;")=0,"",SUMIFS(Data!$N:$N,Data!$U:$U,$R29,Data!$T:$T,10))</f>
        <v>-1</v>
      </c>
      <c r="AD29">
        <f>IF(COUNTIFS(Data!$U:$U,$R29,Data!$T:$T,11,Data!$N:$N,"&lt;&gt;")=0,"",SUMIFS(Data!$N:$N,Data!$U:$U,$R29,Data!$T:$T,11))</f>
        <v>-10</v>
      </c>
      <c r="AE29">
        <f>IF(COUNTIFS(Data!$U:$U,$R29,Data!$T:$T,12,Data!$N:$N,"&lt;&gt;")=0,"",SUMIFS(Data!$N:$N,Data!$U:$U,$R29,Data!$T:$T,12))</f>
        <v>-10</v>
      </c>
      <c r="AF29" t="str">
        <f>IF(COUNTIFS(Data!$U:$U,$R29,Data!$T:$T,13,Data!$N:$N,"&lt;&gt;")=0,"",SUMIFS(Data!$N:$N,Data!$U:$U,$R29,Data!$T:$T,13))</f>
        <v/>
      </c>
      <c r="AG29" t="str">
        <f>IF(COUNTIFS(Data!$U:$U,$R29,Data!$T:$T,14,Data!$N:$N,"&lt;&gt;")=0,"",SUMIFS(Data!$N:$N,Data!$U:$U,$R29,Data!$T:$T,14))</f>
        <v/>
      </c>
      <c r="AH29">
        <f>COUNTIFS(Data!$U:$U,$R29,Data!$T:$T,"&lt;="&amp;14,Data!$N:$N,"&lt;&gt;")</f>
        <v>5</v>
      </c>
      <c r="AI29">
        <f>COUNTIFS(Data!$U:$U,$R29,Data!$T:$T,"&lt;="&amp;14,Data!$N:$N,0)</f>
        <v>2</v>
      </c>
      <c r="AJ29">
        <f t="shared" si="3"/>
        <v>3</v>
      </c>
      <c r="AK29">
        <f>IF(AH29=0,"",SUMIFS(Data!$N:$N,Data!$U:$U,$R29,Data!$T:$T,"&lt;="&amp;14))</f>
        <v>-21</v>
      </c>
      <c r="AL29">
        <f t="shared" si="4"/>
        <v>-10</v>
      </c>
      <c r="AM29">
        <f t="shared" si="5"/>
        <v>300021</v>
      </c>
      <c r="AN29">
        <f t="shared" si="6"/>
        <v>5</v>
      </c>
    </row>
    <row r="30" spans="1:40" x14ac:dyDescent="0.2">
      <c r="A30">
        <v>28</v>
      </c>
      <c r="B30" s="27" t="str">
        <f>IFERROR(IF(INDEX(Data!$B:$B,MATCH($A30,Data!$T:$T,0))="","",INDEX(Data!$B:$B,MATCH($A30,Data!$T:$T,0))),"")</f>
        <v/>
      </c>
      <c r="C30" t="str">
        <f>IFERROR(IF(INDEX(Data!$D:$D,MATCH($A30,Data!$T:$T,0))="","",INDEX(Data!$D:$D,MATCH($A30,Data!$T:$T,0))),"")</f>
        <v/>
      </c>
      <c r="D30" s="27" t="str">
        <f>IFERROR(IF(INDEX(Data!$O:$O,MATCH($A30,Data!$T:$T,0))="","",INDEX(Data!$O:$O,MATCH($A30,Data!$T:$T,0))),"")</f>
        <v/>
      </c>
      <c r="E30">
        <f>COUNTIFS(Data!$T:$T,$A30)</f>
        <v>0</v>
      </c>
      <c r="F30">
        <f>COUNTIFS(Data!$T:$T,$A30,Data!$N:$N,"&lt;&gt;")</f>
        <v>0</v>
      </c>
      <c r="G30">
        <f>COUNTIFS(Data!$T:$T,$A30,Data!$N:$N,0)</f>
        <v>0</v>
      </c>
      <c r="H30" t="str">
        <f t="shared" si="0"/>
        <v/>
      </c>
      <c r="I30" t="str">
        <f>IF($F30=0,"",SUMIFS(Data!$N:$N,Data!$T:$T,$A30))</f>
        <v/>
      </c>
      <c r="J30">
        <f>COUNTIFS(Data!$T:$T,$A30,Data!$Q:$Q,"&lt;&gt;")</f>
        <v>0</v>
      </c>
      <c r="K30" t="str">
        <f>IF($J30=0,"",SUMIFS(Data!$Q:$Q,Data!$T:$T,$A30))</f>
        <v/>
      </c>
      <c r="L30">
        <f>COUNTIFS(Data!$T:$T,$A30,Data!$M:$M,"&lt;&gt;")</f>
        <v>0</v>
      </c>
      <c r="M30" t="str">
        <f t="shared" si="1"/>
        <v/>
      </c>
      <c r="N30">
        <f>COUNTIFS(Data!$T:$T,$A30,Data!$I:$I,"&lt;&gt;")</f>
        <v>0</v>
      </c>
      <c r="O30" t="str">
        <f t="shared" si="2"/>
        <v/>
      </c>
      <c r="R30">
        <v>28</v>
      </c>
      <c r="S30" t="str">
        <f>IFERROR(INDEX(Data!$G:$G,MATCH($R30,Data!$U:$U,0)),"")</f>
        <v>LD Zoom</v>
      </c>
      <c r="T30" t="str">
        <f>IF(COUNTIFS(Data!$U:$U,$R30,Data!$T:$T,1,Data!$N:$N,"&lt;&gt;")=0,"",SUMIFS(Data!$N:$N,Data!$U:$U,$R30,Data!$T:$T,1))</f>
        <v/>
      </c>
      <c r="U30" t="str">
        <f>IF(COUNTIFS(Data!$U:$U,$R30,Data!$T:$T,2,Data!$N:$N,"&lt;&gt;")=0,"",SUMIFS(Data!$N:$N,Data!$U:$U,$R30,Data!$T:$T,2))</f>
        <v/>
      </c>
      <c r="V30" t="str">
        <f>IF(COUNTIFS(Data!$U:$U,$R30,Data!$T:$T,3,Data!$N:$N,"&lt;&gt;")=0,"",SUMIFS(Data!$N:$N,Data!$U:$U,$R30,Data!$T:$T,3))</f>
        <v/>
      </c>
      <c r="W30" t="str">
        <f>IF(COUNTIFS(Data!$U:$U,$R30,Data!$T:$T,4,Data!$N:$N,"&lt;&gt;")=0,"",SUMIFS(Data!$N:$N,Data!$U:$U,$R30,Data!$T:$T,4))</f>
        <v/>
      </c>
      <c r="X30" t="str">
        <f>IF(COUNTIFS(Data!$U:$U,$R30,Data!$T:$T,5,Data!$N:$N,"&lt;&gt;")=0,"",SUMIFS(Data!$N:$N,Data!$U:$U,$R30,Data!$T:$T,5))</f>
        <v/>
      </c>
      <c r="Y30" t="str">
        <f>IF(COUNTIFS(Data!$U:$U,$R30,Data!$T:$T,6,Data!$N:$N,"&lt;&gt;")=0,"",SUMIFS(Data!$N:$N,Data!$U:$U,$R30,Data!$T:$T,6))</f>
        <v/>
      </c>
      <c r="Z30" t="str">
        <f>IF(COUNTIFS(Data!$U:$U,$R30,Data!$T:$T,7,Data!$N:$N,"&lt;&gt;")=0,"",SUMIFS(Data!$N:$N,Data!$U:$U,$R30,Data!$T:$T,7))</f>
        <v/>
      </c>
      <c r="AA30">
        <f>IF(COUNTIFS(Data!$U:$U,$R30,Data!$T:$T,8,Data!$N:$N,"&lt;&gt;")=0,"",SUMIFS(Data!$N:$N,Data!$U:$U,$R30,Data!$T:$T,8))</f>
        <v>-5</v>
      </c>
      <c r="AB30">
        <f>IF(COUNTIFS(Data!$U:$U,$R30,Data!$T:$T,9,Data!$N:$N,"&lt;&gt;")=0,"",SUMIFS(Data!$N:$N,Data!$U:$U,$R30,Data!$T:$T,9))</f>
        <v>6</v>
      </c>
      <c r="AC30">
        <f>IF(COUNTIFS(Data!$U:$U,$R30,Data!$T:$T,10,Data!$N:$N,"&lt;&gt;")=0,"",SUMIFS(Data!$N:$N,Data!$U:$U,$R30,Data!$T:$T,10))</f>
        <v>0</v>
      </c>
      <c r="AD30">
        <f>IF(COUNTIFS(Data!$U:$U,$R30,Data!$T:$T,11,Data!$N:$N,"&lt;&gt;")=0,"",SUMIFS(Data!$N:$N,Data!$U:$U,$R30,Data!$T:$T,11))</f>
        <v>0</v>
      </c>
      <c r="AE30">
        <f>IF(COUNTIFS(Data!$U:$U,$R30,Data!$T:$T,12,Data!$N:$N,"&lt;&gt;")=0,"",SUMIFS(Data!$N:$N,Data!$U:$U,$R30,Data!$T:$T,12))</f>
        <v>0</v>
      </c>
      <c r="AF30" t="str">
        <f>IF(COUNTIFS(Data!$U:$U,$R30,Data!$T:$T,13,Data!$N:$N,"&lt;&gt;")=0,"",SUMIFS(Data!$N:$N,Data!$U:$U,$R30,Data!$T:$T,13))</f>
        <v/>
      </c>
      <c r="AG30" t="str">
        <f>IF(COUNTIFS(Data!$U:$U,$R30,Data!$T:$T,14,Data!$N:$N,"&lt;&gt;")=0,"",SUMIFS(Data!$N:$N,Data!$U:$U,$R30,Data!$T:$T,14))</f>
        <v/>
      </c>
      <c r="AH30">
        <f>COUNTIFS(Data!$U:$U,$R30,Data!$T:$T,"&lt;="&amp;14,Data!$N:$N,"&lt;&gt;")</f>
        <v>5</v>
      </c>
      <c r="AI30">
        <f>COUNTIFS(Data!$U:$U,$R30,Data!$T:$T,"&lt;="&amp;14,Data!$N:$N,0)</f>
        <v>3</v>
      </c>
      <c r="AJ30">
        <f t="shared" si="3"/>
        <v>2</v>
      </c>
      <c r="AK30">
        <f>IF(AH30=0,"",SUMIFS(Data!$N:$N,Data!$U:$U,$R30,Data!$T:$T,"&lt;="&amp;14))</f>
        <v>1</v>
      </c>
      <c r="AL30">
        <f t="shared" si="4"/>
        <v>6</v>
      </c>
      <c r="AM30">
        <f t="shared" si="5"/>
        <v>200001</v>
      </c>
      <c r="AN30">
        <f t="shared" si="6"/>
        <v>16</v>
      </c>
    </row>
    <row r="31" spans="1:40" x14ac:dyDescent="0.2">
      <c r="A31">
        <v>29</v>
      </c>
      <c r="B31" s="27" t="str">
        <f>IFERROR(IF(INDEX(Data!$B:$B,MATCH($A31,Data!$T:$T,0))="","",INDEX(Data!$B:$B,MATCH($A31,Data!$T:$T,0))),"")</f>
        <v/>
      </c>
      <c r="C31" t="str">
        <f>IFERROR(IF(INDEX(Data!$D:$D,MATCH($A31,Data!$T:$T,0))="","",INDEX(Data!$D:$D,MATCH($A31,Data!$T:$T,0))),"")</f>
        <v/>
      </c>
      <c r="D31" s="27" t="str">
        <f>IFERROR(IF(INDEX(Data!$O:$O,MATCH($A31,Data!$T:$T,0))="","",INDEX(Data!$O:$O,MATCH($A31,Data!$T:$T,0))),"")</f>
        <v/>
      </c>
      <c r="E31">
        <f>COUNTIFS(Data!$T:$T,$A31)</f>
        <v>0</v>
      </c>
      <c r="F31">
        <f>COUNTIFS(Data!$T:$T,$A31,Data!$N:$N,"&lt;&gt;")</f>
        <v>0</v>
      </c>
      <c r="G31">
        <f>COUNTIFS(Data!$T:$T,$A31,Data!$N:$N,0)</f>
        <v>0</v>
      </c>
      <c r="H31" t="str">
        <f t="shared" si="0"/>
        <v/>
      </c>
      <c r="I31" t="str">
        <f>IF($F31=0,"",SUMIFS(Data!$N:$N,Data!$T:$T,$A31))</f>
        <v/>
      </c>
      <c r="J31">
        <f>COUNTIFS(Data!$T:$T,$A31,Data!$Q:$Q,"&lt;&gt;")</f>
        <v>0</v>
      </c>
      <c r="K31" t="str">
        <f>IF($J31=0,"",SUMIFS(Data!$Q:$Q,Data!$T:$T,$A31))</f>
        <v/>
      </c>
      <c r="L31">
        <f>COUNTIFS(Data!$T:$T,$A31,Data!$M:$M,"&lt;&gt;")</f>
        <v>0</v>
      </c>
      <c r="M31" t="str">
        <f t="shared" si="1"/>
        <v/>
      </c>
      <c r="N31">
        <f>COUNTIFS(Data!$T:$T,$A31,Data!$I:$I,"&lt;&gt;")</f>
        <v>0</v>
      </c>
      <c r="O31" t="str">
        <f t="shared" si="2"/>
        <v/>
      </c>
      <c r="R31">
        <v>29</v>
      </c>
      <c r="S31" t="str">
        <f>IFERROR(INDEX(Data!$G:$G,MATCH($R31,Data!$U:$U,0)),"")</f>
        <v>Marlboro Black</v>
      </c>
      <c r="T31" t="str">
        <f>IF(COUNTIFS(Data!$U:$U,$R31,Data!$T:$T,1,Data!$N:$N,"&lt;&gt;")=0,"",SUMIFS(Data!$N:$N,Data!$U:$U,$R31,Data!$T:$T,1))</f>
        <v/>
      </c>
      <c r="U31" t="str">
        <f>IF(COUNTIFS(Data!$U:$U,$R31,Data!$T:$T,2,Data!$N:$N,"&lt;&gt;")=0,"",SUMIFS(Data!$N:$N,Data!$U:$U,$R31,Data!$T:$T,2))</f>
        <v/>
      </c>
      <c r="V31" t="str">
        <f>IF(COUNTIFS(Data!$U:$U,$R31,Data!$T:$T,3,Data!$N:$N,"&lt;&gt;")=0,"",SUMIFS(Data!$N:$N,Data!$U:$U,$R31,Data!$T:$T,3))</f>
        <v/>
      </c>
      <c r="W31" t="str">
        <f>IF(COUNTIFS(Data!$U:$U,$R31,Data!$T:$T,4,Data!$N:$N,"&lt;&gt;")=0,"",SUMIFS(Data!$N:$N,Data!$U:$U,$R31,Data!$T:$T,4))</f>
        <v/>
      </c>
      <c r="X31" t="str">
        <f>IF(COUNTIFS(Data!$U:$U,$R31,Data!$T:$T,5,Data!$N:$N,"&lt;&gt;")=0,"",SUMIFS(Data!$N:$N,Data!$U:$U,$R31,Data!$T:$T,5))</f>
        <v/>
      </c>
      <c r="Y31" t="str">
        <f>IF(COUNTIFS(Data!$U:$U,$R31,Data!$T:$T,6,Data!$N:$N,"&lt;&gt;")=0,"",SUMIFS(Data!$N:$N,Data!$U:$U,$R31,Data!$T:$T,6))</f>
        <v/>
      </c>
      <c r="Z31" t="str">
        <f>IF(COUNTIFS(Data!$U:$U,$R31,Data!$T:$T,7,Data!$N:$N,"&lt;&gt;")=0,"",SUMIFS(Data!$N:$N,Data!$U:$U,$R31,Data!$T:$T,7))</f>
        <v/>
      </c>
      <c r="AA31">
        <f>IF(COUNTIFS(Data!$U:$U,$R31,Data!$T:$T,8,Data!$N:$N,"&lt;&gt;")=0,"",SUMIFS(Data!$N:$N,Data!$U:$U,$R31,Data!$T:$T,8))</f>
        <v>-5</v>
      </c>
      <c r="AB31">
        <f>IF(COUNTIFS(Data!$U:$U,$R31,Data!$T:$T,9,Data!$N:$N,"&lt;&gt;")=0,"",SUMIFS(Data!$N:$N,Data!$U:$U,$R31,Data!$T:$T,9))</f>
        <v>5</v>
      </c>
      <c r="AC31">
        <f>IF(COUNTIFS(Data!$U:$U,$R31,Data!$T:$T,10,Data!$N:$N,"&lt;&gt;")=0,"",SUMIFS(Data!$N:$N,Data!$U:$U,$R31,Data!$T:$T,10))</f>
        <v>0</v>
      </c>
      <c r="AD31">
        <f>IF(COUNTIFS(Data!$U:$U,$R31,Data!$T:$T,11,Data!$N:$N,"&lt;&gt;")=0,"",SUMIFS(Data!$N:$N,Data!$U:$U,$R31,Data!$T:$T,11))</f>
        <v>0</v>
      </c>
      <c r="AE31">
        <f>IF(COUNTIFS(Data!$U:$U,$R31,Data!$T:$T,12,Data!$N:$N,"&lt;&gt;")=0,"",SUMIFS(Data!$N:$N,Data!$U:$U,$R31,Data!$T:$T,12))</f>
        <v>0</v>
      </c>
      <c r="AF31" t="str">
        <f>IF(COUNTIFS(Data!$U:$U,$R31,Data!$T:$T,13,Data!$N:$N,"&lt;&gt;")=0,"",SUMIFS(Data!$N:$N,Data!$U:$U,$R31,Data!$T:$T,13))</f>
        <v/>
      </c>
      <c r="AG31" t="str">
        <f>IF(COUNTIFS(Data!$U:$U,$R31,Data!$T:$T,14,Data!$N:$N,"&lt;&gt;")=0,"",SUMIFS(Data!$N:$N,Data!$U:$U,$R31,Data!$T:$T,14))</f>
        <v/>
      </c>
      <c r="AH31">
        <f>COUNTIFS(Data!$U:$U,$R31,Data!$T:$T,"&lt;="&amp;14,Data!$N:$N,"&lt;&gt;")</f>
        <v>5</v>
      </c>
      <c r="AI31">
        <f>COUNTIFS(Data!$U:$U,$R31,Data!$T:$T,"&lt;="&amp;14,Data!$N:$N,0)</f>
        <v>3</v>
      </c>
      <c r="AJ31">
        <f t="shared" si="3"/>
        <v>2</v>
      </c>
      <c r="AK31">
        <f>IF(AH31=0,"",SUMIFS(Data!$N:$N,Data!$U:$U,$R31,Data!$T:$T,"&lt;="&amp;14))</f>
        <v>0</v>
      </c>
      <c r="AL31">
        <f t="shared" si="4"/>
        <v>5</v>
      </c>
      <c r="AM31">
        <f t="shared" si="5"/>
        <v>200000</v>
      </c>
      <c r="AN31">
        <f t="shared" si="6"/>
        <v>20</v>
      </c>
    </row>
    <row r="32" spans="1:40" x14ac:dyDescent="0.2">
      <c r="A32">
        <v>30</v>
      </c>
      <c r="B32" s="27" t="str">
        <f>IFERROR(IF(INDEX(Data!$B:$B,MATCH($A32,Data!$T:$T,0))="","",INDEX(Data!$B:$B,MATCH($A32,Data!$T:$T,0))),"")</f>
        <v/>
      </c>
      <c r="C32" t="str">
        <f>IFERROR(IF(INDEX(Data!$D:$D,MATCH($A32,Data!$T:$T,0))="","",INDEX(Data!$D:$D,MATCH($A32,Data!$T:$T,0))),"")</f>
        <v/>
      </c>
      <c r="D32" s="27" t="str">
        <f>IFERROR(IF(INDEX(Data!$O:$O,MATCH($A32,Data!$T:$T,0))="","",INDEX(Data!$O:$O,MATCH($A32,Data!$T:$T,0))),"")</f>
        <v/>
      </c>
      <c r="E32">
        <f>COUNTIFS(Data!$T:$T,$A32)</f>
        <v>0</v>
      </c>
      <c r="F32">
        <f>COUNTIFS(Data!$T:$T,$A32,Data!$N:$N,"&lt;&gt;")</f>
        <v>0</v>
      </c>
      <c r="G32">
        <f>COUNTIFS(Data!$T:$T,$A32,Data!$N:$N,0)</f>
        <v>0</v>
      </c>
      <c r="H32" t="str">
        <f t="shared" si="0"/>
        <v/>
      </c>
      <c r="I32" t="str">
        <f>IF($F32=0,"",SUMIFS(Data!$N:$N,Data!$T:$T,$A32))</f>
        <v/>
      </c>
      <c r="J32">
        <f>COUNTIFS(Data!$T:$T,$A32,Data!$Q:$Q,"&lt;&gt;")</f>
        <v>0</v>
      </c>
      <c r="K32" t="str">
        <f>IF($J32=0,"",SUMIFS(Data!$Q:$Q,Data!$T:$T,$A32))</f>
        <v/>
      </c>
      <c r="L32">
        <f>COUNTIFS(Data!$T:$T,$A32,Data!$M:$M,"&lt;&gt;")</f>
        <v>0</v>
      </c>
      <c r="M32" t="str">
        <f t="shared" si="1"/>
        <v/>
      </c>
      <c r="N32">
        <f>COUNTIFS(Data!$T:$T,$A32,Data!$I:$I,"&lt;&gt;")</f>
        <v>0</v>
      </c>
      <c r="O32" t="str">
        <f t="shared" si="2"/>
        <v/>
      </c>
      <c r="R32">
        <v>30</v>
      </c>
      <c r="S32" t="str">
        <f>IFERROR(INDEX(Data!$G:$G,MATCH($R32,Data!$U:$U,0)),"")</f>
        <v>Marlboro Double Burst</v>
      </c>
      <c r="T32" t="str">
        <f>IF(COUNTIFS(Data!$U:$U,$R32,Data!$T:$T,1,Data!$N:$N,"&lt;&gt;")=0,"",SUMIFS(Data!$N:$N,Data!$U:$U,$R32,Data!$T:$T,1))</f>
        <v/>
      </c>
      <c r="U32" t="str">
        <f>IF(COUNTIFS(Data!$U:$U,$R32,Data!$T:$T,2,Data!$N:$N,"&lt;&gt;")=0,"",SUMIFS(Data!$N:$N,Data!$U:$U,$R32,Data!$T:$T,2))</f>
        <v/>
      </c>
      <c r="V32" t="str">
        <f>IF(COUNTIFS(Data!$U:$U,$R32,Data!$T:$T,3,Data!$N:$N,"&lt;&gt;")=0,"",SUMIFS(Data!$N:$N,Data!$U:$U,$R32,Data!$T:$T,3))</f>
        <v/>
      </c>
      <c r="W32" t="str">
        <f>IF(COUNTIFS(Data!$U:$U,$R32,Data!$T:$T,4,Data!$N:$N,"&lt;&gt;")=0,"",SUMIFS(Data!$N:$N,Data!$U:$U,$R32,Data!$T:$T,4))</f>
        <v/>
      </c>
      <c r="X32" t="str">
        <f>IF(COUNTIFS(Data!$U:$U,$R32,Data!$T:$T,5,Data!$N:$N,"&lt;&gt;")=0,"",SUMIFS(Data!$N:$N,Data!$U:$U,$R32,Data!$T:$T,5))</f>
        <v/>
      </c>
      <c r="Y32" t="str">
        <f>IF(COUNTIFS(Data!$U:$U,$R32,Data!$T:$T,6,Data!$N:$N,"&lt;&gt;")=0,"",SUMIFS(Data!$N:$N,Data!$U:$U,$R32,Data!$T:$T,6))</f>
        <v/>
      </c>
      <c r="Z32" t="str">
        <f>IF(COUNTIFS(Data!$U:$U,$R32,Data!$T:$T,7,Data!$N:$N,"&lt;&gt;")=0,"",SUMIFS(Data!$N:$N,Data!$U:$U,$R32,Data!$T:$T,7))</f>
        <v/>
      </c>
      <c r="AA32">
        <f>IF(COUNTIFS(Data!$U:$U,$R32,Data!$T:$T,8,Data!$N:$N,"&lt;&gt;")=0,"",SUMIFS(Data!$N:$N,Data!$U:$U,$R32,Data!$T:$T,8))</f>
        <v>-10</v>
      </c>
      <c r="AB32">
        <f>IF(COUNTIFS(Data!$U:$U,$R32,Data!$T:$T,9,Data!$N:$N,"&lt;&gt;")=0,"",SUMIFS(Data!$N:$N,Data!$U:$U,$R32,Data!$T:$T,9))</f>
        <v>0</v>
      </c>
      <c r="AC32">
        <f>IF(COUNTIFS(Data!$U:$U,$R32,Data!$T:$T,10,Data!$N:$N,"&lt;&gt;")=0,"",SUMIFS(Data!$N:$N,Data!$U:$U,$R32,Data!$T:$T,10))</f>
        <v>0</v>
      </c>
      <c r="AD32">
        <f>IF(COUNTIFS(Data!$U:$U,$R32,Data!$T:$T,11,Data!$N:$N,"&lt;&gt;")=0,"",SUMIFS(Data!$N:$N,Data!$U:$U,$R32,Data!$T:$T,11))</f>
        <v>0</v>
      </c>
      <c r="AE32">
        <f>IF(COUNTIFS(Data!$U:$U,$R32,Data!$T:$T,12,Data!$N:$N,"&lt;&gt;")=0,"",SUMIFS(Data!$N:$N,Data!$U:$U,$R32,Data!$T:$T,12))</f>
        <v>0</v>
      </c>
      <c r="AF32" t="str">
        <f>IF(COUNTIFS(Data!$U:$U,$R32,Data!$T:$T,13,Data!$N:$N,"&lt;&gt;")=0,"",SUMIFS(Data!$N:$N,Data!$U:$U,$R32,Data!$T:$T,13))</f>
        <v/>
      </c>
      <c r="AG32" t="str">
        <f>IF(COUNTIFS(Data!$U:$U,$R32,Data!$T:$T,14,Data!$N:$N,"&lt;&gt;")=0,"",SUMIFS(Data!$N:$N,Data!$U:$U,$R32,Data!$T:$T,14))</f>
        <v/>
      </c>
      <c r="AH32">
        <f>COUNTIFS(Data!$U:$U,$R32,Data!$T:$T,"&lt;="&amp;14,Data!$N:$N,"&lt;&gt;")</f>
        <v>5</v>
      </c>
      <c r="AI32">
        <f>COUNTIFS(Data!$U:$U,$R32,Data!$T:$T,"&lt;="&amp;14,Data!$N:$N,0)</f>
        <v>4</v>
      </c>
      <c r="AJ32">
        <f t="shared" si="3"/>
        <v>1</v>
      </c>
      <c r="AK32">
        <f>IF(AH32=0,"",SUMIFS(Data!$N:$N,Data!$U:$U,$R32,Data!$T:$T,"&lt;="&amp;14))</f>
        <v>-10</v>
      </c>
      <c r="AL32">
        <f t="shared" si="4"/>
        <v>-10</v>
      </c>
      <c r="AM32">
        <f t="shared" si="5"/>
        <v>100010</v>
      </c>
      <c r="AN32">
        <f t="shared" si="6"/>
        <v>26</v>
      </c>
    </row>
    <row r="33" spans="1:40" x14ac:dyDescent="0.2">
      <c r="A33">
        <v>31</v>
      </c>
      <c r="B33" s="27" t="str">
        <f>IFERROR(IF(INDEX(Data!$B:$B,MATCH($A33,Data!$T:$T,0))="","",INDEX(Data!$B:$B,MATCH($A33,Data!$T:$T,0))),"")</f>
        <v/>
      </c>
      <c r="C33" t="str">
        <f>IFERROR(IF(INDEX(Data!$D:$D,MATCH($A33,Data!$T:$T,0))="","",INDEX(Data!$D:$D,MATCH($A33,Data!$T:$T,0))),"")</f>
        <v/>
      </c>
      <c r="D33" s="27" t="str">
        <f>IFERROR(IF(INDEX(Data!$O:$O,MATCH($A33,Data!$T:$T,0))="","",INDEX(Data!$O:$O,MATCH($A33,Data!$T:$T,0))),"")</f>
        <v/>
      </c>
      <c r="E33">
        <f>COUNTIFS(Data!$T:$T,$A33)</f>
        <v>0</v>
      </c>
      <c r="F33">
        <f>COUNTIFS(Data!$T:$T,$A33,Data!$N:$N,"&lt;&gt;")</f>
        <v>0</v>
      </c>
      <c r="G33">
        <f>COUNTIFS(Data!$T:$T,$A33,Data!$N:$N,0)</f>
        <v>0</v>
      </c>
      <c r="H33" t="str">
        <f t="shared" si="0"/>
        <v/>
      </c>
      <c r="I33" t="str">
        <f>IF($F33=0,"",SUMIFS(Data!$N:$N,Data!$T:$T,$A33))</f>
        <v/>
      </c>
      <c r="J33">
        <f>COUNTIFS(Data!$T:$T,$A33,Data!$Q:$Q,"&lt;&gt;")</f>
        <v>0</v>
      </c>
      <c r="K33" t="str">
        <f>IF($J33=0,"",SUMIFS(Data!$Q:$Q,Data!$T:$T,$A33))</f>
        <v/>
      </c>
      <c r="L33">
        <f>COUNTIFS(Data!$T:$T,$A33,Data!$M:$M,"&lt;&gt;")</f>
        <v>0</v>
      </c>
      <c r="M33" t="str">
        <f t="shared" si="1"/>
        <v/>
      </c>
      <c r="N33">
        <f>COUNTIFS(Data!$T:$T,$A33,Data!$I:$I,"&lt;&gt;")</f>
        <v>0</v>
      </c>
      <c r="O33" t="str">
        <f t="shared" si="2"/>
        <v/>
      </c>
      <c r="R33">
        <v>31</v>
      </c>
      <c r="S33" t="str">
        <f>IFERROR(INDEX(Data!$G:$G,MATCH($R33,Data!$U:$U,0)),"")</f>
        <v>Marlboro Gold</v>
      </c>
      <c r="T33" t="str">
        <f>IF(COUNTIFS(Data!$U:$U,$R33,Data!$T:$T,1,Data!$N:$N,"&lt;&gt;")=0,"",SUMIFS(Data!$N:$N,Data!$U:$U,$R33,Data!$T:$T,1))</f>
        <v/>
      </c>
      <c r="U33" t="str">
        <f>IF(COUNTIFS(Data!$U:$U,$R33,Data!$T:$T,2,Data!$N:$N,"&lt;&gt;")=0,"",SUMIFS(Data!$N:$N,Data!$U:$U,$R33,Data!$T:$T,2))</f>
        <v/>
      </c>
      <c r="V33" t="str">
        <f>IF(COUNTIFS(Data!$U:$U,$R33,Data!$T:$T,3,Data!$N:$N,"&lt;&gt;")=0,"",SUMIFS(Data!$N:$N,Data!$U:$U,$R33,Data!$T:$T,3))</f>
        <v/>
      </c>
      <c r="W33" t="str">
        <f>IF(COUNTIFS(Data!$U:$U,$R33,Data!$T:$T,4,Data!$N:$N,"&lt;&gt;")=0,"",SUMIFS(Data!$N:$N,Data!$U:$U,$R33,Data!$T:$T,4))</f>
        <v/>
      </c>
      <c r="X33" t="str">
        <f>IF(COUNTIFS(Data!$U:$U,$R33,Data!$T:$T,5,Data!$N:$N,"&lt;&gt;")=0,"",SUMIFS(Data!$N:$N,Data!$U:$U,$R33,Data!$T:$T,5))</f>
        <v/>
      </c>
      <c r="Y33" t="str">
        <f>IF(COUNTIFS(Data!$U:$U,$R33,Data!$T:$T,6,Data!$N:$N,"&lt;&gt;")=0,"",SUMIFS(Data!$N:$N,Data!$U:$U,$R33,Data!$T:$T,6))</f>
        <v/>
      </c>
      <c r="Z33" t="str">
        <f>IF(COUNTIFS(Data!$U:$U,$R33,Data!$T:$T,7,Data!$N:$N,"&lt;&gt;")=0,"",SUMIFS(Data!$N:$N,Data!$U:$U,$R33,Data!$T:$T,7))</f>
        <v/>
      </c>
      <c r="AA33">
        <f>IF(COUNTIFS(Data!$U:$U,$R33,Data!$T:$T,8,Data!$N:$N,"&lt;&gt;")=0,"",SUMIFS(Data!$N:$N,Data!$U:$U,$R33,Data!$T:$T,8))</f>
        <v>-5</v>
      </c>
      <c r="AB33">
        <f>IF(COUNTIFS(Data!$U:$U,$R33,Data!$T:$T,9,Data!$N:$N,"&lt;&gt;")=0,"",SUMIFS(Data!$N:$N,Data!$U:$U,$R33,Data!$T:$T,9))</f>
        <v>-1</v>
      </c>
      <c r="AC33">
        <f>IF(COUNTIFS(Data!$U:$U,$R33,Data!$T:$T,10,Data!$N:$N,"&lt;&gt;")=0,"",SUMIFS(Data!$N:$N,Data!$U:$U,$R33,Data!$T:$T,10))</f>
        <v>0</v>
      </c>
      <c r="AD33">
        <f>IF(COUNTIFS(Data!$U:$U,$R33,Data!$T:$T,11,Data!$N:$N,"&lt;&gt;")=0,"",SUMIFS(Data!$N:$N,Data!$U:$U,$R33,Data!$T:$T,11))</f>
        <v>0</v>
      </c>
      <c r="AE33">
        <f>IF(COUNTIFS(Data!$U:$U,$R33,Data!$T:$T,12,Data!$N:$N,"&lt;&gt;")=0,"",SUMIFS(Data!$N:$N,Data!$U:$U,$R33,Data!$T:$T,12))</f>
        <v>-10</v>
      </c>
      <c r="AF33" t="str">
        <f>IF(COUNTIFS(Data!$U:$U,$R33,Data!$T:$T,13,Data!$N:$N,"&lt;&gt;")=0,"",SUMIFS(Data!$N:$N,Data!$U:$U,$R33,Data!$T:$T,13))</f>
        <v/>
      </c>
      <c r="AG33" t="str">
        <f>IF(COUNTIFS(Data!$U:$U,$R33,Data!$T:$T,14,Data!$N:$N,"&lt;&gt;")=0,"",SUMIFS(Data!$N:$N,Data!$U:$U,$R33,Data!$T:$T,14))</f>
        <v/>
      </c>
      <c r="AH33">
        <f>COUNTIFS(Data!$U:$U,$R33,Data!$T:$T,"&lt;="&amp;14,Data!$N:$N,"&lt;&gt;")</f>
        <v>5</v>
      </c>
      <c r="AI33">
        <f>COUNTIFS(Data!$U:$U,$R33,Data!$T:$T,"&lt;="&amp;14,Data!$N:$N,0)</f>
        <v>2</v>
      </c>
      <c r="AJ33">
        <f t="shared" si="3"/>
        <v>3</v>
      </c>
      <c r="AK33">
        <f>IF(AH33=0,"",SUMIFS(Data!$N:$N,Data!$U:$U,$R33,Data!$T:$T,"&lt;="&amp;14))</f>
        <v>-16</v>
      </c>
      <c r="AL33">
        <f t="shared" si="4"/>
        <v>-10</v>
      </c>
      <c r="AM33">
        <f t="shared" si="5"/>
        <v>300016</v>
      </c>
      <c r="AN33">
        <f t="shared" si="6"/>
        <v>7</v>
      </c>
    </row>
    <row r="34" spans="1:40" x14ac:dyDescent="0.2">
      <c r="A34">
        <v>32</v>
      </c>
      <c r="B34" s="27" t="str">
        <f>IFERROR(IF(INDEX(Data!$B:$B,MATCH($A34,Data!$T:$T,0))="","",INDEX(Data!$B:$B,MATCH($A34,Data!$T:$T,0))),"")</f>
        <v/>
      </c>
      <c r="C34" t="str">
        <f>IFERROR(IF(INDEX(Data!$D:$D,MATCH($A34,Data!$T:$T,0))="","",INDEX(Data!$D:$D,MATCH($A34,Data!$T:$T,0))),"")</f>
        <v/>
      </c>
      <c r="D34" s="27" t="str">
        <f>IFERROR(IF(INDEX(Data!$O:$O,MATCH($A34,Data!$T:$T,0))="","",INDEX(Data!$O:$O,MATCH($A34,Data!$T:$T,0))),"")</f>
        <v/>
      </c>
      <c r="E34">
        <f>COUNTIFS(Data!$T:$T,$A34)</f>
        <v>0</v>
      </c>
      <c r="F34">
        <f>COUNTIFS(Data!$T:$T,$A34,Data!$N:$N,"&lt;&gt;")</f>
        <v>0</v>
      </c>
      <c r="G34">
        <f>COUNTIFS(Data!$T:$T,$A34,Data!$N:$N,0)</f>
        <v>0</v>
      </c>
      <c r="H34" t="str">
        <f t="shared" si="0"/>
        <v/>
      </c>
      <c r="I34" t="str">
        <f>IF($F34=0,"",SUMIFS(Data!$N:$N,Data!$T:$T,$A34))</f>
        <v/>
      </c>
      <c r="J34">
        <f>COUNTIFS(Data!$T:$T,$A34,Data!$Q:$Q,"&lt;&gt;")</f>
        <v>0</v>
      </c>
      <c r="K34" t="str">
        <f>IF($J34=0,"",SUMIFS(Data!$Q:$Q,Data!$T:$T,$A34))</f>
        <v/>
      </c>
      <c r="L34">
        <f>COUNTIFS(Data!$T:$T,$A34,Data!$M:$M,"&lt;&gt;")</f>
        <v>0</v>
      </c>
      <c r="M34" t="str">
        <f t="shared" si="1"/>
        <v/>
      </c>
      <c r="N34">
        <f>COUNTIFS(Data!$T:$T,$A34,Data!$I:$I,"&lt;&gt;")</f>
        <v>0</v>
      </c>
      <c r="O34" t="str">
        <f t="shared" si="2"/>
        <v/>
      </c>
      <c r="R34">
        <v>32</v>
      </c>
      <c r="S34" t="str">
        <f>IFERROR(INDEX(Data!$G:$G,MATCH($R34,Data!$U:$U,0)),"")</f>
        <v>Marlboro Ice</v>
      </c>
      <c r="T34" t="str">
        <f>IF(COUNTIFS(Data!$U:$U,$R34,Data!$T:$T,1,Data!$N:$N,"&lt;&gt;")=0,"",SUMIFS(Data!$N:$N,Data!$U:$U,$R34,Data!$T:$T,1))</f>
        <v/>
      </c>
      <c r="U34" t="str">
        <f>IF(COUNTIFS(Data!$U:$U,$R34,Data!$T:$T,2,Data!$N:$N,"&lt;&gt;")=0,"",SUMIFS(Data!$N:$N,Data!$U:$U,$R34,Data!$T:$T,2))</f>
        <v/>
      </c>
      <c r="V34" t="str">
        <f>IF(COUNTIFS(Data!$U:$U,$R34,Data!$T:$T,3,Data!$N:$N,"&lt;&gt;")=0,"",SUMIFS(Data!$N:$N,Data!$U:$U,$R34,Data!$T:$T,3))</f>
        <v/>
      </c>
      <c r="W34" t="str">
        <f>IF(COUNTIFS(Data!$U:$U,$R34,Data!$T:$T,4,Data!$N:$N,"&lt;&gt;")=0,"",SUMIFS(Data!$N:$N,Data!$U:$U,$R34,Data!$T:$T,4))</f>
        <v/>
      </c>
      <c r="X34" t="str">
        <f>IF(COUNTIFS(Data!$U:$U,$R34,Data!$T:$T,5,Data!$N:$N,"&lt;&gt;")=0,"",SUMIFS(Data!$N:$N,Data!$U:$U,$R34,Data!$T:$T,5))</f>
        <v/>
      </c>
      <c r="Y34" t="str">
        <f>IF(COUNTIFS(Data!$U:$U,$R34,Data!$T:$T,6,Data!$N:$N,"&lt;&gt;")=0,"",SUMIFS(Data!$N:$N,Data!$U:$U,$R34,Data!$T:$T,6))</f>
        <v/>
      </c>
      <c r="Z34" t="str">
        <f>IF(COUNTIFS(Data!$U:$U,$R34,Data!$T:$T,7,Data!$N:$N,"&lt;&gt;")=0,"",SUMIFS(Data!$N:$N,Data!$U:$U,$R34,Data!$T:$T,7))</f>
        <v/>
      </c>
      <c r="AA34">
        <f>IF(COUNTIFS(Data!$U:$U,$R34,Data!$T:$T,8,Data!$N:$N,"&lt;&gt;")=0,"",SUMIFS(Data!$N:$N,Data!$U:$U,$R34,Data!$T:$T,8))</f>
        <v>3</v>
      </c>
      <c r="AB34">
        <f>IF(COUNTIFS(Data!$U:$U,$R34,Data!$T:$T,9,Data!$N:$N,"&lt;&gt;")=0,"",SUMIFS(Data!$N:$N,Data!$U:$U,$R34,Data!$T:$T,9))</f>
        <v>-3</v>
      </c>
      <c r="AC34">
        <f>IF(COUNTIFS(Data!$U:$U,$R34,Data!$T:$T,10,Data!$N:$N,"&lt;&gt;")=0,"",SUMIFS(Data!$N:$N,Data!$U:$U,$R34,Data!$T:$T,10))</f>
        <v>0</v>
      </c>
      <c r="AD34">
        <f>IF(COUNTIFS(Data!$U:$U,$R34,Data!$T:$T,11,Data!$N:$N,"&lt;&gt;")=0,"",SUMIFS(Data!$N:$N,Data!$U:$U,$R34,Data!$T:$T,11))</f>
        <v>0</v>
      </c>
      <c r="AE34">
        <f>IF(COUNTIFS(Data!$U:$U,$R34,Data!$T:$T,12,Data!$N:$N,"&lt;&gt;")=0,"",SUMIFS(Data!$N:$N,Data!$U:$U,$R34,Data!$T:$T,12))</f>
        <v>0</v>
      </c>
      <c r="AF34" t="str">
        <f>IF(COUNTIFS(Data!$U:$U,$R34,Data!$T:$T,13,Data!$N:$N,"&lt;&gt;")=0,"",SUMIFS(Data!$N:$N,Data!$U:$U,$R34,Data!$T:$T,13))</f>
        <v/>
      </c>
      <c r="AG34" t="str">
        <f>IF(COUNTIFS(Data!$U:$U,$R34,Data!$T:$T,14,Data!$N:$N,"&lt;&gt;")=0,"",SUMIFS(Data!$N:$N,Data!$U:$U,$R34,Data!$T:$T,14))</f>
        <v/>
      </c>
      <c r="AH34">
        <f>COUNTIFS(Data!$U:$U,$R34,Data!$T:$T,"&lt;="&amp;14,Data!$N:$N,"&lt;&gt;")</f>
        <v>5</v>
      </c>
      <c r="AI34">
        <f>COUNTIFS(Data!$U:$U,$R34,Data!$T:$T,"&lt;="&amp;14,Data!$N:$N,0)</f>
        <v>3</v>
      </c>
      <c r="AJ34">
        <f t="shared" si="3"/>
        <v>2</v>
      </c>
      <c r="AK34">
        <f>IF(AH34=0,"",SUMIFS(Data!$N:$N,Data!$U:$U,$R34,Data!$T:$T,"&lt;="&amp;14))</f>
        <v>0</v>
      </c>
      <c r="AL34">
        <f t="shared" si="4"/>
        <v>3</v>
      </c>
      <c r="AM34">
        <f t="shared" si="5"/>
        <v>200000</v>
      </c>
      <c r="AN34">
        <f t="shared" si="6"/>
        <v>21</v>
      </c>
    </row>
    <row r="35" spans="1:40" x14ac:dyDescent="0.2">
      <c r="A35">
        <v>33</v>
      </c>
      <c r="B35" s="27" t="str">
        <f>IFERROR(IF(INDEX(Data!$B:$B,MATCH($A35,Data!$T:$T,0))="","",INDEX(Data!$B:$B,MATCH($A35,Data!$T:$T,0))),"")</f>
        <v/>
      </c>
      <c r="C35" t="str">
        <f>IFERROR(IF(INDEX(Data!$D:$D,MATCH($A35,Data!$T:$T,0))="","",INDEX(Data!$D:$D,MATCH($A35,Data!$T:$T,0))),"")</f>
        <v/>
      </c>
      <c r="D35" s="27" t="str">
        <f>IFERROR(IF(INDEX(Data!$O:$O,MATCH($A35,Data!$T:$T,0))="","",INDEX(Data!$O:$O,MATCH($A35,Data!$T:$T,0))),"")</f>
        <v/>
      </c>
      <c r="E35">
        <f>COUNTIFS(Data!$T:$T,$A35)</f>
        <v>0</v>
      </c>
      <c r="F35">
        <f>COUNTIFS(Data!$T:$T,$A35,Data!$N:$N,"&lt;&gt;")</f>
        <v>0</v>
      </c>
      <c r="G35">
        <f>COUNTIFS(Data!$T:$T,$A35,Data!$N:$N,0)</f>
        <v>0</v>
      </c>
      <c r="H35" t="str">
        <f t="shared" ref="H35:H62" si="7">IF($F35=0,"",$F35-$G35)</f>
        <v/>
      </c>
      <c r="I35" t="str">
        <f>IF($F35=0,"",SUMIFS(Data!$N:$N,Data!$T:$T,$A35))</f>
        <v/>
      </c>
      <c r="J35">
        <f>COUNTIFS(Data!$T:$T,$A35,Data!$Q:$Q,"&lt;&gt;")</f>
        <v>0</v>
      </c>
      <c r="K35" t="str">
        <f>IF($J35=0,"",SUMIFS(Data!$Q:$Q,Data!$T:$T,$A35))</f>
        <v/>
      </c>
      <c r="L35">
        <f>COUNTIFS(Data!$T:$T,$A35,Data!$M:$M,"&lt;&gt;")</f>
        <v>0</v>
      </c>
      <c r="M35" t="str">
        <f t="shared" ref="M35:M62" si="8">IF($E35=0,"",IF($L35=0,"not loaded","loaded"))</f>
        <v/>
      </c>
      <c r="N35">
        <f>COUNTIFS(Data!$T:$T,$A35,Data!$I:$I,"&lt;&gt;")</f>
        <v>0</v>
      </c>
      <c r="O35" t="str">
        <f t="shared" ref="O35:O62" si="9">IF($E35=0,"",IF($L35=0,"No POS sales have been loaded for this date, so variance cannot be worked out. Import the sales report for this day and it fills in.",IF($N35=0,"This is the first count of these products, so there is no opening figure to sell down from. Variance starts from the next count.",IF($F35-$G35=0,"Physical and POS agree on every product.",($F35-$G35)&amp;" of "&amp;$F35&amp;" products disagree with the POS. Largest first below."))))</f>
        <v/>
      </c>
      <c r="R35">
        <v>33</v>
      </c>
      <c r="S35" t="str">
        <f>IFERROR(INDEX(Data!$G:$G,MATCH($R35,Data!$U:$U,0)),"")</f>
        <v>Marlboro Menthol</v>
      </c>
      <c r="T35" t="str">
        <f>IF(COUNTIFS(Data!$U:$U,$R35,Data!$T:$T,1,Data!$N:$N,"&lt;&gt;")=0,"",SUMIFS(Data!$N:$N,Data!$U:$U,$R35,Data!$T:$T,1))</f>
        <v/>
      </c>
      <c r="U35" t="str">
        <f>IF(COUNTIFS(Data!$U:$U,$R35,Data!$T:$T,2,Data!$N:$N,"&lt;&gt;")=0,"",SUMIFS(Data!$N:$N,Data!$U:$U,$R35,Data!$T:$T,2))</f>
        <v/>
      </c>
      <c r="V35" t="str">
        <f>IF(COUNTIFS(Data!$U:$U,$R35,Data!$T:$T,3,Data!$N:$N,"&lt;&gt;")=0,"",SUMIFS(Data!$N:$N,Data!$U:$U,$R35,Data!$T:$T,3))</f>
        <v/>
      </c>
      <c r="W35" t="str">
        <f>IF(COUNTIFS(Data!$U:$U,$R35,Data!$T:$T,4,Data!$N:$N,"&lt;&gt;")=0,"",SUMIFS(Data!$N:$N,Data!$U:$U,$R35,Data!$T:$T,4))</f>
        <v/>
      </c>
      <c r="X35" t="str">
        <f>IF(COUNTIFS(Data!$U:$U,$R35,Data!$T:$T,5,Data!$N:$N,"&lt;&gt;")=0,"",SUMIFS(Data!$N:$N,Data!$U:$U,$R35,Data!$T:$T,5))</f>
        <v/>
      </c>
      <c r="Y35" t="str">
        <f>IF(COUNTIFS(Data!$U:$U,$R35,Data!$T:$T,6,Data!$N:$N,"&lt;&gt;")=0,"",SUMIFS(Data!$N:$N,Data!$U:$U,$R35,Data!$T:$T,6))</f>
        <v/>
      </c>
      <c r="Z35" t="str">
        <f>IF(COUNTIFS(Data!$U:$U,$R35,Data!$T:$T,7,Data!$N:$N,"&lt;&gt;")=0,"",SUMIFS(Data!$N:$N,Data!$U:$U,$R35,Data!$T:$T,7))</f>
        <v/>
      </c>
      <c r="AA35">
        <f>IF(COUNTIFS(Data!$U:$U,$R35,Data!$T:$T,8,Data!$N:$N,"&lt;&gt;")=0,"",SUMIFS(Data!$N:$N,Data!$U:$U,$R35,Data!$T:$T,8))</f>
        <v>0</v>
      </c>
      <c r="AB35">
        <f>IF(COUNTIFS(Data!$U:$U,$R35,Data!$T:$T,9,Data!$N:$N,"&lt;&gt;")=0,"",SUMIFS(Data!$N:$N,Data!$U:$U,$R35,Data!$T:$T,9))</f>
        <v>0</v>
      </c>
      <c r="AC35">
        <f>IF(COUNTIFS(Data!$U:$U,$R35,Data!$T:$T,10,Data!$N:$N,"&lt;&gt;")=0,"",SUMIFS(Data!$N:$N,Data!$U:$U,$R35,Data!$T:$T,10))</f>
        <v>0</v>
      </c>
      <c r="AD35">
        <f>IF(COUNTIFS(Data!$U:$U,$R35,Data!$T:$T,11,Data!$N:$N,"&lt;&gt;")=0,"",SUMIFS(Data!$N:$N,Data!$U:$U,$R35,Data!$T:$T,11))</f>
        <v>0</v>
      </c>
      <c r="AE35">
        <f>IF(COUNTIFS(Data!$U:$U,$R35,Data!$T:$T,12,Data!$N:$N,"&lt;&gt;")=0,"",SUMIFS(Data!$N:$N,Data!$U:$U,$R35,Data!$T:$T,12))</f>
        <v>0</v>
      </c>
      <c r="AF35" t="str">
        <f>IF(COUNTIFS(Data!$U:$U,$R35,Data!$T:$T,13,Data!$N:$N,"&lt;&gt;")=0,"",SUMIFS(Data!$N:$N,Data!$U:$U,$R35,Data!$T:$T,13))</f>
        <v/>
      </c>
      <c r="AG35" t="str">
        <f>IF(COUNTIFS(Data!$U:$U,$R35,Data!$T:$T,14,Data!$N:$N,"&lt;&gt;")=0,"",SUMIFS(Data!$N:$N,Data!$U:$U,$R35,Data!$T:$T,14))</f>
        <v/>
      </c>
      <c r="AH35">
        <f>COUNTIFS(Data!$U:$U,$R35,Data!$T:$T,"&lt;="&amp;14,Data!$N:$N,"&lt;&gt;")</f>
        <v>5</v>
      </c>
      <c r="AI35">
        <f>COUNTIFS(Data!$U:$U,$R35,Data!$T:$T,"&lt;="&amp;14,Data!$N:$N,0)</f>
        <v>5</v>
      </c>
      <c r="AJ35">
        <f t="shared" ref="AJ35:AJ66" si="10">IF(AH35=0,"",AH35-AI35)</f>
        <v>0</v>
      </c>
      <c r="AK35">
        <f>IF(AH35=0,"",SUMIFS(Data!$N:$N,Data!$U:$U,$R35,Data!$T:$T,"&lt;="&amp;14))</f>
        <v>0</v>
      </c>
      <c r="AL35">
        <f t="shared" ref="AL35:AL66" si="11">IF(AH35=0,"",IF(ABS(MAX(T35:AG35))&gt;=ABS(MIN(T35:AG35)),MAX(T35:AG35),MIN(T35:AG35)))</f>
        <v>0</v>
      </c>
      <c r="AM35">
        <f t="shared" ref="AM35:AM66" si="12">IF(AH35=0,-1,AJ35*100000+MIN(ABS(AK35),99999))</f>
        <v>0</v>
      </c>
      <c r="AN35">
        <f t="shared" ref="AN35:AN66" si="13">IF($S35="","",1+COUNTIFS($AM$3:$AM$122,"&gt;"&amp;AM35)+COUNTIFS($AM$3:$AM$122,AM35,$R$3:$R$122,"&lt;"&amp;$R35))</f>
        <v>43</v>
      </c>
    </row>
    <row r="36" spans="1:40" x14ac:dyDescent="0.2">
      <c r="A36">
        <v>34</v>
      </c>
      <c r="B36" s="27" t="str">
        <f>IFERROR(IF(INDEX(Data!$B:$B,MATCH($A36,Data!$T:$T,0))="","",INDEX(Data!$B:$B,MATCH($A36,Data!$T:$T,0))),"")</f>
        <v/>
      </c>
      <c r="C36" t="str">
        <f>IFERROR(IF(INDEX(Data!$D:$D,MATCH($A36,Data!$T:$T,0))="","",INDEX(Data!$D:$D,MATCH($A36,Data!$T:$T,0))),"")</f>
        <v/>
      </c>
      <c r="D36" s="27" t="str">
        <f>IFERROR(IF(INDEX(Data!$O:$O,MATCH($A36,Data!$T:$T,0))="","",INDEX(Data!$O:$O,MATCH($A36,Data!$T:$T,0))),"")</f>
        <v/>
      </c>
      <c r="E36">
        <f>COUNTIFS(Data!$T:$T,$A36)</f>
        <v>0</v>
      </c>
      <c r="F36">
        <f>COUNTIFS(Data!$T:$T,$A36,Data!$N:$N,"&lt;&gt;")</f>
        <v>0</v>
      </c>
      <c r="G36">
        <f>COUNTIFS(Data!$T:$T,$A36,Data!$N:$N,0)</f>
        <v>0</v>
      </c>
      <c r="H36" t="str">
        <f t="shared" si="7"/>
        <v/>
      </c>
      <c r="I36" t="str">
        <f>IF($F36=0,"",SUMIFS(Data!$N:$N,Data!$T:$T,$A36))</f>
        <v/>
      </c>
      <c r="J36">
        <f>COUNTIFS(Data!$T:$T,$A36,Data!$Q:$Q,"&lt;&gt;")</f>
        <v>0</v>
      </c>
      <c r="K36" t="str">
        <f>IF($J36=0,"",SUMIFS(Data!$Q:$Q,Data!$T:$T,$A36))</f>
        <v/>
      </c>
      <c r="L36">
        <f>COUNTIFS(Data!$T:$T,$A36,Data!$M:$M,"&lt;&gt;")</f>
        <v>0</v>
      </c>
      <c r="M36" t="str">
        <f t="shared" si="8"/>
        <v/>
      </c>
      <c r="N36">
        <f>COUNTIFS(Data!$T:$T,$A36,Data!$I:$I,"&lt;&gt;")</f>
        <v>0</v>
      </c>
      <c r="O36" t="str">
        <f t="shared" si="9"/>
        <v/>
      </c>
      <c r="R36">
        <v>34</v>
      </c>
      <c r="S36" t="str">
        <f>IFERROR(INDEX(Data!$G:$G,MATCH($R36,Data!$U:$U,0)),"")</f>
        <v>Marlboro Red</v>
      </c>
      <c r="T36" t="str">
        <f>IF(COUNTIFS(Data!$U:$U,$R36,Data!$T:$T,1,Data!$N:$N,"&lt;&gt;")=0,"",SUMIFS(Data!$N:$N,Data!$U:$U,$R36,Data!$T:$T,1))</f>
        <v/>
      </c>
      <c r="U36" t="str">
        <f>IF(COUNTIFS(Data!$U:$U,$R36,Data!$T:$T,2,Data!$N:$N,"&lt;&gt;")=0,"",SUMIFS(Data!$N:$N,Data!$U:$U,$R36,Data!$T:$T,2))</f>
        <v/>
      </c>
      <c r="V36" t="str">
        <f>IF(COUNTIFS(Data!$U:$U,$R36,Data!$T:$T,3,Data!$N:$N,"&lt;&gt;")=0,"",SUMIFS(Data!$N:$N,Data!$U:$U,$R36,Data!$T:$T,3))</f>
        <v/>
      </c>
      <c r="W36" t="str">
        <f>IF(COUNTIFS(Data!$U:$U,$R36,Data!$T:$T,4,Data!$N:$N,"&lt;&gt;")=0,"",SUMIFS(Data!$N:$N,Data!$U:$U,$R36,Data!$T:$T,4))</f>
        <v/>
      </c>
      <c r="X36" t="str">
        <f>IF(COUNTIFS(Data!$U:$U,$R36,Data!$T:$T,5,Data!$N:$N,"&lt;&gt;")=0,"",SUMIFS(Data!$N:$N,Data!$U:$U,$R36,Data!$T:$T,5))</f>
        <v/>
      </c>
      <c r="Y36" t="str">
        <f>IF(COUNTIFS(Data!$U:$U,$R36,Data!$T:$T,6,Data!$N:$N,"&lt;&gt;")=0,"",SUMIFS(Data!$N:$N,Data!$U:$U,$R36,Data!$T:$T,6))</f>
        <v/>
      </c>
      <c r="Z36" t="str">
        <f>IF(COUNTIFS(Data!$U:$U,$R36,Data!$T:$T,7,Data!$N:$N,"&lt;&gt;")=0,"",SUMIFS(Data!$N:$N,Data!$U:$U,$R36,Data!$T:$T,7))</f>
        <v/>
      </c>
      <c r="AA36">
        <f>IF(COUNTIFS(Data!$U:$U,$R36,Data!$T:$T,8,Data!$N:$N,"&lt;&gt;")=0,"",SUMIFS(Data!$N:$N,Data!$U:$U,$R36,Data!$T:$T,8))</f>
        <v>0</v>
      </c>
      <c r="AB36">
        <f>IF(COUNTIFS(Data!$U:$U,$R36,Data!$T:$T,9,Data!$N:$N,"&lt;&gt;")=0,"",SUMIFS(Data!$N:$N,Data!$U:$U,$R36,Data!$T:$T,9))</f>
        <v>10</v>
      </c>
      <c r="AC36">
        <f>IF(COUNTIFS(Data!$U:$U,$R36,Data!$T:$T,10,Data!$N:$N,"&lt;&gt;")=0,"",SUMIFS(Data!$N:$N,Data!$U:$U,$R36,Data!$T:$T,10))</f>
        <v>0</v>
      </c>
      <c r="AD36">
        <f>IF(COUNTIFS(Data!$U:$U,$R36,Data!$T:$T,11,Data!$N:$N,"&lt;&gt;")=0,"",SUMIFS(Data!$N:$N,Data!$U:$U,$R36,Data!$T:$T,11))</f>
        <v>0</v>
      </c>
      <c r="AE36">
        <f>IF(COUNTIFS(Data!$U:$U,$R36,Data!$T:$T,12,Data!$N:$N,"&lt;&gt;")=0,"",SUMIFS(Data!$N:$N,Data!$U:$U,$R36,Data!$T:$T,12))</f>
        <v>-10</v>
      </c>
      <c r="AF36" t="str">
        <f>IF(COUNTIFS(Data!$U:$U,$R36,Data!$T:$T,13,Data!$N:$N,"&lt;&gt;")=0,"",SUMIFS(Data!$N:$N,Data!$U:$U,$R36,Data!$T:$T,13))</f>
        <v/>
      </c>
      <c r="AG36" t="str">
        <f>IF(COUNTIFS(Data!$U:$U,$R36,Data!$T:$T,14,Data!$N:$N,"&lt;&gt;")=0,"",SUMIFS(Data!$N:$N,Data!$U:$U,$R36,Data!$T:$T,14))</f>
        <v/>
      </c>
      <c r="AH36">
        <f>COUNTIFS(Data!$U:$U,$R36,Data!$T:$T,"&lt;="&amp;14,Data!$N:$N,"&lt;&gt;")</f>
        <v>5</v>
      </c>
      <c r="AI36">
        <f>COUNTIFS(Data!$U:$U,$R36,Data!$T:$T,"&lt;="&amp;14,Data!$N:$N,0)</f>
        <v>3</v>
      </c>
      <c r="AJ36">
        <f t="shared" si="10"/>
        <v>2</v>
      </c>
      <c r="AK36">
        <f>IF(AH36=0,"",SUMIFS(Data!$N:$N,Data!$U:$U,$R36,Data!$T:$T,"&lt;="&amp;14))</f>
        <v>0</v>
      </c>
      <c r="AL36">
        <f t="shared" si="11"/>
        <v>10</v>
      </c>
      <c r="AM36">
        <f t="shared" si="12"/>
        <v>200000</v>
      </c>
      <c r="AN36">
        <f t="shared" si="13"/>
        <v>22</v>
      </c>
    </row>
    <row r="37" spans="1:40" x14ac:dyDescent="0.2">
      <c r="A37">
        <v>35</v>
      </c>
      <c r="B37" s="27" t="str">
        <f>IFERROR(IF(INDEX(Data!$B:$B,MATCH($A37,Data!$T:$T,0))="","",INDEX(Data!$B:$B,MATCH($A37,Data!$T:$T,0))),"")</f>
        <v/>
      </c>
      <c r="C37" t="str">
        <f>IFERROR(IF(INDEX(Data!$D:$D,MATCH($A37,Data!$T:$T,0))="","",INDEX(Data!$D:$D,MATCH($A37,Data!$T:$T,0))),"")</f>
        <v/>
      </c>
      <c r="D37" s="27" t="str">
        <f>IFERROR(IF(INDEX(Data!$O:$O,MATCH($A37,Data!$T:$T,0))="","",INDEX(Data!$O:$O,MATCH($A37,Data!$T:$T,0))),"")</f>
        <v/>
      </c>
      <c r="E37">
        <f>COUNTIFS(Data!$T:$T,$A37)</f>
        <v>0</v>
      </c>
      <c r="F37">
        <f>COUNTIFS(Data!$T:$T,$A37,Data!$N:$N,"&lt;&gt;")</f>
        <v>0</v>
      </c>
      <c r="G37">
        <f>COUNTIFS(Data!$T:$T,$A37,Data!$N:$N,0)</f>
        <v>0</v>
      </c>
      <c r="H37" t="str">
        <f t="shared" si="7"/>
        <v/>
      </c>
      <c r="I37" t="str">
        <f>IF($F37=0,"",SUMIFS(Data!$N:$N,Data!$T:$T,$A37))</f>
        <v/>
      </c>
      <c r="J37">
        <f>COUNTIFS(Data!$T:$T,$A37,Data!$Q:$Q,"&lt;&gt;")</f>
        <v>0</v>
      </c>
      <c r="K37" t="str">
        <f>IF($J37=0,"",SUMIFS(Data!$Q:$Q,Data!$T:$T,$A37))</f>
        <v/>
      </c>
      <c r="L37">
        <f>COUNTIFS(Data!$T:$T,$A37,Data!$M:$M,"&lt;&gt;")</f>
        <v>0</v>
      </c>
      <c r="M37" t="str">
        <f t="shared" si="8"/>
        <v/>
      </c>
      <c r="N37">
        <f>COUNTIFS(Data!$T:$T,$A37,Data!$I:$I,"&lt;&gt;")</f>
        <v>0</v>
      </c>
      <c r="O37" t="str">
        <f t="shared" si="9"/>
        <v/>
      </c>
      <c r="R37">
        <v>35</v>
      </c>
      <c r="S37" t="str">
        <f>IFERROR(INDEX(Data!$G:$G,MATCH($R37,Data!$U:$U,0)),"")</f>
        <v>Marlboro Summer</v>
      </c>
      <c r="T37" t="str">
        <f>IF(COUNTIFS(Data!$U:$U,$R37,Data!$T:$T,1,Data!$N:$N,"&lt;&gt;")=0,"",SUMIFS(Data!$N:$N,Data!$U:$U,$R37,Data!$T:$T,1))</f>
        <v/>
      </c>
      <c r="U37" t="str">
        <f>IF(COUNTIFS(Data!$U:$U,$R37,Data!$T:$T,2,Data!$N:$N,"&lt;&gt;")=0,"",SUMIFS(Data!$N:$N,Data!$U:$U,$R37,Data!$T:$T,2))</f>
        <v/>
      </c>
      <c r="V37" t="str">
        <f>IF(COUNTIFS(Data!$U:$U,$R37,Data!$T:$T,3,Data!$N:$N,"&lt;&gt;")=0,"",SUMIFS(Data!$N:$N,Data!$U:$U,$R37,Data!$T:$T,3))</f>
        <v/>
      </c>
      <c r="W37" t="str">
        <f>IF(COUNTIFS(Data!$U:$U,$R37,Data!$T:$T,4,Data!$N:$N,"&lt;&gt;")=0,"",SUMIFS(Data!$N:$N,Data!$U:$U,$R37,Data!$T:$T,4))</f>
        <v/>
      </c>
      <c r="X37" t="str">
        <f>IF(COUNTIFS(Data!$U:$U,$R37,Data!$T:$T,5,Data!$N:$N,"&lt;&gt;")=0,"",SUMIFS(Data!$N:$N,Data!$U:$U,$R37,Data!$T:$T,5))</f>
        <v/>
      </c>
      <c r="Y37" t="str">
        <f>IF(COUNTIFS(Data!$U:$U,$R37,Data!$T:$T,6,Data!$N:$N,"&lt;&gt;")=0,"",SUMIFS(Data!$N:$N,Data!$U:$U,$R37,Data!$T:$T,6))</f>
        <v/>
      </c>
      <c r="Z37" t="str">
        <f>IF(COUNTIFS(Data!$U:$U,$R37,Data!$T:$T,7,Data!$N:$N,"&lt;&gt;")=0,"",SUMIFS(Data!$N:$N,Data!$U:$U,$R37,Data!$T:$T,7))</f>
        <v/>
      </c>
      <c r="AA37">
        <f>IF(COUNTIFS(Data!$U:$U,$R37,Data!$T:$T,8,Data!$N:$N,"&lt;&gt;")=0,"",SUMIFS(Data!$N:$N,Data!$U:$U,$R37,Data!$T:$T,8))</f>
        <v>-9</v>
      </c>
      <c r="AB37">
        <f>IF(COUNTIFS(Data!$U:$U,$R37,Data!$T:$T,9,Data!$N:$N,"&lt;&gt;")=0,"",SUMIFS(Data!$N:$N,Data!$U:$U,$R37,Data!$T:$T,9))</f>
        <v>0</v>
      </c>
      <c r="AC37">
        <f>IF(COUNTIFS(Data!$U:$U,$R37,Data!$T:$T,10,Data!$N:$N,"&lt;&gt;")=0,"",SUMIFS(Data!$N:$N,Data!$U:$U,$R37,Data!$T:$T,10))</f>
        <v>0</v>
      </c>
      <c r="AD37">
        <f>IF(COUNTIFS(Data!$U:$U,$R37,Data!$T:$T,11,Data!$N:$N,"&lt;&gt;")=0,"",SUMIFS(Data!$N:$N,Data!$U:$U,$R37,Data!$T:$T,11))</f>
        <v>0</v>
      </c>
      <c r="AE37">
        <f>IF(COUNTIFS(Data!$U:$U,$R37,Data!$T:$T,12,Data!$N:$N,"&lt;&gt;")=0,"",SUMIFS(Data!$N:$N,Data!$U:$U,$R37,Data!$T:$T,12))</f>
        <v>0</v>
      </c>
      <c r="AF37" t="str">
        <f>IF(COUNTIFS(Data!$U:$U,$R37,Data!$T:$T,13,Data!$N:$N,"&lt;&gt;")=0,"",SUMIFS(Data!$N:$N,Data!$U:$U,$R37,Data!$T:$T,13))</f>
        <v/>
      </c>
      <c r="AG37" t="str">
        <f>IF(COUNTIFS(Data!$U:$U,$R37,Data!$T:$T,14,Data!$N:$N,"&lt;&gt;")=0,"",SUMIFS(Data!$N:$N,Data!$U:$U,$R37,Data!$T:$T,14))</f>
        <v/>
      </c>
      <c r="AH37">
        <f>COUNTIFS(Data!$U:$U,$R37,Data!$T:$T,"&lt;="&amp;14,Data!$N:$N,"&lt;&gt;")</f>
        <v>5</v>
      </c>
      <c r="AI37">
        <f>COUNTIFS(Data!$U:$U,$R37,Data!$T:$T,"&lt;="&amp;14,Data!$N:$N,0)</f>
        <v>4</v>
      </c>
      <c r="AJ37">
        <f t="shared" si="10"/>
        <v>1</v>
      </c>
      <c r="AK37">
        <f>IF(AH37=0,"",SUMIFS(Data!$N:$N,Data!$U:$U,$R37,Data!$T:$T,"&lt;="&amp;14))</f>
        <v>-9</v>
      </c>
      <c r="AL37">
        <f t="shared" si="11"/>
        <v>-9</v>
      </c>
      <c r="AM37">
        <f t="shared" si="12"/>
        <v>100009</v>
      </c>
      <c r="AN37">
        <f t="shared" si="13"/>
        <v>28</v>
      </c>
    </row>
    <row r="38" spans="1:40" x14ac:dyDescent="0.2">
      <c r="A38">
        <v>36</v>
      </c>
      <c r="B38" s="27" t="str">
        <f>IFERROR(IF(INDEX(Data!$B:$B,MATCH($A38,Data!$T:$T,0))="","",INDEX(Data!$B:$B,MATCH($A38,Data!$T:$T,0))),"")</f>
        <v/>
      </c>
      <c r="C38" t="str">
        <f>IFERROR(IF(INDEX(Data!$D:$D,MATCH($A38,Data!$T:$T,0))="","",INDEX(Data!$D:$D,MATCH($A38,Data!$T:$T,0))),"")</f>
        <v/>
      </c>
      <c r="D38" s="27" t="str">
        <f>IFERROR(IF(INDEX(Data!$O:$O,MATCH($A38,Data!$T:$T,0))="","",INDEX(Data!$O:$O,MATCH($A38,Data!$T:$T,0))),"")</f>
        <v/>
      </c>
      <c r="E38">
        <f>COUNTIFS(Data!$T:$T,$A38)</f>
        <v>0</v>
      </c>
      <c r="F38">
        <f>COUNTIFS(Data!$T:$T,$A38,Data!$N:$N,"&lt;&gt;")</f>
        <v>0</v>
      </c>
      <c r="G38">
        <f>COUNTIFS(Data!$T:$T,$A38,Data!$N:$N,0)</f>
        <v>0</v>
      </c>
      <c r="H38" t="str">
        <f t="shared" si="7"/>
        <v/>
      </c>
      <c r="I38" t="str">
        <f>IF($F38=0,"",SUMIFS(Data!$N:$N,Data!$T:$T,$A38))</f>
        <v/>
      </c>
      <c r="J38">
        <f>COUNTIFS(Data!$T:$T,$A38,Data!$Q:$Q,"&lt;&gt;")</f>
        <v>0</v>
      </c>
      <c r="K38" t="str">
        <f>IF($J38=0,"",SUMIFS(Data!$Q:$Q,Data!$T:$T,$A38))</f>
        <v/>
      </c>
      <c r="L38">
        <f>COUNTIFS(Data!$T:$T,$A38,Data!$M:$M,"&lt;&gt;")</f>
        <v>0</v>
      </c>
      <c r="M38" t="str">
        <f t="shared" si="8"/>
        <v/>
      </c>
      <c r="N38">
        <f>COUNTIFS(Data!$T:$T,$A38,Data!$I:$I,"&lt;&gt;")</f>
        <v>0</v>
      </c>
      <c r="O38" t="str">
        <f t="shared" si="9"/>
        <v/>
      </c>
      <c r="R38">
        <v>36</v>
      </c>
      <c r="S38" t="str">
        <f>IFERROR(INDEX(Data!$G:$G,MATCH($R38,Data!$U:$U,0)),"")</f>
        <v>Marlboro Tropical</v>
      </c>
      <c r="T38" t="str">
        <f>IF(COUNTIFS(Data!$U:$U,$R38,Data!$T:$T,1,Data!$N:$N,"&lt;&gt;")=0,"",SUMIFS(Data!$N:$N,Data!$U:$U,$R38,Data!$T:$T,1))</f>
        <v/>
      </c>
      <c r="U38" t="str">
        <f>IF(COUNTIFS(Data!$U:$U,$R38,Data!$T:$T,2,Data!$N:$N,"&lt;&gt;")=0,"",SUMIFS(Data!$N:$N,Data!$U:$U,$R38,Data!$T:$T,2))</f>
        <v/>
      </c>
      <c r="V38" t="str">
        <f>IF(COUNTIFS(Data!$U:$U,$R38,Data!$T:$T,3,Data!$N:$N,"&lt;&gt;")=0,"",SUMIFS(Data!$N:$N,Data!$U:$U,$R38,Data!$T:$T,3))</f>
        <v/>
      </c>
      <c r="W38" t="str">
        <f>IF(COUNTIFS(Data!$U:$U,$R38,Data!$T:$T,4,Data!$N:$N,"&lt;&gt;")=0,"",SUMIFS(Data!$N:$N,Data!$U:$U,$R38,Data!$T:$T,4))</f>
        <v/>
      </c>
      <c r="X38" t="str">
        <f>IF(COUNTIFS(Data!$U:$U,$R38,Data!$T:$T,5,Data!$N:$N,"&lt;&gt;")=0,"",SUMIFS(Data!$N:$N,Data!$U:$U,$R38,Data!$T:$T,5))</f>
        <v/>
      </c>
      <c r="Y38" t="str">
        <f>IF(COUNTIFS(Data!$U:$U,$R38,Data!$T:$T,6,Data!$N:$N,"&lt;&gt;")=0,"",SUMIFS(Data!$N:$N,Data!$U:$U,$R38,Data!$T:$T,6))</f>
        <v/>
      </c>
      <c r="Z38" t="str">
        <f>IF(COUNTIFS(Data!$U:$U,$R38,Data!$T:$T,7,Data!$N:$N,"&lt;&gt;")=0,"",SUMIFS(Data!$N:$N,Data!$U:$U,$R38,Data!$T:$T,7))</f>
        <v/>
      </c>
      <c r="AA38">
        <f>IF(COUNTIFS(Data!$U:$U,$R38,Data!$T:$T,8,Data!$N:$N,"&lt;&gt;")=0,"",SUMIFS(Data!$N:$N,Data!$U:$U,$R38,Data!$T:$T,8))</f>
        <v>-5</v>
      </c>
      <c r="AB38">
        <f>IF(COUNTIFS(Data!$U:$U,$R38,Data!$T:$T,9,Data!$N:$N,"&lt;&gt;")=0,"",SUMIFS(Data!$N:$N,Data!$U:$U,$R38,Data!$T:$T,9))</f>
        <v>0</v>
      </c>
      <c r="AC38">
        <f>IF(COUNTIFS(Data!$U:$U,$R38,Data!$T:$T,10,Data!$N:$N,"&lt;&gt;")=0,"",SUMIFS(Data!$N:$N,Data!$U:$U,$R38,Data!$T:$T,10))</f>
        <v>0</v>
      </c>
      <c r="AD38">
        <f>IF(COUNTIFS(Data!$U:$U,$R38,Data!$T:$T,11,Data!$N:$N,"&lt;&gt;")=0,"",SUMIFS(Data!$N:$N,Data!$U:$U,$R38,Data!$T:$T,11))</f>
        <v>0</v>
      </c>
      <c r="AE38">
        <f>IF(COUNTIFS(Data!$U:$U,$R38,Data!$T:$T,12,Data!$N:$N,"&lt;&gt;")=0,"",SUMIFS(Data!$N:$N,Data!$U:$U,$R38,Data!$T:$T,12))</f>
        <v>0</v>
      </c>
      <c r="AF38" t="str">
        <f>IF(COUNTIFS(Data!$U:$U,$R38,Data!$T:$T,13,Data!$N:$N,"&lt;&gt;")=0,"",SUMIFS(Data!$N:$N,Data!$U:$U,$R38,Data!$T:$T,13))</f>
        <v/>
      </c>
      <c r="AG38" t="str">
        <f>IF(COUNTIFS(Data!$U:$U,$R38,Data!$T:$T,14,Data!$N:$N,"&lt;&gt;")=0,"",SUMIFS(Data!$N:$N,Data!$U:$U,$R38,Data!$T:$T,14))</f>
        <v/>
      </c>
      <c r="AH38">
        <f>COUNTIFS(Data!$U:$U,$R38,Data!$T:$T,"&lt;="&amp;14,Data!$N:$N,"&lt;&gt;")</f>
        <v>5</v>
      </c>
      <c r="AI38">
        <f>COUNTIFS(Data!$U:$U,$R38,Data!$T:$T,"&lt;="&amp;14,Data!$N:$N,0)</f>
        <v>4</v>
      </c>
      <c r="AJ38">
        <f t="shared" si="10"/>
        <v>1</v>
      </c>
      <c r="AK38">
        <f>IF(AH38=0,"",SUMIFS(Data!$N:$N,Data!$U:$U,$R38,Data!$T:$T,"&lt;="&amp;14))</f>
        <v>-5</v>
      </c>
      <c r="AL38">
        <f t="shared" si="11"/>
        <v>-5</v>
      </c>
      <c r="AM38">
        <f t="shared" si="12"/>
        <v>100005</v>
      </c>
      <c r="AN38">
        <f t="shared" si="13"/>
        <v>29</v>
      </c>
    </row>
    <row r="39" spans="1:40" x14ac:dyDescent="0.2">
      <c r="A39">
        <v>37</v>
      </c>
      <c r="B39" s="27" t="str">
        <f>IFERROR(IF(INDEX(Data!$B:$B,MATCH($A39,Data!$T:$T,0))="","",INDEX(Data!$B:$B,MATCH($A39,Data!$T:$T,0))),"")</f>
        <v/>
      </c>
      <c r="C39" t="str">
        <f>IFERROR(IF(INDEX(Data!$D:$D,MATCH($A39,Data!$T:$T,0))="","",INDEX(Data!$D:$D,MATCH($A39,Data!$T:$T,0))),"")</f>
        <v/>
      </c>
      <c r="D39" s="27" t="str">
        <f>IFERROR(IF(INDEX(Data!$O:$O,MATCH($A39,Data!$T:$T,0))="","",INDEX(Data!$O:$O,MATCH($A39,Data!$T:$T,0))),"")</f>
        <v/>
      </c>
      <c r="E39">
        <f>COUNTIFS(Data!$T:$T,$A39)</f>
        <v>0</v>
      </c>
      <c r="F39">
        <f>COUNTIFS(Data!$T:$T,$A39,Data!$N:$N,"&lt;&gt;")</f>
        <v>0</v>
      </c>
      <c r="G39">
        <f>COUNTIFS(Data!$T:$T,$A39,Data!$N:$N,0)</f>
        <v>0</v>
      </c>
      <c r="H39" t="str">
        <f t="shared" si="7"/>
        <v/>
      </c>
      <c r="I39" t="str">
        <f>IF($F39=0,"",SUMIFS(Data!$N:$N,Data!$T:$T,$A39))</f>
        <v/>
      </c>
      <c r="J39">
        <f>COUNTIFS(Data!$T:$T,$A39,Data!$Q:$Q,"&lt;&gt;")</f>
        <v>0</v>
      </c>
      <c r="K39" t="str">
        <f>IF($J39=0,"",SUMIFS(Data!$Q:$Q,Data!$T:$T,$A39))</f>
        <v/>
      </c>
      <c r="L39">
        <f>COUNTIFS(Data!$T:$T,$A39,Data!$M:$M,"&lt;&gt;")</f>
        <v>0</v>
      </c>
      <c r="M39" t="str">
        <f t="shared" si="8"/>
        <v/>
      </c>
      <c r="N39">
        <f>COUNTIFS(Data!$T:$T,$A39,Data!$I:$I,"&lt;&gt;")</f>
        <v>0</v>
      </c>
      <c r="O39" t="str">
        <f t="shared" si="9"/>
        <v/>
      </c>
      <c r="R39">
        <v>37</v>
      </c>
      <c r="S39" t="str">
        <f>IFERROR(INDEX(Data!$G:$G,MATCH($R39,Data!$U:$U,0)),"")</f>
        <v>Mevius Blue</v>
      </c>
      <c r="T39" t="str">
        <f>IF(COUNTIFS(Data!$U:$U,$R39,Data!$T:$T,1,Data!$N:$N,"&lt;&gt;")=0,"",SUMIFS(Data!$N:$N,Data!$U:$U,$R39,Data!$T:$T,1))</f>
        <v/>
      </c>
      <c r="U39" t="str">
        <f>IF(COUNTIFS(Data!$U:$U,$R39,Data!$T:$T,2,Data!$N:$N,"&lt;&gt;")=0,"",SUMIFS(Data!$N:$N,Data!$U:$U,$R39,Data!$T:$T,2))</f>
        <v/>
      </c>
      <c r="V39" t="str">
        <f>IF(COUNTIFS(Data!$U:$U,$R39,Data!$T:$T,3,Data!$N:$N,"&lt;&gt;")=0,"",SUMIFS(Data!$N:$N,Data!$U:$U,$R39,Data!$T:$T,3))</f>
        <v/>
      </c>
      <c r="W39" t="str">
        <f>IF(COUNTIFS(Data!$U:$U,$R39,Data!$T:$T,4,Data!$N:$N,"&lt;&gt;")=0,"",SUMIFS(Data!$N:$N,Data!$U:$U,$R39,Data!$T:$T,4))</f>
        <v/>
      </c>
      <c r="X39" t="str">
        <f>IF(COUNTIFS(Data!$U:$U,$R39,Data!$T:$T,5,Data!$N:$N,"&lt;&gt;")=0,"",SUMIFS(Data!$N:$N,Data!$U:$U,$R39,Data!$T:$T,5))</f>
        <v/>
      </c>
      <c r="Y39" t="str">
        <f>IF(COUNTIFS(Data!$U:$U,$R39,Data!$T:$T,6,Data!$N:$N,"&lt;&gt;")=0,"",SUMIFS(Data!$N:$N,Data!$U:$U,$R39,Data!$T:$T,6))</f>
        <v/>
      </c>
      <c r="Z39" t="str">
        <f>IF(COUNTIFS(Data!$U:$U,$R39,Data!$T:$T,7,Data!$N:$N,"&lt;&gt;")=0,"",SUMIFS(Data!$N:$N,Data!$U:$U,$R39,Data!$T:$T,7))</f>
        <v/>
      </c>
      <c r="AA39">
        <f>IF(COUNTIFS(Data!$U:$U,$R39,Data!$T:$T,8,Data!$N:$N,"&lt;&gt;")=0,"",SUMIFS(Data!$N:$N,Data!$U:$U,$R39,Data!$T:$T,8))</f>
        <v>-1</v>
      </c>
      <c r="AB39">
        <f>IF(COUNTIFS(Data!$U:$U,$R39,Data!$T:$T,9,Data!$N:$N,"&lt;&gt;")=0,"",SUMIFS(Data!$N:$N,Data!$U:$U,$R39,Data!$T:$T,9))</f>
        <v>1</v>
      </c>
      <c r="AC39">
        <f>IF(COUNTIFS(Data!$U:$U,$R39,Data!$T:$T,10,Data!$N:$N,"&lt;&gt;")=0,"",SUMIFS(Data!$N:$N,Data!$U:$U,$R39,Data!$T:$T,10))</f>
        <v>0</v>
      </c>
      <c r="AD39">
        <f>IF(COUNTIFS(Data!$U:$U,$R39,Data!$T:$T,11,Data!$N:$N,"&lt;&gt;")=0,"",SUMIFS(Data!$N:$N,Data!$U:$U,$R39,Data!$T:$T,11))</f>
        <v>-20</v>
      </c>
      <c r="AE39">
        <f>IF(COUNTIFS(Data!$U:$U,$R39,Data!$T:$T,12,Data!$N:$N,"&lt;&gt;")=0,"",SUMIFS(Data!$N:$N,Data!$U:$U,$R39,Data!$T:$T,12))</f>
        <v>-10</v>
      </c>
      <c r="AF39" t="str">
        <f>IF(COUNTIFS(Data!$U:$U,$R39,Data!$T:$T,13,Data!$N:$N,"&lt;&gt;")=0,"",SUMIFS(Data!$N:$N,Data!$U:$U,$R39,Data!$T:$T,13))</f>
        <v/>
      </c>
      <c r="AG39" t="str">
        <f>IF(COUNTIFS(Data!$U:$U,$R39,Data!$T:$T,14,Data!$N:$N,"&lt;&gt;")=0,"",SUMIFS(Data!$N:$N,Data!$U:$U,$R39,Data!$T:$T,14))</f>
        <v/>
      </c>
      <c r="AH39">
        <f>COUNTIFS(Data!$U:$U,$R39,Data!$T:$T,"&lt;="&amp;14,Data!$N:$N,"&lt;&gt;")</f>
        <v>5</v>
      </c>
      <c r="AI39">
        <f>COUNTIFS(Data!$U:$U,$R39,Data!$T:$T,"&lt;="&amp;14,Data!$N:$N,0)</f>
        <v>1</v>
      </c>
      <c r="AJ39">
        <f t="shared" si="10"/>
        <v>4</v>
      </c>
      <c r="AK39">
        <f>IF(AH39=0,"",SUMIFS(Data!$N:$N,Data!$U:$U,$R39,Data!$T:$T,"&lt;="&amp;14))</f>
        <v>-30</v>
      </c>
      <c r="AL39">
        <f t="shared" si="11"/>
        <v>-20</v>
      </c>
      <c r="AM39">
        <f t="shared" si="12"/>
        <v>400030</v>
      </c>
      <c r="AN39">
        <f t="shared" si="13"/>
        <v>3</v>
      </c>
    </row>
    <row r="40" spans="1:40" x14ac:dyDescent="0.2">
      <c r="A40">
        <v>38</v>
      </c>
      <c r="B40" s="27" t="str">
        <f>IFERROR(IF(INDEX(Data!$B:$B,MATCH($A40,Data!$T:$T,0))="","",INDEX(Data!$B:$B,MATCH($A40,Data!$T:$T,0))),"")</f>
        <v/>
      </c>
      <c r="C40" t="str">
        <f>IFERROR(IF(INDEX(Data!$D:$D,MATCH($A40,Data!$T:$T,0))="","",INDEX(Data!$D:$D,MATCH($A40,Data!$T:$T,0))),"")</f>
        <v/>
      </c>
      <c r="D40" s="27" t="str">
        <f>IFERROR(IF(INDEX(Data!$O:$O,MATCH($A40,Data!$T:$T,0))="","",INDEX(Data!$O:$O,MATCH($A40,Data!$T:$T,0))),"")</f>
        <v/>
      </c>
      <c r="E40">
        <f>COUNTIFS(Data!$T:$T,$A40)</f>
        <v>0</v>
      </c>
      <c r="F40">
        <f>COUNTIFS(Data!$T:$T,$A40,Data!$N:$N,"&lt;&gt;")</f>
        <v>0</v>
      </c>
      <c r="G40">
        <f>COUNTIFS(Data!$T:$T,$A40,Data!$N:$N,0)</f>
        <v>0</v>
      </c>
      <c r="H40" t="str">
        <f t="shared" si="7"/>
        <v/>
      </c>
      <c r="I40" t="str">
        <f>IF($F40=0,"",SUMIFS(Data!$N:$N,Data!$T:$T,$A40))</f>
        <v/>
      </c>
      <c r="J40">
        <f>COUNTIFS(Data!$T:$T,$A40,Data!$Q:$Q,"&lt;&gt;")</f>
        <v>0</v>
      </c>
      <c r="K40" t="str">
        <f>IF($J40=0,"",SUMIFS(Data!$Q:$Q,Data!$T:$T,$A40))</f>
        <v/>
      </c>
      <c r="L40">
        <f>COUNTIFS(Data!$T:$T,$A40,Data!$M:$M,"&lt;&gt;")</f>
        <v>0</v>
      </c>
      <c r="M40" t="str">
        <f t="shared" si="8"/>
        <v/>
      </c>
      <c r="N40">
        <f>COUNTIFS(Data!$T:$T,$A40,Data!$I:$I,"&lt;&gt;")</f>
        <v>0</v>
      </c>
      <c r="O40" t="str">
        <f t="shared" si="9"/>
        <v/>
      </c>
      <c r="R40">
        <v>38</v>
      </c>
      <c r="S40" t="str">
        <f>IFERROR(INDEX(Data!$G:$G,MATCH($R40,Data!$U:$U,0)),"")</f>
        <v>Mevius Duo</v>
      </c>
      <c r="T40" t="str">
        <f>IF(COUNTIFS(Data!$U:$U,$R40,Data!$T:$T,1,Data!$N:$N,"&lt;&gt;")=0,"",SUMIFS(Data!$N:$N,Data!$U:$U,$R40,Data!$T:$T,1))</f>
        <v/>
      </c>
      <c r="U40" t="str">
        <f>IF(COUNTIFS(Data!$U:$U,$R40,Data!$T:$T,2,Data!$N:$N,"&lt;&gt;")=0,"",SUMIFS(Data!$N:$N,Data!$U:$U,$R40,Data!$T:$T,2))</f>
        <v/>
      </c>
      <c r="V40" t="str">
        <f>IF(COUNTIFS(Data!$U:$U,$R40,Data!$T:$T,3,Data!$N:$N,"&lt;&gt;")=0,"",SUMIFS(Data!$N:$N,Data!$U:$U,$R40,Data!$T:$T,3))</f>
        <v/>
      </c>
      <c r="W40" t="str">
        <f>IF(COUNTIFS(Data!$U:$U,$R40,Data!$T:$T,4,Data!$N:$N,"&lt;&gt;")=0,"",SUMIFS(Data!$N:$N,Data!$U:$U,$R40,Data!$T:$T,4))</f>
        <v/>
      </c>
      <c r="X40" t="str">
        <f>IF(COUNTIFS(Data!$U:$U,$R40,Data!$T:$T,5,Data!$N:$N,"&lt;&gt;")=0,"",SUMIFS(Data!$N:$N,Data!$U:$U,$R40,Data!$T:$T,5))</f>
        <v/>
      </c>
      <c r="Y40" t="str">
        <f>IF(COUNTIFS(Data!$U:$U,$R40,Data!$T:$T,6,Data!$N:$N,"&lt;&gt;")=0,"",SUMIFS(Data!$N:$N,Data!$U:$U,$R40,Data!$T:$T,6))</f>
        <v/>
      </c>
      <c r="Z40" t="str">
        <f>IF(COUNTIFS(Data!$U:$U,$R40,Data!$T:$T,7,Data!$N:$N,"&lt;&gt;")=0,"",SUMIFS(Data!$N:$N,Data!$U:$U,$R40,Data!$T:$T,7))</f>
        <v/>
      </c>
      <c r="AA40">
        <f>IF(COUNTIFS(Data!$U:$U,$R40,Data!$T:$T,8,Data!$N:$N,"&lt;&gt;")=0,"",SUMIFS(Data!$N:$N,Data!$U:$U,$R40,Data!$T:$T,8))</f>
        <v>0</v>
      </c>
      <c r="AB40">
        <f>IF(COUNTIFS(Data!$U:$U,$R40,Data!$T:$T,9,Data!$N:$N,"&lt;&gt;")=0,"",SUMIFS(Data!$N:$N,Data!$U:$U,$R40,Data!$T:$T,9))</f>
        <v>0</v>
      </c>
      <c r="AC40">
        <f>IF(COUNTIFS(Data!$U:$U,$R40,Data!$T:$T,10,Data!$N:$N,"&lt;&gt;")=0,"",SUMIFS(Data!$N:$N,Data!$U:$U,$R40,Data!$T:$T,10))</f>
        <v>0</v>
      </c>
      <c r="AD40">
        <f>IF(COUNTIFS(Data!$U:$U,$R40,Data!$T:$T,11,Data!$N:$N,"&lt;&gt;")=0,"",SUMIFS(Data!$N:$N,Data!$U:$U,$R40,Data!$T:$T,11))</f>
        <v>0</v>
      </c>
      <c r="AE40">
        <f>IF(COUNTIFS(Data!$U:$U,$R40,Data!$T:$T,12,Data!$N:$N,"&lt;&gt;")=0,"",SUMIFS(Data!$N:$N,Data!$U:$U,$R40,Data!$T:$T,12))</f>
        <v>0</v>
      </c>
      <c r="AF40" t="str">
        <f>IF(COUNTIFS(Data!$U:$U,$R40,Data!$T:$T,13,Data!$N:$N,"&lt;&gt;")=0,"",SUMIFS(Data!$N:$N,Data!$U:$U,$R40,Data!$T:$T,13))</f>
        <v/>
      </c>
      <c r="AG40" t="str">
        <f>IF(COUNTIFS(Data!$U:$U,$R40,Data!$T:$T,14,Data!$N:$N,"&lt;&gt;")=0,"",SUMIFS(Data!$N:$N,Data!$U:$U,$R40,Data!$T:$T,14))</f>
        <v/>
      </c>
      <c r="AH40">
        <f>COUNTIFS(Data!$U:$U,$R40,Data!$T:$T,"&lt;="&amp;14,Data!$N:$N,"&lt;&gt;")</f>
        <v>5</v>
      </c>
      <c r="AI40">
        <f>COUNTIFS(Data!$U:$U,$R40,Data!$T:$T,"&lt;="&amp;14,Data!$N:$N,0)</f>
        <v>5</v>
      </c>
      <c r="AJ40">
        <f t="shared" si="10"/>
        <v>0</v>
      </c>
      <c r="AK40">
        <f>IF(AH40=0,"",SUMIFS(Data!$N:$N,Data!$U:$U,$R40,Data!$T:$T,"&lt;="&amp;14))</f>
        <v>0</v>
      </c>
      <c r="AL40">
        <f t="shared" si="11"/>
        <v>0</v>
      </c>
      <c r="AM40">
        <f t="shared" si="12"/>
        <v>0</v>
      </c>
      <c r="AN40">
        <f t="shared" si="13"/>
        <v>44</v>
      </c>
    </row>
    <row r="41" spans="1:40" x14ac:dyDescent="0.2">
      <c r="A41">
        <v>39</v>
      </c>
      <c r="B41" s="27" t="str">
        <f>IFERROR(IF(INDEX(Data!$B:$B,MATCH($A41,Data!$T:$T,0))="","",INDEX(Data!$B:$B,MATCH($A41,Data!$T:$T,0))),"")</f>
        <v/>
      </c>
      <c r="C41" t="str">
        <f>IFERROR(IF(INDEX(Data!$D:$D,MATCH($A41,Data!$T:$T,0))="","",INDEX(Data!$D:$D,MATCH($A41,Data!$T:$T,0))),"")</f>
        <v/>
      </c>
      <c r="D41" s="27" t="str">
        <f>IFERROR(IF(INDEX(Data!$O:$O,MATCH($A41,Data!$T:$T,0))="","",INDEX(Data!$O:$O,MATCH($A41,Data!$T:$T,0))),"")</f>
        <v/>
      </c>
      <c r="E41">
        <f>COUNTIFS(Data!$T:$T,$A41)</f>
        <v>0</v>
      </c>
      <c r="F41">
        <f>COUNTIFS(Data!$T:$T,$A41,Data!$N:$N,"&lt;&gt;")</f>
        <v>0</v>
      </c>
      <c r="G41">
        <f>COUNTIFS(Data!$T:$T,$A41,Data!$N:$N,0)</f>
        <v>0</v>
      </c>
      <c r="H41" t="str">
        <f t="shared" si="7"/>
        <v/>
      </c>
      <c r="I41" t="str">
        <f>IF($F41=0,"",SUMIFS(Data!$N:$N,Data!$T:$T,$A41))</f>
        <v/>
      </c>
      <c r="J41">
        <f>COUNTIFS(Data!$T:$T,$A41,Data!$Q:$Q,"&lt;&gt;")</f>
        <v>0</v>
      </c>
      <c r="K41" t="str">
        <f>IF($J41=0,"",SUMIFS(Data!$Q:$Q,Data!$T:$T,$A41))</f>
        <v/>
      </c>
      <c r="L41">
        <f>COUNTIFS(Data!$T:$T,$A41,Data!$M:$M,"&lt;&gt;")</f>
        <v>0</v>
      </c>
      <c r="M41" t="str">
        <f t="shared" si="8"/>
        <v/>
      </c>
      <c r="N41">
        <f>COUNTIFS(Data!$T:$T,$A41,Data!$I:$I,"&lt;&gt;")</f>
        <v>0</v>
      </c>
      <c r="O41" t="str">
        <f t="shared" si="9"/>
        <v/>
      </c>
      <c r="R41">
        <v>39</v>
      </c>
      <c r="S41" t="str">
        <f>IFERROR(INDEX(Data!$G:$G,MATCH($R41,Data!$U:$U,0)),"")</f>
        <v>Mevius Kiwami</v>
      </c>
      <c r="T41" t="str">
        <f>IF(COUNTIFS(Data!$U:$U,$R41,Data!$T:$T,1,Data!$N:$N,"&lt;&gt;")=0,"",SUMIFS(Data!$N:$N,Data!$U:$U,$R41,Data!$T:$T,1))</f>
        <v/>
      </c>
      <c r="U41" t="str">
        <f>IF(COUNTIFS(Data!$U:$U,$R41,Data!$T:$T,2,Data!$N:$N,"&lt;&gt;")=0,"",SUMIFS(Data!$N:$N,Data!$U:$U,$R41,Data!$T:$T,2))</f>
        <v/>
      </c>
      <c r="V41" t="str">
        <f>IF(COUNTIFS(Data!$U:$U,$R41,Data!$T:$T,3,Data!$N:$N,"&lt;&gt;")=0,"",SUMIFS(Data!$N:$N,Data!$U:$U,$R41,Data!$T:$T,3))</f>
        <v/>
      </c>
      <c r="W41" t="str">
        <f>IF(COUNTIFS(Data!$U:$U,$R41,Data!$T:$T,4,Data!$N:$N,"&lt;&gt;")=0,"",SUMIFS(Data!$N:$N,Data!$U:$U,$R41,Data!$T:$T,4))</f>
        <v/>
      </c>
      <c r="X41" t="str">
        <f>IF(COUNTIFS(Data!$U:$U,$R41,Data!$T:$T,5,Data!$N:$N,"&lt;&gt;")=0,"",SUMIFS(Data!$N:$N,Data!$U:$U,$R41,Data!$T:$T,5))</f>
        <v/>
      </c>
      <c r="Y41" t="str">
        <f>IF(COUNTIFS(Data!$U:$U,$R41,Data!$T:$T,6,Data!$N:$N,"&lt;&gt;")=0,"",SUMIFS(Data!$N:$N,Data!$U:$U,$R41,Data!$T:$T,6))</f>
        <v/>
      </c>
      <c r="Z41" t="str">
        <f>IF(COUNTIFS(Data!$U:$U,$R41,Data!$T:$T,7,Data!$N:$N,"&lt;&gt;")=0,"",SUMIFS(Data!$N:$N,Data!$U:$U,$R41,Data!$T:$T,7))</f>
        <v/>
      </c>
      <c r="AA41">
        <f>IF(COUNTIFS(Data!$U:$U,$R41,Data!$T:$T,8,Data!$N:$N,"&lt;&gt;")=0,"",SUMIFS(Data!$N:$N,Data!$U:$U,$R41,Data!$T:$T,8))</f>
        <v>0</v>
      </c>
      <c r="AB41">
        <f>IF(COUNTIFS(Data!$U:$U,$R41,Data!$T:$T,9,Data!$N:$N,"&lt;&gt;")=0,"",SUMIFS(Data!$N:$N,Data!$U:$U,$R41,Data!$T:$T,9))</f>
        <v>0</v>
      </c>
      <c r="AC41">
        <f>IF(COUNTIFS(Data!$U:$U,$R41,Data!$T:$T,10,Data!$N:$N,"&lt;&gt;")=0,"",SUMIFS(Data!$N:$N,Data!$U:$U,$R41,Data!$T:$T,10))</f>
        <v>0</v>
      </c>
      <c r="AD41">
        <f>IF(COUNTIFS(Data!$U:$U,$R41,Data!$T:$T,11,Data!$N:$N,"&lt;&gt;")=0,"",SUMIFS(Data!$N:$N,Data!$U:$U,$R41,Data!$T:$T,11))</f>
        <v>0</v>
      </c>
      <c r="AE41">
        <f>IF(COUNTIFS(Data!$U:$U,$R41,Data!$T:$T,12,Data!$N:$N,"&lt;&gt;")=0,"",SUMIFS(Data!$N:$N,Data!$U:$U,$R41,Data!$T:$T,12))</f>
        <v>0</v>
      </c>
      <c r="AF41" t="str">
        <f>IF(COUNTIFS(Data!$U:$U,$R41,Data!$T:$T,13,Data!$N:$N,"&lt;&gt;")=0,"",SUMIFS(Data!$N:$N,Data!$U:$U,$R41,Data!$T:$T,13))</f>
        <v/>
      </c>
      <c r="AG41" t="str">
        <f>IF(COUNTIFS(Data!$U:$U,$R41,Data!$T:$T,14,Data!$N:$N,"&lt;&gt;")=0,"",SUMIFS(Data!$N:$N,Data!$U:$U,$R41,Data!$T:$T,14))</f>
        <v/>
      </c>
      <c r="AH41">
        <f>COUNTIFS(Data!$U:$U,$R41,Data!$T:$T,"&lt;="&amp;14,Data!$N:$N,"&lt;&gt;")</f>
        <v>5</v>
      </c>
      <c r="AI41">
        <f>COUNTIFS(Data!$U:$U,$R41,Data!$T:$T,"&lt;="&amp;14,Data!$N:$N,0)</f>
        <v>5</v>
      </c>
      <c r="AJ41">
        <f t="shared" si="10"/>
        <v>0</v>
      </c>
      <c r="AK41">
        <f>IF(AH41=0,"",SUMIFS(Data!$N:$N,Data!$U:$U,$R41,Data!$T:$T,"&lt;="&amp;14))</f>
        <v>0</v>
      </c>
      <c r="AL41">
        <f t="shared" si="11"/>
        <v>0</v>
      </c>
      <c r="AM41">
        <f t="shared" si="12"/>
        <v>0</v>
      </c>
      <c r="AN41">
        <f t="shared" si="13"/>
        <v>45</v>
      </c>
    </row>
    <row r="42" spans="1:40" x14ac:dyDescent="0.2">
      <c r="A42">
        <v>40</v>
      </c>
      <c r="B42" s="27" t="str">
        <f>IFERROR(IF(INDEX(Data!$B:$B,MATCH($A42,Data!$T:$T,0))="","",INDEX(Data!$B:$B,MATCH($A42,Data!$T:$T,0))),"")</f>
        <v/>
      </c>
      <c r="C42" t="str">
        <f>IFERROR(IF(INDEX(Data!$D:$D,MATCH($A42,Data!$T:$T,0))="","",INDEX(Data!$D:$D,MATCH($A42,Data!$T:$T,0))),"")</f>
        <v/>
      </c>
      <c r="D42" s="27" t="str">
        <f>IFERROR(IF(INDEX(Data!$O:$O,MATCH($A42,Data!$T:$T,0))="","",INDEX(Data!$O:$O,MATCH($A42,Data!$T:$T,0))),"")</f>
        <v/>
      </c>
      <c r="E42">
        <f>COUNTIFS(Data!$T:$T,$A42)</f>
        <v>0</v>
      </c>
      <c r="F42">
        <f>COUNTIFS(Data!$T:$T,$A42,Data!$N:$N,"&lt;&gt;")</f>
        <v>0</v>
      </c>
      <c r="G42">
        <f>COUNTIFS(Data!$T:$T,$A42,Data!$N:$N,0)</f>
        <v>0</v>
      </c>
      <c r="H42" t="str">
        <f t="shared" si="7"/>
        <v/>
      </c>
      <c r="I42" t="str">
        <f>IF($F42=0,"",SUMIFS(Data!$N:$N,Data!$T:$T,$A42))</f>
        <v/>
      </c>
      <c r="J42">
        <f>COUNTIFS(Data!$T:$T,$A42,Data!$Q:$Q,"&lt;&gt;")</f>
        <v>0</v>
      </c>
      <c r="K42" t="str">
        <f>IF($J42=0,"",SUMIFS(Data!$Q:$Q,Data!$T:$T,$A42))</f>
        <v/>
      </c>
      <c r="L42">
        <f>COUNTIFS(Data!$T:$T,$A42,Data!$M:$M,"&lt;&gt;")</f>
        <v>0</v>
      </c>
      <c r="M42" t="str">
        <f t="shared" si="8"/>
        <v/>
      </c>
      <c r="N42">
        <f>COUNTIFS(Data!$T:$T,$A42,Data!$I:$I,"&lt;&gt;")</f>
        <v>0</v>
      </c>
      <c r="O42" t="str">
        <f t="shared" si="9"/>
        <v/>
      </c>
      <c r="R42">
        <v>40</v>
      </c>
      <c r="S42" t="str">
        <f>IFERROR(INDEX(Data!$G:$G,MATCH($R42,Data!$U:$U,0)),"")</f>
        <v>Mevius Menthol</v>
      </c>
      <c r="T42" t="str">
        <f>IF(COUNTIFS(Data!$U:$U,$R42,Data!$T:$T,1,Data!$N:$N,"&lt;&gt;")=0,"",SUMIFS(Data!$N:$N,Data!$U:$U,$R42,Data!$T:$T,1))</f>
        <v/>
      </c>
      <c r="U42" t="str">
        <f>IF(COUNTIFS(Data!$U:$U,$R42,Data!$T:$T,2,Data!$N:$N,"&lt;&gt;")=0,"",SUMIFS(Data!$N:$N,Data!$U:$U,$R42,Data!$T:$T,2))</f>
        <v/>
      </c>
      <c r="V42" t="str">
        <f>IF(COUNTIFS(Data!$U:$U,$R42,Data!$T:$T,3,Data!$N:$N,"&lt;&gt;")=0,"",SUMIFS(Data!$N:$N,Data!$U:$U,$R42,Data!$T:$T,3))</f>
        <v/>
      </c>
      <c r="W42" t="str">
        <f>IF(COUNTIFS(Data!$U:$U,$R42,Data!$T:$T,4,Data!$N:$N,"&lt;&gt;")=0,"",SUMIFS(Data!$N:$N,Data!$U:$U,$R42,Data!$T:$T,4))</f>
        <v/>
      </c>
      <c r="X42" t="str">
        <f>IF(COUNTIFS(Data!$U:$U,$R42,Data!$T:$T,5,Data!$N:$N,"&lt;&gt;")=0,"",SUMIFS(Data!$N:$N,Data!$U:$U,$R42,Data!$T:$T,5))</f>
        <v/>
      </c>
      <c r="Y42" t="str">
        <f>IF(COUNTIFS(Data!$U:$U,$R42,Data!$T:$T,6,Data!$N:$N,"&lt;&gt;")=0,"",SUMIFS(Data!$N:$N,Data!$U:$U,$R42,Data!$T:$T,6))</f>
        <v/>
      </c>
      <c r="Z42" t="str">
        <f>IF(COUNTIFS(Data!$U:$U,$R42,Data!$T:$T,7,Data!$N:$N,"&lt;&gt;")=0,"",SUMIFS(Data!$N:$N,Data!$U:$U,$R42,Data!$T:$T,7))</f>
        <v/>
      </c>
      <c r="AA42">
        <f>IF(COUNTIFS(Data!$U:$U,$R42,Data!$T:$T,8,Data!$N:$N,"&lt;&gt;")=0,"",SUMIFS(Data!$N:$N,Data!$U:$U,$R42,Data!$T:$T,8))</f>
        <v>-3</v>
      </c>
      <c r="AB42">
        <f>IF(COUNTIFS(Data!$U:$U,$R42,Data!$T:$T,9,Data!$N:$N,"&lt;&gt;")=0,"",SUMIFS(Data!$N:$N,Data!$U:$U,$R42,Data!$T:$T,9))</f>
        <v>3</v>
      </c>
      <c r="AC42">
        <f>IF(COUNTIFS(Data!$U:$U,$R42,Data!$T:$T,10,Data!$N:$N,"&lt;&gt;")=0,"",SUMIFS(Data!$N:$N,Data!$U:$U,$R42,Data!$T:$T,10))</f>
        <v>0</v>
      </c>
      <c r="AD42">
        <f>IF(COUNTIFS(Data!$U:$U,$R42,Data!$T:$T,11,Data!$N:$N,"&lt;&gt;")=0,"",SUMIFS(Data!$N:$N,Data!$U:$U,$R42,Data!$T:$T,11))</f>
        <v>-10</v>
      </c>
      <c r="AE42">
        <f>IF(COUNTIFS(Data!$U:$U,$R42,Data!$T:$T,12,Data!$N:$N,"&lt;&gt;")=0,"",SUMIFS(Data!$N:$N,Data!$U:$U,$R42,Data!$T:$T,12))</f>
        <v>0</v>
      </c>
      <c r="AF42" t="str">
        <f>IF(COUNTIFS(Data!$U:$U,$R42,Data!$T:$T,13,Data!$N:$N,"&lt;&gt;")=0,"",SUMIFS(Data!$N:$N,Data!$U:$U,$R42,Data!$T:$T,13))</f>
        <v/>
      </c>
      <c r="AG42" t="str">
        <f>IF(COUNTIFS(Data!$U:$U,$R42,Data!$T:$T,14,Data!$N:$N,"&lt;&gt;")=0,"",SUMIFS(Data!$N:$N,Data!$U:$U,$R42,Data!$T:$T,14))</f>
        <v/>
      </c>
      <c r="AH42">
        <f>COUNTIFS(Data!$U:$U,$R42,Data!$T:$T,"&lt;="&amp;14,Data!$N:$N,"&lt;&gt;")</f>
        <v>5</v>
      </c>
      <c r="AI42">
        <f>COUNTIFS(Data!$U:$U,$R42,Data!$T:$T,"&lt;="&amp;14,Data!$N:$N,0)</f>
        <v>2</v>
      </c>
      <c r="AJ42">
        <f t="shared" si="10"/>
        <v>3</v>
      </c>
      <c r="AK42">
        <f>IF(AH42=0,"",SUMIFS(Data!$N:$N,Data!$U:$U,$R42,Data!$T:$T,"&lt;="&amp;14))</f>
        <v>-10</v>
      </c>
      <c r="AL42">
        <f t="shared" si="11"/>
        <v>-10</v>
      </c>
      <c r="AM42">
        <f t="shared" si="12"/>
        <v>300010</v>
      </c>
      <c r="AN42">
        <f t="shared" si="13"/>
        <v>9</v>
      </c>
    </row>
    <row r="43" spans="1:40" x14ac:dyDescent="0.2">
      <c r="A43">
        <v>41</v>
      </c>
      <c r="B43" s="27" t="str">
        <f>IFERROR(IF(INDEX(Data!$B:$B,MATCH($A43,Data!$T:$T,0))="","",INDEX(Data!$B:$B,MATCH($A43,Data!$T:$T,0))),"")</f>
        <v/>
      </c>
      <c r="C43" t="str">
        <f>IFERROR(IF(INDEX(Data!$D:$D,MATCH($A43,Data!$T:$T,0))="","",INDEX(Data!$D:$D,MATCH($A43,Data!$T:$T,0))),"")</f>
        <v/>
      </c>
      <c r="D43" s="27" t="str">
        <f>IFERROR(IF(INDEX(Data!$O:$O,MATCH($A43,Data!$T:$T,0))="","",INDEX(Data!$O:$O,MATCH($A43,Data!$T:$T,0))),"")</f>
        <v/>
      </c>
      <c r="E43">
        <f>COUNTIFS(Data!$T:$T,$A43)</f>
        <v>0</v>
      </c>
      <c r="F43">
        <f>COUNTIFS(Data!$T:$T,$A43,Data!$N:$N,"&lt;&gt;")</f>
        <v>0</v>
      </c>
      <c r="G43">
        <f>COUNTIFS(Data!$T:$T,$A43,Data!$N:$N,0)</f>
        <v>0</v>
      </c>
      <c r="H43" t="str">
        <f t="shared" si="7"/>
        <v/>
      </c>
      <c r="I43" t="str">
        <f>IF($F43=0,"",SUMIFS(Data!$N:$N,Data!$T:$T,$A43))</f>
        <v/>
      </c>
      <c r="J43">
        <f>COUNTIFS(Data!$T:$T,$A43,Data!$Q:$Q,"&lt;&gt;")</f>
        <v>0</v>
      </c>
      <c r="K43" t="str">
        <f>IF($J43=0,"",SUMIFS(Data!$Q:$Q,Data!$T:$T,$A43))</f>
        <v/>
      </c>
      <c r="L43">
        <f>COUNTIFS(Data!$T:$T,$A43,Data!$M:$M,"&lt;&gt;")</f>
        <v>0</v>
      </c>
      <c r="M43" t="str">
        <f t="shared" si="8"/>
        <v/>
      </c>
      <c r="N43">
        <f>COUNTIFS(Data!$T:$T,$A43,Data!$I:$I,"&lt;&gt;")</f>
        <v>0</v>
      </c>
      <c r="O43" t="str">
        <f t="shared" si="9"/>
        <v/>
      </c>
      <c r="R43">
        <v>41</v>
      </c>
      <c r="S43" t="str">
        <f>IFERROR(INDEX(Data!$G:$G,MATCH($R43,Data!$U:$U,0)),"")</f>
        <v>Mevius Menthol White</v>
      </c>
      <c r="T43" t="str">
        <f>IF(COUNTIFS(Data!$U:$U,$R43,Data!$T:$T,1,Data!$N:$N,"&lt;&gt;")=0,"",SUMIFS(Data!$N:$N,Data!$U:$U,$R43,Data!$T:$T,1))</f>
        <v/>
      </c>
      <c r="U43" t="str">
        <f>IF(COUNTIFS(Data!$U:$U,$R43,Data!$T:$T,2,Data!$N:$N,"&lt;&gt;")=0,"",SUMIFS(Data!$N:$N,Data!$U:$U,$R43,Data!$T:$T,2))</f>
        <v/>
      </c>
      <c r="V43" t="str">
        <f>IF(COUNTIFS(Data!$U:$U,$R43,Data!$T:$T,3,Data!$N:$N,"&lt;&gt;")=0,"",SUMIFS(Data!$N:$N,Data!$U:$U,$R43,Data!$T:$T,3))</f>
        <v/>
      </c>
      <c r="W43" t="str">
        <f>IF(COUNTIFS(Data!$U:$U,$R43,Data!$T:$T,4,Data!$N:$N,"&lt;&gt;")=0,"",SUMIFS(Data!$N:$N,Data!$U:$U,$R43,Data!$T:$T,4))</f>
        <v/>
      </c>
      <c r="X43" t="str">
        <f>IF(COUNTIFS(Data!$U:$U,$R43,Data!$T:$T,5,Data!$N:$N,"&lt;&gt;")=0,"",SUMIFS(Data!$N:$N,Data!$U:$U,$R43,Data!$T:$T,5))</f>
        <v/>
      </c>
      <c r="Y43" t="str">
        <f>IF(COUNTIFS(Data!$U:$U,$R43,Data!$T:$T,6,Data!$N:$N,"&lt;&gt;")=0,"",SUMIFS(Data!$N:$N,Data!$U:$U,$R43,Data!$T:$T,6))</f>
        <v/>
      </c>
      <c r="Z43" t="str">
        <f>IF(COUNTIFS(Data!$U:$U,$R43,Data!$T:$T,7,Data!$N:$N,"&lt;&gt;")=0,"",SUMIFS(Data!$N:$N,Data!$U:$U,$R43,Data!$T:$T,7))</f>
        <v/>
      </c>
      <c r="AA43">
        <f>IF(COUNTIFS(Data!$U:$U,$R43,Data!$T:$T,8,Data!$N:$N,"&lt;&gt;")=0,"",SUMIFS(Data!$N:$N,Data!$U:$U,$R43,Data!$T:$T,8))</f>
        <v>0</v>
      </c>
      <c r="AB43">
        <f>IF(COUNTIFS(Data!$U:$U,$R43,Data!$T:$T,9,Data!$N:$N,"&lt;&gt;")=0,"",SUMIFS(Data!$N:$N,Data!$U:$U,$R43,Data!$T:$T,9))</f>
        <v>0</v>
      </c>
      <c r="AC43">
        <f>IF(COUNTIFS(Data!$U:$U,$R43,Data!$T:$T,10,Data!$N:$N,"&lt;&gt;")=0,"",SUMIFS(Data!$N:$N,Data!$U:$U,$R43,Data!$T:$T,10))</f>
        <v>0</v>
      </c>
      <c r="AD43">
        <f>IF(COUNTIFS(Data!$U:$U,$R43,Data!$T:$T,11,Data!$N:$N,"&lt;&gt;")=0,"",SUMIFS(Data!$N:$N,Data!$U:$U,$R43,Data!$T:$T,11))</f>
        <v>0</v>
      </c>
      <c r="AE43">
        <f>IF(COUNTIFS(Data!$U:$U,$R43,Data!$T:$T,12,Data!$N:$N,"&lt;&gt;")=0,"",SUMIFS(Data!$N:$N,Data!$U:$U,$R43,Data!$T:$T,12))</f>
        <v>0</v>
      </c>
      <c r="AF43" t="str">
        <f>IF(COUNTIFS(Data!$U:$U,$R43,Data!$T:$T,13,Data!$N:$N,"&lt;&gt;")=0,"",SUMIFS(Data!$N:$N,Data!$U:$U,$R43,Data!$T:$T,13))</f>
        <v/>
      </c>
      <c r="AG43" t="str">
        <f>IF(COUNTIFS(Data!$U:$U,$R43,Data!$T:$T,14,Data!$N:$N,"&lt;&gt;")=0,"",SUMIFS(Data!$N:$N,Data!$U:$U,$R43,Data!$T:$T,14))</f>
        <v/>
      </c>
      <c r="AH43">
        <f>COUNTIFS(Data!$U:$U,$R43,Data!$T:$T,"&lt;="&amp;14,Data!$N:$N,"&lt;&gt;")</f>
        <v>5</v>
      </c>
      <c r="AI43">
        <f>COUNTIFS(Data!$U:$U,$R43,Data!$T:$T,"&lt;="&amp;14,Data!$N:$N,0)</f>
        <v>5</v>
      </c>
      <c r="AJ43">
        <f t="shared" si="10"/>
        <v>0</v>
      </c>
      <c r="AK43">
        <f>IF(AH43=0,"",SUMIFS(Data!$N:$N,Data!$U:$U,$R43,Data!$T:$T,"&lt;="&amp;14))</f>
        <v>0</v>
      </c>
      <c r="AL43">
        <f t="shared" si="11"/>
        <v>0</v>
      </c>
      <c r="AM43">
        <f t="shared" si="12"/>
        <v>0</v>
      </c>
      <c r="AN43">
        <f t="shared" si="13"/>
        <v>46</v>
      </c>
    </row>
    <row r="44" spans="1:40" x14ac:dyDescent="0.2">
      <c r="A44">
        <v>42</v>
      </c>
      <c r="B44" s="27" t="str">
        <f>IFERROR(IF(INDEX(Data!$B:$B,MATCH($A44,Data!$T:$T,0))="","",INDEX(Data!$B:$B,MATCH($A44,Data!$T:$T,0))),"")</f>
        <v/>
      </c>
      <c r="C44" t="str">
        <f>IFERROR(IF(INDEX(Data!$D:$D,MATCH($A44,Data!$T:$T,0))="","",INDEX(Data!$D:$D,MATCH($A44,Data!$T:$T,0))),"")</f>
        <v/>
      </c>
      <c r="D44" s="27" t="str">
        <f>IFERROR(IF(INDEX(Data!$O:$O,MATCH($A44,Data!$T:$T,0))="","",INDEX(Data!$O:$O,MATCH($A44,Data!$T:$T,0))),"")</f>
        <v/>
      </c>
      <c r="E44">
        <f>COUNTIFS(Data!$T:$T,$A44)</f>
        <v>0</v>
      </c>
      <c r="F44">
        <f>COUNTIFS(Data!$T:$T,$A44,Data!$N:$N,"&lt;&gt;")</f>
        <v>0</v>
      </c>
      <c r="G44">
        <f>COUNTIFS(Data!$T:$T,$A44,Data!$N:$N,0)</f>
        <v>0</v>
      </c>
      <c r="H44" t="str">
        <f t="shared" si="7"/>
        <v/>
      </c>
      <c r="I44" t="str">
        <f>IF($F44=0,"",SUMIFS(Data!$N:$N,Data!$T:$T,$A44))</f>
        <v/>
      </c>
      <c r="J44">
        <f>COUNTIFS(Data!$T:$T,$A44,Data!$Q:$Q,"&lt;&gt;")</f>
        <v>0</v>
      </c>
      <c r="K44" t="str">
        <f>IF($J44=0,"",SUMIFS(Data!$Q:$Q,Data!$T:$T,$A44))</f>
        <v/>
      </c>
      <c r="L44">
        <f>COUNTIFS(Data!$T:$T,$A44,Data!$M:$M,"&lt;&gt;")</f>
        <v>0</v>
      </c>
      <c r="M44" t="str">
        <f t="shared" si="8"/>
        <v/>
      </c>
      <c r="N44">
        <f>COUNTIFS(Data!$T:$T,$A44,Data!$I:$I,"&lt;&gt;")</f>
        <v>0</v>
      </c>
      <c r="O44" t="str">
        <f t="shared" si="9"/>
        <v/>
      </c>
      <c r="R44">
        <v>42</v>
      </c>
      <c r="S44" t="str">
        <f>IFERROR(INDEX(Data!$G:$G,MATCH($R44,Data!$U:$U,0)),"")</f>
        <v>Mevius Sky Blue</v>
      </c>
      <c r="T44" t="str">
        <f>IF(COUNTIFS(Data!$U:$U,$R44,Data!$T:$T,1,Data!$N:$N,"&lt;&gt;")=0,"",SUMIFS(Data!$N:$N,Data!$U:$U,$R44,Data!$T:$T,1))</f>
        <v/>
      </c>
      <c r="U44" t="str">
        <f>IF(COUNTIFS(Data!$U:$U,$R44,Data!$T:$T,2,Data!$N:$N,"&lt;&gt;")=0,"",SUMIFS(Data!$N:$N,Data!$U:$U,$R44,Data!$T:$T,2))</f>
        <v/>
      </c>
      <c r="V44" t="str">
        <f>IF(COUNTIFS(Data!$U:$U,$R44,Data!$T:$T,3,Data!$N:$N,"&lt;&gt;")=0,"",SUMIFS(Data!$N:$N,Data!$U:$U,$R44,Data!$T:$T,3))</f>
        <v/>
      </c>
      <c r="W44" t="str">
        <f>IF(COUNTIFS(Data!$U:$U,$R44,Data!$T:$T,4,Data!$N:$N,"&lt;&gt;")=0,"",SUMIFS(Data!$N:$N,Data!$U:$U,$R44,Data!$T:$T,4))</f>
        <v/>
      </c>
      <c r="X44" t="str">
        <f>IF(COUNTIFS(Data!$U:$U,$R44,Data!$T:$T,5,Data!$N:$N,"&lt;&gt;")=0,"",SUMIFS(Data!$N:$N,Data!$U:$U,$R44,Data!$T:$T,5))</f>
        <v/>
      </c>
      <c r="Y44" t="str">
        <f>IF(COUNTIFS(Data!$U:$U,$R44,Data!$T:$T,6,Data!$N:$N,"&lt;&gt;")=0,"",SUMIFS(Data!$N:$N,Data!$U:$U,$R44,Data!$T:$T,6))</f>
        <v/>
      </c>
      <c r="Z44" t="str">
        <f>IF(COUNTIFS(Data!$U:$U,$R44,Data!$T:$T,7,Data!$N:$N,"&lt;&gt;")=0,"",SUMIFS(Data!$N:$N,Data!$U:$U,$R44,Data!$T:$T,7))</f>
        <v/>
      </c>
      <c r="AA44">
        <f>IF(COUNTIFS(Data!$U:$U,$R44,Data!$T:$T,8,Data!$N:$N,"&lt;&gt;")=0,"",SUMIFS(Data!$N:$N,Data!$U:$U,$R44,Data!$T:$T,8))</f>
        <v>0</v>
      </c>
      <c r="AB44">
        <f>IF(COUNTIFS(Data!$U:$U,$R44,Data!$T:$T,9,Data!$N:$N,"&lt;&gt;")=0,"",SUMIFS(Data!$N:$N,Data!$U:$U,$R44,Data!$T:$T,9))</f>
        <v>0</v>
      </c>
      <c r="AC44">
        <f>IF(COUNTIFS(Data!$U:$U,$R44,Data!$T:$T,10,Data!$N:$N,"&lt;&gt;")=0,"",SUMIFS(Data!$N:$N,Data!$U:$U,$R44,Data!$T:$T,10))</f>
        <v>0</v>
      </c>
      <c r="AD44">
        <f>IF(COUNTIFS(Data!$U:$U,$R44,Data!$T:$T,11,Data!$N:$N,"&lt;&gt;")=0,"",SUMIFS(Data!$N:$N,Data!$U:$U,$R44,Data!$T:$T,11))</f>
        <v>-10</v>
      </c>
      <c r="AE44">
        <f>IF(COUNTIFS(Data!$U:$U,$R44,Data!$T:$T,12,Data!$N:$N,"&lt;&gt;")=0,"",SUMIFS(Data!$N:$N,Data!$U:$U,$R44,Data!$T:$T,12))</f>
        <v>-10</v>
      </c>
      <c r="AF44" t="str">
        <f>IF(COUNTIFS(Data!$U:$U,$R44,Data!$T:$T,13,Data!$N:$N,"&lt;&gt;")=0,"",SUMIFS(Data!$N:$N,Data!$U:$U,$R44,Data!$T:$T,13))</f>
        <v/>
      </c>
      <c r="AG44" t="str">
        <f>IF(COUNTIFS(Data!$U:$U,$R44,Data!$T:$T,14,Data!$N:$N,"&lt;&gt;")=0,"",SUMIFS(Data!$N:$N,Data!$U:$U,$R44,Data!$T:$T,14))</f>
        <v/>
      </c>
      <c r="AH44">
        <f>COUNTIFS(Data!$U:$U,$R44,Data!$T:$T,"&lt;="&amp;14,Data!$N:$N,"&lt;&gt;")</f>
        <v>5</v>
      </c>
      <c r="AI44">
        <f>COUNTIFS(Data!$U:$U,$R44,Data!$T:$T,"&lt;="&amp;14,Data!$N:$N,0)</f>
        <v>3</v>
      </c>
      <c r="AJ44">
        <f t="shared" si="10"/>
        <v>2</v>
      </c>
      <c r="AK44">
        <f>IF(AH44=0,"",SUMIFS(Data!$N:$N,Data!$U:$U,$R44,Data!$T:$T,"&lt;="&amp;14))</f>
        <v>-20</v>
      </c>
      <c r="AL44">
        <f t="shared" si="11"/>
        <v>-10</v>
      </c>
      <c r="AM44">
        <f t="shared" si="12"/>
        <v>200020</v>
      </c>
      <c r="AN44">
        <f t="shared" si="13"/>
        <v>12</v>
      </c>
    </row>
    <row r="45" spans="1:40" x14ac:dyDescent="0.2">
      <c r="A45">
        <v>43</v>
      </c>
      <c r="B45" s="27" t="str">
        <f>IFERROR(IF(INDEX(Data!$B:$B,MATCH($A45,Data!$T:$T,0))="","",INDEX(Data!$B:$B,MATCH($A45,Data!$T:$T,0))),"")</f>
        <v/>
      </c>
      <c r="C45" t="str">
        <f>IFERROR(IF(INDEX(Data!$D:$D,MATCH($A45,Data!$T:$T,0))="","",INDEX(Data!$D:$D,MATCH($A45,Data!$T:$T,0))),"")</f>
        <v/>
      </c>
      <c r="D45" s="27" t="str">
        <f>IFERROR(IF(INDEX(Data!$O:$O,MATCH($A45,Data!$T:$T,0))="","",INDEX(Data!$O:$O,MATCH($A45,Data!$T:$T,0))),"")</f>
        <v/>
      </c>
      <c r="E45">
        <f>COUNTIFS(Data!$T:$T,$A45)</f>
        <v>0</v>
      </c>
      <c r="F45">
        <f>COUNTIFS(Data!$T:$T,$A45,Data!$N:$N,"&lt;&gt;")</f>
        <v>0</v>
      </c>
      <c r="G45">
        <f>COUNTIFS(Data!$T:$T,$A45,Data!$N:$N,0)</f>
        <v>0</v>
      </c>
      <c r="H45" t="str">
        <f t="shared" si="7"/>
        <v/>
      </c>
      <c r="I45" t="str">
        <f>IF($F45=0,"",SUMIFS(Data!$N:$N,Data!$T:$T,$A45))</f>
        <v/>
      </c>
      <c r="J45">
        <f>COUNTIFS(Data!$T:$T,$A45,Data!$Q:$Q,"&lt;&gt;")</f>
        <v>0</v>
      </c>
      <c r="K45" t="str">
        <f>IF($J45=0,"",SUMIFS(Data!$Q:$Q,Data!$T:$T,$A45))</f>
        <v/>
      </c>
      <c r="L45">
        <f>COUNTIFS(Data!$T:$T,$A45,Data!$M:$M,"&lt;&gt;")</f>
        <v>0</v>
      </c>
      <c r="M45" t="str">
        <f t="shared" si="8"/>
        <v/>
      </c>
      <c r="N45">
        <f>COUNTIFS(Data!$T:$T,$A45,Data!$I:$I,"&lt;&gt;")</f>
        <v>0</v>
      </c>
      <c r="O45" t="str">
        <f t="shared" si="9"/>
        <v/>
      </c>
      <c r="R45">
        <v>43</v>
      </c>
      <c r="S45" t="str">
        <f>IFERROR(INDEX(Data!$G:$G,MATCH($R45,Data!$U:$U,0)),"")</f>
        <v>Mevius Wind Blue</v>
      </c>
      <c r="T45" t="str">
        <f>IF(COUNTIFS(Data!$U:$U,$R45,Data!$T:$T,1,Data!$N:$N,"&lt;&gt;")=0,"",SUMIFS(Data!$N:$N,Data!$U:$U,$R45,Data!$T:$T,1))</f>
        <v/>
      </c>
      <c r="U45" t="str">
        <f>IF(COUNTIFS(Data!$U:$U,$R45,Data!$T:$T,2,Data!$N:$N,"&lt;&gt;")=0,"",SUMIFS(Data!$N:$N,Data!$U:$U,$R45,Data!$T:$T,2))</f>
        <v/>
      </c>
      <c r="V45" t="str">
        <f>IF(COUNTIFS(Data!$U:$U,$R45,Data!$T:$T,3,Data!$N:$N,"&lt;&gt;")=0,"",SUMIFS(Data!$N:$N,Data!$U:$U,$R45,Data!$T:$T,3))</f>
        <v/>
      </c>
      <c r="W45" t="str">
        <f>IF(COUNTIFS(Data!$U:$U,$R45,Data!$T:$T,4,Data!$N:$N,"&lt;&gt;")=0,"",SUMIFS(Data!$N:$N,Data!$U:$U,$R45,Data!$T:$T,4))</f>
        <v/>
      </c>
      <c r="X45" t="str">
        <f>IF(COUNTIFS(Data!$U:$U,$R45,Data!$T:$T,5,Data!$N:$N,"&lt;&gt;")=0,"",SUMIFS(Data!$N:$N,Data!$U:$U,$R45,Data!$T:$T,5))</f>
        <v/>
      </c>
      <c r="Y45" t="str">
        <f>IF(COUNTIFS(Data!$U:$U,$R45,Data!$T:$T,6,Data!$N:$N,"&lt;&gt;")=0,"",SUMIFS(Data!$N:$N,Data!$U:$U,$R45,Data!$T:$T,6))</f>
        <v/>
      </c>
      <c r="Z45" t="str">
        <f>IF(COUNTIFS(Data!$U:$U,$R45,Data!$T:$T,7,Data!$N:$N,"&lt;&gt;")=0,"",SUMIFS(Data!$N:$N,Data!$U:$U,$R45,Data!$T:$T,7))</f>
        <v/>
      </c>
      <c r="AA45">
        <f>IF(COUNTIFS(Data!$U:$U,$R45,Data!$T:$T,8,Data!$N:$N,"&lt;&gt;")=0,"",SUMIFS(Data!$N:$N,Data!$U:$U,$R45,Data!$T:$T,8))</f>
        <v>0</v>
      </c>
      <c r="AB45">
        <f>IF(COUNTIFS(Data!$U:$U,$R45,Data!$T:$T,9,Data!$N:$N,"&lt;&gt;")=0,"",SUMIFS(Data!$N:$N,Data!$U:$U,$R45,Data!$T:$T,9))</f>
        <v>0</v>
      </c>
      <c r="AC45">
        <f>IF(COUNTIFS(Data!$U:$U,$R45,Data!$T:$T,10,Data!$N:$N,"&lt;&gt;")=0,"",SUMIFS(Data!$N:$N,Data!$U:$U,$R45,Data!$T:$T,10))</f>
        <v>0</v>
      </c>
      <c r="AD45">
        <f>IF(COUNTIFS(Data!$U:$U,$R45,Data!$T:$T,11,Data!$N:$N,"&lt;&gt;")=0,"",SUMIFS(Data!$N:$N,Data!$U:$U,$R45,Data!$T:$T,11))</f>
        <v>-2</v>
      </c>
      <c r="AE45">
        <f>IF(COUNTIFS(Data!$U:$U,$R45,Data!$T:$T,12,Data!$N:$N,"&lt;&gt;")=0,"",SUMIFS(Data!$N:$N,Data!$U:$U,$R45,Data!$T:$T,12))</f>
        <v>2</v>
      </c>
      <c r="AF45" t="str">
        <f>IF(COUNTIFS(Data!$U:$U,$R45,Data!$T:$T,13,Data!$N:$N,"&lt;&gt;")=0,"",SUMIFS(Data!$N:$N,Data!$U:$U,$R45,Data!$T:$T,13))</f>
        <v/>
      </c>
      <c r="AG45" t="str">
        <f>IF(COUNTIFS(Data!$U:$U,$R45,Data!$T:$T,14,Data!$N:$N,"&lt;&gt;")=0,"",SUMIFS(Data!$N:$N,Data!$U:$U,$R45,Data!$T:$T,14))</f>
        <v/>
      </c>
      <c r="AH45">
        <f>COUNTIFS(Data!$U:$U,$R45,Data!$T:$T,"&lt;="&amp;14,Data!$N:$N,"&lt;&gt;")</f>
        <v>5</v>
      </c>
      <c r="AI45">
        <f>COUNTIFS(Data!$U:$U,$R45,Data!$T:$T,"&lt;="&amp;14,Data!$N:$N,0)</f>
        <v>3</v>
      </c>
      <c r="AJ45">
        <f t="shared" si="10"/>
        <v>2</v>
      </c>
      <c r="AK45">
        <f>IF(AH45=0,"",SUMIFS(Data!$N:$N,Data!$U:$U,$R45,Data!$T:$T,"&lt;="&amp;14))</f>
        <v>0</v>
      </c>
      <c r="AL45">
        <f t="shared" si="11"/>
        <v>2</v>
      </c>
      <c r="AM45">
        <f t="shared" si="12"/>
        <v>200000</v>
      </c>
      <c r="AN45">
        <f t="shared" si="13"/>
        <v>23</v>
      </c>
    </row>
    <row r="46" spans="1:40" x14ac:dyDescent="0.2">
      <c r="A46">
        <v>44</v>
      </c>
      <c r="B46" s="27" t="str">
        <f>IFERROR(IF(INDEX(Data!$B:$B,MATCH($A46,Data!$T:$T,0))="","",INDEX(Data!$B:$B,MATCH($A46,Data!$T:$T,0))),"")</f>
        <v/>
      </c>
      <c r="C46" t="str">
        <f>IFERROR(IF(INDEX(Data!$D:$D,MATCH($A46,Data!$T:$T,0))="","",INDEX(Data!$D:$D,MATCH($A46,Data!$T:$T,0))),"")</f>
        <v/>
      </c>
      <c r="D46" s="27" t="str">
        <f>IFERROR(IF(INDEX(Data!$O:$O,MATCH($A46,Data!$T:$T,0))="","",INDEX(Data!$O:$O,MATCH($A46,Data!$T:$T,0))),"")</f>
        <v/>
      </c>
      <c r="E46">
        <f>COUNTIFS(Data!$T:$T,$A46)</f>
        <v>0</v>
      </c>
      <c r="F46">
        <f>COUNTIFS(Data!$T:$T,$A46,Data!$N:$N,"&lt;&gt;")</f>
        <v>0</v>
      </c>
      <c r="G46">
        <f>COUNTIFS(Data!$T:$T,$A46,Data!$N:$N,0)</f>
        <v>0</v>
      </c>
      <c r="H46" t="str">
        <f t="shared" si="7"/>
        <v/>
      </c>
      <c r="I46" t="str">
        <f>IF($F46=0,"",SUMIFS(Data!$N:$N,Data!$T:$T,$A46))</f>
        <v/>
      </c>
      <c r="J46">
        <f>COUNTIFS(Data!$T:$T,$A46,Data!$Q:$Q,"&lt;&gt;")</f>
        <v>0</v>
      </c>
      <c r="K46" t="str">
        <f>IF($J46=0,"",SUMIFS(Data!$Q:$Q,Data!$T:$T,$A46))</f>
        <v/>
      </c>
      <c r="L46">
        <f>COUNTIFS(Data!$T:$T,$A46,Data!$M:$M,"&lt;&gt;")</f>
        <v>0</v>
      </c>
      <c r="M46" t="str">
        <f t="shared" si="8"/>
        <v/>
      </c>
      <c r="N46">
        <f>COUNTIFS(Data!$T:$T,$A46,Data!$I:$I,"&lt;&gt;")</f>
        <v>0</v>
      </c>
      <c r="O46" t="str">
        <f t="shared" si="9"/>
        <v/>
      </c>
      <c r="R46">
        <v>44</v>
      </c>
      <c r="S46" t="str">
        <f>IFERROR(INDEX(Data!$G:$G,MATCH($R46,Data!$U:$U,0)),"")</f>
        <v>Mevius Yellow</v>
      </c>
      <c r="T46" t="str">
        <f>IF(COUNTIFS(Data!$U:$U,$R46,Data!$T:$T,1,Data!$N:$N,"&lt;&gt;")=0,"",SUMIFS(Data!$N:$N,Data!$U:$U,$R46,Data!$T:$T,1))</f>
        <v/>
      </c>
      <c r="U46" t="str">
        <f>IF(COUNTIFS(Data!$U:$U,$R46,Data!$T:$T,2,Data!$N:$N,"&lt;&gt;")=0,"",SUMIFS(Data!$N:$N,Data!$U:$U,$R46,Data!$T:$T,2))</f>
        <v/>
      </c>
      <c r="V46" t="str">
        <f>IF(COUNTIFS(Data!$U:$U,$R46,Data!$T:$T,3,Data!$N:$N,"&lt;&gt;")=0,"",SUMIFS(Data!$N:$N,Data!$U:$U,$R46,Data!$T:$T,3))</f>
        <v/>
      </c>
      <c r="W46" t="str">
        <f>IF(COUNTIFS(Data!$U:$U,$R46,Data!$T:$T,4,Data!$N:$N,"&lt;&gt;")=0,"",SUMIFS(Data!$N:$N,Data!$U:$U,$R46,Data!$T:$T,4))</f>
        <v/>
      </c>
      <c r="X46" t="str">
        <f>IF(COUNTIFS(Data!$U:$U,$R46,Data!$T:$T,5,Data!$N:$N,"&lt;&gt;")=0,"",SUMIFS(Data!$N:$N,Data!$U:$U,$R46,Data!$T:$T,5))</f>
        <v/>
      </c>
      <c r="Y46" t="str">
        <f>IF(COUNTIFS(Data!$U:$U,$R46,Data!$T:$T,6,Data!$N:$N,"&lt;&gt;")=0,"",SUMIFS(Data!$N:$N,Data!$U:$U,$R46,Data!$T:$T,6))</f>
        <v/>
      </c>
      <c r="Z46" t="str">
        <f>IF(COUNTIFS(Data!$U:$U,$R46,Data!$T:$T,7,Data!$N:$N,"&lt;&gt;")=0,"",SUMIFS(Data!$N:$N,Data!$U:$U,$R46,Data!$T:$T,7))</f>
        <v/>
      </c>
      <c r="AA46">
        <f>IF(COUNTIFS(Data!$U:$U,$R46,Data!$T:$T,8,Data!$N:$N,"&lt;&gt;")=0,"",SUMIFS(Data!$N:$N,Data!$U:$U,$R46,Data!$T:$T,8))</f>
        <v>0</v>
      </c>
      <c r="AB46">
        <f>IF(COUNTIFS(Data!$U:$U,$R46,Data!$T:$T,9,Data!$N:$N,"&lt;&gt;")=0,"",SUMIFS(Data!$N:$N,Data!$U:$U,$R46,Data!$T:$T,9))</f>
        <v>0</v>
      </c>
      <c r="AC46">
        <f>IF(COUNTIFS(Data!$U:$U,$R46,Data!$T:$T,10,Data!$N:$N,"&lt;&gt;")=0,"",SUMIFS(Data!$N:$N,Data!$U:$U,$R46,Data!$T:$T,10))</f>
        <v>0</v>
      </c>
      <c r="AD46">
        <f>IF(COUNTIFS(Data!$U:$U,$R46,Data!$T:$T,11,Data!$N:$N,"&lt;&gt;")=0,"",SUMIFS(Data!$N:$N,Data!$U:$U,$R46,Data!$T:$T,11))</f>
        <v>0</v>
      </c>
      <c r="AE46">
        <f>IF(COUNTIFS(Data!$U:$U,$R46,Data!$T:$T,12,Data!$N:$N,"&lt;&gt;")=0,"",SUMIFS(Data!$N:$N,Data!$U:$U,$R46,Data!$T:$T,12))</f>
        <v>0</v>
      </c>
      <c r="AF46" t="str">
        <f>IF(COUNTIFS(Data!$U:$U,$R46,Data!$T:$T,13,Data!$N:$N,"&lt;&gt;")=0,"",SUMIFS(Data!$N:$N,Data!$U:$U,$R46,Data!$T:$T,13))</f>
        <v/>
      </c>
      <c r="AG46" t="str">
        <f>IF(COUNTIFS(Data!$U:$U,$R46,Data!$T:$T,14,Data!$N:$N,"&lt;&gt;")=0,"",SUMIFS(Data!$N:$N,Data!$U:$U,$R46,Data!$T:$T,14))</f>
        <v/>
      </c>
      <c r="AH46">
        <f>COUNTIFS(Data!$U:$U,$R46,Data!$T:$T,"&lt;="&amp;14,Data!$N:$N,"&lt;&gt;")</f>
        <v>5</v>
      </c>
      <c r="AI46">
        <f>COUNTIFS(Data!$U:$U,$R46,Data!$T:$T,"&lt;="&amp;14,Data!$N:$N,0)</f>
        <v>5</v>
      </c>
      <c r="AJ46">
        <f t="shared" si="10"/>
        <v>0</v>
      </c>
      <c r="AK46">
        <f>IF(AH46=0,"",SUMIFS(Data!$N:$N,Data!$U:$U,$R46,Data!$T:$T,"&lt;="&amp;14))</f>
        <v>0</v>
      </c>
      <c r="AL46">
        <f t="shared" si="11"/>
        <v>0</v>
      </c>
      <c r="AM46">
        <f t="shared" si="12"/>
        <v>0</v>
      </c>
      <c r="AN46">
        <f t="shared" si="13"/>
        <v>47</v>
      </c>
    </row>
    <row r="47" spans="1:40" x14ac:dyDescent="0.2">
      <c r="A47">
        <v>45</v>
      </c>
      <c r="B47" s="27" t="str">
        <f>IFERROR(IF(INDEX(Data!$B:$B,MATCH($A47,Data!$T:$T,0))="","",INDEX(Data!$B:$B,MATCH($A47,Data!$T:$T,0))),"")</f>
        <v/>
      </c>
      <c r="C47" t="str">
        <f>IFERROR(IF(INDEX(Data!$D:$D,MATCH($A47,Data!$T:$T,0))="","",INDEX(Data!$D:$D,MATCH($A47,Data!$T:$T,0))),"")</f>
        <v/>
      </c>
      <c r="D47" s="27" t="str">
        <f>IFERROR(IF(INDEX(Data!$O:$O,MATCH($A47,Data!$T:$T,0))="","",INDEX(Data!$O:$O,MATCH($A47,Data!$T:$T,0))),"")</f>
        <v/>
      </c>
      <c r="E47">
        <f>COUNTIFS(Data!$T:$T,$A47)</f>
        <v>0</v>
      </c>
      <c r="F47">
        <f>COUNTIFS(Data!$T:$T,$A47,Data!$N:$N,"&lt;&gt;")</f>
        <v>0</v>
      </c>
      <c r="G47">
        <f>COUNTIFS(Data!$T:$T,$A47,Data!$N:$N,0)</f>
        <v>0</v>
      </c>
      <c r="H47" t="str">
        <f t="shared" si="7"/>
        <v/>
      </c>
      <c r="I47" t="str">
        <f>IF($F47=0,"",SUMIFS(Data!$N:$N,Data!$T:$T,$A47))</f>
        <v/>
      </c>
      <c r="J47">
        <f>COUNTIFS(Data!$T:$T,$A47,Data!$Q:$Q,"&lt;&gt;")</f>
        <v>0</v>
      </c>
      <c r="K47" t="str">
        <f>IF($J47=0,"",SUMIFS(Data!$Q:$Q,Data!$T:$T,$A47))</f>
        <v/>
      </c>
      <c r="L47">
        <f>COUNTIFS(Data!$T:$T,$A47,Data!$M:$M,"&lt;&gt;")</f>
        <v>0</v>
      </c>
      <c r="M47" t="str">
        <f t="shared" si="8"/>
        <v/>
      </c>
      <c r="N47">
        <f>COUNTIFS(Data!$T:$T,$A47,Data!$I:$I,"&lt;&gt;")</f>
        <v>0</v>
      </c>
      <c r="O47" t="str">
        <f t="shared" si="9"/>
        <v/>
      </c>
      <c r="R47">
        <v>45</v>
      </c>
      <c r="S47" t="str">
        <f>IFERROR(INDEX(Data!$G:$G,MATCH($R47,Data!$U:$U,0)),"")</f>
        <v>Peter Stuyvesant Blue</v>
      </c>
      <c r="T47" t="str">
        <f>IF(COUNTIFS(Data!$U:$U,$R47,Data!$T:$T,1,Data!$N:$N,"&lt;&gt;")=0,"",SUMIFS(Data!$N:$N,Data!$U:$U,$R47,Data!$T:$T,1))</f>
        <v/>
      </c>
      <c r="U47" t="str">
        <f>IF(COUNTIFS(Data!$U:$U,$R47,Data!$T:$T,2,Data!$N:$N,"&lt;&gt;")=0,"",SUMIFS(Data!$N:$N,Data!$U:$U,$R47,Data!$T:$T,2))</f>
        <v/>
      </c>
      <c r="V47" t="str">
        <f>IF(COUNTIFS(Data!$U:$U,$R47,Data!$T:$T,3,Data!$N:$N,"&lt;&gt;")=0,"",SUMIFS(Data!$N:$N,Data!$U:$U,$R47,Data!$T:$T,3))</f>
        <v/>
      </c>
      <c r="W47" t="str">
        <f>IF(COUNTIFS(Data!$U:$U,$R47,Data!$T:$T,4,Data!$N:$N,"&lt;&gt;")=0,"",SUMIFS(Data!$N:$N,Data!$U:$U,$R47,Data!$T:$T,4))</f>
        <v/>
      </c>
      <c r="X47" t="str">
        <f>IF(COUNTIFS(Data!$U:$U,$R47,Data!$T:$T,5,Data!$N:$N,"&lt;&gt;")=0,"",SUMIFS(Data!$N:$N,Data!$U:$U,$R47,Data!$T:$T,5))</f>
        <v/>
      </c>
      <c r="Y47" t="str">
        <f>IF(COUNTIFS(Data!$U:$U,$R47,Data!$T:$T,6,Data!$N:$N,"&lt;&gt;")=0,"",SUMIFS(Data!$N:$N,Data!$U:$U,$R47,Data!$T:$T,6))</f>
        <v/>
      </c>
      <c r="Z47" t="str">
        <f>IF(COUNTIFS(Data!$U:$U,$R47,Data!$T:$T,7,Data!$N:$N,"&lt;&gt;")=0,"",SUMIFS(Data!$N:$N,Data!$U:$U,$R47,Data!$T:$T,7))</f>
        <v/>
      </c>
      <c r="AA47">
        <f>IF(COUNTIFS(Data!$U:$U,$R47,Data!$T:$T,8,Data!$N:$N,"&lt;&gt;")=0,"",SUMIFS(Data!$N:$N,Data!$U:$U,$R47,Data!$T:$T,8))</f>
        <v>0</v>
      </c>
      <c r="AB47">
        <f>IF(COUNTIFS(Data!$U:$U,$R47,Data!$T:$T,9,Data!$N:$N,"&lt;&gt;")=0,"",SUMIFS(Data!$N:$N,Data!$U:$U,$R47,Data!$T:$T,9))</f>
        <v>0</v>
      </c>
      <c r="AC47">
        <f>IF(COUNTIFS(Data!$U:$U,$R47,Data!$T:$T,10,Data!$N:$N,"&lt;&gt;")=0,"",SUMIFS(Data!$N:$N,Data!$U:$U,$R47,Data!$T:$T,10))</f>
        <v>0</v>
      </c>
      <c r="AD47">
        <f>IF(COUNTIFS(Data!$U:$U,$R47,Data!$T:$T,11,Data!$N:$N,"&lt;&gt;")=0,"",SUMIFS(Data!$N:$N,Data!$U:$U,$R47,Data!$T:$T,11))</f>
        <v>0</v>
      </c>
      <c r="AE47">
        <f>IF(COUNTIFS(Data!$U:$U,$R47,Data!$T:$T,12,Data!$N:$N,"&lt;&gt;")=0,"",SUMIFS(Data!$N:$N,Data!$U:$U,$R47,Data!$T:$T,12))</f>
        <v>0</v>
      </c>
      <c r="AF47" t="str">
        <f>IF(COUNTIFS(Data!$U:$U,$R47,Data!$T:$T,13,Data!$N:$N,"&lt;&gt;")=0,"",SUMIFS(Data!$N:$N,Data!$U:$U,$R47,Data!$T:$T,13))</f>
        <v/>
      </c>
      <c r="AG47" t="str">
        <f>IF(COUNTIFS(Data!$U:$U,$R47,Data!$T:$T,14,Data!$N:$N,"&lt;&gt;")=0,"",SUMIFS(Data!$N:$N,Data!$U:$U,$R47,Data!$T:$T,14))</f>
        <v/>
      </c>
      <c r="AH47">
        <f>COUNTIFS(Data!$U:$U,$R47,Data!$T:$T,"&lt;="&amp;14,Data!$N:$N,"&lt;&gt;")</f>
        <v>5</v>
      </c>
      <c r="AI47">
        <f>COUNTIFS(Data!$U:$U,$R47,Data!$T:$T,"&lt;="&amp;14,Data!$N:$N,0)</f>
        <v>5</v>
      </c>
      <c r="AJ47">
        <f t="shared" si="10"/>
        <v>0</v>
      </c>
      <c r="AK47">
        <f>IF(AH47=0,"",SUMIFS(Data!$N:$N,Data!$U:$U,$R47,Data!$T:$T,"&lt;="&amp;14))</f>
        <v>0</v>
      </c>
      <c r="AL47">
        <f t="shared" si="11"/>
        <v>0</v>
      </c>
      <c r="AM47">
        <f t="shared" si="12"/>
        <v>0</v>
      </c>
      <c r="AN47">
        <f t="shared" si="13"/>
        <v>48</v>
      </c>
    </row>
    <row r="48" spans="1:40" x14ac:dyDescent="0.2">
      <c r="A48">
        <v>46</v>
      </c>
      <c r="B48" s="27" t="str">
        <f>IFERROR(IF(INDEX(Data!$B:$B,MATCH($A48,Data!$T:$T,0))="","",INDEX(Data!$B:$B,MATCH($A48,Data!$T:$T,0))),"")</f>
        <v/>
      </c>
      <c r="C48" t="str">
        <f>IFERROR(IF(INDEX(Data!$D:$D,MATCH($A48,Data!$T:$T,0))="","",INDEX(Data!$D:$D,MATCH($A48,Data!$T:$T,0))),"")</f>
        <v/>
      </c>
      <c r="D48" s="27" t="str">
        <f>IFERROR(IF(INDEX(Data!$O:$O,MATCH($A48,Data!$T:$T,0))="","",INDEX(Data!$O:$O,MATCH($A48,Data!$T:$T,0))),"")</f>
        <v/>
      </c>
      <c r="E48">
        <f>COUNTIFS(Data!$T:$T,$A48)</f>
        <v>0</v>
      </c>
      <c r="F48">
        <f>COUNTIFS(Data!$T:$T,$A48,Data!$N:$N,"&lt;&gt;")</f>
        <v>0</v>
      </c>
      <c r="G48">
        <f>COUNTIFS(Data!$T:$T,$A48,Data!$N:$N,0)</f>
        <v>0</v>
      </c>
      <c r="H48" t="str">
        <f t="shared" si="7"/>
        <v/>
      </c>
      <c r="I48" t="str">
        <f>IF($F48=0,"",SUMIFS(Data!$N:$N,Data!$T:$T,$A48))</f>
        <v/>
      </c>
      <c r="J48">
        <f>COUNTIFS(Data!$T:$T,$A48,Data!$Q:$Q,"&lt;&gt;")</f>
        <v>0</v>
      </c>
      <c r="K48" t="str">
        <f>IF($J48=0,"",SUMIFS(Data!$Q:$Q,Data!$T:$T,$A48))</f>
        <v/>
      </c>
      <c r="L48">
        <f>COUNTIFS(Data!$T:$T,$A48,Data!$M:$M,"&lt;&gt;")</f>
        <v>0</v>
      </c>
      <c r="M48" t="str">
        <f t="shared" si="8"/>
        <v/>
      </c>
      <c r="N48">
        <f>COUNTIFS(Data!$T:$T,$A48,Data!$I:$I,"&lt;&gt;")</f>
        <v>0</v>
      </c>
      <c r="O48" t="str">
        <f t="shared" si="9"/>
        <v/>
      </c>
      <c r="R48">
        <v>46</v>
      </c>
      <c r="S48" t="str">
        <f>IFERROR(INDEX(Data!$G:$G,MATCH($R48,Data!$U:$U,0)),"")</f>
        <v>Peter Stuyvesant Red</v>
      </c>
      <c r="T48" t="str">
        <f>IF(COUNTIFS(Data!$U:$U,$R48,Data!$T:$T,1,Data!$N:$N,"&lt;&gt;")=0,"",SUMIFS(Data!$N:$N,Data!$U:$U,$R48,Data!$T:$T,1))</f>
        <v/>
      </c>
      <c r="U48" t="str">
        <f>IF(COUNTIFS(Data!$U:$U,$R48,Data!$T:$T,2,Data!$N:$N,"&lt;&gt;")=0,"",SUMIFS(Data!$N:$N,Data!$U:$U,$R48,Data!$T:$T,2))</f>
        <v/>
      </c>
      <c r="V48" t="str">
        <f>IF(COUNTIFS(Data!$U:$U,$R48,Data!$T:$T,3,Data!$N:$N,"&lt;&gt;")=0,"",SUMIFS(Data!$N:$N,Data!$U:$U,$R48,Data!$T:$T,3))</f>
        <v/>
      </c>
      <c r="W48" t="str">
        <f>IF(COUNTIFS(Data!$U:$U,$R48,Data!$T:$T,4,Data!$N:$N,"&lt;&gt;")=0,"",SUMIFS(Data!$N:$N,Data!$U:$U,$R48,Data!$T:$T,4))</f>
        <v/>
      </c>
      <c r="X48" t="str">
        <f>IF(COUNTIFS(Data!$U:$U,$R48,Data!$T:$T,5,Data!$N:$N,"&lt;&gt;")=0,"",SUMIFS(Data!$N:$N,Data!$U:$U,$R48,Data!$T:$T,5))</f>
        <v/>
      </c>
      <c r="Y48" t="str">
        <f>IF(COUNTIFS(Data!$U:$U,$R48,Data!$T:$T,6,Data!$N:$N,"&lt;&gt;")=0,"",SUMIFS(Data!$N:$N,Data!$U:$U,$R48,Data!$T:$T,6))</f>
        <v/>
      </c>
      <c r="Z48" t="str">
        <f>IF(COUNTIFS(Data!$U:$U,$R48,Data!$T:$T,7,Data!$N:$N,"&lt;&gt;")=0,"",SUMIFS(Data!$N:$N,Data!$U:$U,$R48,Data!$T:$T,7))</f>
        <v/>
      </c>
      <c r="AA48">
        <f>IF(COUNTIFS(Data!$U:$U,$R48,Data!$T:$T,8,Data!$N:$N,"&lt;&gt;")=0,"",SUMIFS(Data!$N:$N,Data!$U:$U,$R48,Data!$T:$T,8))</f>
        <v>0</v>
      </c>
      <c r="AB48">
        <f>IF(COUNTIFS(Data!$U:$U,$R48,Data!$T:$T,9,Data!$N:$N,"&lt;&gt;")=0,"",SUMIFS(Data!$N:$N,Data!$U:$U,$R48,Data!$T:$T,9))</f>
        <v>0</v>
      </c>
      <c r="AC48">
        <f>IF(COUNTIFS(Data!$U:$U,$R48,Data!$T:$T,10,Data!$N:$N,"&lt;&gt;")=0,"",SUMIFS(Data!$N:$N,Data!$U:$U,$R48,Data!$T:$T,10))</f>
        <v>0</v>
      </c>
      <c r="AD48">
        <f>IF(COUNTIFS(Data!$U:$U,$R48,Data!$T:$T,11,Data!$N:$N,"&lt;&gt;")=0,"",SUMIFS(Data!$N:$N,Data!$U:$U,$R48,Data!$T:$T,11))</f>
        <v>0</v>
      </c>
      <c r="AE48">
        <f>IF(COUNTIFS(Data!$U:$U,$R48,Data!$T:$T,12,Data!$N:$N,"&lt;&gt;")=0,"",SUMIFS(Data!$N:$N,Data!$U:$U,$R48,Data!$T:$T,12))</f>
        <v>0</v>
      </c>
      <c r="AF48" t="str">
        <f>IF(COUNTIFS(Data!$U:$U,$R48,Data!$T:$T,13,Data!$N:$N,"&lt;&gt;")=0,"",SUMIFS(Data!$N:$N,Data!$U:$U,$R48,Data!$T:$T,13))</f>
        <v/>
      </c>
      <c r="AG48" t="str">
        <f>IF(COUNTIFS(Data!$U:$U,$R48,Data!$T:$T,14,Data!$N:$N,"&lt;&gt;")=0,"",SUMIFS(Data!$N:$N,Data!$U:$U,$R48,Data!$T:$T,14))</f>
        <v/>
      </c>
      <c r="AH48">
        <f>COUNTIFS(Data!$U:$U,$R48,Data!$T:$T,"&lt;="&amp;14,Data!$N:$N,"&lt;&gt;")</f>
        <v>5</v>
      </c>
      <c r="AI48">
        <f>COUNTIFS(Data!$U:$U,$R48,Data!$T:$T,"&lt;="&amp;14,Data!$N:$N,0)</f>
        <v>5</v>
      </c>
      <c r="AJ48">
        <f t="shared" si="10"/>
        <v>0</v>
      </c>
      <c r="AK48">
        <f>IF(AH48=0,"",SUMIFS(Data!$N:$N,Data!$U:$U,$R48,Data!$T:$T,"&lt;="&amp;14))</f>
        <v>0</v>
      </c>
      <c r="AL48">
        <f t="shared" si="11"/>
        <v>0</v>
      </c>
      <c r="AM48">
        <f t="shared" si="12"/>
        <v>0</v>
      </c>
      <c r="AN48">
        <f t="shared" si="13"/>
        <v>49</v>
      </c>
    </row>
    <row r="49" spans="1:40" x14ac:dyDescent="0.2">
      <c r="A49">
        <v>47</v>
      </c>
      <c r="B49" s="27" t="str">
        <f>IFERROR(IF(INDEX(Data!$B:$B,MATCH($A49,Data!$T:$T,0))="","",INDEX(Data!$B:$B,MATCH($A49,Data!$T:$T,0))),"")</f>
        <v/>
      </c>
      <c r="C49" t="str">
        <f>IFERROR(IF(INDEX(Data!$D:$D,MATCH($A49,Data!$T:$T,0))="","",INDEX(Data!$D:$D,MATCH($A49,Data!$T:$T,0))),"")</f>
        <v/>
      </c>
      <c r="D49" s="27" t="str">
        <f>IFERROR(IF(INDEX(Data!$O:$O,MATCH($A49,Data!$T:$T,0))="","",INDEX(Data!$O:$O,MATCH($A49,Data!$T:$T,0))),"")</f>
        <v/>
      </c>
      <c r="E49">
        <f>COUNTIFS(Data!$T:$T,$A49)</f>
        <v>0</v>
      </c>
      <c r="F49">
        <f>COUNTIFS(Data!$T:$T,$A49,Data!$N:$N,"&lt;&gt;")</f>
        <v>0</v>
      </c>
      <c r="G49">
        <f>COUNTIFS(Data!$T:$T,$A49,Data!$N:$N,0)</f>
        <v>0</v>
      </c>
      <c r="H49" t="str">
        <f t="shared" si="7"/>
        <v/>
      </c>
      <c r="I49" t="str">
        <f>IF($F49=0,"",SUMIFS(Data!$N:$N,Data!$T:$T,$A49))</f>
        <v/>
      </c>
      <c r="J49">
        <f>COUNTIFS(Data!$T:$T,$A49,Data!$Q:$Q,"&lt;&gt;")</f>
        <v>0</v>
      </c>
      <c r="K49" t="str">
        <f>IF($J49=0,"",SUMIFS(Data!$Q:$Q,Data!$T:$T,$A49))</f>
        <v/>
      </c>
      <c r="L49">
        <f>COUNTIFS(Data!$T:$T,$A49,Data!$M:$M,"&lt;&gt;")</f>
        <v>0</v>
      </c>
      <c r="M49" t="str">
        <f t="shared" si="8"/>
        <v/>
      </c>
      <c r="N49">
        <f>COUNTIFS(Data!$T:$T,$A49,Data!$I:$I,"&lt;&gt;")</f>
        <v>0</v>
      </c>
      <c r="O49" t="str">
        <f t="shared" si="9"/>
        <v/>
      </c>
      <c r="R49">
        <v>47</v>
      </c>
      <c r="S49" t="str">
        <f>IFERROR(INDEX(Data!$G:$G,MATCH($R49,Data!$U:$U,0)),"")</f>
        <v>Peter Stuyvesant Remix</v>
      </c>
      <c r="T49" t="str">
        <f>IF(COUNTIFS(Data!$U:$U,$R49,Data!$T:$T,1,Data!$N:$N,"&lt;&gt;")=0,"",SUMIFS(Data!$N:$N,Data!$U:$U,$R49,Data!$T:$T,1))</f>
        <v/>
      </c>
      <c r="U49" t="str">
        <f>IF(COUNTIFS(Data!$U:$U,$R49,Data!$T:$T,2,Data!$N:$N,"&lt;&gt;")=0,"",SUMIFS(Data!$N:$N,Data!$U:$U,$R49,Data!$T:$T,2))</f>
        <v/>
      </c>
      <c r="V49" t="str">
        <f>IF(COUNTIFS(Data!$U:$U,$R49,Data!$T:$T,3,Data!$N:$N,"&lt;&gt;")=0,"",SUMIFS(Data!$N:$N,Data!$U:$U,$R49,Data!$T:$T,3))</f>
        <v/>
      </c>
      <c r="W49" t="str">
        <f>IF(COUNTIFS(Data!$U:$U,$R49,Data!$T:$T,4,Data!$N:$N,"&lt;&gt;")=0,"",SUMIFS(Data!$N:$N,Data!$U:$U,$R49,Data!$T:$T,4))</f>
        <v/>
      </c>
      <c r="X49" t="str">
        <f>IF(COUNTIFS(Data!$U:$U,$R49,Data!$T:$T,5,Data!$N:$N,"&lt;&gt;")=0,"",SUMIFS(Data!$N:$N,Data!$U:$U,$R49,Data!$T:$T,5))</f>
        <v/>
      </c>
      <c r="Y49" t="str">
        <f>IF(COUNTIFS(Data!$U:$U,$R49,Data!$T:$T,6,Data!$N:$N,"&lt;&gt;")=0,"",SUMIFS(Data!$N:$N,Data!$U:$U,$R49,Data!$T:$T,6))</f>
        <v/>
      </c>
      <c r="Z49" t="str">
        <f>IF(COUNTIFS(Data!$U:$U,$R49,Data!$T:$T,7,Data!$N:$N,"&lt;&gt;")=0,"",SUMIFS(Data!$N:$N,Data!$U:$U,$R49,Data!$T:$T,7))</f>
        <v/>
      </c>
      <c r="AA49">
        <f>IF(COUNTIFS(Data!$U:$U,$R49,Data!$T:$T,8,Data!$N:$N,"&lt;&gt;")=0,"",SUMIFS(Data!$N:$N,Data!$U:$U,$R49,Data!$T:$T,8))</f>
        <v>0</v>
      </c>
      <c r="AB49">
        <f>IF(COUNTIFS(Data!$U:$U,$R49,Data!$T:$T,9,Data!$N:$N,"&lt;&gt;")=0,"",SUMIFS(Data!$N:$N,Data!$U:$U,$R49,Data!$T:$T,9))</f>
        <v>1</v>
      </c>
      <c r="AC49">
        <f>IF(COUNTIFS(Data!$U:$U,$R49,Data!$T:$T,10,Data!$N:$N,"&lt;&gt;")=0,"",SUMIFS(Data!$N:$N,Data!$U:$U,$R49,Data!$T:$T,10))</f>
        <v>0</v>
      </c>
      <c r="AD49">
        <f>IF(COUNTIFS(Data!$U:$U,$R49,Data!$T:$T,11,Data!$N:$N,"&lt;&gt;")=0,"",SUMIFS(Data!$N:$N,Data!$U:$U,$R49,Data!$T:$T,11))</f>
        <v>0</v>
      </c>
      <c r="AE49">
        <f>IF(COUNTIFS(Data!$U:$U,$R49,Data!$T:$T,12,Data!$N:$N,"&lt;&gt;")=0,"",SUMIFS(Data!$N:$N,Data!$U:$U,$R49,Data!$T:$T,12))</f>
        <v>0</v>
      </c>
      <c r="AF49" t="str">
        <f>IF(COUNTIFS(Data!$U:$U,$R49,Data!$T:$T,13,Data!$N:$N,"&lt;&gt;")=0,"",SUMIFS(Data!$N:$N,Data!$U:$U,$R49,Data!$T:$T,13))</f>
        <v/>
      </c>
      <c r="AG49" t="str">
        <f>IF(COUNTIFS(Data!$U:$U,$R49,Data!$T:$T,14,Data!$N:$N,"&lt;&gt;")=0,"",SUMIFS(Data!$N:$N,Data!$U:$U,$R49,Data!$T:$T,14))</f>
        <v/>
      </c>
      <c r="AH49">
        <f>COUNTIFS(Data!$U:$U,$R49,Data!$T:$T,"&lt;="&amp;14,Data!$N:$N,"&lt;&gt;")</f>
        <v>5</v>
      </c>
      <c r="AI49">
        <f>COUNTIFS(Data!$U:$U,$R49,Data!$T:$T,"&lt;="&amp;14,Data!$N:$N,0)</f>
        <v>4</v>
      </c>
      <c r="AJ49">
        <f t="shared" si="10"/>
        <v>1</v>
      </c>
      <c r="AK49">
        <f>IF(AH49=0,"",SUMIFS(Data!$N:$N,Data!$U:$U,$R49,Data!$T:$T,"&lt;="&amp;14))</f>
        <v>1</v>
      </c>
      <c r="AL49">
        <f t="shared" si="11"/>
        <v>1</v>
      </c>
      <c r="AM49">
        <f t="shared" si="12"/>
        <v>100001</v>
      </c>
      <c r="AN49">
        <f t="shared" si="13"/>
        <v>31</v>
      </c>
    </row>
    <row r="50" spans="1:40" x14ac:dyDescent="0.2">
      <c r="A50">
        <v>48</v>
      </c>
      <c r="B50" s="27" t="str">
        <f>IFERROR(IF(INDEX(Data!$B:$B,MATCH($A50,Data!$T:$T,0))="","",INDEX(Data!$B:$B,MATCH($A50,Data!$T:$T,0))),"")</f>
        <v/>
      </c>
      <c r="C50" t="str">
        <f>IFERROR(IF(INDEX(Data!$D:$D,MATCH($A50,Data!$T:$T,0))="","",INDEX(Data!$D:$D,MATCH($A50,Data!$T:$T,0))),"")</f>
        <v/>
      </c>
      <c r="D50" s="27" t="str">
        <f>IFERROR(IF(INDEX(Data!$O:$O,MATCH($A50,Data!$T:$T,0))="","",INDEX(Data!$O:$O,MATCH($A50,Data!$T:$T,0))),"")</f>
        <v/>
      </c>
      <c r="E50">
        <f>COUNTIFS(Data!$T:$T,$A50)</f>
        <v>0</v>
      </c>
      <c r="F50">
        <f>COUNTIFS(Data!$T:$T,$A50,Data!$N:$N,"&lt;&gt;")</f>
        <v>0</v>
      </c>
      <c r="G50">
        <f>COUNTIFS(Data!$T:$T,$A50,Data!$N:$N,0)</f>
        <v>0</v>
      </c>
      <c r="H50" t="str">
        <f t="shared" si="7"/>
        <v/>
      </c>
      <c r="I50" t="str">
        <f>IF($F50=0,"",SUMIFS(Data!$N:$N,Data!$T:$T,$A50))</f>
        <v/>
      </c>
      <c r="J50">
        <f>COUNTIFS(Data!$T:$T,$A50,Data!$Q:$Q,"&lt;&gt;")</f>
        <v>0</v>
      </c>
      <c r="K50" t="str">
        <f>IF($J50=0,"",SUMIFS(Data!$Q:$Q,Data!$T:$T,$A50))</f>
        <v/>
      </c>
      <c r="L50">
        <f>COUNTIFS(Data!$T:$T,$A50,Data!$M:$M,"&lt;&gt;")</f>
        <v>0</v>
      </c>
      <c r="M50" t="str">
        <f t="shared" si="8"/>
        <v/>
      </c>
      <c r="N50">
        <f>COUNTIFS(Data!$T:$T,$A50,Data!$I:$I,"&lt;&gt;")</f>
        <v>0</v>
      </c>
      <c r="O50" t="str">
        <f t="shared" si="9"/>
        <v/>
      </c>
      <c r="R50">
        <v>48</v>
      </c>
      <c r="S50" t="str">
        <f>IFERROR(INDEX(Data!$G:$G,MATCH($R50,Data!$U:$U,0)),"")</f>
        <v>Rothmans Blue</v>
      </c>
      <c r="T50" t="str">
        <f>IF(COUNTIFS(Data!$U:$U,$R50,Data!$T:$T,1,Data!$N:$N,"&lt;&gt;")=0,"",SUMIFS(Data!$N:$N,Data!$U:$U,$R50,Data!$T:$T,1))</f>
        <v/>
      </c>
      <c r="U50" t="str">
        <f>IF(COUNTIFS(Data!$U:$U,$R50,Data!$T:$T,2,Data!$N:$N,"&lt;&gt;")=0,"",SUMIFS(Data!$N:$N,Data!$U:$U,$R50,Data!$T:$T,2))</f>
        <v/>
      </c>
      <c r="V50" t="str">
        <f>IF(COUNTIFS(Data!$U:$U,$R50,Data!$T:$T,3,Data!$N:$N,"&lt;&gt;")=0,"",SUMIFS(Data!$N:$N,Data!$U:$U,$R50,Data!$T:$T,3))</f>
        <v/>
      </c>
      <c r="W50" t="str">
        <f>IF(COUNTIFS(Data!$U:$U,$R50,Data!$T:$T,4,Data!$N:$N,"&lt;&gt;")=0,"",SUMIFS(Data!$N:$N,Data!$U:$U,$R50,Data!$T:$T,4))</f>
        <v/>
      </c>
      <c r="X50" t="str">
        <f>IF(COUNTIFS(Data!$U:$U,$R50,Data!$T:$T,5,Data!$N:$N,"&lt;&gt;")=0,"",SUMIFS(Data!$N:$N,Data!$U:$U,$R50,Data!$T:$T,5))</f>
        <v/>
      </c>
      <c r="Y50" t="str">
        <f>IF(COUNTIFS(Data!$U:$U,$R50,Data!$T:$T,6,Data!$N:$N,"&lt;&gt;")=0,"",SUMIFS(Data!$N:$N,Data!$U:$U,$R50,Data!$T:$T,6))</f>
        <v/>
      </c>
      <c r="Z50" t="str">
        <f>IF(COUNTIFS(Data!$U:$U,$R50,Data!$T:$T,7,Data!$N:$N,"&lt;&gt;")=0,"",SUMIFS(Data!$N:$N,Data!$U:$U,$R50,Data!$T:$T,7))</f>
        <v/>
      </c>
      <c r="AA50">
        <f>IF(COUNTIFS(Data!$U:$U,$R50,Data!$T:$T,8,Data!$N:$N,"&lt;&gt;")=0,"",SUMIFS(Data!$N:$N,Data!$U:$U,$R50,Data!$T:$T,8))</f>
        <v>5</v>
      </c>
      <c r="AB50">
        <f>IF(COUNTIFS(Data!$U:$U,$R50,Data!$T:$T,9,Data!$N:$N,"&lt;&gt;")=0,"",SUMIFS(Data!$N:$N,Data!$U:$U,$R50,Data!$T:$T,9))</f>
        <v>-10</v>
      </c>
      <c r="AC50">
        <f>IF(COUNTIFS(Data!$U:$U,$R50,Data!$T:$T,10,Data!$N:$N,"&lt;&gt;")=0,"",SUMIFS(Data!$N:$N,Data!$U:$U,$R50,Data!$T:$T,10))</f>
        <v>0</v>
      </c>
      <c r="AD50">
        <f>IF(COUNTIFS(Data!$U:$U,$R50,Data!$T:$T,11,Data!$N:$N,"&lt;&gt;")=0,"",SUMIFS(Data!$N:$N,Data!$U:$U,$R50,Data!$T:$T,11))</f>
        <v>0</v>
      </c>
      <c r="AE50">
        <f>IF(COUNTIFS(Data!$U:$U,$R50,Data!$T:$T,12,Data!$N:$N,"&lt;&gt;")=0,"",SUMIFS(Data!$N:$N,Data!$U:$U,$R50,Data!$T:$T,12))</f>
        <v>0</v>
      </c>
      <c r="AF50" t="str">
        <f>IF(COUNTIFS(Data!$U:$U,$R50,Data!$T:$T,13,Data!$N:$N,"&lt;&gt;")=0,"",SUMIFS(Data!$N:$N,Data!$U:$U,$R50,Data!$T:$T,13))</f>
        <v/>
      </c>
      <c r="AG50" t="str">
        <f>IF(COUNTIFS(Data!$U:$U,$R50,Data!$T:$T,14,Data!$N:$N,"&lt;&gt;")=0,"",SUMIFS(Data!$N:$N,Data!$U:$U,$R50,Data!$T:$T,14))</f>
        <v/>
      </c>
      <c r="AH50">
        <f>COUNTIFS(Data!$U:$U,$R50,Data!$T:$T,"&lt;="&amp;14,Data!$N:$N,"&lt;&gt;")</f>
        <v>5</v>
      </c>
      <c r="AI50">
        <f>COUNTIFS(Data!$U:$U,$R50,Data!$T:$T,"&lt;="&amp;14,Data!$N:$N,0)</f>
        <v>3</v>
      </c>
      <c r="AJ50">
        <f t="shared" si="10"/>
        <v>2</v>
      </c>
      <c r="AK50">
        <f>IF(AH50=0,"",SUMIFS(Data!$N:$N,Data!$U:$U,$R50,Data!$T:$T,"&lt;="&amp;14))</f>
        <v>-5</v>
      </c>
      <c r="AL50">
        <f t="shared" si="11"/>
        <v>-10</v>
      </c>
      <c r="AM50">
        <f t="shared" si="12"/>
        <v>200005</v>
      </c>
      <c r="AN50">
        <f t="shared" si="13"/>
        <v>15</v>
      </c>
    </row>
    <row r="51" spans="1:40" x14ac:dyDescent="0.2">
      <c r="A51">
        <v>49</v>
      </c>
      <c r="B51" s="27" t="str">
        <f>IFERROR(IF(INDEX(Data!$B:$B,MATCH($A51,Data!$T:$T,0))="","",INDEX(Data!$B:$B,MATCH($A51,Data!$T:$T,0))),"")</f>
        <v/>
      </c>
      <c r="C51" t="str">
        <f>IFERROR(IF(INDEX(Data!$D:$D,MATCH($A51,Data!$T:$T,0))="","",INDEX(Data!$D:$D,MATCH($A51,Data!$T:$T,0))),"")</f>
        <v/>
      </c>
      <c r="D51" s="27" t="str">
        <f>IFERROR(IF(INDEX(Data!$O:$O,MATCH($A51,Data!$T:$T,0))="","",INDEX(Data!$O:$O,MATCH($A51,Data!$T:$T,0))),"")</f>
        <v/>
      </c>
      <c r="E51">
        <f>COUNTIFS(Data!$T:$T,$A51)</f>
        <v>0</v>
      </c>
      <c r="F51">
        <f>COUNTIFS(Data!$T:$T,$A51,Data!$N:$N,"&lt;&gt;")</f>
        <v>0</v>
      </c>
      <c r="G51">
        <f>COUNTIFS(Data!$T:$T,$A51,Data!$N:$N,0)</f>
        <v>0</v>
      </c>
      <c r="H51" t="str">
        <f t="shared" si="7"/>
        <v/>
      </c>
      <c r="I51" t="str">
        <f>IF($F51=0,"",SUMIFS(Data!$N:$N,Data!$T:$T,$A51))</f>
        <v/>
      </c>
      <c r="J51">
        <f>COUNTIFS(Data!$T:$T,$A51,Data!$Q:$Q,"&lt;&gt;")</f>
        <v>0</v>
      </c>
      <c r="K51" t="str">
        <f>IF($J51=0,"",SUMIFS(Data!$Q:$Q,Data!$T:$T,$A51))</f>
        <v/>
      </c>
      <c r="L51">
        <f>COUNTIFS(Data!$T:$T,$A51,Data!$M:$M,"&lt;&gt;")</f>
        <v>0</v>
      </c>
      <c r="M51" t="str">
        <f t="shared" si="8"/>
        <v/>
      </c>
      <c r="N51">
        <f>COUNTIFS(Data!$T:$T,$A51,Data!$I:$I,"&lt;&gt;")</f>
        <v>0</v>
      </c>
      <c r="O51" t="str">
        <f t="shared" si="9"/>
        <v/>
      </c>
      <c r="R51">
        <v>49</v>
      </c>
      <c r="S51" t="str">
        <f>IFERROR(INDEX(Data!$G:$G,MATCH($R51,Data!$U:$U,0)),"")</f>
        <v>Rothmans Charcoal</v>
      </c>
      <c r="T51" t="str">
        <f>IF(COUNTIFS(Data!$U:$U,$R51,Data!$T:$T,1,Data!$N:$N,"&lt;&gt;")=0,"",SUMIFS(Data!$N:$N,Data!$U:$U,$R51,Data!$T:$T,1))</f>
        <v/>
      </c>
      <c r="U51" t="str">
        <f>IF(COUNTIFS(Data!$U:$U,$R51,Data!$T:$T,2,Data!$N:$N,"&lt;&gt;")=0,"",SUMIFS(Data!$N:$N,Data!$U:$U,$R51,Data!$T:$T,2))</f>
        <v/>
      </c>
      <c r="V51" t="str">
        <f>IF(COUNTIFS(Data!$U:$U,$R51,Data!$T:$T,3,Data!$N:$N,"&lt;&gt;")=0,"",SUMIFS(Data!$N:$N,Data!$U:$U,$R51,Data!$T:$T,3))</f>
        <v/>
      </c>
      <c r="W51" t="str">
        <f>IF(COUNTIFS(Data!$U:$U,$R51,Data!$T:$T,4,Data!$N:$N,"&lt;&gt;")=0,"",SUMIFS(Data!$N:$N,Data!$U:$U,$R51,Data!$T:$T,4))</f>
        <v/>
      </c>
      <c r="X51" t="str">
        <f>IF(COUNTIFS(Data!$U:$U,$R51,Data!$T:$T,5,Data!$N:$N,"&lt;&gt;")=0,"",SUMIFS(Data!$N:$N,Data!$U:$U,$R51,Data!$T:$T,5))</f>
        <v/>
      </c>
      <c r="Y51" t="str">
        <f>IF(COUNTIFS(Data!$U:$U,$R51,Data!$T:$T,6,Data!$N:$N,"&lt;&gt;")=0,"",SUMIFS(Data!$N:$N,Data!$U:$U,$R51,Data!$T:$T,6))</f>
        <v/>
      </c>
      <c r="Z51" t="str">
        <f>IF(COUNTIFS(Data!$U:$U,$R51,Data!$T:$T,7,Data!$N:$N,"&lt;&gt;")=0,"",SUMIFS(Data!$N:$N,Data!$U:$U,$R51,Data!$T:$T,7))</f>
        <v/>
      </c>
      <c r="AA51">
        <f>IF(COUNTIFS(Data!$U:$U,$R51,Data!$T:$T,8,Data!$N:$N,"&lt;&gt;")=0,"",SUMIFS(Data!$N:$N,Data!$U:$U,$R51,Data!$T:$T,8))</f>
        <v>-10</v>
      </c>
      <c r="AB51">
        <f>IF(COUNTIFS(Data!$U:$U,$R51,Data!$T:$T,9,Data!$N:$N,"&lt;&gt;")=0,"",SUMIFS(Data!$N:$N,Data!$U:$U,$R51,Data!$T:$T,9))</f>
        <v>0</v>
      </c>
      <c r="AC51">
        <f>IF(COUNTIFS(Data!$U:$U,$R51,Data!$T:$T,10,Data!$N:$N,"&lt;&gt;")=0,"",SUMIFS(Data!$N:$N,Data!$U:$U,$R51,Data!$T:$T,10))</f>
        <v>0</v>
      </c>
      <c r="AD51">
        <f>IF(COUNTIFS(Data!$U:$U,$R51,Data!$T:$T,11,Data!$N:$N,"&lt;&gt;")=0,"",SUMIFS(Data!$N:$N,Data!$U:$U,$R51,Data!$T:$T,11))</f>
        <v>0</v>
      </c>
      <c r="AE51">
        <f>IF(COUNTIFS(Data!$U:$U,$R51,Data!$T:$T,12,Data!$N:$N,"&lt;&gt;")=0,"",SUMIFS(Data!$N:$N,Data!$U:$U,$R51,Data!$T:$T,12))</f>
        <v>0</v>
      </c>
      <c r="AF51" t="str">
        <f>IF(COUNTIFS(Data!$U:$U,$R51,Data!$T:$T,13,Data!$N:$N,"&lt;&gt;")=0,"",SUMIFS(Data!$N:$N,Data!$U:$U,$R51,Data!$T:$T,13))</f>
        <v/>
      </c>
      <c r="AG51" t="str">
        <f>IF(COUNTIFS(Data!$U:$U,$R51,Data!$T:$T,14,Data!$N:$N,"&lt;&gt;")=0,"",SUMIFS(Data!$N:$N,Data!$U:$U,$R51,Data!$T:$T,14))</f>
        <v/>
      </c>
      <c r="AH51">
        <f>COUNTIFS(Data!$U:$U,$R51,Data!$T:$T,"&lt;="&amp;14,Data!$N:$N,"&lt;&gt;")</f>
        <v>5</v>
      </c>
      <c r="AI51">
        <f>COUNTIFS(Data!$U:$U,$R51,Data!$T:$T,"&lt;="&amp;14,Data!$N:$N,0)</f>
        <v>4</v>
      </c>
      <c r="AJ51">
        <f t="shared" si="10"/>
        <v>1</v>
      </c>
      <c r="AK51">
        <f>IF(AH51=0,"",SUMIFS(Data!$N:$N,Data!$U:$U,$R51,Data!$T:$T,"&lt;="&amp;14))</f>
        <v>-10</v>
      </c>
      <c r="AL51">
        <f t="shared" si="11"/>
        <v>-10</v>
      </c>
      <c r="AM51">
        <f t="shared" si="12"/>
        <v>100010</v>
      </c>
      <c r="AN51">
        <f t="shared" si="13"/>
        <v>27</v>
      </c>
    </row>
    <row r="52" spans="1:40" x14ac:dyDescent="0.2">
      <c r="A52">
        <v>50</v>
      </c>
      <c r="B52" s="27" t="str">
        <f>IFERROR(IF(INDEX(Data!$B:$B,MATCH($A52,Data!$T:$T,0))="","",INDEX(Data!$B:$B,MATCH($A52,Data!$T:$T,0))),"")</f>
        <v/>
      </c>
      <c r="C52" t="str">
        <f>IFERROR(IF(INDEX(Data!$D:$D,MATCH($A52,Data!$T:$T,0))="","",INDEX(Data!$D:$D,MATCH($A52,Data!$T:$T,0))),"")</f>
        <v/>
      </c>
      <c r="D52" s="27" t="str">
        <f>IFERROR(IF(INDEX(Data!$O:$O,MATCH($A52,Data!$T:$T,0))="","",INDEX(Data!$O:$O,MATCH($A52,Data!$T:$T,0))),"")</f>
        <v/>
      </c>
      <c r="E52">
        <f>COUNTIFS(Data!$T:$T,$A52)</f>
        <v>0</v>
      </c>
      <c r="F52">
        <f>COUNTIFS(Data!$T:$T,$A52,Data!$N:$N,"&lt;&gt;")</f>
        <v>0</v>
      </c>
      <c r="G52">
        <f>COUNTIFS(Data!$T:$T,$A52,Data!$N:$N,0)</f>
        <v>0</v>
      </c>
      <c r="H52" t="str">
        <f t="shared" si="7"/>
        <v/>
      </c>
      <c r="I52" t="str">
        <f>IF($F52=0,"",SUMIFS(Data!$N:$N,Data!$T:$T,$A52))</f>
        <v/>
      </c>
      <c r="J52">
        <f>COUNTIFS(Data!$T:$T,$A52,Data!$Q:$Q,"&lt;&gt;")</f>
        <v>0</v>
      </c>
      <c r="K52" t="str">
        <f>IF($J52=0,"",SUMIFS(Data!$Q:$Q,Data!$T:$T,$A52))</f>
        <v/>
      </c>
      <c r="L52">
        <f>COUNTIFS(Data!$T:$T,$A52,Data!$M:$M,"&lt;&gt;")</f>
        <v>0</v>
      </c>
      <c r="M52" t="str">
        <f t="shared" si="8"/>
        <v/>
      </c>
      <c r="N52">
        <f>COUNTIFS(Data!$T:$T,$A52,Data!$I:$I,"&lt;&gt;")</f>
        <v>0</v>
      </c>
      <c r="O52" t="str">
        <f t="shared" si="9"/>
        <v/>
      </c>
      <c r="R52">
        <v>50</v>
      </c>
      <c r="S52" t="str">
        <f>IFERROR(INDEX(Data!$G:$G,MATCH($R52,Data!$U:$U,0)),"")</f>
        <v>Rothmans Kool Hokkaido Mint</v>
      </c>
      <c r="T52" t="str">
        <f>IF(COUNTIFS(Data!$U:$U,$R52,Data!$T:$T,1,Data!$N:$N,"&lt;&gt;")=0,"",SUMIFS(Data!$N:$N,Data!$U:$U,$R52,Data!$T:$T,1))</f>
        <v/>
      </c>
      <c r="U52" t="str">
        <f>IF(COUNTIFS(Data!$U:$U,$R52,Data!$T:$T,2,Data!$N:$N,"&lt;&gt;")=0,"",SUMIFS(Data!$N:$N,Data!$U:$U,$R52,Data!$T:$T,2))</f>
        <v/>
      </c>
      <c r="V52" t="str">
        <f>IF(COUNTIFS(Data!$U:$U,$R52,Data!$T:$T,3,Data!$N:$N,"&lt;&gt;")=0,"",SUMIFS(Data!$N:$N,Data!$U:$U,$R52,Data!$T:$T,3))</f>
        <v/>
      </c>
      <c r="W52" t="str">
        <f>IF(COUNTIFS(Data!$U:$U,$R52,Data!$T:$T,4,Data!$N:$N,"&lt;&gt;")=0,"",SUMIFS(Data!$N:$N,Data!$U:$U,$R52,Data!$T:$T,4))</f>
        <v/>
      </c>
      <c r="X52" t="str">
        <f>IF(COUNTIFS(Data!$U:$U,$R52,Data!$T:$T,5,Data!$N:$N,"&lt;&gt;")=0,"",SUMIFS(Data!$N:$N,Data!$U:$U,$R52,Data!$T:$T,5))</f>
        <v/>
      </c>
      <c r="Y52" t="str">
        <f>IF(COUNTIFS(Data!$U:$U,$R52,Data!$T:$T,6,Data!$N:$N,"&lt;&gt;")=0,"",SUMIFS(Data!$N:$N,Data!$U:$U,$R52,Data!$T:$T,6))</f>
        <v/>
      </c>
      <c r="Z52" t="str">
        <f>IF(COUNTIFS(Data!$U:$U,$R52,Data!$T:$T,7,Data!$N:$N,"&lt;&gt;")=0,"",SUMIFS(Data!$N:$N,Data!$U:$U,$R52,Data!$T:$T,7))</f>
        <v/>
      </c>
      <c r="AA52">
        <f>IF(COUNTIFS(Data!$U:$U,$R52,Data!$T:$T,8,Data!$N:$N,"&lt;&gt;")=0,"",SUMIFS(Data!$N:$N,Data!$U:$U,$R52,Data!$T:$T,8))</f>
        <v>0</v>
      </c>
      <c r="AB52">
        <f>IF(COUNTIFS(Data!$U:$U,$R52,Data!$T:$T,9,Data!$N:$N,"&lt;&gt;")=0,"",SUMIFS(Data!$N:$N,Data!$U:$U,$R52,Data!$T:$T,9))</f>
        <v>2</v>
      </c>
      <c r="AC52">
        <f>IF(COUNTIFS(Data!$U:$U,$R52,Data!$T:$T,10,Data!$N:$N,"&lt;&gt;")=0,"",SUMIFS(Data!$N:$N,Data!$U:$U,$R52,Data!$T:$T,10))</f>
        <v>0</v>
      </c>
      <c r="AD52">
        <f>IF(COUNTIFS(Data!$U:$U,$R52,Data!$T:$T,11,Data!$N:$N,"&lt;&gt;")=0,"",SUMIFS(Data!$N:$N,Data!$U:$U,$R52,Data!$T:$T,11))</f>
        <v>0</v>
      </c>
      <c r="AE52">
        <f>IF(COUNTIFS(Data!$U:$U,$R52,Data!$T:$T,12,Data!$N:$N,"&lt;&gt;")=0,"",SUMIFS(Data!$N:$N,Data!$U:$U,$R52,Data!$T:$T,12))</f>
        <v>0</v>
      </c>
      <c r="AF52" t="str">
        <f>IF(COUNTIFS(Data!$U:$U,$R52,Data!$T:$T,13,Data!$N:$N,"&lt;&gt;")=0,"",SUMIFS(Data!$N:$N,Data!$U:$U,$R52,Data!$T:$T,13))</f>
        <v/>
      </c>
      <c r="AG52" t="str">
        <f>IF(COUNTIFS(Data!$U:$U,$R52,Data!$T:$T,14,Data!$N:$N,"&lt;&gt;")=0,"",SUMIFS(Data!$N:$N,Data!$U:$U,$R52,Data!$T:$T,14))</f>
        <v/>
      </c>
      <c r="AH52">
        <f>COUNTIFS(Data!$U:$U,$R52,Data!$T:$T,"&lt;="&amp;14,Data!$N:$N,"&lt;&gt;")</f>
        <v>5</v>
      </c>
      <c r="AI52">
        <f>COUNTIFS(Data!$U:$U,$R52,Data!$T:$T,"&lt;="&amp;14,Data!$N:$N,0)</f>
        <v>4</v>
      </c>
      <c r="AJ52">
        <f t="shared" si="10"/>
        <v>1</v>
      </c>
      <c r="AK52">
        <f>IF(AH52=0,"",SUMIFS(Data!$N:$N,Data!$U:$U,$R52,Data!$T:$T,"&lt;="&amp;14))</f>
        <v>2</v>
      </c>
      <c r="AL52">
        <f t="shared" si="11"/>
        <v>2</v>
      </c>
      <c r="AM52">
        <f t="shared" si="12"/>
        <v>100002</v>
      </c>
      <c r="AN52">
        <f t="shared" si="13"/>
        <v>30</v>
      </c>
    </row>
    <row r="53" spans="1:40" x14ac:dyDescent="0.2">
      <c r="A53">
        <v>51</v>
      </c>
      <c r="B53" s="27" t="str">
        <f>IFERROR(IF(INDEX(Data!$B:$B,MATCH($A53,Data!$T:$T,0))="","",INDEX(Data!$B:$B,MATCH($A53,Data!$T:$T,0))),"")</f>
        <v/>
      </c>
      <c r="C53" t="str">
        <f>IFERROR(IF(INDEX(Data!$D:$D,MATCH($A53,Data!$T:$T,0))="","",INDEX(Data!$D:$D,MATCH($A53,Data!$T:$T,0))),"")</f>
        <v/>
      </c>
      <c r="D53" s="27" t="str">
        <f>IFERROR(IF(INDEX(Data!$O:$O,MATCH($A53,Data!$T:$T,0))="","",INDEX(Data!$O:$O,MATCH($A53,Data!$T:$T,0))),"")</f>
        <v/>
      </c>
      <c r="E53">
        <f>COUNTIFS(Data!$T:$T,$A53)</f>
        <v>0</v>
      </c>
      <c r="F53">
        <f>COUNTIFS(Data!$T:$T,$A53,Data!$N:$N,"&lt;&gt;")</f>
        <v>0</v>
      </c>
      <c r="G53">
        <f>COUNTIFS(Data!$T:$T,$A53,Data!$N:$N,0)</f>
        <v>0</v>
      </c>
      <c r="H53" t="str">
        <f t="shared" si="7"/>
        <v/>
      </c>
      <c r="I53" t="str">
        <f>IF($F53=0,"",SUMIFS(Data!$N:$N,Data!$T:$T,$A53))</f>
        <v/>
      </c>
      <c r="J53">
        <f>COUNTIFS(Data!$T:$T,$A53,Data!$Q:$Q,"&lt;&gt;")</f>
        <v>0</v>
      </c>
      <c r="K53" t="str">
        <f>IF($J53=0,"",SUMIFS(Data!$Q:$Q,Data!$T:$T,$A53))</f>
        <v/>
      </c>
      <c r="L53">
        <f>COUNTIFS(Data!$T:$T,$A53,Data!$M:$M,"&lt;&gt;")</f>
        <v>0</v>
      </c>
      <c r="M53" t="str">
        <f t="shared" si="8"/>
        <v/>
      </c>
      <c r="N53">
        <f>COUNTIFS(Data!$T:$T,$A53,Data!$I:$I,"&lt;&gt;")</f>
        <v>0</v>
      </c>
      <c r="O53" t="str">
        <f t="shared" si="9"/>
        <v/>
      </c>
      <c r="R53">
        <v>51</v>
      </c>
      <c r="S53" t="str">
        <f>IFERROR(INDEX(Data!$G:$G,MATCH($R53,Data!$U:$U,0)),"")</f>
        <v>Rothmans Menthol</v>
      </c>
      <c r="T53" t="str">
        <f>IF(COUNTIFS(Data!$U:$U,$R53,Data!$T:$T,1,Data!$N:$N,"&lt;&gt;")=0,"",SUMIFS(Data!$N:$N,Data!$U:$U,$R53,Data!$T:$T,1))</f>
        <v/>
      </c>
      <c r="U53" t="str">
        <f>IF(COUNTIFS(Data!$U:$U,$R53,Data!$T:$T,2,Data!$N:$N,"&lt;&gt;")=0,"",SUMIFS(Data!$N:$N,Data!$U:$U,$R53,Data!$T:$T,2))</f>
        <v/>
      </c>
      <c r="V53" t="str">
        <f>IF(COUNTIFS(Data!$U:$U,$R53,Data!$T:$T,3,Data!$N:$N,"&lt;&gt;")=0,"",SUMIFS(Data!$N:$N,Data!$U:$U,$R53,Data!$T:$T,3))</f>
        <v/>
      </c>
      <c r="W53" t="str">
        <f>IF(COUNTIFS(Data!$U:$U,$R53,Data!$T:$T,4,Data!$N:$N,"&lt;&gt;")=0,"",SUMIFS(Data!$N:$N,Data!$U:$U,$R53,Data!$T:$T,4))</f>
        <v/>
      </c>
      <c r="X53" t="str">
        <f>IF(COUNTIFS(Data!$U:$U,$R53,Data!$T:$T,5,Data!$N:$N,"&lt;&gt;")=0,"",SUMIFS(Data!$N:$N,Data!$U:$U,$R53,Data!$T:$T,5))</f>
        <v/>
      </c>
      <c r="Y53" t="str">
        <f>IF(COUNTIFS(Data!$U:$U,$R53,Data!$T:$T,6,Data!$N:$N,"&lt;&gt;")=0,"",SUMIFS(Data!$N:$N,Data!$U:$U,$R53,Data!$T:$T,6))</f>
        <v/>
      </c>
      <c r="Z53" t="str">
        <f>IF(COUNTIFS(Data!$U:$U,$R53,Data!$T:$T,7,Data!$N:$N,"&lt;&gt;")=0,"",SUMIFS(Data!$N:$N,Data!$U:$U,$R53,Data!$T:$T,7))</f>
        <v/>
      </c>
      <c r="AA53">
        <f>IF(COUNTIFS(Data!$U:$U,$R53,Data!$T:$T,8,Data!$N:$N,"&lt;&gt;")=0,"",SUMIFS(Data!$N:$N,Data!$U:$U,$R53,Data!$T:$T,8))</f>
        <v>0</v>
      </c>
      <c r="AB53">
        <f>IF(COUNTIFS(Data!$U:$U,$R53,Data!$T:$T,9,Data!$N:$N,"&lt;&gt;")=0,"",SUMIFS(Data!$N:$N,Data!$U:$U,$R53,Data!$T:$T,9))</f>
        <v>0</v>
      </c>
      <c r="AC53">
        <f>IF(COUNTIFS(Data!$U:$U,$R53,Data!$T:$T,10,Data!$N:$N,"&lt;&gt;")=0,"",SUMIFS(Data!$N:$N,Data!$U:$U,$R53,Data!$T:$T,10))</f>
        <v>0</v>
      </c>
      <c r="AD53">
        <f>IF(COUNTIFS(Data!$U:$U,$R53,Data!$T:$T,11,Data!$N:$N,"&lt;&gt;")=0,"",SUMIFS(Data!$N:$N,Data!$U:$U,$R53,Data!$T:$T,11))</f>
        <v>0</v>
      </c>
      <c r="AE53">
        <f>IF(COUNTIFS(Data!$U:$U,$R53,Data!$T:$T,12,Data!$N:$N,"&lt;&gt;")=0,"",SUMIFS(Data!$N:$N,Data!$U:$U,$R53,Data!$T:$T,12))</f>
        <v>0</v>
      </c>
      <c r="AF53" t="str">
        <f>IF(COUNTIFS(Data!$U:$U,$R53,Data!$T:$T,13,Data!$N:$N,"&lt;&gt;")=0,"",SUMIFS(Data!$N:$N,Data!$U:$U,$R53,Data!$T:$T,13))</f>
        <v/>
      </c>
      <c r="AG53" t="str">
        <f>IF(COUNTIFS(Data!$U:$U,$R53,Data!$T:$T,14,Data!$N:$N,"&lt;&gt;")=0,"",SUMIFS(Data!$N:$N,Data!$U:$U,$R53,Data!$T:$T,14))</f>
        <v/>
      </c>
      <c r="AH53">
        <f>COUNTIFS(Data!$U:$U,$R53,Data!$T:$T,"&lt;="&amp;14,Data!$N:$N,"&lt;&gt;")</f>
        <v>5</v>
      </c>
      <c r="AI53">
        <f>COUNTIFS(Data!$U:$U,$R53,Data!$T:$T,"&lt;="&amp;14,Data!$N:$N,0)</f>
        <v>5</v>
      </c>
      <c r="AJ53">
        <f t="shared" si="10"/>
        <v>0</v>
      </c>
      <c r="AK53">
        <f>IF(AH53=0,"",SUMIFS(Data!$N:$N,Data!$U:$U,$R53,Data!$T:$T,"&lt;="&amp;14))</f>
        <v>0</v>
      </c>
      <c r="AL53">
        <f t="shared" si="11"/>
        <v>0</v>
      </c>
      <c r="AM53">
        <f t="shared" si="12"/>
        <v>0</v>
      </c>
      <c r="AN53">
        <f t="shared" si="13"/>
        <v>50</v>
      </c>
    </row>
    <row r="54" spans="1:40" x14ac:dyDescent="0.2">
      <c r="A54">
        <v>52</v>
      </c>
      <c r="B54" s="27" t="str">
        <f>IFERROR(IF(INDEX(Data!$B:$B,MATCH($A54,Data!$T:$T,0))="","",INDEX(Data!$B:$B,MATCH($A54,Data!$T:$T,0))),"")</f>
        <v/>
      </c>
      <c r="C54" t="str">
        <f>IFERROR(IF(INDEX(Data!$D:$D,MATCH($A54,Data!$T:$T,0))="","",INDEX(Data!$D:$D,MATCH($A54,Data!$T:$T,0))),"")</f>
        <v/>
      </c>
      <c r="D54" s="27" t="str">
        <f>IFERROR(IF(INDEX(Data!$O:$O,MATCH($A54,Data!$T:$T,0))="","",INDEX(Data!$O:$O,MATCH($A54,Data!$T:$T,0))),"")</f>
        <v/>
      </c>
      <c r="E54">
        <f>COUNTIFS(Data!$T:$T,$A54)</f>
        <v>0</v>
      </c>
      <c r="F54">
        <f>COUNTIFS(Data!$T:$T,$A54,Data!$N:$N,"&lt;&gt;")</f>
        <v>0</v>
      </c>
      <c r="G54">
        <f>COUNTIFS(Data!$T:$T,$A54,Data!$N:$N,0)</f>
        <v>0</v>
      </c>
      <c r="H54" t="str">
        <f t="shared" si="7"/>
        <v/>
      </c>
      <c r="I54" t="str">
        <f>IF($F54=0,"",SUMIFS(Data!$N:$N,Data!$T:$T,$A54))</f>
        <v/>
      </c>
      <c r="J54">
        <f>COUNTIFS(Data!$T:$T,$A54,Data!$Q:$Q,"&lt;&gt;")</f>
        <v>0</v>
      </c>
      <c r="K54" t="str">
        <f>IF($J54=0,"",SUMIFS(Data!$Q:$Q,Data!$T:$T,$A54))</f>
        <v/>
      </c>
      <c r="L54">
        <f>COUNTIFS(Data!$T:$T,$A54,Data!$M:$M,"&lt;&gt;")</f>
        <v>0</v>
      </c>
      <c r="M54" t="str">
        <f t="shared" si="8"/>
        <v/>
      </c>
      <c r="N54">
        <f>COUNTIFS(Data!$T:$T,$A54,Data!$I:$I,"&lt;&gt;")</f>
        <v>0</v>
      </c>
      <c r="O54" t="str">
        <f t="shared" si="9"/>
        <v/>
      </c>
      <c r="R54">
        <v>52</v>
      </c>
      <c r="S54" t="str">
        <f>IFERROR(INDEX(Data!$G:$G,MATCH($R54,Data!$U:$U,0)),"")</f>
        <v>Rothmans Purple</v>
      </c>
      <c r="T54" t="str">
        <f>IF(COUNTIFS(Data!$U:$U,$R54,Data!$T:$T,1,Data!$N:$N,"&lt;&gt;")=0,"",SUMIFS(Data!$N:$N,Data!$U:$U,$R54,Data!$T:$T,1))</f>
        <v/>
      </c>
      <c r="U54" t="str">
        <f>IF(COUNTIFS(Data!$U:$U,$R54,Data!$T:$T,2,Data!$N:$N,"&lt;&gt;")=0,"",SUMIFS(Data!$N:$N,Data!$U:$U,$R54,Data!$T:$T,2))</f>
        <v/>
      </c>
      <c r="V54" t="str">
        <f>IF(COUNTIFS(Data!$U:$U,$R54,Data!$T:$T,3,Data!$N:$N,"&lt;&gt;")=0,"",SUMIFS(Data!$N:$N,Data!$U:$U,$R54,Data!$T:$T,3))</f>
        <v/>
      </c>
      <c r="W54" t="str">
        <f>IF(COUNTIFS(Data!$U:$U,$R54,Data!$T:$T,4,Data!$N:$N,"&lt;&gt;")=0,"",SUMIFS(Data!$N:$N,Data!$U:$U,$R54,Data!$T:$T,4))</f>
        <v/>
      </c>
      <c r="X54" t="str">
        <f>IF(COUNTIFS(Data!$U:$U,$R54,Data!$T:$T,5,Data!$N:$N,"&lt;&gt;")=0,"",SUMIFS(Data!$N:$N,Data!$U:$U,$R54,Data!$T:$T,5))</f>
        <v/>
      </c>
      <c r="Y54" t="str">
        <f>IF(COUNTIFS(Data!$U:$U,$R54,Data!$T:$T,6,Data!$N:$N,"&lt;&gt;")=0,"",SUMIFS(Data!$N:$N,Data!$U:$U,$R54,Data!$T:$T,6))</f>
        <v/>
      </c>
      <c r="Z54" t="str">
        <f>IF(COUNTIFS(Data!$U:$U,$R54,Data!$T:$T,7,Data!$N:$N,"&lt;&gt;")=0,"",SUMIFS(Data!$N:$N,Data!$U:$U,$R54,Data!$T:$T,7))</f>
        <v/>
      </c>
      <c r="AA54">
        <f>IF(COUNTIFS(Data!$U:$U,$R54,Data!$T:$T,8,Data!$N:$N,"&lt;&gt;")=0,"",SUMIFS(Data!$N:$N,Data!$U:$U,$R54,Data!$T:$T,8))</f>
        <v>0</v>
      </c>
      <c r="AB54">
        <f>IF(COUNTIFS(Data!$U:$U,$R54,Data!$T:$T,9,Data!$N:$N,"&lt;&gt;")=0,"",SUMIFS(Data!$N:$N,Data!$U:$U,$R54,Data!$T:$T,9))</f>
        <v>0</v>
      </c>
      <c r="AC54">
        <f>IF(COUNTIFS(Data!$U:$U,$R54,Data!$T:$T,10,Data!$N:$N,"&lt;&gt;")=0,"",SUMIFS(Data!$N:$N,Data!$U:$U,$R54,Data!$T:$T,10))</f>
        <v>-10</v>
      </c>
      <c r="AD54">
        <f>IF(COUNTIFS(Data!$U:$U,$R54,Data!$T:$T,11,Data!$N:$N,"&lt;&gt;")=0,"",SUMIFS(Data!$N:$N,Data!$U:$U,$R54,Data!$T:$T,11))</f>
        <v>0</v>
      </c>
      <c r="AE54">
        <f>IF(COUNTIFS(Data!$U:$U,$R54,Data!$T:$T,12,Data!$N:$N,"&lt;&gt;")=0,"",SUMIFS(Data!$N:$N,Data!$U:$U,$R54,Data!$T:$T,12))</f>
        <v>-10</v>
      </c>
      <c r="AF54" t="str">
        <f>IF(COUNTIFS(Data!$U:$U,$R54,Data!$T:$T,13,Data!$N:$N,"&lt;&gt;")=0,"",SUMIFS(Data!$N:$N,Data!$U:$U,$R54,Data!$T:$T,13))</f>
        <v/>
      </c>
      <c r="AG54" t="str">
        <f>IF(COUNTIFS(Data!$U:$U,$R54,Data!$T:$T,14,Data!$N:$N,"&lt;&gt;")=0,"",SUMIFS(Data!$N:$N,Data!$U:$U,$R54,Data!$T:$T,14))</f>
        <v/>
      </c>
      <c r="AH54">
        <f>COUNTIFS(Data!$U:$U,$R54,Data!$T:$T,"&lt;="&amp;14,Data!$N:$N,"&lt;&gt;")</f>
        <v>5</v>
      </c>
      <c r="AI54">
        <f>COUNTIFS(Data!$U:$U,$R54,Data!$T:$T,"&lt;="&amp;14,Data!$N:$N,0)</f>
        <v>3</v>
      </c>
      <c r="AJ54">
        <f t="shared" si="10"/>
        <v>2</v>
      </c>
      <c r="AK54">
        <f>IF(AH54=0,"",SUMIFS(Data!$N:$N,Data!$U:$U,$R54,Data!$T:$T,"&lt;="&amp;14))</f>
        <v>-20</v>
      </c>
      <c r="AL54">
        <f t="shared" si="11"/>
        <v>-10</v>
      </c>
      <c r="AM54">
        <f t="shared" si="12"/>
        <v>200020</v>
      </c>
      <c r="AN54">
        <f t="shared" si="13"/>
        <v>13</v>
      </c>
    </row>
    <row r="55" spans="1:40" x14ac:dyDescent="0.2">
      <c r="A55">
        <v>53</v>
      </c>
      <c r="B55" s="27" t="str">
        <f>IFERROR(IF(INDEX(Data!$B:$B,MATCH($A55,Data!$T:$T,0))="","",INDEX(Data!$B:$B,MATCH($A55,Data!$T:$T,0))),"")</f>
        <v/>
      </c>
      <c r="C55" t="str">
        <f>IFERROR(IF(INDEX(Data!$D:$D,MATCH($A55,Data!$T:$T,0))="","",INDEX(Data!$D:$D,MATCH($A55,Data!$T:$T,0))),"")</f>
        <v/>
      </c>
      <c r="D55" s="27" t="str">
        <f>IFERROR(IF(INDEX(Data!$O:$O,MATCH($A55,Data!$T:$T,0))="","",INDEX(Data!$O:$O,MATCH($A55,Data!$T:$T,0))),"")</f>
        <v/>
      </c>
      <c r="E55">
        <f>COUNTIFS(Data!$T:$T,$A55)</f>
        <v>0</v>
      </c>
      <c r="F55">
        <f>COUNTIFS(Data!$T:$T,$A55,Data!$N:$N,"&lt;&gt;")</f>
        <v>0</v>
      </c>
      <c r="G55">
        <f>COUNTIFS(Data!$T:$T,$A55,Data!$N:$N,0)</f>
        <v>0</v>
      </c>
      <c r="H55" t="str">
        <f t="shared" si="7"/>
        <v/>
      </c>
      <c r="I55" t="str">
        <f>IF($F55=0,"",SUMIFS(Data!$N:$N,Data!$T:$T,$A55))</f>
        <v/>
      </c>
      <c r="J55">
        <f>COUNTIFS(Data!$T:$T,$A55,Data!$Q:$Q,"&lt;&gt;")</f>
        <v>0</v>
      </c>
      <c r="K55" t="str">
        <f>IF($J55=0,"",SUMIFS(Data!$Q:$Q,Data!$T:$T,$A55))</f>
        <v/>
      </c>
      <c r="L55">
        <f>COUNTIFS(Data!$T:$T,$A55,Data!$M:$M,"&lt;&gt;")</f>
        <v>0</v>
      </c>
      <c r="M55" t="str">
        <f t="shared" si="8"/>
        <v/>
      </c>
      <c r="N55">
        <f>COUNTIFS(Data!$T:$T,$A55,Data!$I:$I,"&lt;&gt;")</f>
        <v>0</v>
      </c>
      <c r="O55" t="str">
        <f t="shared" si="9"/>
        <v/>
      </c>
      <c r="R55">
        <v>53</v>
      </c>
      <c r="S55" t="str">
        <f>IFERROR(INDEX(Data!$G:$G,MATCH($R55,Data!$U:$U,0)),"")</f>
        <v>Rothmans Red</v>
      </c>
      <c r="T55" t="str">
        <f>IF(COUNTIFS(Data!$U:$U,$R55,Data!$T:$T,1,Data!$N:$N,"&lt;&gt;")=0,"",SUMIFS(Data!$N:$N,Data!$U:$U,$R55,Data!$T:$T,1))</f>
        <v/>
      </c>
      <c r="U55" t="str">
        <f>IF(COUNTIFS(Data!$U:$U,$R55,Data!$T:$T,2,Data!$N:$N,"&lt;&gt;")=0,"",SUMIFS(Data!$N:$N,Data!$U:$U,$R55,Data!$T:$T,2))</f>
        <v/>
      </c>
      <c r="V55" t="str">
        <f>IF(COUNTIFS(Data!$U:$U,$R55,Data!$T:$T,3,Data!$N:$N,"&lt;&gt;")=0,"",SUMIFS(Data!$N:$N,Data!$U:$U,$R55,Data!$T:$T,3))</f>
        <v/>
      </c>
      <c r="W55" t="str">
        <f>IF(COUNTIFS(Data!$U:$U,$R55,Data!$T:$T,4,Data!$N:$N,"&lt;&gt;")=0,"",SUMIFS(Data!$N:$N,Data!$U:$U,$R55,Data!$T:$T,4))</f>
        <v/>
      </c>
      <c r="X55" t="str">
        <f>IF(COUNTIFS(Data!$U:$U,$R55,Data!$T:$T,5,Data!$N:$N,"&lt;&gt;")=0,"",SUMIFS(Data!$N:$N,Data!$U:$U,$R55,Data!$T:$T,5))</f>
        <v/>
      </c>
      <c r="Y55" t="str">
        <f>IF(COUNTIFS(Data!$U:$U,$R55,Data!$T:$T,6,Data!$N:$N,"&lt;&gt;")=0,"",SUMIFS(Data!$N:$N,Data!$U:$U,$R55,Data!$T:$T,6))</f>
        <v/>
      </c>
      <c r="Z55" t="str">
        <f>IF(COUNTIFS(Data!$U:$U,$R55,Data!$T:$T,7,Data!$N:$N,"&lt;&gt;")=0,"",SUMIFS(Data!$N:$N,Data!$U:$U,$R55,Data!$T:$T,7))</f>
        <v/>
      </c>
      <c r="AA55">
        <f>IF(COUNTIFS(Data!$U:$U,$R55,Data!$T:$T,8,Data!$N:$N,"&lt;&gt;")=0,"",SUMIFS(Data!$N:$N,Data!$U:$U,$R55,Data!$T:$T,8))</f>
        <v>0</v>
      </c>
      <c r="AB55">
        <f>IF(COUNTIFS(Data!$U:$U,$R55,Data!$T:$T,9,Data!$N:$N,"&lt;&gt;")=0,"",SUMIFS(Data!$N:$N,Data!$U:$U,$R55,Data!$T:$T,9))</f>
        <v>0</v>
      </c>
      <c r="AC55">
        <f>IF(COUNTIFS(Data!$U:$U,$R55,Data!$T:$T,10,Data!$N:$N,"&lt;&gt;")=0,"",SUMIFS(Data!$N:$N,Data!$U:$U,$R55,Data!$T:$T,10))</f>
        <v>0</v>
      </c>
      <c r="AD55">
        <f>IF(COUNTIFS(Data!$U:$U,$R55,Data!$T:$T,11,Data!$N:$N,"&lt;&gt;")=0,"",SUMIFS(Data!$N:$N,Data!$U:$U,$R55,Data!$T:$T,11))</f>
        <v>0</v>
      </c>
      <c r="AE55">
        <f>IF(COUNTIFS(Data!$U:$U,$R55,Data!$T:$T,12,Data!$N:$N,"&lt;&gt;")=0,"",SUMIFS(Data!$N:$N,Data!$U:$U,$R55,Data!$T:$T,12))</f>
        <v>0</v>
      </c>
      <c r="AF55" t="str">
        <f>IF(COUNTIFS(Data!$U:$U,$R55,Data!$T:$T,13,Data!$N:$N,"&lt;&gt;")=0,"",SUMIFS(Data!$N:$N,Data!$U:$U,$R55,Data!$T:$T,13))</f>
        <v/>
      </c>
      <c r="AG55" t="str">
        <f>IF(COUNTIFS(Data!$U:$U,$R55,Data!$T:$T,14,Data!$N:$N,"&lt;&gt;")=0,"",SUMIFS(Data!$N:$N,Data!$U:$U,$R55,Data!$T:$T,14))</f>
        <v/>
      </c>
      <c r="AH55">
        <f>COUNTIFS(Data!$U:$U,$R55,Data!$T:$T,"&lt;="&amp;14,Data!$N:$N,"&lt;&gt;")</f>
        <v>5</v>
      </c>
      <c r="AI55">
        <f>COUNTIFS(Data!$U:$U,$R55,Data!$T:$T,"&lt;="&amp;14,Data!$N:$N,0)</f>
        <v>5</v>
      </c>
      <c r="AJ55">
        <f t="shared" si="10"/>
        <v>0</v>
      </c>
      <c r="AK55">
        <f>IF(AH55=0,"",SUMIFS(Data!$N:$N,Data!$U:$U,$R55,Data!$T:$T,"&lt;="&amp;14))</f>
        <v>0</v>
      </c>
      <c r="AL55">
        <f t="shared" si="11"/>
        <v>0</v>
      </c>
      <c r="AM55">
        <f t="shared" si="12"/>
        <v>0</v>
      </c>
      <c r="AN55">
        <f t="shared" si="13"/>
        <v>51</v>
      </c>
    </row>
    <row r="56" spans="1:40" x14ac:dyDescent="0.2">
      <c r="A56">
        <v>54</v>
      </c>
      <c r="B56" s="27" t="str">
        <f>IFERROR(IF(INDEX(Data!$B:$B,MATCH($A56,Data!$T:$T,0))="","",INDEX(Data!$B:$B,MATCH($A56,Data!$T:$T,0))),"")</f>
        <v/>
      </c>
      <c r="C56" t="str">
        <f>IFERROR(IF(INDEX(Data!$D:$D,MATCH($A56,Data!$T:$T,0))="","",INDEX(Data!$D:$D,MATCH($A56,Data!$T:$T,0))),"")</f>
        <v/>
      </c>
      <c r="D56" s="27" t="str">
        <f>IFERROR(IF(INDEX(Data!$O:$O,MATCH($A56,Data!$T:$T,0))="","",INDEX(Data!$O:$O,MATCH($A56,Data!$T:$T,0))),"")</f>
        <v/>
      </c>
      <c r="E56">
        <f>COUNTIFS(Data!$T:$T,$A56)</f>
        <v>0</v>
      </c>
      <c r="F56">
        <f>COUNTIFS(Data!$T:$T,$A56,Data!$N:$N,"&lt;&gt;")</f>
        <v>0</v>
      </c>
      <c r="G56">
        <f>COUNTIFS(Data!$T:$T,$A56,Data!$N:$N,0)</f>
        <v>0</v>
      </c>
      <c r="H56" t="str">
        <f t="shared" si="7"/>
        <v/>
      </c>
      <c r="I56" t="str">
        <f>IF($F56=0,"",SUMIFS(Data!$N:$N,Data!$T:$T,$A56))</f>
        <v/>
      </c>
      <c r="J56">
        <f>COUNTIFS(Data!$T:$T,$A56,Data!$Q:$Q,"&lt;&gt;")</f>
        <v>0</v>
      </c>
      <c r="K56" t="str">
        <f>IF($J56=0,"",SUMIFS(Data!$Q:$Q,Data!$T:$T,$A56))</f>
        <v/>
      </c>
      <c r="L56">
        <f>COUNTIFS(Data!$T:$T,$A56,Data!$M:$M,"&lt;&gt;")</f>
        <v>0</v>
      </c>
      <c r="M56" t="str">
        <f t="shared" si="8"/>
        <v/>
      </c>
      <c r="N56">
        <f>COUNTIFS(Data!$T:$T,$A56,Data!$I:$I,"&lt;&gt;")</f>
        <v>0</v>
      </c>
      <c r="O56" t="str">
        <f t="shared" si="9"/>
        <v/>
      </c>
      <c r="R56">
        <v>54</v>
      </c>
      <c r="S56" t="str">
        <f>IFERROR(INDEX(Data!$G:$G,MATCH($R56,Data!$U:$U,0)),"")</f>
        <v>Sampoerna Menthol</v>
      </c>
      <c r="T56" t="str">
        <f>IF(COUNTIFS(Data!$U:$U,$R56,Data!$T:$T,1,Data!$N:$N,"&lt;&gt;")=0,"",SUMIFS(Data!$N:$N,Data!$U:$U,$R56,Data!$T:$T,1))</f>
        <v/>
      </c>
      <c r="U56" t="str">
        <f>IF(COUNTIFS(Data!$U:$U,$R56,Data!$T:$T,2,Data!$N:$N,"&lt;&gt;")=0,"",SUMIFS(Data!$N:$N,Data!$U:$U,$R56,Data!$T:$T,2))</f>
        <v/>
      </c>
      <c r="V56" t="str">
        <f>IF(COUNTIFS(Data!$U:$U,$R56,Data!$T:$T,3,Data!$N:$N,"&lt;&gt;")=0,"",SUMIFS(Data!$N:$N,Data!$U:$U,$R56,Data!$T:$T,3))</f>
        <v/>
      </c>
      <c r="W56" t="str">
        <f>IF(COUNTIFS(Data!$U:$U,$R56,Data!$T:$T,4,Data!$N:$N,"&lt;&gt;")=0,"",SUMIFS(Data!$N:$N,Data!$U:$U,$R56,Data!$T:$T,4))</f>
        <v/>
      </c>
      <c r="X56" t="str">
        <f>IF(COUNTIFS(Data!$U:$U,$R56,Data!$T:$T,5,Data!$N:$N,"&lt;&gt;")=0,"",SUMIFS(Data!$N:$N,Data!$U:$U,$R56,Data!$T:$T,5))</f>
        <v/>
      </c>
      <c r="Y56" t="str">
        <f>IF(COUNTIFS(Data!$U:$U,$R56,Data!$T:$T,6,Data!$N:$N,"&lt;&gt;")=0,"",SUMIFS(Data!$N:$N,Data!$U:$U,$R56,Data!$T:$T,6))</f>
        <v/>
      </c>
      <c r="Z56" t="str">
        <f>IF(COUNTIFS(Data!$U:$U,$R56,Data!$T:$T,7,Data!$N:$N,"&lt;&gt;")=0,"",SUMIFS(Data!$N:$N,Data!$U:$U,$R56,Data!$T:$T,7))</f>
        <v/>
      </c>
      <c r="AA56">
        <f>IF(COUNTIFS(Data!$U:$U,$R56,Data!$T:$T,8,Data!$N:$N,"&lt;&gt;")=0,"",SUMIFS(Data!$N:$N,Data!$U:$U,$R56,Data!$T:$T,8))</f>
        <v>0</v>
      </c>
      <c r="AB56">
        <f>IF(COUNTIFS(Data!$U:$U,$R56,Data!$T:$T,9,Data!$N:$N,"&lt;&gt;")=0,"",SUMIFS(Data!$N:$N,Data!$U:$U,$R56,Data!$T:$T,9))</f>
        <v>0</v>
      </c>
      <c r="AC56">
        <f>IF(COUNTIFS(Data!$U:$U,$R56,Data!$T:$T,10,Data!$N:$N,"&lt;&gt;")=0,"",SUMIFS(Data!$N:$N,Data!$U:$U,$R56,Data!$T:$T,10))</f>
        <v>0</v>
      </c>
      <c r="AD56">
        <f>IF(COUNTIFS(Data!$U:$U,$R56,Data!$T:$T,11,Data!$N:$N,"&lt;&gt;")=0,"",SUMIFS(Data!$N:$N,Data!$U:$U,$R56,Data!$T:$T,11))</f>
        <v>0</v>
      </c>
      <c r="AE56">
        <f>IF(COUNTIFS(Data!$U:$U,$R56,Data!$T:$T,12,Data!$N:$N,"&lt;&gt;")=0,"",SUMIFS(Data!$N:$N,Data!$U:$U,$R56,Data!$T:$T,12))</f>
        <v>0</v>
      </c>
      <c r="AF56" t="str">
        <f>IF(COUNTIFS(Data!$U:$U,$R56,Data!$T:$T,13,Data!$N:$N,"&lt;&gt;")=0,"",SUMIFS(Data!$N:$N,Data!$U:$U,$R56,Data!$T:$T,13))</f>
        <v/>
      </c>
      <c r="AG56" t="str">
        <f>IF(COUNTIFS(Data!$U:$U,$R56,Data!$T:$T,14,Data!$N:$N,"&lt;&gt;")=0,"",SUMIFS(Data!$N:$N,Data!$U:$U,$R56,Data!$T:$T,14))</f>
        <v/>
      </c>
      <c r="AH56">
        <f>COUNTIFS(Data!$U:$U,$R56,Data!$T:$T,"&lt;="&amp;14,Data!$N:$N,"&lt;&gt;")</f>
        <v>5</v>
      </c>
      <c r="AI56">
        <f>COUNTIFS(Data!$U:$U,$R56,Data!$T:$T,"&lt;="&amp;14,Data!$N:$N,0)</f>
        <v>5</v>
      </c>
      <c r="AJ56">
        <f t="shared" si="10"/>
        <v>0</v>
      </c>
      <c r="AK56">
        <f>IF(AH56=0,"",SUMIFS(Data!$N:$N,Data!$U:$U,$R56,Data!$T:$T,"&lt;="&amp;14))</f>
        <v>0</v>
      </c>
      <c r="AL56">
        <f t="shared" si="11"/>
        <v>0</v>
      </c>
      <c r="AM56">
        <f t="shared" si="12"/>
        <v>0</v>
      </c>
      <c r="AN56">
        <f t="shared" si="13"/>
        <v>52</v>
      </c>
    </row>
    <row r="57" spans="1:40" x14ac:dyDescent="0.2">
      <c r="A57">
        <v>55</v>
      </c>
      <c r="B57" s="27" t="str">
        <f>IFERROR(IF(INDEX(Data!$B:$B,MATCH($A57,Data!$T:$T,0))="","",INDEX(Data!$B:$B,MATCH($A57,Data!$T:$T,0))),"")</f>
        <v/>
      </c>
      <c r="C57" t="str">
        <f>IFERROR(IF(INDEX(Data!$D:$D,MATCH($A57,Data!$T:$T,0))="","",INDEX(Data!$D:$D,MATCH($A57,Data!$T:$T,0))),"")</f>
        <v/>
      </c>
      <c r="D57" s="27" t="str">
        <f>IFERROR(IF(INDEX(Data!$O:$O,MATCH($A57,Data!$T:$T,0))="","",INDEX(Data!$O:$O,MATCH($A57,Data!$T:$T,0))),"")</f>
        <v/>
      </c>
      <c r="E57">
        <f>COUNTIFS(Data!$T:$T,$A57)</f>
        <v>0</v>
      </c>
      <c r="F57">
        <f>COUNTIFS(Data!$T:$T,$A57,Data!$N:$N,"&lt;&gt;")</f>
        <v>0</v>
      </c>
      <c r="G57">
        <f>COUNTIFS(Data!$T:$T,$A57,Data!$N:$N,0)</f>
        <v>0</v>
      </c>
      <c r="H57" t="str">
        <f t="shared" si="7"/>
        <v/>
      </c>
      <c r="I57" t="str">
        <f>IF($F57=0,"",SUMIFS(Data!$N:$N,Data!$T:$T,$A57))</f>
        <v/>
      </c>
      <c r="J57">
        <f>COUNTIFS(Data!$T:$T,$A57,Data!$Q:$Q,"&lt;&gt;")</f>
        <v>0</v>
      </c>
      <c r="K57" t="str">
        <f>IF($J57=0,"",SUMIFS(Data!$Q:$Q,Data!$T:$T,$A57))</f>
        <v/>
      </c>
      <c r="L57">
        <f>COUNTIFS(Data!$T:$T,$A57,Data!$M:$M,"&lt;&gt;")</f>
        <v>0</v>
      </c>
      <c r="M57" t="str">
        <f t="shared" si="8"/>
        <v/>
      </c>
      <c r="N57">
        <f>COUNTIFS(Data!$T:$T,$A57,Data!$I:$I,"&lt;&gt;")</f>
        <v>0</v>
      </c>
      <c r="O57" t="str">
        <f t="shared" si="9"/>
        <v/>
      </c>
      <c r="R57">
        <v>55</v>
      </c>
      <c r="S57" t="str">
        <f>IFERROR(INDEX(Data!$G:$G,MATCH($R57,Data!$U:$U,0)),"")</f>
        <v>Sampoerna Red</v>
      </c>
      <c r="T57" t="str">
        <f>IF(COUNTIFS(Data!$U:$U,$R57,Data!$T:$T,1,Data!$N:$N,"&lt;&gt;")=0,"",SUMIFS(Data!$N:$N,Data!$U:$U,$R57,Data!$T:$T,1))</f>
        <v/>
      </c>
      <c r="U57" t="str">
        <f>IF(COUNTIFS(Data!$U:$U,$R57,Data!$T:$T,2,Data!$N:$N,"&lt;&gt;")=0,"",SUMIFS(Data!$N:$N,Data!$U:$U,$R57,Data!$T:$T,2))</f>
        <v/>
      </c>
      <c r="V57" t="str">
        <f>IF(COUNTIFS(Data!$U:$U,$R57,Data!$T:$T,3,Data!$N:$N,"&lt;&gt;")=0,"",SUMIFS(Data!$N:$N,Data!$U:$U,$R57,Data!$T:$T,3))</f>
        <v/>
      </c>
      <c r="W57" t="str">
        <f>IF(COUNTIFS(Data!$U:$U,$R57,Data!$T:$T,4,Data!$N:$N,"&lt;&gt;")=0,"",SUMIFS(Data!$N:$N,Data!$U:$U,$R57,Data!$T:$T,4))</f>
        <v/>
      </c>
      <c r="X57" t="str">
        <f>IF(COUNTIFS(Data!$U:$U,$R57,Data!$T:$T,5,Data!$N:$N,"&lt;&gt;")=0,"",SUMIFS(Data!$N:$N,Data!$U:$U,$R57,Data!$T:$T,5))</f>
        <v/>
      </c>
      <c r="Y57" t="str">
        <f>IF(COUNTIFS(Data!$U:$U,$R57,Data!$T:$T,6,Data!$N:$N,"&lt;&gt;")=0,"",SUMIFS(Data!$N:$N,Data!$U:$U,$R57,Data!$T:$T,6))</f>
        <v/>
      </c>
      <c r="Z57" t="str">
        <f>IF(COUNTIFS(Data!$U:$U,$R57,Data!$T:$T,7,Data!$N:$N,"&lt;&gt;")=0,"",SUMIFS(Data!$N:$N,Data!$U:$U,$R57,Data!$T:$T,7))</f>
        <v/>
      </c>
      <c r="AA57">
        <f>IF(COUNTIFS(Data!$U:$U,$R57,Data!$T:$T,8,Data!$N:$N,"&lt;&gt;")=0,"",SUMIFS(Data!$N:$N,Data!$U:$U,$R57,Data!$T:$T,8))</f>
        <v>0</v>
      </c>
      <c r="AB57">
        <f>IF(COUNTIFS(Data!$U:$U,$R57,Data!$T:$T,9,Data!$N:$N,"&lt;&gt;")=0,"",SUMIFS(Data!$N:$N,Data!$U:$U,$R57,Data!$T:$T,9))</f>
        <v>0</v>
      </c>
      <c r="AC57">
        <f>IF(COUNTIFS(Data!$U:$U,$R57,Data!$T:$T,10,Data!$N:$N,"&lt;&gt;")=0,"",SUMIFS(Data!$N:$N,Data!$U:$U,$R57,Data!$T:$T,10))</f>
        <v>0</v>
      </c>
      <c r="AD57">
        <f>IF(COUNTIFS(Data!$U:$U,$R57,Data!$T:$T,11,Data!$N:$N,"&lt;&gt;")=0,"",SUMIFS(Data!$N:$N,Data!$U:$U,$R57,Data!$T:$T,11))</f>
        <v>0</v>
      </c>
      <c r="AE57">
        <f>IF(COUNTIFS(Data!$U:$U,$R57,Data!$T:$T,12,Data!$N:$N,"&lt;&gt;")=0,"",SUMIFS(Data!$N:$N,Data!$U:$U,$R57,Data!$T:$T,12))</f>
        <v>0</v>
      </c>
      <c r="AF57" t="str">
        <f>IF(COUNTIFS(Data!$U:$U,$R57,Data!$T:$T,13,Data!$N:$N,"&lt;&gt;")=0,"",SUMIFS(Data!$N:$N,Data!$U:$U,$R57,Data!$T:$T,13))</f>
        <v/>
      </c>
      <c r="AG57" t="str">
        <f>IF(COUNTIFS(Data!$U:$U,$R57,Data!$T:$T,14,Data!$N:$N,"&lt;&gt;")=0,"",SUMIFS(Data!$N:$N,Data!$U:$U,$R57,Data!$T:$T,14))</f>
        <v/>
      </c>
      <c r="AH57">
        <f>COUNTIFS(Data!$U:$U,$R57,Data!$T:$T,"&lt;="&amp;14,Data!$N:$N,"&lt;&gt;")</f>
        <v>5</v>
      </c>
      <c r="AI57">
        <f>COUNTIFS(Data!$U:$U,$R57,Data!$T:$T,"&lt;="&amp;14,Data!$N:$N,0)</f>
        <v>5</v>
      </c>
      <c r="AJ57">
        <f t="shared" si="10"/>
        <v>0</v>
      </c>
      <c r="AK57">
        <f>IF(AH57=0,"",SUMIFS(Data!$N:$N,Data!$U:$U,$R57,Data!$T:$T,"&lt;="&amp;14))</f>
        <v>0</v>
      </c>
      <c r="AL57">
        <f t="shared" si="11"/>
        <v>0</v>
      </c>
      <c r="AM57">
        <f t="shared" si="12"/>
        <v>0</v>
      </c>
      <c r="AN57">
        <f t="shared" si="13"/>
        <v>53</v>
      </c>
    </row>
    <row r="58" spans="1:40" x14ac:dyDescent="0.2">
      <c r="A58">
        <v>56</v>
      </c>
      <c r="B58" s="27" t="str">
        <f>IFERROR(IF(INDEX(Data!$B:$B,MATCH($A58,Data!$T:$T,0))="","",INDEX(Data!$B:$B,MATCH($A58,Data!$T:$T,0))),"")</f>
        <v/>
      </c>
      <c r="C58" t="str">
        <f>IFERROR(IF(INDEX(Data!$D:$D,MATCH($A58,Data!$T:$T,0))="","",INDEX(Data!$D:$D,MATCH($A58,Data!$T:$T,0))),"")</f>
        <v/>
      </c>
      <c r="D58" s="27" t="str">
        <f>IFERROR(IF(INDEX(Data!$O:$O,MATCH($A58,Data!$T:$T,0))="","",INDEX(Data!$O:$O,MATCH($A58,Data!$T:$T,0))),"")</f>
        <v/>
      </c>
      <c r="E58">
        <f>COUNTIFS(Data!$T:$T,$A58)</f>
        <v>0</v>
      </c>
      <c r="F58">
        <f>COUNTIFS(Data!$T:$T,$A58,Data!$N:$N,"&lt;&gt;")</f>
        <v>0</v>
      </c>
      <c r="G58">
        <f>COUNTIFS(Data!$T:$T,$A58,Data!$N:$N,0)</f>
        <v>0</v>
      </c>
      <c r="H58" t="str">
        <f t="shared" si="7"/>
        <v/>
      </c>
      <c r="I58" t="str">
        <f>IF($F58=0,"",SUMIFS(Data!$N:$N,Data!$T:$T,$A58))</f>
        <v/>
      </c>
      <c r="J58">
        <f>COUNTIFS(Data!$T:$T,$A58,Data!$Q:$Q,"&lt;&gt;")</f>
        <v>0</v>
      </c>
      <c r="K58" t="str">
        <f>IF($J58=0,"",SUMIFS(Data!$Q:$Q,Data!$T:$T,$A58))</f>
        <v/>
      </c>
      <c r="L58">
        <f>COUNTIFS(Data!$T:$T,$A58,Data!$M:$M,"&lt;&gt;")</f>
        <v>0</v>
      </c>
      <c r="M58" t="str">
        <f t="shared" si="8"/>
        <v/>
      </c>
      <c r="N58">
        <f>COUNTIFS(Data!$T:$T,$A58,Data!$I:$I,"&lt;&gt;")</f>
        <v>0</v>
      </c>
      <c r="O58" t="str">
        <f t="shared" si="9"/>
        <v/>
      </c>
      <c r="R58">
        <v>56</v>
      </c>
      <c r="S58" t="str">
        <f>IFERROR(INDEX(Data!$G:$G,MATCH($R58,Data!$U:$U,0)),"")</f>
        <v>TEREA AMBER</v>
      </c>
      <c r="T58" t="str">
        <f>IF(COUNTIFS(Data!$U:$U,$R58,Data!$T:$T,1,Data!$N:$N,"&lt;&gt;")=0,"",SUMIFS(Data!$N:$N,Data!$U:$U,$R58,Data!$T:$T,1))</f>
        <v/>
      </c>
      <c r="U58" t="str">
        <f>IF(COUNTIFS(Data!$U:$U,$R58,Data!$T:$T,2,Data!$N:$N,"&lt;&gt;")=0,"",SUMIFS(Data!$N:$N,Data!$U:$U,$R58,Data!$T:$T,2))</f>
        <v/>
      </c>
      <c r="V58" t="str">
        <f>IF(COUNTIFS(Data!$U:$U,$R58,Data!$T:$T,3,Data!$N:$N,"&lt;&gt;")=0,"",SUMIFS(Data!$N:$N,Data!$U:$U,$R58,Data!$T:$T,3))</f>
        <v/>
      </c>
      <c r="W58" t="str">
        <f>IF(COUNTIFS(Data!$U:$U,$R58,Data!$T:$T,4,Data!$N:$N,"&lt;&gt;")=0,"",SUMIFS(Data!$N:$N,Data!$U:$U,$R58,Data!$T:$T,4))</f>
        <v/>
      </c>
      <c r="X58" t="str">
        <f>IF(COUNTIFS(Data!$U:$U,$R58,Data!$T:$T,5,Data!$N:$N,"&lt;&gt;")=0,"",SUMIFS(Data!$N:$N,Data!$U:$U,$R58,Data!$T:$T,5))</f>
        <v/>
      </c>
      <c r="Y58" t="str">
        <f>IF(COUNTIFS(Data!$U:$U,$R58,Data!$T:$T,6,Data!$N:$N,"&lt;&gt;")=0,"",SUMIFS(Data!$N:$N,Data!$U:$U,$R58,Data!$T:$T,6))</f>
        <v/>
      </c>
      <c r="Z58" t="str">
        <f>IF(COUNTIFS(Data!$U:$U,$R58,Data!$T:$T,7,Data!$N:$N,"&lt;&gt;")=0,"",SUMIFS(Data!$N:$N,Data!$U:$U,$R58,Data!$T:$T,7))</f>
        <v/>
      </c>
      <c r="AA58" t="str">
        <f>IF(COUNTIFS(Data!$U:$U,$R58,Data!$T:$T,8,Data!$N:$N,"&lt;&gt;")=0,"",SUMIFS(Data!$N:$N,Data!$U:$U,$R58,Data!$T:$T,8))</f>
        <v/>
      </c>
      <c r="AB58" t="str">
        <f>IF(COUNTIFS(Data!$U:$U,$R58,Data!$T:$T,9,Data!$N:$N,"&lt;&gt;")=0,"",SUMIFS(Data!$N:$N,Data!$U:$U,$R58,Data!$T:$T,9))</f>
        <v/>
      </c>
      <c r="AC58" t="str">
        <f>IF(COUNTIFS(Data!$U:$U,$R58,Data!$T:$T,10,Data!$N:$N,"&lt;&gt;")=0,"",SUMIFS(Data!$N:$N,Data!$U:$U,$R58,Data!$T:$T,10))</f>
        <v/>
      </c>
      <c r="AD58" t="str">
        <f>IF(COUNTIFS(Data!$U:$U,$R58,Data!$T:$T,11,Data!$N:$N,"&lt;&gt;")=0,"",SUMIFS(Data!$N:$N,Data!$U:$U,$R58,Data!$T:$T,11))</f>
        <v/>
      </c>
      <c r="AE58" t="str">
        <f>IF(COUNTIFS(Data!$U:$U,$R58,Data!$T:$T,12,Data!$N:$N,"&lt;&gt;")=0,"",SUMIFS(Data!$N:$N,Data!$U:$U,$R58,Data!$T:$T,12))</f>
        <v/>
      </c>
      <c r="AF58" t="str">
        <f>IF(COUNTIFS(Data!$U:$U,$R58,Data!$T:$T,13,Data!$N:$N,"&lt;&gt;")=0,"",SUMIFS(Data!$N:$N,Data!$U:$U,$R58,Data!$T:$T,13))</f>
        <v/>
      </c>
      <c r="AG58" t="str">
        <f>IF(COUNTIFS(Data!$U:$U,$R58,Data!$T:$T,14,Data!$N:$N,"&lt;&gt;")=0,"",SUMIFS(Data!$N:$N,Data!$U:$U,$R58,Data!$T:$T,14))</f>
        <v/>
      </c>
      <c r="AH58">
        <f>COUNTIFS(Data!$U:$U,$R58,Data!$T:$T,"&lt;="&amp;14,Data!$N:$N,"&lt;&gt;")</f>
        <v>0</v>
      </c>
      <c r="AI58">
        <f>COUNTIFS(Data!$U:$U,$R58,Data!$T:$T,"&lt;="&amp;14,Data!$N:$N,0)</f>
        <v>0</v>
      </c>
      <c r="AJ58" t="str">
        <f t="shared" si="10"/>
        <v/>
      </c>
      <c r="AK58" t="str">
        <f>IF(AH58=0,"",SUMIFS(Data!$N:$N,Data!$U:$U,$R58,Data!$T:$T,"&lt;="&amp;14))</f>
        <v/>
      </c>
      <c r="AL58" t="str">
        <f t="shared" si="11"/>
        <v/>
      </c>
      <c r="AM58">
        <f t="shared" si="12"/>
        <v>-1</v>
      </c>
      <c r="AN58">
        <f t="shared" si="13"/>
        <v>59</v>
      </c>
    </row>
    <row r="59" spans="1:40" x14ac:dyDescent="0.2">
      <c r="A59">
        <v>57</v>
      </c>
      <c r="B59" s="27" t="str">
        <f>IFERROR(IF(INDEX(Data!$B:$B,MATCH($A59,Data!$T:$T,0))="","",INDEX(Data!$B:$B,MATCH($A59,Data!$T:$T,0))),"")</f>
        <v/>
      </c>
      <c r="C59" t="str">
        <f>IFERROR(IF(INDEX(Data!$D:$D,MATCH($A59,Data!$T:$T,0))="","",INDEX(Data!$D:$D,MATCH($A59,Data!$T:$T,0))),"")</f>
        <v/>
      </c>
      <c r="D59" s="27" t="str">
        <f>IFERROR(IF(INDEX(Data!$O:$O,MATCH($A59,Data!$T:$T,0))="","",INDEX(Data!$O:$O,MATCH($A59,Data!$T:$T,0))),"")</f>
        <v/>
      </c>
      <c r="E59">
        <f>COUNTIFS(Data!$T:$T,$A59)</f>
        <v>0</v>
      </c>
      <c r="F59">
        <f>COUNTIFS(Data!$T:$T,$A59,Data!$N:$N,"&lt;&gt;")</f>
        <v>0</v>
      </c>
      <c r="G59">
        <f>COUNTIFS(Data!$T:$T,$A59,Data!$N:$N,0)</f>
        <v>0</v>
      </c>
      <c r="H59" t="str">
        <f t="shared" si="7"/>
        <v/>
      </c>
      <c r="I59" t="str">
        <f>IF($F59=0,"",SUMIFS(Data!$N:$N,Data!$T:$T,$A59))</f>
        <v/>
      </c>
      <c r="J59">
        <f>COUNTIFS(Data!$T:$T,$A59,Data!$Q:$Q,"&lt;&gt;")</f>
        <v>0</v>
      </c>
      <c r="K59" t="str">
        <f>IF($J59=0,"",SUMIFS(Data!$Q:$Q,Data!$T:$T,$A59))</f>
        <v/>
      </c>
      <c r="L59">
        <f>COUNTIFS(Data!$T:$T,$A59,Data!$M:$M,"&lt;&gt;")</f>
        <v>0</v>
      </c>
      <c r="M59" t="str">
        <f t="shared" si="8"/>
        <v/>
      </c>
      <c r="N59">
        <f>COUNTIFS(Data!$T:$T,$A59,Data!$I:$I,"&lt;&gt;")</f>
        <v>0</v>
      </c>
      <c r="O59" t="str">
        <f t="shared" si="9"/>
        <v/>
      </c>
      <c r="R59">
        <v>57</v>
      </c>
      <c r="S59" t="str">
        <f>IFERROR(INDEX(Data!$G:$G,MATCH($R59,Data!$U:$U,0)),"")</f>
        <v>TEREA BLACK GREEN</v>
      </c>
      <c r="T59" t="str">
        <f>IF(COUNTIFS(Data!$U:$U,$R59,Data!$T:$T,1,Data!$N:$N,"&lt;&gt;")=0,"",SUMIFS(Data!$N:$N,Data!$U:$U,$R59,Data!$T:$T,1))</f>
        <v/>
      </c>
      <c r="U59" t="str">
        <f>IF(COUNTIFS(Data!$U:$U,$R59,Data!$T:$T,2,Data!$N:$N,"&lt;&gt;")=0,"",SUMIFS(Data!$N:$N,Data!$U:$U,$R59,Data!$T:$T,2))</f>
        <v/>
      </c>
      <c r="V59" t="str">
        <f>IF(COUNTIFS(Data!$U:$U,$R59,Data!$T:$T,3,Data!$N:$N,"&lt;&gt;")=0,"",SUMIFS(Data!$N:$N,Data!$U:$U,$R59,Data!$T:$T,3))</f>
        <v/>
      </c>
      <c r="W59" t="str">
        <f>IF(COUNTIFS(Data!$U:$U,$R59,Data!$T:$T,4,Data!$N:$N,"&lt;&gt;")=0,"",SUMIFS(Data!$N:$N,Data!$U:$U,$R59,Data!$T:$T,4))</f>
        <v/>
      </c>
      <c r="X59" t="str">
        <f>IF(COUNTIFS(Data!$U:$U,$R59,Data!$T:$T,5,Data!$N:$N,"&lt;&gt;")=0,"",SUMIFS(Data!$N:$N,Data!$U:$U,$R59,Data!$T:$T,5))</f>
        <v/>
      </c>
      <c r="Y59" t="str">
        <f>IF(COUNTIFS(Data!$U:$U,$R59,Data!$T:$T,6,Data!$N:$N,"&lt;&gt;")=0,"",SUMIFS(Data!$N:$N,Data!$U:$U,$R59,Data!$T:$T,6))</f>
        <v/>
      </c>
      <c r="Z59" t="str">
        <f>IF(COUNTIFS(Data!$U:$U,$R59,Data!$T:$T,7,Data!$N:$N,"&lt;&gt;")=0,"",SUMIFS(Data!$N:$N,Data!$U:$U,$R59,Data!$T:$T,7))</f>
        <v/>
      </c>
      <c r="AA59" t="str">
        <f>IF(COUNTIFS(Data!$U:$U,$R59,Data!$T:$T,8,Data!$N:$N,"&lt;&gt;")=0,"",SUMIFS(Data!$N:$N,Data!$U:$U,$R59,Data!$T:$T,8))</f>
        <v/>
      </c>
      <c r="AB59" t="str">
        <f>IF(COUNTIFS(Data!$U:$U,$R59,Data!$T:$T,9,Data!$N:$N,"&lt;&gt;")=0,"",SUMIFS(Data!$N:$N,Data!$U:$U,$R59,Data!$T:$T,9))</f>
        <v/>
      </c>
      <c r="AC59" t="str">
        <f>IF(COUNTIFS(Data!$U:$U,$R59,Data!$T:$T,10,Data!$N:$N,"&lt;&gt;")=0,"",SUMIFS(Data!$N:$N,Data!$U:$U,$R59,Data!$T:$T,10))</f>
        <v/>
      </c>
      <c r="AD59" t="str">
        <f>IF(COUNTIFS(Data!$U:$U,$R59,Data!$T:$T,11,Data!$N:$N,"&lt;&gt;")=0,"",SUMIFS(Data!$N:$N,Data!$U:$U,$R59,Data!$T:$T,11))</f>
        <v/>
      </c>
      <c r="AE59" t="str">
        <f>IF(COUNTIFS(Data!$U:$U,$R59,Data!$T:$T,12,Data!$N:$N,"&lt;&gt;")=0,"",SUMIFS(Data!$N:$N,Data!$U:$U,$R59,Data!$T:$T,12))</f>
        <v/>
      </c>
      <c r="AF59" t="str">
        <f>IF(COUNTIFS(Data!$U:$U,$R59,Data!$T:$T,13,Data!$N:$N,"&lt;&gt;")=0,"",SUMIFS(Data!$N:$N,Data!$U:$U,$R59,Data!$T:$T,13))</f>
        <v/>
      </c>
      <c r="AG59" t="str">
        <f>IF(COUNTIFS(Data!$U:$U,$R59,Data!$T:$T,14,Data!$N:$N,"&lt;&gt;")=0,"",SUMIFS(Data!$N:$N,Data!$U:$U,$R59,Data!$T:$T,14))</f>
        <v/>
      </c>
      <c r="AH59">
        <f>COUNTIFS(Data!$U:$U,$R59,Data!$T:$T,"&lt;="&amp;14,Data!$N:$N,"&lt;&gt;")</f>
        <v>0</v>
      </c>
      <c r="AI59">
        <f>COUNTIFS(Data!$U:$U,$R59,Data!$T:$T,"&lt;="&amp;14,Data!$N:$N,0)</f>
        <v>0</v>
      </c>
      <c r="AJ59" t="str">
        <f t="shared" si="10"/>
        <v/>
      </c>
      <c r="AK59" t="str">
        <f>IF(AH59=0,"",SUMIFS(Data!$N:$N,Data!$U:$U,$R59,Data!$T:$T,"&lt;="&amp;14))</f>
        <v/>
      </c>
      <c r="AL59" t="str">
        <f t="shared" si="11"/>
        <v/>
      </c>
      <c r="AM59">
        <f t="shared" si="12"/>
        <v>-1</v>
      </c>
      <c r="AN59">
        <f t="shared" si="13"/>
        <v>60</v>
      </c>
    </row>
    <row r="60" spans="1:40" x14ac:dyDescent="0.2">
      <c r="A60">
        <v>58</v>
      </c>
      <c r="B60" s="27" t="str">
        <f>IFERROR(IF(INDEX(Data!$B:$B,MATCH($A60,Data!$T:$T,0))="","",INDEX(Data!$B:$B,MATCH($A60,Data!$T:$T,0))),"")</f>
        <v/>
      </c>
      <c r="C60" t="str">
        <f>IFERROR(IF(INDEX(Data!$D:$D,MATCH($A60,Data!$T:$T,0))="","",INDEX(Data!$D:$D,MATCH($A60,Data!$T:$T,0))),"")</f>
        <v/>
      </c>
      <c r="D60" s="27" t="str">
        <f>IFERROR(IF(INDEX(Data!$O:$O,MATCH($A60,Data!$T:$T,0))="","",INDEX(Data!$O:$O,MATCH($A60,Data!$T:$T,0))),"")</f>
        <v/>
      </c>
      <c r="E60">
        <f>COUNTIFS(Data!$T:$T,$A60)</f>
        <v>0</v>
      </c>
      <c r="F60">
        <f>COUNTIFS(Data!$T:$T,$A60,Data!$N:$N,"&lt;&gt;")</f>
        <v>0</v>
      </c>
      <c r="G60">
        <f>COUNTIFS(Data!$T:$T,$A60,Data!$N:$N,0)</f>
        <v>0</v>
      </c>
      <c r="H60" t="str">
        <f t="shared" si="7"/>
        <v/>
      </c>
      <c r="I60" t="str">
        <f>IF($F60=0,"",SUMIFS(Data!$N:$N,Data!$T:$T,$A60))</f>
        <v/>
      </c>
      <c r="J60">
        <f>COUNTIFS(Data!$T:$T,$A60,Data!$Q:$Q,"&lt;&gt;")</f>
        <v>0</v>
      </c>
      <c r="K60" t="str">
        <f>IF($J60=0,"",SUMIFS(Data!$Q:$Q,Data!$T:$T,$A60))</f>
        <v/>
      </c>
      <c r="L60">
        <f>COUNTIFS(Data!$T:$T,$A60,Data!$M:$M,"&lt;&gt;")</f>
        <v>0</v>
      </c>
      <c r="M60" t="str">
        <f t="shared" si="8"/>
        <v/>
      </c>
      <c r="N60">
        <f>COUNTIFS(Data!$T:$T,$A60,Data!$I:$I,"&lt;&gt;")</f>
        <v>0</v>
      </c>
      <c r="O60" t="str">
        <f t="shared" si="9"/>
        <v/>
      </c>
      <c r="R60">
        <v>58</v>
      </c>
      <c r="S60" t="str">
        <f>IFERROR(INDEX(Data!$G:$G,MATCH($R60,Data!$U:$U,0)),"")</f>
        <v>TEREA BLACK PURPLE</v>
      </c>
      <c r="T60" t="str">
        <f>IF(COUNTIFS(Data!$U:$U,$R60,Data!$T:$T,1,Data!$N:$N,"&lt;&gt;")=0,"",SUMIFS(Data!$N:$N,Data!$U:$U,$R60,Data!$T:$T,1))</f>
        <v/>
      </c>
      <c r="U60" t="str">
        <f>IF(COUNTIFS(Data!$U:$U,$R60,Data!$T:$T,2,Data!$N:$N,"&lt;&gt;")=0,"",SUMIFS(Data!$N:$N,Data!$U:$U,$R60,Data!$T:$T,2))</f>
        <v/>
      </c>
      <c r="V60" t="str">
        <f>IF(COUNTIFS(Data!$U:$U,$R60,Data!$T:$T,3,Data!$N:$N,"&lt;&gt;")=0,"",SUMIFS(Data!$N:$N,Data!$U:$U,$R60,Data!$T:$T,3))</f>
        <v/>
      </c>
      <c r="W60" t="str">
        <f>IF(COUNTIFS(Data!$U:$U,$R60,Data!$T:$T,4,Data!$N:$N,"&lt;&gt;")=0,"",SUMIFS(Data!$N:$N,Data!$U:$U,$R60,Data!$T:$T,4))</f>
        <v/>
      </c>
      <c r="X60" t="str">
        <f>IF(COUNTIFS(Data!$U:$U,$R60,Data!$T:$T,5,Data!$N:$N,"&lt;&gt;")=0,"",SUMIFS(Data!$N:$N,Data!$U:$U,$R60,Data!$T:$T,5))</f>
        <v/>
      </c>
      <c r="Y60" t="str">
        <f>IF(COUNTIFS(Data!$U:$U,$R60,Data!$T:$T,6,Data!$N:$N,"&lt;&gt;")=0,"",SUMIFS(Data!$N:$N,Data!$U:$U,$R60,Data!$T:$T,6))</f>
        <v/>
      </c>
      <c r="Z60" t="str">
        <f>IF(COUNTIFS(Data!$U:$U,$R60,Data!$T:$T,7,Data!$N:$N,"&lt;&gt;")=0,"",SUMIFS(Data!$N:$N,Data!$U:$U,$R60,Data!$T:$T,7))</f>
        <v/>
      </c>
      <c r="AA60" t="str">
        <f>IF(COUNTIFS(Data!$U:$U,$R60,Data!$T:$T,8,Data!$N:$N,"&lt;&gt;")=0,"",SUMIFS(Data!$N:$N,Data!$U:$U,$R60,Data!$T:$T,8))</f>
        <v/>
      </c>
      <c r="AB60" t="str">
        <f>IF(COUNTIFS(Data!$U:$U,$R60,Data!$T:$T,9,Data!$N:$N,"&lt;&gt;")=0,"",SUMIFS(Data!$N:$N,Data!$U:$U,$R60,Data!$T:$T,9))</f>
        <v/>
      </c>
      <c r="AC60" t="str">
        <f>IF(COUNTIFS(Data!$U:$U,$R60,Data!$T:$T,10,Data!$N:$N,"&lt;&gt;")=0,"",SUMIFS(Data!$N:$N,Data!$U:$U,$R60,Data!$T:$T,10))</f>
        <v/>
      </c>
      <c r="AD60" t="str">
        <f>IF(COUNTIFS(Data!$U:$U,$R60,Data!$T:$T,11,Data!$N:$N,"&lt;&gt;")=0,"",SUMIFS(Data!$N:$N,Data!$U:$U,$R60,Data!$T:$T,11))</f>
        <v/>
      </c>
      <c r="AE60" t="str">
        <f>IF(COUNTIFS(Data!$U:$U,$R60,Data!$T:$T,12,Data!$N:$N,"&lt;&gt;")=0,"",SUMIFS(Data!$N:$N,Data!$U:$U,$R60,Data!$T:$T,12))</f>
        <v/>
      </c>
      <c r="AF60" t="str">
        <f>IF(COUNTIFS(Data!$U:$U,$R60,Data!$T:$T,13,Data!$N:$N,"&lt;&gt;")=0,"",SUMIFS(Data!$N:$N,Data!$U:$U,$R60,Data!$T:$T,13))</f>
        <v/>
      </c>
      <c r="AG60" t="str">
        <f>IF(COUNTIFS(Data!$U:$U,$R60,Data!$T:$T,14,Data!$N:$N,"&lt;&gt;")=0,"",SUMIFS(Data!$N:$N,Data!$U:$U,$R60,Data!$T:$T,14))</f>
        <v/>
      </c>
      <c r="AH60">
        <f>COUNTIFS(Data!$U:$U,$R60,Data!$T:$T,"&lt;="&amp;14,Data!$N:$N,"&lt;&gt;")</f>
        <v>0</v>
      </c>
      <c r="AI60">
        <f>COUNTIFS(Data!$U:$U,$R60,Data!$T:$T,"&lt;="&amp;14,Data!$N:$N,0)</f>
        <v>0</v>
      </c>
      <c r="AJ60" t="str">
        <f t="shared" si="10"/>
        <v/>
      </c>
      <c r="AK60" t="str">
        <f>IF(AH60=0,"",SUMIFS(Data!$N:$N,Data!$U:$U,$R60,Data!$T:$T,"&lt;="&amp;14))</f>
        <v/>
      </c>
      <c r="AL60" t="str">
        <f t="shared" si="11"/>
        <v/>
      </c>
      <c r="AM60">
        <f t="shared" si="12"/>
        <v>-1</v>
      </c>
      <c r="AN60">
        <f t="shared" si="13"/>
        <v>61</v>
      </c>
    </row>
    <row r="61" spans="1:40" x14ac:dyDescent="0.2">
      <c r="A61">
        <v>59</v>
      </c>
      <c r="B61" s="27" t="str">
        <f>IFERROR(IF(INDEX(Data!$B:$B,MATCH($A61,Data!$T:$T,0))="","",INDEX(Data!$B:$B,MATCH($A61,Data!$T:$T,0))),"")</f>
        <v/>
      </c>
      <c r="C61" t="str">
        <f>IFERROR(IF(INDEX(Data!$D:$D,MATCH($A61,Data!$T:$T,0))="","",INDEX(Data!$D:$D,MATCH($A61,Data!$T:$T,0))),"")</f>
        <v/>
      </c>
      <c r="D61" s="27" t="str">
        <f>IFERROR(IF(INDEX(Data!$O:$O,MATCH($A61,Data!$T:$T,0))="","",INDEX(Data!$O:$O,MATCH($A61,Data!$T:$T,0))),"")</f>
        <v/>
      </c>
      <c r="E61">
        <f>COUNTIFS(Data!$T:$T,$A61)</f>
        <v>0</v>
      </c>
      <c r="F61">
        <f>COUNTIFS(Data!$T:$T,$A61,Data!$N:$N,"&lt;&gt;")</f>
        <v>0</v>
      </c>
      <c r="G61">
        <f>COUNTIFS(Data!$T:$T,$A61,Data!$N:$N,0)</f>
        <v>0</v>
      </c>
      <c r="H61" t="str">
        <f t="shared" si="7"/>
        <v/>
      </c>
      <c r="I61" t="str">
        <f>IF($F61=0,"",SUMIFS(Data!$N:$N,Data!$T:$T,$A61))</f>
        <v/>
      </c>
      <c r="J61">
        <f>COUNTIFS(Data!$T:$T,$A61,Data!$Q:$Q,"&lt;&gt;")</f>
        <v>0</v>
      </c>
      <c r="K61" t="str">
        <f>IF($J61=0,"",SUMIFS(Data!$Q:$Q,Data!$T:$T,$A61))</f>
        <v/>
      </c>
      <c r="L61">
        <f>COUNTIFS(Data!$T:$T,$A61,Data!$M:$M,"&lt;&gt;")</f>
        <v>0</v>
      </c>
      <c r="M61" t="str">
        <f t="shared" si="8"/>
        <v/>
      </c>
      <c r="N61">
        <f>COUNTIFS(Data!$T:$T,$A61,Data!$I:$I,"&lt;&gt;")</f>
        <v>0</v>
      </c>
      <c r="O61" t="str">
        <f t="shared" si="9"/>
        <v/>
      </c>
      <c r="R61">
        <v>59</v>
      </c>
      <c r="S61" t="str">
        <f>IFERROR(INDEX(Data!$G:$G,MATCH($R61,Data!$U:$U,0)),"")</f>
        <v>TEREA BLACK YELLOW</v>
      </c>
      <c r="T61" t="str">
        <f>IF(COUNTIFS(Data!$U:$U,$R61,Data!$T:$T,1,Data!$N:$N,"&lt;&gt;")=0,"",SUMIFS(Data!$N:$N,Data!$U:$U,$R61,Data!$T:$T,1))</f>
        <v/>
      </c>
      <c r="U61" t="str">
        <f>IF(COUNTIFS(Data!$U:$U,$R61,Data!$T:$T,2,Data!$N:$N,"&lt;&gt;")=0,"",SUMIFS(Data!$N:$N,Data!$U:$U,$R61,Data!$T:$T,2))</f>
        <v/>
      </c>
      <c r="V61" t="str">
        <f>IF(COUNTIFS(Data!$U:$U,$R61,Data!$T:$T,3,Data!$N:$N,"&lt;&gt;")=0,"",SUMIFS(Data!$N:$N,Data!$U:$U,$R61,Data!$T:$T,3))</f>
        <v/>
      </c>
      <c r="W61" t="str">
        <f>IF(COUNTIFS(Data!$U:$U,$R61,Data!$T:$T,4,Data!$N:$N,"&lt;&gt;")=0,"",SUMIFS(Data!$N:$N,Data!$U:$U,$R61,Data!$T:$T,4))</f>
        <v/>
      </c>
      <c r="X61" t="str">
        <f>IF(COUNTIFS(Data!$U:$U,$R61,Data!$T:$T,5,Data!$N:$N,"&lt;&gt;")=0,"",SUMIFS(Data!$N:$N,Data!$U:$U,$R61,Data!$T:$T,5))</f>
        <v/>
      </c>
      <c r="Y61" t="str">
        <f>IF(COUNTIFS(Data!$U:$U,$R61,Data!$T:$T,6,Data!$N:$N,"&lt;&gt;")=0,"",SUMIFS(Data!$N:$N,Data!$U:$U,$R61,Data!$T:$T,6))</f>
        <v/>
      </c>
      <c r="Z61" t="str">
        <f>IF(COUNTIFS(Data!$U:$U,$R61,Data!$T:$T,7,Data!$N:$N,"&lt;&gt;")=0,"",SUMIFS(Data!$N:$N,Data!$U:$U,$R61,Data!$T:$T,7))</f>
        <v/>
      </c>
      <c r="AA61" t="str">
        <f>IF(COUNTIFS(Data!$U:$U,$R61,Data!$T:$T,8,Data!$N:$N,"&lt;&gt;")=0,"",SUMIFS(Data!$N:$N,Data!$U:$U,$R61,Data!$T:$T,8))</f>
        <v/>
      </c>
      <c r="AB61" t="str">
        <f>IF(COUNTIFS(Data!$U:$U,$R61,Data!$T:$T,9,Data!$N:$N,"&lt;&gt;")=0,"",SUMIFS(Data!$N:$N,Data!$U:$U,$R61,Data!$T:$T,9))</f>
        <v/>
      </c>
      <c r="AC61" t="str">
        <f>IF(COUNTIFS(Data!$U:$U,$R61,Data!$T:$T,10,Data!$N:$N,"&lt;&gt;")=0,"",SUMIFS(Data!$N:$N,Data!$U:$U,$R61,Data!$T:$T,10))</f>
        <v/>
      </c>
      <c r="AD61" t="str">
        <f>IF(COUNTIFS(Data!$U:$U,$R61,Data!$T:$T,11,Data!$N:$N,"&lt;&gt;")=0,"",SUMIFS(Data!$N:$N,Data!$U:$U,$R61,Data!$T:$T,11))</f>
        <v/>
      </c>
      <c r="AE61" t="str">
        <f>IF(COUNTIFS(Data!$U:$U,$R61,Data!$T:$T,12,Data!$N:$N,"&lt;&gt;")=0,"",SUMIFS(Data!$N:$N,Data!$U:$U,$R61,Data!$T:$T,12))</f>
        <v/>
      </c>
      <c r="AF61" t="str">
        <f>IF(COUNTIFS(Data!$U:$U,$R61,Data!$T:$T,13,Data!$N:$N,"&lt;&gt;")=0,"",SUMIFS(Data!$N:$N,Data!$U:$U,$R61,Data!$T:$T,13))</f>
        <v/>
      </c>
      <c r="AG61" t="str">
        <f>IF(COUNTIFS(Data!$U:$U,$R61,Data!$T:$T,14,Data!$N:$N,"&lt;&gt;")=0,"",SUMIFS(Data!$N:$N,Data!$U:$U,$R61,Data!$T:$T,14))</f>
        <v/>
      </c>
      <c r="AH61">
        <f>COUNTIFS(Data!$U:$U,$R61,Data!$T:$T,"&lt;="&amp;14,Data!$N:$N,"&lt;&gt;")</f>
        <v>0</v>
      </c>
      <c r="AI61">
        <f>COUNTIFS(Data!$U:$U,$R61,Data!$T:$T,"&lt;="&amp;14,Data!$N:$N,0)</f>
        <v>0</v>
      </c>
      <c r="AJ61" t="str">
        <f t="shared" si="10"/>
        <v/>
      </c>
      <c r="AK61" t="str">
        <f>IF(AH61=0,"",SUMIFS(Data!$N:$N,Data!$U:$U,$R61,Data!$T:$T,"&lt;="&amp;14))</f>
        <v/>
      </c>
      <c r="AL61" t="str">
        <f t="shared" si="11"/>
        <v/>
      </c>
      <c r="AM61">
        <f t="shared" si="12"/>
        <v>-1</v>
      </c>
      <c r="AN61">
        <f t="shared" si="13"/>
        <v>62</v>
      </c>
    </row>
    <row r="62" spans="1:40" x14ac:dyDescent="0.2">
      <c r="A62">
        <v>60</v>
      </c>
      <c r="B62" s="27" t="str">
        <f>IFERROR(IF(INDEX(Data!$B:$B,MATCH($A62,Data!$T:$T,0))="","",INDEX(Data!$B:$B,MATCH($A62,Data!$T:$T,0))),"")</f>
        <v/>
      </c>
      <c r="C62" t="str">
        <f>IFERROR(IF(INDEX(Data!$D:$D,MATCH($A62,Data!$T:$T,0))="","",INDEX(Data!$D:$D,MATCH($A62,Data!$T:$T,0))),"")</f>
        <v/>
      </c>
      <c r="D62" s="27" t="str">
        <f>IFERROR(IF(INDEX(Data!$O:$O,MATCH($A62,Data!$T:$T,0))="","",INDEX(Data!$O:$O,MATCH($A62,Data!$T:$T,0))),"")</f>
        <v/>
      </c>
      <c r="E62">
        <f>COUNTIFS(Data!$T:$T,$A62)</f>
        <v>0</v>
      </c>
      <c r="F62">
        <f>COUNTIFS(Data!$T:$T,$A62,Data!$N:$N,"&lt;&gt;")</f>
        <v>0</v>
      </c>
      <c r="G62">
        <f>COUNTIFS(Data!$T:$T,$A62,Data!$N:$N,0)</f>
        <v>0</v>
      </c>
      <c r="H62" t="str">
        <f t="shared" si="7"/>
        <v/>
      </c>
      <c r="I62" t="str">
        <f>IF($F62=0,"",SUMIFS(Data!$N:$N,Data!$T:$T,$A62))</f>
        <v/>
      </c>
      <c r="J62">
        <f>COUNTIFS(Data!$T:$T,$A62,Data!$Q:$Q,"&lt;&gt;")</f>
        <v>0</v>
      </c>
      <c r="K62" t="str">
        <f>IF($J62=0,"",SUMIFS(Data!$Q:$Q,Data!$T:$T,$A62))</f>
        <v/>
      </c>
      <c r="L62">
        <f>COUNTIFS(Data!$T:$T,$A62,Data!$M:$M,"&lt;&gt;")</f>
        <v>0</v>
      </c>
      <c r="M62" t="str">
        <f t="shared" si="8"/>
        <v/>
      </c>
      <c r="N62">
        <f>COUNTIFS(Data!$T:$T,$A62,Data!$I:$I,"&lt;&gt;")</f>
        <v>0</v>
      </c>
      <c r="O62" t="str">
        <f t="shared" si="9"/>
        <v/>
      </c>
      <c r="R62">
        <v>60</v>
      </c>
      <c r="S62" t="str">
        <f>IFERROR(INDEX(Data!$G:$G,MATCH($R62,Data!$U:$U,0)),"")</f>
        <v>TEREA BLUE</v>
      </c>
      <c r="T62" t="str">
        <f>IF(COUNTIFS(Data!$U:$U,$R62,Data!$T:$T,1,Data!$N:$N,"&lt;&gt;")=0,"",SUMIFS(Data!$N:$N,Data!$U:$U,$R62,Data!$T:$T,1))</f>
        <v/>
      </c>
      <c r="U62" t="str">
        <f>IF(COUNTIFS(Data!$U:$U,$R62,Data!$T:$T,2,Data!$N:$N,"&lt;&gt;")=0,"",SUMIFS(Data!$N:$N,Data!$U:$U,$R62,Data!$T:$T,2))</f>
        <v/>
      </c>
      <c r="V62" t="str">
        <f>IF(COUNTIFS(Data!$U:$U,$R62,Data!$T:$T,3,Data!$N:$N,"&lt;&gt;")=0,"",SUMIFS(Data!$N:$N,Data!$U:$U,$R62,Data!$T:$T,3))</f>
        <v/>
      </c>
      <c r="W62" t="str">
        <f>IF(COUNTIFS(Data!$U:$U,$R62,Data!$T:$T,4,Data!$N:$N,"&lt;&gt;")=0,"",SUMIFS(Data!$N:$N,Data!$U:$U,$R62,Data!$T:$T,4))</f>
        <v/>
      </c>
      <c r="X62" t="str">
        <f>IF(COUNTIFS(Data!$U:$U,$R62,Data!$T:$T,5,Data!$N:$N,"&lt;&gt;")=0,"",SUMIFS(Data!$N:$N,Data!$U:$U,$R62,Data!$T:$T,5))</f>
        <v/>
      </c>
      <c r="Y62" t="str">
        <f>IF(COUNTIFS(Data!$U:$U,$R62,Data!$T:$T,6,Data!$N:$N,"&lt;&gt;")=0,"",SUMIFS(Data!$N:$N,Data!$U:$U,$R62,Data!$T:$T,6))</f>
        <v/>
      </c>
      <c r="Z62" t="str">
        <f>IF(COUNTIFS(Data!$U:$U,$R62,Data!$T:$T,7,Data!$N:$N,"&lt;&gt;")=0,"",SUMIFS(Data!$N:$N,Data!$U:$U,$R62,Data!$T:$T,7))</f>
        <v/>
      </c>
      <c r="AA62" t="str">
        <f>IF(COUNTIFS(Data!$U:$U,$R62,Data!$T:$T,8,Data!$N:$N,"&lt;&gt;")=0,"",SUMIFS(Data!$N:$N,Data!$U:$U,$R62,Data!$T:$T,8))</f>
        <v/>
      </c>
      <c r="AB62" t="str">
        <f>IF(COUNTIFS(Data!$U:$U,$R62,Data!$T:$T,9,Data!$N:$N,"&lt;&gt;")=0,"",SUMIFS(Data!$N:$N,Data!$U:$U,$R62,Data!$T:$T,9))</f>
        <v/>
      </c>
      <c r="AC62" t="str">
        <f>IF(COUNTIFS(Data!$U:$U,$R62,Data!$T:$T,10,Data!$N:$N,"&lt;&gt;")=0,"",SUMIFS(Data!$N:$N,Data!$U:$U,$R62,Data!$T:$T,10))</f>
        <v/>
      </c>
      <c r="AD62" t="str">
        <f>IF(COUNTIFS(Data!$U:$U,$R62,Data!$T:$T,11,Data!$N:$N,"&lt;&gt;")=0,"",SUMIFS(Data!$N:$N,Data!$U:$U,$R62,Data!$T:$T,11))</f>
        <v/>
      </c>
      <c r="AE62" t="str">
        <f>IF(COUNTIFS(Data!$U:$U,$R62,Data!$T:$T,12,Data!$N:$N,"&lt;&gt;")=0,"",SUMIFS(Data!$N:$N,Data!$U:$U,$R62,Data!$T:$T,12))</f>
        <v/>
      </c>
      <c r="AF62" t="str">
        <f>IF(COUNTIFS(Data!$U:$U,$R62,Data!$T:$T,13,Data!$N:$N,"&lt;&gt;")=0,"",SUMIFS(Data!$N:$N,Data!$U:$U,$R62,Data!$T:$T,13))</f>
        <v/>
      </c>
      <c r="AG62" t="str">
        <f>IF(COUNTIFS(Data!$U:$U,$R62,Data!$T:$T,14,Data!$N:$N,"&lt;&gt;")=0,"",SUMIFS(Data!$N:$N,Data!$U:$U,$R62,Data!$T:$T,14))</f>
        <v/>
      </c>
      <c r="AH62">
        <f>COUNTIFS(Data!$U:$U,$R62,Data!$T:$T,"&lt;="&amp;14,Data!$N:$N,"&lt;&gt;")</f>
        <v>0</v>
      </c>
      <c r="AI62">
        <f>COUNTIFS(Data!$U:$U,$R62,Data!$T:$T,"&lt;="&amp;14,Data!$N:$N,0)</f>
        <v>0</v>
      </c>
      <c r="AJ62" t="str">
        <f t="shared" si="10"/>
        <v/>
      </c>
      <c r="AK62" t="str">
        <f>IF(AH62=0,"",SUMIFS(Data!$N:$N,Data!$U:$U,$R62,Data!$T:$T,"&lt;="&amp;14))</f>
        <v/>
      </c>
      <c r="AL62" t="str">
        <f t="shared" si="11"/>
        <v/>
      </c>
      <c r="AM62">
        <f t="shared" si="12"/>
        <v>-1</v>
      </c>
      <c r="AN62">
        <f t="shared" si="13"/>
        <v>63</v>
      </c>
    </row>
    <row r="63" spans="1:40" x14ac:dyDescent="0.2">
      <c r="R63">
        <v>61</v>
      </c>
      <c r="S63" t="str">
        <f>IFERROR(INDEX(Data!$G:$G,MATCH($R63,Data!$U:$U,0)),"")</f>
        <v>TEREA BLUEBERRY</v>
      </c>
      <c r="T63" t="str">
        <f>IF(COUNTIFS(Data!$U:$U,$R63,Data!$T:$T,1,Data!$N:$N,"&lt;&gt;")=0,"",SUMIFS(Data!$N:$N,Data!$U:$U,$R63,Data!$T:$T,1))</f>
        <v/>
      </c>
      <c r="U63" t="str">
        <f>IF(COUNTIFS(Data!$U:$U,$R63,Data!$T:$T,2,Data!$N:$N,"&lt;&gt;")=0,"",SUMIFS(Data!$N:$N,Data!$U:$U,$R63,Data!$T:$T,2))</f>
        <v/>
      </c>
      <c r="V63" t="str">
        <f>IF(COUNTIFS(Data!$U:$U,$R63,Data!$T:$T,3,Data!$N:$N,"&lt;&gt;")=0,"",SUMIFS(Data!$N:$N,Data!$U:$U,$R63,Data!$T:$T,3))</f>
        <v/>
      </c>
      <c r="W63" t="str">
        <f>IF(COUNTIFS(Data!$U:$U,$R63,Data!$T:$T,4,Data!$N:$N,"&lt;&gt;")=0,"",SUMIFS(Data!$N:$N,Data!$U:$U,$R63,Data!$T:$T,4))</f>
        <v/>
      </c>
      <c r="X63" t="str">
        <f>IF(COUNTIFS(Data!$U:$U,$R63,Data!$T:$T,5,Data!$N:$N,"&lt;&gt;")=0,"",SUMIFS(Data!$N:$N,Data!$U:$U,$R63,Data!$T:$T,5))</f>
        <v/>
      </c>
      <c r="Y63" t="str">
        <f>IF(COUNTIFS(Data!$U:$U,$R63,Data!$T:$T,6,Data!$N:$N,"&lt;&gt;")=0,"",SUMIFS(Data!$N:$N,Data!$U:$U,$R63,Data!$T:$T,6))</f>
        <v/>
      </c>
      <c r="Z63" t="str">
        <f>IF(COUNTIFS(Data!$U:$U,$R63,Data!$T:$T,7,Data!$N:$N,"&lt;&gt;")=0,"",SUMIFS(Data!$N:$N,Data!$U:$U,$R63,Data!$T:$T,7))</f>
        <v/>
      </c>
      <c r="AA63" t="str">
        <f>IF(COUNTIFS(Data!$U:$U,$R63,Data!$T:$T,8,Data!$N:$N,"&lt;&gt;")=0,"",SUMIFS(Data!$N:$N,Data!$U:$U,$R63,Data!$T:$T,8))</f>
        <v/>
      </c>
      <c r="AB63" t="str">
        <f>IF(COUNTIFS(Data!$U:$U,$R63,Data!$T:$T,9,Data!$N:$N,"&lt;&gt;")=0,"",SUMIFS(Data!$N:$N,Data!$U:$U,$R63,Data!$T:$T,9))</f>
        <v/>
      </c>
      <c r="AC63" t="str">
        <f>IF(COUNTIFS(Data!$U:$U,$R63,Data!$T:$T,10,Data!$N:$N,"&lt;&gt;")=0,"",SUMIFS(Data!$N:$N,Data!$U:$U,$R63,Data!$T:$T,10))</f>
        <v/>
      </c>
      <c r="AD63" t="str">
        <f>IF(COUNTIFS(Data!$U:$U,$R63,Data!$T:$T,11,Data!$N:$N,"&lt;&gt;")=0,"",SUMIFS(Data!$N:$N,Data!$U:$U,$R63,Data!$T:$T,11))</f>
        <v/>
      </c>
      <c r="AE63" t="str">
        <f>IF(COUNTIFS(Data!$U:$U,$R63,Data!$T:$T,12,Data!$N:$N,"&lt;&gt;")=0,"",SUMIFS(Data!$N:$N,Data!$U:$U,$R63,Data!$T:$T,12))</f>
        <v/>
      </c>
      <c r="AF63" t="str">
        <f>IF(COUNTIFS(Data!$U:$U,$R63,Data!$T:$T,13,Data!$N:$N,"&lt;&gt;")=0,"",SUMIFS(Data!$N:$N,Data!$U:$U,$R63,Data!$T:$T,13))</f>
        <v/>
      </c>
      <c r="AG63" t="str">
        <f>IF(COUNTIFS(Data!$U:$U,$R63,Data!$T:$T,14,Data!$N:$N,"&lt;&gt;")=0,"",SUMIFS(Data!$N:$N,Data!$U:$U,$R63,Data!$T:$T,14))</f>
        <v/>
      </c>
      <c r="AH63">
        <f>COUNTIFS(Data!$U:$U,$R63,Data!$T:$T,"&lt;="&amp;14,Data!$N:$N,"&lt;&gt;")</f>
        <v>0</v>
      </c>
      <c r="AI63">
        <f>COUNTIFS(Data!$U:$U,$R63,Data!$T:$T,"&lt;="&amp;14,Data!$N:$N,0)</f>
        <v>0</v>
      </c>
      <c r="AJ63" t="str">
        <f t="shared" si="10"/>
        <v/>
      </c>
      <c r="AK63" t="str">
        <f>IF(AH63=0,"",SUMIFS(Data!$N:$N,Data!$U:$U,$R63,Data!$T:$T,"&lt;="&amp;14))</f>
        <v/>
      </c>
      <c r="AL63" t="str">
        <f t="shared" si="11"/>
        <v/>
      </c>
      <c r="AM63">
        <f t="shared" si="12"/>
        <v>-1</v>
      </c>
      <c r="AN63">
        <f t="shared" si="13"/>
        <v>64</v>
      </c>
    </row>
    <row r="64" spans="1:40" x14ac:dyDescent="0.2">
      <c r="R64">
        <v>62</v>
      </c>
      <c r="S64" t="str">
        <f>IFERROR(INDEX(Data!$G:$G,MATCH($R64,Data!$U:$U,0)),"")</f>
        <v>TEREA GRAPE</v>
      </c>
      <c r="T64" t="str">
        <f>IF(COUNTIFS(Data!$U:$U,$R64,Data!$T:$T,1,Data!$N:$N,"&lt;&gt;")=0,"",SUMIFS(Data!$N:$N,Data!$U:$U,$R64,Data!$T:$T,1))</f>
        <v/>
      </c>
      <c r="U64" t="str">
        <f>IF(COUNTIFS(Data!$U:$U,$R64,Data!$T:$T,2,Data!$N:$N,"&lt;&gt;")=0,"",SUMIFS(Data!$N:$N,Data!$U:$U,$R64,Data!$T:$T,2))</f>
        <v/>
      </c>
      <c r="V64" t="str">
        <f>IF(COUNTIFS(Data!$U:$U,$R64,Data!$T:$T,3,Data!$N:$N,"&lt;&gt;")=0,"",SUMIFS(Data!$N:$N,Data!$U:$U,$R64,Data!$T:$T,3))</f>
        <v/>
      </c>
      <c r="W64" t="str">
        <f>IF(COUNTIFS(Data!$U:$U,$R64,Data!$T:$T,4,Data!$N:$N,"&lt;&gt;")=0,"",SUMIFS(Data!$N:$N,Data!$U:$U,$R64,Data!$T:$T,4))</f>
        <v/>
      </c>
      <c r="X64" t="str">
        <f>IF(COUNTIFS(Data!$U:$U,$R64,Data!$T:$T,5,Data!$N:$N,"&lt;&gt;")=0,"",SUMIFS(Data!$N:$N,Data!$U:$U,$R64,Data!$T:$T,5))</f>
        <v/>
      </c>
      <c r="Y64" t="str">
        <f>IF(COUNTIFS(Data!$U:$U,$R64,Data!$T:$T,6,Data!$N:$N,"&lt;&gt;")=0,"",SUMIFS(Data!$N:$N,Data!$U:$U,$R64,Data!$T:$T,6))</f>
        <v/>
      </c>
      <c r="Z64" t="str">
        <f>IF(COUNTIFS(Data!$U:$U,$R64,Data!$T:$T,7,Data!$N:$N,"&lt;&gt;")=0,"",SUMIFS(Data!$N:$N,Data!$U:$U,$R64,Data!$T:$T,7))</f>
        <v/>
      </c>
      <c r="AA64" t="str">
        <f>IF(COUNTIFS(Data!$U:$U,$R64,Data!$T:$T,8,Data!$N:$N,"&lt;&gt;")=0,"",SUMIFS(Data!$N:$N,Data!$U:$U,$R64,Data!$T:$T,8))</f>
        <v/>
      </c>
      <c r="AB64" t="str">
        <f>IF(COUNTIFS(Data!$U:$U,$R64,Data!$T:$T,9,Data!$N:$N,"&lt;&gt;")=0,"",SUMIFS(Data!$N:$N,Data!$U:$U,$R64,Data!$T:$T,9))</f>
        <v/>
      </c>
      <c r="AC64" t="str">
        <f>IF(COUNTIFS(Data!$U:$U,$R64,Data!$T:$T,10,Data!$N:$N,"&lt;&gt;")=0,"",SUMIFS(Data!$N:$N,Data!$U:$U,$R64,Data!$T:$T,10))</f>
        <v/>
      </c>
      <c r="AD64" t="str">
        <f>IF(COUNTIFS(Data!$U:$U,$R64,Data!$T:$T,11,Data!$N:$N,"&lt;&gt;")=0,"",SUMIFS(Data!$N:$N,Data!$U:$U,$R64,Data!$T:$T,11))</f>
        <v/>
      </c>
      <c r="AE64" t="str">
        <f>IF(COUNTIFS(Data!$U:$U,$R64,Data!$T:$T,12,Data!$N:$N,"&lt;&gt;")=0,"",SUMIFS(Data!$N:$N,Data!$U:$U,$R64,Data!$T:$T,12))</f>
        <v/>
      </c>
      <c r="AF64" t="str">
        <f>IF(COUNTIFS(Data!$U:$U,$R64,Data!$T:$T,13,Data!$N:$N,"&lt;&gt;")=0,"",SUMIFS(Data!$N:$N,Data!$U:$U,$R64,Data!$T:$T,13))</f>
        <v/>
      </c>
      <c r="AG64" t="str">
        <f>IF(COUNTIFS(Data!$U:$U,$R64,Data!$T:$T,14,Data!$N:$N,"&lt;&gt;")=0,"",SUMIFS(Data!$N:$N,Data!$U:$U,$R64,Data!$T:$T,14))</f>
        <v/>
      </c>
      <c r="AH64">
        <f>COUNTIFS(Data!$U:$U,$R64,Data!$T:$T,"&lt;="&amp;14,Data!$N:$N,"&lt;&gt;")</f>
        <v>0</v>
      </c>
      <c r="AI64">
        <f>COUNTIFS(Data!$U:$U,$R64,Data!$T:$T,"&lt;="&amp;14,Data!$N:$N,0)</f>
        <v>0</v>
      </c>
      <c r="AJ64" t="str">
        <f t="shared" si="10"/>
        <v/>
      </c>
      <c r="AK64" t="str">
        <f>IF(AH64=0,"",SUMIFS(Data!$N:$N,Data!$U:$U,$R64,Data!$T:$T,"&lt;="&amp;14))</f>
        <v/>
      </c>
      <c r="AL64" t="str">
        <f t="shared" si="11"/>
        <v/>
      </c>
      <c r="AM64">
        <f t="shared" si="12"/>
        <v>-1</v>
      </c>
      <c r="AN64">
        <f t="shared" si="13"/>
        <v>65</v>
      </c>
    </row>
    <row r="65" spans="18:40" x14ac:dyDescent="0.2">
      <c r="R65">
        <v>63</v>
      </c>
      <c r="S65" t="str">
        <f>IFERROR(INDEX(Data!$G:$G,MATCH($R65,Data!$U:$U,0)),"")</f>
        <v>TEREA KRETEK</v>
      </c>
      <c r="T65" t="str">
        <f>IF(COUNTIFS(Data!$U:$U,$R65,Data!$T:$T,1,Data!$N:$N,"&lt;&gt;")=0,"",SUMIFS(Data!$N:$N,Data!$U:$U,$R65,Data!$T:$T,1))</f>
        <v/>
      </c>
      <c r="U65" t="str">
        <f>IF(COUNTIFS(Data!$U:$U,$R65,Data!$T:$T,2,Data!$N:$N,"&lt;&gt;")=0,"",SUMIFS(Data!$N:$N,Data!$U:$U,$R65,Data!$T:$T,2))</f>
        <v/>
      </c>
      <c r="V65" t="str">
        <f>IF(COUNTIFS(Data!$U:$U,$R65,Data!$T:$T,3,Data!$N:$N,"&lt;&gt;")=0,"",SUMIFS(Data!$N:$N,Data!$U:$U,$R65,Data!$T:$T,3))</f>
        <v/>
      </c>
      <c r="W65" t="str">
        <f>IF(COUNTIFS(Data!$U:$U,$R65,Data!$T:$T,4,Data!$N:$N,"&lt;&gt;")=0,"",SUMIFS(Data!$N:$N,Data!$U:$U,$R65,Data!$T:$T,4))</f>
        <v/>
      </c>
      <c r="X65" t="str">
        <f>IF(COUNTIFS(Data!$U:$U,$R65,Data!$T:$T,5,Data!$N:$N,"&lt;&gt;")=0,"",SUMIFS(Data!$N:$N,Data!$U:$U,$R65,Data!$T:$T,5))</f>
        <v/>
      </c>
      <c r="Y65" t="str">
        <f>IF(COUNTIFS(Data!$U:$U,$R65,Data!$T:$T,6,Data!$N:$N,"&lt;&gt;")=0,"",SUMIFS(Data!$N:$N,Data!$U:$U,$R65,Data!$T:$T,6))</f>
        <v/>
      </c>
      <c r="Z65" t="str">
        <f>IF(COUNTIFS(Data!$U:$U,$R65,Data!$T:$T,7,Data!$N:$N,"&lt;&gt;")=0,"",SUMIFS(Data!$N:$N,Data!$U:$U,$R65,Data!$T:$T,7))</f>
        <v/>
      </c>
      <c r="AA65" t="str">
        <f>IF(COUNTIFS(Data!$U:$U,$R65,Data!$T:$T,8,Data!$N:$N,"&lt;&gt;")=0,"",SUMIFS(Data!$N:$N,Data!$U:$U,$R65,Data!$T:$T,8))</f>
        <v/>
      </c>
      <c r="AB65" t="str">
        <f>IF(COUNTIFS(Data!$U:$U,$R65,Data!$T:$T,9,Data!$N:$N,"&lt;&gt;")=0,"",SUMIFS(Data!$N:$N,Data!$U:$U,$R65,Data!$T:$T,9))</f>
        <v/>
      </c>
      <c r="AC65" t="str">
        <f>IF(COUNTIFS(Data!$U:$U,$R65,Data!$T:$T,10,Data!$N:$N,"&lt;&gt;")=0,"",SUMIFS(Data!$N:$N,Data!$U:$U,$R65,Data!$T:$T,10))</f>
        <v/>
      </c>
      <c r="AD65" t="str">
        <f>IF(COUNTIFS(Data!$U:$U,$R65,Data!$T:$T,11,Data!$N:$N,"&lt;&gt;")=0,"",SUMIFS(Data!$N:$N,Data!$U:$U,$R65,Data!$T:$T,11))</f>
        <v/>
      </c>
      <c r="AE65" t="str">
        <f>IF(COUNTIFS(Data!$U:$U,$R65,Data!$T:$T,12,Data!$N:$N,"&lt;&gt;")=0,"",SUMIFS(Data!$N:$N,Data!$U:$U,$R65,Data!$T:$T,12))</f>
        <v/>
      </c>
      <c r="AF65" t="str">
        <f>IF(COUNTIFS(Data!$U:$U,$R65,Data!$T:$T,13,Data!$N:$N,"&lt;&gt;")=0,"",SUMIFS(Data!$N:$N,Data!$U:$U,$R65,Data!$T:$T,13))</f>
        <v/>
      </c>
      <c r="AG65" t="str">
        <f>IF(COUNTIFS(Data!$U:$U,$R65,Data!$T:$T,14,Data!$N:$N,"&lt;&gt;")=0,"",SUMIFS(Data!$N:$N,Data!$U:$U,$R65,Data!$T:$T,14))</f>
        <v/>
      </c>
      <c r="AH65">
        <f>COUNTIFS(Data!$U:$U,$R65,Data!$T:$T,"&lt;="&amp;14,Data!$N:$N,"&lt;&gt;")</f>
        <v>0</v>
      </c>
      <c r="AI65">
        <f>COUNTIFS(Data!$U:$U,$R65,Data!$T:$T,"&lt;="&amp;14,Data!$N:$N,0)</f>
        <v>0</v>
      </c>
      <c r="AJ65" t="str">
        <f t="shared" si="10"/>
        <v/>
      </c>
      <c r="AK65" t="str">
        <f>IF(AH65=0,"",SUMIFS(Data!$N:$N,Data!$U:$U,$R65,Data!$T:$T,"&lt;="&amp;14))</f>
        <v/>
      </c>
      <c r="AL65" t="str">
        <f t="shared" si="11"/>
        <v/>
      </c>
      <c r="AM65">
        <f t="shared" si="12"/>
        <v>-1</v>
      </c>
      <c r="AN65">
        <f t="shared" si="13"/>
        <v>66</v>
      </c>
    </row>
    <row r="66" spans="18:40" x14ac:dyDescent="0.2">
      <c r="R66">
        <v>64</v>
      </c>
      <c r="S66" t="str">
        <f>IFERROR(INDEX(Data!$G:$G,MATCH($R66,Data!$U:$U,0)),"")</f>
        <v>TEREA KRETEK MULBERRY</v>
      </c>
      <c r="T66" t="str">
        <f>IF(COUNTIFS(Data!$U:$U,$R66,Data!$T:$T,1,Data!$N:$N,"&lt;&gt;")=0,"",SUMIFS(Data!$N:$N,Data!$U:$U,$R66,Data!$T:$T,1))</f>
        <v/>
      </c>
      <c r="U66" t="str">
        <f>IF(COUNTIFS(Data!$U:$U,$R66,Data!$T:$T,2,Data!$N:$N,"&lt;&gt;")=0,"",SUMIFS(Data!$N:$N,Data!$U:$U,$R66,Data!$T:$T,2))</f>
        <v/>
      </c>
      <c r="V66" t="str">
        <f>IF(COUNTIFS(Data!$U:$U,$R66,Data!$T:$T,3,Data!$N:$N,"&lt;&gt;")=0,"",SUMIFS(Data!$N:$N,Data!$U:$U,$R66,Data!$T:$T,3))</f>
        <v/>
      </c>
      <c r="W66" t="str">
        <f>IF(COUNTIFS(Data!$U:$U,$R66,Data!$T:$T,4,Data!$N:$N,"&lt;&gt;")=0,"",SUMIFS(Data!$N:$N,Data!$U:$U,$R66,Data!$T:$T,4))</f>
        <v/>
      </c>
      <c r="X66" t="str">
        <f>IF(COUNTIFS(Data!$U:$U,$R66,Data!$T:$T,5,Data!$N:$N,"&lt;&gt;")=0,"",SUMIFS(Data!$N:$N,Data!$U:$U,$R66,Data!$T:$T,5))</f>
        <v/>
      </c>
      <c r="Y66" t="str">
        <f>IF(COUNTIFS(Data!$U:$U,$R66,Data!$T:$T,6,Data!$N:$N,"&lt;&gt;")=0,"",SUMIFS(Data!$N:$N,Data!$U:$U,$R66,Data!$T:$T,6))</f>
        <v/>
      </c>
      <c r="Z66" t="str">
        <f>IF(COUNTIFS(Data!$U:$U,$R66,Data!$T:$T,7,Data!$N:$N,"&lt;&gt;")=0,"",SUMIFS(Data!$N:$N,Data!$U:$U,$R66,Data!$T:$T,7))</f>
        <v/>
      </c>
      <c r="AA66" t="str">
        <f>IF(COUNTIFS(Data!$U:$U,$R66,Data!$T:$T,8,Data!$N:$N,"&lt;&gt;")=0,"",SUMIFS(Data!$N:$N,Data!$U:$U,$R66,Data!$T:$T,8))</f>
        <v/>
      </c>
      <c r="AB66" t="str">
        <f>IF(COUNTIFS(Data!$U:$U,$R66,Data!$T:$T,9,Data!$N:$N,"&lt;&gt;")=0,"",SUMIFS(Data!$N:$N,Data!$U:$U,$R66,Data!$T:$T,9))</f>
        <v/>
      </c>
      <c r="AC66" t="str">
        <f>IF(COUNTIFS(Data!$U:$U,$R66,Data!$T:$T,10,Data!$N:$N,"&lt;&gt;")=0,"",SUMIFS(Data!$N:$N,Data!$U:$U,$R66,Data!$T:$T,10))</f>
        <v/>
      </c>
      <c r="AD66" t="str">
        <f>IF(COUNTIFS(Data!$U:$U,$R66,Data!$T:$T,11,Data!$N:$N,"&lt;&gt;")=0,"",SUMIFS(Data!$N:$N,Data!$U:$U,$R66,Data!$T:$T,11))</f>
        <v/>
      </c>
      <c r="AE66" t="str">
        <f>IF(COUNTIFS(Data!$U:$U,$R66,Data!$T:$T,12,Data!$N:$N,"&lt;&gt;")=0,"",SUMIFS(Data!$N:$N,Data!$U:$U,$R66,Data!$T:$T,12))</f>
        <v/>
      </c>
      <c r="AF66" t="str">
        <f>IF(COUNTIFS(Data!$U:$U,$R66,Data!$T:$T,13,Data!$N:$N,"&lt;&gt;")=0,"",SUMIFS(Data!$N:$N,Data!$U:$U,$R66,Data!$T:$T,13))</f>
        <v/>
      </c>
      <c r="AG66" t="str">
        <f>IF(COUNTIFS(Data!$U:$U,$R66,Data!$T:$T,14,Data!$N:$N,"&lt;&gt;")=0,"",SUMIFS(Data!$N:$N,Data!$U:$U,$R66,Data!$T:$T,14))</f>
        <v/>
      </c>
      <c r="AH66">
        <f>COUNTIFS(Data!$U:$U,$R66,Data!$T:$T,"&lt;="&amp;14,Data!$N:$N,"&lt;&gt;")</f>
        <v>0</v>
      </c>
      <c r="AI66">
        <f>COUNTIFS(Data!$U:$U,$R66,Data!$T:$T,"&lt;="&amp;14,Data!$N:$N,0)</f>
        <v>0</v>
      </c>
      <c r="AJ66" t="str">
        <f t="shared" si="10"/>
        <v/>
      </c>
      <c r="AK66" t="str">
        <f>IF(AH66=0,"",SUMIFS(Data!$N:$N,Data!$U:$U,$R66,Data!$T:$T,"&lt;="&amp;14))</f>
        <v/>
      </c>
      <c r="AL66" t="str">
        <f t="shared" si="11"/>
        <v/>
      </c>
      <c r="AM66">
        <f t="shared" si="12"/>
        <v>-1</v>
      </c>
      <c r="AN66">
        <f t="shared" si="13"/>
        <v>67</v>
      </c>
    </row>
    <row r="67" spans="18:40" x14ac:dyDescent="0.2">
      <c r="R67">
        <v>65</v>
      </c>
      <c r="S67" t="str">
        <f>IFERROR(INDEX(Data!$G:$G,MATCH($R67,Data!$U:$U,0)),"")</f>
        <v>TEREA LEMON</v>
      </c>
      <c r="T67" t="str">
        <f>IF(COUNTIFS(Data!$U:$U,$R67,Data!$T:$T,1,Data!$N:$N,"&lt;&gt;")=0,"",SUMIFS(Data!$N:$N,Data!$U:$U,$R67,Data!$T:$T,1))</f>
        <v/>
      </c>
      <c r="U67" t="str">
        <f>IF(COUNTIFS(Data!$U:$U,$R67,Data!$T:$T,2,Data!$N:$N,"&lt;&gt;")=0,"",SUMIFS(Data!$N:$N,Data!$U:$U,$R67,Data!$T:$T,2))</f>
        <v/>
      </c>
      <c r="V67" t="str">
        <f>IF(COUNTIFS(Data!$U:$U,$R67,Data!$T:$T,3,Data!$N:$N,"&lt;&gt;")=0,"",SUMIFS(Data!$N:$N,Data!$U:$U,$R67,Data!$T:$T,3))</f>
        <v/>
      </c>
      <c r="W67" t="str">
        <f>IF(COUNTIFS(Data!$U:$U,$R67,Data!$T:$T,4,Data!$N:$N,"&lt;&gt;")=0,"",SUMIFS(Data!$N:$N,Data!$U:$U,$R67,Data!$T:$T,4))</f>
        <v/>
      </c>
      <c r="X67" t="str">
        <f>IF(COUNTIFS(Data!$U:$U,$R67,Data!$T:$T,5,Data!$N:$N,"&lt;&gt;")=0,"",SUMIFS(Data!$N:$N,Data!$U:$U,$R67,Data!$T:$T,5))</f>
        <v/>
      </c>
      <c r="Y67" t="str">
        <f>IF(COUNTIFS(Data!$U:$U,$R67,Data!$T:$T,6,Data!$N:$N,"&lt;&gt;")=0,"",SUMIFS(Data!$N:$N,Data!$U:$U,$R67,Data!$T:$T,6))</f>
        <v/>
      </c>
      <c r="Z67" t="str">
        <f>IF(COUNTIFS(Data!$U:$U,$R67,Data!$T:$T,7,Data!$N:$N,"&lt;&gt;")=0,"",SUMIFS(Data!$N:$N,Data!$U:$U,$R67,Data!$T:$T,7))</f>
        <v/>
      </c>
      <c r="AA67" t="str">
        <f>IF(COUNTIFS(Data!$U:$U,$R67,Data!$T:$T,8,Data!$N:$N,"&lt;&gt;")=0,"",SUMIFS(Data!$N:$N,Data!$U:$U,$R67,Data!$T:$T,8))</f>
        <v/>
      </c>
      <c r="AB67" t="str">
        <f>IF(COUNTIFS(Data!$U:$U,$R67,Data!$T:$T,9,Data!$N:$N,"&lt;&gt;")=0,"",SUMIFS(Data!$N:$N,Data!$U:$U,$R67,Data!$T:$T,9))</f>
        <v/>
      </c>
      <c r="AC67" t="str">
        <f>IF(COUNTIFS(Data!$U:$U,$R67,Data!$T:$T,10,Data!$N:$N,"&lt;&gt;")=0,"",SUMIFS(Data!$N:$N,Data!$U:$U,$R67,Data!$T:$T,10))</f>
        <v/>
      </c>
      <c r="AD67" t="str">
        <f>IF(COUNTIFS(Data!$U:$U,$R67,Data!$T:$T,11,Data!$N:$N,"&lt;&gt;")=0,"",SUMIFS(Data!$N:$N,Data!$U:$U,$R67,Data!$T:$T,11))</f>
        <v/>
      </c>
      <c r="AE67" t="str">
        <f>IF(COUNTIFS(Data!$U:$U,$R67,Data!$T:$T,12,Data!$N:$N,"&lt;&gt;")=0,"",SUMIFS(Data!$N:$N,Data!$U:$U,$R67,Data!$T:$T,12))</f>
        <v/>
      </c>
      <c r="AF67" t="str">
        <f>IF(COUNTIFS(Data!$U:$U,$R67,Data!$T:$T,13,Data!$N:$N,"&lt;&gt;")=0,"",SUMIFS(Data!$N:$N,Data!$U:$U,$R67,Data!$T:$T,13))</f>
        <v/>
      </c>
      <c r="AG67" t="str">
        <f>IF(COUNTIFS(Data!$U:$U,$R67,Data!$T:$T,14,Data!$N:$N,"&lt;&gt;")=0,"",SUMIFS(Data!$N:$N,Data!$U:$U,$R67,Data!$T:$T,14))</f>
        <v/>
      </c>
      <c r="AH67">
        <f>COUNTIFS(Data!$U:$U,$R67,Data!$T:$T,"&lt;="&amp;14,Data!$N:$N,"&lt;&gt;")</f>
        <v>0</v>
      </c>
      <c r="AI67">
        <f>COUNTIFS(Data!$U:$U,$R67,Data!$T:$T,"&lt;="&amp;14,Data!$N:$N,0)</f>
        <v>0</v>
      </c>
      <c r="AJ67" t="str">
        <f t="shared" ref="AJ67:AJ98" si="14">IF(AH67=0,"",AH67-AI67)</f>
        <v/>
      </c>
      <c r="AK67" t="str">
        <f>IF(AH67=0,"",SUMIFS(Data!$N:$N,Data!$U:$U,$R67,Data!$T:$T,"&lt;="&amp;14))</f>
        <v/>
      </c>
      <c r="AL67" t="str">
        <f t="shared" ref="AL67:AL98" si="15">IF(AH67=0,"",IF(ABS(MAX(T67:AG67))&gt;=ABS(MIN(T67:AG67)),MAX(T67:AG67),MIN(T67:AG67)))</f>
        <v/>
      </c>
      <c r="AM67">
        <f t="shared" ref="AM67:AM98" si="16">IF(AH67=0,-1,AJ67*100000+MIN(ABS(AK67),99999))</f>
        <v>-1</v>
      </c>
      <c r="AN67">
        <f t="shared" ref="AN67:AN98" si="17">IF($S67="","",1+COUNTIFS($AM$3:$AM$122,"&gt;"&amp;AM67)+COUNTIFS($AM$3:$AM$122,AM67,$R$3:$R$122,"&lt;"&amp;$R67))</f>
        <v>68</v>
      </c>
    </row>
    <row r="68" spans="18:40" x14ac:dyDescent="0.2">
      <c r="R68">
        <v>66</v>
      </c>
      <c r="S68" t="str">
        <f>IFERROR(INDEX(Data!$G:$G,MATCH($R68,Data!$U:$U,0)),"")</f>
        <v>TEREA PASSION FRUIT</v>
      </c>
      <c r="T68" t="str">
        <f>IF(COUNTIFS(Data!$U:$U,$R68,Data!$T:$T,1,Data!$N:$N,"&lt;&gt;")=0,"",SUMIFS(Data!$N:$N,Data!$U:$U,$R68,Data!$T:$T,1))</f>
        <v/>
      </c>
      <c r="U68" t="str">
        <f>IF(COUNTIFS(Data!$U:$U,$R68,Data!$T:$T,2,Data!$N:$N,"&lt;&gt;")=0,"",SUMIFS(Data!$N:$N,Data!$U:$U,$R68,Data!$T:$T,2))</f>
        <v/>
      </c>
      <c r="V68" t="str">
        <f>IF(COUNTIFS(Data!$U:$U,$R68,Data!$T:$T,3,Data!$N:$N,"&lt;&gt;")=0,"",SUMIFS(Data!$N:$N,Data!$U:$U,$R68,Data!$T:$T,3))</f>
        <v/>
      </c>
      <c r="W68" t="str">
        <f>IF(COUNTIFS(Data!$U:$U,$R68,Data!$T:$T,4,Data!$N:$N,"&lt;&gt;")=0,"",SUMIFS(Data!$N:$N,Data!$U:$U,$R68,Data!$T:$T,4))</f>
        <v/>
      </c>
      <c r="X68" t="str">
        <f>IF(COUNTIFS(Data!$U:$U,$R68,Data!$T:$T,5,Data!$N:$N,"&lt;&gt;")=0,"",SUMIFS(Data!$N:$N,Data!$U:$U,$R68,Data!$T:$T,5))</f>
        <v/>
      </c>
      <c r="Y68" t="str">
        <f>IF(COUNTIFS(Data!$U:$U,$R68,Data!$T:$T,6,Data!$N:$N,"&lt;&gt;")=0,"",SUMIFS(Data!$N:$N,Data!$U:$U,$R68,Data!$T:$T,6))</f>
        <v/>
      </c>
      <c r="Z68" t="str">
        <f>IF(COUNTIFS(Data!$U:$U,$R68,Data!$T:$T,7,Data!$N:$N,"&lt;&gt;")=0,"",SUMIFS(Data!$N:$N,Data!$U:$U,$R68,Data!$T:$T,7))</f>
        <v/>
      </c>
      <c r="AA68" t="str">
        <f>IF(COUNTIFS(Data!$U:$U,$R68,Data!$T:$T,8,Data!$N:$N,"&lt;&gt;")=0,"",SUMIFS(Data!$N:$N,Data!$U:$U,$R68,Data!$T:$T,8))</f>
        <v/>
      </c>
      <c r="AB68" t="str">
        <f>IF(COUNTIFS(Data!$U:$U,$R68,Data!$T:$T,9,Data!$N:$N,"&lt;&gt;")=0,"",SUMIFS(Data!$N:$N,Data!$U:$U,$R68,Data!$T:$T,9))</f>
        <v/>
      </c>
      <c r="AC68" t="str">
        <f>IF(COUNTIFS(Data!$U:$U,$R68,Data!$T:$T,10,Data!$N:$N,"&lt;&gt;")=0,"",SUMIFS(Data!$N:$N,Data!$U:$U,$R68,Data!$T:$T,10))</f>
        <v/>
      </c>
      <c r="AD68" t="str">
        <f>IF(COUNTIFS(Data!$U:$U,$R68,Data!$T:$T,11,Data!$N:$N,"&lt;&gt;")=0,"",SUMIFS(Data!$N:$N,Data!$U:$U,$R68,Data!$T:$T,11))</f>
        <v/>
      </c>
      <c r="AE68" t="str">
        <f>IF(COUNTIFS(Data!$U:$U,$R68,Data!$T:$T,12,Data!$N:$N,"&lt;&gt;")=0,"",SUMIFS(Data!$N:$N,Data!$U:$U,$R68,Data!$T:$T,12))</f>
        <v/>
      </c>
      <c r="AF68" t="str">
        <f>IF(COUNTIFS(Data!$U:$U,$R68,Data!$T:$T,13,Data!$N:$N,"&lt;&gt;")=0,"",SUMIFS(Data!$N:$N,Data!$U:$U,$R68,Data!$T:$T,13))</f>
        <v/>
      </c>
      <c r="AG68" t="str">
        <f>IF(COUNTIFS(Data!$U:$U,$R68,Data!$T:$T,14,Data!$N:$N,"&lt;&gt;")=0,"",SUMIFS(Data!$N:$N,Data!$U:$U,$R68,Data!$T:$T,14))</f>
        <v/>
      </c>
      <c r="AH68">
        <f>COUNTIFS(Data!$U:$U,$R68,Data!$T:$T,"&lt;="&amp;14,Data!$N:$N,"&lt;&gt;")</f>
        <v>0</v>
      </c>
      <c r="AI68">
        <f>COUNTIFS(Data!$U:$U,$R68,Data!$T:$T,"&lt;="&amp;14,Data!$N:$N,0)</f>
        <v>0</v>
      </c>
      <c r="AJ68" t="str">
        <f t="shared" si="14"/>
        <v/>
      </c>
      <c r="AK68" t="str">
        <f>IF(AH68=0,"",SUMIFS(Data!$N:$N,Data!$U:$U,$R68,Data!$T:$T,"&lt;="&amp;14))</f>
        <v/>
      </c>
      <c r="AL68" t="str">
        <f t="shared" si="15"/>
        <v/>
      </c>
      <c r="AM68">
        <f t="shared" si="16"/>
        <v>-1</v>
      </c>
      <c r="AN68">
        <f t="shared" si="17"/>
        <v>69</v>
      </c>
    </row>
    <row r="69" spans="18:40" x14ac:dyDescent="0.2">
      <c r="R69">
        <v>67</v>
      </c>
      <c r="S69" t="str">
        <f>IFERROR(INDEX(Data!$G:$G,MATCH($R69,Data!$U:$U,0)),"")</f>
        <v>TEREA RASPBERRY ROSE</v>
      </c>
      <c r="T69" t="str">
        <f>IF(COUNTIFS(Data!$U:$U,$R69,Data!$T:$T,1,Data!$N:$N,"&lt;&gt;")=0,"",SUMIFS(Data!$N:$N,Data!$U:$U,$R69,Data!$T:$T,1))</f>
        <v/>
      </c>
      <c r="U69" t="str">
        <f>IF(COUNTIFS(Data!$U:$U,$R69,Data!$T:$T,2,Data!$N:$N,"&lt;&gt;")=0,"",SUMIFS(Data!$N:$N,Data!$U:$U,$R69,Data!$T:$T,2))</f>
        <v/>
      </c>
      <c r="V69" t="str">
        <f>IF(COUNTIFS(Data!$U:$U,$R69,Data!$T:$T,3,Data!$N:$N,"&lt;&gt;")=0,"",SUMIFS(Data!$N:$N,Data!$U:$U,$R69,Data!$T:$T,3))</f>
        <v/>
      </c>
      <c r="W69" t="str">
        <f>IF(COUNTIFS(Data!$U:$U,$R69,Data!$T:$T,4,Data!$N:$N,"&lt;&gt;")=0,"",SUMIFS(Data!$N:$N,Data!$U:$U,$R69,Data!$T:$T,4))</f>
        <v/>
      </c>
      <c r="X69" t="str">
        <f>IF(COUNTIFS(Data!$U:$U,$R69,Data!$T:$T,5,Data!$N:$N,"&lt;&gt;")=0,"",SUMIFS(Data!$N:$N,Data!$U:$U,$R69,Data!$T:$T,5))</f>
        <v/>
      </c>
      <c r="Y69" t="str">
        <f>IF(COUNTIFS(Data!$U:$U,$R69,Data!$T:$T,6,Data!$N:$N,"&lt;&gt;")=0,"",SUMIFS(Data!$N:$N,Data!$U:$U,$R69,Data!$T:$T,6))</f>
        <v/>
      </c>
      <c r="Z69" t="str">
        <f>IF(COUNTIFS(Data!$U:$U,$R69,Data!$T:$T,7,Data!$N:$N,"&lt;&gt;")=0,"",SUMIFS(Data!$N:$N,Data!$U:$U,$R69,Data!$T:$T,7))</f>
        <v/>
      </c>
      <c r="AA69" t="str">
        <f>IF(COUNTIFS(Data!$U:$U,$R69,Data!$T:$T,8,Data!$N:$N,"&lt;&gt;")=0,"",SUMIFS(Data!$N:$N,Data!$U:$U,$R69,Data!$T:$T,8))</f>
        <v/>
      </c>
      <c r="AB69" t="str">
        <f>IF(COUNTIFS(Data!$U:$U,$R69,Data!$T:$T,9,Data!$N:$N,"&lt;&gt;")=0,"",SUMIFS(Data!$N:$N,Data!$U:$U,$R69,Data!$T:$T,9))</f>
        <v/>
      </c>
      <c r="AC69" t="str">
        <f>IF(COUNTIFS(Data!$U:$U,$R69,Data!$T:$T,10,Data!$N:$N,"&lt;&gt;")=0,"",SUMIFS(Data!$N:$N,Data!$U:$U,$R69,Data!$T:$T,10))</f>
        <v/>
      </c>
      <c r="AD69" t="str">
        <f>IF(COUNTIFS(Data!$U:$U,$R69,Data!$T:$T,11,Data!$N:$N,"&lt;&gt;")=0,"",SUMIFS(Data!$N:$N,Data!$U:$U,$R69,Data!$T:$T,11))</f>
        <v/>
      </c>
      <c r="AE69" t="str">
        <f>IF(COUNTIFS(Data!$U:$U,$R69,Data!$T:$T,12,Data!$N:$N,"&lt;&gt;")=0,"",SUMIFS(Data!$N:$N,Data!$U:$U,$R69,Data!$T:$T,12))</f>
        <v/>
      </c>
      <c r="AF69" t="str">
        <f>IF(COUNTIFS(Data!$U:$U,$R69,Data!$T:$T,13,Data!$N:$N,"&lt;&gt;")=0,"",SUMIFS(Data!$N:$N,Data!$U:$U,$R69,Data!$T:$T,13))</f>
        <v/>
      </c>
      <c r="AG69" t="str">
        <f>IF(COUNTIFS(Data!$U:$U,$R69,Data!$T:$T,14,Data!$N:$N,"&lt;&gt;")=0,"",SUMIFS(Data!$N:$N,Data!$U:$U,$R69,Data!$T:$T,14))</f>
        <v/>
      </c>
      <c r="AH69">
        <f>COUNTIFS(Data!$U:$U,$R69,Data!$T:$T,"&lt;="&amp;14,Data!$N:$N,"&lt;&gt;")</f>
        <v>0</v>
      </c>
      <c r="AI69">
        <f>COUNTIFS(Data!$U:$U,$R69,Data!$T:$T,"&lt;="&amp;14,Data!$N:$N,0)</f>
        <v>0</v>
      </c>
      <c r="AJ69" t="str">
        <f t="shared" si="14"/>
        <v/>
      </c>
      <c r="AK69" t="str">
        <f>IF(AH69=0,"",SUMIFS(Data!$N:$N,Data!$U:$U,$R69,Data!$T:$T,"&lt;="&amp;14))</f>
        <v/>
      </c>
      <c r="AL69" t="str">
        <f t="shared" si="15"/>
        <v/>
      </c>
      <c r="AM69">
        <f t="shared" si="16"/>
        <v>-1</v>
      </c>
      <c r="AN69">
        <f t="shared" si="17"/>
        <v>70</v>
      </c>
    </row>
    <row r="70" spans="18:40" x14ac:dyDescent="0.2">
      <c r="R70">
        <v>68</v>
      </c>
      <c r="S70" t="str">
        <f>IFERROR(INDEX(Data!$G:$G,MATCH($R70,Data!$U:$U,0)),"")</f>
        <v>TEREA RUSSET</v>
      </c>
      <c r="T70" t="str">
        <f>IF(COUNTIFS(Data!$U:$U,$R70,Data!$T:$T,1,Data!$N:$N,"&lt;&gt;")=0,"",SUMIFS(Data!$N:$N,Data!$U:$U,$R70,Data!$T:$T,1))</f>
        <v/>
      </c>
      <c r="U70" t="str">
        <f>IF(COUNTIFS(Data!$U:$U,$R70,Data!$T:$T,2,Data!$N:$N,"&lt;&gt;")=0,"",SUMIFS(Data!$N:$N,Data!$U:$U,$R70,Data!$T:$T,2))</f>
        <v/>
      </c>
      <c r="V70" t="str">
        <f>IF(COUNTIFS(Data!$U:$U,$R70,Data!$T:$T,3,Data!$N:$N,"&lt;&gt;")=0,"",SUMIFS(Data!$N:$N,Data!$U:$U,$R70,Data!$T:$T,3))</f>
        <v/>
      </c>
      <c r="W70" t="str">
        <f>IF(COUNTIFS(Data!$U:$U,$R70,Data!$T:$T,4,Data!$N:$N,"&lt;&gt;")=0,"",SUMIFS(Data!$N:$N,Data!$U:$U,$R70,Data!$T:$T,4))</f>
        <v/>
      </c>
      <c r="X70" t="str">
        <f>IF(COUNTIFS(Data!$U:$U,$R70,Data!$T:$T,5,Data!$N:$N,"&lt;&gt;")=0,"",SUMIFS(Data!$N:$N,Data!$U:$U,$R70,Data!$T:$T,5))</f>
        <v/>
      </c>
      <c r="Y70" t="str">
        <f>IF(COUNTIFS(Data!$U:$U,$R70,Data!$T:$T,6,Data!$N:$N,"&lt;&gt;")=0,"",SUMIFS(Data!$N:$N,Data!$U:$U,$R70,Data!$T:$T,6))</f>
        <v/>
      </c>
      <c r="Z70" t="str">
        <f>IF(COUNTIFS(Data!$U:$U,$R70,Data!$T:$T,7,Data!$N:$N,"&lt;&gt;")=0,"",SUMIFS(Data!$N:$N,Data!$U:$U,$R70,Data!$T:$T,7))</f>
        <v/>
      </c>
      <c r="AA70" t="str">
        <f>IF(COUNTIFS(Data!$U:$U,$R70,Data!$T:$T,8,Data!$N:$N,"&lt;&gt;")=0,"",SUMIFS(Data!$N:$N,Data!$U:$U,$R70,Data!$T:$T,8))</f>
        <v/>
      </c>
      <c r="AB70" t="str">
        <f>IF(COUNTIFS(Data!$U:$U,$R70,Data!$T:$T,9,Data!$N:$N,"&lt;&gt;")=0,"",SUMIFS(Data!$N:$N,Data!$U:$U,$R70,Data!$T:$T,9))</f>
        <v/>
      </c>
      <c r="AC70" t="str">
        <f>IF(COUNTIFS(Data!$U:$U,$R70,Data!$T:$T,10,Data!$N:$N,"&lt;&gt;")=0,"",SUMIFS(Data!$N:$N,Data!$U:$U,$R70,Data!$T:$T,10))</f>
        <v/>
      </c>
      <c r="AD70" t="str">
        <f>IF(COUNTIFS(Data!$U:$U,$R70,Data!$T:$T,11,Data!$N:$N,"&lt;&gt;")=0,"",SUMIFS(Data!$N:$N,Data!$U:$U,$R70,Data!$T:$T,11))</f>
        <v/>
      </c>
      <c r="AE70" t="str">
        <f>IF(COUNTIFS(Data!$U:$U,$R70,Data!$T:$T,12,Data!$N:$N,"&lt;&gt;")=0,"",SUMIFS(Data!$N:$N,Data!$U:$U,$R70,Data!$T:$T,12))</f>
        <v/>
      </c>
      <c r="AF70" t="str">
        <f>IF(COUNTIFS(Data!$U:$U,$R70,Data!$T:$T,13,Data!$N:$N,"&lt;&gt;")=0,"",SUMIFS(Data!$N:$N,Data!$U:$U,$R70,Data!$T:$T,13))</f>
        <v/>
      </c>
      <c r="AG70" t="str">
        <f>IF(COUNTIFS(Data!$U:$U,$R70,Data!$T:$T,14,Data!$N:$N,"&lt;&gt;")=0,"",SUMIFS(Data!$N:$N,Data!$U:$U,$R70,Data!$T:$T,14))</f>
        <v/>
      </c>
      <c r="AH70">
        <f>COUNTIFS(Data!$U:$U,$R70,Data!$T:$T,"&lt;="&amp;14,Data!$N:$N,"&lt;&gt;")</f>
        <v>0</v>
      </c>
      <c r="AI70">
        <f>COUNTIFS(Data!$U:$U,$R70,Data!$T:$T,"&lt;="&amp;14,Data!$N:$N,0)</f>
        <v>0</v>
      </c>
      <c r="AJ70" t="str">
        <f t="shared" si="14"/>
        <v/>
      </c>
      <c r="AK70" t="str">
        <f>IF(AH70=0,"",SUMIFS(Data!$N:$N,Data!$U:$U,$R70,Data!$T:$T,"&lt;="&amp;14))</f>
        <v/>
      </c>
      <c r="AL70" t="str">
        <f t="shared" si="15"/>
        <v/>
      </c>
      <c r="AM70">
        <f t="shared" si="16"/>
        <v>-1</v>
      </c>
      <c r="AN70">
        <f t="shared" si="17"/>
        <v>71</v>
      </c>
    </row>
    <row r="71" spans="18:40" x14ac:dyDescent="0.2">
      <c r="R71">
        <v>69</v>
      </c>
      <c r="S71" t="str">
        <f>IFERROR(INDEX(Data!$G:$G,MATCH($R71,Data!$U:$U,0)),"")</f>
        <v>TEREA SIENNA</v>
      </c>
      <c r="T71" t="str">
        <f>IF(COUNTIFS(Data!$U:$U,$R71,Data!$T:$T,1,Data!$N:$N,"&lt;&gt;")=0,"",SUMIFS(Data!$N:$N,Data!$U:$U,$R71,Data!$T:$T,1))</f>
        <v/>
      </c>
      <c r="U71" t="str">
        <f>IF(COUNTIFS(Data!$U:$U,$R71,Data!$T:$T,2,Data!$N:$N,"&lt;&gt;")=0,"",SUMIFS(Data!$N:$N,Data!$U:$U,$R71,Data!$T:$T,2))</f>
        <v/>
      </c>
      <c r="V71" t="str">
        <f>IF(COUNTIFS(Data!$U:$U,$R71,Data!$T:$T,3,Data!$N:$N,"&lt;&gt;")=0,"",SUMIFS(Data!$N:$N,Data!$U:$U,$R71,Data!$T:$T,3))</f>
        <v/>
      </c>
      <c r="W71" t="str">
        <f>IF(COUNTIFS(Data!$U:$U,$R71,Data!$T:$T,4,Data!$N:$N,"&lt;&gt;")=0,"",SUMIFS(Data!$N:$N,Data!$U:$U,$R71,Data!$T:$T,4))</f>
        <v/>
      </c>
      <c r="X71" t="str">
        <f>IF(COUNTIFS(Data!$U:$U,$R71,Data!$T:$T,5,Data!$N:$N,"&lt;&gt;")=0,"",SUMIFS(Data!$N:$N,Data!$U:$U,$R71,Data!$T:$T,5))</f>
        <v/>
      </c>
      <c r="Y71" t="str">
        <f>IF(COUNTIFS(Data!$U:$U,$R71,Data!$T:$T,6,Data!$N:$N,"&lt;&gt;")=0,"",SUMIFS(Data!$N:$N,Data!$U:$U,$R71,Data!$T:$T,6))</f>
        <v/>
      </c>
      <c r="Z71" t="str">
        <f>IF(COUNTIFS(Data!$U:$U,$R71,Data!$T:$T,7,Data!$N:$N,"&lt;&gt;")=0,"",SUMIFS(Data!$N:$N,Data!$U:$U,$R71,Data!$T:$T,7))</f>
        <v/>
      </c>
      <c r="AA71" t="str">
        <f>IF(COUNTIFS(Data!$U:$U,$R71,Data!$T:$T,8,Data!$N:$N,"&lt;&gt;")=0,"",SUMIFS(Data!$N:$N,Data!$U:$U,$R71,Data!$T:$T,8))</f>
        <v/>
      </c>
      <c r="AB71" t="str">
        <f>IF(COUNTIFS(Data!$U:$U,$R71,Data!$T:$T,9,Data!$N:$N,"&lt;&gt;")=0,"",SUMIFS(Data!$N:$N,Data!$U:$U,$R71,Data!$T:$T,9))</f>
        <v/>
      </c>
      <c r="AC71" t="str">
        <f>IF(COUNTIFS(Data!$U:$U,$R71,Data!$T:$T,10,Data!$N:$N,"&lt;&gt;")=0,"",SUMIFS(Data!$N:$N,Data!$U:$U,$R71,Data!$T:$T,10))</f>
        <v/>
      </c>
      <c r="AD71" t="str">
        <f>IF(COUNTIFS(Data!$U:$U,$R71,Data!$T:$T,11,Data!$N:$N,"&lt;&gt;")=0,"",SUMIFS(Data!$N:$N,Data!$U:$U,$R71,Data!$T:$T,11))</f>
        <v/>
      </c>
      <c r="AE71" t="str">
        <f>IF(COUNTIFS(Data!$U:$U,$R71,Data!$T:$T,12,Data!$N:$N,"&lt;&gt;")=0,"",SUMIFS(Data!$N:$N,Data!$U:$U,$R71,Data!$T:$T,12))</f>
        <v/>
      </c>
      <c r="AF71" t="str">
        <f>IF(COUNTIFS(Data!$U:$U,$R71,Data!$T:$T,13,Data!$N:$N,"&lt;&gt;")=0,"",SUMIFS(Data!$N:$N,Data!$U:$U,$R71,Data!$T:$T,13))</f>
        <v/>
      </c>
      <c r="AG71" t="str">
        <f>IF(COUNTIFS(Data!$U:$U,$R71,Data!$T:$T,14,Data!$N:$N,"&lt;&gt;")=0,"",SUMIFS(Data!$N:$N,Data!$U:$U,$R71,Data!$T:$T,14))</f>
        <v/>
      </c>
      <c r="AH71">
        <f>COUNTIFS(Data!$U:$U,$R71,Data!$T:$T,"&lt;="&amp;14,Data!$N:$N,"&lt;&gt;")</f>
        <v>0</v>
      </c>
      <c r="AI71">
        <f>COUNTIFS(Data!$U:$U,$R71,Data!$T:$T,"&lt;="&amp;14,Data!$N:$N,0)</f>
        <v>0</v>
      </c>
      <c r="AJ71" t="str">
        <f t="shared" si="14"/>
        <v/>
      </c>
      <c r="AK71" t="str">
        <f>IF(AH71=0,"",SUMIFS(Data!$N:$N,Data!$U:$U,$R71,Data!$T:$T,"&lt;="&amp;14))</f>
        <v/>
      </c>
      <c r="AL71" t="str">
        <f t="shared" si="15"/>
        <v/>
      </c>
      <c r="AM71">
        <f t="shared" si="16"/>
        <v>-1</v>
      </c>
      <c r="AN71">
        <f t="shared" si="17"/>
        <v>72</v>
      </c>
    </row>
    <row r="72" spans="18:40" x14ac:dyDescent="0.2">
      <c r="R72">
        <v>70</v>
      </c>
      <c r="S72" t="str">
        <f>IFERROR(INDEX(Data!$G:$G,MATCH($R72,Data!$U:$U,0)),"")</f>
        <v>TEREA STRAWBERRY BASIL</v>
      </c>
      <c r="T72" t="str">
        <f>IF(COUNTIFS(Data!$U:$U,$R72,Data!$T:$T,1,Data!$N:$N,"&lt;&gt;")=0,"",SUMIFS(Data!$N:$N,Data!$U:$U,$R72,Data!$T:$T,1))</f>
        <v/>
      </c>
      <c r="U72" t="str">
        <f>IF(COUNTIFS(Data!$U:$U,$R72,Data!$T:$T,2,Data!$N:$N,"&lt;&gt;")=0,"",SUMIFS(Data!$N:$N,Data!$U:$U,$R72,Data!$T:$T,2))</f>
        <v/>
      </c>
      <c r="V72" t="str">
        <f>IF(COUNTIFS(Data!$U:$U,$R72,Data!$T:$T,3,Data!$N:$N,"&lt;&gt;")=0,"",SUMIFS(Data!$N:$N,Data!$U:$U,$R72,Data!$T:$T,3))</f>
        <v/>
      </c>
      <c r="W72" t="str">
        <f>IF(COUNTIFS(Data!$U:$U,$R72,Data!$T:$T,4,Data!$N:$N,"&lt;&gt;")=0,"",SUMIFS(Data!$N:$N,Data!$U:$U,$R72,Data!$T:$T,4))</f>
        <v/>
      </c>
      <c r="X72" t="str">
        <f>IF(COUNTIFS(Data!$U:$U,$R72,Data!$T:$T,5,Data!$N:$N,"&lt;&gt;")=0,"",SUMIFS(Data!$N:$N,Data!$U:$U,$R72,Data!$T:$T,5))</f>
        <v/>
      </c>
      <c r="Y72" t="str">
        <f>IF(COUNTIFS(Data!$U:$U,$R72,Data!$T:$T,6,Data!$N:$N,"&lt;&gt;")=0,"",SUMIFS(Data!$N:$N,Data!$U:$U,$R72,Data!$T:$T,6))</f>
        <v/>
      </c>
      <c r="Z72" t="str">
        <f>IF(COUNTIFS(Data!$U:$U,$R72,Data!$T:$T,7,Data!$N:$N,"&lt;&gt;")=0,"",SUMIFS(Data!$N:$N,Data!$U:$U,$R72,Data!$T:$T,7))</f>
        <v/>
      </c>
      <c r="AA72" t="str">
        <f>IF(COUNTIFS(Data!$U:$U,$R72,Data!$T:$T,8,Data!$N:$N,"&lt;&gt;")=0,"",SUMIFS(Data!$N:$N,Data!$U:$U,$R72,Data!$T:$T,8))</f>
        <v/>
      </c>
      <c r="AB72" t="str">
        <f>IF(COUNTIFS(Data!$U:$U,$R72,Data!$T:$T,9,Data!$N:$N,"&lt;&gt;")=0,"",SUMIFS(Data!$N:$N,Data!$U:$U,$R72,Data!$T:$T,9))</f>
        <v/>
      </c>
      <c r="AC72" t="str">
        <f>IF(COUNTIFS(Data!$U:$U,$R72,Data!$T:$T,10,Data!$N:$N,"&lt;&gt;")=0,"",SUMIFS(Data!$N:$N,Data!$U:$U,$R72,Data!$T:$T,10))</f>
        <v/>
      </c>
      <c r="AD72" t="str">
        <f>IF(COUNTIFS(Data!$U:$U,$R72,Data!$T:$T,11,Data!$N:$N,"&lt;&gt;")=0,"",SUMIFS(Data!$N:$N,Data!$U:$U,$R72,Data!$T:$T,11))</f>
        <v/>
      </c>
      <c r="AE72" t="str">
        <f>IF(COUNTIFS(Data!$U:$U,$R72,Data!$T:$T,12,Data!$N:$N,"&lt;&gt;")=0,"",SUMIFS(Data!$N:$N,Data!$U:$U,$R72,Data!$T:$T,12))</f>
        <v/>
      </c>
      <c r="AF72" t="str">
        <f>IF(COUNTIFS(Data!$U:$U,$R72,Data!$T:$T,13,Data!$N:$N,"&lt;&gt;")=0,"",SUMIFS(Data!$N:$N,Data!$U:$U,$R72,Data!$T:$T,13))</f>
        <v/>
      </c>
      <c r="AG72" t="str">
        <f>IF(COUNTIFS(Data!$U:$U,$R72,Data!$T:$T,14,Data!$N:$N,"&lt;&gt;")=0,"",SUMIFS(Data!$N:$N,Data!$U:$U,$R72,Data!$T:$T,14))</f>
        <v/>
      </c>
      <c r="AH72">
        <f>COUNTIFS(Data!$U:$U,$R72,Data!$T:$T,"&lt;="&amp;14,Data!$N:$N,"&lt;&gt;")</f>
        <v>0</v>
      </c>
      <c r="AI72">
        <f>COUNTIFS(Data!$U:$U,$R72,Data!$T:$T,"&lt;="&amp;14,Data!$N:$N,0)</f>
        <v>0</v>
      </c>
      <c r="AJ72" t="str">
        <f t="shared" si="14"/>
        <v/>
      </c>
      <c r="AK72" t="str">
        <f>IF(AH72=0,"",SUMIFS(Data!$N:$N,Data!$U:$U,$R72,Data!$T:$T,"&lt;="&amp;14))</f>
        <v/>
      </c>
      <c r="AL72" t="str">
        <f t="shared" si="15"/>
        <v/>
      </c>
      <c r="AM72">
        <f t="shared" si="16"/>
        <v>-1</v>
      </c>
      <c r="AN72">
        <f t="shared" si="17"/>
        <v>73</v>
      </c>
    </row>
    <row r="73" spans="18:40" x14ac:dyDescent="0.2">
      <c r="R73">
        <v>71</v>
      </c>
      <c r="S73" t="str">
        <f>IFERROR(INDEX(Data!$G:$G,MATCH($R73,Data!$U:$U,0)),"")</f>
        <v>TEREA TURQUOISE</v>
      </c>
      <c r="T73" t="str">
        <f>IF(COUNTIFS(Data!$U:$U,$R73,Data!$T:$T,1,Data!$N:$N,"&lt;&gt;")=0,"",SUMIFS(Data!$N:$N,Data!$U:$U,$R73,Data!$T:$T,1))</f>
        <v/>
      </c>
      <c r="U73" t="str">
        <f>IF(COUNTIFS(Data!$U:$U,$R73,Data!$T:$T,2,Data!$N:$N,"&lt;&gt;")=0,"",SUMIFS(Data!$N:$N,Data!$U:$U,$R73,Data!$T:$T,2))</f>
        <v/>
      </c>
      <c r="V73" t="str">
        <f>IF(COUNTIFS(Data!$U:$U,$R73,Data!$T:$T,3,Data!$N:$N,"&lt;&gt;")=0,"",SUMIFS(Data!$N:$N,Data!$U:$U,$R73,Data!$T:$T,3))</f>
        <v/>
      </c>
      <c r="W73" t="str">
        <f>IF(COUNTIFS(Data!$U:$U,$R73,Data!$T:$T,4,Data!$N:$N,"&lt;&gt;")=0,"",SUMIFS(Data!$N:$N,Data!$U:$U,$R73,Data!$T:$T,4))</f>
        <v/>
      </c>
      <c r="X73" t="str">
        <f>IF(COUNTIFS(Data!$U:$U,$R73,Data!$T:$T,5,Data!$N:$N,"&lt;&gt;")=0,"",SUMIFS(Data!$N:$N,Data!$U:$U,$R73,Data!$T:$T,5))</f>
        <v/>
      </c>
      <c r="Y73" t="str">
        <f>IF(COUNTIFS(Data!$U:$U,$R73,Data!$T:$T,6,Data!$N:$N,"&lt;&gt;")=0,"",SUMIFS(Data!$N:$N,Data!$U:$U,$R73,Data!$T:$T,6))</f>
        <v/>
      </c>
      <c r="Z73" t="str">
        <f>IF(COUNTIFS(Data!$U:$U,$R73,Data!$T:$T,7,Data!$N:$N,"&lt;&gt;")=0,"",SUMIFS(Data!$N:$N,Data!$U:$U,$R73,Data!$T:$T,7))</f>
        <v/>
      </c>
      <c r="AA73" t="str">
        <f>IF(COUNTIFS(Data!$U:$U,$R73,Data!$T:$T,8,Data!$N:$N,"&lt;&gt;")=0,"",SUMIFS(Data!$N:$N,Data!$U:$U,$R73,Data!$T:$T,8))</f>
        <v/>
      </c>
      <c r="AB73" t="str">
        <f>IF(COUNTIFS(Data!$U:$U,$R73,Data!$T:$T,9,Data!$N:$N,"&lt;&gt;")=0,"",SUMIFS(Data!$N:$N,Data!$U:$U,$R73,Data!$T:$T,9))</f>
        <v/>
      </c>
      <c r="AC73" t="str">
        <f>IF(COUNTIFS(Data!$U:$U,$R73,Data!$T:$T,10,Data!$N:$N,"&lt;&gt;")=0,"",SUMIFS(Data!$N:$N,Data!$U:$U,$R73,Data!$T:$T,10))</f>
        <v/>
      </c>
      <c r="AD73" t="str">
        <f>IF(COUNTIFS(Data!$U:$U,$R73,Data!$T:$T,11,Data!$N:$N,"&lt;&gt;")=0,"",SUMIFS(Data!$N:$N,Data!$U:$U,$R73,Data!$T:$T,11))</f>
        <v/>
      </c>
      <c r="AE73" t="str">
        <f>IF(COUNTIFS(Data!$U:$U,$R73,Data!$T:$T,12,Data!$N:$N,"&lt;&gt;")=0,"",SUMIFS(Data!$N:$N,Data!$U:$U,$R73,Data!$T:$T,12))</f>
        <v/>
      </c>
      <c r="AF73" t="str">
        <f>IF(COUNTIFS(Data!$U:$U,$R73,Data!$T:$T,13,Data!$N:$N,"&lt;&gt;")=0,"",SUMIFS(Data!$N:$N,Data!$U:$U,$R73,Data!$T:$T,13))</f>
        <v/>
      </c>
      <c r="AG73" t="str">
        <f>IF(COUNTIFS(Data!$U:$U,$R73,Data!$T:$T,14,Data!$N:$N,"&lt;&gt;")=0,"",SUMIFS(Data!$N:$N,Data!$U:$U,$R73,Data!$T:$T,14))</f>
        <v/>
      </c>
      <c r="AH73">
        <f>COUNTIFS(Data!$U:$U,$R73,Data!$T:$T,"&lt;="&amp;14,Data!$N:$N,"&lt;&gt;")</f>
        <v>0</v>
      </c>
      <c r="AI73">
        <f>COUNTIFS(Data!$U:$U,$R73,Data!$T:$T,"&lt;="&amp;14,Data!$N:$N,0)</f>
        <v>0</v>
      </c>
      <c r="AJ73" t="str">
        <f t="shared" si="14"/>
        <v/>
      </c>
      <c r="AK73" t="str">
        <f>IF(AH73=0,"",SUMIFS(Data!$N:$N,Data!$U:$U,$R73,Data!$T:$T,"&lt;="&amp;14))</f>
        <v/>
      </c>
      <c r="AL73" t="str">
        <f t="shared" si="15"/>
        <v/>
      </c>
      <c r="AM73">
        <f t="shared" si="16"/>
        <v>-1</v>
      </c>
      <c r="AN73">
        <f t="shared" si="17"/>
        <v>74</v>
      </c>
    </row>
    <row r="74" spans="18:40" x14ac:dyDescent="0.2">
      <c r="R74">
        <v>72</v>
      </c>
      <c r="S74" t="str">
        <f>IFERROR(INDEX(Data!$G:$G,MATCH($R74,Data!$U:$U,0)),"")</f>
        <v>TEREA WATERMELON</v>
      </c>
      <c r="T74" t="str">
        <f>IF(COUNTIFS(Data!$U:$U,$R74,Data!$T:$T,1,Data!$N:$N,"&lt;&gt;")=0,"",SUMIFS(Data!$N:$N,Data!$U:$U,$R74,Data!$T:$T,1))</f>
        <v/>
      </c>
      <c r="U74" t="str">
        <f>IF(COUNTIFS(Data!$U:$U,$R74,Data!$T:$T,2,Data!$N:$N,"&lt;&gt;")=0,"",SUMIFS(Data!$N:$N,Data!$U:$U,$R74,Data!$T:$T,2))</f>
        <v/>
      </c>
      <c r="V74" t="str">
        <f>IF(COUNTIFS(Data!$U:$U,$R74,Data!$T:$T,3,Data!$N:$N,"&lt;&gt;")=0,"",SUMIFS(Data!$N:$N,Data!$U:$U,$R74,Data!$T:$T,3))</f>
        <v/>
      </c>
      <c r="W74" t="str">
        <f>IF(COUNTIFS(Data!$U:$U,$R74,Data!$T:$T,4,Data!$N:$N,"&lt;&gt;")=0,"",SUMIFS(Data!$N:$N,Data!$U:$U,$R74,Data!$T:$T,4))</f>
        <v/>
      </c>
      <c r="X74" t="str">
        <f>IF(COUNTIFS(Data!$U:$U,$R74,Data!$T:$T,5,Data!$N:$N,"&lt;&gt;")=0,"",SUMIFS(Data!$N:$N,Data!$U:$U,$R74,Data!$T:$T,5))</f>
        <v/>
      </c>
      <c r="Y74" t="str">
        <f>IF(COUNTIFS(Data!$U:$U,$R74,Data!$T:$T,6,Data!$N:$N,"&lt;&gt;")=0,"",SUMIFS(Data!$N:$N,Data!$U:$U,$R74,Data!$T:$T,6))</f>
        <v/>
      </c>
      <c r="Z74" t="str">
        <f>IF(COUNTIFS(Data!$U:$U,$R74,Data!$T:$T,7,Data!$N:$N,"&lt;&gt;")=0,"",SUMIFS(Data!$N:$N,Data!$U:$U,$R74,Data!$T:$T,7))</f>
        <v/>
      </c>
      <c r="AA74" t="str">
        <f>IF(COUNTIFS(Data!$U:$U,$R74,Data!$T:$T,8,Data!$N:$N,"&lt;&gt;")=0,"",SUMIFS(Data!$N:$N,Data!$U:$U,$R74,Data!$T:$T,8))</f>
        <v/>
      </c>
      <c r="AB74" t="str">
        <f>IF(COUNTIFS(Data!$U:$U,$R74,Data!$T:$T,9,Data!$N:$N,"&lt;&gt;")=0,"",SUMIFS(Data!$N:$N,Data!$U:$U,$R74,Data!$T:$T,9))</f>
        <v/>
      </c>
      <c r="AC74" t="str">
        <f>IF(COUNTIFS(Data!$U:$U,$R74,Data!$T:$T,10,Data!$N:$N,"&lt;&gt;")=0,"",SUMIFS(Data!$N:$N,Data!$U:$U,$R74,Data!$T:$T,10))</f>
        <v/>
      </c>
      <c r="AD74" t="str">
        <f>IF(COUNTIFS(Data!$U:$U,$R74,Data!$T:$T,11,Data!$N:$N,"&lt;&gt;")=0,"",SUMIFS(Data!$N:$N,Data!$U:$U,$R74,Data!$T:$T,11))</f>
        <v/>
      </c>
      <c r="AE74" t="str">
        <f>IF(COUNTIFS(Data!$U:$U,$R74,Data!$T:$T,12,Data!$N:$N,"&lt;&gt;")=0,"",SUMIFS(Data!$N:$N,Data!$U:$U,$R74,Data!$T:$T,12))</f>
        <v/>
      </c>
      <c r="AF74" t="str">
        <f>IF(COUNTIFS(Data!$U:$U,$R74,Data!$T:$T,13,Data!$N:$N,"&lt;&gt;")=0,"",SUMIFS(Data!$N:$N,Data!$U:$U,$R74,Data!$T:$T,13))</f>
        <v/>
      </c>
      <c r="AG74" t="str">
        <f>IF(COUNTIFS(Data!$U:$U,$R74,Data!$T:$T,14,Data!$N:$N,"&lt;&gt;")=0,"",SUMIFS(Data!$N:$N,Data!$U:$U,$R74,Data!$T:$T,14))</f>
        <v/>
      </c>
      <c r="AH74">
        <f>COUNTIFS(Data!$U:$U,$R74,Data!$T:$T,"&lt;="&amp;14,Data!$N:$N,"&lt;&gt;")</f>
        <v>0</v>
      </c>
      <c r="AI74">
        <f>COUNTIFS(Data!$U:$U,$R74,Data!$T:$T,"&lt;="&amp;14,Data!$N:$N,0)</f>
        <v>0</v>
      </c>
      <c r="AJ74" t="str">
        <f t="shared" si="14"/>
        <v/>
      </c>
      <c r="AK74" t="str">
        <f>IF(AH74=0,"",SUMIFS(Data!$N:$N,Data!$U:$U,$R74,Data!$T:$T,"&lt;="&amp;14))</f>
        <v/>
      </c>
      <c r="AL74" t="str">
        <f t="shared" si="15"/>
        <v/>
      </c>
      <c r="AM74">
        <f t="shared" si="16"/>
        <v>-1</v>
      </c>
      <c r="AN74">
        <f t="shared" si="17"/>
        <v>75</v>
      </c>
    </row>
    <row r="75" spans="18:40" x14ac:dyDescent="0.2">
      <c r="R75">
        <v>73</v>
      </c>
      <c r="S75" t="str">
        <f>IFERROR(INDEX(Data!$G:$G,MATCH($R75,Data!$U:$U,0)),"")</f>
        <v>Winston Blue</v>
      </c>
      <c r="T75" t="str">
        <f>IF(COUNTIFS(Data!$U:$U,$R75,Data!$T:$T,1,Data!$N:$N,"&lt;&gt;")=0,"",SUMIFS(Data!$N:$N,Data!$U:$U,$R75,Data!$T:$T,1))</f>
        <v/>
      </c>
      <c r="U75" t="str">
        <f>IF(COUNTIFS(Data!$U:$U,$R75,Data!$T:$T,2,Data!$N:$N,"&lt;&gt;")=0,"",SUMIFS(Data!$N:$N,Data!$U:$U,$R75,Data!$T:$T,2))</f>
        <v/>
      </c>
      <c r="V75" t="str">
        <f>IF(COUNTIFS(Data!$U:$U,$R75,Data!$T:$T,3,Data!$N:$N,"&lt;&gt;")=0,"",SUMIFS(Data!$N:$N,Data!$U:$U,$R75,Data!$T:$T,3))</f>
        <v/>
      </c>
      <c r="W75" t="str">
        <f>IF(COUNTIFS(Data!$U:$U,$R75,Data!$T:$T,4,Data!$N:$N,"&lt;&gt;")=0,"",SUMIFS(Data!$N:$N,Data!$U:$U,$R75,Data!$T:$T,4))</f>
        <v/>
      </c>
      <c r="X75" t="str">
        <f>IF(COUNTIFS(Data!$U:$U,$R75,Data!$T:$T,5,Data!$N:$N,"&lt;&gt;")=0,"",SUMIFS(Data!$N:$N,Data!$U:$U,$R75,Data!$T:$T,5))</f>
        <v/>
      </c>
      <c r="Y75" t="str">
        <f>IF(COUNTIFS(Data!$U:$U,$R75,Data!$T:$T,6,Data!$N:$N,"&lt;&gt;")=0,"",SUMIFS(Data!$N:$N,Data!$U:$U,$R75,Data!$T:$T,6))</f>
        <v/>
      </c>
      <c r="Z75" t="str">
        <f>IF(COUNTIFS(Data!$U:$U,$R75,Data!$T:$T,7,Data!$N:$N,"&lt;&gt;")=0,"",SUMIFS(Data!$N:$N,Data!$U:$U,$R75,Data!$T:$T,7))</f>
        <v/>
      </c>
      <c r="AA75">
        <f>IF(COUNTIFS(Data!$U:$U,$R75,Data!$T:$T,8,Data!$N:$N,"&lt;&gt;")=0,"",SUMIFS(Data!$N:$N,Data!$U:$U,$R75,Data!$T:$T,8))</f>
        <v>1</v>
      </c>
      <c r="AB75">
        <f>IF(COUNTIFS(Data!$U:$U,$R75,Data!$T:$T,9,Data!$N:$N,"&lt;&gt;")=0,"",SUMIFS(Data!$N:$N,Data!$U:$U,$R75,Data!$T:$T,9))</f>
        <v>-2</v>
      </c>
      <c r="AC75">
        <f>IF(COUNTIFS(Data!$U:$U,$R75,Data!$T:$T,10,Data!$N:$N,"&lt;&gt;")=0,"",SUMIFS(Data!$N:$N,Data!$U:$U,$R75,Data!$T:$T,10))</f>
        <v>0</v>
      </c>
      <c r="AD75">
        <f>IF(COUNTIFS(Data!$U:$U,$R75,Data!$T:$T,11,Data!$N:$N,"&lt;&gt;")=0,"",SUMIFS(Data!$N:$N,Data!$U:$U,$R75,Data!$T:$T,11))</f>
        <v>0</v>
      </c>
      <c r="AE75">
        <f>IF(COUNTIFS(Data!$U:$U,$R75,Data!$T:$T,12,Data!$N:$N,"&lt;&gt;")=0,"",SUMIFS(Data!$N:$N,Data!$U:$U,$R75,Data!$T:$T,12))</f>
        <v>-20</v>
      </c>
      <c r="AF75" t="str">
        <f>IF(COUNTIFS(Data!$U:$U,$R75,Data!$T:$T,13,Data!$N:$N,"&lt;&gt;")=0,"",SUMIFS(Data!$N:$N,Data!$U:$U,$R75,Data!$T:$T,13))</f>
        <v/>
      </c>
      <c r="AG75" t="str">
        <f>IF(COUNTIFS(Data!$U:$U,$R75,Data!$T:$T,14,Data!$N:$N,"&lt;&gt;")=0,"",SUMIFS(Data!$N:$N,Data!$U:$U,$R75,Data!$T:$T,14))</f>
        <v/>
      </c>
      <c r="AH75">
        <f>COUNTIFS(Data!$U:$U,$R75,Data!$T:$T,"&lt;="&amp;14,Data!$N:$N,"&lt;&gt;")</f>
        <v>5</v>
      </c>
      <c r="AI75">
        <f>COUNTIFS(Data!$U:$U,$R75,Data!$T:$T,"&lt;="&amp;14,Data!$N:$N,0)</f>
        <v>2</v>
      </c>
      <c r="AJ75">
        <f t="shared" si="14"/>
        <v>3</v>
      </c>
      <c r="AK75">
        <f>IF(AH75=0,"",SUMIFS(Data!$N:$N,Data!$U:$U,$R75,Data!$T:$T,"&lt;="&amp;14))</f>
        <v>-21</v>
      </c>
      <c r="AL75">
        <f t="shared" si="15"/>
        <v>-20</v>
      </c>
      <c r="AM75">
        <f t="shared" si="16"/>
        <v>300021</v>
      </c>
      <c r="AN75">
        <f t="shared" si="17"/>
        <v>6</v>
      </c>
    </row>
    <row r="76" spans="18:40" x14ac:dyDescent="0.2">
      <c r="R76">
        <v>74</v>
      </c>
      <c r="S76" t="str">
        <f>IFERROR(INDEX(Data!$G:$G,MATCH($R76,Data!$U:$U,0)),"")</f>
        <v>Winston Duo Berry</v>
      </c>
      <c r="T76" t="str">
        <f>IF(COUNTIFS(Data!$U:$U,$R76,Data!$T:$T,1,Data!$N:$N,"&lt;&gt;")=0,"",SUMIFS(Data!$N:$N,Data!$U:$U,$R76,Data!$T:$T,1))</f>
        <v/>
      </c>
      <c r="U76" t="str">
        <f>IF(COUNTIFS(Data!$U:$U,$R76,Data!$T:$T,2,Data!$N:$N,"&lt;&gt;")=0,"",SUMIFS(Data!$N:$N,Data!$U:$U,$R76,Data!$T:$T,2))</f>
        <v/>
      </c>
      <c r="V76" t="str">
        <f>IF(COUNTIFS(Data!$U:$U,$R76,Data!$T:$T,3,Data!$N:$N,"&lt;&gt;")=0,"",SUMIFS(Data!$N:$N,Data!$U:$U,$R76,Data!$T:$T,3))</f>
        <v/>
      </c>
      <c r="W76" t="str">
        <f>IF(COUNTIFS(Data!$U:$U,$R76,Data!$T:$T,4,Data!$N:$N,"&lt;&gt;")=0,"",SUMIFS(Data!$N:$N,Data!$U:$U,$R76,Data!$T:$T,4))</f>
        <v/>
      </c>
      <c r="X76" t="str">
        <f>IF(COUNTIFS(Data!$U:$U,$R76,Data!$T:$T,5,Data!$N:$N,"&lt;&gt;")=0,"",SUMIFS(Data!$N:$N,Data!$U:$U,$R76,Data!$T:$T,5))</f>
        <v/>
      </c>
      <c r="Y76" t="str">
        <f>IF(COUNTIFS(Data!$U:$U,$R76,Data!$T:$T,6,Data!$N:$N,"&lt;&gt;")=0,"",SUMIFS(Data!$N:$N,Data!$U:$U,$R76,Data!$T:$T,6))</f>
        <v/>
      </c>
      <c r="Z76" t="str">
        <f>IF(COUNTIFS(Data!$U:$U,$R76,Data!$T:$T,7,Data!$N:$N,"&lt;&gt;")=0,"",SUMIFS(Data!$N:$N,Data!$U:$U,$R76,Data!$T:$T,7))</f>
        <v/>
      </c>
      <c r="AA76">
        <f>IF(COUNTIFS(Data!$U:$U,$R76,Data!$T:$T,8,Data!$N:$N,"&lt;&gt;")=0,"",SUMIFS(Data!$N:$N,Data!$U:$U,$R76,Data!$T:$T,8))</f>
        <v>0</v>
      </c>
      <c r="AB76">
        <f>IF(COUNTIFS(Data!$U:$U,$R76,Data!$T:$T,9,Data!$N:$N,"&lt;&gt;")=0,"",SUMIFS(Data!$N:$N,Data!$U:$U,$R76,Data!$T:$T,9))</f>
        <v>0</v>
      </c>
      <c r="AC76">
        <f>IF(COUNTIFS(Data!$U:$U,$R76,Data!$T:$T,10,Data!$N:$N,"&lt;&gt;")=0,"",SUMIFS(Data!$N:$N,Data!$U:$U,$R76,Data!$T:$T,10))</f>
        <v>0</v>
      </c>
      <c r="AD76">
        <f>IF(COUNTIFS(Data!$U:$U,$R76,Data!$T:$T,11,Data!$N:$N,"&lt;&gt;")=0,"",SUMIFS(Data!$N:$N,Data!$U:$U,$R76,Data!$T:$T,11))</f>
        <v>0</v>
      </c>
      <c r="AE76">
        <f>IF(COUNTIFS(Data!$U:$U,$R76,Data!$T:$T,12,Data!$N:$N,"&lt;&gt;")=0,"",SUMIFS(Data!$N:$N,Data!$U:$U,$R76,Data!$T:$T,12))</f>
        <v>0</v>
      </c>
      <c r="AF76" t="str">
        <f>IF(COUNTIFS(Data!$U:$U,$R76,Data!$T:$T,13,Data!$N:$N,"&lt;&gt;")=0,"",SUMIFS(Data!$N:$N,Data!$U:$U,$R76,Data!$T:$T,13))</f>
        <v/>
      </c>
      <c r="AG76" t="str">
        <f>IF(COUNTIFS(Data!$U:$U,$R76,Data!$T:$T,14,Data!$N:$N,"&lt;&gt;")=0,"",SUMIFS(Data!$N:$N,Data!$U:$U,$R76,Data!$T:$T,14))</f>
        <v/>
      </c>
      <c r="AH76">
        <f>COUNTIFS(Data!$U:$U,$R76,Data!$T:$T,"&lt;="&amp;14,Data!$N:$N,"&lt;&gt;")</f>
        <v>5</v>
      </c>
      <c r="AI76">
        <f>COUNTIFS(Data!$U:$U,$R76,Data!$T:$T,"&lt;="&amp;14,Data!$N:$N,0)</f>
        <v>5</v>
      </c>
      <c r="AJ76">
        <f t="shared" si="14"/>
        <v>0</v>
      </c>
      <c r="AK76">
        <f>IF(AH76=0,"",SUMIFS(Data!$N:$N,Data!$U:$U,$R76,Data!$T:$T,"&lt;="&amp;14))</f>
        <v>0</v>
      </c>
      <c r="AL76">
        <f t="shared" si="15"/>
        <v>0</v>
      </c>
      <c r="AM76">
        <f t="shared" si="16"/>
        <v>0</v>
      </c>
      <c r="AN76">
        <f t="shared" si="17"/>
        <v>54</v>
      </c>
    </row>
    <row r="77" spans="18:40" x14ac:dyDescent="0.2">
      <c r="R77">
        <v>75</v>
      </c>
      <c r="S77" t="str">
        <f>IFERROR(INDEX(Data!$G:$G,MATCH($R77,Data!$U:$U,0)),"")</f>
        <v>Winston Red</v>
      </c>
      <c r="T77" t="str">
        <f>IF(COUNTIFS(Data!$U:$U,$R77,Data!$T:$T,1,Data!$N:$N,"&lt;&gt;")=0,"",SUMIFS(Data!$N:$N,Data!$U:$U,$R77,Data!$T:$T,1))</f>
        <v/>
      </c>
      <c r="U77" t="str">
        <f>IF(COUNTIFS(Data!$U:$U,$R77,Data!$T:$T,2,Data!$N:$N,"&lt;&gt;")=0,"",SUMIFS(Data!$N:$N,Data!$U:$U,$R77,Data!$T:$T,2))</f>
        <v/>
      </c>
      <c r="V77" t="str">
        <f>IF(COUNTIFS(Data!$U:$U,$R77,Data!$T:$T,3,Data!$N:$N,"&lt;&gt;")=0,"",SUMIFS(Data!$N:$N,Data!$U:$U,$R77,Data!$T:$T,3))</f>
        <v/>
      </c>
      <c r="W77" t="str">
        <f>IF(COUNTIFS(Data!$U:$U,$R77,Data!$T:$T,4,Data!$N:$N,"&lt;&gt;")=0,"",SUMIFS(Data!$N:$N,Data!$U:$U,$R77,Data!$T:$T,4))</f>
        <v/>
      </c>
      <c r="X77" t="str">
        <f>IF(COUNTIFS(Data!$U:$U,$R77,Data!$T:$T,5,Data!$N:$N,"&lt;&gt;")=0,"",SUMIFS(Data!$N:$N,Data!$U:$U,$R77,Data!$T:$T,5))</f>
        <v/>
      </c>
      <c r="Y77" t="str">
        <f>IF(COUNTIFS(Data!$U:$U,$R77,Data!$T:$T,6,Data!$N:$N,"&lt;&gt;")=0,"",SUMIFS(Data!$N:$N,Data!$U:$U,$R77,Data!$T:$T,6))</f>
        <v/>
      </c>
      <c r="Z77" t="str">
        <f>IF(COUNTIFS(Data!$U:$U,$R77,Data!$T:$T,7,Data!$N:$N,"&lt;&gt;")=0,"",SUMIFS(Data!$N:$N,Data!$U:$U,$R77,Data!$T:$T,7))</f>
        <v/>
      </c>
      <c r="AA77">
        <f>IF(COUNTIFS(Data!$U:$U,$R77,Data!$T:$T,8,Data!$N:$N,"&lt;&gt;")=0,"",SUMIFS(Data!$N:$N,Data!$U:$U,$R77,Data!$T:$T,8))</f>
        <v>-5</v>
      </c>
      <c r="AB77">
        <f>IF(COUNTIFS(Data!$U:$U,$R77,Data!$T:$T,9,Data!$N:$N,"&lt;&gt;")=0,"",SUMIFS(Data!$N:$N,Data!$U:$U,$R77,Data!$T:$T,9))</f>
        <v>4</v>
      </c>
      <c r="AC77">
        <f>IF(COUNTIFS(Data!$U:$U,$R77,Data!$T:$T,10,Data!$N:$N,"&lt;&gt;")=0,"",SUMIFS(Data!$N:$N,Data!$U:$U,$R77,Data!$T:$T,10))</f>
        <v>0</v>
      </c>
      <c r="AD77">
        <f>IF(COUNTIFS(Data!$U:$U,$R77,Data!$T:$T,11,Data!$N:$N,"&lt;&gt;")=0,"",SUMIFS(Data!$N:$N,Data!$U:$U,$R77,Data!$T:$T,11))</f>
        <v>0</v>
      </c>
      <c r="AE77">
        <f>IF(COUNTIFS(Data!$U:$U,$R77,Data!$T:$T,12,Data!$N:$N,"&lt;&gt;")=0,"",SUMIFS(Data!$N:$N,Data!$U:$U,$R77,Data!$T:$T,12))</f>
        <v>0</v>
      </c>
      <c r="AF77" t="str">
        <f>IF(COUNTIFS(Data!$U:$U,$R77,Data!$T:$T,13,Data!$N:$N,"&lt;&gt;")=0,"",SUMIFS(Data!$N:$N,Data!$U:$U,$R77,Data!$T:$T,13))</f>
        <v/>
      </c>
      <c r="AG77" t="str">
        <f>IF(COUNTIFS(Data!$U:$U,$R77,Data!$T:$T,14,Data!$N:$N,"&lt;&gt;")=0,"",SUMIFS(Data!$N:$N,Data!$U:$U,$R77,Data!$T:$T,14))</f>
        <v/>
      </c>
      <c r="AH77">
        <f>COUNTIFS(Data!$U:$U,$R77,Data!$T:$T,"&lt;="&amp;14,Data!$N:$N,"&lt;&gt;")</f>
        <v>5</v>
      </c>
      <c r="AI77">
        <f>COUNTIFS(Data!$U:$U,$R77,Data!$T:$T,"&lt;="&amp;14,Data!$N:$N,0)</f>
        <v>3</v>
      </c>
      <c r="AJ77">
        <f t="shared" si="14"/>
        <v>2</v>
      </c>
      <c r="AK77">
        <f>IF(AH77=0,"",SUMIFS(Data!$N:$N,Data!$U:$U,$R77,Data!$T:$T,"&lt;="&amp;14))</f>
        <v>-1</v>
      </c>
      <c r="AL77">
        <f t="shared" si="15"/>
        <v>-5</v>
      </c>
      <c r="AM77">
        <f t="shared" si="16"/>
        <v>200001</v>
      </c>
      <c r="AN77">
        <f t="shared" si="17"/>
        <v>17</v>
      </c>
    </row>
    <row r="78" spans="18:40" x14ac:dyDescent="0.2">
      <c r="R78">
        <v>76</v>
      </c>
      <c r="S78" t="str">
        <f>IFERROR(INDEX(Data!$G:$G,MATCH($R78,Data!$U:$U,0)),"")</f>
        <v/>
      </c>
      <c r="T78" t="str">
        <f>IF(COUNTIFS(Data!$U:$U,$R78,Data!$T:$T,1,Data!$N:$N,"&lt;&gt;")=0,"",SUMIFS(Data!$N:$N,Data!$U:$U,$R78,Data!$T:$T,1))</f>
        <v/>
      </c>
      <c r="U78" t="str">
        <f>IF(COUNTIFS(Data!$U:$U,$R78,Data!$T:$T,2,Data!$N:$N,"&lt;&gt;")=0,"",SUMIFS(Data!$N:$N,Data!$U:$U,$R78,Data!$T:$T,2))</f>
        <v/>
      </c>
      <c r="V78" t="str">
        <f>IF(COUNTIFS(Data!$U:$U,$R78,Data!$T:$T,3,Data!$N:$N,"&lt;&gt;")=0,"",SUMIFS(Data!$N:$N,Data!$U:$U,$R78,Data!$T:$T,3))</f>
        <v/>
      </c>
      <c r="W78" t="str">
        <f>IF(COUNTIFS(Data!$U:$U,$R78,Data!$T:$T,4,Data!$N:$N,"&lt;&gt;")=0,"",SUMIFS(Data!$N:$N,Data!$U:$U,$R78,Data!$T:$T,4))</f>
        <v/>
      </c>
      <c r="X78" t="str">
        <f>IF(COUNTIFS(Data!$U:$U,$R78,Data!$T:$T,5,Data!$N:$N,"&lt;&gt;")=0,"",SUMIFS(Data!$N:$N,Data!$U:$U,$R78,Data!$T:$T,5))</f>
        <v/>
      </c>
      <c r="Y78" t="str">
        <f>IF(COUNTIFS(Data!$U:$U,$R78,Data!$T:$T,6,Data!$N:$N,"&lt;&gt;")=0,"",SUMIFS(Data!$N:$N,Data!$U:$U,$R78,Data!$T:$T,6))</f>
        <v/>
      </c>
      <c r="Z78" t="str">
        <f>IF(COUNTIFS(Data!$U:$U,$R78,Data!$T:$T,7,Data!$N:$N,"&lt;&gt;")=0,"",SUMIFS(Data!$N:$N,Data!$U:$U,$R78,Data!$T:$T,7))</f>
        <v/>
      </c>
      <c r="AA78" t="str">
        <f>IF(COUNTIFS(Data!$U:$U,$R78,Data!$T:$T,8,Data!$N:$N,"&lt;&gt;")=0,"",SUMIFS(Data!$N:$N,Data!$U:$U,$R78,Data!$T:$T,8))</f>
        <v/>
      </c>
      <c r="AB78" t="str">
        <f>IF(COUNTIFS(Data!$U:$U,$R78,Data!$T:$T,9,Data!$N:$N,"&lt;&gt;")=0,"",SUMIFS(Data!$N:$N,Data!$U:$U,$R78,Data!$T:$T,9))</f>
        <v/>
      </c>
      <c r="AC78" t="str">
        <f>IF(COUNTIFS(Data!$U:$U,$R78,Data!$T:$T,10,Data!$N:$N,"&lt;&gt;")=0,"",SUMIFS(Data!$N:$N,Data!$U:$U,$R78,Data!$T:$T,10))</f>
        <v/>
      </c>
      <c r="AD78" t="str">
        <f>IF(COUNTIFS(Data!$U:$U,$R78,Data!$T:$T,11,Data!$N:$N,"&lt;&gt;")=0,"",SUMIFS(Data!$N:$N,Data!$U:$U,$R78,Data!$T:$T,11))</f>
        <v/>
      </c>
      <c r="AE78" t="str">
        <f>IF(COUNTIFS(Data!$U:$U,$R78,Data!$T:$T,12,Data!$N:$N,"&lt;&gt;")=0,"",SUMIFS(Data!$N:$N,Data!$U:$U,$R78,Data!$T:$T,12))</f>
        <v/>
      </c>
      <c r="AF78" t="str">
        <f>IF(COUNTIFS(Data!$U:$U,$R78,Data!$T:$T,13,Data!$N:$N,"&lt;&gt;")=0,"",SUMIFS(Data!$N:$N,Data!$U:$U,$R78,Data!$T:$T,13))</f>
        <v/>
      </c>
      <c r="AG78" t="str">
        <f>IF(COUNTIFS(Data!$U:$U,$R78,Data!$T:$T,14,Data!$N:$N,"&lt;&gt;")=0,"",SUMIFS(Data!$N:$N,Data!$U:$U,$R78,Data!$T:$T,14))</f>
        <v/>
      </c>
      <c r="AH78">
        <f>COUNTIFS(Data!$U:$U,$R78,Data!$T:$T,"&lt;="&amp;14,Data!$N:$N,"&lt;&gt;")</f>
        <v>0</v>
      </c>
      <c r="AI78">
        <f>COUNTIFS(Data!$U:$U,$R78,Data!$T:$T,"&lt;="&amp;14,Data!$N:$N,0)</f>
        <v>0</v>
      </c>
      <c r="AJ78" t="str">
        <f t="shared" si="14"/>
        <v/>
      </c>
      <c r="AK78" t="str">
        <f>IF(AH78=0,"",SUMIFS(Data!$N:$N,Data!$U:$U,$R78,Data!$T:$T,"&lt;="&amp;14))</f>
        <v/>
      </c>
      <c r="AL78" t="str">
        <f t="shared" si="15"/>
        <v/>
      </c>
      <c r="AM78">
        <f t="shared" si="16"/>
        <v>-1</v>
      </c>
      <c r="AN78" t="str">
        <f t="shared" si="17"/>
        <v/>
      </c>
    </row>
    <row r="79" spans="18:40" x14ac:dyDescent="0.2">
      <c r="R79">
        <v>77</v>
      </c>
      <c r="S79" t="str">
        <f>IFERROR(INDEX(Data!$G:$G,MATCH($R79,Data!$U:$U,0)),"")</f>
        <v/>
      </c>
      <c r="T79" t="str">
        <f>IF(COUNTIFS(Data!$U:$U,$R79,Data!$T:$T,1,Data!$N:$N,"&lt;&gt;")=0,"",SUMIFS(Data!$N:$N,Data!$U:$U,$R79,Data!$T:$T,1))</f>
        <v/>
      </c>
      <c r="U79" t="str">
        <f>IF(COUNTIFS(Data!$U:$U,$R79,Data!$T:$T,2,Data!$N:$N,"&lt;&gt;")=0,"",SUMIFS(Data!$N:$N,Data!$U:$U,$R79,Data!$T:$T,2))</f>
        <v/>
      </c>
      <c r="V79" t="str">
        <f>IF(COUNTIFS(Data!$U:$U,$R79,Data!$T:$T,3,Data!$N:$N,"&lt;&gt;")=0,"",SUMIFS(Data!$N:$N,Data!$U:$U,$R79,Data!$T:$T,3))</f>
        <v/>
      </c>
      <c r="W79" t="str">
        <f>IF(COUNTIFS(Data!$U:$U,$R79,Data!$T:$T,4,Data!$N:$N,"&lt;&gt;")=0,"",SUMIFS(Data!$N:$N,Data!$U:$U,$R79,Data!$T:$T,4))</f>
        <v/>
      </c>
      <c r="X79" t="str">
        <f>IF(COUNTIFS(Data!$U:$U,$R79,Data!$T:$T,5,Data!$N:$N,"&lt;&gt;")=0,"",SUMIFS(Data!$N:$N,Data!$U:$U,$R79,Data!$T:$T,5))</f>
        <v/>
      </c>
      <c r="Y79" t="str">
        <f>IF(COUNTIFS(Data!$U:$U,$R79,Data!$T:$T,6,Data!$N:$N,"&lt;&gt;")=0,"",SUMIFS(Data!$N:$N,Data!$U:$U,$R79,Data!$T:$T,6))</f>
        <v/>
      </c>
      <c r="Z79" t="str">
        <f>IF(COUNTIFS(Data!$U:$U,$R79,Data!$T:$T,7,Data!$N:$N,"&lt;&gt;")=0,"",SUMIFS(Data!$N:$N,Data!$U:$U,$R79,Data!$T:$T,7))</f>
        <v/>
      </c>
      <c r="AA79" t="str">
        <f>IF(COUNTIFS(Data!$U:$U,$R79,Data!$T:$T,8,Data!$N:$N,"&lt;&gt;")=0,"",SUMIFS(Data!$N:$N,Data!$U:$U,$R79,Data!$T:$T,8))</f>
        <v/>
      </c>
      <c r="AB79" t="str">
        <f>IF(COUNTIFS(Data!$U:$U,$R79,Data!$T:$T,9,Data!$N:$N,"&lt;&gt;")=0,"",SUMIFS(Data!$N:$N,Data!$U:$U,$R79,Data!$T:$T,9))</f>
        <v/>
      </c>
      <c r="AC79" t="str">
        <f>IF(COUNTIFS(Data!$U:$U,$R79,Data!$T:$T,10,Data!$N:$N,"&lt;&gt;")=0,"",SUMIFS(Data!$N:$N,Data!$U:$U,$R79,Data!$T:$T,10))</f>
        <v/>
      </c>
      <c r="AD79" t="str">
        <f>IF(COUNTIFS(Data!$U:$U,$R79,Data!$T:$T,11,Data!$N:$N,"&lt;&gt;")=0,"",SUMIFS(Data!$N:$N,Data!$U:$U,$R79,Data!$T:$T,11))</f>
        <v/>
      </c>
      <c r="AE79" t="str">
        <f>IF(COUNTIFS(Data!$U:$U,$R79,Data!$T:$T,12,Data!$N:$N,"&lt;&gt;")=0,"",SUMIFS(Data!$N:$N,Data!$U:$U,$R79,Data!$T:$T,12))</f>
        <v/>
      </c>
      <c r="AF79" t="str">
        <f>IF(COUNTIFS(Data!$U:$U,$R79,Data!$T:$T,13,Data!$N:$N,"&lt;&gt;")=0,"",SUMIFS(Data!$N:$N,Data!$U:$U,$R79,Data!$T:$T,13))</f>
        <v/>
      </c>
      <c r="AG79" t="str">
        <f>IF(COUNTIFS(Data!$U:$U,$R79,Data!$T:$T,14,Data!$N:$N,"&lt;&gt;")=0,"",SUMIFS(Data!$N:$N,Data!$U:$U,$R79,Data!$T:$T,14))</f>
        <v/>
      </c>
      <c r="AH79">
        <f>COUNTIFS(Data!$U:$U,$R79,Data!$T:$T,"&lt;="&amp;14,Data!$N:$N,"&lt;&gt;")</f>
        <v>0</v>
      </c>
      <c r="AI79">
        <f>COUNTIFS(Data!$U:$U,$R79,Data!$T:$T,"&lt;="&amp;14,Data!$N:$N,0)</f>
        <v>0</v>
      </c>
      <c r="AJ79" t="str">
        <f t="shared" si="14"/>
        <v/>
      </c>
      <c r="AK79" t="str">
        <f>IF(AH79=0,"",SUMIFS(Data!$N:$N,Data!$U:$U,$R79,Data!$T:$T,"&lt;="&amp;14))</f>
        <v/>
      </c>
      <c r="AL79" t="str">
        <f t="shared" si="15"/>
        <v/>
      </c>
      <c r="AM79">
        <f t="shared" si="16"/>
        <v>-1</v>
      </c>
      <c r="AN79" t="str">
        <f t="shared" si="17"/>
        <v/>
      </c>
    </row>
    <row r="80" spans="18:40" x14ac:dyDescent="0.2">
      <c r="R80">
        <v>78</v>
      </c>
      <c r="S80" t="str">
        <f>IFERROR(INDEX(Data!$G:$G,MATCH($R80,Data!$U:$U,0)),"")</f>
        <v/>
      </c>
      <c r="T80" t="str">
        <f>IF(COUNTIFS(Data!$U:$U,$R80,Data!$T:$T,1,Data!$N:$N,"&lt;&gt;")=0,"",SUMIFS(Data!$N:$N,Data!$U:$U,$R80,Data!$T:$T,1))</f>
        <v/>
      </c>
      <c r="U80" t="str">
        <f>IF(COUNTIFS(Data!$U:$U,$R80,Data!$T:$T,2,Data!$N:$N,"&lt;&gt;")=0,"",SUMIFS(Data!$N:$N,Data!$U:$U,$R80,Data!$T:$T,2))</f>
        <v/>
      </c>
      <c r="V80" t="str">
        <f>IF(COUNTIFS(Data!$U:$U,$R80,Data!$T:$T,3,Data!$N:$N,"&lt;&gt;")=0,"",SUMIFS(Data!$N:$N,Data!$U:$U,$R80,Data!$T:$T,3))</f>
        <v/>
      </c>
      <c r="W80" t="str">
        <f>IF(COUNTIFS(Data!$U:$U,$R80,Data!$T:$T,4,Data!$N:$N,"&lt;&gt;")=0,"",SUMIFS(Data!$N:$N,Data!$U:$U,$R80,Data!$T:$T,4))</f>
        <v/>
      </c>
      <c r="X80" t="str">
        <f>IF(COUNTIFS(Data!$U:$U,$R80,Data!$T:$T,5,Data!$N:$N,"&lt;&gt;")=0,"",SUMIFS(Data!$N:$N,Data!$U:$U,$R80,Data!$T:$T,5))</f>
        <v/>
      </c>
      <c r="Y80" t="str">
        <f>IF(COUNTIFS(Data!$U:$U,$R80,Data!$T:$T,6,Data!$N:$N,"&lt;&gt;")=0,"",SUMIFS(Data!$N:$N,Data!$U:$U,$R80,Data!$T:$T,6))</f>
        <v/>
      </c>
      <c r="Z80" t="str">
        <f>IF(COUNTIFS(Data!$U:$U,$R80,Data!$T:$T,7,Data!$N:$N,"&lt;&gt;")=0,"",SUMIFS(Data!$N:$N,Data!$U:$U,$R80,Data!$T:$T,7))</f>
        <v/>
      </c>
      <c r="AA80" t="str">
        <f>IF(COUNTIFS(Data!$U:$U,$R80,Data!$T:$T,8,Data!$N:$N,"&lt;&gt;")=0,"",SUMIFS(Data!$N:$N,Data!$U:$U,$R80,Data!$T:$T,8))</f>
        <v/>
      </c>
      <c r="AB80" t="str">
        <f>IF(COUNTIFS(Data!$U:$U,$R80,Data!$T:$T,9,Data!$N:$N,"&lt;&gt;")=0,"",SUMIFS(Data!$N:$N,Data!$U:$U,$R80,Data!$T:$T,9))</f>
        <v/>
      </c>
      <c r="AC80" t="str">
        <f>IF(COUNTIFS(Data!$U:$U,$R80,Data!$T:$T,10,Data!$N:$N,"&lt;&gt;")=0,"",SUMIFS(Data!$N:$N,Data!$U:$U,$R80,Data!$T:$T,10))</f>
        <v/>
      </c>
      <c r="AD80" t="str">
        <f>IF(COUNTIFS(Data!$U:$U,$R80,Data!$T:$T,11,Data!$N:$N,"&lt;&gt;")=0,"",SUMIFS(Data!$N:$N,Data!$U:$U,$R80,Data!$T:$T,11))</f>
        <v/>
      </c>
      <c r="AE80" t="str">
        <f>IF(COUNTIFS(Data!$U:$U,$R80,Data!$T:$T,12,Data!$N:$N,"&lt;&gt;")=0,"",SUMIFS(Data!$N:$N,Data!$U:$U,$R80,Data!$T:$T,12))</f>
        <v/>
      </c>
      <c r="AF80" t="str">
        <f>IF(COUNTIFS(Data!$U:$U,$R80,Data!$T:$T,13,Data!$N:$N,"&lt;&gt;")=0,"",SUMIFS(Data!$N:$N,Data!$U:$U,$R80,Data!$T:$T,13))</f>
        <v/>
      </c>
      <c r="AG80" t="str">
        <f>IF(COUNTIFS(Data!$U:$U,$R80,Data!$T:$T,14,Data!$N:$N,"&lt;&gt;")=0,"",SUMIFS(Data!$N:$N,Data!$U:$U,$R80,Data!$T:$T,14))</f>
        <v/>
      </c>
      <c r="AH80">
        <f>COUNTIFS(Data!$U:$U,$R80,Data!$T:$T,"&lt;="&amp;14,Data!$N:$N,"&lt;&gt;")</f>
        <v>0</v>
      </c>
      <c r="AI80">
        <f>COUNTIFS(Data!$U:$U,$R80,Data!$T:$T,"&lt;="&amp;14,Data!$N:$N,0)</f>
        <v>0</v>
      </c>
      <c r="AJ80" t="str">
        <f t="shared" si="14"/>
        <v/>
      </c>
      <c r="AK80" t="str">
        <f>IF(AH80=0,"",SUMIFS(Data!$N:$N,Data!$U:$U,$R80,Data!$T:$T,"&lt;="&amp;14))</f>
        <v/>
      </c>
      <c r="AL80" t="str">
        <f t="shared" si="15"/>
        <v/>
      </c>
      <c r="AM80">
        <f t="shared" si="16"/>
        <v>-1</v>
      </c>
      <c r="AN80" t="str">
        <f t="shared" si="17"/>
        <v/>
      </c>
    </row>
    <row r="81" spans="18:40" x14ac:dyDescent="0.2">
      <c r="R81">
        <v>79</v>
      </c>
      <c r="S81" t="str">
        <f>IFERROR(INDEX(Data!$G:$G,MATCH($R81,Data!$U:$U,0)),"")</f>
        <v/>
      </c>
      <c r="T81" t="str">
        <f>IF(COUNTIFS(Data!$U:$U,$R81,Data!$T:$T,1,Data!$N:$N,"&lt;&gt;")=0,"",SUMIFS(Data!$N:$N,Data!$U:$U,$R81,Data!$T:$T,1))</f>
        <v/>
      </c>
      <c r="U81" t="str">
        <f>IF(COUNTIFS(Data!$U:$U,$R81,Data!$T:$T,2,Data!$N:$N,"&lt;&gt;")=0,"",SUMIFS(Data!$N:$N,Data!$U:$U,$R81,Data!$T:$T,2))</f>
        <v/>
      </c>
      <c r="V81" t="str">
        <f>IF(COUNTIFS(Data!$U:$U,$R81,Data!$T:$T,3,Data!$N:$N,"&lt;&gt;")=0,"",SUMIFS(Data!$N:$N,Data!$U:$U,$R81,Data!$T:$T,3))</f>
        <v/>
      </c>
      <c r="W81" t="str">
        <f>IF(COUNTIFS(Data!$U:$U,$R81,Data!$T:$T,4,Data!$N:$N,"&lt;&gt;")=0,"",SUMIFS(Data!$N:$N,Data!$U:$U,$R81,Data!$T:$T,4))</f>
        <v/>
      </c>
      <c r="X81" t="str">
        <f>IF(COUNTIFS(Data!$U:$U,$R81,Data!$T:$T,5,Data!$N:$N,"&lt;&gt;")=0,"",SUMIFS(Data!$N:$N,Data!$U:$U,$R81,Data!$T:$T,5))</f>
        <v/>
      </c>
      <c r="Y81" t="str">
        <f>IF(COUNTIFS(Data!$U:$U,$R81,Data!$T:$T,6,Data!$N:$N,"&lt;&gt;")=0,"",SUMIFS(Data!$N:$N,Data!$U:$U,$R81,Data!$T:$T,6))</f>
        <v/>
      </c>
      <c r="Z81" t="str">
        <f>IF(COUNTIFS(Data!$U:$U,$R81,Data!$T:$T,7,Data!$N:$N,"&lt;&gt;")=0,"",SUMIFS(Data!$N:$N,Data!$U:$U,$R81,Data!$T:$T,7))</f>
        <v/>
      </c>
      <c r="AA81" t="str">
        <f>IF(COUNTIFS(Data!$U:$U,$R81,Data!$T:$T,8,Data!$N:$N,"&lt;&gt;")=0,"",SUMIFS(Data!$N:$N,Data!$U:$U,$R81,Data!$T:$T,8))</f>
        <v/>
      </c>
      <c r="AB81" t="str">
        <f>IF(COUNTIFS(Data!$U:$U,$R81,Data!$T:$T,9,Data!$N:$N,"&lt;&gt;")=0,"",SUMIFS(Data!$N:$N,Data!$U:$U,$R81,Data!$T:$T,9))</f>
        <v/>
      </c>
      <c r="AC81" t="str">
        <f>IF(COUNTIFS(Data!$U:$U,$R81,Data!$T:$T,10,Data!$N:$N,"&lt;&gt;")=0,"",SUMIFS(Data!$N:$N,Data!$U:$U,$R81,Data!$T:$T,10))</f>
        <v/>
      </c>
      <c r="AD81" t="str">
        <f>IF(COUNTIFS(Data!$U:$U,$R81,Data!$T:$T,11,Data!$N:$N,"&lt;&gt;")=0,"",SUMIFS(Data!$N:$N,Data!$U:$U,$R81,Data!$T:$T,11))</f>
        <v/>
      </c>
      <c r="AE81" t="str">
        <f>IF(COUNTIFS(Data!$U:$U,$R81,Data!$T:$T,12,Data!$N:$N,"&lt;&gt;")=0,"",SUMIFS(Data!$N:$N,Data!$U:$U,$R81,Data!$T:$T,12))</f>
        <v/>
      </c>
      <c r="AF81" t="str">
        <f>IF(COUNTIFS(Data!$U:$U,$R81,Data!$T:$T,13,Data!$N:$N,"&lt;&gt;")=0,"",SUMIFS(Data!$N:$N,Data!$U:$U,$R81,Data!$T:$T,13))</f>
        <v/>
      </c>
      <c r="AG81" t="str">
        <f>IF(COUNTIFS(Data!$U:$U,$R81,Data!$T:$T,14,Data!$N:$N,"&lt;&gt;")=0,"",SUMIFS(Data!$N:$N,Data!$U:$U,$R81,Data!$T:$T,14))</f>
        <v/>
      </c>
      <c r="AH81">
        <f>COUNTIFS(Data!$U:$U,$R81,Data!$T:$T,"&lt;="&amp;14,Data!$N:$N,"&lt;&gt;")</f>
        <v>0</v>
      </c>
      <c r="AI81">
        <f>COUNTIFS(Data!$U:$U,$R81,Data!$T:$T,"&lt;="&amp;14,Data!$N:$N,0)</f>
        <v>0</v>
      </c>
      <c r="AJ81" t="str">
        <f t="shared" si="14"/>
        <v/>
      </c>
      <c r="AK81" t="str">
        <f>IF(AH81=0,"",SUMIFS(Data!$N:$N,Data!$U:$U,$R81,Data!$T:$T,"&lt;="&amp;14))</f>
        <v/>
      </c>
      <c r="AL81" t="str">
        <f t="shared" si="15"/>
        <v/>
      </c>
      <c r="AM81">
        <f t="shared" si="16"/>
        <v>-1</v>
      </c>
      <c r="AN81" t="str">
        <f t="shared" si="17"/>
        <v/>
      </c>
    </row>
    <row r="82" spans="18:40" x14ac:dyDescent="0.2">
      <c r="R82">
        <v>80</v>
      </c>
      <c r="S82" t="str">
        <f>IFERROR(INDEX(Data!$G:$G,MATCH($R82,Data!$U:$U,0)),"")</f>
        <v/>
      </c>
      <c r="T82" t="str">
        <f>IF(COUNTIFS(Data!$U:$U,$R82,Data!$T:$T,1,Data!$N:$N,"&lt;&gt;")=0,"",SUMIFS(Data!$N:$N,Data!$U:$U,$R82,Data!$T:$T,1))</f>
        <v/>
      </c>
      <c r="U82" t="str">
        <f>IF(COUNTIFS(Data!$U:$U,$R82,Data!$T:$T,2,Data!$N:$N,"&lt;&gt;")=0,"",SUMIFS(Data!$N:$N,Data!$U:$U,$R82,Data!$T:$T,2))</f>
        <v/>
      </c>
      <c r="V82" t="str">
        <f>IF(COUNTIFS(Data!$U:$U,$R82,Data!$T:$T,3,Data!$N:$N,"&lt;&gt;")=0,"",SUMIFS(Data!$N:$N,Data!$U:$U,$R82,Data!$T:$T,3))</f>
        <v/>
      </c>
      <c r="W82" t="str">
        <f>IF(COUNTIFS(Data!$U:$U,$R82,Data!$T:$T,4,Data!$N:$N,"&lt;&gt;")=0,"",SUMIFS(Data!$N:$N,Data!$U:$U,$R82,Data!$T:$T,4))</f>
        <v/>
      </c>
      <c r="X82" t="str">
        <f>IF(COUNTIFS(Data!$U:$U,$R82,Data!$T:$T,5,Data!$N:$N,"&lt;&gt;")=0,"",SUMIFS(Data!$N:$N,Data!$U:$U,$R82,Data!$T:$T,5))</f>
        <v/>
      </c>
      <c r="Y82" t="str">
        <f>IF(COUNTIFS(Data!$U:$U,$R82,Data!$T:$T,6,Data!$N:$N,"&lt;&gt;")=0,"",SUMIFS(Data!$N:$N,Data!$U:$U,$R82,Data!$T:$T,6))</f>
        <v/>
      </c>
      <c r="Z82" t="str">
        <f>IF(COUNTIFS(Data!$U:$U,$R82,Data!$T:$T,7,Data!$N:$N,"&lt;&gt;")=0,"",SUMIFS(Data!$N:$N,Data!$U:$U,$R82,Data!$T:$T,7))</f>
        <v/>
      </c>
      <c r="AA82" t="str">
        <f>IF(COUNTIFS(Data!$U:$U,$R82,Data!$T:$T,8,Data!$N:$N,"&lt;&gt;")=0,"",SUMIFS(Data!$N:$N,Data!$U:$U,$R82,Data!$T:$T,8))</f>
        <v/>
      </c>
      <c r="AB82" t="str">
        <f>IF(COUNTIFS(Data!$U:$U,$R82,Data!$T:$T,9,Data!$N:$N,"&lt;&gt;")=0,"",SUMIFS(Data!$N:$N,Data!$U:$U,$R82,Data!$T:$T,9))</f>
        <v/>
      </c>
      <c r="AC82" t="str">
        <f>IF(COUNTIFS(Data!$U:$U,$R82,Data!$T:$T,10,Data!$N:$N,"&lt;&gt;")=0,"",SUMIFS(Data!$N:$N,Data!$U:$U,$R82,Data!$T:$T,10))</f>
        <v/>
      </c>
      <c r="AD82" t="str">
        <f>IF(COUNTIFS(Data!$U:$U,$R82,Data!$T:$T,11,Data!$N:$N,"&lt;&gt;")=0,"",SUMIFS(Data!$N:$N,Data!$U:$U,$R82,Data!$T:$T,11))</f>
        <v/>
      </c>
      <c r="AE82" t="str">
        <f>IF(COUNTIFS(Data!$U:$U,$R82,Data!$T:$T,12,Data!$N:$N,"&lt;&gt;")=0,"",SUMIFS(Data!$N:$N,Data!$U:$U,$R82,Data!$T:$T,12))</f>
        <v/>
      </c>
      <c r="AF82" t="str">
        <f>IF(COUNTIFS(Data!$U:$U,$R82,Data!$T:$T,13,Data!$N:$N,"&lt;&gt;")=0,"",SUMIFS(Data!$N:$N,Data!$U:$U,$R82,Data!$T:$T,13))</f>
        <v/>
      </c>
      <c r="AG82" t="str">
        <f>IF(COUNTIFS(Data!$U:$U,$R82,Data!$T:$T,14,Data!$N:$N,"&lt;&gt;")=0,"",SUMIFS(Data!$N:$N,Data!$U:$U,$R82,Data!$T:$T,14))</f>
        <v/>
      </c>
      <c r="AH82">
        <f>COUNTIFS(Data!$U:$U,$R82,Data!$T:$T,"&lt;="&amp;14,Data!$N:$N,"&lt;&gt;")</f>
        <v>0</v>
      </c>
      <c r="AI82">
        <f>COUNTIFS(Data!$U:$U,$R82,Data!$T:$T,"&lt;="&amp;14,Data!$N:$N,0)</f>
        <v>0</v>
      </c>
      <c r="AJ82" t="str">
        <f t="shared" si="14"/>
        <v/>
      </c>
      <c r="AK82" t="str">
        <f>IF(AH82=0,"",SUMIFS(Data!$N:$N,Data!$U:$U,$R82,Data!$T:$T,"&lt;="&amp;14))</f>
        <v/>
      </c>
      <c r="AL82" t="str">
        <f t="shared" si="15"/>
        <v/>
      </c>
      <c r="AM82">
        <f t="shared" si="16"/>
        <v>-1</v>
      </c>
      <c r="AN82" t="str">
        <f t="shared" si="17"/>
        <v/>
      </c>
    </row>
    <row r="83" spans="18:40" x14ac:dyDescent="0.2">
      <c r="R83">
        <v>81</v>
      </c>
      <c r="S83" t="str">
        <f>IFERROR(INDEX(Data!$G:$G,MATCH($R83,Data!$U:$U,0)),"")</f>
        <v/>
      </c>
      <c r="T83" t="str">
        <f>IF(COUNTIFS(Data!$U:$U,$R83,Data!$T:$T,1,Data!$N:$N,"&lt;&gt;")=0,"",SUMIFS(Data!$N:$N,Data!$U:$U,$R83,Data!$T:$T,1))</f>
        <v/>
      </c>
      <c r="U83" t="str">
        <f>IF(COUNTIFS(Data!$U:$U,$R83,Data!$T:$T,2,Data!$N:$N,"&lt;&gt;")=0,"",SUMIFS(Data!$N:$N,Data!$U:$U,$R83,Data!$T:$T,2))</f>
        <v/>
      </c>
      <c r="V83" t="str">
        <f>IF(COUNTIFS(Data!$U:$U,$R83,Data!$T:$T,3,Data!$N:$N,"&lt;&gt;")=0,"",SUMIFS(Data!$N:$N,Data!$U:$U,$R83,Data!$T:$T,3))</f>
        <v/>
      </c>
      <c r="W83" t="str">
        <f>IF(COUNTIFS(Data!$U:$U,$R83,Data!$T:$T,4,Data!$N:$N,"&lt;&gt;")=0,"",SUMIFS(Data!$N:$N,Data!$U:$U,$R83,Data!$T:$T,4))</f>
        <v/>
      </c>
      <c r="X83" t="str">
        <f>IF(COUNTIFS(Data!$U:$U,$R83,Data!$T:$T,5,Data!$N:$N,"&lt;&gt;")=0,"",SUMIFS(Data!$N:$N,Data!$U:$U,$R83,Data!$T:$T,5))</f>
        <v/>
      </c>
      <c r="Y83" t="str">
        <f>IF(COUNTIFS(Data!$U:$U,$R83,Data!$T:$T,6,Data!$N:$N,"&lt;&gt;")=0,"",SUMIFS(Data!$N:$N,Data!$U:$U,$R83,Data!$T:$T,6))</f>
        <v/>
      </c>
      <c r="Z83" t="str">
        <f>IF(COUNTIFS(Data!$U:$U,$R83,Data!$T:$T,7,Data!$N:$N,"&lt;&gt;")=0,"",SUMIFS(Data!$N:$N,Data!$U:$U,$R83,Data!$T:$T,7))</f>
        <v/>
      </c>
      <c r="AA83" t="str">
        <f>IF(COUNTIFS(Data!$U:$U,$R83,Data!$T:$T,8,Data!$N:$N,"&lt;&gt;")=0,"",SUMIFS(Data!$N:$N,Data!$U:$U,$R83,Data!$T:$T,8))</f>
        <v/>
      </c>
      <c r="AB83" t="str">
        <f>IF(COUNTIFS(Data!$U:$U,$R83,Data!$T:$T,9,Data!$N:$N,"&lt;&gt;")=0,"",SUMIFS(Data!$N:$N,Data!$U:$U,$R83,Data!$T:$T,9))</f>
        <v/>
      </c>
      <c r="AC83" t="str">
        <f>IF(COUNTIFS(Data!$U:$U,$R83,Data!$T:$T,10,Data!$N:$N,"&lt;&gt;")=0,"",SUMIFS(Data!$N:$N,Data!$U:$U,$R83,Data!$T:$T,10))</f>
        <v/>
      </c>
      <c r="AD83" t="str">
        <f>IF(COUNTIFS(Data!$U:$U,$R83,Data!$T:$T,11,Data!$N:$N,"&lt;&gt;")=0,"",SUMIFS(Data!$N:$N,Data!$U:$U,$R83,Data!$T:$T,11))</f>
        <v/>
      </c>
      <c r="AE83" t="str">
        <f>IF(COUNTIFS(Data!$U:$U,$R83,Data!$T:$T,12,Data!$N:$N,"&lt;&gt;")=0,"",SUMIFS(Data!$N:$N,Data!$U:$U,$R83,Data!$T:$T,12))</f>
        <v/>
      </c>
      <c r="AF83" t="str">
        <f>IF(COUNTIFS(Data!$U:$U,$R83,Data!$T:$T,13,Data!$N:$N,"&lt;&gt;")=0,"",SUMIFS(Data!$N:$N,Data!$U:$U,$R83,Data!$T:$T,13))</f>
        <v/>
      </c>
      <c r="AG83" t="str">
        <f>IF(COUNTIFS(Data!$U:$U,$R83,Data!$T:$T,14,Data!$N:$N,"&lt;&gt;")=0,"",SUMIFS(Data!$N:$N,Data!$U:$U,$R83,Data!$T:$T,14))</f>
        <v/>
      </c>
      <c r="AH83">
        <f>COUNTIFS(Data!$U:$U,$R83,Data!$T:$T,"&lt;="&amp;14,Data!$N:$N,"&lt;&gt;")</f>
        <v>0</v>
      </c>
      <c r="AI83">
        <f>COUNTIFS(Data!$U:$U,$R83,Data!$T:$T,"&lt;="&amp;14,Data!$N:$N,0)</f>
        <v>0</v>
      </c>
      <c r="AJ83" t="str">
        <f t="shared" si="14"/>
        <v/>
      </c>
      <c r="AK83" t="str">
        <f>IF(AH83=0,"",SUMIFS(Data!$N:$N,Data!$U:$U,$R83,Data!$T:$T,"&lt;="&amp;14))</f>
        <v/>
      </c>
      <c r="AL83" t="str">
        <f t="shared" si="15"/>
        <v/>
      </c>
      <c r="AM83">
        <f t="shared" si="16"/>
        <v>-1</v>
      </c>
      <c r="AN83" t="str">
        <f t="shared" si="17"/>
        <v/>
      </c>
    </row>
    <row r="84" spans="18:40" x14ac:dyDescent="0.2">
      <c r="R84">
        <v>82</v>
      </c>
      <c r="S84" t="str">
        <f>IFERROR(INDEX(Data!$G:$G,MATCH($R84,Data!$U:$U,0)),"")</f>
        <v/>
      </c>
      <c r="T84" t="str">
        <f>IF(COUNTIFS(Data!$U:$U,$R84,Data!$T:$T,1,Data!$N:$N,"&lt;&gt;")=0,"",SUMIFS(Data!$N:$N,Data!$U:$U,$R84,Data!$T:$T,1))</f>
        <v/>
      </c>
      <c r="U84" t="str">
        <f>IF(COUNTIFS(Data!$U:$U,$R84,Data!$T:$T,2,Data!$N:$N,"&lt;&gt;")=0,"",SUMIFS(Data!$N:$N,Data!$U:$U,$R84,Data!$T:$T,2))</f>
        <v/>
      </c>
      <c r="V84" t="str">
        <f>IF(COUNTIFS(Data!$U:$U,$R84,Data!$T:$T,3,Data!$N:$N,"&lt;&gt;")=0,"",SUMIFS(Data!$N:$N,Data!$U:$U,$R84,Data!$T:$T,3))</f>
        <v/>
      </c>
      <c r="W84" t="str">
        <f>IF(COUNTIFS(Data!$U:$U,$R84,Data!$T:$T,4,Data!$N:$N,"&lt;&gt;")=0,"",SUMIFS(Data!$N:$N,Data!$U:$U,$R84,Data!$T:$T,4))</f>
        <v/>
      </c>
      <c r="X84" t="str">
        <f>IF(COUNTIFS(Data!$U:$U,$R84,Data!$T:$T,5,Data!$N:$N,"&lt;&gt;")=0,"",SUMIFS(Data!$N:$N,Data!$U:$U,$R84,Data!$T:$T,5))</f>
        <v/>
      </c>
      <c r="Y84" t="str">
        <f>IF(COUNTIFS(Data!$U:$U,$R84,Data!$T:$T,6,Data!$N:$N,"&lt;&gt;")=0,"",SUMIFS(Data!$N:$N,Data!$U:$U,$R84,Data!$T:$T,6))</f>
        <v/>
      </c>
      <c r="Z84" t="str">
        <f>IF(COUNTIFS(Data!$U:$U,$R84,Data!$T:$T,7,Data!$N:$N,"&lt;&gt;")=0,"",SUMIFS(Data!$N:$N,Data!$U:$U,$R84,Data!$T:$T,7))</f>
        <v/>
      </c>
      <c r="AA84" t="str">
        <f>IF(COUNTIFS(Data!$U:$U,$R84,Data!$T:$T,8,Data!$N:$N,"&lt;&gt;")=0,"",SUMIFS(Data!$N:$N,Data!$U:$U,$R84,Data!$T:$T,8))</f>
        <v/>
      </c>
      <c r="AB84" t="str">
        <f>IF(COUNTIFS(Data!$U:$U,$R84,Data!$T:$T,9,Data!$N:$N,"&lt;&gt;")=0,"",SUMIFS(Data!$N:$N,Data!$U:$U,$R84,Data!$T:$T,9))</f>
        <v/>
      </c>
      <c r="AC84" t="str">
        <f>IF(COUNTIFS(Data!$U:$U,$R84,Data!$T:$T,10,Data!$N:$N,"&lt;&gt;")=0,"",SUMIFS(Data!$N:$N,Data!$U:$U,$R84,Data!$T:$T,10))</f>
        <v/>
      </c>
      <c r="AD84" t="str">
        <f>IF(COUNTIFS(Data!$U:$U,$R84,Data!$T:$T,11,Data!$N:$N,"&lt;&gt;")=0,"",SUMIFS(Data!$N:$N,Data!$U:$U,$R84,Data!$T:$T,11))</f>
        <v/>
      </c>
      <c r="AE84" t="str">
        <f>IF(COUNTIFS(Data!$U:$U,$R84,Data!$T:$T,12,Data!$N:$N,"&lt;&gt;")=0,"",SUMIFS(Data!$N:$N,Data!$U:$U,$R84,Data!$T:$T,12))</f>
        <v/>
      </c>
      <c r="AF84" t="str">
        <f>IF(COUNTIFS(Data!$U:$U,$R84,Data!$T:$T,13,Data!$N:$N,"&lt;&gt;")=0,"",SUMIFS(Data!$N:$N,Data!$U:$U,$R84,Data!$T:$T,13))</f>
        <v/>
      </c>
      <c r="AG84" t="str">
        <f>IF(COUNTIFS(Data!$U:$U,$R84,Data!$T:$T,14,Data!$N:$N,"&lt;&gt;")=0,"",SUMIFS(Data!$N:$N,Data!$U:$U,$R84,Data!$T:$T,14))</f>
        <v/>
      </c>
      <c r="AH84">
        <f>COUNTIFS(Data!$U:$U,$R84,Data!$T:$T,"&lt;="&amp;14,Data!$N:$N,"&lt;&gt;")</f>
        <v>0</v>
      </c>
      <c r="AI84">
        <f>COUNTIFS(Data!$U:$U,$R84,Data!$T:$T,"&lt;="&amp;14,Data!$N:$N,0)</f>
        <v>0</v>
      </c>
      <c r="AJ84" t="str">
        <f t="shared" si="14"/>
        <v/>
      </c>
      <c r="AK84" t="str">
        <f>IF(AH84=0,"",SUMIFS(Data!$N:$N,Data!$U:$U,$R84,Data!$T:$T,"&lt;="&amp;14))</f>
        <v/>
      </c>
      <c r="AL84" t="str">
        <f t="shared" si="15"/>
        <v/>
      </c>
      <c r="AM84">
        <f t="shared" si="16"/>
        <v>-1</v>
      </c>
      <c r="AN84" t="str">
        <f t="shared" si="17"/>
        <v/>
      </c>
    </row>
    <row r="85" spans="18:40" x14ac:dyDescent="0.2">
      <c r="R85">
        <v>83</v>
      </c>
      <c r="S85" t="str">
        <f>IFERROR(INDEX(Data!$G:$G,MATCH($R85,Data!$U:$U,0)),"")</f>
        <v/>
      </c>
      <c r="T85" t="str">
        <f>IF(COUNTIFS(Data!$U:$U,$R85,Data!$T:$T,1,Data!$N:$N,"&lt;&gt;")=0,"",SUMIFS(Data!$N:$N,Data!$U:$U,$R85,Data!$T:$T,1))</f>
        <v/>
      </c>
      <c r="U85" t="str">
        <f>IF(COUNTIFS(Data!$U:$U,$R85,Data!$T:$T,2,Data!$N:$N,"&lt;&gt;")=0,"",SUMIFS(Data!$N:$N,Data!$U:$U,$R85,Data!$T:$T,2))</f>
        <v/>
      </c>
      <c r="V85" t="str">
        <f>IF(COUNTIFS(Data!$U:$U,$R85,Data!$T:$T,3,Data!$N:$N,"&lt;&gt;")=0,"",SUMIFS(Data!$N:$N,Data!$U:$U,$R85,Data!$T:$T,3))</f>
        <v/>
      </c>
      <c r="W85" t="str">
        <f>IF(COUNTIFS(Data!$U:$U,$R85,Data!$T:$T,4,Data!$N:$N,"&lt;&gt;")=0,"",SUMIFS(Data!$N:$N,Data!$U:$U,$R85,Data!$T:$T,4))</f>
        <v/>
      </c>
      <c r="X85" t="str">
        <f>IF(COUNTIFS(Data!$U:$U,$R85,Data!$T:$T,5,Data!$N:$N,"&lt;&gt;")=0,"",SUMIFS(Data!$N:$N,Data!$U:$U,$R85,Data!$T:$T,5))</f>
        <v/>
      </c>
      <c r="Y85" t="str">
        <f>IF(COUNTIFS(Data!$U:$U,$R85,Data!$T:$T,6,Data!$N:$N,"&lt;&gt;")=0,"",SUMIFS(Data!$N:$N,Data!$U:$U,$R85,Data!$T:$T,6))</f>
        <v/>
      </c>
      <c r="Z85" t="str">
        <f>IF(COUNTIFS(Data!$U:$U,$R85,Data!$T:$T,7,Data!$N:$N,"&lt;&gt;")=0,"",SUMIFS(Data!$N:$N,Data!$U:$U,$R85,Data!$T:$T,7))</f>
        <v/>
      </c>
      <c r="AA85" t="str">
        <f>IF(COUNTIFS(Data!$U:$U,$R85,Data!$T:$T,8,Data!$N:$N,"&lt;&gt;")=0,"",SUMIFS(Data!$N:$N,Data!$U:$U,$R85,Data!$T:$T,8))</f>
        <v/>
      </c>
      <c r="AB85" t="str">
        <f>IF(COUNTIFS(Data!$U:$U,$R85,Data!$T:$T,9,Data!$N:$N,"&lt;&gt;")=0,"",SUMIFS(Data!$N:$N,Data!$U:$U,$R85,Data!$T:$T,9))</f>
        <v/>
      </c>
      <c r="AC85" t="str">
        <f>IF(COUNTIFS(Data!$U:$U,$R85,Data!$T:$T,10,Data!$N:$N,"&lt;&gt;")=0,"",SUMIFS(Data!$N:$N,Data!$U:$U,$R85,Data!$T:$T,10))</f>
        <v/>
      </c>
      <c r="AD85" t="str">
        <f>IF(COUNTIFS(Data!$U:$U,$R85,Data!$T:$T,11,Data!$N:$N,"&lt;&gt;")=0,"",SUMIFS(Data!$N:$N,Data!$U:$U,$R85,Data!$T:$T,11))</f>
        <v/>
      </c>
      <c r="AE85" t="str">
        <f>IF(COUNTIFS(Data!$U:$U,$R85,Data!$T:$T,12,Data!$N:$N,"&lt;&gt;")=0,"",SUMIFS(Data!$N:$N,Data!$U:$U,$R85,Data!$T:$T,12))</f>
        <v/>
      </c>
      <c r="AF85" t="str">
        <f>IF(COUNTIFS(Data!$U:$U,$R85,Data!$T:$T,13,Data!$N:$N,"&lt;&gt;")=0,"",SUMIFS(Data!$N:$N,Data!$U:$U,$R85,Data!$T:$T,13))</f>
        <v/>
      </c>
      <c r="AG85" t="str">
        <f>IF(COUNTIFS(Data!$U:$U,$R85,Data!$T:$T,14,Data!$N:$N,"&lt;&gt;")=0,"",SUMIFS(Data!$N:$N,Data!$U:$U,$R85,Data!$T:$T,14))</f>
        <v/>
      </c>
      <c r="AH85">
        <f>COUNTIFS(Data!$U:$U,$R85,Data!$T:$T,"&lt;="&amp;14,Data!$N:$N,"&lt;&gt;")</f>
        <v>0</v>
      </c>
      <c r="AI85">
        <f>COUNTIFS(Data!$U:$U,$R85,Data!$T:$T,"&lt;="&amp;14,Data!$N:$N,0)</f>
        <v>0</v>
      </c>
      <c r="AJ85" t="str">
        <f t="shared" si="14"/>
        <v/>
      </c>
      <c r="AK85" t="str">
        <f>IF(AH85=0,"",SUMIFS(Data!$N:$N,Data!$U:$U,$R85,Data!$T:$T,"&lt;="&amp;14))</f>
        <v/>
      </c>
      <c r="AL85" t="str">
        <f t="shared" si="15"/>
        <v/>
      </c>
      <c r="AM85">
        <f t="shared" si="16"/>
        <v>-1</v>
      </c>
      <c r="AN85" t="str">
        <f t="shared" si="17"/>
        <v/>
      </c>
    </row>
    <row r="86" spans="18:40" x14ac:dyDescent="0.2">
      <c r="R86">
        <v>84</v>
      </c>
      <c r="S86" t="str">
        <f>IFERROR(INDEX(Data!$G:$G,MATCH($R86,Data!$U:$U,0)),"")</f>
        <v/>
      </c>
      <c r="T86" t="str">
        <f>IF(COUNTIFS(Data!$U:$U,$R86,Data!$T:$T,1,Data!$N:$N,"&lt;&gt;")=0,"",SUMIFS(Data!$N:$N,Data!$U:$U,$R86,Data!$T:$T,1))</f>
        <v/>
      </c>
      <c r="U86" t="str">
        <f>IF(COUNTIFS(Data!$U:$U,$R86,Data!$T:$T,2,Data!$N:$N,"&lt;&gt;")=0,"",SUMIFS(Data!$N:$N,Data!$U:$U,$R86,Data!$T:$T,2))</f>
        <v/>
      </c>
      <c r="V86" t="str">
        <f>IF(COUNTIFS(Data!$U:$U,$R86,Data!$T:$T,3,Data!$N:$N,"&lt;&gt;")=0,"",SUMIFS(Data!$N:$N,Data!$U:$U,$R86,Data!$T:$T,3))</f>
        <v/>
      </c>
      <c r="W86" t="str">
        <f>IF(COUNTIFS(Data!$U:$U,$R86,Data!$T:$T,4,Data!$N:$N,"&lt;&gt;")=0,"",SUMIFS(Data!$N:$N,Data!$U:$U,$R86,Data!$T:$T,4))</f>
        <v/>
      </c>
      <c r="X86" t="str">
        <f>IF(COUNTIFS(Data!$U:$U,$R86,Data!$T:$T,5,Data!$N:$N,"&lt;&gt;")=0,"",SUMIFS(Data!$N:$N,Data!$U:$U,$R86,Data!$T:$T,5))</f>
        <v/>
      </c>
      <c r="Y86" t="str">
        <f>IF(COUNTIFS(Data!$U:$U,$R86,Data!$T:$T,6,Data!$N:$N,"&lt;&gt;")=0,"",SUMIFS(Data!$N:$N,Data!$U:$U,$R86,Data!$T:$T,6))</f>
        <v/>
      </c>
      <c r="Z86" t="str">
        <f>IF(COUNTIFS(Data!$U:$U,$R86,Data!$T:$T,7,Data!$N:$N,"&lt;&gt;")=0,"",SUMIFS(Data!$N:$N,Data!$U:$U,$R86,Data!$T:$T,7))</f>
        <v/>
      </c>
      <c r="AA86" t="str">
        <f>IF(COUNTIFS(Data!$U:$U,$R86,Data!$T:$T,8,Data!$N:$N,"&lt;&gt;")=0,"",SUMIFS(Data!$N:$N,Data!$U:$U,$R86,Data!$T:$T,8))</f>
        <v/>
      </c>
      <c r="AB86" t="str">
        <f>IF(COUNTIFS(Data!$U:$U,$R86,Data!$T:$T,9,Data!$N:$N,"&lt;&gt;")=0,"",SUMIFS(Data!$N:$N,Data!$U:$U,$R86,Data!$T:$T,9))</f>
        <v/>
      </c>
      <c r="AC86" t="str">
        <f>IF(COUNTIFS(Data!$U:$U,$R86,Data!$T:$T,10,Data!$N:$N,"&lt;&gt;")=0,"",SUMIFS(Data!$N:$N,Data!$U:$U,$R86,Data!$T:$T,10))</f>
        <v/>
      </c>
      <c r="AD86" t="str">
        <f>IF(COUNTIFS(Data!$U:$U,$R86,Data!$T:$T,11,Data!$N:$N,"&lt;&gt;")=0,"",SUMIFS(Data!$N:$N,Data!$U:$U,$R86,Data!$T:$T,11))</f>
        <v/>
      </c>
      <c r="AE86" t="str">
        <f>IF(COUNTIFS(Data!$U:$U,$R86,Data!$T:$T,12,Data!$N:$N,"&lt;&gt;")=0,"",SUMIFS(Data!$N:$N,Data!$U:$U,$R86,Data!$T:$T,12))</f>
        <v/>
      </c>
      <c r="AF86" t="str">
        <f>IF(COUNTIFS(Data!$U:$U,$R86,Data!$T:$T,13,Data!$N:$N,"&lt;&gt;")=0,"",SUMIFS(Data!$N:$N,Data!$U:$U,$R86,Data!$T:$T,13))</f>
        <v/>
      </c>
      <c r="AG86" t="str">
        <f>IF(COUNTIFS(Data!$U:$U,$R86,Data!$T:$T,14,Data!$N:$N,"&lt;&gt;")=0,"",SUMIFS(Data!$N:$N,Data!$U:$U,$R86,Data!$T:$T,14))</f>
        <v/>
      </c>
      <c r="AH86">
        <f>COUNTIFS(Data!$U:$U,$R86,Data!$T:$T,"&lt;="&amp;14,Data!$N:$N,"&lt;&gt;")</f>
        <v>0</v>
      </c>
      <c r="AI86">
        <f>COUNTIFS(Data!$U:$U,$R86,Data!$T:$T,"&lt;="&amp;14,Data!$N:$N,0)</f>
        <v>0</v>
      </c>
      <c r="AJ86" t="str">
        <f t="shared" si="14"/>
        <v/>
      </c>
      <c r="AK86" t="str">
        <f>IF(AH86=0,"",SUMIFS(Data!$N:$N,Data!$U:$U,$R86,Data!$T:$T,"&lt;="&amp;14))</f>
        <v/>
      </c>
      <c r="AL86" t="str">
        <f t="shared" si="15"/>
        <v/>
      </c>
      <c r="AM86">
        <f t="shared" si="16"/>
        <v>-1</v>
      </c>
      <c r="AN86" t="str">
        <f t="shared" si="17"/>
        <v/>
      </c>
    </row>
    <row r="87" spans="18:40" x14ac:dyDescent="0.2">
      <c r="R87">
        <v>85</v>
      </c>
      <c r="S87" t="str">
        <f>IFERROR(INDEX(Data!$G:$G,MATCH($R87,Data!$U:$U,0)),"")</f>
        <v/>
      </c>
      <c r="T87" t="str">
        <f>IF(COUNTIFS(Data!$U:$U,$R87,Data!$T:$T,1,Data!$N:$N,"&lt;&gt;")=0,"",SUMIFS(Data!$N:$N,Data!$U:$U,$R87,Data!$T:$T,1))</f>
        <v/>
      </c>
      <c r="U87" t="str">
        <f>IF(COUNTIFS(Data!$U:$U,$R87,Data!$T:$T,2,Data!$N:$N,"&lt;&gt;")=0,"",SUMIFS(Data!$N:$N,Data!$U:$U,$R87,Data!$T:$T,2))</f>
        <v/>
      </c>
      <c r="V87" t="str">
        <f>IF(COUNTIFS(Data!$U:$U,$R87,Data!$T:$T,3,Data!$N:$N,"&lt;&gt;")=0,"",SUMIFS(Data!$N:$N,Data!$U:$U,$R87,Data!$T:$T,3))</f>
        <v/>
      </c>
      <c r="W87" t="str">
        <f>IF(COUNTIFS(Data!$U:$U,$R87,Data!$T:$T,4,Data!$N:$N,"&lt;&gt;")=0,"",SUMIFS(Data!$N:$N,Data!$U:$U,$R87,Data!$T:$T,4))</f>
        <v/>
      </c>
      <c r="X87" t="str">
        <f>IF(COUNTIFS(Data!$U:$U,$R87,Data!$T:$T,5,Data!$N:$N,"&lt;&gt;")=0,"",SUMIFS(Data!$N:$N,Data!$U:$U,$R87,Data!$T:$T,5))</f>
        <v/>
      </c>
      <c r="Y87" t="str">
        <f>IF(COUNTIFS(Data!$U:$U,$R87,Data!$T:$T,6,Data!$N:$N,"&lt;&gt;")=0,"",SUMIFS(Data!$N:$N,Data!$U:$U,$R87,Data!$T:$T,6))</f>
        <v/>
      </c>
      <c r="Z87" t="str">
        <f>IF(COUNTIFS(Data!$U:$U,$R87,Data!$T:$T,7,Data!$N:$N,"&lt;&gt;")=0,"",SUMIFS(Data!$N:$N,Data!$U:$U,$R87,Data!$T:$T,7))</f>
        <v/>
      </c>
      <c r="AA87" t="str">
        <f>IF(COUNTIFS(Data!$U:$U,$R87,Data!$T:$T,8,Data!$N:$N,"&lt;&gt;")=0,"",SUMIFS(Data!$N:$N,Data!$U:$U,$R87,Data!$T:$T,8))</f>
        <v/>
      </c>
      <c r="AB87" t="str">
        <f>IF(COUNTIFS(Data!$U:$U,$R87,Data!$T:$T,9,Data!$N:$N,"&lt;&gt;")=0,"",SUMIFS(Data!$N:$N,Data!$U:$U,$R87,Data!$T:$T,9))</f>
        <v/>
      </c>
      <c r="AC87" t="str">
        <f>IF(COUNTIFS(Data!$U:$U,$R87,Data!$T:$T,10,Data!$N:$N,"&lt;&gt;")=0,"",SUMIFS(Data!$N:$N,Data!$U:$U,$R87,Data!$T:$T,10))</f>
        <v/>
      </c>
      <c r="AD87" t="str">
        <f>IF(COUNTIFS(Data!$U:$U,$R87,Data!$T:$T,11,Data!$N:$N,"&lt;&gt;")=0,"",SUMIFS(Data!$N:$N,Data!$U:$U,$R87,Data!$T:$T,11))</f>
        <v/>
      </c>
      <c r="AE87" t="str">
        <f>IF(COUNTIFS(Data!$U:$U,$R87,Data!$T:$T,12,Data!$N:$N,"&lt;&gt;")=0,"",SUMIFS(Data!$N:$N,Data!$U:$U,$R87,Data!$T:$T,12))</f>
        <v/>
      </c>
      <c r="AF87" t="str">
        <f>IF(COUNTIFS(Data!$U:$U,$R87,Data!$T:$T,13,Data!$N:$N,"&lt;&gt;")=0,"",SUMIFS(Data!$N:$N,Data!$U:$U,$R87,Data!$T:$T,13))</f>
        <v/>
      </c>
      <c r="AG87" t="str">
        <f>IF(COUNTIFS(Data!$U:$U,$R87,Data!$T:$T,14,Data!$N:$N,"&lt;&gt;")=0,"",SUMIFS(Data!$N:$N,Data!$U:$U,$R87,Data!$T:$T,14))</f>
        <v/>
      </c>
      <c r="AH87">
        <f>COUNTIFS(Data!$U:$U,$R87,Data!$T:$T,"&lt;="&amp;14,Data!$N:$N,"&lt;&gt;")</f>
        <v>0</v>
      </c>
      <c r="AI87">
        <f>COUNTIFS(Data!$U:$U,$R87,Data!$T:$T,"&lt;="&amp;14,Data!$N:$N,0)</f>
        <v>0</v>
      </c>
      <c r="AJ87" t="str">
        <f t="shared" si="14"/>
        <v/>
      </c>
      <c r="AK87" t="str">
        <f>IF(AH87=0,"",SUMIFS(Data!$N:$N,Data!$U:$U,$R87,Data!$T:$T,"&lt;="&amp;14))</f>
        <v/>
      </c>
      <c r="AL87" t="str">
        <f t="shared" si="15"/>
        <v/>
      </c>
      <c r="AM87">
        <f t="shared" si="16"/>
        <v>-1</v>
      </c>
      <c r="AN87" t="str">
        <f t="shared" si="17"/>
        <v/>
      </c>
    </row>
    <row r="88" spans="18:40" x14ac:dyDescent="0.2">
      <c r="R88">
        <v>86</v>
      </c>
      <c r="S88" t="str">
        <f>IFERROR(INDEX(Data!$G:$G,MATCH($R88,Data!$U:$U,0)),"")</f>
        <v/>
      </c>
      <c r="T88" t="str">
        <f>IF(COUNTIFS(Data!$U:$U,$R88,Data!$T:$T,1,Data!$N:$N,"&lt;&gt;")=0,"",SUMIFS(Data!$N:$N,Data!$U:$U,$R88,Data!$T:$T,1))</f>
        <v/>
      </c>
      <c r="U88" t="str">
        <f>IF(COUNTIFS(Data!$U:$U,$R88,Data!$T:$T,2,Data!$N:$N,"&lt;&gt;")=0,"",SUMIFS(Data!$N:$N,Data!$U:$U,$R88,Data!$T:$T,2))</f>
        <v/>
      </c>
      <c r="V88" t="str">
        <f>IF(COUNTIFS(Data!$U:$U,$R88,Data!$T:$T,3,Data!$N:$N,"&lt;&gt;")=0,"",SUMIFS(Data!$N:$N,Data!$U:$U,$R88,Data!$T:$T,3))</f>
        <v/>
      </c>
      <c r="W88" t="str">
        <f>IF(COUNTIFS(Data!$U:$U,$R88,Data!$T:$T,4,Data!$N:$N,"&lt;&gt;")=0,"",SUMIFS(Data!$N:$N,Data!$U:$U,$R88,Data!$T:$T,4))</f>
        <v/>
      </c>
      <c r="X88" t="str">
        <f>IF(COUNTIFS(Data!$U:$U,$R88,Data!$T:$T,5,Data!$N:$N,"&lt;&gt;")=0,"",SUMIFS(Data!$N:$N,Data!$U:$U,$R88,Data!$T:$T,5))</f>
        <v/>
      </c>
      <c r="Y88" t="str">
        <f>IF(COUNTIFS(Data!$U:$U,$R88,Data!$T:$T,6,Data!$N:$N,"&lt;&gt;")=0,"",SUMIFS(Data!$N:$N,Data!$U:$U,$R88,Data!$T:$T,6))</f>
        <v/>
      </c>
      <c r="Z88" t="str">
        <f>IF(COUNTIFS(Data!$U:$U,$R88,Data!$T:$T,7,Data!$N:$N,"&lt;&gt;")=0,"",SUMIFS(Data!$N:$N,Data!$U:$U,$R88,Data!$T:$T,7))</f>
        <v/>
      </c>
      <c r="AA88" t="str">
        <f>IF(COUNTIFS(Data!$U:$U,$R88,Data!$T:$T,8,Data!$N:$N,"&lt;&gt;")=0,"",SUMIFS(Data!$N:$N,Data!$U:$U,$R88,Data!$T:$T,8))</f>
        <v/>
      </c>
      <c r="AB88" t="str">
        <f>IF(COUNTIFS(Data!$U:$U,$R88,Data!$T:$T,9,Data!$N:$N,"&lt;&gt;")=0,"",SUMIFS(Data!$N:$N,Data!$U:$U,$R88,Data!$T:$T,9))</f>
        <v/>
      </c>
      <c r="AC88" t="str">
        <f>IF(COUNTIFS(Data!$U:$U,$R88,Data!$T:$T,10,Data!$N:$N,"&lt;&gt;")=0,"",SUMIFS(Data!$N:$N,Data!$U:$U,$R88,Data!$T:$T,10))</f>
        <v/>
      </c>
      <c r="AD88" t="str">
        <f>IF(COUNTIFS(Data!$U:$U,$R88,Data!$T:$T,11,Data!$N:$N,"&lt;&gt;")=0,"",SUMIFS(Data!$N:$N,Data!$U:$U,$R88,Data!$T:$T,11))</f>
        <v/>
      </c>
      <c r="AE88" t="str">
        <f>IF(COUNTIFS(Data!$U:$U,$R88,Data!$T:$T,12,Data!$N:$N,"&lt;&gt;")=0,"",SUMIFS(Data!$N:$N,Data!$U:$U,$R88,Data!$T:$T,12))</f>
        <v/>
      </c>
      <c r="AF88" t="str">
        <f>IF(COUNTIFS(Data!$U:$U,$R88,Data!$T:$T,13,Data!$N:$N,"&lt;&gt;")=0,"",SUMIFS(Data!$N:$N,Data!$U:$U,$R88,Data!$T:$T,13))</f>
        <v/>
      </c>
      <c r="AG88" t="str">
        <f>IF(COUNTIFS(Data!$U:$U,$R88,Data!$T:$T,14,Data!$N:$N,"&lt;&gt;")=0,"",SUMIFS(Data!$N:$N,Data!$U:$U,$R88,Data!$T:$T,14))</f>
        <v/>
      </c>
      <c r="AH88">
        <f>COUNTIFS(Data!$U:$U,$R88,Data!$T:$T,"&lt;="&amp;14,Data!$N:$N,"&lt;&gt;")</f>
        <v>0</v>
      </c>
      <c r="AI88">
        <f>COUNTIFS(Data!$U:$U,$R88,Data!$T:$T,"&lt;="&amp;14,Data!$N:$N,0)</f>
        <v>0</v>
      </c>
      <c r="AJ88" t="str">
        <f t="shared" si="14"/>
        <v/>
      </c>
      <c r="AK88" t="str">
        <f>IF(AH88=0,"",SUMIFS(Data!$N:$N,Data!$U:$U,$R88,Data!$T:$T,"&lt;="&amp;14))</f>
        <v/>
      </c>
      <c r="AL88" t="str">
        <f t="shared" si="15"/>
        <v/>
      </c>
      <c r="AM88">
        <f t="shared" si="16"/>
        <v>-1</v>
      </c>
      <c r="AN88" t="str">
        <f t="shared" si="17"/>
        <v/>
      </c>
    </row>
    <row r="89" spans="18:40" x14ac:dyDescent="0.2">
      <c r="R89">
        <v>87</v>
      </c>
      <c r="S89" t="str">
        <f>IFERROR(INDEX(Data!$G:$G,MATCH($R89,Data!$U:$U,0)),"")</f>
        <v/>
      </c>
      <c r="T89" t="str">
        <f>IF(COUNTIFS(Data!$U:$U,$R89,Data!$T:$T,1,Data!$N:$N,"&lt;&gt;")=0,"",SUMIFS(Data!$N:$N,Data!$U:$U,$R89,Data!$T:$T,1))</f>
        <v/>
      </c>
      <c r="U89" t="str">
        <f>IF(COUNTIFS(Data!$U:$U,$R89,Data!$T:$T,2,Data!$N:$N,"&lt;&gt;")=0,"",SUMIFS(Data!$N:$N,Data!$U:$U,$R89,Data!$T:$T,2))</f>
        <v/>
      </c>
      <c r="V89" t="str">
        <f>IF(COUNTIFS(Data!$U:$U,$R89,Data!$T:$T,3,Data!$N:$N,"&lt;&gt;")=0,"",SUMIFS(Data!$N:$N,Data!$U:$U,$R89,Data!$T:$T,3))</f>
        <v/>
      </c>
      <c r="W89" t="str">
        <f>IF(COUNTIFS(Data!$U:$U,$R89,Data!$T:$T,4,Data!$N:$N,"&lt;&gt;")=0,"",SUMIFS(Data!$N:$N,Data!$U:$U,$R89,Data!$T:$T,4))</f>
        <v/>
      </c>
      <c r="X89" t="str">
        <f>IF(COUNTIFS(Data!$U:$U,$R89,Data!$T:$T,5,Data!$N:$N,"&lt;&gt;")=0,"",SUMIFS(Data!$N:$N,Data!$U:$U,$R89,Data!$T:$T,5))</f>
        <v/>
      </c>
      <c r="Y89" t="str">
        <f>IF(COUNTIFS(Data!$U:$U,$R89,Data!$T:$T,6,Data!$N:$N,"&lt;&gt;")=0,"",SUMIFS(Data!$N:$N,Data!$U:$U,$R89,Data!$T:$T,6))</f>
        <v/>
      </c>
      <c r="Z89" t="str">
        <f>IF(COUNTIFS(Data!$U:$U,$R89,Data!$T:$T,7,Data!$N:$N,"&lt;&gt;")=0,"",SUMIFS(Data!$N:$N,Data!$U:$U,$R89,Data!$T:$T,7))</f>
        <v/>
      </c>
      <c r="AA89" t="str">
        <f>IF(COUNTIFS(Data!$U:$U,$R89,Data!$T:$T,8,Data!$N:$N,"&lt;&gt;")=0,"",SUMIFS(Data!$N:$N,Data!$U:$U,$R89,Data!$T:$T,8))</f>
        <v/>
      </c>
      <c r="AB89" t="str">
        <f>IF(COUNTIFS(Data!$U:$U,$R89,Data!$T:$T,9,Data!$N:$N,"&lt;&gt;")=0,"",SUMIFS(Data!$N:$N,Data!$U:$U,$R89,Data!$T:$T,9))</f>
        <v/>
      </c>
      <c r="AC89" t="str">
        <f>IF(COUNTIFS(Data!$U:$U,$R89,Data!$T:$T,10,Data!$N:$N,"&lt;&gt;")=0,"",SUMIFS(Data!$N:$N,Data!$U:$U,$R89,Data!$T:$T,10))</f>
        <v/>
      </c>
      <c r="AD89" t="str">
        <f>IF(COUNTIFS(Data!$U:$U,$R89,Data!$T:$T,11,Data!$N:$N,"&lt;&gt;")=0,"",SUMIFS(Data!$N:$N,Data!$U:$U,$R89,Data!$T:$T,11))</f>
        <v/>
      </c>
      <c r="AE89" t="str">
        <f>IF(COUNTIFS(Data!$U:$U,$R89,Data!$T:$T,12,Data!$N:$N,"&lt;&gt;")=0,"",SUMIFS(Data!$N:$N,Data!$U:$U,$R89,Data!$T:$T,12))</f>
        <v/>
      </c>
      <c r="AF89" t="str">
        <f>IF(COUNTIFS(Data!$U:$U,$R89,Data!$T:$T,13,Data!$N:$N,"&lt;&gt;")=0,"",SUMIFS(Data!$N:$N,Data!$U:$U,$R89,Data!$T:$T,13))</f>
        <v/>
      </c>
      <c r="AG89" t="str">
        <f>IF(COUNTIFS(Data!$U:$U,$R89,Data!$T:$T,14,Data!$N:$N,"&lt;&gt;")=0,"",SUMIFS(Data!$N:$N,Data!$U:$U,$R89,Data!$T:$T,14))</f>
        <v/>
      </c>
      <c r="AH89">
        <f>COUNTIFS(Data!$U:$U,$R89,Data!$T:$T,"&lt;="&amp;14,Data!$N:$N,"&lt;&gt;")</f>
        <v>0</v>
      </c>
      <c r="AI89">
        <f>COUNTIFS(Data!$U:$U,$R89,Data!$T:$T,"&lt;="&amp;14,Data!$N:$N,0)</f>
        <v>0</v>
      </c>
      <c r="AJ89" t="str">
        <f t="shared" si="14"/>
        <v/>
      </c>
      <c r="AK89" t="str">
        <f>IF(AH89=0,"",SUMIFS(Data!$N:$N,Data!$U:$U,$R89,Data!$T:$T,"&lt;="&amp;14))</f>
        <v/>
      </c>
      <c r="AL89" t="str">
        <f t="shared" si="15"/>
        <v/>
      </c>
      <c r="AM89">
        <f t="shared" si="16"/>
        <v>-1</v>
      </c>
      <c r="AN89" t="str">
        <f t="shared" si="17"/>
        <v/>
      </c>
    </row>
    <row r="90" spans="18:40" x14ac:dyDescent="0.2">
      <c r="R90">
        <v>88</v>
      </c>
      <c r="S90" t="str">
        <f>IFERROR(INDEX(Data!$G:$G,MATCH($R90,Data!$U:$U,0)),"")</f>
        <v/>
      </c>
      <c r="T90" t="str">
        <f>IF(COUNTIFS(Data!$U:$U,$R90,Data!$T:$T,1,Data!$N:$N,"&lt;&gt;")=0,"",SUMIFS(Data!$N:$N,Data!$U:$U,$R90,Data!$T:$T,1))</f>
        <v/>
      </c>
      <c r="U90" t="str">
        <f>IF(COUNTIFS(Data!$U:$U,$R90,Data!$T:$T,2,Data!$N:$N,"&lt;&gt;")=0,"",SUMIFS(Data!$N:$N,Data!$U:$U,$R90,Data!$T:$T,2))</f>
        <v/>
      </c>
      <c r="V90" t="str">
        <f>IF(COUNTIFS(Data!$U:$U,$R90,Data!$T:$T,3,Data!$N:$N,"&lt;&gt;")=0,"",SUMIFS(Data!$N:$N,Data!$U:$U,$R90,Data!$T:$T,3))</f>
        <v/>
      </c>
      <c r="W90" t="str">
        <f>IF(COUNTIFS(Data!$U:$U,$R90,Data!$T:$T,4,Data!$N:$N,"&lt;&gt;")=0,"",SUMIFS(Data!$N:$N,Data!$U:$U,$R90,Data!$T:$T,4))</f>
        <v/>
      </c>
      <c r="X90" t="str">
        <f>IF(COUNTIFS(Data!$U:$U,$R90,Data!$T:$T,5,Data!$N:$N,"&lt;&gt;")=0,"",SUMIFS(Data!$N:$N,Data!$U:$U,$R90,Data!$T:$T,5))</f>
        <v/>
      </c>
      <c r="Y90" t="str">
        <f>IF(COUNTIFS(Data!$U:$U,$R90,Data!$T:$T,6,Data!$N:$N,"&lt;&gt;")=0,"",SUMIFS(Data!$N:$N,Data!$U:$U,$R90,Data!$T:$T,6))</f>
        <v/>
      </c>
      <c r="Z90" t="str">
        <f>IF(COUNTIFS(Data!$U:$U,$R90,Data!$T:$T,7,Data!$N:$N,"&lt;&gt;")=0,"",SUMIFS(Data!$N:$N,Data!$U:$U,$R90,Data!$T:$T,7))</f>
        <v/>
      </c>
      <c r="AA90" t="str">
        <f>IF(COUNTIFS(Data!$U:$U,$R90,Data!$T:$T,8,Data!$N:$N,"&lt;&gt;")=0,"",SUMIFS(Data!$N:$N,Data!$U:$U,$R90,Data!$T:$T,8))</f>
        <v/>
      </c>
      <c r="AB90" t="str">
        <f>IF(COUNTIFS(Data!$U:$U,$R90,Data!$T:$T,9,Data!$N:$N,"&lt;&gt;")=0,"",SUMIFS(Data!$N:$N,Data!$U:$U,$R90,Data!$T:$T,9))</f>
        <v/>
      </c>
      <c r="AC90" t="str">
        <f>IF(COUNTIFS(Data!$U:$U,$R90,Data!$T:$T,10,Data!$N:$N,"&lt;&gt;")=0,"",SUMIFS(Data!$N:$N,Data!$U:$U,$R90,Data!$T:$T,10))</f>
        <v/>
      </c>
      <c r="AD90" t="str">
        <f>IF(COUNTIFS(Data!$U:$U,$R90,Data!$T:$T,11,Data!$N:$N,"&lt;&gt;")=0,"",SUMIFS(Data!$N:$N,Data!$U:$U,$R90,Data!$T:$T,11))</f>
        <v/>
      </c>
      <c r="AE90" t="str">
        <f>IF(COUNTIFS(Data!$U:$U,$R90,Data!$T:$T,12,Data!$N:$N,"&lt;&gt;")=0,"",SUMIFS(Data!$N:$N,Data!$U:$U,$R90,Data!$T:$T,12))</f>
        <v/>
      </c>
      <c r="AF90" t="str">
        <f>IF(COUNTIFS(Data!$U:$U,$R90,Data!$T:$T,13,Data!$N:$N,"&lt;&gt;")=0,"",SUMIFS(Data!$N:$N,Data!$U:$U,$R90,Data!$T:$T,13))</f>
        <v/>
      </c>
      <c r="AG90" t="str">
        <f>IF(COUNTIFS(Data!$U:$U,$R90,Data!$T:$T,14,Data!$N:$N,"&lt;&gt;")=0,"",SUMIFS(Data!$N:$N,Data!$U:$U,$R90,Data!$T:$T,14))</f>
        <v/>
      </c>
      <c r="AH90">
        <f>COUNTIFS(Data!$U:$U,$R90,Data!$T:$T,"&lt;="&amp;14,Data!$N:$N,"&lt;&gt;")</f>
        <v>0</v>
      </c>
      <c r="AI90">
        <f>COUNTIFS(Data!$U:$U,$R90,Data!$T:$T,"&lt;="&amp;14,Data!$N:$N,0)</f>
        <v>0</v>
      </c>
      <c r="AJ90" t="str">
        <f t="shared" si="14"/>
        <v/>
      </c>
      <c r="AK90" t="str">
        <f>IF(AH90=0,"",SUMIFS(Data!$N:$N,Data!$U:$U,$R90,Data!$T:$T,"&lt;="&amp;14))</f>
        <v/>
      </c>
      <c r="AL90" t="str">
        <f t="shared" si="15"/>
        <v/>
      </c>
      <c r="AM90">
        <f t="shared" si="16"/>
        <v>-1</v>
      </c>
      <c r="AN90" t="str">
        <f t="shared" si="17"/>
        <v/>
      </c>
    </row>
    <row r="91" spans="18:40" x14ac:dyDescent="0.2">
      <c r="R91">
        <v>89</v>
      </c>
      <c r="S91" t="str">
        <f>IFERROR(INDEX(Data!$G:$G,MATCH($R91,Data!$U:$U,0)),"")</f>
        <v/>
      </c>
      <c r="T91" t="str">
        <f>IF(COUNTIFS(Data!$U:$U,$R91,Data!$T:$T,1,Data!$N:$N,"&lt;&gt;")=0,"",SUMIFS(Data!$N:$N,Data!$U:$U,$R91,Data!$T:$T,1))</f>
        <v/>
      </c>
      <c r="U91" t="str">
        <f>IF(COUNTIFS(Data!$U:$U,$R91,Data!$T:$T,2,Data!$N:$N,"&lt;&gt;")=0,"",SUMIFS(Data!$N:$N,Data!$U:$U,$R91,Data!$T:$T,2))</f>
        <v/>
      </c>
      <c r="V91" t="str">
        <f>IF(COUNTIFS(Data!$U:$U,$R91,Data!$T:$T,3,Data!$N:$N,"&lt;&gt;")=0,"",SUMIFS(Data!$N:$N,Data!$U:$U,$R91,Data!$T:$T,3))</f>
        <v/>
      </c>
      <c r="W91" t="str">
        <f>IF(COUNTIFS(Data!$U:$U,$R91,Data!$T:$T,4,Data!$N:$N,"&lt;&gt;")=0,"",SUMIFS(Data!$N:$N,Data!$U:$U,$R91,Data!$T:$T,4))</f>
        <v/>
      </c>
      <c r="X91" t="str">
        <f>IF(COUNTIFS(Data!$U:$U,$R91,Data!$T:$T,5,Data!$N:$N,"&lt;&gt;")=0,"",SUMIFS(Data!$N:$N,Data!$U:$U,$R91,Data!$T:$T,5))</f>
        <v/>
      </c>
      <c r="Y91" t="str">
        <f>IF(COUNTIFS(Data!$U:$U,$R91,Data!$T:$T,6,Data!$N:$N,"&lt;&gt;")=0,"",SUMIFS(Data!$N:$N,Data!$U:$U,$R91,Data!$T:$T,6))</f>
        <v/>
      </c>
      <c r="Z91" t="str">
        <f>IF(COUNTIFS(Data!$U:$U,$R91,Data!$T:$T,7,Data!$N:$N,"&lt;&gt;")=0,"",SUMIFS(Data!$N:$N,Data!$U:$U,$R91,Data!$T:$T,7))</f>
        <v/>
      </c>
      <c r="AA91" t="str">
        <f>IF(COUNTIFS(Data!$U:$U,$R91,Data!$T:$T,8,Data!$N:$N,"&lt;&gt;")=0,"",SUMIFS(Data!$N:$N,Data!$U:$U,$R91,Data!$T:$T,8))</f>
        <v/>
      </c>
      <c r="AB91" t="str">
        <f>IF(COUNTIFS(Data!$U:$U,$R91,Data!$T:$T,9,Data!$N:$N,"&lt;&gt;")=0,"",SUMIFS(Data!$N:$N,Data!$U:$U,$R91,Data!$T:$T,9))</f>
        <v/>
      </c>
      <c r="AC91" t="str">
        <f>IF(COUNTIFS(Data!$U:$U,$R91,Data!$T:$T,10,Data!$N:$N,"&lt;&gt;")=0,"",SUMIFS(Data!$N:$N,Data!$U:$U,$R91,Data!$T:$T,10))</f>
        <v/>
      </c>
      <c r="AD91" t="str">
        <f>IF(COUNTIFS(Data!$U:$U,$R91,Data!$T:$T,11,Data!$N:$N,"&lt;&gt;")=0,"",SUMIFS(Data!$N:$N,Data!$U:$U,$R91,Data!$T:$T,11))</f>
        <v/>
      </c>
      <c r="AE91" t="str">
        <f>IF(COUNTIFS(Data!$U:$U,$R91,Data!$T:$T,12,Data!$N:$N,"&lt;&gt;")=0,"",SUMIFS(Data!$N:$N,Data!$U:$U,$R91,Data!$T:$T,12))</f>
        <v/>
      </c>
      <c r="AF91" t="str">
        <f>IF(COUNTIFS(Data!$U:$U,$R91,Data!$T:$T,13,Data!$N:$N,"&lt;&gt;")=0,"",SUMIFS(Data!$N:$N,Data!$U:$U,$R91,Data!$T:$T,13))</f>
        <v/>
      </c>
      <c r="AG91" t="str">
        <f>IF(COUNTIFS(Data!$U:$U,$R91,Data!$T:$T,14,Data!$N:$N,"&lt;&gt;")=0,"",SUMIFS(Data!$N:$N,Data!$U:$U,$R91,Data!$T:$T,14))</f>
        <v/>
      </c>
      <c r="AH91">
        <f>COUNTIFS(Data!$U:$U,$R91,Data!$T:$T,"&lt;="&amp;14,Data!$N:$N,"&lt;&gt;")</f>
        <v>0</v>
      </c>
      <c r="AI91">
        <f>COUNTIFS(Data!$U:$U,$R91,Data!$T:$T,"&lt;="&amp;14,Data!$N:$N,0)</f>
        <v>0</v>
      </c>
      <c r="AJ91" t="str">
        <f t="shared" si="14"/>
        <v/>
      </c>
      <c r="AK91" t="str">
        <f>IF(AH91=0,"",SUMIFS(Data!$N:$N,Data!$U:$U,$R91,Data!$T:$T,"&lt;="&amp;14))</f>
        <v/>
      </c>
      <c r="AL91" t="str">
        <f t="shared" si="15"/>
        <v/>
      </c>
      <c r="AM91">
        <f t="shared" si="16"/>
        <v>-1</v>
      </c>
      <c r="AN91" t="str">
        <f t="shared" si="17"/>
        <v/>
      </c>
    </row>
    <row r="92" spans="18:40" x14ac:dyDescent="0.2">
      <c r="R92">
        <v>90</v>
      </c>
      <c r="S92" t="str">
        <f>IFERROR(INDEX(Data!$G:$G,MATCH($R92,Data!$U:$U,0)),"")</f>
        <v/>
      </c>
      <c r="T92" t="str">
        <f>IF(COUNTIFS(Data!$U:$U,$R92,Data!$T:$T,1,Data!$N:$N,"&lt;&gt;")=0,"",SUMIFS(Data!$N:$N,Data!$U:$U,$R92,Data!$T:$T,1))</f>
        <v/>
      </c>
      <c r="U92" t="str">
        <f>IF(COUNTIFS(Data!$U:$U,$R92,Data!$T:$T,2,Data!$N:$N,"&lt;&gt;")=0,"",SUMIFS(Data!$N:$N,Data!$U:$U,$R92,Data!$T:$T,2))</f>
        <v/>
      </c>
      <c r="V92" t="str">
        <f>IF(COUNTIFS(Data!$U:$U,$R92,Data!$T:$T,3,Data!$N:$N,"&lt;&gt;")=0,"",SUMIFS(Data!$N:$N,Data!$U:$U,$R92,Data!$T:$T,3))</f>
        <v/>
      </c>
      <c r="W92" t="str">
        <f>IF(COUNTIFS(Data!$U:$U,$R92,Data!$T:$T,4,Data!$N:$N,"&lt;&gt;")=0,"",SUMIFS(Data!$N:$N,Data!$U:$U,$R92,Data!$T:$T,4))</f>
        <v/>
      </c>
      <c r="X92" t="str">
        <f>IF(COUNTIFS(Data!$U:$U,$R92,Data!$T:$T,5,Data!$N:$N,"&lt;&gt;")=0,"",SUMIFS(Data!$N:$N,Data!$U:$U,$R92,Data!$T:$T,5))</f>
        <v/>
      </c>
      <c r="Y92" t="str">
        <f>IF(COUNTIFS(Data!$U:$U,$R92,Data!$T:$T,6,Data!$N:$N,"&lt;&gt;")=0,"",SUMIFS(Data!$N:$N,Data!$U:$U,$R92,Data!$T:$T,6))</f>
        <v/>
      </c>
      <c r="Z92" t="str">
        <f>IF(COUNTIFS(Data!$U:$U,$R92,Data!$T:$T,7,Data!$N:$N,"&lt;&gt;")=0,"",SUMIFS(Data!$N:$N,Data!$U:$U,$R92,Data!$T:$T,7))</f>
        <v/>
      </c>
      <c r="AA92" t="str">
        <f>IF(COUNTIFS(Data!$U:$U,$R92,Data!$T:$T,8,Data!$N:$N,"&lt;&gt;")=0,"",SUMIFS(Data!$N:$N,Data!$U:$U,$R92,Data!$T:$T,8))</f>
        <v/>
      </c>
      <c r="AB92" t="str">
        <f>IF(COUNTIFS(Data!$U:$U,$R92,Data!$T:$T,9,Data!$N:$N,"&lt;&gt;")=0,"",SUMIFS(Data!$N:$N,Data!$U:$U,$R92,Data!$T:$T,9))</f>
        <v/>
      </c>
      <c r="AC92" t="str">
        <f>IF(COUNTIFS(Data!$U:$U,$R92,Data!$T:$T,10,Data!$N:$N,"&lt;&gt;")=0,"",SUMIFS(Data!$N:$N,Data!$U:$U,$R92,Data!$T:$T,10))</f>
        <v/>
      </c>
      <c r="AD92" t="str">
        <f>IF(COUNTIFS(Data!$U:$U,$R92,Data!$T:$T,11,Data!$N:$N,"&lt;&gt;")=0,"",SUMIFS(Data!$N:$N,Data!$U:$U,$R92,Data!$T:$T,11))</f>
        <v/>
      </c>
      <c r="AE92" t="str">
        <f>IF(COUNTIFS(Data!$U:$U,$R92,Data!$T:$T,12,Data!$N:$N,"&lt;&gt;")=0,"",SUMIFS(Data!$N:$N,Data!$U:$U,$R92,Data!$T:$T,12))</f>
        <v/>
      </c>
      <c r="AF92" t="str">
        <f>IF(COUNTIFS(Data!$U:$U,$R92,Data!$T:$T,13,Data!$N:$N,"&lt;&gt;")=0,"",SUMIFS(Data!$N:$N,Data!$U:$U,$R92,Data!$T:$T,13))</f>
        <v/>
      </c>
      <c r="AG92" t="str">
        <f>IF(COUNTIFS(Data!$U:$U,$R92,Data!$T:$T,14,Data!$N:$N,"&lt;&gt;")=0,"",SUMIFS(Data!$N:$N,Data!$U:$U,$R92,Data!$T:$T,14))</f>
        <v/>
      </c>
      <c r="AH92">
        <f>COUNTIFS(Data!$U:$U,$R92,Data!$T:$T,"&lt;="&amp;14,Data!$N:$N,"&lt;&gt;")</f>
        <v>0</v>
      </c>
      <c r="AI92">
        <f>COUNTIFS(Data!$U:$U,$R92,Data!$T:$T,"&lt;="&amp;14,Data!$N:$N,0)</f>
        <v>0</v>
      </c>
      <c r="AJ92" t="str">
        <f t="shared" si="14"/>
        <v/>
      </c>
      <c r="AK92" t="str">
        <f>IF(AH92=0,"",SUMIFS(Data!$N:$N,Data!$U:$U,$R92,Data!$T:$T,"&lt;="&amp;14))</f>
        <v/>
      </c>
      <c r="AL92" t="str">
        <f t="shared" si="15"/>
        <v/>
      </c>
      <c r="AM92">
        <f t="shared" si="16"/>
        <v>-1</v>
      </c>
      <c r="AN92" t="str">
        <f t="shared" si="17"/>
        <v/>
      </c>
    </row>
    <row r="93" spans="18:40" x14ac:dyDescent="0.2">
      <c r="R93">
        <v>91</v>
      </c>
      <c r="S93" t="str">
        <f>IFERROR(INDEX(Data!$G:$G,MATCH($R93,Data!$U:$U,0)),"")</f>
        <v/>
      </c>
      <c r="T93" t="str">
        <f>IF(COUNTIFS(Data!$U:$U,$R93,Data!$T:$T,1,Data!$N:$N,"&lt;&gt;")=0,"",SUMIFS(Data!$N:$N,Data!$U:$U,$R93,Data!$T:$T,1))</f>
        <v/>
      </c>
      <c r="U93" t="str">
        <f>IF(COUNTIFS(Data!$U:$U,$R93,Data!$T:$T,2,Data!$N:$N,"&lt;&gt;")=0,"",SUMIFS(Data!$N:$N,Data!$U:$U,$R93,Data!$T:$T,2))</f>
        <v/>
      </c>
      <c r="V93" t="str">
        <f>IF(COUNTIFS(Data!$U:$U,$R93,Data!$T:$T,3,Data!$N:$N,"&lt;&gt;")=0,"",SUMIFS(Data!$N:$N,Data!$U:$U,$R93,Data!$T:$T,3))</f>
        <v/>
      </c>
      <c r="W93" t="str">
        <f>IF(COUNTIFS(Data!$U:$U,$R93,Data!$T:$T,4,Data!$N:$N,"&lt;&gt;")=0,"",SUMIFS(Data!$N:$N,Data!$U:$U,$R93,Data!$T:$T,4))</f>
        <v/>
      </c>
      <c r="X93" t="str">
        <f>IF(COUNTIFS(Data!$U:$U,$R93,Data!$T:$T,5,Data!$N:$N,"&lt;&gt;")=0,"",SUMIFS(Data!$N:$N,Data!$U:$U,$R93,Data!$T:$T,5))</f>
        <v/>
      </c>
      <c r="Y93" t="str">
        <f>IF(COUNTIFS(Data!$U:$U,$R93,Data!$T:$T,6,Data!$N:$N,"&lt;&gt;")=0,"",SUMIFS(Data!$N:$N,Data!$U:$U,$R93,Data!$T:$T,6))</f>
        <v/>
      </c>
      <c r="Z93" t="str">
        <f>IF(COUNTIFS(Data!$U:$U,$R93,Data!$T:$T,7,Data!$N:$N,"&lt;&gt;")=0,"",SUMIFS(Data!$N:$N,Data!$U:$U,$R93,Data!$T:$T,7))</f>
        <v/>
      </c>
      <c r="AA93" t="str">
        <f>IF(COUNTIFS(Data!$U:$U,$R93,Data!$T:$T,8,Data!$N:$N,"&lt;&gt;")=0,"",SUMIFS(Data!$N:$N,Data!$U:$U,$R93,Data!$T:$T,8))</f>
        <v/>
      </c>
      <c r="AB93" t="str">
        <f>IF(COUNTIFS(Data!$U:$U,$R93,Data!$T:$T,9,Data!$N:$N,"&lt;&gt;")=0,"",SUMIFS(Data!$N:$N,Data!$U:$U,$R93,Data!$T:$T,9))</f>
        <v/>
      </c>
      <c r="AC93" t="str">
        <f>IF(COUNTIFS(Data!$U:$U,$R93,Data!$T:$T,10,Data!$N:$N,"&lt;&gt;")=0,"",SUMIFS(Data!$N:$N,Data!$U:$U,$R93,Data!$T:$T,10))</f>
        <v/>
      </c>
      <c r="AD93" t="str">
        <f>IF(COUNTIFS(Data!$U:$U,$R93,Data!$T:$T,11,Data!$N:$N,"&lt;&gt;")=0,"",SUMIFS(Data!$N:$N,Data!$U:$U,$R93,Data!$T:$T,11))</f>
        <v/>
      </c>
      <c r="AE93" t="str">
        <f>IF(COUNTIFS(Data!$U:$U,$R93,Data!$T:$T,12,Data!$N:$N,"&lt;&gt;")=0,"",SUMIFS(Data!$N:$N,Data!$U:$U,$R93,Data!$T:$T,12))</f>
        <v/>
      </c>
      <c r="AF93" t="str">
        <f>IF(COUNTIFS(Data!$U:$U,$R93,Data!$T:$T,13,Data!$N:$N,"&lt;&gt;")=0,"",SUMIFS(Data!$N:$N,Data!$U:$U,$R93,Data!$T:$T,13))</f>
        <v/>
      </c>
      <c r="AG93" t="str">
        <f>IF(COUNTIFS(Data!$U:$U,$R93,Data!$T:$T,14,Data!$N:$N,"&lt;&gt;")=0,"",SUMIFS(Data!$N:$N,Data!$U:$U,$R93,Data!$T:$T,14))</f>
        <v/>
      </c>
      <c r="AH93">
        <f>COUNTIFS(Data!$U:$U,$R93,Data!$T:$T,"&lt;="&amp;14,Data!$N:$N,"&lt;&gt;")</f>
        <v>0</v>
      </c>
      <c r="AI93">
        <f>COUNTIFS(Data!$U:$U,$R93,Data!$T:$T,"&lt;="&amp;14,Data!$N:$N,0)</f>
        <v>0</v>
      </c>
      <c r="AJ93" t="str">
        <f t="shared" si="14"/>
        <v/>
      </c>
      <c r="AK93" t="str">
        <f>IF(AH93=0,"",SUMIFS(Data!$N:$N,Data!$U:$U,$R93,Data!$T:$T,"&lt;="&amp;14))</f>
        <v/>
      </c>
      <c r="AL93" t="str">
        <f t="shared" si="15"/>
        <v/>
      </c>
      <c r="AM93">
        <f t="shared" si="16"/>
        <v>-1</v>
      </c>
      <c r="AN93" t="str">
        <f t="shared" si="17"/>
        <v/>
      </c>
    </row>
    <row r="94" spans="18:40" x14ac:dyDescent="0.2">
      <c r="R94">
        <v>92</v>
      </c>
      <c r="S94" t="str">
        <f>IFERROR(INDEX(Data!$G:$G,MATCH($R94,Data!$U:$U,0)),"")</f>
        <v/>
      </c>
      <c r="T94" t="str">
        <f>IF(COUNTIFS(Data!$U:$U,$R94,Data!$T:$T,1,Data!$N:$N,"&lt;&gt;")=0,"",SUMIFS(Data!$N:$N,Data!$U:$U,$R94,Data!$T:$T,1))</f>
        <v/>
      </c>
      <c r="U94" t="str">
        <f>IF(COUNTIFS(Data!$U:$U,$R94,Data!$T:$T,2,Data!$N:$N,"&lt;&gt;")=0,"",SUMIFS(Data!$N:$N,Data!$U:$U,$R94,Data!$T:$T,2))</f>
        <v/>
      </c>
      <c r="V94" t="str">
        <f>IF(COUNTIFS(Data!$U:$U,$R94,Data!$T:$T,3,Data!$N:$N,"&lt;&gt;")=0,"",SUMIFS(Data!$N:$N,Data!$U:$U,$R94,Data!$T:$T,3))</f>
        <v/>
      </c>
      <c r="W94" t="str">
        <f>IF(COUNTIFS(Data!$U:$U,$R94,Data!$T:$T,4,Data!$N:$N,"&lt;&gt;")=0,"",SUMIFS(Data!$N:$N,Data!$U:$U,$R94,Data!$T:$T,4))</f>
        <v/>
      </c>
      <c r="X94" t="str">
        <f>IF(COUNTIFS(Data!$U:$U,$R94,Data!$T:$T,5,Data!$N:$N,"&lt;&gt;")=0,"",SUMIFS(Data!$N:$N,Data!$U:$U,$R94,Data!$T:$T,5))</f>
        <v/>
      </c>
      <c r="Y94" t="str">
        <f>IF(COUNTIFS(Data!$U:$U,$R94,Data!$T:$T,6,Data!$N:$N,"&lt;&gt;")=0,"",SUMIFS(Data!$N:$N,Data!$U:$U,$R94,Data!$T:$T,6))</f>
        <v/>
      </c>
      <c r="Z94" t="str">
        <f>IF(COUNTIFS(Data!$U:$U,$R94,Data!$T:$T,7,Data!$N:$N,"&lt;&gt;")=0,"",SUMIFS(Data!$N:$N,Data!$U:$U,$R94,Data!$T:$T,7))</f>
        <v/>
      </c>
      <c r="AA94" t="str">
        <f>IF(COUNTIFS(Data!$U:$U,$R94,Data!$T:$T,8,Data!$N:$N,"&lt;&gt;")=0,"",SUMIFS(Data!$N:$N,Data!$U:$U,$R94,Data!$T:$T,8))</f>
        <v/>
      </c>
      <c r="AB94" t="str">
        <f>IF(COUNTIFS(Data!$U:$U,$R94,Data!$T:$T,9,Data!$N:$N,"&lt;&gt;")=0,"",SUMIFS(Data!$N:$N,Data!$U:$U,$R94,Data!$T:$T,9))</f>
        <v/>
      </c>
      <c r="AC94" t="str">
        <f>IF(COUNTIFS(Data!$U:$U,$R94,Data!$T:$T,10,Data!$N:$N,"&lt;&gt;")=0,"",SUMIFS(Data!$N:$N,Data!$U:$U,$R94,Data!$T:$T,10))</f>
        <v/>
      </c>
      <c r="AD94" t="str">
        <f>IF(COUNTIFS(Data!$U:$U,$R94,Data!$T:$T,11,Data!$N:$N,"&lt;&gt;")=0,"",SUMIFS(Data!$N:$N,Data!$U:$U,$R94,Data!$T:$T,11))</f>
        <v/>
      </c>
      <c r="AE94" t="str">
        <f>IF(COUNTIFS(Data!$U:$U,$R94,Data!$T:$T,12,Data!$N:$N,"&lt;&gt;")=0,"",SUMIFS(Data!$N:$N,Data!$U:$U,$R94,Data!$T:$T,12))</f>
        <v/>
      </c>
      <c r="AF94" t="str">
        <f>IF(COUNTIFS(Data!$U:$U,$R94,Data!$T:$T,13,Data!$N:$N,"&lt;&gt;")=0,"",SUMIFS(Data!$N:$N,Data!$U:$U,$R94,Data!$T:$T,13))</f>
        <v/>
      </c>
      <c r="AG94" t="str">
        <f>IF(COUNTIFS(Data!$U:$U,$R94,Data!$T:$T,14,Data!$N:$N,"&lt;&gt;")=0,"",SUMIFS(Data!$N:$N,Data!$U:$U,$R94,Data!$T:$T,14))</f>
        <v/>
      </c>
      <c r="AH94">
        <f>COUNTIFS(Data!$U:$U,$R94,Data!$T:$T,"&lt;="&amp;14,Data!$N:$N,"&lt;&gt;")</f>
        <v>0</v>
      </c>
      <c r="AI94">
        <f>COUNTIFS(Data!$U:$U,$R94,Data!$T:$T,"&lt;="&amp;14,Data!$N:$N,0)</f>
        <v>0</v>
      </c>
      <c r="AJ94" t="str">
        <f t="shared" si="14"/>
        <v/>
      </c>
      <c r="AK94" t="str">
        <f>IF(AH94=0,"",SUMIFS(Data!$N:$N,Data!$U:$U,$R94,Data!$T:$T,"&lt;="&amp;14))</f>
        <v/>
      </c>
      <c r="AL94" t="str">
        <f t="shared" si="15"/>
        <v/>
      </c>
      <c r="AM94">
        <f t="shared" si="16"/>
        <v>-1</v>
      </c>
      <c r="AN94" t="str">
        <f t="shared" si="17"/>
        <v/>
      </c>
    </row>
    <row r="95" spans="18:40" x14ac:dyDescent="0.2">
      <c r="R95">
        <v>93</v>
      </c>
      <c r="S95" t="str">
        <f>IFERROR(INDEX(Data!$G:$G,MATCH($R95,Data!$U:$U,0)),"")</f>
        <v/>
      </c>
      <c r="T95" t="str">
        <f>IF(COUNTIFS(Data!$U:$U,$R95,Data!$T:$T,1,Data!$N:$N,"&lt;&gt;")=0,"",SUMIFS(Data!$N:$N,Data!$U:$U,$R95,Data!$T:$T,1))</f>
        <v/>
      </c>
      <c r="U95" t="str">
        <f>IF(COUNTIFS(Data!$U:$U,$R95,Data!$T:$T,2,Data!$N:$N,"&lt;&gt;")=0,"",SUMIFS(Data!$N:$N,Data!$U:$U,$R95,Data!$T:$T,2))</f>
        <v/>
      </c>
      <c r="V95" t="str">
        <f>IF(COUNTIFS(Data!$U:$U,$R95,Data!$T:$T,3,Data!$N:$N,"&lt;&gt;")=0,"",SUMIFS(Data!$N:$N,Data!$U:$U,$R95,Data!$T:$T,3))</f>
        <v/>
      </c>
      <c r="W95" t="str">
        <f>IF(COUNTIFS(Data!$U:$U,$R95,Data!$T:$T,4,Data!$N:$N,"&lt;&gt;")=0,"",SUMIFS(Data!$N:$N,Data!$U:$U,$R95,Data!$T:$T,4))</f>
        <v/>
      </c>
      <c r="X95" t="str">
        <f>IF(COUNTIFS(Data!$U:$U,$R95,Data!$T:$T,5,Data!$N:$N,"&lt;&gt;")=0,"",SUMIFS(Data!$N:$N,Data!$U:$U,$R95,Data!$T:$T,5))</f>
        <v/>
      </c>
      <c r="Y95" t="str">
        <f>IF(COUNTIFS(Data!$U:$U,$R95,Data!$T:$T,6,Data!$N:$N,"&lt;&gt;")=0,"",SUMIFS(Data!$N:$N,Data!$U:$U,$R95,Data!$T:$T,6))</f>
        <v/>
      </c>
      <c r="Z95" t="str">
        <f>IF(COUNTIFS(Data!$U:$U,$R95,Data!$T:$T,7,Data!$N:$N,"&lt;&gt;")=0,"",SUMIFS(Data!$N:$N,Data!$U:$U,$R95,Data!$T:$T,7))</f>
        <v/>
      </c>
      <c r="AA95" t="str">
        <f>IF(COUNTIFS(Data!$U:$U,$R95,Data!$T:$T,8,Data!$N:$N,"&lt;&gt;")=0,"",SUMIFS(Data!$N:$N,Data!$U:$U,$R95,Data!$T:$T,8))</f>
        <v/>
      </c>
      <c r="AB95" t="str">
        <f>IF(COUNTIFS(Data!$U:$U,$R95,Data!$T:$T,9,Data!$N:$N,"&lt;&gt;")=0,"",SUMIFS(Data!$N:$N,Data!$U:$U,$R95,Data!$T:$T,9))</f>
        <v/>
      </c>
      <c r="AC95" t="str">
        <f>IF(COUNTIFS(Data!$U:$U,$R95,Data!$T:$T,10,Data!$N:$N,"&lt;&gt;")=0,"",SUMIFS(Data!$N:$N,Data!$U:$U,$R95,Data!$T:$T,10))</f>
        <v/>
      </c>
      <c r="AD95" t="str">
        <f>IF(COUNTIFS(Data!$U:$U,$R95,Data!$T:$T,11,Data!$N:$N,"&lt;&gt;")=0,"",SUMIFS(Data!$N:$N,Data!$U:$U,$R95,Data!$T:$T,11))</f>
        <v/>
      </c>
      <c r="AE95" t="str">
        <f>IF(COUNTIFS(Data!$U:$U,$R95,Data!$T:$T,12,Data!$N:$N,"&lt;&gt;")=0,"",SUMIFS(Data!$N:$N,Data!$U:$U,$R95,Data!$T:$T,12))</f>
        <v/>
      </c>
      <c r="AF95" t="str">
        <f>IF(COUNTIFS(Data!$U:$U,$R95,Data!$T:$T,13,Data!$N:$N,"&lt;&gt;")=0,"",SUMIFS(Data!$N:$N,Data!$U:$U,$R95,Data!$T:$T,13))</f>
        <v/>
      </c>
      <c r="AG95" t="str">
        <f>IF(COUNTIFS(Data!$U:$U,$R95,Data!$T:$T,14,Data!$N:$N,"&lt;&gt;")=0,"",SUMIFS(Data!$N:$N,Data!$U:$U,$R95,Data!$T:$T,14))</f>
        <v/>
      </c>
      <c r="AH95">
        <f>COUNTIFS(Data!$U:$U,$R95,Data!$T:$T,"&lt;="&amp;14,Data!$N:$N,"&lt;&gt;")</f>
        <v>0</v>
      </c>
      <c r="AI95">
        <f>COUNTIFS(Data!$U:$U,$R95,Data!$T:$T,"&lt;="&amp;14,Data!$N:$N,0)</f>
        <v>0</v>
      </c>
      <c r="AJ95" t="str">
        <f t="shared" si="14"/>
        <v/>
      </c>
      <c r="AK95" t="str">
        <f>IF(AH95=0,"",SUMIFS(Data!$N:$N,Data!$U:$U,$R95,Data!$T:$T,"&lt;="&amp;14))</f>
        <v/>
      </c>
      <c r="AL95" t="str">
        <f t="shared" si="15"/>
        <v/>
      </c>
      <c r="AM95">
        <f t="shared" si="16"/>
        <v>-1</v>
      </c>
      <c r="AN95" t="str">
        <f t="shared" si="17"/>
        <v/>
      </c>
    </row>
    <row r="96" spans="18:40" x14ac:dyDescent="0.2">
      <c r="R96">
        <v>94</v>
      </c>
      <c r="S96" t="str">
        <f>IFERROR(INDEX(Data!$G:$G,MATCH($R96,Data!$U:$U,0)),"")</f>
        <v/>
      </c>
      <c r="T96" t="str">
        <f>IF(COUNTIFS(Data!$U:$U,$R96,Data!$T:$T,1,Data!$N:$N,"&lt;&gt;")=0,"",SUMIFS(Data!$N:$N,Data!$U:$U,$R96,Data!$T:$T,1))</f>
        <v/>
      </c>
      <c r="U96" t="str">
        <f>IF(COUNTIFS(Data!$U:$U,$R96,Data!$T:$T,2,Data!$N:$N,"&lt;&gt;")=0,"",SUMIFS(Data!$N:$N,Data!$U:$U,$R96,Data!$T:$T,2))</f>
        <v/>
      </c>
      <c r="V96" t="str">
        <f>IF(COUNTIFS(Data!$U:$U,$R96,Data!$T:$T,3,Data!$N:$N,"&lt;&gt;")=0,"",SUMIFS(Data!$N:$N,Data!$U:$U,$R96,Data!$T:$T,3))</f>
        <v/>
      </c>
      <c r="W96" t="str">
        <f>IF(COUNTIFS(Data!$U:$U,$R96,Data!$T:$T,4,Data!$N:$N,"&lt;&gt;")=0,"",SUMIFS(Data!$N:$N,Data!$U:$U,$R96,Data!$T:$T,4))</f>
        <v/>
      </c>
      <c r="X96" t="str">
        <f>IF(COUNTIFS(Data!$U:$U,$R96,Data!$T:$T,5,Data!$N:$N,"&lt;&gt;")=0,"",SUMIFS(Data!$N:$N,Data!$U:$U,$R96,Data!$T:$T,5))</f>
        <v/>
      </c>
      <c r="Y96" t="str">
        <f>IF(COUNTIFS(Data!$U:$U,$R96,Data!$T:$T,6,Data!$N:$N,"&lt;&gt;")=0,"",SUMIFS(Data!$N:$N,Data!$U:$U,$R96,Data!$T:$T,6))</f>
        <v/>
      </c>
      <c r="Z96" t="str">
        <f>IF(COUNTIFS(Data!$U:$U,$R96,Data!$T:$T,7,Data!$N:$N,"&lt;&gt;")=0,"",SUMIFS(Data!$N:$N,Data!$U:$U,$R96,Data!$T:$T,7))</f>
        <v/>
      </c>
      <c r="AA96" t="str">
        <f>IF(COUNTIFS(Data!$U:$U,$R96,Data!$T:$T,8,Data!$N:$N,"&lt;&gt;")=0,"",SUMIFS(Data!$N:$N,Data!$U:$U,$R96,Data!$T:$T,8))</f>
        <v/>
      </c>
      <c r="AB96" t="str">
        <f>IF(COUNTIFS(Data!$U:$U,$R96,Data!$T:$T,9,Data!$N:$N,"&lt;&gt;")=0,"",SUMIFS(Data!$N:$N,Data!$U:$U,$R96,Data!$T:$T,9))</f>
        <v/>
      </c>
      <c r="AC96" t="str">
        <f>IF(COUNTIFS(Data!$U:$U,$R96,Data!$T:$T,10,Data!$N:$N,"&lt;&gt;")=0,"",SUMIFS(Data!$N:$N,Data!$U:$U,$R96,Data!$T:$T,10))</f>
        <v/>
      </c>
      <c r="AD96" t="str">
        <f>IF(COUNTIFS(Data!$U:$U,$R96,Data!$T:$T,11,Data!$N:$N,"&lt;&gt;")=0,"",SUMIFS(Data!$N:$N,Data!$U:$U,$R96,Data!$T:$T,11))</f>
        <v/>
      </c>
      <c r="AE96" t="str">
        <f>IF(COUNTIFS(Data!$U:$U,$R96,Data!$T:$T,12,Data!$N:$N,"&lt;&gt;")=0,"",SUMIFS(Data!$N:$N,Data!$U:$U,$R96,Data!$T:$T,12))</f>
        <v/>
      </c>
      <c r="AF96" t="str">
        <f>IF(COUNTIFS(Data!$U:$U,$R96,Data!$T:$T,13,Data!$N:$N,"&lt;&gt;")=0,"",SUMIFS(Data!$N:$N,Data!$U:$U,$R96,Data!$T:$T,13))</f>
        <v/>
      </c>
      <c r="AG96" t="str">
        <f>IF(COUNTIFS(Data!$U:$U,$R96,Data!$T:$T,14,Data!$N:$N,"&lt;&gt;")=0,"",SUMIFS(Data!$N:$N,Data!$U:$U,$R96,Data!$T:$T,14))</f>
        <v/>
      </c>
      <c r="AH96">
        <f>COUNTIFS(Data!$U:$U,$R96,Data!$T:$T,"&lt;="&amp;14,Data!$N:$N,"&lt;&gt;")</f>
        <v>0</v>
      </c>
      <c r="AI96">
        <f>COUNTIFS(Data!$U:$U,$R96,Data!$T:$T,"&lt;="&amp;14,Data!$N:$N,0)</f>
        <v>0</v>
      </c>
      <c r="AJ96" t="str">
        <f t="shared" si="14"/>
        <v/>
      </c>
      <c r="AK96" t="str">
        <f>IF(AH96=0,"",SUMIFS(Data!$N:$N,Data!$U:$U,$R96,Data!$T:$T,"&lt;="&amp;14))</f>
        <v/>
      </c>
      <c r="AL96" t="str">
        <f t="shared" si="15"/>
        <v/>
      </c>
      <c r="AM96">
        <f t="shared" si="16"/>
        <v>-1</v>
      </c>
      <c r="AN96" t="str">
        <f t="shared" si="17"/>
        <v/>
      </c>
    </row>
    <row r="97" spans="18:40" x14ac:dyDescent="0.2">
      <c r="R97">
        <v>95</v>
      </c>
      <c r="S97" t="str">
        <f>IFERROR(INDEX(Data!$G:$G,MATCH($R97,Data!$U:$U,0)),"")</f>
        <v/>
      </c>
      <c r="T97" t="str">
        <f>IF(COUNTIFS(Data!$U:$U,$R97,Data!$T:$T,1,Data!$N:$N,"&lt;&gt;")=0,"",SUMIFS(Data!$N:$N,Data!$U:$U,$R97,Data!$T:$T,1))</f>
        <v/>
      </c>
      <c r="U97" t="str">
        <f>IF(COUNTIFS(Data!$U:$U,$R97,Data!$T:$T,2,Data!$N:$N,"&lt;&gt;")=0,"",SUMIFS(Data!$N:$N,Data!$U:$U,$R97,Data!$T:$T,2))</f>
        <v/>
      </c>
      <c r="V97" t="str">
        <f>IF(COUNTIFS(Data!$U:$U,$R97,Data!$T:$T,3,Data!$N:$N,"&lt;&gt;")=0,"",SUMIFS(Data!$N:$N,Data!$U:$U,$R97,Data!$T:$T,3))</f>
        <v/>
      </c>
      <c r="W97" t="str">
        <f>IF(COUNTIFS(Data!$U:$U,$R97,Data!$T:$T,4,Data!$N:$N,"&lt;&gt;")=0,"",SUMIFS(Data!$N:$N,Data!$U:$U,$R97,Data!$T:$T,4))</f>
        <v/>
      </c>
      <c r="X97" t="str">
        <f>IF(COUNTIFS(Data!$U:$U,$R97,Data!$T:$T,5,Data!$N:$N,"&lt;&gt;")=0,"",SUMIFS(Data!$N:$N,Data!$U:$U,$R97,Data!$T:$T,5))</f>
        <v/>
      </c>
      <c r="Y97" t="str">
        <f>IF(COUNTIFS(Data!$U:$U,$R97,Data!$T:$T,6,Data!$N:$N,"&lt;&gt;")=0,"",SUMIFS(Data!$N:$N,Data!$U:$U,$R97,Data!$T:$T,6))</f>
        <v/>
      </c>
      <c r="Z97" t="str">
        <f>IF(COUNTIFS(Data!$U:$U,$R97,Data!$T:$T,7,Data!$N:$N,"&lt;&gt;")=0,"",SUMIFS(Data!$N:$N,Data!$U:$U,$R97,Data!$T:$T,7))</f>
        <v/>
      </c>
      <c r="AA97" t="str">
        <f>IF(COUNTIFS(Data!$U:$U,$R97,Data!$T:$T,8,Data!$N:$N,"&lt;&gt;")=0,"",SUMIFS(Data!$N:$N,Data!$U:$U,$R97,Data!$T:$T,8))</f>
        <v/>
      </c>
      <c r="AB97" t="str">
        <f>IF(COUNTIFS(Data!$U:$U,$R97,Data!$T:$T,9,Data!$N:$N,"&lt;&gt;")=0,"",SUMIFS(Data!$N:$N,Data!$U:$U,$R97,Data!$T:$T,9))</f>
        <v/>
      </c>
      <c r="AC97" t="str">
        <f>IF(COUNTIFS(Data!$U:$U,$R97,Data!$T:$T,10,Data!$N:$N,"&lt;&gt;")=0,"",SUMIFS(Data!$N:$N,Data!$U:$U,$R97,Data!$T:$T,10))</f>
        <v/>
      </c>
      <c r="AD97" t="str">
        <f>IF(COUNTIFS(Data!$U:$U,$R97,Data!$T:$T,11,Data!$N:$N,"&lt;&gt;")=0,"",SUMIFS(Data!$N:$N,Data!$U:$U,$R97,Data!$T:$T,11))</f>
        <v/>
      </c>
      <c r="AE97" t="str">
        <f>IF(COUNTIFS(Data!$U:$U,$R97,Data!$T:$T,12,Data!$N:$N,"&lt;&gt;")=0,"",SUMIFS(Data!$N:$N,Data!$U:$U,$R97,Data!$T:$T,12))</f>
        <v/>
      </c>
      <c r="AF97" t="str">
        <f>IF(COUNTIFS(Data!$U:$U,$R97,Data!$T:$T,13,Data!$N:$N,"&lt;&gt;")=0,"",SUMIFS(Data!$N:$N,Data!$U:$U,$R97,Data!$T:$T,13))</f>
        <v/>
      </c>
      <c r="AG97" t="str">
        <f>IF(COUNTIFS(Data!$U:$U,$R97,Data!$T:$T,14,Data!$N:$N,"&lt;&gt;")=0,"",SUMIFS(Data!$N:$N,Data!$U:$U,$R97,Data!$T:$T,14))</f>
        <v/>
      </c>
      <c r="AH97">
        <f>COUNTIFS(Data!$U:$U,$R97,Data!$T:$T,"&lt;="&amp;14,Data!$N:$N,"&lt;&gt;")</f>
        <v>0</v>
      </c>
      <c r="AI97">
        <f>COUNTIFS(Data!$U:$U,$R97,Data!$T:$T,"&lt;="&amp;14,Data!$N:$N,0)</f>
        <v>0</v>
      </c>
      <c r="AJ97" t="str">
        <f t="shared" si="14"/>
        <v/>
      </c>
      <c r="AK97" t="str">
        <f>IF(AH97=0,"",SUMIFS(Data!$N:$N,Data!$U:$U,$R97,Data!$T:$T,"&lt;="&amp;14))</f>
        <v/>
      </c>
      <c r="AL97" t="str">
        <f t="shared" si="15"/>
        <v/>
      </c>
      <c r="AM97">
        <f t="shared" si="16"/>
        <v>-1</v>
      </c>
      <c r="AN97" t="str">
        <f t="shared" si="17"/>
        <v/>
      </c>
    </row>
    <row r="98" spans="18:40" x14ac:dyDescent="0.2">
      <c r="R98">
        <v>96</v>
      </c>
      <c r="S98" t="str">
        <f>IFERROR(INDEX(Data!$G:$G,MATCH($R98,Data!$U:$U,0)),"")</f>
        <v/>
      </c>
      <c r="T98" t="str">
        <f>IF(COUNTIFS(Data!$U:$U,$R98,Data!$T:$T,1,Data!$N:$N,"&lt;&gt;")=0,"",SUMIFS(Data!$N:$N,Data!$U:$U,$R98,Data!$T:$T,1))</f>
        <v/>
      </c>
      <c r="U98" t="str">
        <f>IF(COUNTIFS(Data!$U:$U,$R98,Data!$T:$T,2,Data!$N:$N,"&lt;&gt;")=0,"",SUMIFS(Data!$N:$N,Data!$U:$U,$R98,Data!$T:$T,2))</f>
        <v/>
      </c>
      <c r="V98" t="str">
        <f>IF(COUNTIFS(Data!$U:$U,$R98,Data!$T:$T,3,Data!$N:$N,"&lt;&gt;")=0,"",SUMIFS(Data!$N:$N,Data!$U:$U,$R98,Data!$T:$T,3))</f>
        <v/>
      </c>
      <c r="W98" t="str">
        <f>IF(COUNTIFS(Data!$U:$U,$R98,Data!$T:$T,4,Data!$N:$N,"&lt;&gt;")=0,"",SUMIFS(Data!$N:$N,Data!$U:$U,$R98,Data!$T:$T,4))</f>
        <v/>
      </c>
      <c r="X98" t="str">
        <f>IF(COUNTIFS(Data!$U:$U,$R98,Data!$T:$T,5,Data!$N:$N,"&lt;&gt;")=0,"",SUMIFS(Data!$N:$N,Data!$U:$U,$R98,Data!$T:$T,5))</f>
        <v/>
      </c>
      <c r="Y98" t="str">
        <f>IF(COUNTIFS(Data!$U:$U,$R98,Data!$T:$T,6,Data!$N:$N,"&lt;&gt;")=0,"",SUMIFS(Data!$N:$N,Data!$U:$U,$R98,Data!$T:$T,6))</f>
        <v/>
      </c>
      <c r="Z98" t="str">
        <f>IF(COUNTIFS(Data!$U:$U,$R98,Data!$T:$T,7,Data!$N:$N,"&lt;&gt;")=0,"",SUMIFS(Data!$N:$N,Data!$U:$U,$R98,Data!$T:$T,7))</f>
        <v/>
      </c>
      <c r="AA98" t="str">
        <f>IF(COUNTIFS(Data!$U:$U,$R98,Data!$T:$T,8,Data!$N:$N,"&lt;&gt;")=0,"",SUMIFS(Data!$N:$N,Data!$U:$U,$R98,Data!$T:$T,8))</f>
        <v/>
      </c>
      <c r="AB98" t="str">
        <f>IF(COUNTIFS(Data!$U:$U,$R98,Data!$T:$T,9,Data!$N:$N,"&lt;&gt;")=0,"",SUMIFS(Data!$N:$N,Data!$U:$U,$R98,Data!$T:$T,9))</f>
        <v/>
      </c>
      <c r="AC98" t="str">
        <f>IF(COUNTIFS(Data!$U:$U,$R98,Data!$T:$T,10,Data!$N:$N,"&lt;&gt;")=0,"",SUMIFS(Data!$N:$N,Data!$U:$U,$R98,Data!$T:$T,10))</f>
        <v/>
      </c>
      <c r="AD98" t="str">
        <f>IF(COUNTIFS(Data!$U:$U,$R98,Data!$T:$T,11,Data!$N:$N,"&lt;&gt;")=0,"",SUMIFS(Data!$N:$N,Data!$U:$U,$R98,Data!$T:$T,11))</f>
        <v/>
      </c>
      <c r="AE98" t="str">
        <f>IF(COUNTIFS(Data!$U:$U,$R98,Data!$T:$T,12,Data!$N:$N,"&lt;&gt;")=0,"",SUMIFS(Data!$N:$N,Data!$U:$U,$R98,Data!$T:$T,12))</f>
        <v/>
      </c>
      <c r="AF98" t="str">
        <f>IF(COUNTIFS(Data!$U:$U,$R98,Data!$T:$T,13,Data!$N:$N,"&lt;&gt;")=0,"",SUMIFS(Data!$N:$N,Data!$U:$U,$R98,Data!$T:$T,13))</f>
        <v/>
      </c>
      <c r="AG98" t="str">
        <f>IF(COUNTIFS(Data!$U:$U,$R98,Data!$T:$T,14,Data!$N:$N,"&lt;&gt;")=0,"",SUMIFS(Data!$N:$N,Data!$U:$U,$R98,Data!$T:$T,14))</f>
        <v/>
      </c>
      <c r="AH98">
        <f>COUNTIFS(Data!$U:$U,$R98,Data!$T:$T,"&lt;="&amp;14,Data!$N:$N,"&lt;&gt;")</f>
        <v>0</v>
      </c>
      <c r="AI98">
        <f>COUNTIFS(Data!$U:$U,$R98,Data!$T:$T,"&lt;="&amp;14,Data!$N:$N,0)</f>
        <v>0</v>
      </c>
      <c r="AJ98" t="str">
        <f t="shared" si="14"/>
        <v/>
      </c>
      <c r="AK98" t="str">
        <f>IF(AH98=0,"",SUMIFS(Data!$N:$N,Data!$U:$U,$R98,Data!$T:$T,"&lt;="&amp;14))</f>
        <v/>
      </c>
      <c r="AL98" t="str">
        <f t="shared" si="15"/>
        <v/>
      </c>
      <c r="AM98">
        <f t="shared" si="16"/>
        <v>-1</v>
      </c>
      <c r="AN98" t="str">
        <f t="shared" si="17"/>
        <v/>
      </c>
    </row>
    <row r="99" spans="18:40" x14ac:dyDescent="0.2">
      <c r="R99">
        <v>97</v>
      </c>
      <c r="S99" t="str">
        <f>IFERROR(INDEX(Data!$G:$G,MATCH($R99,Data!$U:$U,0)),"")</f>
        <v/>
      </c>
      <c r="T99" t="str">
        <f>IF(COUNTIFS(Data!$U:$U,$R99,Data!$T:$T,1,Data!$N:$N,"&lt;&gt;")=0,"",SUMIFS(Data!$N:$N,Data!$U:$U,$R99,Data!$T:$T,1))</f>
        <v/>
      </c>
      <c r="U99" t="str">
        <f>IF(COUNTIFS(Data!$U:$U,$R99,Data!$T:$T,2,Data!$N:$N,"&lt;&gt;")=0,"",SUMIFS(Data!$N:$N,Data!$U:$U,$R99,Data!$T:$T,2))</f>
        <v/>
      </c>
      <c r="V99" t="str">
        <f>IF(COUNTIFS(Data!$U:$U,$R99,Data!$T:$T,3,Data!$N:$N,"&lt;&gt;")=0,"",SUMIFS(Data!$N:$N,Data!$U:$U,$R99,Data!$T:$T,3))</f>
        <v/>
      </c>
      <c r="W99" t="str">
        <f>IF(COUNTIFS(Data!$U:$U,$R99,Data!$T:$T,4,Data!$N:$N,"&lt;&gt;")=0,"",SUMIFS(Data!$N:$N,Data!$U:$U,$R99,Data!$T:$T,4))</f>
        <v/>
      </c>
      <c r="X99" t="str">
        <f>IF(COUNTIFS(Data!$U:$U,$R99,Data!$T:$T,5,Data!$N:$N,"&lt;&gt;")=0,"",SUMIFS(Data!$N:$N,Data!$U:$U,$R99,Data!$T:$T,5))</f>
        <v/>
      </c>
      <c r="Y99" t="str">
        <f>IF(COUNTIFS(Data!$U:$U,$R99,Data!$T:$T,6,Data!$N:$N,"&lt;&gt;")=0,"",SUMIFS(Data!$N:$N,Data!$U:$U,$R99,Data!$T:$T,6))</f>
        <v/>
      </c>
      <c r="Z99" t="str">
        <f>IF(COUNTIFS(Data!$U:$U,$R99,Data!$T:$T,7,Data!$N:$N,"&lt;&gt;")=0,"",SUMIFS(Data!$N:$N,Data!$U:$U,$R99,Data!$T:$T,7))</f>
        <v/>
      </c>
      <c r="AA99" t="str">
        <f>IF(COUNTIFS(Data!$U:$U,$R99,Data!$T:$T,8,Data!$N:$N,"&lt;&gt;")=0,"",SUMIFS(Data!$N:$N,Data!$U:$U,$R99,Data!$T:$T,8))</f>
        <v/>
      </c>
      <c r="AB99" t="str">
        <f>IF(COUNTIFS(Data!$U:$U,$R99,Data!$T:$T,9,Data!$N:$N,"&lt;&gt;")=0,"",SUMIFS(Data!$N:$N,Data!$U:$U,$R99,Data!$T:$T,9))</f>
        <v/>
      </c>
      <c r="AC99" t="str">
        <f>IF(COUNTIFS(Data!$U:$U,$R99,Data!$T:$T,10,Data!$N:$N,"&lt;&gt;")=0,"",SUMIFS(Data!$N:$N,Data!$U:$U,$R99,Data!$T:$T,10))</f>
        <v/>
      </c>
      <c r="AD99" t="str">
        <f>IF(COUNTIFS(Data!$U:$U,$R99,Data!$T:$T,11,Data!$N:$N,"&lt;&gt;")=0,"",SUMIFS(Data!$N:$N,Data!$U:$U,$R99,Data!$T:$T,11))</f>
        <v/>
      </c>
      <c r="AE99" t="str">
        <f>IF(COUNTIFS(Data!$U:$U,$R99,Data!$T:$T,12,Data!$N:$N,"&lt;&gt;")=0,"",SUMIFS(Data!$N:$N,Data!$U:$U,$R99,Data!$T:$T,12))</f>
        <v/>
      </c>
      <c r="AF99" t="str">
        <f>IF(COUNTIFS(Data!$U:$U,$R99,Data!$T:$T,13,Data!$N:$N,"&lt;&gt;")=0,"",SUMIFS(Data!$N:$N,Data!$U:$U,$R99,Data!$T:$T,13))</f>
        <v/>
      </c>
      <c r="AG99" t="str">
        <f>IF(COUNTIFS(Data!$U:$U,$R99,Data!$T:$T,14,Data!$N:$N,"&lt;&gt;")=0,"",SUMIFS(Data!$N:$N,Data!$U:$U,$R99,Data!$T:$T,14))</f>
        <v/>
      </c>
      <c r="AH99">
        <f>COUNTIFS(Data!$U:$U,$R99,Data!$T:$T,"&lt;="&amp;14,Data!$N:$N,"&lt;&gt;")</f>
        <v>0</v>
      </c>
      <c r="AI99">
        <f>COUNTIFS(Data!$U:$U,$R99,Data!$T:$T,"&lt;="&amp;14,Data!$N:$N,0)</f>
        <v>0</v>
      </c>
      <c r="AJ99" t="str">
        <f t="shared" ref="AJ99:AJ122" si="18">IF(AH99=0,"",AH99-AI99)</f>
        <v/>
      </c>
      <c r="AK99" t="str">
        <f>IF(AH99=0,"",SUMIFS(Data!$N:$N,Data!$U:$U,$R99,Data!$T:$T,"&lt;="&amp;14))</f>
        <v/>
      </c>
      <c r="AL99" t="str">
        <f t="shared" ref="AL99:AL122" si="19">IF(AH99=0,"",IF(ABS(MAX(T99:AG99))&gt;=ABS(MIN(T99:AG99)),MAX(T99:AG99),MIN(T99:AG99)))</f>
        <v/>
      </c>
      <c r="AM99">
        <f t="shared" ref="AM99:AM122" si="20">IF(AH99=0,-1,AJ99*100000+MIN(ABS(AK99),99999))</f>
        <v>-1</v>
      </c>
      <c r="AN99" t="str">
        <f t="shared" ref="AN99:AN122" si="21">IF($S99="","",1+COUNTIFS($AM$3:$AM$122,"&gt;"&amp;AM99)+COUNTIFS($AM$3:$AM$122,AM99,$R$3:$R$122,"&lt;"&amp;$R99))</f>
        <v/>
      </c>
    </row>
    <row r="100" spans="18:40" x14ac:dyDescent="0.2">
      <c r="R100">
        <v>98</v>
      </c>
      <c r="S100" t="str">
        <f>IFERROR(INDEX(Data!$G:$G,MATCH($R100,Data!$U:$U,0)),"")</f>
        <v/>
      </c>
      <c r="T100" t="str">
        <f>IF(COUNTIFS(Data!$U:$U,$R100,Data!$T:$T,1,Data!$N:$N,"&lt;&gt;")=0,"",SUMIFS(Data!$N:$N,Data!$U:$U,$R100,Data!$T:$T,1))</f>
        <v/>
      </c>
      <c r="U100" t="str">
        <f>IF(COUNTIFS(Data!$U:$U,$R100,Data!$T:$T,2,Data!$N:$N,"&lt;&gt;")=0,"",SUMIFS(Data!$N:$N,Data!$U:$U,$R100,Data!$T:$T,2))</f>
        <v/>
      </c>
      <c r="V100" t="str">
        <f>IF(COUNTIFS(Data!$U:$U,$R100,Data!$T:$T,3,Data!$N:$N,"&lt;&gt;")=0,"",SUMIFS(Data!$N:$N,Data!$U:$U,$R100,Data!$T:$T,3))</f>
        <v/>
      </c>
      <c r="W100" t="str">
        <f>IF(COUNTIFS(Data!$U:$U,$R100,Data!$T:$T,4,Data!$N:$N,"&lt;&gt;")=0,"",SUMIFS(Data!$N:$N,Data!$U:$U,$R100,Data!$T:$T,4))</f>
        <v/>
      </c>
      <c r="X100" t="str">
        <f>IF(COUNTIFS(Data!$U:$U,$R100,Data!$T:$T,5,Data!$N:$N,"&lt;&gt;")=0,"",SUMIFS(Data!$N:$N,Data!$U:$U,$R100,Data!$T:$T,5))</f>
        <v/>
      </c>
      <c r="Y100" t="str">
        <f>IF(COUNTIFS(Data!$U:$U,$R100,Data!$T:$T,6,Data!$N:$N,"&lt;&gt;")=0,"",SUMIFS(Data!$N:$N,Data!$U:$U,$R100,Data!$T:$T,6))</f>
        <v/>
      </c>
      <c r="Z100" t="str">
        <f>IF(COUNTIFS(Data!$U:$U,$R100,Data!$T:$T,7,Data!$N:$N,"&lt;&gt;")=0,"",SUMIFS(Data!$N:$N,Data!$U:$U,$R100,Data!$T:$T,7))</f>
        <v/>
      </c>
      <c r="AA100" t="str">
        <f>IF(COUNTIFS(Data!$U:$U,$R100,Data!$T:$T,8,Data!$N:$N,"&lt;&gt;")=0,"",SUMIFS(Data!$N:$N,Data!$U:$U,$R100,Data!$T:$T,8))</f>
        <v/>
      </c>
      <c r="AB100" t="str">
        <f>IF(COUNTIFS(Data!$U:$U,$R100,Data!$T:$T,9,Data!$N:$N,"&lt;&gt;")=0,"",SUMIFS(Data!$N:$N,Data!$U:$U,$R100,Data!$T:$T,9))</f>
        <v/>
      </c>
      <c r="AC100" t="str">
        <f>IF(COUNTIFS(Data!$U:$U,$R100,Data!$T:$T,10,Data!$N:$N,"&lt;&gt;")=0,"",SUMIFS(Data!$N:$N,Data!$U:$U,$R100,Data!$T:$T,10))</f>
        <v/>
      </c>
      <c r="AD100" t="str">
        <f>IF(COUNTIFS(Data!$U:$U,$R100,Data!$T:$T,11,Data!$N:$N,"&lt;&gt;")=0,"",SUMIFS(Data!$N:$N,Data!$U:$U,$R100,Data!$T:$T,11))</f>
        <v/>
      </c>
      <c r="AE100" t="str">
        <f>IF(COUNTIFS(Data!$U:$U,$R100,Data!$T:$T,12,Data!$N:$N,"&lt;&gt;")=0,"",SUMIFS(Data!$N:$N,Data!$U:$U,$R100,Data!$T:$T,12))</f>
        <v/>
      </c>
      <c r="AF100" t="str">
        <f>IF(COUNTIFS(Data!$U:$U,$R100,Data!$T:$T,13,Data!$N:$N,"&lt;&gt;")=0,"",SUMIFS(Data!$N:$N,Data!$U:$U,$R100,Data!$T:$T,13))</f>
        <v/>
      </c>
      <c r="AG100" t="str">
        <f>IF(COUNTIFS(Data!$U:$U,$R100,Data!$T:$T,14,Data!$N:$N,"&lt;&gt;")=0,"",SUMIFS(Data!$N:$N,Data!$U:$U,$R100,Data!$T:$T,14))</f>
        <v/>
      </c>
      <c r="AH100">
        <f>COUNTIFS(Data!$U:$U,$R100,Data!$T:$T,"&lt;="&amp;14,Data!$N:$N,"&lt;&gt;")</f>
        <v>0</v>
      </c>
      <c r="AI100">
        <f>COUNTIFS(Data!$U:$U,$R100,Data!$T:$T,"&lt;="&amp;14,Data!$N:$N,0)</f>
        <v>0</v>
      </c>
      <c r="AJ100" t="str">
        <f t="shared" si="18"/>
        <v/>
      </c>
      <c r="AK100" t="str">
        <f>IF(AH100=0,"",SUMIFS(Data!$N:$N,Data!$U:$U,$R100,Data!$T:$T,"&lt;="&amp;14))</f>
        <v/>
      </c>
      <c r="AL100" t="str">
        <f t="shared" si="19"/>
        <v/>
      </c>
      <c r="AM100">
        <f t="shared" si="20"/>
        <v>-1</v>
      </c>
      <c r="AN100" t="str">
        <f t="shared" si="21"/>
        <v/>
      </c>
    </row>
    <row r="101" spans="18:40" x14ac:dyDescent="0.2">
      <c r="R101">
        <v>99</v>
      </c>
      <c r="S101" t="str">
        <f>IFERROR(INDEX(Data!$G:$G,MATCH($R101,Data!$U:$U,0)),"")</f>
        <v/>
      </c>
      <c r="T101" t="str">
        <f>IF(COUNTIFS(Data!$U:$U,$R101,Data!$T:$T,1,Data!$N:$N,"&lt;&gt;")=0,"",SUMIFS(Data!$N:$N,Data!$U:$U,$R101,Data!$T:$T,1))</f>
        <v/>
      </c>
      <c r="U101" t="str">
        <f>IF(COUNTIFS(Data!$U:$U,$R101,Data!$T:$T,2,Data!$N:$N,"&lt;&gt;")=0,"",SUMIFS(Data!$N:$N,Data!$U:$U,$R101,Data!$T:$T,2))</f>
        <v/>
      </c>
      <c r="V101" t="str">
        <f>IF(COUNTIFS(Data!$U:$U,$R101,Data!$T:$T,3,Data!$N:$N,"&lt;&gt;")=0,"",SUMIFS(Data!$N:$N,Data!$U:$U,$R101,Data!$T:$T,3))</f>
        <v/>
      </c>
      <c r="W101" t="str">
        <f>IF(COUNTIFS(Data!$U:$U,$R101,Data!$T:$T,4,Data!$N:$N,"&lt;&gt;")=0,"",SUMIFS(Data!$N:$N,Data!$U:$U,$R101,Data!$T:$T,4))</f>
        <v/>
      </c>
      <c r="X101" t="str">
        <f>IF(COUNTIFS(Data!$U:$U,$R101,Data!$T:$T,5,Data!$N:$N,"&lt;&gt;")=0,"",SUMIFS(Data!$N:$N,Data!$U:$U,$R101,Data!$T:$T,5))</f>
        <v/>
      </c>
      <c r="Y101" t="str">
        <f>IF(COUNTIFS(Data!$U:$U,$R101,Data!$T:$T,6,Data!$N:$N,"&lt;&gt;")=0,"",SUMIFS(Data!$N:$N,Data!$U:$U,$R101,Data!$T:$T,6))</f>
        <v/>
      </c>
      <c r="Z101" t="str">
        <f>IF(COUNTIFS(Data!$U:$U,$R101,Data!$T:$T,7,Data!$N:$N,"&lt;&gt;")=0,"",SUMIFS(Data!$N:$N,Data!$U:$U,$R101,Data!$T:$T,7))</f>
        <v/>
      </c>
      <c r="AA101" t="str">
        <f>IF(COUNTIFS(Data!$U:$U,$R101,Data!$T:$T,8,Data!$N:$N,"&lt;&gt;")=0,"",SUMIFS(Data!$N:$N,Data!$U:$U,$R101,Data!$T:$T,8))</f>
        <v/>
      </c>
      <c r="AB101" t="str">
        <f>IF(COUNTIFS(Data!$U:$U,$R101,Data!$T:$T,9,Data!$N:$N,"&lt;&gt;")=0,"",SUMIFS(Data!$N:$N,Data!$U:$U,$R101,Data!$T:$T,9))</f>
        <v/>
      </c>
      <c r="AC101" t="str">
        <f>IF(COUNTIFS(Data!$U:$U,$R101,Data!$T:$T,10,Data!$N:$N,"&lt;&gt;")=0,"",SUMIFS(Data!$N:$N,Data!$U:$U,$R101,Data!$T:$T,10))</f>
        <v/>
      </c>
      <c r="AD101" t="str">
        <f>IF(COUNTIFS(Data!$U:$U,$R101,Data!$T:$T,11,Data!$N:$N,"&lt;&gt;")=0,"",SUMIFS(Data!$N:$N,Data!$U:$U,$R101,Data!$T:$T,11))</f>
        <v/>
      </c>
      <c r="AE101" t="str">
        <f>IF(COUNTIFS(Data!$U:$U,$R101,Data!$T:$T,12,Data!$N:$N,"&lt;&gt;")=0,"",SUMIFS(Data!$N:$N,Data!$U:$U,$R101,Data!$T:$T,12))</f>
        <v/>
      </c>
      <c r="AF101" t="str">
        <f>IF(COUNTIFS(Data!$U:$U,$R101,Data!$T:$T,13,Data!$N:$N,"&lt;&gt;")=0,"",SUMIFS(Data!$N:$N,Data!$U:$U,$R101,Data!$T:$T,13))</f>
        <v/>
      </c>
      <c r="AG101" t="str">
        <f>IF(COUNTIFS(Data!$U:$U,$R101,Data!$T:$T,14,Data!$N:$N,"&lt;&gt;")=0,"",SUMIFS(Data!$N:$N,Data!$U:$U,$R101,Data!$T:$T,14))</f>
        <v/>
      </c>
      <c r="AH101">
        <f>COUNTIFS(Data!$U:$U,$R101,Data!$T:$T,"&lt;="&amp;14,Data!$N:$N,"&lt;&gt;")</f>
        <v>0</v>
      </c>
      <c r="AI101">
        <f>COUNTIFS(Data!$U:$U,$R101,Data!$T:$T,"&lt;="&amp;14,Data!$N:$N,0)</f>
        <v>0</v>
      </c>
      <c r="AJ101" t="str">
        <f t="shared" si="18"/>
        <v/>
      </c>
      <c r="AK101" t="str">
        <f>IF(AH101=0,"",SUMIFS(Data!$N:$N,Data!$U:$U,$R101,Data!$T:$T,"&lt;="&amp;14))</f>
        <v/>
      </c>
      <c r="AL101" t="str">
        <f t="shared" si="19"/>
        <v/>
      </c>
      <c r="AM101">
        <f t="shared" si="20"/>
        <v>-1</v>
      </c>
      <c r="AN101" t="str">
        <f t="shared" si="21"/>
        <v/>
      </c>
    </row>
    <row r="102" spans="18:40" x14ac:dyDescent="0.2">
      <c r="R102">
        <v>100</v>
      </c>
      <c r="S102" t="str">
        <f>IFERROR(INDEX(Data!$G:$G,MATCH($R102,Data!$U:$U,0)),"")</f>
        <v/>
      </c>
      <c r="T102" t="str">
        <f>IF(COUNTIFS(Data!$U:$U,$R102,Data!$T:$T,1,Data!$N:$N,"&lt;&gt;")=0,"",SUMIFS(Data!$N:$N,Data!$U:$U,$R102,Data!$T:$T,1))</f>
        <v/>
      </c>
      <c r="U102" t="str">
        <f>IF(COUNTIFS(Data!$U:$U,$R102,Data!$T:$T,2,Data!$N:$N,"&lt;&gt;")=0,"",SUMIFS(Data!$N:$N,Data!$U:$U,$R102,Data!$T:$T,2))</f>
        <v/>
      </c>
      <c r="V102" t="str">
        <f>IF(COUNTIFS(Data!$U:$U,$R102,Data!$T:$T,3,Data!$N:$N,"&lt;&gt;")=0,"",SUMIFS(Data!$N:$N,Data!$U:$U,$R102,Data!$T:$T,3))</f>
        <v/>
      </c>
      <c r="W102" t="str">
        <f>IF(COUNTIFS(Data!$U:$U,$R102,Data!$T:$T,4,Data!$N:$N,"&lt;&gt;")=0,"",SUMIFS(Data!$N:$N,Data!$U:$U,$R102,Data!$T:$T,4))</f>
        <v/>
      </c>
      <c r="X102" t="str">
        <f>IF(COUNTIFS(Data!$U:$U,$R102,Data!$T:$T,5,Data!$N:$N,"&lt;&gt;")=0,"",SUMIFS(Data!$N:$N,Data!$U:$U,$R102,Data!$T:$T,5))</f>
        <v/>
      </c>
      <c r="Y102" t="str">
        <f>IF(COUNTIFS(Data!$U:$U,$R102,Data!$T:$T,6,Data!$N:$N,"&lt;&gt;")=0,"",SUMIFS(Data!$N:$N,Data!$U:$U,$R102,Data!$T:$T,6))</f>
        <v/>
      </c>
      <c r="Z102" t="str">
        <f>IF(COUNTIFS(Data!$U:$U,$R102,Data!$T:$T,7,Data!$N:$N,"&lt;&gt;")=0,"",SUMIFS(Data!$N:$N,Data!$U:$U,$R102,Data!$T:$T,7))</f>
        <v/>
      </c>
      <c r="AA102" t="str">
        <f>IF(COUNTIFS(Data!$U:$U,$R102,Data!$T:$T,8,Data!$N:$N,"&lt;&gt;")=0,"",SUMIFS(Data!$N:$N,Data!$U:$U,$R102,Data!$T:$T,8))</f>
        <v/>
      </c>
      <c r="AB102" t="str">
        <f>IF(COUNTIFS(Data!$U:$U,$R102,Data!$T:$T,9,Data!$N:$N,"&lt;&gt;")=0,"",SUMIFS(Data!$N:$N,Data!$U:$U,$R102,Data!$T:$T,9))</f>
        <v/>
      </c>
      <c r="AC102" t="str">
        <f>IF(COUNTIFS(Data!$U:$U,$R102,Data!$T:$T,10,Data!$N:$N,"&lt;&gt;")=0,"",SUMIFS(Data!$N:$N,Data!$U:$U,$R102,Data!$T:$T,10))</f>
        <v/>
      </c>
      <c r="AD102" t="str">
        <f>IF(COUNTIFS(Data!$U:$U,$R102,Data!$T:$T,11,Data!$N:$N,"&lt;&gt;")=0,"",SUMIFS(Data!$N:$N,Data!$U:$U,$R102,Data!$T:$T,11))</f>
        <v/>
      </c>
      <c r="AE102" t="str">
        <f>IF(COUNTIFS(Data!$U:$U,$R102,Data!$T:$T,12,Data!$N:$N,"&lt;&gt;")=0,"",SUMIFS(Data!$N:$N,Data!$U:$U,$R102,Data!$T:$T,12))</f>
        <v/>
      </c>
      <c r="AF102" t="str">
        <f>IF(COUNTIFS(Data!$U:$U,$R102,Data!$T:$T,13,Data!$N:$N,"&lt;&gt;")=0,"",SUMIFS(Data!$N:$N,Data!$U:$U,$R102,Data!$T:$T,13))</f>
        <v/>
      </c>
      <c r="AG102" t="str">
        <f>IF(COUNTIFS(Data!$U:$U,$R102,Data!$T:$T,14,Data!$N:$N,"&lt;&gt;")=0,"",SUMIFS(Data!$N:$N,Data!$U:$U,$R102,Data!$T:$T,14))</f>
        <v/>
      </c>
      <c r="AH102">
        <f>COUNTIFS(Data!$U:$U,$R102,Data!$T:$T,"&lt;="&amp;14,Data!$N:$N,"&lt;&gt;")</f>
        <v>0</v>
      </c>
      <c r="AI102">
        <f>COUNTIFS(Data!$U:$U,$R102,Data!$T:$T,"&lt;="&amp;14,Data!$N:$N,0)</f>
        <v>0</v>
      </c>
      <c r="AJ102" t="str">
        <f t="shared" si="18"/>
        <v/>
      </c>
      <c r="AK102" t="str">
        <f>IF(AH102=0,"",SUMIFS(Data!$N:$N,Data!$U:$U,$R102,Data!$T:$T,"&lt;="&amp;14))</f>
        <v/>
      </c>
      <c r="AL102" t="str">
        <f t="shared" si="19"/>
        <v/>
      </c>
      <c r="AM102">
        <f t="shared" si="20"/>
        <v>-1</v>
      </c>
      <c r="AN102" t="str">
        <f t="shared" si="21"/>
        <v/>
      </c>
    </row>
    <row r="103" spans="18:40" x14ac:dyDescent="0.2">
      <c r="R103">
        <v>101</v>
      </c>
      <c r="S103" t="str">
        <f>IFERROR(INDEX(Data!$G:$G,MATCH($R103,Data!$U:$U,0)),"")</f>
        <v/>
      </c>
      <c r="T103" t="str">
        <f>IF(COUNTIFS(Data!$U:$U,$R103,Data!$T:$T,1,Data!$N:$N,"&lt;&gt;")=0,"",SUMIFS(Data!$N:$N,Data!$U:$U,$R103,Data!$T:$T,1))</f>
        <v/>
      </c>
      <c r="U103" t="str">
        <f>IF(COUNTIFS(Data!$U:$U,$R103,Data!$T:$T,2,Data!$N:$N,"&lt;&gt;")=0,"",SUMIFS(Data!$N:$N,Data!$U:$U,$R103,Data!$T:$T,2))</f>
        <v/>
      </c>
      <c r="V103" t="str">
        <f>IF(COUNTIFS(Data!$U:$U,$R103,Data!$T:$T,3,Data!$N:$N,"&lt;&gt;")=0,"",SUMIFS(Data!$N:$N,Data!$U:$U,$R103,Data!$T:$T,3))</f>
        <v/>
      </c>
      <c r="W103" t="str">
        <f>IF(COUNTIFS(Data!$U:$U,$R103,Data!$T:$T,4,Data!$N:$N,"&lt;&gt;")=0,"",SUMIFS(Data!$N:$N,Data!$U:$U,$R103,Data!$T:$T,4))</f>
        <v/>
      </c>
      <c r="X103" t="str">
        <f>IF(COUNTIFS(Data!$U:$U,$R103,Data!$T:$T,5,Data!$N:$N,"&lt;&gt;")=0,"",SUMIFS(Data!$N:$N,Data!$U:$U,$R103,Data!$T:$T,5))</f>
        <v/>
      </c>
      <c r="Y103" t="str">
        <f>IF(COUNTIFS(Data!$U:$U,$R103,Data!$T:$T,6,Data!$N:$N,"&lt;&gt;")=0,"",SUMIFS(Data!$N:$N,Data!$U:$U,$R103,Data!$T:$T,6))</f>
        <v/>
      </c>
      <c r="Z103" t="str">
        <f>IF(COUNTIFS(Data!$U:$U,$R103,Data!$T:$T,7,Data!$N:$N,"&lt;&gt;")=0,"",SUMIFS(Data!$N:$N,Data!$U:$U,$R103,Data!$T:$T,7))</f>
        <v/>
      </c>
      <c r="AA103" t="str">
        <f>IF(COUNTIFS(Data!$U:$U,$R103,Data!$T:$T,8,Data!$N:$N,"&lt;&gt;")=0,"",SUMIFS(Data!$N:$N,Data!$U:$U,$R103,Data!$T:$T,8))</f>
        <v/>
      </c>
      <c r="AB103" t="str">
        <f>IF(COUNTIFS(Data!$U:$U,$R103,Data!$T:$T,9,Data!$N:$N,"&lt;&gt;")=0,"",SUMIFS(Data!$N:$N,Data!$U:$U,$R103,Data!$T:$T,9))</f>
        <v/>
      </c>
      <c r="AC103" t="str">
        <f>IF(COUNTIFS(Data!$U:$U,$R103,Data!$T:$T,10,Data!$N:$N,"&lt;&gt;")=0,"",SUMIFS(Data!$N:$N,Data!$U:$U,$R103,Data!$T:$T,10))</f>
        <v/>
      </c>
      <c r="AD103" t="str">
        <f>IF(COUNTIFS(Data!$U:$U,$R103,Data!$T:$T,11,Data!$N:$N,"&lt;&gt;")=0,"",SUMIFS(Data!$N:$N,Data!$U:$U,$R103,Data!$T:$T,11))</f>
        <v/>
      </c>
      <c r="AE103" t="str">
        <f>IF(COUNTIFS(Data!$U:$U,$R103,Data!$T:$T,12,Data!$N:$N,"&lt;&gt;")=0,"",SUMIFS(Data!$N:$N,Data!$U:$U,$R103,Data!$T:$T,12))</f>
        <v/>
      </c>
      <c r="AF103" t="str">
        <f>IF(COUNTIFS(Data!$U:$U,$R103,Data!$T:$T,13,Data!$N:$N,"&lt;&gt;")=0,"",SUMIFS(Data!$N:$N,Data!$U:$U,$R103,Data!$T:$T,13))</f>
        <v/>
      </c>
      <c r="AG103" t="str">
        <f>IF(COUNTIFS(Data!$U:$U,$R103,Data!$T:$T,14,Data!$N:$N,"&lt;&gt;")=0,"",SUMIFS(Data!$N:$N,Data!$U:$U,$R103,Data!$T:$T,14))</f>
        <v/>
      </c>
      <c r="AH103">
        <f>COUNTIFS(Data!$U:$U,$R103,Data!$T:$T,"&lt;="&amp;14,Data!$N:$N,"&lt;&gt;")</f>
        <v>0</v>
      </c>
      <c r="AI103">
        <f>COUNTIFS(Data!$U:$U,$R103,Data!$T:$T,"&lt;="&amp;14,Data!$N:$N,0)</f>
        <v>0</v>
      </c>
      <c r="AJ103" t="str">
        <f t="shared" si="18"/>
        <v/>
      </c>
      <c r="AK103" t="str">
        <f>IF(AH103=0,"",SUMIFS(Data!$N:$N,Data!$U:$U,$R103,Data!$T:$T,"&lt;="&amp;14))</f>
        <v/>
      </c>
      <c r="AL103" t="str">
        <f t="shared" si="19"/>
        <v/>
      </c>
      <c r="AM103">
        <f t="shared" si="20"/>
        <v>-1</v>
      </c>
      <c r="AN103" t="str">
        <f t="shared" si="21"/>
        <v/>
      </c>
    </row>
    <row r="104" spans="18:40" x14ac:dyDescent="0.2">
      <c r="R104">
        <v>102</v>
      </c>
      <c r="S104" t="str">
        <f>IFERROR(INDEX(Data!$G:$G,MATCH($R104,Data!$U:$U,0)),"")</f>
        <v/>
      </c>
      <c r="T104" t="str">
        <f>IF(COUNTIFS(Data!$U:$U,$R104,Data!$T:$T,1,Data!$N:$N,"&lt;&gt;")=0,"",SUMIFS(Data!$N:$N,Data!$U:$U,$R104,Data!$T:$T,1))</f>
        <v/>
      </c>
      <c r="U104" t="str">
        <f>IF(COUNTIFS(Data!$U:$U,$R104,Data!$T:$T,2,Data!$N:$N,"&lt;&gt;")=0,"",SUMIFS(Data!$N:$N,Data!$U:$U,$R104,Data!$T:$T,2))</f>
        <v/>
      </c>
      <c r="V104" t="str">
        <f>IF(COUNTIFS(Data!$U:$U,$R104,Data!$T:$T,3,Data!$N:$N,"&lt;&gt;")=0,"",SUMIFS(Data!$N:$N,Data!$U:$U,$R104,Data!$T:$T,3))</f>
        <v/>
      </c>
      <c r="W104" t="str">
        <f>IF(COUNTIFS(Data!$U:$U,$R104,Data!$T:$T,4,Data!$N:$N,"&lt;&gt;")=0,"",SUMIFS(Data!$N:$N,Data!$U:$U,$R104,Data!$T:$T,4))</f>
        <v/>
      </c>
      <c r="X104" t="str">
        <f>IF(COUNTIFS(Data!$U:$U,$R104,Data!$T:$T,5,Data!$N:$N,"&lt;&gt;")=0,"",SUMIFS(Data!$N:$N,Data!$U:$U,$R104,Data!$T:$T,5))</f>
        <v/>
      </c>
      <c r="Y104" t="str">
        <f>IF(COUNTIFS(Data!$U:$U,$R104,Data!$T:$T,6,Data!$N:$N,"&lt;&gt;")=0,"",SUMIFS(Data!$N:$N,Data!$U:$U,$R104,Data!$T:$T,6))</f>
        <v/>
      </c>
      <c r="Z104" t="str">
        <f>IF(COUNTIFS(Data!$U:$U,$R104,Data!$T:$T,7,Data!$N:$N,"&lt;&gt;")=0,"",SUMIFS(Data!$N:$N,Data!$U:$U,$R104,Data!$T:$T,7))</f>
        <v/>
      </c>
      <c r="AA104" t="str">
        <f>IF(COUNTIFS(Data!$U:$U,$R104,Data!$T:$T,8,Data!$N:$N,"&lt;&gt;")=0,"",SUMIFS(Data!$N:$N,Data!$U:$U,$R104,Data!$T:$T,8))</f>
        <v/>
      </c>
      <c r="AB104" t="str">
        <f>IF(COUNTIFS(Data!$U:$U,$R104,Data!$T:$T,9,Data!$N:$N,"&lt;&gt;")=0,"",SUMIFS(Data!$N:$N,Data!$U:$U,$R104,Data!$T:$T,9))</f>
        <v/>
      </c>
      <c r="AC104" t="str">
        <f>IF(COUNTIFS(Data!$U:$U,$R104,Data!$T:$T,10,Data!$N:$N,"&lt;&gt;")=0,"",SUMIFS(Data!$N:$N,Data!$U:$U,$R104,Data!$T:$T,10))</f>
        <v/>
      </c>
      <c r="AD104" t="str">
        <f>IF(COUNTIFS(Data!$U:$U,$R104,Data!$T:$T,11,Data!$N:$N,"&lt;&gt;")=0,"",SUMIFS(Data!$N:$N,Data!$U:$U,$R104,Data!$T:$T,11))</f>
        <v/>
      </c>
      <c r="AE104" t="str">
        <f>IF(COUNTIFS(Data!$U:$U,$R104,Data!$T:$T,12,Data!$N:$N,"&lt;&gt;")=0,"",SUMIFS(Data!$N:$N,Data!$U:$U,$R104,Data!$T:$T,12))</f>
        <v/>
      </c>
      <c r="AF104" t="str">
        <f>IF(COUNTIFS(Data!$U:$U,$R104,Data!$T:$T,13,Data!$N:$N,"&lt;&gt;")=0,"",SUMIFS(Data!$N:$N,Data!$U:$U,$R104,Data!$T:$T,13))</f>
        <v/>
      </c>
      <c r="AG104" t="str">
        <f>IF(COUNTIFS(Data!$U:$U,$R104,Data!$T:$T,14,Data!$N:$N,"&lt;&gt;")=0,"",SUMIFS(Data!$N:$N,Data!$U:$U,$R104,Data!$T:$T,14))</f>
        <v/>
      </c>
      <c r="AH104">
        <f>COUNTIFS(Data!$U:$U,$R104,Data!$T:$T,"&lt;="&amp;14,Data!$N:$N,"&lt;&gt;")</f>
        <v>0</v>
      </c>
      <c r="AI104">
        <f>COUNTIFS(Data!$U:$U,$R104,Data!$T:$T,"&lt;="&amp;14,Data!$N:$N,0)</f>
        <v>0</v>
      </c>
      <c r="AJ104" t="str">
        <f t="shared" si="18"/>
        <v/>
      </c>
      <c r="AK104" t="str">
        <f>IF(AH104=0,"",SUMIFS(Data!$N:$N,Data!$U:$U,$R104,Data!$T:$T,"&lt;="&amp;14))</f>
        <v/>
      </c>
      <c r="AL104" t="str">
        <f t="shared" si="19"/>
        <v/>
      </c>
      <c r="AM104">
        <f t="shared" si="20"/>
        <v>-1</v>
      </c>
      <c r="AN104" t="str">
        <f t="shared" si="21"/>
        <v/>
      </c>
    </row>
    <row r="105" spans="18:40" x14ac:dyDescent="0.2">
      <c r="R105">
        <v>103</v>
      </c>
      <c r="S105" t="str">
        <f>IFERROR(INDEX(Data!$G:$G,MATCH($R105,Data!$U:$U,0)),"")</f>
        <v/>
      </c>
      <c r="T105" t="str">
        <f>IF(COUNTIFS(Data!$U:$U,$R105,Data!$T:$T,1,Data!$N:$N,"&lt;&gt;")=0,"",SUMIFS(Data!$N:$N,Data!$U:$U,$R105,Data!$T:$T,1))</f>
        <v/>
      </c>
      <c r="U105" t="str">
        <f>IF(COUNTIFS(Data!$U:$U,$R105,Data!$T:$T,2,Data!$N:$N,"&lt;&gt;")=0,"",SUMIFS(Data!$N:$N,Data!$U:$U,$R105,Data!$T:$T,2))</f>
        <v/>
      </c>
      <c r="V105" t="str">
        <f>IF(COUNTIFS(Data!$U:$U,$R105,Data!$T:$T,3,Data!$N:$N,"&lt;&gt;")=0,"",SUMIFS(Data!$N:$N,Data!$U:$U,$R105,Data!$T:$T,3))</f>
        <v/>
      </c>
      <c r="W105" t="str">
        <f>IF(COUNTIFS(Data!$U:$U,$R105,Data!$T:$T,4,Data!$N:$N,"&lt;&gt;")=0,"",SUMIFS(Data!$N:$N,Data!$U:$U,$R105,Data!$T:$T,4))</f>
        <v/>
      </c>
      <c r="X105" t="str">
        <f>IF(COUNTIFS(Data!$U:$U,$R105,Data!$T:$T,5,Data!$N:$N,"&lt;&gt;")=0,"",SUMIFS(Data!$N:$N,Data!$U:$U,$R105,Data!$T:$T,5))</f>
        <v/>
      </c>
      <c r="Y105" t="str">
        <f>IF(COUNTIFS(Data!$U:$U,$R105,Data!$T:$T,6,Data!$N:$N,"&lt;&gt;")=0,"",SUMIFS(Data!$N:$N,Data!$U:$U,$R105,Data!$T:$T,6))</f>
        <v/>
      </c>
      <c r="Z105" t="str">
        <f>IF(COUNTIFS(Data!$U:$U,$R105,Data!$T:$T,7,Data!$N:$N,"&lt;&gt;")=0,"",SUMIFS(Data!$N:$N,Data!$U:$U,$R105,Data!$T:$T,7))</f>
        <v/>
      </c>
      <c r="AA105" t="str">
        <f>IF(COUNTIFS(Data!$U:$U,$R105,Data!$T:$T,8,Data!$N:$N,"&lt;&gt;")=0,"",SUMIFS(Data!$N:$N,Data!$U:$U,$R105,Data!$T:$T,8))</f>
        <v/>
      </c>
      <c r="AB105" t="str">
        <f>IF(COUNTIFS(Data!$U:$U,$R105,Data!$T:$T,9,Data!$N:$N,"&lt;&gt;")=0,"",SUMIFS(Data!$N:$N,Data!$U:$U,$R105,Data!$T:$T,9))</f>
        <v/>
      </c>
      <c r="AC105" t="str">
        <f>IF(COUNTIFS(Data!$U:$U,$R105,Data!$T:$T,10,Data!$N:$N,"&lt;&gt;")=0,"",SUMIFS(Data!$N:$N,Data!$U:$U,$R105,Data!$T:$T,10))</f>
        <v/>
      </c>
      <c r="AD105" t="str">
        <f>IF(COUNTIFS(Data!$U:$U,$R105,Data!$T:$T,11,Data!$N:$N,"&lt;&gt;")=0,"",SUMIFS(Data!$N:$N,Data!$U:$U,$R105,Data!$T:$T,11))</f>
        <v/>
      </c>
      <c r="AE105" t="str">
        <f>IF(COUNTIFS(Data!$U:$U,$R105,Data!$T:$T,12,Data!$N:$N,"&lt;&gt;")=0,"",SUMIFS(Data!$N:$N,Data!$U:$U,$R105,Data!$T:$T,12))</f>
        <v/>
      </c>
      <c r="AF105" t="str">
        <f>IF(COUNTIFS(Data!$U:$U,$R105,Data!$T:$T,13,Data!$N:$N,"&lt;&gt;")=0,"",SUMIFS(Data!$N:$N,Data!$U:$U,$R105,Data!$T:$T,13))</f>
        <v/>
      </c>
      <c r="AG105" t="str">
        <f>IF(COUNTIFS(Data!$U:$U,$R105,Data!$T:$T,14,Data!$N:$N,"&lt;&gt;")=0,"",SUMIFS(Data!$N:$N,Data!$U:$U,$R105,Data!$T:$T,14))</f>
        <v/>
      </c>
      <c r="AH105">
        <f>COUNTIFS(Data!$U:$U,$R105,Data!$T:$T,"&lt;="&amp;14,Data!$N:$N,"&lt;&gt;")</f>
        <v>0</v>
      </c>
      <c r="AI105">
        <f>COUNTIFS(Data!$U:$U,$R105,Data!$T:$T,"&lt;="&amp;14,Data!$N:$N,0)</f>
        <v>0</v>
      </c>
      <c r="AJ105" t="str">
        <f t="shared" si="18"/>
        <v/>
      </c>
      <c r="AK105" t="str">
        <f>IF(AH105=0,"",SUMIFS(Data!$N:$N,Data!$U:$U,$R105,Data!$T:$T,"&lt;="&amp;14))</f>
        <v/>
      </c>
      <c r="AL105" t="str">
        <f t="shared" si="19"/>
        <v/>
      </c>
      <c r="AM105">
        <f t="shared" si="20"/>
        <v>-1</v>
      </c>
      <c r="AN105" t="str">
        <f t="shared" si="21"/>
        <v/>
      </c>
    </row>
    <row r="106" spans="18:40" x14ac:dyDescent="0.2">
      <c r="R106">
        <v>104</v>
      </c>
      <c r="S106" t="str">
        <f>IFERROR(INDEX(Data!$G:$G,MATCH($R106,Data!$U:$U,0)),"")</f>
        <v/>
      </c>
      <c r="T106" t="str">
        <f>IF(COUNTIFS(Data!$U:$U,$R106,Data!$T:$T,1,Data!$N:$N,"&lt;&gt;")=0,"",SUMIFS(Data!$N:$N,Data!$U:$U,$R106,Data!$T:$T,1))</f>
        <v/>
      </c>
      <c r="U106" t="str">
        <f>IF(COUNTIFS(Data!$U:$U,$R106,Data!$T:$T,2,Data!$N:$N,"&lt;&gt;")=0,"",SUMIFS(Data!$N:$N,Data!$U:$U,$R106,Data!$T:$T,2))</f>
        <v/>
      </c>
      <c r="V106" t="str">
        <f>IF(COUNTIFS(Data!$U:$U,$R106,Data!$T:$T,3,Data!$N:$N,"&lt;&gt;")=0,"",SUMIFS(Data!$N:$N,Data!$U:$U,$R106,Data!$T:$T,3))</f>
        <v/>
      </c>
      <c r="W106" t="str">
        <f>IF(COUNTIFS(Data!$U:$U,$R106,Data!$T:$T,4,Data!$N:$N,"&lt;&gt;")=0,"",SUMIFS(Data!$N:$N,Data!$U:$U,$R106,Data!$T:$T,4))</f>
        <v/>
      </c>
      <c r="X106" t="str">
        <f>IF(COUNTIFS(Data!$U:$U,$R106,Data!$T:$T,5,Data!$N:$N,"&lt;&gt;")=0,"",SUMIFS(Data!$N:$N,Data!$U:$U,$R106,Data!$T:$T,5))</f>
        <v/>
      </c>
      <c r="Y106" t="str">
        <f>IF(COUNTIFS(Data!$U:$U,$R106,Data!$T:$T,6,Data!$N:$N,"&lt;&gt;")=0,"",SUMIFS(Data!$N:$N,Data!$U:$U,$R106,Data!$T:$T,6))</f>
        <v/>
      </c>
      <c r="Z106" t="str">
        <f>IF(COUNTIFS(Data!$U:$U,$R106,Data!$T:$T,7,Data!$N:$N,"&lt;&gt;")=0,"",SUMIFS(Data!$N:$N,Data!$U:$U,$R106,Data!$T:$T,7))</f>
        <v/>
      </c>
      <c r="AA106" t="str">
        <f>IF(COUNTIFS(Data!$U:$U,$R106,Data!$T:$T,8,Data!$N:$N,"&lt;&gt;")=0,"",SUMIFS(Data!$N:$N,Data!$U:$U,$R106,Data!$T:$T,8))</f>
        <v/>
      </c>
      <c r="AB106" t="str">
        <f>IF(COUNTIFS(Data!$U:$U,$R106,Data!$T:$T,9,Data!$N:$N,"&lt;&gt;")=0,"",SUMIFS(Data!$N:$N,Data!$U:$U,$R106,Data!$T:$T,9))</f>
        <v/>
      </c>
      <c r="AC106" t="str">
        <f>IF(COUNTIFS(Data!$U:$U,$R106,Data!$T:$T,10,Data!$N:$N,"&lt;&gt;")=0,"",SUMIFS(Data!$N:$N,Data!$U:$U,$R106,Data!$T:$T,10))</f>
        <v/>
      </c>
      <c r="AD106" t="str">
        <f>IF(COUNTIFS(Data!$U:$U,$R106,Data!$T:$T,11,Data!$N:$N,"&lt;&gt;")=0,"",SUMIFS(Data!$N:$N,Data!$U:$U,$R106,Data!$T:$T,11))</f>
        <v/>
      </c>
      <c r="AE106" t="str">
        <f>IF(COUNTIFS(Data!$U:$U,$R106,Data!$T:$T,12,Data!$N:$N,"&lt;&gt;")=0,"",SUMIFS(Data!$N:$N,Data!$U:$U,$R106,Data!$T:$T,12))</f>
        <v/>
      </c>
      <c r="AF106" t="str">
        <f>IF(COUNTIFS(Data!$U:$U,$R106,Data!$T:$T,13,Data!$N:$N,"&lt;&gt;")=0,"",SUMIFS(Data!$N:$N,Data!$U:$U,$R106,Data!$T:$T,13))</f>
        <v/>
      </c>
      <c r="AG106" t="str">
        <f>IF(COUNTIFS(Data!$U:$U,$R106,Data!$T:$T,14,Data!$N:$N,"&lt;&gt;")=0,"",SUMIFS(Data!$N:$N,Data!$U:$U,$R106,Data!$T:$T,14))</f>
        <v/>
      </c>
      <c r="AH106">
        <f>COUNTIFS(Data!$U:$U,$R106,Data!$T:$T,"&lt;="&amp;14,Data!$N:$N,"&lt;&gt;")</f>
        <v>0</v>
      </c>
      <c r="AI106">
        <f>COUNTIFS(Data!$U:$U,$R106,Data!$T:$T,"&lt;="&amp;14,Data!$N:$N,0)</f>
        <v>0</v>
      </c>
      <c r="AJ106" t="str">
        <f t="shared" si="18"/>
        <v/>
      </c>
      <c r="AK106" t="str">
        <f>IF(AH106=0,"",SUMIFS(Data!$N:$N,Data!$U:$U,$R106,Data!$T:$T,"&lt;="&amp;14))</f>
        <v/>
      </c>
      <c r="AL106" t="str">
        <f t="shared" si="19"/>
        <v/>
      </c>
      <c r="AM106">
        <f t="shared" si="20"/>
        <v>-1</v>
      </c>
      <c r="AN106" t="str">
        <f t="shared" si="21"/>
        <v/>
      </c>
    </row>
    <row r="107" spans="18:40" x14ac:dyDescent="0.2">
      <c r="R107">
        <v>105</v>
      </c>
      <c r="S107" t="str">
        <f>IFERROR(INDEX(Data!$G:$G,MATCH($R107,Data!$U:$U,0)),"")</f>
        <v/>
      </c>
      <c r="T107" t="str">
        <f>IF(COUNTIFS(Data!$U:$U,$R107,Data!$T:$T,1,Data!$N:$N,"&lt;&gt;")=0,"",SUMIFS(Data!$N:$N,Data!$U:$U,$R107,Data!$T:$T,1))</f>
        <v/>
      </c>
      <c r="U107" t="str">
        <f>IF(COUNTIFS(Data!$U:$U,$R107,Data!$T:$T,2,Data!$N:$N,"&lt;&gt;")=0,"",SUMIFS(Data!$N:$N,Data!$U:$U,$R107,Data!$T:$T,2))</f>
        <v/>
      </c>
      <c r="V107" t="str">
        <f>IF(COUNTIFS(Data!$U:$U,$R107,Data!$T:$T,3,Data!$N:$N,"&lt;&gt;")=0,"",SUMIFS(Data!$N:$N,Data!$U:$U,$R107,Data!$T:$T,3))</f>
        <v/>
      </c>
      <c r="W107" t="str">
        <f>IF(COUNTIFS(Data!$U:$U,$R107,Data!$T:$T,4,Data!$N:$N,"&lt;&gt;")=0,"",SUMIFS(Data!$N:$N,Data!$U:$U,$R107,Data!$T:$T,4))</f>
        <v/>
      </c>
      <c r="X107" t="str">
        <f>IF(COUNTIFS(Data!$U:$U,$R107,Data!$T:$T,5,Data!$N:$N,"&lt;&gt;")=0,"",SUMIFS(Data!$N:$N,Data!$U:$U,$R107,Data!$T:$T,5))</f>
        <v/>
      </c>
      <c r="Y107" t="str">
        <f>IF(COUNTIFS(Data!$U:$U,$R107,Data!$T:$T,6,Data!$N:$N,"&lt;&gt;")=0,"",SUMIFS(Data!$N:$N,Data!$U:$U,$R107,Data!$T:$T,6))</f>
        <v/>
      </c>
      <c r="Z107" t="str">
        <f>IF(COUNTIFS(Data!$U:$U,$R107,Data!$T:$T,7,Data!$N:$N,"&lt;&gt;")=0,"",SUMIFS(Data!$N:$N,Data!$U:$U,$R107,Data!$T:$T,7))</f>
        <v/>
      </c>
      <c r="AA107" t="str">
        <f>IF(COUNTIFS(Data!$U:$U,$R107,Data!$T:$T,8,Data!$N:$N,"&lt;&gt;")=0,"",SUMIFS(Data!$N:$N,Data!$U:$U,$R107,Data!$T:$T,8))</f>
        <v/>
      </c>
      <c r="AB107" t="str">
        <f>IF(COUNTIFS(Data!$U:$U,$R107,Data!$T:$T,9,Data!$N:$N,"&lt;&gt;")=0,"",SUMIFS(Data!$N:$N,Data!$U:$U,$R107,Data!$T:$T,9))</f>
        <v/>
      </c>
      <c r="AC107" t="str">
        <f>IF(COUNTIFS(Data!$U:$U,$R107,Data!$T:$T,10,Data!$N:$N,"&lt;&gt;")=0,"",SUMIFS(Data!$N:$N,Data!$U:$U,$R107,Data!$T:$T,10))</f>
        <v/>
      </c>
      <c r="AD107" t="str">
        <f>IF(COUNTIFS(Data!$U:$U,$R107,Data!$T:$T,11,Data!$N:$N,"&lt;&gt;")=0,"",SUMIFS(Data!$N:$N,Data!$U:$U,$R107,Data!$T:$T,11))</f>
        <v/>
      </c>
      <c r="AE107" t="str">
        <f>IF(COUNTIFS(Data!$U:$U,$R107,Data!$T:$T,12,Data!$N:$N,"&lt;&gt;")=0,"",SUMIFS(Data!$N:$N,Data!$U:$U,$R107,Data!$T:$T,12))</f>
        <v/>
      </c>
      <c r="AF107" t="str">
        <f>IF(COUNTIFS(Data!$U:$U,$R107,Data!$T:$T,13,Data!$N:$N,"&lt;&gt;")=0,"",SUMIFS(Data!$N:$N,Data!$U:$U,$R107,Data!$T:$T,13))</f>
        <v/>
      </c>
      <c r="AG107" t="str">
        <f>IF(COUNTIFS(Data!$U:$U,$R107,Data!$T:$T,14,Data!$N:$N,"&lt;&gt;")=0,"",SUMIFS(Data!$N:$N,Data!$U:$U,$R107,Data!$T:$T,14))</f>
        <v/>
      </c>
      <c r="AH107">
        <f>COUNTIFS(Data!$U:$U,$R107,Data!$T:$T,"&lt;="&amp;14,Data!$N:$N,"&lt;&gt;")</f>
        <v>0</v>
      </c>
      <c r="AI107">
        <f>COUNTIFS(Data!$U:$U,$R107,Data!$T:$T,"&lt;="&amp;14,Data!$N:$N,0)</f>
        <v>0</v>
      </c>
      <c r="AJ107" t="str">
        <f t="shared" si="18"/>
        <v/>
      </c>
      <c r="AK107" t="str">
        <f>IF(AH107=0,"",SUMIFS(Data!$N:$N,Data!$U:$U,$R107,Data!$T:$T,"&lt;="&amp;14))</f>
        <v/>
      </c>
      <c r="AL107" t="str">
        <f t="shared" si="19"/>
        <v/>
      </c>
      <c r="AM107">
        <f t="shared" si="20"/>
        <v>-1</v>
      </c>
      <c r="AN107" t="str">
        <f t="shared" si="21"/>
        <v/>
      </c>
    </row>
    <row r="108" spans="18:40" x14ac:dyDescent="0.2">
      <c r="R108">
        <v>106</v>
      </c>
      <c r="S108" t="str">
        <f>IFERROR(INDEX(Data!$G:$G,MATCH($R108,Data!$U:$U,0)),"")</f>
        <v/>
      </c>
      <c r="T108" t="str">
        <f>IF(COUNTIFS(Data!$U:$U,$R108,Data!$T:$T,1,Data!$N:$N,"&lt;&gt;")=0,"",SUMIFS(Data!$N:$N,Data!$U:$U,$R108,Data!$T:$T,1))</f>
        <v/>
      </c>
      <c r="U108" t="str">
        <f>IF(COUNTIFS(Data!$U:$U,$R108,Data!$T:$T,2,Data!$N:$N,"&lt;&gt;")=0,"",SUMIFS(Data!$N:$N,Data!$U:$U,$R108,Data!$T:$T,2))</f>
        <v/>
      </c>
      <c r="V108" t="str">
        <f>IF(COUNTIFS(Data!$U:$U,$R108,Data!$T:$T,3,Data!$N:$N,"&lt;&gt;")=0,"",SUMIFS(Data!$N:$N,Data!$U:$U,$R108,Data!$T:$T,3))</f>
        <v/>
      </c>
      <c r="W108" t="str">
        <f>IF(COUNTIFS(Data!$U:$U,$R108,Data!$T:$T,4,Data!$N:$N,"&lt;&gt;")=0,"",SUMIFS(Data!$N:$N,Data!$U:$U,$R108,Data!$T:$T,4))</f>
        <v/>
      </c>
      <c r="X108" t="str">
        <f>IF(COUNTIFS(Data!$U:$U,$R108,Data!$T:$T,5,Data!$N:$N,"&lt;&gt;")=0,"",SUMIFS(Data!$N:$N,Data!$U:$U,$R108,Data!$T:$T,5))</f>
        <v/>
      </c>
      <c r="Y108" t="str">
        <f>IF(COUNTIFS(Data!$U:$U,$R108,Data!$T:$T,6,Data!$N:$N,"&lt;&gt;")=0,"",SUMIFS(Data!$N:$N,Data!$U:$U,$R108,Data!$T:$T,6))</f>
        <v/>
      </c>
      <c r="Z108" t="str">
        <f>IF(COUNTIFS(Data!$U:$U,$R108,Data!$T:$T,7,Data!$N:$N,"&lt;&gt;")=0,"",SUMIFS(Data!$N:$N,Data!$U:$U,$R108,Data!$T:$T,7))</f>
        <v/>
      </c>
      <c r="AA108" t="str">
        <f>IF(COUNTIFS(Data!$U:$U,$R108,Data!$T:$T,8,Data!$N:$N,"&lt;&gt;")=0,"",SUMIFS(Data!$N:$N,Data!$U:$U,$R108,Data!$T:$T,8))</f>
        <v/>
      </c>
      <c r="AB108" t="str">
        <f>IF(COUNTIFS(Data!$U:$U,$R108,Data!$T:$T,9,Data!$N:$N,"&lt;&gt;")=0,"",SUMIFS(Data!$N:$N,Data!$U:$U,$R108,Data!$T:$T,9))</f>
        <v/>
      </c>
      <c r="AC108" t="str">
        <f>IF(COUNTIFS(Data!$U:$U,$R108,Data!$T:$T,10,Data!$N:$N,"&lt;&gt;")=0,"",SUMIFS(Data!$N:$N,Data!$U:$U,$R108,Data!$T:$T,10))</f>
        <v/>
      </c>
      <c r="AD108" t="str">
        <f>IF(COUNTIFS(Data!$U:$U,$R108,Data!$T:$T,11,Data!$N:$N,"&lt;&gt;")=0,"",SUMIFS(Data!$N:$N,Data!$U:$U,$R108,Data!$T:$T,11))</f>
        <v/>
      </c>
      <c r="AE108" t="str">
        <f>IF(COUNTIFS(Data!$U:$U,$R108,Data!$T:$T,12,Data!$N:$N,"&lt;&gt;")=0,"",SUMIFS(Data!$N:$N,Data!$U:$U,$R108,Data!$T:$T,12))</f>
        <v/>
      </c>
      <c r="AF108" t="str">
        <f>IF(COUNTIFS(Data!$U:$U,$R108,Data!$T:$T,13,Data!$N:$N,"&lt;&gt;")=0,"",SUMIFS(Data!$N:$N,Data!$U:$U,$R108,Data!$T:$T,13))</f>
        <v/>
      </c>
      <c r="AG108" t="str">
        <f>IF(COUNTIFS(Data!$U:$U,$R108,Data!$T:$T,14,Data!$N:$N,"&lt;&gt;")=0,"",SUMIFS(Data!$N:$N,Data!$U:$U,$R108,Data!$T:$T,14))</f>
        <v/>
      </c>
      <c r="AH108">
        <f>COUNTIFS(Data!$U:$U,$R108,Data!$T:$T,"&lt;="&amp;14,Data!$N:$N,"&lt;&gt;")</f>
        <v>0</v>
      </c>
      <c r="AI108">
        <f>COUNTIFS(Data!$U:$U,$R108,Data!$T:$T,"&lt;="&amp;14,Data!$N:$N,0)</f>
        <v>0</v>
      </c>
      <c r="AJ108" t="str">
        <f t="shared" si="18"/>
        <v/>
      </c>
      <c r="AK108" t="str">
        <f>IF(AH108=0,"",SUMIFS(Data!$N:$N,Data!$U:$U,$R108,Data!$T:$T,"&lt;="&amp;14))</f>
        <v/>
      </c>
      <c r="AL108" t="str">
        <f t="shared" si="19"/>
        <v/>
      </c>
      <c r="AM108">
        <f t="shared" si="20"/>
        <v>-1</v>
      </c>
      <c r="AN108" t="str">
        <f t="shared" si="21"/>
        <v/>
      </c>
    </row>
    <row r="109" spans="18:40" x14ac:dyDescent="0.2">
      <c r="R109">
        <v>107</v>
      </c>
      <c r="S109" t="str">
        <f>IFERROR(INDEX(Data!$G:$G,MATCH($R109,Data!$U:$U,0)),"")</f>
        <v/>
      </c>
      <c r="T109" t="str">
        <f>IF(COUNTIFS(Data!$U:$U,$R109,Data!$T:$T,1,Data!$N:$N,"&lt;&gt;")=0,"",SUMIFS(Data!$N:$N,Data!$U:$U,$R109,Data!$T:$T,1))</f>
        <v/>
      </c>
      <c r="U109" t="str">
        <f>IF(COUNTIFS(Data!$U:$U,$R109,Data!$T:$T,2,Data!$N:$N,"&lt;&gt;")=0,"",SUMIFS(Data!$N:$N,Data!$U:$U,$R109,Data!$T:$T,2))</f>
        <v/>
      </c>
      <c r="V109" t="str">
        <f>IF(COUNTIFS(Data!$U:$U,$R109,Data!$T:$T,3,Data!$N:$N,"&lt;&gt;")=0,"",SUMIFS(Data!$N:$N,Data!$U:$U,$R109,Data!$T:$T,3))</f>
        <v/>
      </c>
      <c r="W109" t="str">
        <f>IF(COUNTIFS(Data!$U:$U,$R109,Data!$T:$T,4,Data!$N:$N,"&lt;&gt;")=0,"",SUMIFS(Data!$N:$N,Data!$U:$U,$R109,Data!$T:$T,4))</f>
        <v/>
      </c>
      <c r="X109" t="str">
        <f>IF(COUNTIFS(Data!$U:$U,$R109,Data!$T:$T,5,Data!$N:$N,"&lt;&gt;")=0,"",SUMIFS(Data!$N:$N,Data!$U:$U,$R109,Data!$T:$T,5))</f>
        <v/>
      </c>
      <c r="Y109" t="str">
        <f>IF(COUNTIFS(Data!$U:$U,$R109,Data!$T:$T,6,Data!$N:$N,"&lt;&gt;")=0,"",SUMIFS(Data!$N:$N,Data!$U:$U,$R109,Data!$T:$T,6))</f>
        <v/>
      </c>
      <c r="Z109" t="str">
        <f>IF(COUNTIFS(Data!$U:$U,$R109,Data!$T:$T,7,Data!$N:$N,"&lt;&gt;")=0,"",SUMIFS(Data!$N:$N,Data!$U:$U,$R109,Data!$T:$T,7))</f>
        <v/>
      </c>
      <c r="AA109" t="str">
        <f>IF(COUNTIFS(Data!$U:$U,$R109,Data!$T:$T,8,Data!$N:$N,"&lt;&gt;")=0,"",SUMIFS(Data!$N:$N,Data!$U:$U,$R109,Data!$T:$T,8))</f>
        <v/>
      </c>
      <c r="AB109" t="str">
        <f>IF(COUNTIFS(Data!$U:$U,$R109,Data!$T:$T,9,Data!$N:$N,"&lt;&gt;")=0,"",SUMIFS(Data!$N:$N,Data!$U:$U,$R109,Data!$T:$T,9))</f>
        <v/>
      </c>
      <c r="AC109" t="str">
        <f>IF(COUNTIFS(Data!$U:$U,$R109,Data!$T:$T,10,Data!$N:$N,"&lt;&gt;")=0,"",SUMIFS(Data!$N:$N,Data!$U:$U,$R109,Data!$T:$T,10))</f>
        <v/>
      </c>
      <c r="AD109" t="str">
        <f>IF(COUNTIFS(Data!$U:$U,$R109,Data!$T:$T,11,Data!$N:$N,"&lt;&gt;")=0,"",SUMIFS(Data!$N:$N,Data!$U:$U,$R109,Data!$T:$T,11))</f>
        <v/>
      </c>
      <c r="AE109" t="str">
        <f>IF(COUNTIFS(Data!$U:$U,$R109,Data!$T:$T,12,Data!$N:$N,"&lt;&gt;")=0,"",SUMIFS(Data!$N:$N,Data!$U:$U,$R109,Data!$T:$T,12))</f>
        <v/>
      </c>
      <c r="AF109" t="str">
        <f>IF(COUNTIFS(Data!$U:$U,$R109,Data!$T:$T,13,Data!$N:$N,"&lt;&gt;")=0,"",SUMIFS(Data!$N:$N,Data!$U:$U,$R109,Data!$T:$T,13))</f>
        <v/>
      </c>
      <c r="AG109" t="str">
        <f>IF(COUNTIFS(Data!$U:$U,$R109,Data!$T:$T,14,Data!$N:$N,"&lt;&gt;")=0,"",SUMIFS(Data!$N:$N,Data!$U:$U,$R109,Data!$T:$T,14))</f>
        <v/>
      </c>
      <c r="AH109">
        <f>COUNTIFS(Data!$U:$U,$R109,Data!$T:$T,"&lt;="&amp;14,Data!$N:$N,"&lt;&gt;")</f>
        <v>0</v>
      </c>
      <c r="AI109">
        <f>COUNTIFS(Data!$U:$U,$R109,Data!$T:$T,"&lt;="&amp;14,Data!$N:$N,0)</f>
        <v>0</v>
      </c>
      <c r="AJ109" t="str">
        <f t="shared" si="18"/>
        <v/>
      </c>
      <c r="AK109" t="str">
        <f>IF(AH109=0,"",SUMIFS(Data!$N:$N,Data!$U:$U,$R109,Data!$T:$T,"&lt;="&amp;14))</f>
        <v/>
      </c>
      <c r="AL109" t="str">
        <f t="shared" si="19"/>
        <v/>
      </c>
      <c r="AM109">
        <f t="shared" si="20"/>
        <v>-1</v>
      </c>
      <c r="AN109" t="str">
        <f t="shared" si="21"/>
        <v/>
      </c>
    </row>
    <row r="110" spans="18:40" x14ac:dyDescent="0.2">
      <c r="R110">
        <v>108</v>
      </c>
      <c r="S110" t="str">
        <f>IFERROR(INDEX(Data!$G:$G,MATCH($R110,Data!$U:$U,0)),"")</f>
        <v/>
      </c>
      <c r="T110" t="str">
        <f>IF(COUNTIFS(Data!$U:$U,$R110,Data!$T:$T,1,Data!$N:$N,"&lt;&gt;")=0,"",SUMIFS(Data!$N:$N,Data!$U:$U,$R110,Data!$T:$T,1))</f>
        <v/>
      </c>
      <c r="U110" t="str">
        <f>IF(COUNTIFS(Data!$U:$U,$R110,Data!$T:$T,2,Data!$N:$N,"&lt;&gt;")=0,"",SUMIFS(Data!$N:$N,Data!$U:$U,$R110,Data!$T:$T,2))</f>
        <v/>
      </c>
      <c r="V110" t="str">
        <f>IF(COUNTIFS(Data!$U:$U,$R110,Data!$T:$T,3,Data!$N:$N,"&lt;&gt;")=0,"",SUMIFS(Data!$N:$N,Data!$U:$U,$R110,Data!$T:$T,3))</f>
        <v/>
      </c>
      <c r="W110" t="str">
        <f>IF(COUNTIFS(Data!$U:$U,$R110,Data!$T:$T,4,Data!$N:$N,"&lt;&gt;")=0,"",SUMIFS(Data!$N:$N,Data!$U:$U,$R110,Data!$T:$T,4))</f>
        <v/>
      </c>
      <c r="X110" t="str">
        <f>IF(COUNTIFS(Data!$U:$U,$R110,Data!$T:$T,5,Data!$N:$N,"&lt;&gt;")=0,"",SUMIFS(Data!$N:$N,Data!$U:$U,$R110,Data!$T:$T,5))</f>
        <v/>
      </c>
      <c r="Y110" t="str">
        <f>IF(COUNTIFS(Data!$U:$U,$R110,Data!$T:$T,6,Data!$N:$N,"&lt;&gt;")=0,"",SUMIFS(Data!$N:$N,Data!$U:$U,$R110,Data!$T:$T,6))</f>
        <v/>
      </c>
      <c r="Z110" t="str">
        <f>IF(COUNTIFS(Data!$U:$U,$R110,Data!$T:$T,7,Data!$N:$N,"&lt;&gt;")=0,"",SUMIFS(Data!$N:$N,Data!$U:$U,$R110,Data!$T:$T,7))</f>
        <v/>
      </c>
      <c r="AA110" t="str">
        <f>IF(COUNTIFS(Data!$U:$U,$R110,Data!$T:$T,8,Data!$N:$N,"&lt;&gt;")=0,"",SUMIFS(Data!$N:$N,Data!$U:$U,$R110,Data!$T:$T,8))</f>
        <v/>
      </c>
      <c r="AB110" t="str">
        <f>IF(COUNTIFS(Data!$U:$U,$R110,Data!$T:$T,9,Data!$N:$N,"&lt;&gt;")=0,"",SUMIFS(Data!$N:$N,Data!$U:$U,$R110,Data!$T:$T,9))</f>
        <v/>
      </c>
      <c r="AC110" t="str">
        <f>IF(COUNTIFS(Data!$U:$U,$R110,Data!$T:$T,10,Data!$N:$N,"&lt;&gt;")=0,"",SUMIFS(Data!$N:$N,Data!$U:$U,$R110,Data!$T:$T,10))</f>
        <v/>
      </c>
      <c r="AD110" t="str">
        <f>IF(COUNTIFS(Data!$U:$U,$R110,Data!$T:$T,11,Data!$N:$N,"&lt;&gt;")=0,"",SUMIFS(Data!$N:$N,Data!$U:$U,$R110,Data!$T:$T,11))</f>
        <v/>
      </c>
      <c r="AE110" t="str">
        <f>IF(COUNTIFS(Data!$U:$U,$R110,Data!$T:$T,12,Data!$N:$N,"&lt;&gt;")=0,"",SUMIFS(Data!$N:$N,Data!$U:$U,$R110,Data!$T:$T,12))</f>
        <v/>
      </c>
      <c r="AF110" t="str">
        <f>IF(COUNTIFS(Data!$U:$U,$R110,Data!$T:$T,13,Data!$N:$N,"&lt;&gt;")=0,"",SUMIFS(Data!$N:$N,Data!$U:$U,$R110,Data!$T:$T,13))</f>
        <v/>
      </c>
      <c r="AG110" t="str">
        <f>IF(COUNTIFS(Data!$U:$U,$R110,Data!$T:$T,14,Data!$N:$N,"&lt;&gt;")=0,"",SUMIFS(Data!$N:$N,Data!$U:$U,$R110,Data!$T:$T,14))</f>
        <v/>
      </c>
      <c r="AH110">
        <f>COUNTIFS(Data!$U:$U,$R110,Data!$T:$T,"&lt;="&amp;14,Data!$N:$N,"&lt;&gt;")</f>
        <v>0</v>
      </c>
      <c r="AI110">
        <f>COUNTIFS(Data!$U:$U,$R110,Data!$T:$T,"&lt;="&amp;14,Data!$N:$N,0)</f>
        <v>0</v>
      </c>
      <c r="AJ110" t="str">
        <f t="shared" si="18"/>
        <v/>
      </c>
      <c r="AK110" t="str">
        <f>IF(AH110=0,"",SUMIFS(Data!$N:$N,Data!$U:$U,$R110,Data!$T:$T,"&lt;="&amp;14))</f>
        <v/>
      </c>
      <c r="AL110" t="str">
        <f t="shared" si="19"/>
        <v/>
      </c>
      <c r="AM110">
        <f t="shared" si="20"/>
        <v>-1</v>
      </c>
      <c r="AN110" t="str">
        <f t="shared" si="21"/>
        <v/>
      </c>
    </row>
    <row r="111" spans="18:40" x14ac:dyDescent="0.2">
      <c r="R111">
        <v>109</v>
      </c>
      <c r="S111" t="str">
        <f>IFERROR(INDEX(Data!$G:$G,MATCH($R111,Data!$U:$U,0)),"")</f>
        <v/>
      </c>
      <c r="T111" t="str">
        <f>IF(COUNTIFS(Data!$U:$U,$R111,Data!$T:$T,1,Data!$N:$N,"&lt;&gt;")=0,"",SUMIFS(Data!$N:$N,Data!$U:$U,$R111,Data!$T:$T,1))</f>
        <v/>
      </c>
      <c r="U111" t="str">
        <f>IF(COUNTIFS(Data!$U:$U,$R111,Data!$T:$T,2,Data!$N:$N,"&lt;&gt;")=0,"",SUMIFS(Data!$N:$N,Data!$U:$U,$R111,Data!$T:$T,2))</f>
        <v/>
      </c>
      <c r="V111" t="str">
        <f>IF(COUNTIFS(Data!$U:$U,$R111,Data!$T:$T,3,Data!$N:$N,"&lt;&gt;")=0,"",SUMIFS(Data!$N:$N,Data!$U:$U,$R111,Data!$T:$T,3))</f>
        <v/>
      </c>
      <c r="W111" t="str">
        <f>IF(COUNTIFS(Data!$U:$U,$R111,Data!$T:$T,4,Data!$N:$N,"&lt;&gt;")=0,"",SUMIFS(Data!$N:$N,Data!$U:$U,$R111,Data!$T:$T,4))</f>
        <v/>
      </c>
      <c r="X111" t="str">
        <f>IF(COUNTIFS(Data!$U:$U,$R111,Data!$T:$T,5,Data!$N:$N,"&lt;&gt;")=0,"",SUMIFS(Data!$N:$N,Data!$U:$U,$R111,Data!$T:$T,5))</f>
        <v/>
      </c>
      <c r="Y111" t="str">
        <f>IF(COUNTIFS(Data!$U:$U,$R111,Data!$T:$T,6,Data!$N:$N,"&lt;&gt;")=0,"",SUMIFS(Data!$N:$N,Data!$U:$U,$R111,Data!$T:$T,6))</f>
        <v/>
      </c>
      <c r="Z111" t="str">
        <f>IF(COUNTIFS(Data!$U:$U,$R111,Data!$T:$T,7,Data!$N:$N,"&lt;&gt;")=0,"",SUMIFS(Data!$N:$N,Data!$U:$U,$R111,Data!$T:$T,7))</f>
        <v/>
      </c>
      <c r="AA111" t="str">
        <f>IF(COUNTIFS(Data!$U:$U,$R111,Data!$T:$T,8,Data!$N:$N,"&lt;&gt;")=0,"",SUMIFS(Data!$N:$N,Data!$U:$U,$R111,Data!$T:$T,8))</f>
        <v/>
      </c>
      <c r="AB111" t="str">
        <f>IF(COUNTIFS(Data!$U:$U,$R111,Data!$T:$T,9,Data!$N:$N,"&lt;&gt;")=0,"",SUMIFS(Data!$N:$N,Data!$U:$U,$R111,Data!$T:$T,9))</f>
        <v/>
      </c>
      <c r="AC111" t="str">
        <f>IF(COUNTIFS(Data!$U:$U,$R111,Data!$T:$T,10,Data!$N:$N,"&lt;&gt;")=0,"",SUMIFS(Data!$N:$N,Data!$U:$U,$R111,Data!$T:$T,10))</f>
        <v/>
      </c>
      <c r="AD111" t="str">
        <f>IF(COUNTIFS(Data!$U:$U,$R111,Data!$T:$T,11,Data!$N:$N,"&lt;&gt;")=0,"",SUMIFS(Data!$N:$N,Data!$U:$U,$R111,Data!$T:$T,11))</f>
        <v/>
      </c>
      <c r="AE111" t="str">
        <f>IF(COUNTIFS(Data!$U:$U,$R111,Data!$T:$T,12,Data!$N:$N,"&lt;&gt;")=0,"",SUMIFS(Data!$N:$N,Data!$U:$U,$R111,Data!$T:$T,12))</f>
        <v/>
      </c>
      <c r="AF111" t="str">
        <f>IF(COUNTIFS(Data!$U:$U,$R111,Data!$T:$T,13,Data!$N:$N,"&lt;&gt;")=0,"",SUMIFS(Data!$N:$N,Data!$U:$U,$R111,Data!$T:$T,13))</f>
        <v/>
      </c>
      <c r="AG111" t="str">
        <f>IF(COUNTIFS(Data!$U:$U,$R111,Data!$T:$T,14,Data!$N:$N,"&lt;&gt;")=0,"",SUMIFS(Data!$N:$N,Data!$U:$U,$R111,Data!$T:$T,14))</f>
        <v/>
      </c>
      <c r="AH111">
        <f>COUNTIFS(Data!$U:$U,$R111,Data!$T:$T,"&lt;="&amp;14,Data!$N:$N,"&lt;&gt;")</f>
        <v>0</v>
      </c>
      <c r="AI111">
        <f>COUNTIFS(Data!$U:$U,$R111,Data!$T:$T,"&lt;="&amp;14,Data!$N:$N,0)</f>
        <v>0</v>
      </c>
      <c r="AJ111" t="str">
        <f t="shared" si="18"/>
        <v/>
      </c>
      <c r="AK111" t="str">
        <f>IF(AH111=0,"",SUMIFS(Data!$N:$N,Data!$U:$U,$R111,Data!$T:$T,"&lt;="&amp;14))</f>
        <v/>
      </c>
      <c r="AL111" t="str">
        <f t="shared" si="19"/>
        <v/>
      </c>
      <c r="AM111">
        <f t="shared" si="20"/>
        <v>-1</v>
      </c>
      <c r="AN111" t="str">
        <f t="shared" si="21"/>
        <v/>
      </c>
    </row>
    <row r="112" spans="18:40" x14ac:dyDescent="0.2">
      <c r="R112">
        <v>110</v>
      </c>
      <c r="S112" t="str">
        <f>IFERROR(INDEX(Data!$G:$G,MATCH($R112,Data!$U:$U,0)),"")</f>
        <v/>
      </c>
      <c r="T112" t="str">
        <f>IF(COUNTIFS(Data!$U:$U,$R112,Data!$T:$T,1,Data!$N:$N,"&lt;&gt;")=0,"",SUMIFS(Data!$N:$N,Data!$U:$U,$R112,Data!$T:$T,1))</f>
        <v/>
      </c>
      <c r="U112" t="str">
        <f>IF(COUNTIFS(Data!$U:$U,$R112,Data!$T:$T,2,Data!$N:$N,"&lt;&gt;")=0,"",SUMIFS(Data!$N:$N,Data!$U:$U,$R112,Data!$T:$T,2))</f>
        <v/>
      </c>
      <c r="V112" t="str">
        <f>IF(COUNTIFS(Data!$U:$U,$R112,Data!$T:$T,3,Data!$N:$N,"&lt;&gt;")=0,"",SUMIFS(Data!$N:$N,Data!$U:$U,$R112,Data!$T:$T,3))</f>
        <v/>
      </c>
      <c r="W112" t="str">
        <f>IF(COUNTIFS(Data!$U:$U,$R112,Data!$T:$T,4,Data!$N:$N,"&lt;&gt;")=0,"",SUMIFS(Data!$N:$N,Data!$U:$U,$R112,Data!$T:$T,4))</f>
        <v/>
      </c>
      <c r="X112" t="str">
        <f>IF(COUNTIFS(Data!$U:$U,$R112,Data!$T:$T,5,Data!$N:$N,"&lt;&gt;")=0,"",SUMIFS(Data!$N:$N,Data!$U:$U,$R112,Data!$T:$T,5))</f>
        <v/>
      </c>
      <c r="Y112" t="str">
        <f>IF(COUNTIFS(Data!$U:$U,$R112,Data!$T:$T,6,Data!$N:$N,"&lt;&gt;")=0,"",SUMIFS(Data!$N:$N,Data!$U:$U,$R112,Data!$T:$T,6))</f>
        <v/>
      </c>
      <c r="Z112" t="str">
        <f>IF(COUNTIFS(Data!$U:$U,$R112,Data!$T:$T,7,Data!$N:$N,"&lt;&gt;")=0,"",SUMIFS(Data!$N:$N,Data!$U:$U,$R112,Data!$T:$T,7))</f>
        <v/>
      </c>
      <c r="AA112" t="str">
        <f>IF(COUNTIFS(Data!$U:$U,$R112,Data!$T:$T,8,Data!$N:$N,"&lt;&gt;")=0,"",SUMIFS(Data!$N:$N,Data!$U:$U,$R112,Data!$T:$T,8))</f>
        <v/>
      </c>
      <c r="AB112" t="str">
        <f>IF(COUNTIFS(Data!$U:$U,$R112,Data!$T:$T,9,Data!$N:$N,"&lt;&gt;")=0,"",SUMIFS(Data!$N:$N,Data!$U:$U,$R112,Data!$T:$T,9))</f>
        <v/>
      </c>
      <c r="AC112" t="str">
        <f>IF(COUNTIFS(Data!$U:$U,$R112,Data!$T:$T,10,Data!$N:$N,"&lt;&gt;")=0,"",SUMIFS(Data!$N:$N,Data!$U:$U,$R112,Data!$T:$T,10))</f>
        <v/>
      </c>
      <c r="AD112" t="str">
        <f>IF(COUNTIFS(Data!$U:$U,$R112,Data!$T:$T,11,Data!$N:$N,"&lt;&gt;")=0,"",SUMIFS(Data!$N:$N,Data!$U:$U,$R112,Data!$T:$T,11))</f>
        <v/>
      </c>
      <c r="AE112" t="str">
        <f>IF(COUNTIFS(Data!$U:$U,$R112,Data!$T:$T,12,Data!$N:$N,"&lt;&gt;")=0,"",SUMIFS(Data!$N:$N,Data!$U:$U,$R112,Data!$T:$T,12))</f>
        <v/>
      </c>
      <c r="AF112" t="str">
        <f>IF(COUNTIFS(Data!$U:$U,$R112,Data!$T:$T,13,Data!$N:$N,"&lt;&gt;")=0,"",SUMIFS(Data!$N:$N,Data!$U:$U,$R112,Data!$T:$T,13))</f>
        <v/>
      </c>
      <c r="AG112" t="str">
        <f>IF(COUNTIFS(Data!$U:$U,$R112,Data!$T:$T,14,Data!$N:$N,"&lt;&gt;")=0,"",SUMIFS(Data!$N:$N,Data!$U:$U,$R112,Data!$T:$T,14))</f>
        <v/>
      </c>
      <c r="AH112">
        <f>COUNTIFS(Data!$U:$U,$R112,Data!$T:$T,"&lt;="&amp;14,Data!$N:$N,"&lt;&gt;")</f>
        <v>0</v>
      </c>
      <c r="AI112">
        <f>COUNTIFS(Data!$U:$U,$R112,Data!$T:$T,"&lt;="&amp;14,Data!$N:$N,0)</f>
        <v>0</v>
      </c>
      <c r="AJ112" t="str">
        <f t="shared" si="18"/>
        <v/>
      </c>
      <c r="AK112" t="str">
        <f>IF(AH112=0,"",SUMIFS(Data!$N:$N,Data!$U:$U,$R112,Data!$T:$T,"&lt;="&amp;14))</f>
        <v/>
      </c>
      <c r="AL112" t="str">
        <f t="shared" si="19"/>
        <v/>
      </c>
      <c r="AM112">
        <f t="shared" si="20"/>
        <v>-1</v>
      </c>
      <c r="AN112" t="str">
        <f t="shared" si="21"/>
        <v/>
      </c>
    </row>
    <row r="113" spans="18:40" x14ac:dyDescent="0.2">
      <c r="R113">
        <v>111</v>
      </c>
      <c r="S113" t="str">
        <f>IFERROR(INDEX(Data!$G:$G,MATCH($R113,Data!$U:$U,0)),"")</f>
        <v/>
      </c>
      <c r="T113" t="str">
        <f>IF(COUNTIFS(Data!$U:$U,$R113,Data!$T:$T,1,Data!$N:$N,"&lt;&gt;")=0,"",SUMIFS(Data!$N:$N,Data!$U:$U,$R113,Data!$T:$T,1))</f>
        <v/>
      </c>
      <c r="U113" t="str">
        <f>IF(COUNTIFS(Data!$U:$U,$R113,Data!$T:$T,2,Data!$N:$N,"&lt;&gt;")=0,"",SUMIFS(Data!$N:$N,Data!$U:$U,$R113,Data!$T:$T,2))</f>
        <v/>
      </c>
      <c r="V113" t="str">
        <f>IF(COUNTIFS(Data!$U:$U,$R113,Data!$T:$T,3,Data!$N:$N,"&lt;&gt;")=0,"",SUMIFS(Data!$N:$N,Data!$U:$U,$R113,Data!$T:$T,3))</f>
        <v/>
      </c>
      <c r="W113" t="str">
        <f>IF(COUNTIFS(Data!$U:$U,$R113,Data!$T:$T,4,Data!$N:$N,"&lt;&gt;")=0,"",SUMIFS(Data!$N:$N,Data!$U:$U,$R113,Data!$T:$T,4))</f>
        <v/>
      </c>
      <c r="X113" t="str">
        <f>IF(COUNTIFS(Data!$U:$U,$R113,Data!$T:$T,5,Data!$N:$N,"&lt;&gt;")=0,"",SUMIFS(Data!$N:$N,Data!$U:$U,$R113,Data!$T:$T,5))</f>
        <v/>
      </c>
      <c r="Y113" t="str">
        <f>IF(COUNTIFS(Data!$U:$U,$R113,Data!$T:$T,6,Data!$N:$N,"&lt;&gt;")=0,"",SUMIFS(Data!$N:$N,Data!$U:$U,$R113,Data!$T:$T,6))</f>
        <v/>
      </c>
      <c r="Z113" t="str">
        <f>IF(COUNTIFS(Data!$U:$U,$R113,Data!$T:$T,7,Data!$N:$N,"&lt;&gt;")=0,"",SUMIFS(Data!$N:$N,Data!$U:$U,$R113,Data!$T:$T,7))</f>
        <v/>
      </c>
      <c r="AA113" t="str">
        <f>IF(COUNTIFS(Data!$U:$U,$R113,Data!$T:$T,8,Data!$N:$N,"&lt;&gt;")=0,"",SUMIFS(Data!$N:$N,Data!$U:$U,$R113,Data!$T:$T,8))</f>
        <v/>
      </c>
      <c r="AB113" t="str">
        <f>IF(COUNTIFS(Data!$U:$U,$R113,Data!$T:$T,9,Data!$N:$N,"&lt;&gt;")=0,"",SUMIFS(Data!$N:$N,Data!$U:$U,$R113,Data!$T:$T,9))</f>
        <v/>
      </c>
      <c r="AC113" t="str">
        <f>IF(COUNTIFS(Data!$U:$U,$R113,Data!$T:$T,10,Data!$N:$N,"&lt;&gt;")=0,"",SUMIFS(Data!$N:$N,Data!$U:$U,$R113,Data!$T:$T,10))</f>
        <v/>
      </c>
      <c r="AD113" t="str">
        <f>IF(COUNTIFS(Data!$U:$U,$R113,Data!$T:$T,11,Data!$N:$N,"&lt;&gt;")=0,"",SUMIFS(Data!$N:$N,Data!$U:$U,$R113,Data!$T:$T,11))</f>
        <v/>
      </c>
      <c r="AE113" t="str">
        <f>IF(COUNTIFS(Data!$U:$U,$R113,Data!$T:$T,12,Data!$N:$N,"&lt;&gt;")=0,"",SUMIFS(Data!$N:$N,Data!$U:$U,$R113,Data!$T:$T,12))</f>
        <v/>
      </c>
      <c r="AF113" t="str">
        <f>IF(COUNTIFS(Data!$U:$U,$R113,Data!$T:$T,13,Data!$N:$N,"&lt;&gt;")=0,"",SUMIFS(Data!$N:$N,Data!$U:$U,$R113,Data!$T:$T,13))</f>
        <v/>
      </c>
      <c r="AG113" t="str">
        <f>IF(COUNTIFS(Data!$U:$U,$R113,Data!$T:$T,14,Data!$N:$N,"&lt;&gt;")=0,"",SUMIFS(Data!$N:$N,Data!$U:$U,$R113,Data!$T:$T,14))</f>
        <v/>
      </c>
      <c r="AH113">
        <f>COUNTIFS(Data!$U:$U,$R113,Data!$T:$T,"&lt;="&amp;14,Data!$N:$N,"&lt;&gt;")</f>
        <v>0</v>
      </c>
      <c r="AI113">
        <f>COUNTIFS(Data!$U:$U,$R113,Data!$T:$T,"&lt;="&amp;14,Data!$N:$N,0)</f>
        <v>0</v>
      </c>
      <c r="AJ113" t="str">
        <f t="shared" si="18"/>
        <v/>
      </c>
      <c r="AK113" t="str">
        <f>IF(AH113=0,"",SUMIFS(Data!$N:$N,Data!$U:$U,$R113,Data!$T:$T,"&lt;="&amp;14))</f>
        <v/>
      </c>
      <c r="AL113" t="str">
        <f t="shared" si="19"/>
        <v/>
      </c>
      <c r="AM113">
        <f t="shared" si="20"/>
        <v>-1</v>
      </c>
      <c r="AN113" t="str">
        <f t="shared" si="21"/>
        <v/>
      </c>
    </row>
    <row r="114" spans="18:40" x14ac:dyDescent="0.2">
      <c r="R114">
        <v>112</v>
      </c>
      <c r="S114" t="str">
        <f>IFERROR(INDEX(Data!$G:$G,MATCH($R114,Data!$U:$U,0)),"")</f>
        <v/>
      </c>
      <c r="T114" t="str">
        <f>IF(COUNTIFS(Data!$U:$U,$R114,Data!$T:$T,1,Data!$N:$N,"&lt;&gt;")=0,"",SUMIFS(Data!$N:$N,Data!$U:$U,$R114,Data!$T:$T,1))</f>
        <v/>
      </c>
      <c r="U114" t="str">
        <f>IF(COUNTIFS(Data!$U:$U,$R114,Data!$T:$T,2,Data!$N:$N,"&lt;&gt;")=0,"",SUMIFS(Data!$N:$N,Data!$U:$U,$R114,Data!$T:$T,2))</f>
        <v/>
      </c>
      <c r="V114" t="str">
        <f>IF(COUNTIFS(Data!$U:$U,$R114,Data!$T:$T,3,Data!$N:$N,"&lt;&gt;")=0,"",SUMIFS(Data!$N:$N,Data!$U:$U,$R114,Data!$T:$T,3))</f>
        <v/>
      </c>
      <c r="W114" t="str">
        <f>IF(COUNTIFS(Data!$U:$U,$R114,Data!$T:$T,4,Data!$N:$N,"&lt;&gt;")=0,"",SUMIFS(Data!$N:$N,Data!$U:$U,$R114,Data!$T:$T,4))</f>
        <v/>
      </c>
      <c r="X114" t="str">
        <f>IF(COUNTIFS(Data!$U:$U,$R114,Data!$T:$T,5,Data!$N:$N,"&lt;&gt;")=0,"",SUMIFS(Data!$N:$N,Data!$U:$U,$R114,Data!$T:$T,5))</f>
        <v/>
      </c>
      <c r="Y114" t="str">
        <f>IF(COUNTIFS(Data!$U:$U,$R114,Data!$T:$T,6,Data!$N:$N,"&lt;&gt;")=0,"",SUMIFS(Data!$N:$N,Data!$U:$U,$R114,Data!$T:$T,6))</f>
        <v/>
      </c>
      <c r="Z114" t="str">
        <f>IF(COUNTIFS(Data!$U:$U,$R114,Data!$T:$T,7,Data!$N:$N,"&lt;&gt;")=0,"",SUMIFS(Data!$N:$N,Data!$U:$U,$R114,Data!$T:$T,7))</f>
        <v/>
      </c>
      <c r="AA114" t="str">
        <f>IF(COUNTIFS(Data!$U:$U,$R114,Data!$T:$T,8,Data!$N:$N,"&lt;&gt;")=0,"",SUMIFS(Data!$N:$N,Data!$U:$U,$R114,Data!$T:$T,8))</f>
        <v/>
      </c>
      <c r="AB114" t="str">
        <f>IF(COUNTIFS(Data!$U:$U,$R114,Data!$T:$T,9,Data!$N:$N,"&lt;&gt;")=0,"",SUMIFS(Data!$N:$N,Data!$U:$U,$R114,Data!$T:$T,9))</f>
        <v/>
      </c>
      <c r="AC114" t="str">
        <f>IF(COUNTIFS(Data!$U:$U,$R114,Data!$T:$T,10,Data!$N:$N,"&lt;&gt;")=0,"",SUMIFS(Data!$N:$N,Data!$U:$U,$R114,Data!$T:$T,10))</f>
        <v/>
      </c>
      <c r="AD114" t="str">
        <f>IF(COUNTIFS(Data!$U:$U,$R114,Data!$T:$T,11,Data!$N:$N,"&lt;&gt;")=0,"",SUMIFS(Data!$N:$N,Data!$U:$U,$R114,Data!$T:$T,11))</f>
        <v/>
      </c>
      <c r="AE114" t="str">
        <f>IF(COUNTIFS(Data!$U:$U,$R114,Data!$T:$T,12,Data!$N:$N,"&lt;&gt;")=0,"",SUMIFS(Data!$N:$N,Data!$U:$U,$R114,Data!$T:$T,12))</f>
        <v/>
      </c>
      <c r="AF114" t="str">
        <f>IF(COUNTIFS(Data!$U:$U,$R114,Data!$T:$T,13,Data!$N:$N,"&lt;&gt;")=0,"",SUMIFS(Data!$N:$N,Data!$U:$U,$R114,Data!$T:$T,13))</f>
        <v/>
      </c>
      <c r="AG114" t="str">
        <f>IF(COUNTIFS(Data!$U:$U,$R114,Data!$T:$T,14,Data!$N:$N,"&lt;&gt;")=0,"",SUMIFS(Data!$N:$N,Data!$U:$U,$R114,Data!$T:$T,14))</f>
        <v/>
      </c>
      <c r="AH114">
        <f>COUNTIFS(Data!$U:$U,$R114,Data!$T:$T,"&lt;="&amp;14,Data!$N:$N,"&lt;&gt;")</f>
        <v>0</v>
      </c>
      <c r="AI114">
        <f>COUNTIFS(Data!$U:$U,$R114,Data!$T:$T,"&lt;="&amp;14,Data!$N:$N,0)</f>
        <v>0</v>
      </c>
      <c r="AJ114" t="str">
        <f t="shared" si="18"/>
        <v/>
      </c>
      <c r="AK114" t="str">
        <f>IF(AH114=0,"",SUMIFS(Data!$N:$N,Data!$U:$U,$R114,Data!$T:$T,"&lt;="&amp;14))</f>
        <v/>
      </c>
      <c r="AL114" t="str">
        <f t="shared" si="19"/>
        <v/>
      </c>
      <c r="AM114">
        <f t="shared" si="20"/>
        <v>-1</v>
      </c>
      <c r="AN114" t="str">
        <f t="shared" si="21"/>
        <v/>
      </c>
    </row>
    <row r="115" spans="18:40" x14ac:dyDescent="0.2">
      <c r="R115">
        <v>113</v>
      </c>
      <c r="S115" t="str">
        <f>IFERROR(INDEX(Data!$G:$G,MATCH($R115,Data!$U:$U,0)),"")</f>
        <v/>
      </c>
      <c r="T115" t="str">
        <f>IF(COUNTIFS(Data!$U:$U,$R115,Data!$T:$T,1,Data!$N:$N,"&lt;&gt;")=0,"",SUMIFS(Data!$N:$N,Data!$U:$U,$R115,Data!$T:$T,1))</f>
        <v/>
      </c>
      <c r="U115" t="str">
        <f>IF(COUNTIFS(Data!$U:$U,$R115,Data!$T:$T,2,Data!$N:$N,"&lt;&gt;")=0,"",SUMIFS(Data!$N:$N,Data!$U:$U,$R115,Data!$T:$T,2))</f>
        <v/>
      </c>
      <c r="V115" t="str">
        <f>IF(COUNTIFS(Data!$U:$U,$R115,Data!$T:$T,3,Data!$N:$N,"&lt;&gt;")=0,"",SUMIFS(Data!$N:$N,Data!$U:$U,$R115,Data!$T:$T,3))</f>
        <v/>
      </c>
      <c r="W115" t="str">
        <f>IF(COUNTIFS(Data!$U:$U,$R115,Data!$T:$T,4,Data!$N:$N,"&lt;&gt;")=0,"",SUMIFS(Data!$N:$N,Data!$U:$U,$R115,Data!$T:$T,4))</f>
        <v/>
      </c>
      <c r="X115" t="str">
        <f>IF(COUNTIFS(Data!$U:$U,$R115,Data!$T:$T,5,Data!$N:$N,"&lt;&gt;")=0,"",SUMIFS(Data!$N:$N,Data!$U:$U,$R115,Data!$T:$T,5))</f>
        <v/>
      </c>
      <c r="Y115" t="str">
        <f>IF(COUNTIFS(Data!$U:$U,$R115,Data!$T:$T,6,Data!$N:$N,"&lt;&gt;")=0,"",SUMIFS(Data!$N:$N,Data!$U:$U,$R115,Data!$T:$T,6))</f>
        <v/>
      </c>
      <c r="Z115" t="str">
        <f>IF(COUNTIFS(Data!$U:$U,$R115,Data!$T:$T,7,Data!$N:$N,"&lt;&gt;")=0,"",SUMIFS(Data!$N:$N,Data!$U:$U,$R115,Data!$T:$T,7))</f>
        <v/>
      </c>
      <c r="AA115" t="str">
        <f>IF(COUNTIFS(Data!$U:$U,$R115,Data!$T:$T,8,Data!$N:$N,"&lt;&gt;")=0,"",SUMIFS(Data!$N:$N,Data!$U:$U,$R115,Data!$T:$T,8))</f>
        <v/>
      </c>
      <c r="AB115" t="str">
        <f>IF(COUNTIFS(Data!$U:$U,$R115,Data!$T:$T,9,Data!$N:$N,"&lt;&gt;")=0,"",SUMIFS(Data!$N:$N,Data!$U:$U,$R115,Data!$T:$T,9))</f>
        <v/>
      </c>
      <c r="AC115" t="str">
        <f>IF(COUNTIFS(Data!$U:$U,$R115,Data!$T:$T,10,Data!$N:$N,"&lt;&gt;")=0,"",SUMIFS(Data!$N:$N,Data!$U:$U,$R115,Data!$T:$T,10))</f>
        <v/>
      </c>
      <c r="AD115" t="str">
        <f>IF(COUNTIFS(Data!$U:$U,$R115,Data!$T:$T,11,Data!$N:$N,"&lt;&gt;")=0,"",SUMIFS(Data!$N:$N,Data!$U:$U,$R115,Data!$T:$T,11))</f>
        <v/>
      </c>
      <c r="AE115" t="str">
        <f>IF(COUNTIFS(Data!$U:$U,$R115,Data!$T:$T,12,Data!$N:$N,"&lt;&gt;")=0,"",SUMIFS(Data!$N:$N,Data!$U:$U,$R115,Data!$T:$T,12))</f>
        <v/>
      </c>
      <c r="AF115" t="str">
        <f>IF(COUNTIFS(Data!$U:$U,$R115,Data!$T:$T,13,Data!$N:$N,"&lt;&gt;")=0,"",SUMIFS(Data!$N:$N,Data!$U:$U,$R115,Data!$T:$T,13))</f>
        <v/>
      </c>
      <c r="AG115" t="str">
        <f>IF(COUNTIFS(Data!$U:$U,$R115,Data!$T:$T,14,Data!$N:$N,"&lt;&gt;")=0,"",SUMIFS(Data!$N:$N,Data!$U:$U,$R115,Data!$T:$T,14))</f>
        <v/>
      </c>
      <c r="AH115">
        <f>COUNTIFS(Data!$U:$U,$R115,Data!$T:$T,"&lt;="&amp;14,Data!$N:$N,"&lt;&gt;")</f>
        <v>0</v>
      </c>
      <c r="AI115">
        <f>COUNTIFS(Data!$U:$U,$R115,Data!$T:$T,"&lt;="&amp;14,Data!$N:$N,0)</f>
        <v>0</v>
      </c>
      <c r="AJ115" t="str">
        <f t="shared" si="18"/>
        <v/>
      </c>
      <c r="AK115" t="str">
        <f>IF(AH115=0,"",SUMIFS(Data!$N:$N,Data!$U:$U,$R115,Data!$T:$T,"&lt;="&amp;14))</f>
        <v/>
      </c>
      <c r="AL115" t="str">
        <f t="shared" si="19"/>
        <v/>
      </c>
      <c r="AM115">
        <f t="shared" si="20"/>
        <v>-1</v>
      </c>
      <c r="AN115" t="str">
        <f t="shared" si="21"/>
        <v/>
      </c>
    </row>
    <row r="116" spans="18:40" x14ac:dyDescent="0.2">
      <c r="R116">
        <v>114</v>
      </c>
      <c r="S116" t="str">
        <f>IFERROR(INDEX(Data!$G:$G,MATCH($R116,Data!$U:$U,0)),"")</f>
        <v/>
      </c>
      <c r="T116" t="str">
        <f>IF(COUNTIFS(Data!$U:$U,$R116,Data!$T:$T,1,Data!$N:$N,"&lt;&gt;")=0,"",SUMIFS(Data!$N:$N,Data!$U:$U,$R116,Data!$T:$T,1))</f>
        <v/>
      </c>
      <c r="U116" t="str">
        <f>IF(COUNTIFS(Data!$U:$U,$R116,Data!$T:$T,2,Data!$N:$N,"&lt;&gt;")=0,"",SUMIFS(Data!$N:$N,Data!$U:$U,$R116,Data!$T:$T,2))</f>
        <v/>
      </c>
      <c r="V116" t="str">
        <f>IF(COUNTIFS(Data!$U:$U,$R116,Data!$T:$T,3,Data!$N:$N,"&lt;&gt;")=0,"",SUMIFS(Data!$N:$N,Data!$U:$U,$R116,Data!$T:$T,3))</f>
        <v/>
      </c>
      <c r="W116" t="str">
        <f>IF(COUNTIFS(Data!$U:$U,$R116,Data!$T:$T,4,Data!$N:$N,"&lt;&gt;")=0,"",SUMIFS(Data!$N:$N,Data!$U:$U,$R116,Data!$T:$T,4))</f>
        <v/>
      </c>
      <c r="X116" t="str">
        <f>IF(COUNTIFS(Data!$U:$U,$R116,Data!$T:$T,5,Data!$N:$N,"&lt;&gt;")=0,"",SUMIFS(Data!$N:$N,Data!$U:$U,$R116,Data!$T:$T,5))</f>
        <v/>
      </c>
      <c r="Y116" t="str">
        <f>IF(COUNTIFS(Data!$U:$U,$R116,Data!$T:$T,6,Data!$N:$N,"&lt;&gt;")=0,"",SUMIFS(Data!$N:$N,Data!$U:$U,$R116,Data!$T:$T,6))</f>
        <v/>
      </c>
      <c r="Z116" t="str">
        <f>IF(COUNTIFS(Data!$U:$U,$R116,Data!$T:$T,7,Data!$N:$N,"&lt;&gt;")=0,"",SUMIFS(Data!$N:$N,Data!$U:$U,$R116,Data!$T:$T,7))</f>
        <v/>
      </c>
      <c r="AA116" t="str">
        <f>IF(COUNTIFS(Data!$U:$U,$R116,Data!$T:$T,8,Data!$N:$N,"&lt;&gt;")=0,"",SUMIFS(Data!$N:$N,Data!$U:$U,$R116,Data!$T:$T,8))</f>
        <v/>
      </c>
      <c r="AB116" t="str">
        <f>IF(COUNTIFS(Data!$U:$U,$R116,Data!$T:$T,9,Data!$N:$N,"&lt;&gt;")=0,"",SUMIFS(Data!$N:$N,Data!$U:$U,$R116,Data!$T:$T,9))</f>
        <v/>
      </c>
      <c r="AC116" t="str">
        <f>IF(COUNTIFS(Data!$U:$U,$R116,Data!$T:$T,10,Data!$N:$N,"&lt;&gt;")=0,"",SUMIFS(Data!$N:$N,Data!$U:$U,$R116,Data!$T:$T,10))</f>
        <v/>
      </c>
      <c r="AD116" t="str">
        <f>IF(COUNTIFS(Data!$U:$U,$R116,Data!$T:$T,11,Data!$N:$N,"&lt;&gt;")=0,"",SUMIFS(Data!$N:$N,Data!$U:$U,$R116,Data!$T:$T,11))</f>
        <v/>
      </c>
      <c r="AE116" t="str">
        <f>IF(COUNTIFS(Data!$U:$U,$R116,Data!$T:$T,12,Data!$N:$N,"&lt;&gt;")=0,"",SUMIFS(Data!$N:$N,Data!$U:$U,$R116,Data!$T:$T,12))</f>
        <v/>
      </c>
      <c r="AF116" t="str">
        <f>IF(COUNTIFS(Data!$U:$U,$R116,Data!$T:$T,13,Data!$N:$N,"&lt;&gt;")=0,"",SUMIFS(Data!$N:$N,Data!$U:$U,$R116,Data!$T:$T,13))</f>
        <v/>
      </c>
      <c r="AG116" t="str">
        <f>IF(COUNTIFS(Data!$U:$U,$R116,Data!$T:$T,14,Data!$N:$N,"&lt;&gt;")=0,"",SUMIFS(Data!$N:$N,Data!$U:$U,$R116,Data!$T:$T,14))</f>
        <v/>
      </c>
      <c r="AH116">
        <f>COUNTIFS(Data!$U:$U,$R116,Data!$T:$T,"&lt;="&amp;14,Data!$N:$N,"&lt;&gt;")</f>
        <v>0</v>
      </c>
      <c r="AI116">
        <f>COUNTIFS(Data!$U:$U,$R116,Data!$T:$T,"&lt;="&amp;14,Data!$N:$N,0)</f>
        <v>0</v>
      </c>
      <c r="AJ116" t="str">
        <f t="shared" si="18"/>
        <v/>
      </c>
      <c r="AK116" t="str">
        <f>IF(AH116=0,"",SUMIFS(Data!$N:$N,Data!$U:$U,$R116,Data!$T:$T,"&lt;="&amp;14))</f>
        <v/>
      </c>
      <c r="AL116" t="str">
        <f t="shared" si="19"/>
        <v/>
      </c>
      <c r="AM116">
        <f t="shared" si="20"/>
        <v>-1</v>
      </c>
      <c r="AN116" t="str">
        <f t="shared" si="21"/>
        <v/>
      </c>
    </row>
    <row r="117" spans="18:40" x14ac:dyDescent="0.2">
      <c r="R117">
        <v>115</v>
      </c>
      <c r="S117" t="str">
        <f>IFERROR(INDEX(Data!$G:$G,MATCH($R117,Data!$U:$U,0)),"")</f>
        <v/>
      </c>
      <c r="T117" t="str">
        <f>IF(COUNTIFS(Data!$U:$U,$R117,Data!$T:$T,1,Data!$N:$N,"&lt;&gt;")=0,"",SUMIFS(Data!$N:$N,Data!$U:$U,$R117,Data!$T:$T,1))</f>
        <v/>
      </c>
      <c r="U117" t="str">
        <f>IF(COUNTIFS(Data!$U:$U,$R117,Data!$T:$T,2,Data!$N:$N,"&lt;&gt;")=0,"",SUMIFS(Data!$N:$N,Data!$U:$U,$R117,Data!$T:$T,2))</f>
        <v/>
      </c>
      <c r="V117" t="str">
        <f>IF(COUNTIFS(Data!$U:$U,$R117,Data!$T:$T,3,Data!$N:$N,"&lt;&gt;")=0,"",SUMIFS(Data!$N:$N,Data!$U:$U,$R117,Data!$T:$T,3))</f>
        <v/>
      </c>
      <c r="W117" t="str">
        <f>IF(COUNTIFS(Data!$U:$U,$R117,Data!$T:$T,4,Data!$N:$N,"&lt;&gt;")=0,"",SUMIFS(Data!$N:$N,Data!$U:$U,$R117,Data!$T:$T,4))</f>
        <v/>
      </c>
      <c r="X117" t="str">
        <f>IF(COUNTIFS(Data!$U:$U,$R117,Data!$T:$T,5,Data!$N:$N,"&lt;&gt;")=0,"",SUMIFS(Data!$N:$N,Data!$U:$U,$R117,Data!$T:$T,5))</f>
        <v/>
      </c>
      <c r="Y117" t="str">
        <f>IF(COUNTIFS(Data!$U:$U,$R117,Data!$T:$T,6,Data!$N:$N,"&lt;&gt;")=0,"",SUMIFS(Data!$N:$N,Data!$U:$U,$R117,Data!$T:$T,6))</f>
        <v/>
      </c>
      <c r="Z117" t="str">
        <f>IF(COUNTIFS(Data!$U:$U,$R117,Data!$T:$T,7,Data!$N:$N,"&lt;&gt;")=0,"",SUMIFS(Data!$N:$N,Data!$U:$U,$R117,Data!$T:$T,7))</f>
        <v/>
      </c>
      <c r="AA117" t="str">
        <f>IF(COUNTIFS(Data!$U:$U,$R117,Data!$T:$T,8,Data!$N:$N,"&lt;&gt;")=0,"",SUMIFS(Data!$N:$N,Data!$U:$U,$R117,Data!$T:$T,8))</f>
        <v/>
      </c>
      <c r="AB117" t="str">
        <f>IF(COUNTIFS(Data!$U:$U,$R117,Data!$T:$T,9,Data!$N:$N,"&lt;&gt;")=0,"",SUMIFS(Data!$N:$N,Data!$U:$U,$R117,Data!$T:$T,9))</f>
        <v/>
      </c>
      <c r="AC117" t="str">
        <f>IF(COUNTIFS(Data!$U:$U,$R117,Data!$T:$T,10,Data!$N:$N,"&lt;&gt;")=0,"",SUMIFS(Data!$N:$N,Data!$U:$U,$R117,Data!$T:$T,10))</f>
        <v/>
      </c>
      <c r="AD117" t="str">
        <f>IF(COUNTIFS(Data!$U:$U,$R117,Data!$T:$T,11,Data!$N:$N,"&lt;&gt;")=0,"",SUMIFS(Data!$N:$N,Data!$U:$U,$R117,Data!$T:$T,11))</f>
        <v/>
      </c>
      <c r="AE117" t="str">
        <f>IF(COUNTIFS(Data!$U:$U,$R117,Data!$T:$T,12,Data!$N:$N,"&lt;&gt;")=0,"",SUMIFS(Data!$N:$N,Data!$U:$U,$R117,Data!$T:$T,12))</f>
        <v/>
      </c>
      <c r="AF117" t="str">
        <f>IF(COUNTIFS(Data!$U:$U,$R117,Data!$T:$T,13,Data!$N:$N,"&lt;&gt;")=0,"",SUMIFS(Data!$N:$N,Data!$U:$U,$R117,Data!$T:$T,13))</f>
        <v/>
      </c>
      <c r="AG117" t="str">
        <f>IF(COUNTIFS(Data!$U:$U,$R117,Data!$T:$T,14,Data!$N:$N,"&lt;&gt;")=0,"",SUMIFS(Data!$N:$N,Data!$U:$U,$R117,Data!$T:$T,14))</f>
        <v/>
      </c>
      <c r="AH117">
        <f>COUNTIFS(Data!$U:$U,$R117,Data!$T:$T,"&lt;="&amp;14,Data!$N:$N,"&lt;&gt;")</f>
        <v>0</v>
      </c>
      <c r="AI117">
        <f>COUNTIFS(Data!$U:$U,$R117,Data!$T:$T,"&lt;="&amp;14,Data!$N:$N,0)</f>
        <v>0</v>
      </c>
      <c r="AJ117" t="str">
        <f t="shared" si="18"/>
        <v/>
      </c>
      <c r="AK117" t="str">
        <f>IF(AH117=0,"",SUMIFS(Data!$N:$N,Data!$U:$U,$R117,Data!$T:$T,"&lt;="&amp;14))</f>
        <v/>
      </c>
      <c r="AL117" t="str">
        <f t="shared" si="19"/>
        <v/>
      </c>
      <c r="AM117">
        <f t="shared" si="20"/>
        <v>-1</v>
      </c>
      <c r="AN117" t="str">
        <f t="shared" si="21"/>
        <v/>
      </c>
    </row>
    <row r="118" spans="18:40" x14ac:dyDescent="0.2">
      <c r="R118">
        <v>116</v>
      </c>
      <c r="S118" t="str">
        <f>IFERROR(INDEX(Data!$G:$G,MATCH($R118,Data!$U:$U,0)),"")</f>
        <v/>
      </c>
      <c r="T118" t="str">
        <f>IF(COUNTIFS(Data!$U:$U,$R118,Data!$T:$T,1,Data!$N:$N,"&lt;&gt;")=0,"",SUMIFS(Data!$N:$N,Data!$U:$U,$R118,Data!$T:$T,1))</f>
        <v/>
      </c>
      <c r="U118" t="str">
        <f>IF(COUNTIFS(Data!$U:$U,$R118,Data!$T:$T,2,Data!$N:$N,"&lt;&gt;")=0,"",SUMIFS(Data!$N:$N,Data!$U:$U,$R118,Data!$T:$T,2))</f>
        <v/>
      </c>
      <c r="V118" t="str">
        <f>IF(COUNTIFS(Data!$U:$U,$R118,Data!$T:$T,3,Data!$N:$N,"&lt;&gt;")=0,"",SUMIFS(Data!$N:$N,Data!$U:$U,$R118,Data!$T:$T,3))</f>
        <v/>
      </c>
      <c r="W118" t="str">
        <f>IF(COUNTIFS(Data!$U:$U,$R118,Data!$T:$T,4,Data!$N:$N,"&lt;&gt;")=0,"",SUMIFS(Data!$N:$N,Data!$U:$U,$R118,Data!$T:$T,4))</f>
        <v/>
      </c>
      <c r="X118" t="str">
        <f>IF(COUNTIFS(Data!$U:$U,$R118,Data!$T:$T,5,Data!$N:$N,"&lt;&gt;")=0,"",SUMIFS(Data!$N:$N,Data!$U:$U,$R118,Data!$T:$T,5))</f>
        <v/>
      </c>
      <c r="Y118" t="str">
        <f>IF(COUNTIFS(Data!$U:$U,$R118,Data!$T:$T,6,Data!$N:$N,"&lt;&gt;")=0,"",SUMIFS(Data!$N:$N,Data!$U:$U,$R118,Data!$T:$T,6))</f>
        <v/>
      </c>
      <c r="Z118" t="str">
        <f>IF(COUNTIFS(Data!$U:$U,$R118,Data!$T:$T,7,Data!$N:$N,"&lt;&gt;")=0,"",SUMIFS(Data!$N:$N,Data!$U:$U,$R118,Data!$T:$T,7))</f>
        <v/>
      </c>
      <c r="AA118" t="str">
        <f>IF(COUNTIFS(Data!$U:$U,$R118,Data!$T:$T,8,Data!$N:$N,"&lt;&gt;")=0,"",SUMIFS(Data!$N:$N,Data!$U:$U,$R118,Data!$T:$T,8))</f>
        <v/>
      </c>
      <c r="AB118" t="str">
        <f>IF(COUNTIFS(Data!$U:$U,$R118,Data!$T:$T,9,Data!$N:$N,"&lt;&gt;")=0,"",SUMIFS(Data!$N:$N,Data!$U:$U,$R118,Data!$T:$T,9))</f>
        <v/>
      </c>
      <c r="AC118" t="str">
        <f>IF(COUNTIFS(Data!$U:$U,$R118,Data!$T:$T,10,Data!$N:$N,"&lt;&gt;")=0,"",SUMIFS(Data!$N:$N,Data!$U:$U,$R118,Data!$T:$T,10))</f>
        <v/>
      </c>
      <c r="AD118" t="str">
        <f>IF(COUNTIFS(Data!$U:$U,$R118,Data!$T:$T,11,Data!$N:$N,"&lt;&gt;")=0,"",SUMIFS(Data!$N:$N,Data!$U:$U,$R118,Data!$T:$T,11))</f>
        <v/>
      </c>
      <c r="AE118" t="str">
        <f>IF(COUNTIFS(Data!$U:$U,$R118,Data!$T:$T,12,Data!$N:$N,"&lt;&gt;")=0,"",SUMIFS(Data!$N:$N,Data!$U:$U,$R118,Data!$T:$T,12))</f>
        <v/>
      </c>
      <c r="AF118" t="str">
        <f>IF(COUNTIFS(Data!$U:$U,$R118,Data!$T:$T,13,Data!$N:$N,"&lt;&gt;")=0,"",SUMIFS(Data!$N:$N,Data!$U:$U,$R118,Data!$T:$T,13))</f>
        <v/>
      </c>
      <c r="AG118" t="str">
        <f>IF(COUNTIFS(Data!$U:$U,$R118,Data!$T:$T,14,Data!$N:$N,"&lt;&gt;")=0,"",SUMIFS(Data!$N:$N,Data!$U:$U,$R118,Data!$T:$T,14))</f>
        <v/>
      </c>
      <c r="AH118">
        <f>COUNTIFS(Data!$U:$U,$R118,Data!$T:$T,"&lt;="&amp;14,Data!$N:$N,"&lt;&gt;")</f>
        <v>0</v>
      </c>
      <c r="AI118">
        <f>COUNTIFS(Data!$U:$U,$R118,Data!$T:$T,"&lt;="&amp;14,Data!$N:$N,0)</f>
        <v>0</v>
      </c>
      <c r="AJ118" t="str">
        <f t="shared" si="18"/>
        <v/>
      </c>
      <c r="AK118" t="str">
        <f>IF(AH118=0,"",SUMIFS(Data!$N:$N,Data!$U:$U,$R118,Data!$T:$T,"&lt;="&amp;14))</f>
        <v/>
      </c>
      <c r="AL118" t="str">
        <f t="shared" si="19"/>
        <v/>
      </c>
      <c r="AM118">
        <f t="shared" si="20"/>
        <v>-1</v>
      </c>
      <c r="AN118" t="str">
        <f t="shared" si="21"/>
        <v/>
      </c>
    </row>
    <row r="119" spans="18:40" x14ac:dyDescent="0.2">
      <c r="R119">
        <v>117</v>
      </c>
      <c r="S119" t="str">
        <f>IFERROR(INDEX(Data!$G:$G,MATCH($R119,Data!$U:$U,0)),"")</f>
        <v/>
      </c>
      <c r="T119" t="str">
        <f>IF(COUNTIFS(Data!$U:$U,$R119,Data!$T:$T,1,Data!$N:$N,"&lt;&gt;")=0,"",SUMIFS(Data!$N:$N,Data!$U:$U,$R119,Data!$T:$T,1))</f>
        <v/>
      </c>
      <c r="U119" t="str">
        <f>IF(COUNTIFS(Data!$U:$U,$R119,Data!$T:$T,2,Data!$N:$N,"&lt;&gt;")=0,"",SUMIFS(Data!$N:$N,Data!$U:$U,$R119,Data!$T:$T,2))</f>
        <v/>
      </c>
      <c r="V119" t="str">
        <f>IF(COUNTIFS(Data!$U:$U,$R119,Data!$T:$T,3,Data!$N:$N,"&lt;&gt;")=0,"",SUMIFS(Data!$N:$N,Data!$U:$U,$R119,Data!$T:$T,3))</f>
        <v/>
      </c>
      <c r="W119" t="str">
        <f>IF(COUNTIFS(Data!$U:$U,$R119,Data!$T:$T,4,Data!$N:$N,"&lt;&gt;")=0,"",SUMIFS(Data!$N:$N,Data!$U:$U,$R119,Data!$T:$T,4))</f>
        <v/>
      </c>
      <c r="X119" t="str">
        <f>IF(COUNTIFS(Data!$U:$U,$R119,Data!$T:$T,5,Data!$N:$N,"&lt;&gt;")=0,"",SUMIFS(Data!$N:$N,Data!$U:$U,$R119,Data!$T:$T,5))</f>
        <v/>
      </c>
      <c r="Y119" t="str">
        <f>IF(COUNTIFS(Data!$U:$U,$R119,Data!$T:$T,6,Data!$N:$N,"&lt;&gt;")=0,"",SUMIFS(Data!$N:$N,Data!$U:$U,$R119,Data!$T:$T,6))</f>
        <v/>
      </c>
      <c r="Z119" t="str">
        <f>IF(COUNTIFS(Data!$U:$U,$R119,Data!$T:$T,7,Data!$N:$N,"&lt;&gt;")=0,"",SUMIFS(Data!$N:$N,Data!$U:$U,$R119,Data!$T:$T,7))</f>
        <v/>
      </c>
      <c r="AA119" t="str">
        <f>IF(COUNTIFS(Data!$U:$U,$R119,Data!$T:$T,8,Data!$N:$N,"&lt;&gt;")=0,"",SUMIFS(Data!$N:$N,Data!$U:$U,$R119,Data!$T:$T,8))</f>
        <v/>
      </c>
      <c r="AB119" t="str">
        <f>IF(COUNTIFS(Data!$U:$U,$R119,Data!$T:$T,9,Data!$N:$N,"&lt;&gt;")=0,"",SUMIFS(Data!$N:$N,Data!$U:$U,$R119,Data!$T:$T,9))</f>
        <v/>
      </c>
      <c r="AC119" t="str">
        <f>IF(COUNTIFS(Data!$U:$U,$R119,Data!$T:$T,10,Data!$N:$N,"&lt;&gt;")=0,"",SUMIFS(Data!$N:$N,Data!$U:$U,$R119,Data!$T:$T,10))</f>
        <v/>
      </c>
      <c r="AD119" t="str">
        <f>IF(COUNTIFS(Data!$U:$U,$R119,Data!$T:$T,11,Data!$N:$N,"&lt;&gt;")=0,"",SUMIFS(Data!$N:$N,Data!$U:$U,$R119,Data!$T:$T,11))</f>
        <v/>
      </c>
      <c r="AE119" t="str">
        <f>IF(COUNTIFS(Data!$U:$U,$R119,Data!$T:$T,12,Data!$N:$N,"&lt;&gt;")=0,"",SUMIFS(Data!$N:$N,Data!$U:$U,$R119,Data!$T:$T,12))</f>
        <v/>
      </c>
      <c r="AF119" t="str">
        <f>IF(COUNTIFS(Data!$U:$U,$R119,Data!$T:$T,13,Data!$N:$N,"&lt;&gt;")=0,"",SUMIFS(Data!$N:$N,Data!$U:$U,$R119,Data!$T:$T,13))</f>
        <v/>
      </c>
      <c r="AG119" t="str">
        <f>IF(COUNTIFS(Data!$U:$U,$R119,Data!$T:$T,14,Data!$N:$N,"&lt;&gt;")=0,"",SUMIFS(Data!$N:$N,Data!$U:$U,$R119,Data!$T:$T,14))</f>
        <v/>
      </c>
      <c r="AH119">
        <f>COUNTIFS(Data!$U:$U,$R119,Data!$T:$T,"&lt;="&amp;14,Data!$N:$N,"&lt;&gt;")</f>
        <v>0</v>
      </c>
      <c r="AI119">
        <f>COUNTIFS(Data!$U:$U,$R119,Data!$T:$T,"&lt;="&amp;14,Data!$N:$N,0)</f>
        <v>0</v>
      </c>
      <c r="AJ119" t="str">
        <f t="shared" si="18"/>
        <v/>
      </c>
      <c r="AK119" t="str">
        <f>IF(AH119=0,"",SUMIFS(Data!$N:$N,Data!$U:$U,$R119,Data!$T:$T,"&lt;="&amp;14))</f>
        <v/>
      </c>
      <c r="AL119" t="str">
        <f t="shared" si="19"/>
        <v/>
      </c>
      <c r="AM119">
        <f t="shared" si="20"/>
        <v>-1</v>
      </c>
      <c r="AN119" t="str">
        <f t="shared" si="21"/>
        <v/>
      </c>
    </row>
    <row r="120" spans="18:40" x14ac:dyDescent="0.2">
      <c r="R120">
        <v>118</v>
      </c>
      <c r="S120" t="str">
        <f>IFERROR(INDEX(Data!$G:$G,MATCH($R120,Data!$U:$U,0)),"")</f>
        <v/>
      </c>
      <c r="T120" t="str">
        <f>IF(COUNTIFS(Data!$U:$U,$R120,Data!$T:$T,1,Data!$N:$N,"&lt;&gt;")=0,"",SUMIFS(Data!$N:$N,Data!$U:$U,$R120,Data!$T:$T,1))</f>
        <v/>
      </c>
      <c r="U120" t="str">
        <f>IF(COUNTIFS(Data!$U:$U,$R120,Data!$T:$T,2,Data!$N:$N,"&lt;&gt;")=0,"",SUMIFS(Data!$N:$N,Data!$U:$U,$R120,Data!$T:$T,2))</f>
        <v/>
      </c>
      <c r="V120" t="str">
        <f>IF(COUNTIFS(Data!$U:$U,$R120,Data!$T:$T,3,Data!$N:$N,"&lt;&gt;")=0,"",SUMIFS(Data!$N:$N,Data!$U:$U,$R120,Data!$T:$T,3))</f>
        <v/>
      </c>
      <c r="W120" t="str">
        <f>IF(COUNTIFS(Data!$U:$U,$R120,Data!$T:$T,4,Data!$N:$N,"&lt;&gt;")=0,"",SUMIFS(Data!$N:$N,Data!$U:$U,$R120,Data!$T:$T,4))</f>
        <v/>
      </c>
      <c r="X120" t="str">
        <f>IF(COUNTIFS(Data!$U:$U,$R120,Data!$T:$T,5,Data!$N:$N,"&lt;&gt;")=0,"",SUMIFS(Data!$N:$N,Data!$U:$U,$R120,Data!$T:$T,5))</f>
        <v/>
      </c>
      <c r="Y120" t="str">
        <f>IF(COUNTIFS(Data!$U:$U,$R120,Data!$T:$T,6,Data!$N:$N,"&lt;&gt;")=0,"",SUMIFS(Data!$N:$N,Data!$U:$U,$R120,Data!$T:$T,6))</f>
        <v/>
      </c>
      <c r="Z120" t="str">
        <f>IF(COUNTIFS(Data!$U:$U,$R120,Data!$T:$T,7,Data!$N:$N,"&lt;&gt;")=0,"",SUMIFS(Data!$N:$N,Data!$U:$U,$R120,Data!$T:$T,7))</f>
        <v/>
      </c>
      <c r="AA120" t="str">
        <f>IF(COUNTIFS(Data!$U:$U,$R120,Data!$T:$T,8,Data!$N:$N,"&lt;&gt;")=0,"",SUMIFS(Data!$N:$N,Data!$U:$U,$R120,Data!$T:$T,8))</f>
        <v/>
      </c>
      <c r="AB120" t="str">
        <f>IF(COUNTIFS(Data!$U:$U,$R120,Data!$T:$T,9,Data!$N:$N,"&lt;&gt;")=0,"",SUMIFS(Data!$N:$N,Data!$U:$U,$R120,Data!$T:$T,9))</f>
        <v/>
      </c>
      <c r="AC120" t="str">
        <f>IF(COUNTIFS(Data!$U:$U,$R120,Data!$T:$T,10,Data!$N:$N,"&lt;&gt;")=0,"",SUMIFS(Data!$N:$N,Data!$U:$U,$R120,Data!$T:$T,10))</f>
        <v/>
      </c>
      <c r="AD120" t="str">
        <f>IF(COUNTIFS(Data!$U:$U,$R120,Data!$T:$T,11,Data!$N:$N,"&lt;&gt;")=0,"",SUMIFS(Data!$N:$N,Data!$U:$U,$R120,Data!$T:$T,11))</f>
        <v/>
      </c>
      <c r="AE120" t="str">
        <f>IF(COUNTIFS(Data!$U:$U,$R120,Data!$T:$T,12,Data!$N:$N,"&lt;&gt;")=0,"",SUMIFS(Data!$N:$N,Data!$U:$U,$R120,Data!$T:$T,12))</f>
        <v/>
      </c>
      <c r="AF120" t="str">
        <f>IF(COUNTIFS(Data!$U:$U,$R120,Data!$T:$T,13,Data!$N:$N,"&lt;&gt;")=0,"",SUMIFS(Data!$N:$N,Data!$U:$U,$R120,Data!$T:$T,13))</f>
        <v/>
      </c>
      <c r="AG120" t="str">
        <f>IF(COUNTIFS(Data!$U:$U,$R120,Data!$T:$T,14,Data!$N:$N,"&lt;&gt;")=0,"",SUMIFS(Data!$N:$N,Data!$U:$U,$R120,Data!$T:$T,14))</f>
        <v/>
      </c>
      <c r="AH120">
        <f>COUNTIFS(Data!$U:$U,$R120,Data!$T:$T,"&lt;="&amp;14,Data!$N:$N,"&lt;&gt;")</f>
        <v>0</v>
      </c>
      <c r="AI120">
        <f>COUNTIFS(Data!$U:$U,$R120,Data!$T:$T,"&lt;="&amp;14,Data!$N:$N,0)</f>
        <v>0</v>
      </c>
      <c r="AJ120" t="str">
        <f t="shared" si="18"/>
        <v/>
      </c>
      <c r="AK120" t="str">
        <f>IF(AH120=0,"",SUMIFS(Data!$N:$N,Data!$U:$U,$R120,Data!$T:$T,"&lt;="&amp;14))</f>
        <v/>
      </c>
      <c r="AL120" t="str">
        <f t="shared" si="19"/>
        <v/>
      </c>
      <c r="AM120">
        <f t="shared" si="20"/>
        <v>-1</v>
      </c>
      <c r="AN120" t="str">
        <f t="shared" si="21"/>
        <v/>
      </c>
    </row>
    <row r="121" spans="18:40" x14ac:dyDescent="0.2">
      <c r="R121">
        <v>119</v>
      </c>
      <c r="S121" t="str">
        <f>IFERROR(INDEX(Data!$G:$G,MATCH($R121,Data!$U:$U,0)),"")</f>
        <v/>
      </c>
      <c r="T121" t="str">
        <f>IF(COUNTIFS(Data!$U:$U,$R121,Data!$T:$T,1,Data!$N:$N,"&lt;&gt;")=0,"",SUMIFS(Data!$N:$N,Data!$U:$U,$R121,Data!$T:$T,1))</f>
        <v/>
      </c>
      <c r="U121" t="str">
        <f>IF(COUNTIFS(Data!$U:$U,$R121,Data!$T:$T,2,Data!$N:$N,"&lt;&gt;")=0,"",SUMIFS(Data!$N:$N,Data!$U:$U,$R121,Data!$T:$T,2))</f>
        <v/>
      </c>
      <c r="V121" t="str">
        <f>IF(COUNTIFS(Data!$U:$U,$R121,Data!$T:$T,3,Data!$N:$N,"&lt;&gt;")=0,"",SUMIFS(Data!$N:$N,Data!$U:$U,$R121,Data!$T:$T,3))</f>
        <v/>
      </c>
      <c r="W121" t="str">
        <f>IF(COUNTIFS(Data!$U:$U,$R121,Data!$T:$T,4,Data!$N:$N,"&lt;&gt;")=0,"",SUMIFS(Data!$N:$N,Data!$U:$U,$R121,Data!$T:$T,4))</f>
        <v/>
      </c>
      <c r="X121" t="str">
        <f>IF(COUNTIFS(Data!$U:$U,$R121,Data!$T:$T,5,Data!$N:$N,"&lt;&gt;")=0,"",SUMIFS(Data!$N:$N,Data!$U:$U,$R121,Data!$T:$T,5))</f>
        <v/>
      </c>
      <c r="Y121" t="str">
        <f>IF(COUNTIFS(Data!$U:$U,$R121,Data!$T:$T,6,Data!$N:$N,"&lt;&gt;")=0,"",SUMIFS(Data!$N:$N,Data!$U:$U,$R121,Data!$T:$T,6))</f>
        <v/>
      </c>
      <c r="Z121" t="str">
        <f>IF(COUNTIFS(Data!$U:$U,$R121,Data!$T:$T,7,Data!$N:$N,"&lt;&gt;")=0,"",SUMIFS(Data!$N:$N,Data!$U:$U,$R121,Data!$T:$T,7))</f>
        <v/>
      </c>
      <c r="AA121" t="str">
        <f>IF(COUNTIFS(Data!$U:$U,$R121,Data!$T:$T,8,Data!$N:$N,"&lt;&gt;")=0,"",SUMIFS(Data!$N:$N,Data!$U:$U,$R121,Data!$T:$T,8))</f>
        <v/>
      </c>
      <c r="AB121" t="str">
        <f>IF(COUNTIFS(Data!$U:$U,$R121,Data!$T:$T,9,Data!$N:$N,"&lt;&gt;")=0,"",SUMIFS(Data!$N:$N,Data!$U:$U,$R121,Data!$T:$T,9))</f>
        <v/>
      </c>
      <c r="AC121" t="str">
        <f>IF(COUNTIFS(Data!$U:$U,$R121,Data!$T:$T,10,Data!$N:$N,"&lt;&gt;")=0,"",SUMIFS(Data!$N:$N,Data!$U:$U,$R121,Data!$T:$T,10))</f>
        <v/>
      </c>
      <c r="AD121" t="str">
        <f>IF(COUNTIFS(Data!$U:$U,$R121,Data!$T:$T,11,Data!$N:$N,"&lt;&gt;")=0,"",SUMIFS(Data!$N:$N,Data!$U:$U,$R121,Data!$T:$T,11))</f>
        <v/>
      </c>
      <c r="AE121" t="str">
        <f>IF(COUNTIFS(Data!$U:$U,$R121,Data!$T:$T,12,Data!$N:$N,"&lt;&gt;")=0,"",SUMIFS(Data!$N:$N,Data!$U:$U,$R121,Data!$T:$T,12))</f>
        <v/>
      </c>
      <c r="AF121" t="str">
        <f>IF(COUNTIFS(Data!$U:$U,$R121,Data!$T:$T,13,Data!$N:$N,"&lt;&gt;")=0,"",SUMIFS(Data!$N:$N,Data!$U:$U,$R121,Data!$T:$T,13))</f>
        <v/>
      </c>
      <c r="AG121" t="str">
        <f>IF(COUNTIFS(Data!$U:$U,$R121,Data!$T:$T,14,Data!$N:$N,"&lt;&gt;")=0,"",SUMIFS(Data!$N:$N,Data!$U:$U,$R121,Data!$T:$T,14))</f>
        <v/>
      </c>
      <c r="AH121">
        <f>COUNTIFS(Data!$U:$U,$R121,Data!$T:$T,"&lt;="&amp;14,Data!$N:$N,"&lt;&gt;")</f>
        <v>0</v>
      </c>
      <c r="AI121">
        <f>COUNTIFS(Data!$U:$U,$R121,Data!$T:$T,"&lt;="&amp;14,Data!$N:$N,0)</f>
        <v>0</v>
      </c>
      <c r="AJ121" t="str">
        <f t="shared" si="18"/>
        <v/>
      </c>
      <c r="AK121" t="str">
        <f>IF(AH121=0,"",SUMIFS(Data!$N:$N,Data!$U:$U,$R121,Data!$T:$T,"&lt;="&amp;14))</f>
        <v/>
      </c>
      <c r="AL121" t="str">
        <f t="shared" si="19"/>
        <v/>
      </c>
      <c r="AM121">
        <f t="shared" si="20"/>
        <v>-1</v>
      </c>
      <c r="AN121" t="str">
        <f t="shared" si="21"/>
        <v/>
      </c>
    </row>
    <row r="122" spans="18:40" x14ac:dyDescent="0.2">
      <c r="R122">
        <v>120</v>
      </c>
      <c r="S122" t="str">
        <f>IFERROR(INDEX(Data!$G:$G,MATCH($R122,Data!$U:$U,0)),"")</f>
        <v/>
      </c>
      <c r="T122" t="str">
        <f>IF(COUNTIFS(Data!$U:$U,$R122,Data!$T:$T,1,Data!$N:$N,"&lt;&gt;")=0,"",SUMIFS(Data!$N:$N,Data!$U:$U,$R122,Data!$T:$T,1))</f>
        <v/>
      </c>
      <c r="U122" t="str">
        <f>IF(COUNTIFS(Data!$U:$U,$R122,Data!$T:$T,2,Data!$N:$N,"&lt;&gt;")=0,"",SUMIFS(Data!$N:$N,Data!$U:$U,$R122,Data!$T:$T,2))</f>
        <v/>
      </c>
      <c r="V122" t="str">
        <f>IF(COUNTIFS(Data!$U:$U,$R122,Data!$T:$T,3,Data!$N:$N,"&lt;&gt;")=0,"",SUMIFS(Data!$N:$N,Data!$U:$U,$R122,Data!$T:$T,3))</f>
        <v/>
      </c>
      <c r="W122" t="str">
        <f>IF(COUNTIFS(Data!$U:$U,$R122,Data!$T:$T,4,Data!$N:$N,"&lt;&gt;")=0,"",SUMIFS(Data!$N:$N,Data!$U:$U,$R122,Data!$T:$T,4))</f>
        <v/>
      </c>
      <c r="X122" t="str">
        <f>IF(COUNTIFS(Data!$U:$U,$R122,Data!$T:$T,5,Data!$N:$N,"&lt;&gt;")=0,"",SUMIFS(Data!$N:$N,Data!$U:$U,$R122,Data!$T:$T,5))</f>
        <v/>
      </c>
      <c r="Y122" t="str">
        <f>IF(COUNTIFS(Data!$U:$U,$R122,Data!$T:$T,6,Data!$N:$N,"&lt;&gt;")=0,"",SUMIFS(Data!$N:$N,Data!$U:$U,$R122,Data!$T:$T,6))</f>
        <v/>
      </c>
      <c r="Z122" t="str">
        <f>IF(COUNTIFS(Data!$U:$U,$R122,Data!$T:$T,7,Data!$N:$N,"&lt;&gt;")=0,"",SUMIFS(Data!$N:$N,Data!$U:$U,$R122,Data!$T:$T,7))</f>
        <v/>
      </c>
      <c r="AA122" t="str">
        <f>IF(COUNTIFS(Data!$U:$U,$R122,Data!$T:$T,8,Data!$N:$N,"&lt;&gt;")=0,"",SUMIFS(Data!$N:$N,Data!$U:$U,$R122,Data!$T:$T,8))</f>
        <v/>
      </c>
      <c r="AB122" t="str">
        <f>IF(COUNTIFS(Data!$U:$U,$R122,Data!$T:$T,9,Data!$N:$N,"&lt;&gt;")=0,"",SUMIFS(Data!$N:$N,Data!$U:$U,$R122,Data!$T:$T,9))</f>
        <v/>
      </c>
      <c r="AC122" t="str">
        <f>IF(COUNTIFS(Data!$U:$U,$R122,Data!$T:$T,10,Data!$N:$N,"&lt;&gt;")=0,"",SUMIFS(Data!$N:$N,Data!$U:$U,$R122,Data!$T:$T,10))</f>
        <v/>
      </c>
      <c r="AD122" t="str">
        <f>IF(COUNTIFS(Data!$U:$U,$R122,Data!$T:$T,11,Data!$N:$N,"&lt;&gt;")=0,"",SUMIFS(Data!$N:$N,Data!$U:$U,$R122,Data!$T:$T,11))</f>
        <v/>
      </c>
      <c r="AE122" t="str">
        <f>IF(COUNTIFS(Data!$U:$U,$R122,Data!$T:$T,12,Data!$N:$N,"&lt;&gt;")=0,"",SUMIFS(Data!$N:$N,Data!$U:$U,$R122,Data!$T:$T,12))</f>
        <v/>
      </c>
      <c r="AF122" t="str">
        <f>IF(COUNTIFS(Data!$U:$U,$R122,Data!$T:$T,13,Data!$N:$N,"&lt;&gt;")=0,"",SUMIFS(Data!$N:$N,Data!$U:$U,$R122,Data!$T:$T,13))</f>
        <v/>
      </c>
      <c r="AG122" t="str">
        <f>IF(COUNTIFS(Data!$U:$U,$R122,Data!$T:$T,14,Data!$N:$N,"&lt;&gt;")=0,"",SUMIFS(Data!$N:$N,Data!$U:$U,$R122,Data!$T:$T,14))</f>
        <v/>
      </c>
      <c r="AH122">
        <f>COUNTIFS(Data!$U:$U,$R122,Data!$T:$T,"&lt;="&amp;14,Data!$N:$N,"&lt;&gt;")</f>
        <v>0</v>
      </c>
      <c r="AI122">
        <f>COUNTIFS(Data!$U:$U,$R122,Data!$T:$T,"&lt;="&amp;14,Data!$N:$N,0)</f>
        <v>0</v>
      </c>
      <c r="AJ122" t="str">
        <f t="shared" si="18"/>
        <v/>
      </c>
      <c r="AK122" t="str">
        <f>IF(AH122=0,"",SUMIFS(Data!$N:$N,Data!$U:$U,$R122,Data!$T:$T,"&lt;="&amp;14))</f>
        <v/>
      </c>
      <c r="AL122" t="str">
        <f t="shared" si="19"/>
        <v/>
      </c>
      <c r="AM122">
        <f t="shared" si="20"/>
        <v>-1</v>
      </c>
      <c r="AN122" t="str">
        <f t="shared" si="21"/>
        <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982"/>
  <sheetViews>
    <sheetView workbookViewId="0">
      <selection sqref="A1:XFD1048576"/>
    </sheetView>
  </sheetViews>
  <sheetFormatPr baseColWidth="10" defaultRowHeight="15" x14ac:dyDescent="0.2"/>
  <cols>
    <col min="1" max="1" width="11.33203125" bestFit="1" customWidth="1"/>
    <col min="2" max="2" width="12.5" bestFit="1" customWidth="1"/>
    <col min="3" max="3" width="7" bestFit="1" customWidth="1"/>
    <col min="4" max="4" width="12" bestFit="1" customWidth="1"/>
    <col min="5" max="5" width="12.1640625" bestFit="1" customWidth="1"/>
    <col min="6" max="6" width="14.1640625" bestFit="1" customWidth="1"/>
    <col min="7" max="7" width="24.5" bestFit="1" customWidth="1"/>
    <col min="8" max="8" width="35.33203125" bestFit="1" customWidth="1"/>
    <col min="9" max="9" width="15" bestFit="1" customWidth="1"/>
    <col min="10" max="10" width="8.83203125" bestFit="1" customWidth="1"/>
    <col min="11" max="11" width="14" bestFit="1" customWidth="1"/>
    <col min="12" max="12" width="13.83203125" bestFit="1" customWidth="1"/>
    <col min="13" max="13" width="10.33203125" bestFit="1" customWidth="1"/>
    <col min="14" max="14" width="15.1640625" bestFit="1" customWidth="1"/>
    <col min="15" max="15" width="14.33203125" bestFit="1" customWidth="1"/>
    <col min="16" max="16" width="16.1640625" bestFit="1" customWidth="1"/>
    <col min="17" max="17" width="13.1640625" bestFit="1" customWidth="1"/>
    <col min="18" max="18" width="13.5" bestFit="1" customWidth="1"/>
    <col min="19" max="19" width="7" bestFit="1" customWidth="1"/>
    <col min="20" max="20" width="9.1640625" bestFit="1" customWidth="1"/>
    <col min="21" max="21" width="10.1640625" bestFit="1" customWidth="1"/>
    <col min="22" max="22" width="12.1640625" bestFit="1" customWidth="1"/>
  </cols>
  <sheetData>
    <row r="1" spans="1:22" x14ac:dyDescent="0.2">
      <c r="A1" t="s">
        <v>104</v>
      </c>
      <c r="B1" t="s">
        <v>105</v>
      </c>
      <c r="C1" t="s">
        <v>106</v>
      </c>
      <c r="D1" t="s">
        <v>107</v>
      </c>
      <c r="E1" t="s">
        <v>108</v>
      </c>
      <c r="F1" t="s">
        <v>109</v>
      </c>
      <c r="G1" t="s">
        <v>110</v>
      </c>
      <c r="H1" t="s">
        <v>111</v>
      </c>
      <c r="I1" t="s">
        <v>112</v>
      </c>
      <c r="J1" t="s">
        <v>113</v>
      </c>
      <c r="K1" t="s">
        <v>114</v>
      </c>
      <c r="L1" t="s">
        <v>115</v>
      </c>
      <c r="M1" t="s">
        <v>116</v>
      </c>
      <c r="N1" t="s">
        <v>117</v>
      </c>
      <c r="O1" t="s">
        <v>71</v>
      </c>
      <c r="P1" t="s">
        <v>118</v>
      </c>
      <c r="Q1" t="s">
        <v>119</v>
      </c>
      <c r="R1" t="s">
        <v>120</v>
      </c>
      <c r="S1" t="s">
        <v>103</v>
      </c>
      <c r="T1" t="s">
        <v>68</v>
      </c>
      <c r="U1" t="s">
        <v>83</v>
      </c>
      <c r="V1" t="s">
        <v>121</v>
      </c>
    </row>
    <row r="2" spans="1:22" x14ac:dyDescent="0.2">
      <c r="A2" s="34" t="s">
        <v>122</v>
      </c>
      <c r="B2" s="28">
        <v>46274</v>
      </c>
      <c r="C2" s="34"/>
      <c r="D2" s="34" t="s">
        <v>123</v>
      </c>
      <c r="E2" s="34" t="s">
        <v>124</v>
      </c>
      <c r="F2" s="34" t="s">
        <v>125</v>
      </c>
      <c r="G2" s="34" t="s">
        <v>126</v>
      </c>
      <c r="H2" s="34" t="s">
        <v>127</v>
      </c>
      <c r="J2">
        <v>0</v>
      </c>
      <c r="K2">
        <v>0</v>
      </c>
      <c r="M2">
        <v>1</v>
      </c>
      <c r="O2" s="28"/>
      <c r="R2">
        <v>-1</v>
      </c>
      <c r="S2">
        <v>1</v>
      </c>
      <c r="T2">
        <v>17</v>
      </c>
      <c r="U2">
        <v>1</v>
      </c>
      <c r="V2">
        <v>20260909001</v>
      </c>
    </row>
    <row r="3" spans="1:22" x14ac:dyDescent="0.2">
      <c r="A3" s="34" t="s">
        <v>122</v>
      </c>
      <c r="B3" s="28">
        <v>46274</v>
      </c>
      <c r="C3" s="34"/>
      <c r="D3" s="34" t="s">
        <v>123</v>
      </c>
      <c r="E3" s="34" t="s">
        <v>128</v>
      </c>
      <c r="F3" s="34" t="s">
        <v>129</v>
      </c>
      <c r="G3" s="34" t="s">
        <v>130</v>
      </c>
      <c r="H3" s="34" t="s">
        <v>131</v>
      </c>
      <c r="J3">
        <v>0</v>
      </c>
      <c r="K3">
        <v>0</v>
      </c>
      <c r="M3">
        <v>0</v>
      </c>
      <c r="O3" s="28"/>
      <c r="R3">
        <v>-1</v>
      </c>
      <c r="S3">
        <v>2</v>
      </c>
      <c r="T3">
        <v>17</v>
      </c>
      <c r="U3">
        <v>2</v>
      </c>
      <c r="V3">
        <v>20260909002</v>
      </c>
    </row>
    <row r="4" spans="1:22" x14ac:dyDescent="0.2">
      <c r="A4" s="34" t="s">
        <v>122</v>
      </c>
      <c r="B4" s="28">
        <v>46274</v>
      </c>
      <c r="C4" s="34"/>
      <c r="D4" s="34" t="s">
        <v>123</v>
      </c>
      <c r="E4" s="34" t="s">
        <v>132</v>
      </c>
      <c r="F4" s="34" t="s">
        <v>133</v>
      </c>
      <c r="G4" s="34" t="s">
        <v>134</v>
      </c>
      <c r="H4" s="34" t="s">
        <v>135</v>
      </c>
      <c r="J4">
        <v>0</v>
      </c>
      <c r="K4">
        <v>0</v>
      </c>
      <c r="M4">
        <v>0</v>
      </c>
      <c r="O4" s="28"/>
      <c r="R4">
        <v>-1</v>
      </c>
      <c r="S4">
        <v>3</v>
      </c>
      <c r="T4">
        <v>17</v>
      </c>
      <c r="U4">
        <v>3</v>
      </c>
      <c r="V4">
        <v>20260909003</v>
      </c>
    </row>
    <row r="5" spans="1:22" x14ac:dyDescent="0.2">
      <c r="A5" s="34" t="s">
        <v>122</v>
      </c>
      <c r="B5" s="28">
        <v>46274</v>
      </c>
      <c r="C5" s="34"/>
      <c r="D5" s="34" t="s">
        <v>123</v>
      </c>
      <c r="E5" s="34" t="s">
        <v>136</v>
      </c>
      <c r="F5" s="34" t="s">
        <v>137</v>
      </c>
      <c r="G5" s="34" t="s">
        <v>138</v>
      </c>
      <c r="H5" s="34" t="s">
        <v>139</v>
      </c>
      <c r="J5">
        <v>0</v>
      </c>
      <c r="K5">
        <v>0</v>
      </c>
      <c r="M5">
        <v>7</v>
      </c>
      <c r="O5" s="28"/>
      <c r="R5">
        <v>-1</v>
      </c>
      <c r="S5">
        <v>4</v>
      </c>
      <c r="T5">
        <v>17</v>
      </c>
      <c r="U5">
        <v>4</v>
      </c>
      <c r="V5">
        <v>20260909004</v>
      </c>
    </row>
    <row r="6" spans="1:22" x14ac:dyDescent="0.2">
      <c r="A6" s="34" t="s">
        <v>122</v>
      </c>
      <c r="B6" s="28">
        <v>46274</v>
      </c>
      <c r="C6" s="34"/>
      <c r="D6" s="34" t="s">
        <v>123</v>
      </c>
      <c r="E6" s="34" t="s">
        <v>140</v>
      </c>
      <c r="F6" s="34" t="s">
        <v>141</v>
      </c>
      <c r="G6" s="34" t="s">
        <v>142</v>
      </c>
      <c r="H6" s="34" t="s">
        <v>143</v>
      </c>
      <c r="J6">
        <v>0</v>
      </c>
      <c r="K6">
        <v>0</v>
      </c>
      <c r="M6">
        <v>0</v>
      </c>
      <c r="O6" s="28"/>
      <c r="R6">
        <v>-1</v>
      </c>
      <c r="S6">
        <v>5</v>
      </c>
      <c r="T6">
        <v>17</v>
      </c>
      <c r="U6">
        <v>5</v>
      </c>
      <c r="V6">
        <v>20260909005</v>
      </c>
    </row>
    <row r="7" spans="1:22" x14ac:dyDescent="0.2">
      <c r="A7" s="34" t="s">
        <v>122</v>
      </c>
      <c r="B7" s="28">
        <v>46274</v>
      </c>
      <c r="C7" s="34"/>
      <c r="D7" s="34" t="s">
        <v>123</v>
      </c>
      <c r="E7" s="34" t="s">
        <v>144</v>
      </c>
      <c r="F7" s="34" t="s">
        <v>145</v>
      </c>
      <c r="G7" s="34" t="s">
        <v>146</v>
      </c>
      <c r="H7" s="34" t="s">
        <v>147</v>
      </c>
      <c r="J7">
        <v>0</v>
      </c>
      <c r="K7">
        <v>0</v>
      </c>
      <c r="M7">
        <v>8</v>
      </c>
      <c r="O7" s="28"/>
      <c r="R7">
        <v>-1</v>
      </c>
      <c r="S7">
        <v>6</v>
      </c>
      <c r="T7">
        <v>17</v>
      </c>
      <c r="U7">
        <v>6</v>
      </c>
      <c r="V7">
        <v>20260909006</v>
      </c>
    </row>
    <row r="8" spans="1:22" x14ac:dyDescent="0.2">
      <c r="A8" s="34" t="s">
        <v>122</v>
      </c>
      <c r="B8" s="28">
        <v>46274</v>
      </c>
      <c r="C8" s="34"/>
      <c r="D8" s="34" t="s">
        <v>123</v>
      </c>
      <c r="E8" s="34" t="s">
        <v>148</v>
      </c>
      <c r="F8" s="34" t="s">
        <v>149</v>
      </c>
      <c r="G8" s="34" t="s">
        <v>150</v>
      </c>
      <c r="H8" s="34" t="s">
        <v>151</v>
      </c>
      <c r="J8">
        <v>0</v>
      </c>
      <c r="K8">
        <v>0</v>
      </c>
      <c r="M8">
        <v>1</v>
      </c>
      <c r="O8" s="28"/>
      <c r="R8">
        <v>-1</v>
      </c>
      <c r="S8">
        <v>7</v>
      </c>
      <c r="T8">
        <v>17</v>
      </c>
      <c r="U8">
        <v>7</v>
      </c>
      <c r="V8">
        <v>20260909007</v>
      </c>
    </row>
    <row r="9" spans="1:22" x14ac:dyDescent="0.2">
      <c r="A9" s="34" t="s">
        <v>122</v>
      </c>
      <c r="B9" s="28">
        <v>46274</v>
      </c>
      <c r="C9" s="34"/>
      <c r="D9" s="34" t="s">
        <v>123</v>
      </c>
      <c r="E9" s="34" t="s">
        <v>152</v>
      </c>
      <c r="F9" s="34" t="s">
        <v>153</v>
      </c>
      <c r="G9" s="34" t="s">
        <v>154</v>
      </c>
      <c r="H9" s="34" t="s">
        <v>155</v>
      </c>
      <c r="J9">
        <v>0</v>
      </c>
      <c r="K9">
        <v>0</v>
      </c>
      <c r="M9">
        <v>8</v>
      </c>
      <c r="O9" s="28"/>
      <c r="R9">
        <v>-1</v>
      </c>
      <c r="S9">
        <v>8</v>
      </c>
      <c r="T9">
        <v>17</v>
      </c>
      <c r="U9">
        <v>8</v>
      </c>
      <c r="V9">
        <v>20260909008</v>
      </c>
    </row>
    <row r="10" spans="1:22" x14ac:dyDescent="0.2">
      <c r="A10" s="34" t="s">
        <v>122</v>
      </c>
      <c r="B10" s="28">
        <v>46274</v>
      </c>
      <c r="C10" s="34"/>
      <c r="D10" s="34" t="s">
        <v>123</v>
      </c>
      <c r="E10" s="34" t="s">
        <v>156</v>
      </c>
      <c r="F10" s="34" t="s">
        <v>157</v>
      </c>
      <c r="G10" s="34" t="s">
        <v>158</v>
      </c>
      <c r="H10" s="34" t="s">
        <v>159</v>
      </c>
      <c r="J10">
        <v>0</v>
      </c>
      <c r="K10">
        <v>0</v>
      </c>
      <c r="M10">
        <v>8</v>
      </c>
      <c r="O10" s="28"/>
      <c r="R10">
        <v>-1</v>
      </c>
      <c r="S10">
        <v>9</v>
      </c>
      <c r="T10">
        <v>17</v>
      </c>
      <c r="U10">
        <v>9</v>
      </c>
      <c r="V10">
        <v>20260909009</v>
      </c>
    </row>
    <row r="11" spans="1:22" x14ac:dyDescent="0.2">
      <c r="A11" s="34" t="s">
        <v>122</v>
      </c>
      <c r="B11" s="28">
        <v>46274</v>
      </c>
      <c r="C11" s="34"/>
      <c r="D11" s="34" t="s">
        <v>123</v>
      </c>
      <c r="E11" s="34" t="s">
        <v>160</v>
      </c>
      <c r="F11" s="34" t="s">
        <v>161</v>
      </c>
      <c r="G11" s="34" t="s">
        <v>162</v>
      </c>
      <c r="H11" s="34" t="s">
        <v>163</v>
      </c>
      <c r="J11">
        <v>0</v>
      </c>
      <c r="K11">
        <v>0</v>
      </c>
      <c r="M11">
        <v>0</v>
      </c>
      <c r="O11" s="28"/>
      <c r="R11">
        <v>-1</v>
      </c>
      <c r="S11">
        <v>10</v>
      </c>
      <c r="T11">
        <v>17</v>
      </c>
      <c r="U11">
        <v>10</v>
      </c>
      <c r="V11">
        <v>20260909010</v>
      </c>
    </row>
    <row r="12" spans="1:22" x14ac:dyDescent="0.2">
      <c r="A12" s="34" t="s">
        <v>122</v>
      </c>
      <c r="B12" s="28">
        <v>46274</v>
      </c>
      <c r="C12" s="34"/>
      <c r="D12" s="34" t="s">
        <v>123</v>
      </c>
      <c r="E12" s="34" t="s">
        <v>164</v>
      </c>
      <c r="F12" s="34" t="s">
        <v>165</v>
      </c>
      <c r="G12" s="34" t="s">
        <v>166</v>
      </c>
      <c r="H12" s="34" t="s">
        <v>167</v>
      </c>
      <c r="J12">
        <v>0</v>
      </c>
      <c r="K12">
        <v>0</v>
      </c>
      <c r="M12">
        <v>32</v>
      </c>
      <c r="O12" s="28"/>
      <c r="R12">
        <v>-1</v>
      </c>
      <c r="S12">
        <v>11</v>
      </c>
      <c r="T12">
        <v>17</v>
      </c>
      <c r="U12">
        <v>11</v>
      </c>
      <c r="V12">
        <v>20260909011</v>
      </c>
    </row>
    <row r="13" spans="1:22" x14ac:dyDescent="0.2">
      <c r="A13" s="34" t="s">
        <v>122</v>
      </c>
      <c r="B13" s="28">
        <v>46274</v>
      </c>
      <c r="C13" s="34"/>
      <c r="D13" s="34" t="s">
        <v>123</v>
      </c>
      <c r="E13" s="34" t="s">
        <v>168</v>
      </c>
      <c r="F13" s="34" t="s">
        <v>169</v>
      </c>
      <c r="G13" s="34" t="s">
        <v>170</v>
      </c>
      <c r="H13" s="34" t="s">
        <v>171</v>
      </c>
      <c r="J13">
        <v>0</v>
      </c>
      <c r="K13">
        <v>0</v>
      </c>
      <c r="M13">
        <v>0</v>
      </c>
      <c r="O13" s="28"/>
      <c r="R13">
        <v>-1</v>
      </c>
      <c r="S13">
        <v>12</v>
      </c>
      <c r="T13">
        <v>17</v>
      </c>
      <c r="U13">
        <v>12</v>
      </c>
      <c r="V13">
        <v>20260909012</v>
      </c>
    </row>
    <row r="14" spans="1:22" x14ac:dyDescent="0.2">
      <c r="A14" s="34" t="s">
        <v>122</v>
      </c>
      <c r="B14" s="28">
        <v>46274</v>
      </c>
      <c r="C14" s="34"/>
      <c r="D14" s="34" t="s">
        <v>123</v>
      </c>
      <c r="E14" s="34" t="s">
        <v>172</v>
      </c>
      <c r="F14" s="34" t="s">
        <v>173</v>
      </c>
      <c r="G14" s="34" t="s">
        <v>174</v>
      </c>
      <c r="H14" s="34" t="s">
        <v>175</v>
      </c>
      <c r="J14">
        <v>0</v>
      </c>
      <c r="K14">
        <v>0</v>
      </c>
      <c r="M14">
        <v>1</v>
      </c>
      <c r="O14" s="28"/>
      <c r="R14">
        <v>-1</v>
      </c>
      <c r="S14">
        <v>13</v>
      </c>
      <c r="T14">
        <v>17</v>
      </c>
      <c r="U14">
        <v>13</v>
      </c>
      <c r="V14">
        <v>20260909013</v>
      </c>
    </row>
    <row r="15" spans="1:22" x14ac:dyDescent="0.2">
      <c r="A15" s="34" t="s">
        <v>122</v>
      </c>
      <c r="B15" s="28">
        <v>46274</v>
      </c>
      <c r="C15" s="34"/>
      <c r="D15" s="34" t="s">
        <v>123</v>
      </c>
      <c r="E15" s="34" t="s">
        <v>176</v>
      </c>
      <c r="F15" s="34" t="s">
        <v>177</v>
      </c>
      <c r="G15" s="34" t="s">
        <v>178</v>
      </c>
      <c r="H15" s="34" t="s">
        <v>179</v>
      </c>
      <c r="J15">
        <v>0</v>
      </c>
      <c r="K15">
        <v>0</v>
      </c>
      <c r="M15">
        <v>14</v>
      </c>
      <c r="O15" s="28"/>
      <c r="R15">
        <v>-1</v>
      </c>
      <c r="S15">
        <v>14</v>
      </c>
      <c r="T15">
        <v>17</v>
      </c>
      <c r="U15">
        <v>14</v>
      </c>
      <c r="V15">
        <v>20260909014</v>
      </c>
    </row>
    <row r="16" spans="1:22" x14ac:dyDescent="0.2">
      <c r="A16" s="34" t="s">
        <v>122</v>
      </c>
      <c r="B16" s="28">
        <v>46274</v>
      </c>
      <c r="C16" s="34"/>
      <c r="D16" s="34" t="s">
        <v>123</v>
      </c>
      <c r="E16" s="34" t="s">
        <v>180</v>
      </c>
      <c r="F16" s="34" t="s">
        <v>181</v>
      </c>
      <c r="G16" s="34" t="s">
        <v>182</v>
      </c>
      <c r="H16" s="34" t="s">
        <v>183</v>
      </c>
      <c r="J16">
        <v>0</v>
      </c>
      <c r="K16">
        <v>0</v>
      </c>
      <c r="M16">
        <v>0</v>
      </c>
      <c r="O16" s="28"/>
      <c r="R16">
        <v>-1</v>
      </c>
      <c r="S16">
        <v>15</v>
      </c>
      <c r="T16">
        <v>17</v>
      </c>
      <c r="U16">
        <v>15</v>
      </c>
      <c r="V16">
        <v>20260909015</v>
      </c>
    </row>
    <row r="17" spans="1:22" x14ac:dyDescent="0.2">
      <c r="A17" s="34" t="s">
        <v>122</v>
      </c>
      <c r="B17" s="28">
        <v>46274</v>
      </c>
      <c r="C17" s="34"/>
      <c r="D17" s="34" t="s">
        <v>123</v>
      </c>
      <c r="E17" s="34" t="s">
        <v>184</v>
      </c>
      <c r="F17" s="34" t="s">
        <v>185</v>
      </c>
      <c r="G17" s="34" t="s">
        <v>186</v>
      </c>
      <c r="H17" s="34" t="s">
        <v>187</v>
      </c>
      <c r="J17">
        <v>0</v>
      </c>
      <c r="K17">
        <v>0</v>
      </c>
      <c r="M17">
        <v>0</v>
      </c>
      <c r="O17" s="28"/>
      <c r="R17">
        <v>-1</v>
      </c>
      <c r="S17">
        <v>16</v>
      </c>
      <c r="T17">
        <v>17</v>
      </c>
      <c r="U17">
        <v>16</v>
      </c>
      <c r="V17">
        <v>20260909016</v>
      </c>
    </row>
    <row r="18" spans="1:22" x14ac:dyDescent="0.2">
      <c r="A18" s="34" t="s">
        <v>122</v>
      </c>
      <c r="B18" s="28">
        <v>46274</v>
      </c>
      <c r="C18" s="34"/>
      <c r="D18" s="34" t="s">
        <v>123</v>
      </c>
      <c r="E18" s="34" t="s">
        <v>188</v>
      </c>
      <c r="F18" s="34" t="s">
        <v>189</v>
      </c>
      <c r="G18" s="34" t="s">
        <v>190</v>
      </c>
      <c r="H18" s="34" t="s">
        <v>191</v>
      </c>
      <c r="J18">
        <v>0</v>
      </c>
      <c r="K18">
        <v>0</v>
      </c>
      <c r="M18">
        <v>0</v>
      </c>
      <c r="O18" s="28"/>
      <c r="R18">
        <v>-1</v>
      </c>
      <c r="S18">
        <v>17</v>
      </c>
      <c r="T18">
        <v>17</v>
      </c>
      <c r="U18">
        <v>21</v>
      </c>
      <c r="V18">
        <v>20260909017</v>
      </c>
    </row>
    <row r="19" spans="1:22" x14ac:dyDescent="0.2">
      <c r="A19" s="34" t="s">
        <v>122</v>
      </c>
      <c r="B19" s="28">
        <v>46274</v>
      </c>
      <c r="C19" s="34"/>
      <c r="D19" s="34" t="s">
        <v>123</v>
      </c>
      <c r="E19" s="34" t="s">
        <v>192</v>
      </c>
      <c r="F19" s="34" t="s">
        <v>193</v>
      </c>
      <c r="G19" s="34" t="s">
        <v>194</v>
      </c>
      <c r="H19" s="34" t="s">
        <v>195</v>
      </c>
      <c r="J19">
        <v>0</v>
      </c>
      <c r="K19">
        <v>0</v>
      </c>
      <c r="M19">
        <v>0</v>
      </c>
      <c r="O19" s="28"/>
      <c r="R19">
        <v>-1</v>
      </c>
      <c r="S19">
        <v>18</v>
      </c>
      <c r="T19">
        <v>17</v>
      </c>
      <c r="U19">
        <v>22</v>
      </c>
      <c r="V19">
        <v>20260909018</v>
      </c>
    </row>
    <row r="20" spans="1:22" x14ac:dyDescent="0.2">
      <c r="A20" s="34" t="s">
        <v>122</v>
      </c>
      <c r="B20" s="28">
        <v>46274</v>
      </c>
      <c r="C20" s="34"/>
      <c r="D20" s="34" t="s">
        <v>123</v>
      </c>
      <c r="E20" s="34" t="s">
        <v>196</v>
      </c>
      <c r="F20" s="34" t="s">
        <v>197</v>
      </c>
      <c r="G20" s="34" t="s">
        <v>198</v>
      </c>
      <c r="H20" s="34" t="s">
        <v>199</v>
      </c>
      <c r="J20">
        <v>0</v>
      </c>
      <c r="K20">
        <v>7</v>
      </c>
      <c r="M20">
        <v>0</v>
      </c>
      <c r="O20" s="28"/>
      <c r="R20">
        <v>-1</v>
      </c>
      <c r="S20">
        <v>19</v>
      </c>
      <c r="T20">
        <v>17</v>
      </c>
      <c r="U20">
        <v>23</v>
      </c>
      <c r="V20">
        <v>20260909019</v>
      </c>
    </row>
    <row r="21" spans="1:22" x14ac:dyDescent="0.2">
      <c r="A21" s="34" t="s">
        <v>122</v>
      </c>
      <c r="B21" s="28">
        <v>46274</v>
      </c>
      <c r="C21" s="34"/>
      <c r="D21" s="34" t="s">
        <v>123</v>
      </c>
      <c r="E21" s="34" t="s">
        <v>200</v>
      </c>
      <c r="F21" s="34" t="s">
        <v>201</v>
      </c>
      <c r="G21" s="34" t="s">
        <v>202</v>
      </c>
      <c r="H21" s="34" t="s">
        <v>203</v>
      </c>
      <c r="J21">
        <v>0</v>
      </c>
      <c r="K21">
        <v>0</v>
      </c>
      <c r="M21">
        <v>6</v>
      </c>
      <c r="O21" s="28"/>
      <c r="R21">
        <v>-1</v>
      </c>
      <c r="S21">
        <v>20</v>
      </c>
      <c r="T21">
        <v>17</v>
      </c>
      <c r="U21">
        <v>24</v>
      </c>
      <c r="V21">
        <v>20260909020</v>
      </c>
    </row>
    <row r="22" spans="1:22" x14ac:dyDescent="0.2">
      <c r="A22" s="34" t="s">
        <v>122</v>
      </c>
      <c r="B22" s="28">
        <v>46274</v>
      </c>
      <c r="C22" s="34"/>
      <c r="D22" s="34" t="s">
        <v>123</v>
      </c>
      <c r="E22" s="34" t="s">
        <v>204</v>
      </c>
      <c r="F22" s="34" t="s">
        <v>205</v>
      </c>
      <c r="G22" s="34" t="s">
        <v>206</v>
      </c>
      <c r="H22" s="34" t="s">
        <v>207</v>
      </c>
      <c r="J22">
        <v>0</v>
      </c>
      <c r="K22">
        <v>0</v>
      </c>
      <c r="M22">
        <v>4</v>
      </c>
      <c r="O22" s="28"/>
      <c r="R22">
        <v>-1</v>
      </c>
      <c r="S22">
        <v>21</v>
      </c>
      <c r="T22">
        <v>17</v>
      </c>
      <c r="U22">
        <v>25</v>
      </c>
      <c r="V22">
        <v>20260909021</v>
      </c>
    </row>
    <row r="23" spans="1:22" x14ac:dyDescent="0.2">
      <c r="A23" s="34" t="s">
        <v>122</v>
      </c>
      <c r="B23" s="28">
        <v>46274</v>
      </c>
      <c r="C23" s="34"/>
      <c r="D23" s="34" t="s">
        <v>123</v>
      </c>
      <c r="E23" s="34" t="s">
        <v>208</v>
      </c>
      <c r="F23" s="34" t="s">
        <v>209</v>
      </c>
      <c r="G23" s="34" t="s">
        <v>210</v>
      </c>
      <c r="H23" s="34" t="s">
        <v>211</v>
      </c>
      <c r="J23">
        <v>0</v>
      </c>
      <c r="K23">
        <v>0</v>
      </c>
      <c r="M23">
        <v>0</v>
      </c>
      <c r="O23" s="28"/>
      <c r="R23">
        <v>-1</v>
      </c>
      <c r="S23">
        <v>22</v>
      </c>
      <c r="T23">
        <v>17</v>
      </c>
      <c r="U23">
        <v>26</v>
      </c>
      <c r="V23">
        <v>20260909022</v>
      </c>
    </row>
    <row r="24" spans="1:22" x14ac:dyDescent="0.2">
      <c r="A24" s="34" t="s">
        <v>122</v>
      </c>
      <c r="B24" s="28">
        <v>46274</v>
      </c>
      <c r="C24" s="34"/>
      <c r="D24" s="34" t="s">
        <v>123</v>
      </c>
      <c r="E24" s="34" t="s">
        <v>212</v>
      </c>
      <c r="F24" s="34" t="s">
        <v>213</v>
      </c>
      <c r="G24" s="34" t="s">
        <v>214</v>
      </c>
      <c r="H24" s="34" t="s">
        <v>215</v>
      </c>
      <c r="J24">
        <v>0</v>
      </c>
      <c r="K24">
        <v>0</v>
      </c>
      <c r="M24">
        <v>5</v>
      </c>
      <c r="O24" s="28"/>
      <c r="R24">
        <v>-1</v>
      </c>
      <c r="S24">
        <v>23</v>
      </c>
      <c r="T24">
        <v>17</v>
      </c>
      <c r="U24">
        <v>27</v>
      </c>
      <c r="V24">
        <v>20260909023</v>
      </c>
    </row>
    <row r="25" spans="1:22" x14ac:dyDescent="0.2">
      <c r="A25" s="34" t="s">
        <v>122</v>
      </c>
      <c r="B25" s="28">
        <v>46274</v>
      </c>
      <c r="C25" s="34"/>
      <c r="D25" s="34" t="s">
        <v>123</v>
      </c>
      <c r="E25" s="34" t="s">
        <v>216</v>
      </c>
      <c r="F25" s="34" t="s">
        <v>217</v>
      </c>
      <c r="G25" s="34" t="s">
        <v>218</v>
      </c>
      <c r="H25" s="34" t="s">
        <v>219</v>
      </c>
      <c r="J25">
        <v>0</v>
      </c>
      <c r="K25">
        <v>0</v>
      </c>
      <c r="M25">
        <v>4</v>
      </c>
      <c r="O25" s="28"/>
      <c r="R25">
        <v>-1</v>
      </c>
      <c r="S25">
        <v>24</v>
      </c>
      <c r="T25">
        <v>17</v>
      </c>
      <c r="U25">
        <v>28</v>
      </c>
      <c r="V25">
        <v>20260909024</v>
      </c>
    </row>
    <row r="26" spans="1:22" x14ac:dyDescent="0.2">
      <c r="A26" s="34" t="s">
        <v>122</v>
      </c>
      <c r="B26" s="28">
        <v>46274</v>
      </c>
      <c r="C26" s="34"/>
      <c r="D26" s="34" t="s">
        <v>123</v>
      </c>
      <c r="E26" s="34" t="s">
        <v>220</v>
      </c>
      <c r="F26" s="34" t="s">
        <v>221</v>
      </c>
      <c r="G26" s="34" t="s">
        <v>222</v>
      </c>
      <c r="H26" s="34" t="s">
        <v>223</v>
      </c>
      <c r="J26">
        <v>0</v>
      </c>
      <c r="K26">
        <v>0</v>
      </c>
      <c r="M26">
        <v>1</v>
      </c>
      <c r="O26" s="28"/>
      <c r="R26">
        <v>-1</v>
      </c>
      <c r="S26">
        <v>25</v>
      </c>
      <c r="T26">
        <v>17</v>
      </c>
      <c r="U26">
        <v>29</v>
      </c>
      <c r="V26">
        <v>20260909025</v>
      </c>
    </row>
    <row r="27" spans="1:22" x14ac:dyDescent="0.2">
      <c r="A27" s="34" t="s">
        <v>122</v>
      </c>
      <c r="B27" s="28">
        <v>46274</v>
      </c>
      <c r="C27" s="34"/>
      <c r="D27" s="34" t="s">
        <v>123</v>
      </c>
      <c r="E27" s="34" t="s">
        <v>224</v>
      </c>
      <c r="F27" s="34" t="s">
        <v>225</v>
      </c>
      <c r="G27" s="34" t="s">
        <v>226</v>
      </c>
      <c r="H27" s="34" t="s">
        <v>227</v>
      </c>
      <c r="J27">
        <v>0</v>
      </c>
      <c r="K27">
        <v>0</v>
      </c>
      <c r="M27">
        <v>0</v>
      </c>
      <c r="O27" s="28"/>
      <c r="R27">
        <v>-1</v>
      </c>
      <c r="S27">
        <v>26</v>
      </c>
      <c r="T27">
        <v>17</v>
      </c>
      <c r="U27">
        <v>30</v>
      </c>
      <c r="V27">
        <v>20260909026</v>
      </c>
    </row>
    <row r="28" spans="1:22" x14ac:dyDescent="0.2">
      <c r="A28" s="34" t="s">
        <v>122</v>
      </c>
      <c r="B28" s="28">
        <v>46274</v>
      </c>
      <c r="C28" s="34"/>
      <c r="D28" s="34" t="s">
        <v>123</v>
      </c>
      <c r="E28" s="34" t="s">
        <v>228</v>
      </c>
      <c r="F28" s="34" t="s">
        <v>229</v>
      </c>
      <c r="G28" s="34" t="s">
        <v>230</v>
      </c>
      <c r="H28" s="34" t="s">
        <v>231</v>
      </c>
      <c r="J28">
        <v>0</v>
      </c>
      <c r="K28">
        <v>0</v>
      </c>
      <c r="M28">
        <v>4</v>
      </c>
      <c r="O28" s="28"/>
      <c r="R28">
        <v>-1</v>
      </c>
      <c r="S28">
        <v>27</v>
      </c>
      <c r="T28">
        <v>17</v>
      </c>
      <c r="U28">
        <v>31</v>
      </c>
      <c r="V28">
        <v>20260909027</v>
      </c>
    </row>
    <row r="29" spans="1:22" x14ac:dyDescent="0.2">
      <c r="A29" s="34" t="s">
        <v>122</v>
      </c>
      <c r="B29" s="28">
        <v>46274</v>
      </c>
      <c r="C29" s="34"/>
      <c r="D29" s="34" t="s">
        <v>123</v>
      </c>
      <c r="E29" s="34" t="s">
        <v>232</v>
      </c>
      <c r="F29" s="34" t="s">
        <v>233</v>
      </c>
      <c r="G29" s="34" t="s">
        <v>234</v>
      </c>
      <c r="H29" s="34" t="s">
        <v>235</v>
      </c>
      <c r="J29">
        <v>0</v>
      </c>
      <c r="K29">
        <v>0</v>
      </c>
      <c r="M29">
        <v>3</v>
      </c>
      <c r="O29" s="28"/>
      <c r="R29">
        <v>-1</v>
      </c>
      <c r="S29">
        <v>28</v>
      </c>
      <c r="T29">
        <v>17</v>
      </c>
      <c r="U29">
        <v>32</v>
      </c>
      <c r="V29">
        <v>20260909028</v>
      </c>
    </row>
    <row r="30" spans="1:22" x14ac:dyDescent="0.2">
      <c r="A30" s="34" t="s">
        <v>122</v>
      </c>
      <c r="B30" s="28">
        <v>46274</v>
      </c>
      <c r="C30" s="34"/>
      <c r="D30" s="34" t="s">
        <v>123</v>
      </c>
      <c r="E30" s="34" t="s">
        <v>236</v>
      </c>
      <c r="F30" s="34" t="s">
        <v>237</v>
      </c>
      <c r="G30" s="34" t="s">
        <v>238</v>
      </c>
      <c r="H30" s="34" t="s">
        <v>239</v>
      </c>
      <c r="J30">
        <v>0</v>
      </c>
      <c r="K30">
        <v>0</v>
      </c>
      <c r="M30">
        <v>2</v>
      </c>
      <c r="O30" s="28"/>
      <c r="R30">
        <v>-1</v>
      </c>
      <c r="S30">
        <v>29</v>
      </c>
      <c r="T30">
        <v>17</v>
      </c>
      <c r="U30">
        <v>33</v>
      </c>
      <c r="V30">
        <v>20260909029</v>
      </c>
    </row>
    <row r="31" spans="1:22" x14ac:dyDescent="0.2">
      <c r="A31" s="34" t="s">
        <v>122</v>
      </c>
      <c r="B31" s="28">
        <v>46274</v>
      </c>
      <c r="C31" s="34"/>
      <c r="D31" s="34" t="s">
        <v>123</v>
      </c>
      <c r="E31" s="34" t="s">
        <v>240</v>
      </c>
      <c r="F31" s="34" t="s">
        <v>241</v>
      </c>
      <c r="G31" s="34" t="s">
        <v>242</v>
      </c>
      <c r="H31" s="34" t="s">
        <v>243</v>
      </c>
      <c r="J31">
        <v>0</v>
      </c>
      <c r="K31">
        <v>0</v>
      </c>
      <c r="M31">
        <v>1</v>
      </c>
      <c r="O31" s="28"/>
      <c r="R31">
        <v>-1</v>
      </c>
      <c r="S31">
        <v>30</v>
      </c>
      <c r="T31">
        <v>17</v>
      </c>
      <c r="U31">
        <v>34</v>
      </c>
      <c r="V31">
        <v>20260909030</v>
      </c>
    </row>
    <row r="32" spans="1:22" x14ac:dyDescent="0.2">
      <c r="A32" s="34" t="s">
        <v>122</v>
      </c>
      <c r="B32" s="28">
        <v>46274</v>
      </c>
      <c r="C32" s="34"/>
      <c r="D32" s="34" t="s">
        <v>123</v>
      </c>
      <c r="E32" s="34" t="s">
        <v>244</v>
      </c>
      <c r="F32" s="34" t="s">
        <v>245</v>
      </c>
      <c r="G32" s="34" t="s">
        <v>246</v>
      </c>
      <c r="H32" s="34" t="s">
        <v>247</v>
      </c>
      <c r="J32">
        <v>0</v>
      </c>
      <c r="K32">
        <v>0</v>
      </c>
      <c r="M32">
        <v>0</v>
      </c>
      <c r="O32" s="28"/>
      <c r="R32">
        <v>-1</v>
      </c>
      <c r="S32">
        <v>31</v>
      </c>
      <c r="T32">
        <v>17</v>
      </c>
      <c r="U32">
        <v>35</v>
      </c>
      <c r="V32">
        <v>20260909031</v>
      </c>
    </row>
    <row r="33" spans="1:22" x14ac:dyDescent="0.2">
      <c r="A33" s="34" t="s">
        <v>122</v>
      </c>
      <c r="B33" s="28">
        <v>46274</v>
      </c>
      <c r="C33" s="34"/>
      <c r="D33" s="34" t="s">
        <v>123</v>
      </c>
      <c r="E33" s="34" t="s">
        <v>248</v>
      </c>
      <c r="F33" s="34" t="s">
        <v>249</v>
      </c>
      <c r="G33" s="34" t="s">
        <v>250</v>
      </c>
      <c r="H33" s="34" t="s">
        <v>251</v>
      </c>
      <c r="J33">
        <v>0</v>
      </c>
      <c r="K33">
        <v>0</v>
      </c>
      <c r="M33">
        <v>0</v>
      </c>
      <c r="O33" s="28"/>
      <c r="R33">
        <v>-1</v>
      </c>
      <c r="S33">
        <v>32</v>
      </c>
      <c r="T33">
        <v>17</v>
      </c>
      <c r="U33">
        <v>36</v>
      </c>
      <c r="V33">
        <v>20260909032</v>
      </c>
    </row>
    <row r="34" spans="1:22" x14ac:dyDescent="0.2">
      <c r="A34" s="34" t="s">
        <v>122</v>
      </c>
      <c r="B34" s="28">
        <v>46274</v>
      </c>
      <c r="C34" s="34"/>
      <c r="D34" s="34" t="s">
        <v>123</v>
      </c>
      <c r="E34" s="34" t="s">
        <v>252</v>
      </c>
      <c r="F34" s="34" t="s">
        <v>253</v>
      </c>
      <c r="G34" s="34" t="s">
        <v>254</v>
      </c>
      <c r="H34" s="34" t="s">
        <v>255</v>
      </c>
      <c r="J34">
        <v>0</v>
      </c>
      <c r="K34">
        <v>0</v>
      </c>
      <c r="M34">
        <v>6</v>
      </c>
      <c r="O34" s="28"/>
      <c r="R34">
        <v>-1</v>
      </c>
      <c r="S34">
        <v>33</v>
      </c>
      <c r="T34">
        <v>17</v>
      </c>
      <c r="U34">
        <v>37</v>
      </c>
      <c r="V34">
        <v>20260909033</v>
      </c>
    </row>
    <row r="35" spans="1:22" x14ac:dyDescent="0.2">
      <c r="A35" s="34" t="s">
        <v>122</v>
      </c>
      <c r="B35" s="28">
        <v>46274</v>
      </c>
      <c r="C35" s="34"/>
      <c r="D35" s="34" t="s">
        <v>123</v>
      </c>
      <c r="E35" s="34" t="s">
        <v>256</v>
      </c>
      <c r="F35" s="34" t="s">
        <v>257</v>
      </c>
      <c r="G35" s="34" t="s">
        <v>258</v>
      </c>
      <c r="H35" s="34" t="s">
        <v>259</v>
      </c>
      <c r="J35">
        <v>0</v>
      </c>
      <c r="K35">
        <v>0</v>
      </c>
      <c r="M35">
        <v>1</v>
      </c>
      <c r="O35" s="28"/>
      <c r="R35">
        <v>-1</v>
      </c>
      <c r="S35">
        <v>34</v>
      </c>
      <c r="T35">
        <v>17</v>
      </c>
      <c r="U35">
        <v>38</v>
      </c>
      <c r="V35">
        <v>20260909034</v>
      </c>
    </row>
    <row r="36" spans="1:22" x14ac:dyDescent="0.2">
      <c r="A36" s="34" t="s">
        <v>122</v>
      </c>
      <c r="B36" s="28">
        <v>46274</v>
      </c>
      <c r="C36" s="34"/>
      <c r="D36" s="34" t="s">
        <v>123</v>
      </c>
      <c r="E36" s="34" t="s">
        <v>260</v>
      </c>
      <c r="F36" s="34" t="s">
        <v>261</v>
      </c>
      <c r="G36" s="34" t="s">
        <v>262</v>
      </c>
      <c r="H36" s="34" t="s">
        <v>263</v>
      </c>
      <c r="J36">
        <v>0</v>
      </c>
      <c r="K36">
        <v>0</v>
      </c>
      <c r="M36">
        <v>1</v>
      </c>
      <c r="O36" s="28"/>
      <c r="R36">
        <v>-1</v>
      </c>
      <c r="S36">
        <v>35</v>
      </c>
      <c r="T36">
        <v>17</v>
      </c>
      <c r="U36">
        <v>39</v>
      </c>
      <c r="V36">
        <v>20260909035</v>
      </c>
    </row>
    <row r="37" spans="1:22" x14ac:dyDescent="0.2">
      <c r="A37" s="34" t="s">
        <v>122</v>
      </c>
      <c r="B37" s="28">
        <v>46274</v>
      </c>
      <c r="C37" s="34"/>
      <c r="D37" s="34" t="s">
        <v>123</v>
      </c>
      <c r="E37" s="34" t="s">
        <v>264</v>
      </c>
      <c r="F37" s="34" t="s">
        <v>265</v>
      </c>
      <c r="G37" s="34" t="s">
        <v>266</v>
      </c>
      <c r="H37" s="34" t="s">
        <v>267</v>
      </c>
      <c r="J37">
        <v>0</v>
      </c>
      <c r="K37">
        <v>0</v>
      </c>
      <c r="M37">
        <v>5</v>
      </c>
      <c r="O37" s="28"/>
      <c r="R37">
        <v>-1</v>
      </c>
      <c r="S37">
        <v>36</v>
      </c>
      <c r="T37">
        <v>17</v>
      </c>
      <c r="U37">
        <v>40</v>
      </c>
      <c r="V37">
        <v>20260909036</v>
      </c>
    </row>
    <row r="38" spans="1:22" x14ac:dyDescent="0.2">
      <c r="A38" s="34" t="s">
        <v>122</v>
      </c>
      <c r="B38" s="28">
        <v>46274</v>
      </c>
      <c r="C38" s="34"/>
      <c r="D38" s="34" t="s">
        <v>123</v>
      </c>
      <c r="E38" s="34" t="s">
        <v>268</v>
      </c>
      <c r="F38" s="34" t="s">
        <v>269</v>
      </c>
      <c r="G38" s="34" t="s">
        <v>270</v>
      </c>
      <c r="H38" s="34" t="s">
        <v>271</v>
      </c>
      <c r="J38">
        <v>0</v>
      </c>
      <c r="K38">
        <v>0</v>
      </c>
      <c r="M38">
        <v>0</v>
      </c>
      <c r="O38" s="28"/>
      <c r="R38">
        <v>-1</v>
      </c>
      <c r="S38">
        <v>37</v>
      </c>
      <c r="T38">
        <v>17</v>
      </c>
      <c r="U38">
        <v>41</v>
      </c>
      <c r="V38">
        <v>20260909037</v>
      </c>
    </row>
    <row r="39" spans="1:22" x14ac:dyDescent="0.2">
      <c r="A39" s="34" t="s">
        <v>122</v>
      </c>
      <c r="B39" s="28">
        <v>46274</v>
      </c>
      <c r="C39" s="34"/>
      <c r="D39" s="34" t="s">
        <v>123</v>
      </c>
      <c r="E39" s="34" t="s">
        <v>272</v>
      </c>
      <c r="F39" s="34" t="s">
        <v>341</v>
      </c>
      <c r="G39" s="34" t="s">
        <v>273</v>
      </c>
      <c r="H39" s="34" t="s">
        <v>274</v>
      </c>
      <c r="J39">
        <v>0</v>
      </c>
      <c r="K39">
        <v>0</v>
      </c>
      <c r="M39">
        <v>2</v>
      </c>
      <c r="O39" s="28"/>
      <c r="R39">
        <v>-1</v>
      </c>
      <c r="S39">
        <v>38</v>
      </c>
      <c r="T39">
        <v>17</v>
      </c>
      <c r="U39">
        <v>42</v>
      </c>
      <c r="V39">
        <v>20260909038</v>
      </c>
    </row>
    <row r="40" spans="1:22" x14ac:dyDescent="0.2">
      <c r="A40" s="34" t="s">
        <v>122</v>
      </c>
      <c r="B40" s="28">
        <v>46274</v>
      </c>
      <c r="C40" s="34"/>
      <c r="D40" s="34" t="s">
        <v>123</v>
      </c>
      <c r="E40" s="34" t="s">
        <v>275</v>
      </c>
      <c r="F40" s="34" t="s">
        <v>276</v>
      </c>
      <c r="G40" s="34" t="s">
        <v>277</v>
      </c>
      <c r="H40" s="34" t="s">
        <v>278</v>
      </c>
      <c r="J40">
        <v>0</v>
      </c>
      <c r="K40">
        <v>0</v>
      </c>
      <c r="M40">
        <v>0</v>
      </c>
      <c r="O40" s="28"/>
      <c r="R40">
        <v>-1</v>
      </c>
      <c r="S40">
        <v>39</v>
      </c>
      <c r="T40">
        <v>17</v>
      </c>
      <c r="U40">
        <v>43</v>
      </c>
      <c r="V40">
        <v>20260909039</v>
      </c>
    </row>
    <row r="41" spans="1:22" x14ac:dyDescent="0.2">
      <c r="A41" s="34" t="s">
        <v>122</v>
      </c>
      <c r="B41" s="28">
        <v>46274</v>
      </c>
      <c r="C41" s="34"/>
      <c r="D41" s="34" t="s">
        <v>123</v>
      </c>
      <c r="E41" s="34" t="s">
        <v>279</v>
      </c>
      <c r="F41" s="34" t="s">
        <v>280</v>
      </c>
      <c r="G41" s="34" t="s">
        <v>281</v>
      </c>
      <c r="H41" s="34" t="s">
        <v>282</v>
      </c>
      <c r="J41">
        <v>0</v>
      </c>
      <c r="K41">
        <v>0</v>
      </c>
      <c r="M41">
        <v>1</v>
      </c>
      <c r="O41" s="28"/>
      <c r="R41">
        <v>-1</v>
      </c>
      <c r="S41">
        <v>40</v>
      </c>
      <c r="T41">
        <v>17</v>
      </c>
      <c r="U41">
        <v>44</v>
      </c>
      <c r="V41">
        <v>20260909040</v>
      </c>
    </row>
    <row r="42" spans="1:22" x14ac:dyDescent="0.2">
      <c r="A42" s="34" t="s">
        <v>122</v>
      </c>
      <c r="B42" s="28">
        <v>46274</v>
      </c>
      <c r="C42" s="34"/>
      <c r="D42" s="34" t="s">
        <v>123</v>
      </c>
      <c r="E42" s="34" t="s">
        <v>283</v>
      </c>
      <c r="F42" s="34" t="s">
        <v>284</v>
      </c>
      <c r="G42" s="34" t="s">
        <v>285</v>
      </c>
      <c r="H42" s="34" t="s">
        <v>286</v>
      </c>
      <c r="J42">
        <v>0</v>
      </c>
      <c r="K42">
        <v>0</v>
      </c>
      <c r="M42">
        <v>0</v>
      </c>
      <c r="O42" s="28"/>
      <c r="R42">
        <v>-1</v>
      </c>
      <c r="S42">
        <v>41</v>
      </c>
      <c r="T42">
        <v>17</v>
      </c>
      <c r="U42">
        <v>45</v>
      </c>
      <c r="V42">
        <v>20260909041</v>
      </c>
    </row>
    <row r="43" spans="1:22" x14ac:dyDescent="0.2">
      <c r="A43" s="34" t="s">
        <v>122</v>
      </c>
      <c r="B43" s="28">
        <v>46274</v>
      </c>
      <c r="C43" s="34"/>
      <c r="D43" s="34" t="s">
        <v>123</v>
      </c>
      <c r="E43" s="34" t="s">
        <v>287</v>
      </c>
      <c r="F43" s="34" t="s">
        <v>288</v>
      </c>
      <c r="G43" s="34" t="s">
        <v>289</v>
      </c>
      <c r="H43" s="34" t="s">
        <v>290</v>
      </c>
      <c r="J43">
        <v>0</v>
      </c>
      <c r="K43">
        <v>0</v>
      </c>
      <c r="M43">
        <v>4</v>
      </c>
      <c r="O43" s="28"/>
      <c r="R43">
        <v>-1</v>
      </c>
      <c r="S43">
        <v>42</v>
      </c>
      <c r="T43">
        <v>17</v>
      </c>
      <c r="U43">
        <v>46</v>
      </c>
      <c r="V43">
        <v>20260909042</v>
      </c>
    </row>
    <row r="44" spans="1:22" x14ac:dyDescent="0.2">
      <c r="A44" s="34" t="s">
        <v>122</v>
      </c>
      <c r="B44" s="28">
        <v>46274</v>
      </c>
      <c r="C44" s="34"/>
      <c r="D44" s="34" t="s">
        <v>123</v>
      </c>
      <c r="E44" s="34" t="s">
        <v>291</v>
      </c>
      <c r="F44" s="34" t="s">
        <v>342</v>
      </c>
      <c r="G44" s="34" t="s">
        <v>292</v>
      </c>
      <c r="H44" s="34" t="s">
        <v>293</v>
      </c>
      <c r="J44">
        <v>0</v>
      </c>
      <c r="K44">
        <v>0</v>
      </c>
      <c r="M44">
        <v>0</v>
      </c>
      <c r="O44" s="28"/>
      <c r="R44">
        <v>-1</v>
      </c>
      <c r="S44">
        <v>43</v>
      </c>
      <c r="T44">
        <v>17</v>
      </c>
      <c r="U44">
        <v>47</v>
      </c>
      <c r="V44">
        <v>20260909043</v>
      </c>
    </row>
    <row r="45" spans="1:22" x14ac:dyDescent="0.2">
      <c r="A45" s="34" t="s">
        <v>122</v>
      </c>
      <c r="B45" s="28">
        <v>46274</v>
      </c>
      <c r="C45" s="34"/>
      <c r="D45" s="34" t="s">
        <v>123</v>
      </c>
      <c r="E45" s="34" t="s">
        <v>294</v>
      </c>
      <c r="F45" s="34" t="s">
        <v>295</v>
      </c>
      <c r="G45" s="34" t="s">
        <v>296</v>
      </c>
      <c r="H45" s="34" t="s">
        <v>297</v>
      </c>
      <c r="J45">
        <v>0</v>
      </c>
      <c r="K45">
        <v>0</v>
      </c>
      <c r="M45">
        <v>12</v>
      </c>
      <c r="O45" s="28"/>
      <c r="R45">
        <v>-1</v>
      </c>
      <c r="S45">
        <v>44</v>
      </c>
      <c r="T45">
        <v>17</v>
      </c>
      <c r="U45">
        <v>48</v>
      </c>
      <c r="V45">
        <v>20260909044</v>
      </c>
    </row>
    <row r="46" spans="1:22" x14ac:dyDescent="0.2">
      <c r="A46" s="34" t="s">
        <v>122</v>
      </c>
      <c r="B46" s="28">
        <v>46274</v>
      </c>
      <c r="C46" s="34"/>
      <c r="D46" s="34" t="s">
        <v>123</v>
      </c>
      <c r="E46" s="34" t="s">
        <v>298</v>
      </c>
      <c r="F46" s="34" t="s">
        <v>299</v>
      </c>
      <c r="G46" s="34" t="s">
        <v>300</v>
      </c>
      <c r="H46" s="34" t="s">
        <v>301</v>
      </c>
      <c r="J46">
        <v>0</v>
      </c>
      <c r="K46">
        <v>0</v>
      </c>
      <c r="M46">
        <v>0</v>
      </c>
      <c r="O46" s="28"/>
      <c r="R46">
        <v>-1</v>
      </c>
      <c r="S46">
        <v>45</v>
      </c>
      <c r="T46">
        <v>17</v>
      </c>
      <c r="U46">
        <v>49</v>
      </c>
      <c r="V46">
        <v>20260909045</v>
      </c>
    </row>
    <row r="47" spans="1:22" x14ac:dyDescent="0.2">
      <c r="A47" s="34" t="s">
        <v>122</v>
      </c>
      <c r="B47" s="28">
        <v>46274</v>
      </c>
      <c r="C47" s="34"/>
      <c r="D47" s="34" t="s">
        <v>123</v>
      </c>
      <c r="E47" s="34" t="s">
        <v>302</v>
      </c>
      <c r="F47" s="34" t="s">
        <v>303</v>
      </c>
      <c r="G47" s="34" t="s">
        <v>304</v>
      </c>
      <c r="H47" s="34" t="s">
        <v>305</v>
      </c>
      <c r="J47">
        <v>0</v>
      </c>
      <c r="K47">
        <v>0</v>
      </c>
      <c r="M47">
        <v>0</v>
      </c>
      <c r="O47" s="28"/>
      <c r="R47">
        <v>-1</v>
      </c>
      <c r="S47">
        <v>46</v>
      </c>
      <c r="T47">
        <v>17</v>
      </c>
      <c r="U47">
        <v>50</v>
      </c>
      <c r="V47">
        <v>20260909046</v>
      </c>
    </row>
    <row r="48" spans="1:22" x14ac:dyDescent="0.2">
      <c r="A48" s="34" t="s">
        <v>122</v>
      </c>
      <c r="B48" s="28">
        <v>46274</v>
      </c>
      <c r="C48" s="34"/>
      <c r="D48" s="34" t="s">
        <v>123</v>
      </c>
      <c r="E48" s="34" t="s">
        <v>306</v>
      </c>
      <c r="F48" s="34" t="s">
        <v>307</v>
      </c>
      <c r="G48" s="34" t="s">
        <v>308</v>
      </c>
      <c r="H48" s="34" t="s">
        <v>309</v>
      </c>
      <c r="J48">
        <v>0</v>
      </c>
      <c r="K48">
        <v>0</v>
      </c>
      <c r="M48">
        <v>0</v>
      </c>
      <c r="O48" s="28"/>
      <c r="R48">
        <v>-1</v>
      </c>
      <c r="S48">
        <v>47</v>
      </c>
      <c r="T48">
        <v>17</v>
      </c>
      <c r="U48">
        <v>51</v>
      </c>
      <c r="V48">
        <v>20260909047</v>
      </c>
    </row>
    <row r="49" spans="1:22" x14ac:dyDescent="0.2">
      <c r="A49" s="34" t="s">
        <v>122</v>
      </c>
      <c r="B49" s="28">
        <v>46274</v>
      </c>
      <c r="C49" s="34"/>
      <c r="D49" s="34" t="s">
        <v>123</v>
      </c>
      <c r="E49" s="34" t="s">
        <v>310</v>
      </c>
      <c r="F49" s="34" t="s">
        <v>311</v>
      </c>
      <c r="G49" s="34" t="s">
        <v>312</v>
      </c>
      <c r="H49" s="34" t="s">
        <v>313</v>
      </c>
      <c r="J49">
        <v>0</v>
      </c>
      <c r="K49">
        <v>0</v>
      </c>
      <c r="M49">
        <v>1</v>
      </c>
      <c r="O49" s="28"/>
      <c r="R49">
        <v>-1</v>
      </c>
      <c r="S49">
        <v>48</v>
      </c>
      <c r="T49">
        <v>17</v>
      </c>
      <c r="U49">
        <v>52</v>
      </c>
      <c r="V49">
        <v>20260909048</v>
      </c>
    </row>
    <row r="50" spans="1:22" x14ac:dyDescent="0.2">
      <c r="A50" s="34" t="s">
        <v>122</v>
      </c>
      <c r="B50" s="28">
        <v>46274</v>
      </c>
      <c r="C50" s="34"/>
      <c r="D50" s="34" t="s">
        <v>123</v>
      </c>
      <c r="E50" s="34" t="s">
        <v>314</v>
      </c>
      <c r="F50" s="34" t="s">
        <v>315</v>
      </c>
      <c r="G50" s="34" t="s">
        <v>316</v>
      </c>
      <c r="H50" s="34" t="s">
        <v>317</v>
      </c>
      <c r="J50">
        <v>0</v>
      </c>
      <c r="K50">
        <v>0</v>
      </c>
      <c r="M50">
        <v>2</v>
      </c>
      <c r="O50" s="28"/>
      <c r="R50">
        <v>-1</v>
      </c>
      <c r="S50">
        <v>49</v>
      </c>
      <c r="T50">
        <v>17</v>
      </c>
      <c r="U50">
        <v>53</v>
      </c>
      <c r="V50">
        <v>20260909049</v>
      </c>
    </row>
    <row r="51" spans="1:22" x14ac:dyDescent="0.2">
      <c r="A51" s="34" t="s">
        <v>122</v>
      </c>
      <c r="B51" s="28">
        <v>46274</v>
      </c>
      <c r="C51" s="34"/>
      <c r="D51" s="34" t="s">
        <v>123</v>
      </c>
      <c r="E51" s="34" t="s">
        <v>318</v>
      </c>
      <c r="F51" s="34" t="s">
        <v>319</v>
      </c>
      <c r="G51" s="34" t="s">
        <v>320</v>
      </c>
      <c r="H51" s="34" t="s">
        <v>321</v>
      </c>
      <c r="J51">
        <v>0</v>
      </c>
      <c r="K51">
        <v>0</v>
      </c>
      <c r="M51">
        <v>0</v>
      </c>
      <c r="O51" s="28"/>
      <c r="R51">
        <v>-1</v>
      </c>
      <c r="S51">
        <v>50</v>
      </c>
      <c r="T51">
        <v>17</v>
      </c>
      <c r="U51">
        <v>54</v>
      </c>
      <c r="V51">
        <v>20260909050</v>
      </c>
    </row>
    <row r="52" spans="1:22" x14ac:dyDescent="0.2">
      <c r="A52" s="34" t="s">
        <v>122</v>
      </c>
      <c r="B52" s="28">
        <v>46274</v>
      </c>
      <c r="C52" s="34"/>
      <c r="D52" s="34" t="s">
        <v>123</v>
      </c>
      <c r="E52" s="34" t="s">
        <v>322</v>
      </c>
      <c r="F52" s="34" t="s">
        <v>323</v>
      </c>
      <c r="G52" s="34" t="s">
        <v>324</v>
      </c>
      <c r="H52" s="34" t="s">
        <v>325</v>
      </c>
      <c r="J52">
        <v>0</v>
      </c>
      <c r="K52">
        <v>0</v>
      </c>
      <c r="M52">
        <v>0</v>
      </c>
      <c r="O52" s="28"/>
      <c r="R52">
        <v>-1</v>
      </c>
      <c r="S52">
        <v>51</v>
      </c>
      <c r="T52">
        <v>17</v>
      </c>
      <c r="U52">
        <v>55</v>
      </c>
      <c r="V52">
        <v>20260909051</v>
      </c>
    </row>
    <row r="53" spans="1:22" x14ac:dyDescent="0.2">
      <c r="A53" s="34" t="s">
        <v>122</v>
      </c>
      <c r="B53" s="28">
        <v>46274</v>
      </c>
      <c r="C53" s="34"/>
      <c r="D53" s="34" t="s">
        <v>123</v>
      </c>
      <c r="E53" s="34" t="s">
        <v>326</v>
      </c>
      <c r="F53" s="34" t="s">
        <v>327</v>
      </c>
      <c r="G53" s="34" t="s">
        <v>328</v>
      </c>
      <c r="H53" s="34" t="s">
        <v>329</v>
      </c>
      <c r="J53">
        <v>0</v>
      </c>
      <c r="K53">
        <v>0</v>
      </c>
      <c r="M53">
        <v>3</v>
      </c>
      <c r="O53" s="28"/>
      <c r="R53">
        <v>-1</v>
      </c>
      <c r="S53">
        <v>52</v>
      </c>
      <c r="T53">
        <v>17</v>
      </c>
      <c r="U53">
        <v>73</v>
      </c>
      <c r="V53">
        <v>20260909052</v>
      </c>
    </row>
    <row r="54" spans="1:22" x14ac:dyDescent="0.2">
      <c r="A54" s="34" t="s">
        <v>122</v>
      </c>
      <c r="B54" s="28">
        <v>46274</v>
      </c>
      <c r="C54" s="34"/>
      <c r="D54" s="34" t="s">
        <v>123</v>
      </c>
      <c r="E54" s="34" t="s">
        <v>330</v>
      </c>
      <c r="F54" s="34" t="s">
        <v>331</v>
      </c>
      <c r="G54" s="34" t="s">
        <v>332</v>
      </c>
      <c r="H54" s="34" t="s">
        <v>333</v>
      </c>
      <c r="J54">
        <v>0</v>
      </c>
      <c r="K54">
        <v>0</v>
      </c>
      <c r="M54">
        <v>0</v>
      </c>
      <c r="O54" s="28"/>
      <c r="R54">
        <v>-1</v>
      </c>
      <c r="S54">
        <v>53</v>
      </c>
      <c r="T54">
        <v>17</v>
      </c>
      <c r="U54">
        <v>74</v>
      </c>
      <c r="V54">
        <v>20260909053</v>
      </c>
    </row>
    <row r="55" spans="1:22" x14ac:dyDescent="0.2">
      <c r="A55" s="34" t="s">
        <v>122</v>
      </c>
      <c r="B55" s="28">
        <v>46274</v>
      </c>
      <c r="C55" s="34"/>
      <c r="D55" s="34" t="s">
        <v>123</v>
      </c>
      <c r="E55" s="34" t="s">
        <v>334</v>
      </c>
      <c r="F55" s="34" t="s">
        <v>335</v>
      </c>
      <c r="G55" s="34" t="s">
        <v>336</v>
      </c>
      <c r="H55" s="34" t="s">
        <v>337</v>
      </c>
      <c r="J55">
        <v>0</v>
      </c>
      <c r="K55">
        <v>0</v>
      </c>
      <c r="M55">
        <v>3</v>
      </c>
      <c r="O55" s="28"/>
      <c r="R55">
        <v>-1</v>
      </c>
      <c r="S55">
        <v>54</v>
      </c>
      <c r="T55">
        <v>17</v>
      </c>
      <c r="U55">
        <v>75</v>
      </c>
      <c r="V55">
        <v>20260909054</v>
      </c>
    </row>
    <row r="56" spans="1:22" x14ac:dyDescent="0.2">
      <c r="A56" s="34" t="s">
        <v>122</v>
      </c>
      <c r="B56" s="28">
        <v>46275</v>
      </c>
      <c r="C56" s="34"/>
      <c r="D56" s="34" t="s">
        <v>123</v>
      </c>
      <c r="E56" s="34" t="s">
        <v>124</v>
      </c>
      <c r="F56" s="34" t="s">
        <v>125</v>
      </c>
      <c r="G56" s="34" t="s">
        <v>126</v>
      </c>
      <c r="H56" s="34" t="s">
        <v>127</v>
      </c>
      <c r="I56">
        <v>0</v>
      </c>
      <c r="J56">
        <v>0</v>
      </c>
      <c r="K56">
        <v>1</v>
      </c>
      <c r="L56">
        <v>-1</v>
      </c>
      <c r="O56" s="28">
        <v>46274</v>
      </c>
      <c r="R56">
        <v>-1</v>
      </c>
      <c r="S56">
        <v>1</v>
      </c>
      <c r="T56">
        <v>16</v>
      </c>
      <c r="U56">
        <v>1</v>
      </c>
      <c r="V56">
        <v>20260910001</v>
      </c>
    </row>
    <row r="57" spans="1:22" x14ac:dyDescent="0.2">
      <c r="A57" s="34" t="s">
        <v>122</v>
      </c>
      <c r="B57" s="28">
        <v>46275</v>
      </c>
      <c r="C57" s="34"/>
      <c r="D57" s="34" t="s">
        <v>123</v>
      </c>
      <c r="E57" s="34" t="s">
        <v>128</v>
      </c>
      <c r="F57" s="34" t="s">
        <v>129</v>
      </c>
      <c r="G57" s="34" t="s">
        <v>130</v>
      </c>
      <c r="H57" s="34" t="s">
        <v>131</v>
      </c>
      <c r="I57">
        <v>0</v>
      </c>
      <c r="J57">
        <v>0</v>
      </c>
      <c r="K57">
        <v>1</v>
      </c>
      <c r="L57">
        <v>-1</v>
      </c>
      <c r="O57" s="28">
        <v>46274</v>
      </c>
      <c r="R57">
        <v>-1</v>
      </c>
      <c r="S57">
        <v>2</v>
      </c>
      <c r="T57">
        <v>16</v>
      </c>
      <c r="U57">
        <v>2</v>
      </c>
      <c r="V57">
        <v>20260910002</v>
      </c>
    </row>
    <row r="58" spans="1:22" x14ac:dyDescent="0.2">
      <c r="A58" s="34" t="s">
        <v>122</v>
      </c>
      <c r="B58" s="28">
        <v>46275</v>
      </c>
      <c r="C58" s="34"/>
      <c r="D58" s="34" t="s">
        <v>123</v>
      </c>
      <c r="E58" s="34" t="s">
        <v>132</v>
      </c>
      <c r="F58" s="34" t="s">
        <v>133</v>
      </c>
      <c r="G58" s="34" t="s">
        <v>134</v>
      </c>
      <c r="H58" s="34" t="s">
        <v>135</v>
      </c>
      <c r="I58">
        <v>0</v>
      </c>
      <c r="J58">
        <v>0</v>
      </c>
      <c r="K58">
        <v>1</v>
      </c>
      <c r="L58">
        <v>-1</v>
      </c>
      <c r="O58" s="28">
        <v>46274</v>
      </c>
      <c r="R58">
        <v>-1</v>
      </c>
      <c r="S58">
        <v>3</v>
      </c>
      <c r="T58">
        <v>16</v>
      </c>
      <c r="U58">
        <v>3</v>
      </c>
      <c r="V58">
        <v>20260910003</v>
      </c>
    </row>
    <row r="59" spans="1:22" x14ac:dyDescent="0.2">
      <c r="A59" s="34" t="s">
        <v>122</v>
      </c>
      <c r="B59" s="28">
        <v>46275</v>
      </c>
      <c r="C59" s="34"/>
      <c r="D59" s="34" t="s">
        <v>123</v>
      </c>
      <c r="E59" s="34" t="s">
        <v>136</v>
      </c>
      <c r="F59" s="34" t="s">
        <v>137</v>
      </c>
      <c r="G59" s="34" t="s">
        <v>138</v>
      </c>
      <c r="H59" s="34" t="s">
        <v>139</v>
      </c>
      <c r="I59">
        <v>0</v>
      </c>
      <c r="J59">
        <v>0</v>
      </c>
      <c r="K59">
        <v>1</v>
      </c>
      <c r="L59">
        <v>-1</v>
      </c>
      <c r="O59" s="28">
        <v>46274</v>
      </c>
      <c r="R59">
        <v>-1</v>
      </c>
      <c r="S59">
        <v>4</v>
      </c>
      <c r="T59">
        <v>16</v>
      </c>
      <c r="U59">
        <v>4</v>
      </c>
      <c r="V59">
        <v>20260910004</v>
      </c>
    </row>
    <row r="60" spans="1:22" x14ac:dyDescent="0.2">
      <c r="A60" s="34" t="s">
        <v>122</v>
      </c>
      <c r="B60" s="28">
        <v>46275</v>
      </c>
      <c r="C60" s="34"/>
      <c r="D60" s="34" t="s">
        <v>123</v>
      </c>
      <c r="E60" s="34" t="s">
        <v>140</v>
      </c>
      <c r="F60" s="34" t="s">
        <v>141</v>
      </c>
      <c r="G60" s="34" t="s">
        <v>142</v>
      </c>
      <c r="H60" s="34" t="s">
        <v>143</v>
      </c>
      <c r="I60">
        <v>0</v>
      </c>
      <c r="J60">
        <v>0</v>
      </c>
      <c r="K60">
        <v>1</v>
      </c>
      <c r="L60">
        <v>-1</v>
      </c>
      <c r="O60" s="28">
        <v>46274</v>
      </c>
      <c r="R60">
        <v>-1</v>
      </c>
      <c r="S60">
        <v>5</v>
      </c>
      <c r="T60">
        <v>16</v>
      </c>
      <c r="U60">
        <v>5</v>
      </c>
      <c r="V60">
        <v>20260910005</v>
      </c>
    </row>
    <row r="61" spans="1:22" x14ac:dyDescent="0.2">
      <c r="A61" s="34" t="s">
        <v>122</v>
      </c>
      <c r="B61" s="28">
        <v>46275</v>
      </c>
      <c r="C61" s="34"/>
      <c r="D61" s="34" t="s">
        <v>123</v>
      </c>
      <c r="E61" s="34" t="s">
        <v>144</v>
      </c>
      <c r="F61" s="34" t="s">
        <v>145</v>
      </c>
      <c r="G61" s="34" t="s">
        <v>146</v>
      </c>
      <c r="H61" s="34" t="s">
        <v>147</v>
      </c>
      <c r="I61">
        <v>0</v>
      </c>
      <c r="J61">
        <v>0</v>
      </c>
      <c r="K61">
        <v>1</v>
      </c>
      <c r="L61">
        <v>-1</v>
      </c>
      <c r="O61" s="28">
        <v>46274</v>
      </c>
      <c r="R61">
        <v>-1</v>
      </c>
      <c r="S61">
        <v>6</v>
      </c>
      <c r="T61">
        <v>16</v>
      </c>
      <c r="U61">
        <v>6</v>
      </c>
      <c r="V61">
        <v>20260910006</v>
      </c>
    </row>
    <row r="62" spans="1:22" x14ac:dyDescent="0.2">
      <c r="A62" s="34" t="s">
        <v>122</v>
      </c>
      <c r="B62" s="28">
        <v>46275</v>
      </c>
      <c r="C62" s="34"/>
      <c r="D62" s="34" t="s">
        <v>123</v>
      </c>
      <c r="E62" s="34" t="s">
        <v>148</v>
      </c>
      <c r="F62" s="34" t="s">
        <v>149</v>
      </c>
      <c r="G62" s="34" t="s">
        <v>150</v>
      </c>
      <c r="H62" s="34" t="s">
        <v>151</v>
      </c>
      <c r="I62">
        <v>0</v>
      </c>
      <c r="J62">
        <v>0</v>
      </c>
      <c r="K62">
        <v>3</v>
      </c>
      <c r="L62">
        <v>-3</v>
      </c>
      <c r="O62" s="28">
        <v>46274</v>
      </c>
      <c r="R62">
        <v>-1</v>
      </c>
      <c r="S62">
        <v>7</v>
      </c>
      <c r="T62">
        <v>16</v>
      </c>
      <c r="U62">
        <v>7</v>
      </c>
      <c r="V62">
        <v>20260910007</v>
      </c>
    </row>
    <row r="63" spans="1:22" x14ac:dyDescent="0.2">
      <c r="A63" s="34" t="s">
        <v>122</v>
      </c>
      <c r="B63" s="28">
        <v>46275</v>
      </c>
      <c r="C63" s="34"/>
      <c r="D63" s="34" t="s">
        <v>123</v>
      </c>
      <c r="E63" s="34" t="s">
        <v>152</v>
      </c>
      <c r="F63" s="34" t="s">
        <v>153</v>
      </c>
      <c r="G63" s="34" t="s">
        <v>154</v>
      </c>
      <c r="H63" s="34" t="s">
        <v>155</v>
      </c>
      <c r="I63">
        <v>0</v>
      </c>
      <c r="J63">
        <v>0</v>
      </c>
      <c r="K63">
        <v>1</v>
      </c>
      <c r="L63">
        <v>-1</v>
      </c>
      <c r="O63" s="28">
        <v>46274</v>
      </c>
      <c r="R63">
        <v>-1</v>
      </c>
      <c r="S63">
        <v>8</v>
      </c>
      <c r="T63">
        <v>16</v>
      </c>
      <c r="U63">
        <v>8</v>
      </c>
      <c r="V63">
        <v>20260910008</v>
      </c>
    </row>
    <row r="64" spans="1:22" x14ac:dyDescent="0.2">
      <c r="A64" s="34" t="s">
        <v>122</v>
      </c>
      <c r="B64" s="28">
        <v>46275</v>
      </c>
      <c r="C64" s="34"/>
      <c r="D64" s="34" t="s">
        <v>123</v>
      </c>
      <c r="E64" s="34" t="s">
        <v>156</v>
      </c>
      <c r="F64" s="34" t="s">
        <v>157</v>
      </c>
      <c r="G64" s="34" t="s">
        <v>158</v>
      </c>
      <c r="H64" s="34" t="s">
        <v>159</v>
      </c>
      <c r="I64">
        <v>0</v>
      </c>
      <c r="J64">
        <v>0</v>
      </c>
      <c r="K64">
        <v>3</v>
      </c>
      <c r="L64">
        <v>-3</v>
      </c>
      <c r="O64" s="28">
        <v>46274</v>
      </c>
      <c r="R64">
        <v>-1</v>
      </c>
      <c r="S64">
        <v>9</v>
      </c>
      <c r="T64">
        <v>16</v>
      </c>
      <c r="U64">
        <v>9</v>
      </c>
      <c r="V64">
        <v>20260910009</v>
      </c>
    </row>
    <row r="65" spans="1:22" x14ac:dyDescent="0.2">
      <c r="A65" s="34" t="s">
        <v>122</v>
      </c>
      <c r="B65" s="28">
        <v>46275</v>
      </c>
      <c r="C65" s="34"/>
      <c r="D65" s="34" t="s">
        <v>123</v>
      </c>
      <c r="E65" s="34" t="s">
        <v>160</v>
      </c>
      <c r="F65" s="34" t="s">
        <v>161</v>
      </c>
      <c r="G65" s="34" t="s">
        <v>162</v>
      </c>
      <c r="H65" s="34" t="s">
        <v>163</v>
      </c>
      <c r="I65">
        <v>0</v>
      </c>
      <c r="J65">
        <v>0</v>
      </c>
      <c r="K65">
        <v>1</v>
      </c>
      <c r="L65">
        <v>-1</v>
      </c>
      <c r="O65" s="28">
        <v>46274</v>
      </c>
      <c r="R65">
        <v>-1</v>
      </c>
      <c r="S65">
        <v>10</v>
      </c>
      <c r="T65">
        <v>16</v>
      </c>
      <c r="U65">
        <v>10</v>
      </c>
      <c r="V65">
        <v>20260910010</v>
      </c>
    </row>
    <row r="66" spans="1:22" x14ac:dyDescent="0.2">
      <c r="A66" s="34" t="s">
        <v>122</v>
      </c>
      <c r="B66" s="28">
        <v>46275</v>
      </c>
      <c r="C66" s="34"/>
      <c r="D66" s="34" t="s">
        <v>123</v>
      </c>
      <c r="E66" s="34" t="s">
        <v>164</v>
      </c>
      <c r="F66" s="34" t="s">
        <v>165</v>
      </c>
      <c r="G66" s="34" t="s">
        <v>166</v>
      </c>
      <c r="H66" s="34" t="s">
        <v>167</v>
      </c>
      <c r="I66">
        <v>0</v>
      </c>
      <c r="J66">
        <v>0</v>
      </c>
      <c r="K66">
        <v>2</v>
      </c>
      <c r="L66">
        <v>-2</v>
      </c>
      <c r="O66" s="28">
        <v>46274</v>
      </c>
      <c r="R66">
        <v>-1</v>
      </c>
      <c r="S66">
        <v>11</v>
      </c>
      <c r="T66">
        <v>16</v>
      </c>
      <c r="U66">
        <v>11</v>
      </c>
      <c r="V66">
        <v>20260910011</v>
      </c>
    </row>
    <row r="67" spans="1:22" x14ac:dyDescent="0.2">
      <c r="A67" s="34" t="s">
        <v>122</v>
      </c>
      <c r="B67" s="28">
        <v>46275</v>
      </c>
      <c r="C67" s="34"/>
      <c r="D67" s="34" t="s">
        <v>123</v>
      </c>
      <c r="E67" s="34" t="s">
        <v>168</v>
      </c>
      <c r="F67" s="34" t="s">
        <v>169</v>
      </c>
      <c r="G67" s="34" t="s">
        <v>170</v>
      </c>
      <c r="H67" s="34" t="s">
        <v>171</v>
      </c>
      <c r="I67">
        <v>0</v>
      </c>
      <c r="J67">
        <v>0</v>
      </c>
      <c r="K67">
        <v>3</v>
      </c>
      <c r="L67">
        <v>-3</v>
      </c>
      <c r="O67" s="28">
        <v>46274</v>
      </c>
      <c r="R67">
        <v>-1</v>
      </c>
      <c r="S67">
        <v>12</v>
      </c>
      <c r="T67">
        <v>16</v>
      </c>
      <c r="U67">
        <v>12</v>
      </c>
      <c r="V67">
        <v>20260910012</v>
      </c>
    </row>
    <row r="68" spans="1:22" x14ac:dyDescent="0.2">
      <c r="A68" s="34" t="s">
        <v>122</v>
      </c>
      <c r="B68" s="28">
        <v>46275</v>
      </c>
      <c r="C68" s="34"/>
      <c r="D68" s="34" t="s">
        <v>123</v>
      </c>
      <c r="E68" s="34" t="s">
        <v>172</v>
      </c>
      <c r="F68" s="34" t="s">
        <v>173</v>
      </c>
      <c r="G68" s="34" t="s">
        <v>174</v>
      </c>
      <c r="H68" s="34" t="s">
        <v>175</v>
      </c>
      <c r="I68">
        <v>0</v>
      </c>
      <c r="J68">
        <v>0</v>
      </c>
      <c r="K68">
        <v>1</v>
      </c>
      <c r="L68">
        <v>-1</v>
      </c>
      <c r="O68" s="28">
        <v>46274</v>
      </c>
      <c r="R68">
        <v>-1</v>
      </c>
      <c r="S68">
        <v>13</v>
      </c>
      <c r="T68">
        <v>16</v>
      </c>
      <c r="U68">
        <v>13</v>
      </c>
      <c r="V68">
        <v>20260910013</v>
      </c>
    </row>
    <row r="69" spans="1:22" x14ac:dyDescent="0.2">
      <c r="A69" s="34" t="s">
        <v>122</v>
      </c>
      <c r="B69" s="28">
        <v>46275</v>
      </c>
      <c r="C69" s="34"/>
      <c r="D69" s="34" t="s">
        <v>123</v>
      </c>
      <c r="E69" s="34" t="s">
        <v>176</v>
      </c>
      <c r="F69" s="34" t="s">
        <v>177</v>
      </c>
      <c r="G69" s="34" t="s">
        <v>178</v>
      </c>
      <c r="H69" s="34" t="s">
        <v>179</v>
      </c>
      <c r="I69">
        <v>0</v>
      </c>
      <c r="J69">
        <v>0</v>
      </c>
      <c r="K69">
        <v>1</v>
      </c>
      <c r="L69">
        <v>-1</v>
      </c>
      <c r="O69" s="28">
        <v>46274</v>
      </c>
      <c r="R69">
        <v>-1</v>
      </c>
      <c r="S69">
        <v>14</v>
      </c>
      <c r="T69">
        <v>16</v>
      </c>
      <c r="U69">
        <v>14</v>
      </c>
      <c r="V69">
        <v>20260910014</v>
      </c>
    </row>
    <row r="70" spans="1:22" x14ac:dyDescent="0.2">
      <c r="A70" s="34" t="s">
        <v>122</v>
      </c>
      <c r="B70" s="28">
        <v>46275</v>
      </c>
      <c r="C70" s="34"/>
      <c r="D70" s="34" t="s">
        <v>123</v>
      </c>
      <c r="E70" s="34" t="s">
        <v>180</v>
      </c>
      <c r="F70" s="34" t="s">
        <v>181</v>
      </c>
      <c r="G70" s="34" t="s">
        <v>182</v>
      </c>
      <c r="H70" s="34" t="s">
        <v>183</v>
      </c>
      <c r="I70">
        <v>0</v>
      </c>
      <c r="J70">
        <v>0</v>
      </c>
      <c r="K70">
        <v>2</v>
      </c>
      <c r="L70">
        <v>-2</v>
      </c>
      <c r="O70" s="28">
        <v>46274</v>
      </c>
      <c r="R70">
        <v>-1</v>
      </c>
      <c r="S70">
        <v>15</v>
      </c>
      <c r="T70">
        <v>16</v>
      </c>
      <c r="U70">
        <v>15</v>
      </c>
      <c r="V70">
        <v>20260910015</v>
      </c>
    </row>
    <row r="71" spans="1:22" x14ac:dyDescent="0.2">
      <c r="A71" s="34" t="s">
        <v>122</v>
      </c>
      <c r="B71" s="28">
        <v>46275</v>
      </c>
      <c r="C71" s="34"/>
      <c r="D71" s="34" t="s">
        <v>123</v>
      </c>
      <c r="E71" s="34" t="s">
        <v>184</v>
      </c>
      <c r="F71" s="34" t="s">
        <v>185</v>
      </c>
      <c r="G71" s="34" t="s">
        <v>186</v>
      </c>
      <c r="H71" s="34" t="s">
        <v>187</v>
      </c>
      <c r="I71">
        <v>0</v>
      </c>
      <c r="J71">
        <v>0</v>
      </c>
      <c r="K71">
        <v>1</v>
      </c>
      <c r="L71">
        <v>-1</v>
      </c>
      <c r="O71" s="28">
        <v>46274</v>
      </c>
      <c r="R71">
        <v>-1</v>
      </c>
      <c r="S71">
        <v>16</v>
      </c>
      <c r="T71">
        <v>16</v>
      </c>
      <c r="U71">
        <v>16</v>
      </c>
      <c r="V71">
        <v>20260910016</v>
      </c>
    </row>
    <row r="72" spans="1:22" x14ac:dyDescent="0.2">
      <c r="A72" s="34" t="s">
        <v>122</v>
      </c>
      <c r="B72" s="28">
        <v>46275</v>
      </c>
      <c r="C72" s="34"/>
      <c r="D72" s="34" t="s">
        <v>123</v>
      </c>
      <c r="E72" s="34" t="s">
        <v>188</v>
      </c>
      <c r="F72" s="34" t="s">
        <v>189</v>
      </c>
      <c r="G72" s="34" t="s">
        <v>190</v>
      </c>
      <c r="H72" s="34" t="s">
        <v>191</v>
      </c>
      <c r="I72">
        <v>0</v>
      </c>
      <c r="J72">
        <v>0</v>
      </c>
      <c r="K72">
        <v>1</v>
      </c>
      <c r="L72">
        <v>-1</v>
      </c>
      <c r="O72" s="28">
        <v>46274</v>
      </c>
      <c r="R72">
        <v>-1</v>
      </c>
      <c r="S72">
        <v>17</v>
      </c>
      <c r="T72">
        <v>16</v>
      </c>
      <c r="U72">
        <v>21</v>
      </c>
      <c r="V72">
        <v>20260910017</v>
      </c>
    </row>
    <row r="73" spans="1:22" x14ac:dyDescent="0.2">
      <c r="A73" s="34" t="s">
        <v>122</v>
      </c>
      <c r="B73" s="28">
        <v>46275</v>
      </c>
      <c r="C73" s="34"/>
      <c r="D73" s="34" t="s">
        <v>123</v>
      </c>
      <c r="E73" s="34" t="s">
        <v>192</v>
      </c>
      <c r="F73" s="34" t="s">
        <v>193</v>
      </c>
      <c r="G73" s="34" t="s">
        <v>194</v>
      </c>
      <c r="H73" s="34" t="s">
        <v>195</v>
      </c>
      <c r="I73">
        <v>0</v>
      </c>
      <c r="J73">
        <v>0</v>
      </c>
      <c r="K73">
        <v>1</v>
      </c>
      <c r="L73">
        <v>-1</v>
      </c>
      <c r="O73" s="28">
        <v>46274</v>
      </c>
      <c r="R73">
        <v>-1</v>
      </c>
      <c r="S73">
        <v>18</v>
      </c>
      <c r="T73">
        <v>16</v>
      </c>
      <c r="U73">
        <v>22</v>
      </c>
      <c r="V73">
        <v>20260910018</v>
      </c>
    </row>
    <row r="74" spans="1:22" x14ac:dyDescent="0.2">
      <c r="A74" s="34" t="s">
        <v>122</v>
      </c>
      <c r="B74" s="28">
        <v>46275</v>
      </c>
      <c r="C74" s="34"/>
      <c r="D74" s="34" t="s">
        <v>123</v>
      </c>
      <c r="E74" s="34" t="s">
        <v>196</v>
      </c>
      <c r="F74" s="34" t="s">
        <v>197</v>
      </c>
      <c r="G74" s="34" t="s">
        <v>198</v>
      </c>
      <c r="H74" s="34" t="s">
        <v>199</v>
      </c>
      <c r="I74">
        <v>7</v>
      </c>
      <c r="J74">
        <v>0</v>
      </c>
      <c r="K74">
        <v>11</v>
      </c>
      <c r="L74">
        <v>-4</v>
      </c>
      <c r="O74" s="28">
        <v>46274</v>
      </c>
      <c r="R74">
        <v>-1</v>
      </c>
      <c r="S74">
        <v>19</v>
      </c>
      <c r="T74">
        <v>16</v>
      </c>
      <c r="U74">
        <v>23</v>
      </c>
      <c r="V74">
        <v>20260910019</v>
      </c>
    </row>
    <row r="75" spans="1:22" x14ac:dyDescent="0.2">
      <c r="A75" s="34" t="s">
        <v>122</v>
      </c>
      <c r="B75" s="28">
        <v>46275</v>
      </c>
      <c r="C75" s="34"/>
      <c r="D75" s="34" t="s">
        <v>123</v>
      </c>
      <c r="E75" s="34" t="s">
        <v>200</v>
      </c>
      <c r="F75" s="34" t="s">
        <v>201</v>
      </c>
      <c r="G75" s="34" t="s">
        <v>202</v>
      </c>
      <c r="H75" s="34" t="s">
        <v>203</v>
      </c>
      <c r="I75">
        <v>0</v>
      </c>
      <c r="J75">
        <v>0</v>
      </c>
      <c r="K75">
        <v>1</v>
      </c>
      <c r="L75">
        <v>-1</v>
      </c>
      <c r="O75" s="28">
        <v>46274</v>
      </c>
      <c r="R75">
        <v>-1</v>
      </c>
      <c r="S75">
        <v>20</v>
      </c>
      <c r="T75">
        <v>16</v>
      </c>
      <c r="U75">
        <v>24</v>
      </c>
      <c r="V75">
        <v>20260910020</v>
      </c>
    </row>
    <row r="76" spans="1:22" x14ac:dyDescent="0.2">
      <c r="A76" s="34" t="s">
        <v>122</v>
      </c>
      <c r="B76" s="28">
        <v>46275</v>
      </c>
      <c r="C76" s="34"/>
      <c r="D76" s="34" t="s">
        <v>123</v>
      </c>
      <c r="E76" s="34" t="s">
        <v>204</v>
      </c>
      <c r="F76" s="34" t="s">
        <v>205</v>
      </c>
      <c r="G76" s="34" t="s">
        <v>206</v>
      </c>
      <c r="H76" s="34" t="s">
        <v>207</v>
      </c>
      <c r="I76">
        <v>0</v>
      </c>
      <c r="J76">
        <v>0</v>
      </c>
      <c r="K76">
        <v>1</v>
      </c>
      <c r="L76">
        <v>-1</v>
      </c>
      <c r="O76" s="28">
        <v>46274</v>
      </c>
      <c r="R76">
        <v>-1</v>
      </c>
      <c r="S76">
        <v>21</v>
      </c>
      <c r="T76">
        <v>16</v>
      </c>
      <c r="U76">
        <v>25</v>
      </c>
      <c r="V76">
        <v>20260910021</v>
      </c>
    </row>
    <row r="77" spans="1:22" x14ac:dyDescent="0.2">
      <c r="A77" s="34" t="s">
        <v>122</v>
      </c>
      <c r="B77" s="28">
        <v>46275</v>
      </c>
      <c r="C77" s="34"/>
      <c r="D77" s="34" t="s">
        <v>123</v>
      </c>
      <c r="E77" s="34" t="s">
        <v>208</v>
      </c>
      <c r="F77" s="34" t="s">
        <v>209</v>
      </c>
      <c r="G77" s="34" t="s">
        <v>210</v>
      </c>
      <c r="H77" s="34" t="s">
        <v>211</v>
      </c>
      <c r="I77">
        <v>0</v>
      </c>
      <c r="J77">
        <v>0</v>
      </c>
      <c r="K77">
        <v>1</v>
      </c>
      <c r="L77">
        <v>-1</v>
      </c>
      <c r="O77" s="28">
        <v>46274</v>
      </c>
      <c r="R77">
        <v>-1</v>
      </c>
      <c r="S77">
        <v>22</v>
      </c>
      <c r="T77">
        <v>16</v>
      </c>
      <c r="U77">
        <v>26</v>
      </c>
      <c r="V77">
        <v>20260910022</v>
      </c>
    </row>
    <row r="78" spans="1:22" x14ac:dyDescent="0.2">
      <c r="A78" s="34" t="s">
        <v>122</v>
      </c>
      <c r="B78" s="28">
        <v>46275</v>
      </c>
      <c r="C78" s="34"/>
      <c r="D78" s="34" t="s">
        <v>123</v>
      </c>
      <c r="E78" s="34" t="s">
        <v>212</v>
      </c>
      <c r="F78" s="34" t="s">
        <v>213</v>
      </c>
      <c r="G78" s="34" t="s">
        <v>214</v>
      </c>
      <c r="H78" s="34" t="s">
        <v>215</v>
      </c>
      <c r="I78">
        <v>0</v>
      </c>
      <c r="J78">
        <v>0</v>
      </c>
      <c r="K78">
        <v>11</v>
      </c>
      <c r="L78">
        <v>-11</v>
      </c>
      <c r="O78" s="28">
        <v>46274</v>
      </c>
      <c r="R78">
        <v>-1</v>
      </c>
      <c r="S78">
        <v>23</v>
      </c>
      <c r="T78">
        <v>16</v>
      </c>
      <c r="U78">
        <v>27</v>
      </c>
      <c r="V78">
        <v>20260910023</v>
      </c>
    </row>
    <row r="79" spans="1:22" x14ac:dyDescent="0.2">
      <c r="A79" s="34" t="s">
        <v>122</v>
      </c>
      <c r="B79" s="28">
        <v>46275</v>
      </c>
      <c r="C79" s="34"/>
      <c r="D79" s="34" t="s">
        <v>123</v>
      </c>
      <c r="E79" s="34" t="s">
        <v>216</v>
      </c>
      <c r="F79" s="34" t="s">
        <v>217</v>
      </c>
      <c r="G79" s="34" t="s">
        <v>218</v>
      </c>
      <c r="H79" s="34" t="s">
        <v>219</v>
      </c>
      <c r="I79">
        <v>0</v>
      </c>
      <c r="J79">
        <v>0</v>
      </c>
      <c r="K79">
        <v>1</v>
      </c>
      <c r="L79">
        <v>-1</v>
      </c>
      <c r="O79" s="28">
        <v>46274</v>
      </c>
      <c r="R79">
        <v>-1</v>
      </c>
      <c r="S79">
        <v>24</v>
      </c>
      <c r="T79">
        <v>16</v>
      </c>
      <c r="U79">
        <v>28</v>
      </c>
      <c r="V79">
        <v>20260910024</v>
      </c>
    </row>
    <row r="80" spans="1:22" x14ac:dyDescent="0.2">
      <c r="A80" s="34" t="s">
        <v>122</v>
      </c>
      <c r="B80" s="28">
        <v>46275</v>
      </c>
      <c r="C80" s="34"/>
      <c r="D80" s="34" t="s">
        <v>123</v>
      </c>
      <c r="E80" s="34" t="s">
        <v>220</v>
      </c>
      <c r="F80" s="34" t="s">
        <v>221</v>
      </c>
      <c r="G80" s="34" t="s">
        <v>222</v>
      </c>
      <c r="H80" s="34" t="s">
        <v>223</v>
      </c>
      <c r="I80">
        <v>0</v>
      </c>
      <c r="J80">
        <v>0</v>
      </c>
      <c r="K80">
        <v>11</v>
      </c>
      <c r="L80">
        <v>-11</v>
      </c>
      <c r="O80" s="28">
        <v>46274</v>
      </c>
      <c r="R80">
        <v>-1</v>
      </c>
      <c r="S80">
        <v>25</v>
      </c>
      <c r="T80">
        <v>16</v>
      </c>
      <c r="U80">
        <v>29</v>
      </c>
      <c r="V80">
        <v>20260910025</v>
      </c>
    </row>
    <row r="81" spans="1:22" x14ac:dyDescent="0.2">
      <c r="A81" s="34" t="s">
        <v>122</v>
      </c>
      <c r="B81" s="28">
        <v>46275</v>
      </c>
      <c r="C81" s="34"/>
      <c r="D81" s="34" t="s">
        <v>123</v>
      </c>
      <c r="E81" s="34" t="s">
        <v>224</v>
      </c>
      <c r="F81" s="34" t="s">
        <v>225</v>
      </c>
      <c r="G81" s="34" t="s">
        <v>226</v>
      </c>
      <c r="H81" s="34" t="s">
        <v>227</v>
      </c>
      <c r="I81">
        <v>0</v>
      </c>
      <c r="J81">
        <v>0</v>
      </c>
      <c r="K81">
        <v>1</v>
      </c>
      <c r="L81">
        <v>-1</v>
      </c>
      <c r="O81" s="28">
        <v>46274</v>
      </c>
      <c r="R81">
        <v>-1</v>
      </c>
      <c r="S81">
        <v>26</v>
      </c>
      <c r="T81">
        <v>16</v>
      </c>
      <c r="U81">
        <v>30</v>
      </c>
      <c r="V81">
        <v>20260910026</v>
      </c>
    </row>
    <row r="82" spans="1:22" x14ac:dyDescent="0.2">
      <c r="A82" s="34" t="s">
        <v>122</v>
      </c>
      <c r="B82" s="28">
        <v>46275</v>
      </c>
      <c r="C82" s="34"/>
      <c r="D82" s="34" t="s">
        <v>123</v>
      </c>
      <c r="E82" s="34" t="s">
        <v>228</v>
      </c>
      <c r="F82" s="34" t="s">
        <v>229</v>
      </c>
      <c r="G82" s="34" t="s">
        <v>230</v>
      </c>
      <c r="H82" s="34" t="s">
        <v>231</v>
      </c>
      <c r="I82">
        <v>0</v>
      </c>
      <c r="J82">
        <v>0</v>
      </c>
      <c r="K82">
        <v>1</v>
      </c>
      <c r="L82">
        <v>-1</v>
      </c>
      <c r="O82" s="28">
        <v>46274</v>
      </c>
      <c r="R82">
        <v>-1</v>
      </c>
      <c r="S82">
        <v>27</v>
      </c>
      <c r="T82">
        <v>16</v>
      </c>
      <c r="U82">
        <v>31</v>
      </c>
      <c r="V82">
        <v>20260910027</v>
      </c>
    </row>
    <row r="83" spans="1:22" x14ac:dyDescent="0.2">
      <c r="A83" s="34" t="s">
        <v>122</v>
      </c>
      <c r="B83" s="28">
        <v>46275</v>
      </c>
      <c r="C83" s="34"/>
      <c r="D83" s="34" t="s">
        <v>123</v>
      </c>
      <c r="E83" s="34" t="s">
        <v>232</v>
      </c>
      <c r="F83" s="34" t="s">
        <v>233</v>
      </c>
      <c r="G83" s="34" t="s">
        <v>234</v>
      </c>
      <c r="H83" s="34" t="s">
        <v>235</v>
      </c>
      <c r="I83">
        <v>0</v>
      </c>
      <c r="J83">
        <v>0</v>
      </c>
      <c r="K83">
        <v>1</v>
      </c>
      <c r="L83">
        <v>-1</v>
      </c>
      <c r="O83" s="28">
        <v>46274</v>
      </c>
      <c r="R83">
        <v>-1</v>
      </c>
      <c r="S83">
        <v>28</v>
      </c>
      <c r="T83">
        <v>16</v>
      </c>
      <c r="U83">
        <v>32</v>
      </c>
      <c r="V83">
        <v>20260910028</v>
      </c>
    </row>
    <row r="84" spans="1:22" x14ac:dyDescent="0.2">
      <c r="A84" s="34" t="s">
        <v>122</v>
      </c>
      <c r="B84" s="28">
        <v>46275</v>
      </c>
      <c r="C84" s="34"/>
      <c r="D84" s="34" t="s">
        <v>123</v>
      </c>
      <c r="E84" s="34" t="s">
        <v>236</v>
      </c>
      <c r="F84" s="34" t="s">
        <v>237</v>
      </c>
      <c r="G84" s="34" t="s">
        <v>238</v>
      </c>
      <c r="H84" s="34" t="s">
        <v>239</v>
      </c>
      <c r="I84">
        <v>0</v>
      </c>
      <c r="J84">
        <v>0</v>
      </c>
      <c r="K84">
        <v>1</v>
      </c>
      <c r="L84">
        <v>-1</v>
      </c>
      <c r="O84" s="28">
        <v>46274</v>
      </c>
      <c r="R84">
        <v>-1</v>
      </c>
      <c r="S84">
        <v>29</v>
      </c>
      <c r="T84">
        <v>16</v>
      </c>
      <c r="U84">
        <v>33</v>
      </c>
      <c r="V84">
        <v>20260910029</v>
      </c>
    </row>
    <row r="85" spans="1:22" x14ac:dyDescent="0.2">
      <c r="A85" s="34" t="s">
        <v>122</v>
      </c>
      <c r="B85" s="28">
        <v>46275</v>
      </c>
      <c r="C85" s="34"/>
      <c r="D85" s="34" t="s">
        <v>123</v>
      </c>
      <c r="E85" s="34" t="s">
        <v>240</v>
      </c>
      <c r="F85" s="34" t="s">
        <v>241</v>
      </c>
      <c r="G85" s="34" t="s">
        <v>242</v>
      </c>
      <c r="H85" s="34" t="s">
        <v>243</v>
      </c>
      <c r="I85">
        <v>0</v>
      </c>
      <c r="J85">
        <v>0</v>
      </c>
      <c r="K85">
        <v>1</v>
      </c>
      <c r="L85">
        <v>-1</v>
      </c>
      <c r="O85" s="28">
        <v>46274</v>
      </c>
      <c r="R85">
        <v>-1</v>
      </c>
      <c r="S85">
        <v>30</v>
      </c>
      <c r="T85">
        <v>16</v>
      </c>
      <c r="U85">
        <v>34</v>
      </c>
      <c r="V85">
        <v>20260910030</v>
      </c>
    </row>
    <row r="86" spans="1:22" x14ac:dyDescent="0.2">
      <c r="A86" s="34" t="s">
        <v>122</v>
      </c>
      <c r="B86" s="28">
        <v>46275</v>
      </c>
      <c r="C86" s="34"/>
      <c r="D86" s="34" t="s">
        <v>123</v>
      </c>
      <c r="E86" s="34" t="s">
        <v>244</v>
      </c>
      <c r="F86" s="34" t="s">
        <v>245</v>
      </c>
      <c r="G86" s="34" t="s">
        <v>246</v>
      </c>
      <c r="H86" s="34" t="s">
        <v>247</v>
      </c>
      <c r="I86">
        <v>0</v>
      </c>
      <c r="J86">
        <v>0</v>
      </c>
      <c r="K86">
        <v>1</v>
      </c>
      <c r="L86">
        <v>-1</v>
      </c>
      <c r="O86" s="28">
        <v>46274</v>
      </c>
      <c r="R86">
        <v>-1</v>
      </c>
      <c r="S86">
        <v>31</v>
      </c>
      <c r="T86">
        <v>16</v>
      </c>
      <c r="U86">
        <v>35</v>
      </c>
      <c r="V86">
        <v>20260910031</v>
      </c>
    </row>
    <row r="87" spans="1:22" x14ac:dyDescent="0.2">
      <c r="A87" s="34" t="s">
        <v>122</v>
      </c>
      <c r="B87" s="28">
        <v>46275</v>
      </c>
      <c r="C87" s="34"/>
      <c r="D87" s="34" t="s">
        <v>123</v>
      </c>
      <c r="E87" s="34" t="s">
        <v>248</v>
      </c>
      <c r="F87" s="34" t="s">
        <v>249</v>
      </c>
      <c r="G87" s="34" t="s">
        <v>250</v>
      </c>
      <c r="H87" s="34" t="s">
        <v>251</v>
      </c>
      <c r="I87">
        <v>0</v>
      </c>
      <c r="J87">
        <v>0</v>
      </c>
      <c r="K87">
        <v>1</v>
      </c>
      <c r="L87">
        <v>-1</v>
      </c>
      <c r="O87" s="28">
        <v>46274</v>
      </c>
      <c r="R87">
        <v>-1</v>
      </c>
      <c r="S87">
        <v>32</v>
      </c>
      <c r="T87">
        <v>16</v>
      </c>
      <c r="U87">
        <v>36</v>
      </c>
      <c r="V87">
        <v>20260910032</v>
      </c>
    </row>
    <row r="88" spans="1:22" x14ac:dyDescent="0.2">
      <c r="A88" s="34" t="s">
        <v>122</v>
      </c>
      <c r="B88" s="28">
        <v>46275</v>
      </c>
      <c r="C88" s="34"/>
      <c r="D88" s="34" t="s">
        <v>123</v>
      </c>
      <c r="E88" s="34" t="s">
        <v>252</v>
      </c>
      <c r="F88" s="34" t="s">
        <v>253</v>
      </c>
      <c r="G88" s="34" t="s">
        <v>254</v>
      </c>
      <c r="H88" s="34" t="s">
        <v>255</v>
      </c>
      <c r="I88">
        <v>0</v>
      </c>
      <c r="J88">
        <v>0</v>
      </c>
      <c r="K88">
        <v>1</v>
      </c>
      <c r="L88">
        <v>-1</v>
      </c>
      <c r="O88" s="28">
        <v>46274</v>
      </c>
      <c r="R88">
        <v>-1</v>
      </c>
      <c r="S88">
        <v>33</v>
      </c>
      <c r="T88">
        <v>16</v>
      </c>
      <c r="U88">
        <v>37</v>
      </c>
      <c r="V88">
        <v>20260910033</v>
      </c>
    </row>
    <row r="89" spans="1:22" x14ac:dyDescent="0.2">
      <c r="A89" s="34" t="s">
        <v>122</v>
      </c>
      <c r="B89" s="28">
        <v>46275</v>
      </c>
      <c r="C89" s="34"/>
      <c r="D89" s="34" t="s">
        <v>123</v>
      </c>
      <c r="E89" s="34" t="s">
        <v>256</v>
      </c>
      <c r="F89" s="34" t="s">
        <v>257</v>
      </c>
      <c r="G89" s="34" t="s">
        <v>258</v>
      </c>
      <c r="H89" s="34" t="s">
        <v>259</v>
      </c>
      <c r="I89">
        <v>0</v>
      </c>
      <c r="J89">
        <v>0</v>
      </c>
      <c r="K89">
        <v>4</v>
      </c>
      <c r="L89">
        <v>-4</v>
      </c>
      <c r="O89" s="28">
        <v>46274</v>
      </c>
      <c r="R89">
        <v>-1</v>
      </c>
      <c r="S89">
        <v>34</v>
      </c>
      <c r="T89">
        <v>16</v>
      </c>
      <c r="U89">
        <v>38</v>
      </c>
      <c r="V89">
        <v>20260910034</v>
      </c>
    </row>
    <row r="90" spans="1:22" x14ac:dyDescent="0.2">
      <c r="A90" s="34" t="s">
        <v>122</v>
      </c>
      <c r="B90" s="28">
        <v>46275</v>
      </c>
      <c r="C90" s="34"/>
      <c r="D90" s="34" t="s">
        <v>123</v>
      </c>
      <c r="E90" s="34" t="s">
        <v>260</v>
      </c>
      <c r="F90" s="34" t="s">
        <v>261</v>
      </c>
      <c r="G90" s="34" t="s">
        <v>262</v>
      </c>
      <c r="H90" s="34" t="s">
        <v>263</v>
      </c>
      <c r="I90">
        <v>0</v>
      </c>
      <c r="J90">
        <v>0</v>
      </c>
      <c r="K90">
        <v>4</v>
      </c>
      <c r="L90">
        <v>-4</v>
      </c>
      <c r="O90" s="28">
        <v>46274</v>
      </c>
      <c r="R90">
        <v>-1</v>
      </c>
      <c r="S90">
        <v>35</v>
      </c>
      <c r="T90">
        <v>16</v>
      </c>
      <c r="U90">
        <v>39</v>
      </c>
      <c r="V90">
        <v>20260910035</v>
      </c>
    </row>
    <row r="91" spans="1:22" x14ac:dyDescent="0.2">
      <c r="A91" s="34" t="s">
        <v>122</v>
      </c>
      <c r="B91" s="28">
        <v>46275</v>
      </c>
      <c r="C91" s="34"/>
      <c r="D91" s="34" t="s">
        <v>123</v>
      </c>
      <c r="E91" s="34" t="s">
        <v>264</v>
      </c>
      <c r="F91" s="34" t="s">
        <v>265</v>
      </c>
      <c r="G91" s="34" t="s">
        <v>266</v>
      </c>
      <c r="H91" s="34" t="s">
        <v>267</v>
      </c>
      <c r="I91">
        <v>0</v>
      </c>
      <c r="J91">
        <v>0</v>
      </c>
      <c r="K91">
        <v>4</v>
      </c>
      <c r="L91">
        <v>-4</v>
      </c>
      <c r="O91" s="28">
        <v>46274</v>
      </c>
      <c r="R91">
        <v>-1</v>
      </c>
      <c r="S91">
        <v>36</v>
      </c>
      <c r="T91">
        <v>16</v>
      </c>
      <c r="U91">
        <v>40</v>
      </c>
      <c r="V91">
        <v>20260910036</v>
      </c>
    </row>
    <row r="92" spans="1:22" x14ac:dyDescent="0.2">
      <c r="A92" s="34" t="s">
        <v>122</v>
      </c>
      <c r="B92" s="28">
        <v>46275</v>
      </c>
      <c r="C92" s="34"/>
      <c r="D92" s="34" t="s">
        <v>123</v>
      </c>
      <c r="E92" s="34" t="s">
        <v>268</v>
      </c>
      <c r="F92" s="34" t="s">
        <v>269</v>
      </c>
      <c r="G92" s="34" t="s">
        <v>270</v>
      </c>
      <c r="H92" s="34" t="s">
        <v>271</v>
      </c>
      <c r="I92">
        <v>0</v>
      </c>
      <c r="J92">
        <v>0</v>
      </c>
      <c r="K92">
        <v>1</v>
      </c>
      <c r="L92">
        <v>-1</v>
      </c>
      <c r="O92" s="28">
        <v>46274</v>
      </c>
      <c r="R92">
        <v>-1</v>
      </c>
      <c r="S92">
        <v>37</v>
      </c>
      <c r="T92">
        <v>16</v>
      </c>
      <c r="U92">
        <v>41</v>
      </c>
      <c r="V92">
        <v>20260910037</v>
      </c>
    </row>
    <row r="93" spans="1:22" x14ac:dyDescent="0.2">
      <c r="A93" s="34" t="s">
        <v>122</v>
      </c>
      <c r="B93" s="28">
        <v>46275</v>
      </c>
      <c r="C93" s="34"/>
      <c r="D93" s="34" t="s">
        <v>123</v>
      </c>
      <c r="E93" s="34" t="s">
        <v>272</v>
      </c>
      <c r="F93" s="34" t="s">
        <v>341</v>
      </c>
      <c r="G93" s="34" t="s">
        <v>273</v>
      </c>
      <c r="H93" s="34" t="s">
        <v>274</v>
      </c>
      <c r="I93">
        <v>0</v>
      </c>
      <c r="J93">
        <v>0</v>
      </c>
      <c r="K93">
        <v>1</v>
      </c>
      <c r="L93">
        <v>-1</v>
      </c>
      <c r="O93" s="28">
        <v>46274</v>
      </c>
      <c r="R93">
        <v>-1</v>
      </c>
      <c r="S93">
        <v>38</v>
      </c>
      <c r="T93">
        <v>16</v>
      </c>
      <c r="U93">
        <v>42</v>
      </c>
      <c r="V93">
        <v>20260910038</v>
      </c>
    </row>
    <row r="94" spans="1:22" x14ac:dyDescent="0.2">
      <c r="A94" s="34" t="s">
        <v>122</v>
      </c>
      <c r="B94" s="28">
        <v>46275</v>
      </c>
      <c r="C94" s="34"/>
      <c r="D94" s="34" t="s">
        <v>123</v>
      </c>
      <c r="E94" s="34" t="s">
        <v>275</v>
      </c>
      <c r="F94" s="34" t="s">
        <v>276</v>
      </c>
      <c r="G94" s="34" t="s">
        <v>277</v>
      </c>
      <c r="H94" s="34" t="s">
        <v>278</v>
      </c>
      <c r="I94">
        <v>0</v>
      </c>
      <c r="J94">
        <v>0</v>
      </c>
      <c r="K94">
        <v>1</v>
      </c>
      <c r="L94">
        <v>-1</v>
      </c>
      <c r="O94" s="28">
        <v>46274</v>
      </c>
      <c r="R94">
        <v>-1</v>
      </c>
      <c r="S94">
        <v>39</v>
      </c>
      <c r="T94">
        <v>16</v>
      </c>
      <c r="U94">
        <v>43</v>
      </c>
      <c r="V94">
        <v>20260910039</v>
      </c>
    </row>
    <row r="95" spans="1:22" x14ac:dyDescent="0.2">
      <c r="A95" s="34" t="s">
        <v>122</v>
      </c>
      <c r="B95" s="28">
        <v>46275</v>
      </c>
      <c r="C95" s="34"/>
      <c r="D95" s="34" t="s">
        <v>123</v>
      </c>
      <c r="E95" s="34" t="s">
        <v>279</v>
      </c>
      <c r="F95" s="34" t="s">
        <v>280</v>
      </c>
      <c r="G95" s="34" t="s">
        <v>281</v>
      </c>
      <c r="H95" s="34" t="s">
        <v>282</v>
      </c>
      <c r="I95">
        <v>0</v>
      </c>
      <c r="J95">
        <v>0</v>
      </c>
      <c r="K95">
        <v>1</v>
      </c>
      <c r="L95">
        <v>-1</v>
      </c>
      <c r="O95" s="28">
        <v>46274</v>
      </c>
      <c r="R95">
        <v>-1</v>
      </c>
      <c r="S95">
        <v>40</v>
      </c>
      <c r="T95">
        <v>16</v>
      </c>
      <c r="U95">
        <v>44</v>
      </c>
      <c r="V95">
        <v>20260910040</v>
      </c>
    </row>
    <row r="96" spans="1:22" x14ac:dyDescent="0.2">
      <c r="A96" s="34" t="s">
        <v>122</v>
      </c>
      <c r="B96" s="28">
        <v>46275</v>
      </c>
      <c r="C96" s="34"/>
      <c r="D96" s="34" t="s">
        <v>123</v>
      </c>
      <c r="E96" s="34" t="s">
        <v>283</v>
      </c>
      <c r="F96" s="34" t="s">
        <v>284</v>
      </c>
      <c r="G96" s="34" t="s">
        <v>285</v>
      </c>
      <c r="H96" s="34" t="s">
        <v>286</v>
      </c>
      <c r="I96">
        <v>0</v>
      </c>
      <c r="J96">
        <v>0</v>
      </c>
      <c r="K96">
        <v>1</v>
      </c>
      <c r="L96">
        <v>-1</v>
      </c>
      <c r="O96" s="28">
        <v>46274</v>
      </c>
      <c r="R96">
        <v>-1</v>
      </c>
      <c r="S96">
        <v>41</v>
      </c>
      <c r="T96">
        <v>16</v>
      </c>
      <c r="U96">
        <v>45</v>
      </c>
      <c r="V96">
        <v>20260910041</v>
      </c>
    </row>
    <row r="97" spans="1:22" x14ac:dyDescent="0.2">
      <c r="A97" s="34" t="s">
        <v>122</v>
      </c>
      <c r="B97" s="28">
        <v>46275</v>
      </c>
      <c r="C97" s="34"/>
      <c r="D97" s="34" t="s">
        <v>123</v>
      </c>
      <c r="E97" s="34" t="s">
        <v>287</v>
      </c>
      <c r="F97" s="34" t="s">
        <v>288</v>
      </c>
      <c r="G97" s="34" t="s">
        <v>289</v>
      </c>
      <c r="H97" s="34" t="s">
        <v>290</v>
      </c>
      <c r="I97">
        <v>0</v>
      </c>
      <c r="J97">
        <v>0</v>
      </c>
      <c r="K97">
        <v>1</v>
      </c>
      <c r="L97">
        <v>-1</v>
      </c>
      <c r="O97" s="28">
        <v>46274</v>
      </c>
      <c r="R97">
        <v>-1</v>
      </c>
      <c r="S97">
        <v>42</v>
      </c>
      <c r="T97">
        <v>16</v>
      </c>
      <c r="U97">
        <v>46</v>
      </c>
      <c r="V97">
        <v>20260910042</v>
      </c>
    </row>
    <row r="98" spans="1:22" x14ac:dyDescent="0.2">
      <c r="A98" s="34" t="s">
        <v>122</v>
      </c>
      <c r="B98" s="28">
        <v>46275</v>
      </c>
      <c r="C98" s="34"/>
      <c r="D98" s="34" t="s">
        <v>123</v>
      </c>
      <c r="E98" s="34" t="s">
        <v>291</v>
      </c>
      <c r="F98" s="34" t="s">
        <v>342</v>
      </c>
      <c r="G98" s="34" t="s">
        <v>292</v>
      </c>
      <c r="H98" s="34" t="s">
        <v>293</v>
      </c>
      <c r="I98">
        <v>0</v>
      </c>
      <c r="J98">
        <v>0</v>
      </c>
      <c r="K98">
        <v>1</v>
      </c>
      <c r="L98">
        <v>-1</v>
      </c>
      <c r="O98" s="28">
        <v>46274</v>
      </c>
      <c r="R98">
        <v>-1</v>
      </c>
      <c r="S98">
        <v>43</v>
      </c>
      <c r="T98">
        <v>16</v>
      </c>
      <c r="U98">
        <v>47</v>
      </c>
      <c r="V98">
        <v>20260910043</v>
      </c>
    </row>
    <row r="99" spans="1:22" x14ac:dyDescent="0.2">
      <c r="A99" s="34" t="s">
        <v>122</v>
      </c>
      <c r="B99" s="28">
        <v>46275</v>
      </c>
      <c r="C99" s="34"/>
      <c r="D99" s="34" t="s">
        <v>123</v>
      </c>
      <c r="E99" s="34" t="s">
        <v>294</v>
      </c>
      <c r="F99" s="34" t="s">
        <v>295</v>
      </c>
      <c r="G99" s="34" t="s">
        <v>296</v>
      </c>
      <c r="H99" s="34" t="s">
        <v>297</v>
      </c>
      <c r="I99">
        <v>0</v>
      </c>
      <c r="J99">
        <v>0</v>
      </c>
      <c r="K99">
        <v>1</v>
      </c>
      <c r="L99">
        <v>-1</v>
      </c>
      <c r="O99" s="28">
        <v>46274</v>
      </c>
      <c r="R99">
        <v>-1</v>
      </c>
      <c r="S99">
        <v>44</v>
      </c>
      <c r="T99">
        <v>16</v>
      </c>
      <c r="U99">
        <v>48</v>
      </c>
      <c r="V99">
        <v>20260910044</v>
      </c>
    </row>
    <row r="100" spans="1:22" x14ac:dyDescent="0.2">
      <c r="A100" s="34" t="s">
        <v>122</v>
      </c>
      <c r="B100" s="28">
        <v>46275</v>
      </c>
      <c r="C100" s="34"/>
      <c r="D100" s="34" t="s">
        <v>123</v>
      </c>
      <c r="E100" s="34" t="s">
        <v>298</v>
      </c>
      <c r="F100" s="34" t="s">
        <v>299</v>
      </c>
      <c r="G100" s="34" t="s">
        <v>300</v>
      </c>
      <c r="H100" s="34" t="s">
        <v>301</v>
      </c>
      <c r="I100">
        <v>0</v>
      </c>
      <c r="J100">
        <v>0</v>
      </c>
      <c r="K100">
        <v>1</v>
      </c>
      <c r="L100">
        <v>-1</v>
      </c>
      <c r="O100" s="28">
        <v>46274</v>
      </c>
      <c r="R100">
        <v>-1</v>
      </c>
      <c r="S100">
        <v>45</v>
      </c>
      <c r="T100">
        <v>16</v>
      </c>
      <c r="U100">
        <v>49</v>
      </c>
      <c r="V100">
        <v>20260910045</v>
      </c>
    </row>
    <row r="101" spans="1:22" x14ac:dyDescent="0.2">
      <c r="A101" s="34" t="s">
        <v>122</v>
      </c>
      <c r="B101" s="28">
        <v>46275</v>
      </c>
      <c r="C101" s="34"/>
      <c r="D101" s="34" t="s">
        <v>123</v>
      </c>
      <c r="E101" s="34" t="s">
        <v>302</v>
      </c>
      <c r="F101" s="34" t="s">
        <v>303</v>
      </c>
      <c r="G101" s="34" t="s">
        <v>304</v>
      </c>
      <c r="H101" s="34" t="s">
        <v>305</v>
      </c>
      <c r="I101">
        <v>0</v>
      </c>
      <c r="J101">
        <v>0</v>
      </c>
      <c r="K101">
        <v>1</v>
      </c>
      <c r="L101">
        <v>-1</v>
      </c>
      <c r="O101" s="28">
        <v>46274</v>
      </c>
      <c r="R101">
        <v>-1</v>
      </c>
      <c r="S101">
        <v>46</v>
      </c>
      <c r="T101">
        <v>16</v>
      </c>
      <c r="U101">
        <v>50</v>
      </c>
      <c r="V101">
        <v>20260910046</v>
      </c>
    </row>
    <row r="102" spans="1:22" x14ac:dyDescent="0.2">
      <c r="A102" s="34" t="s">
        <v>122</v>
      </c>
      <c r="B102" s="28">
        <v>46275</v>
      </c>
      <c r="C102" s="34"/>
      <c r="D102" s="34" t="s">
        <v>123</v>
      </c>
      <c r="E102" s="34" t="s">
        <v>306</v>
      </c>
      <c r="F102" s="34" t="s">
        <v>307</v>
      </c>
      <c r="G102" s="34" t="s">
        <v>308</v>
      </c>
      <c r="H102" s="34" t="s">
        <v>309</v>
      </c>
      <c r="I102">
        <v>0</v>
      </c>
      <c r="J102">
        <v>0</v>
      </c>
      <c r="K102">
        <v>1</v>
      </c>
      <c r="L102">
        <v>-1</v>
      </c>
      <c r="O102" s="28">
        <v>46274</v>
      </c>
      <c r="R102">
        <v>-1</v>
      </c>
      <c r="S102">
        <v>47</v>
      </c>
      <c r="T102">
        <v>16</v>
      </c>
      <c r="U102">
        <v>51</v>
      </c>
      <c r="V102">
        <v>20260910047</v>
      </c>
    </row>
    <row r="103" spans="1:22" x14ac:dyDescent="0.2">
      <c r="A103" s="34" t="s">
        <v>122</v>
      </c>
      <c r="B103" s="28">
        <v>46275</v>
      </c>
      <c r="C103" s="34"/>
      <c r="D103" s="34" t="s">
        <v>123</v>
      </c>
      <c r="E103" s="34" t="s">
        <v>310</v>
      </c>
      <c r="F103" s="34" t="s">
        <v>311</v>
      </c>
      <c r="G103" s="34" t="s">
        <v>312</v>
      </c>
      <c r="H103" s="34" t="s">
        <v>313</v>
      </c>
      <c r="I103">
        <v>0</v>
      </c>
      <c r="J103">
        <v>0</v>
      </c>
      <c r="K103">
        <v>1</v>
      </c>
      <c r="L103">
        <v>-1</v>
      </c>
      <c r="O103" s="28">
        <v>46274</v>
      </c>
      <c r="R103">
        <v>-1</v>
      </c>
      <c r="S103">
        <v>48</v>
      </c>
      <c r="T103">
        <v>16</v>
      </c>
      <c r="U103">
        <v>52</v>
      </c>
      <c r="V103">
        <v>20260910048</v>
      </c>
    </row>
    <row r="104" spans="1:22" x14ac:dyDescent="0.2">
      <c r="A104" s="34" t="s">
        <v>122</v>
      </c>
      <c r="B104" s="28">
        <v>46275</v>
      </c>
      <c r="C104" s="34"/>
      <c r="D104" s="34" t="s">
        <v>123</v>
      </c>
      <c r="E104" s="34" t="s">
        <v>314</v>
      </c>
      <c r="F104" s="34" t="s">
        <v>315</v>
      </c>
      <c r="G104" s="34" t="s">
        <v>316</v>
      </c>
      <c r="H104" s="34" t="s">
        <v>317</v>
      </c>
      <c r="I104">
        <v>0</v>
      </c>
      <c r="J104">
        <v>0</v>
      </c>
      <c r="K104">
        <v>1</v>
      </c>
      <c r="L104">
        <v>-1</v>
      </c>
      <c r="O104" s="28">
        <v>46274</v>
      </c>
      <c r="R104">
        <v>-1</v>
      </c>
      <c r="S104">
        <v>49</v>
      </c>
      <c r="T104">
        <v>16</v>
      </c>
      <c r="U104">
        <v>53</v>
      </c>
      <c r="V104">
        <v>20260910049</v>
      </c>
    </row>
    <row r="105" spans="1:22" x14ac:dyDescent="0.2">
      <c r="A105" s="34" t="s">
        <v>122</v>
      </c>
      <c r="B105" s="28">
        <v>46275</v>
      </c>
      <c r="C105" s="34"/>
      <c r="D105" s="34" t="s">
        <v>123</v>
      </c>
      <c r="E105" s="34" t="s">
        <v>318</v>
      </c>
      <c r="F105" s="34" t="s">
        <v>319</v>
      </c>
      <c r="G105" s="34" t="s">
        <v>320</v>
      </c>
      <c r="H105" s="34" t="s">
        <v>321</v>
      </c>
      <c r="I105">
        <v>0</v>
      </c>
      <c r="J105">
        <v>0</v>
      </c>
      <c r="K105">
        <v>1</v>
      </c>
      <c r="L105">
        <v>-1</v>
      </c>
      <c r="O105" s="28">
        <v>46274</v>
      </c>
      <c r="R105">
        <v>-1</v>
      </c>
      <c r="S105">
        <v>50</v>
      </c>
      <c r="T105">
        <v>16</v>
      </c>
      <c r="U105">
        <v>54</v>
      </c>
      <c r="V105">
        <v>20260910050</v>
      </c>
    </row>
    <row r="106" spans="1:22" x14ac:dyDescent="0.2">
      <c r="A106" s="34" t="s">
        <v>122</v>
      </c>
      <c r="B106" s="28">
        <v>46275</v>
      </c>
      <c r="C106" s="34"/>
      <c r="D106" s="34" t="s">
        <v>123</v>
      </c>
      <c r="E106" s="34" t="s">
        <v>322</v>
      </c>
      <c r="F106" s="34" t="s">
        <v>323</v>
      </c>
      <c r="G106" s="34" t="s">
        <v>324</v>
      </c>
      <c r="H106" s="34" t="s">
        <v>325</v>
      </c>
      <c r="I106">
        <v>0</v>
      </c>
      <c r="J106">
        <v>0</v>
      </c>
      <c r="K106">
        <v>1</v>
      </c>
      <c r="L106">
        <v>-1</v>
      </c>
      <c r="O106" s="28">
        <v>46274</v>
      </c>
      <c r="R106">
        <v>-1</v>
      </c>
      <c r="S106">
        <v>51</v>
      </c>
      <c r="T106">
        <v>16</v>
      </c>
      <c r="U106">
        <v>55</v>
      </c>
      <c r="V106">
        <v>20260910051</v>
      </c>
    </row>
    <row r="107" spans="1:22" x14ac:dyDescent="0.2">
      <c r="A107" s="34" t="s">
        <v>122</v>
      </c>
      <c r="B107" s="28">
        <v>46275</v>
      </c>
      <c r="C107" s="34"/>
      <c r="D107" s="34" t="s">
        <v>123</v>
      </c>
      <c r="E107" s="34" t="s">
        <v>326</v>
      </c>
      <c r="F107" s="34" t="s">
        <v>327</v>
      </c>
      <c r="G107" s="34" t="s">
        <v>328</v>
      </c>
      <c r="H107" s="34" t="s">
        <v>329</v>
      </c>
      <c r="I107">
        <v>0</v>
      </c>
      <c r="J107">
        <v>0</v>
      </c>
      <c r="K107">
        <v>1</v>
      </c>
      <c r="L107">
        <v>-1</v>
      </c>
      <c r="O107" s="28">
        <v>46274</v>
      </c>
      <c r="R107">
        <v>-1</v>
      </c>
      <c r="S107">
        <v>52</v>
      </c>
      <c r="T107">
        <v>16</v>
      </c>
      <c r="U107">
        <v>73</v>
      </c>
      <c r="V107">
        <v>20260910052</v>
      </c>
    </row>
    <row r="108" spans="1:22" x14ac:dyDescent="0.2">
      <c r="A108" s="34" t="s">
        <v>122</v>
      </c>
      <c r="B108" s="28">
        <v>46275</v>
      </c>
      <c r="C108" s="34"/>
      <c r="D108" s="34" t="s">
        <v>123</v>
      </c>
      <c r="E108" s="34" t="s">
        <v>330</v>
      </c>
      <c r="F108" s="34" t="s">
        <v>331</v>
      </c>
      <c r="G108" s="34" t="s">
        <v>332</v>
      </c>
      <c r="H108" s="34" t="s">
        <v>333</v>
      </c>
      <c r="I108">
        <v>0</v>
      </c>
      <c r="J108">
        <v>0</v>
      </c>
      <c r="K108">
        <v>1</v>
      </c>
      <c r="L108">
        <v>-1</v>
      </c>
      <c r="O108" s="28">
        <v>46274</v>
      </c>
      <c r="R108">
        <v>-1</v>
      </c>
      <c r="S108">
        <v>53</v>
      </c>
      <c r="T108">
        <v>16</v>
      </c>
      <c r="U108">
        <v>74</v>
      </c>
      <c r="V108">
        <v>20260910053</v>
      </c>
    </row>
    <row r="109" spans="1:22" x14ac:dyDescent="0.2">
      <c r="A109" s="34" t="s">
        <v>122</v>
      </c>
      <c r="B109" s="28">
        <v>46275</v>
      </c>
      <c r="C109" s="34"/>
      <c r="D109" s="34" t="s">
        <v>123</v>
      </c>
      <c r="E109" s="34" t="s">
        <v>334</v>
      </c>
      <c r="F109" s="34" t="s">
        <v>335</v>
      </c>
      <c r="G109" s="34" t="s">
        <v>336</v>
      </c>
      <c r="H109" s="34" t="s">
        <v>337</v>
      </c>
      <c r="I109">
        <v>0</v>
      </c>
      <c r="J109">
        <v>0</v>
      </c>
      <c r="K109">
        <v>1</v>
      </c>
      <c r="L109">
        <v>-1</v>
      </c>
      <c r="O109" s="28">
        <v>46274</v>
      </c>
      <c r="R109">
        <v>-1</v>
      </c>
      <c r="S109">
        <v>54</v>
      </c>
      <c r="T109">
        <v>16</v>
      </c>
      <c r="U109">
        <v>75</v>
      </c>
      <c r="V109">
        <v>20260910054</v>
      </c>
    </row>
    <row r="110" spans="1:22" x14ac:dyDescent="0.2">
      <c r="A110" s="34" t="s">
        <v>122</v>
      </c>
      <c r="B110" s="28">
        <v>46276</v>
      </c>
      <c r="C110" s="34"/>
      <c r="D110" s="34" t="s">
        <v>338</v>
      </c>
      <c r="E110" s="34" t="s">
        <v>124</v>
      </c>
      <c r="F110" s="34" t="s">
        <v>125</v>
      </c>
      <c r="G110" s="34" t="s">
        <v>126</v>
      </c>
      <c r="H110" s="34" t="s">
        <v>127</v>
      </c>
      <c r="I110">
        <v>1</v>
      </c>
      <c r="J110">
        <v>0</v>
      </c>
      <c r="K110">
        <v>7</v>
      </c>
      <c r="L110">
        <v>-6</v>
      </c>
      <c r="O110" s="28">
        <v>46275</v>
      </c>
      <c r="R110">
        <v>-1</v>
      </c>
      <c r="S110">
        <v>1</v>
      </c>
      <c r="T110">
        <v>15</v>
      </c>
      <c r="U110">
        <v>1</v>
      </c>
      <c r="V110">
        <v>20260911001</v>
      </c>
    </row>
    <row r="111" spans="1:22" x14ac:dyDescent="0.2">
      <c r="A111" s="34" t="s">
        <v>122</v>
      </c>
      <c r="B111" s="28">
        <v>46276</v>
      </c>
      <c r="C111" s="34"/>
      <c r="D111" s="34" t="s">
        <v>338</v>
      </c>
      <c r="E111" s="34" t="s">
        <v>128</v>
      </c>
      <c r="F111" s="34" t="s">
        <v>129</v>
      </c>
      <c r="G111" s="34" t="s">
        <v>130</v>
      </c>
      <c r="H111" s="34" t="s">
        <v>131</v>
      </c>
      <c r="I111">
        <v>1</v>
      </c>
      <c r="J111">
        <v>0</v>
      </c>
      <c r="K111">
        <v>5</v>
      </c>
      <c r="L111">
        <v>-4</v>
      </c>
      <c r="O111" s="28">
        <v>46275</v>
      </c>
      <c r="R111">
        <v>-1</v>
      </c>
      <c r="S111">
        <v>2</v>
      </c>
      <c r="T111">
        <v>15</v>
      </c>
      <c r="U111">
        <v>2</v>
      </c>
      <c r="V111">
        <v>20260911002</v>
      </c>
    </row>
    <row r="112" spans="1:22" x14ac:dyDescent="0.2">
      <c r="A112" s="34" t="s">
        <v>122</v>
      </c>
      <c r="B112" s="28">
        <v>46276</v>
      </c>
      <c r="C112" s="34"/>
      <c r="D112" s="34" t="s">
        <v>338</v>
      </c>
      <c r="E112" s="34" t="s">
        <v>132</v>
      </c>
      <c r="F112" s="34" t="s">
        <v>133</v>
      </c>
      <c r="G112" s="34" t="s">
        <v>134</v>
      </c>
      <c r="H112" s="34" t="s">
        <v>135</v>
      </c>
      <c r="I112">
        <v>1</v>
      </c>
      <c r="J112">
        <v>0</v>
      </c>
      <c r="K112">
        <v>4</v>
      </c>
      <c r="L112">
        <v>-3</v>
      </c>
      <c r="O112" s="28">
        <v>46275</v>
      </c>
      <c r="R112">
        <v>-1</v>
      </c>
      <c r="S112">
        <v>3</v>
      </c>
      <c r="T112">
        <v>15</v>
      </c>
      <c r="U112">
        <v>3</v>
      </c>
      <c r="V112">
        <v>20260911003</v>
      </c>
    </row>
    <row r="113" spans="1:22" x14ac:dyDescent="0.2">
      <c r="A113" s="34" t="s">
        <v>122</v>
      </c>
      <c r="B113" s="28">
        <v>46276</v>
      </c>
      <c r="C113" s="34"/>
      <c r="D113" s="34" t="s">
        <v>338</v>
      </c>
      <c r="E113" s="34" t="s">
        <v>136</v>
      </c>
      <c r="F113" s="34" t="s">
        <v>137</v>
      </c>
      <c r="G113" s="34" t="s">
        <v>138</v>
      </c>
      <c r="H113" s="34" t="s">
        <v>139</v>
      </c>
      <c r="I113">
        <v>1</v>
      </c>
      <c r="J113">
        <v>0</v>
      </c>
      <c r="K113">
        <v>8</v>
      </c>
      <c r="L113">
        <v>-7</v>
      </c>
      <c r="O113" s="28">
        <v>46275</v>
      </c>
      <c r="R113">
        <v>-1</v>
      </c>
      <c r="S113">
        <v>4</v>
      </c>
      <c r="T113">
        <v>15</v>
      </c>
      <c r="U113">
        <v>4</v>
      </c>
      <c r="V113">
        <v>20260911004</v>
      </c>
    </row>
    <row r="114" spans="1:22" x14ac:dyDescent="0.2">
      <c r="A114" s="34" t="s">
        <v>122</v>
      </c>
      <c r="B114" s="28">
        <v>46276</v>
      </c>
      <c r="C114" s="34"/>
      <c r="D114" s="34" t="s">
        <v>338</v>
      </c>
      <c r="E114" s="34" t="s">
        <v>140</v>
      </c>
      <c r="F114" s="34" t="s">
        <v>141</v>
      </c>
      <c r="G114" s="34" t="s">
        <v>142</v>
      </c>
      <c r="H114" s="34" t="s">
        <v>143</v>
      </c>
      <c r="I114">
        <v>1</v>
      </c>
      <c r="J114">
        <v>0</v>
      </c>
      <c r="K114">
        <v>5</v>
      </c>
      <c r="L114">
        <v>-4</v>
      </c>
      <c r="O114" s="28">
        <v>46275</v>
      </c>
      <c r="R114">
        <v>-1</v>
      </c>
      <c r="S114">
        <v>5</v>
      </c>
      <c r="T114">
        <v>15</v>
      </c>
      <c r="U114">
        <v>5</v>
      </c>
      <c r="V114">
        <v>20260911005</v>
      </c>
    </row>
    <row r="115" spans="1:22" x14ac:dyDescent="0.2">
      <c r="A115" s="34" t="s">
        <v>122</v>
      </c>
      <c r="B115" s="28">
        <v>46276</v>
      </c>
      <c r="C115" s="34"/>
      <c r="D115" s="34" t="s">
        <v>338</v>
      </c>
      <c r="E115" s="34" t="s">
        <v>144</v>
      </c>
      <c r="F115" s="34" t="s">
        <v>145</v>
      </c>
      <c r="G115" s="34" t="s">
        <v>146</v>
      </c>
      <c r="H115" s="34" t="s">
        <v>147</v>
      </c>
      <c r="I115">
        <v>1</v>
      </c>
      <c r="J115">
        <v>0</v>
      </c>
      <c r="K115">
        <v>10</v>
      </c>
      <c r="L115">
        <v>-9</v>
      </c>
      <c r="O115" s="28">
        <v>46275</v>
      </c>
      <c r="R115">
        <v>-1</v>
      </c>
      <c r="S115">
        <v>6</v>
      </c>
      <c r="T115">
        <v>15</v>
      </c>
      <c r="U115">
        <v>6</v>
      </c>
      <c r="V115">
        <v>20260911006</v>
      </c>
    </row>
    <row r="116" spans="1:22" x14ac:dyDescent="0.2">
      <c r="A116" s="34" t="s">
        <v>122</v>
      </c>
      <c r="B116" s="28">
        <v>46276</v>
      </c>
      <c r="C116" s="34"/>
      <c r="D116" s="34" t="s">
        <v>338</v>
      </c>
      <c r="E116" s="34" t="s">
        <v>148</v>
      </c>
      <c r="F116" s="34" t="s">
        <v>149</v>
      </c>
      <c r="G116" s="34" t="s">
        <v>150</v>
      </c>
      <c r="H116" s="34" t="s">
        <v>151</v>
      </c>
      <c r="I116">
        <v>3</v>
      </c>
      <c r="J116">
        <v>0</v>
      </c>
      <c r="K116">
        <v>4</v>
      </c>
      <c r="L116">
        <v>-1</v>
      </c>
      <c r="O116" s="28">
        <v>46275</v>
      </c>
      <c r="R116">
        <v>-1</v>
      </c>
      <c r="S116">
        <v>7</v>
      </c>
      <c r="T116">
        <v>15</v>
      </c>
      <c r="U116">
        <v>7</v>
      </c>
      <c r="V116">
        <v>20260911007</v>
      </c>
    </row>
    <row r="117" spans="1:22" x14ac:dyDescent="0.2">
      <c r="A117" s="34" t="s">
        <v>122</v>
      </c>
      <c r="B117" s="28">
        <v>46276</v>
      </c>
      <c r="C117" s="34"/>
      <c r="D117" s="34" t="s">
        <v>338</v>
      </c>
      <c r="E117" s="34" t="s">
        <v>152</v>
      </c>
      <c r="F117" s="34" t="s">
        <v>153</v>
      </c>
      <c r="G117" s="34" t="s">
        <v>154</v>
      </c>
      <c r="H117" s="34" t="s">
        <v>155</v>
      </c>
      <c r="I117">
        <v>1</v>
      </c>
      <c r="J117">
        <v>0</v>
      </c>
      <c r="K117">
        <v>6</v>
      </c>
      <c r="L117">
        <v>-5</v>
      </c>
      <c r="O117" s="28">
        <v>46275</v>
      </c>
      <c r="R117">
        <v>-1</v>
      </c>
      <c r="S117">
        <v>8</v>
      </c>
      <c r="T117">
        <v>15</v>
      </c>
      <c r="U117">
        <v>8</v>
      </c>
      <c r="V117">
        <v>20260911008</v>
      </c>
    </row>
    <row r="118" spans="1:22" x14ac:dyDescent="0.2">
      <c r="A118" s="34" t="s">
        <v>122</v>
      </c>
      <c r="B118" s="28">
        <v>46276</v>
      </c>
      <c r="C118" s="34"/>
      <c r="D118" s="34" t="s">
        <v>338</v>
      </c>
      <c r="E118" s="34" t="s">
        <v>156</v>
      </c>
      <c r="F118" s="34" t="s">
        <v>157</v>
      </c>
      <c r="G118" s="34" t="s">
        <v>158</v>
      </c>
      <c r="H118" s="34" t="s">
        <v>159</v>
      </c>
      <c r="I118">
        <v>3</v>
      </c>
      <c r="J118">
        <v>0</v>
      </c>
      <c r="K118">
        <v>12</v>
      </c>
      <c r="L118">
        <v>-9</v>
      </c>
      <c r="O118" s="28">
        <v>46275</v>
      </c>
      <c r="R118">
        <v>-1</v>
      </c>
      <c r="S118">
        <v>9</v>
      </c>
      <c r="T118">
        <v>15</v>
      </c>
      <c r="U118">
        <v>9</v>
      </c>
      <c r="V118">
        <v>20260911009</v>
      </c>
    </row>
    <row r="119" spans="1:22" x14ac:dyDescent="0.2">
      <c r="A119" s="34" t="s">
        <v>122</v>
      </c>
      <c r="B119" s="28">
        <v>46276</v>
      </c>
      <c r="C119" s="34"/>
      <c r="D119" s="34" t="s">
        <v>338</v>
      </c>
      <c r="E119" s="34" t="s">
        <v>160</v>
      </c>
      <c r="F119" s="34" t="s">
        <v>161</v>
      </c>
      <c r="G119" s="34" t="s">
        <v>162</v>
      </c>
      <c r="H119" s="34" t="s">
        <v>163</v>
      </c>
      <c r="I119">
        <v>1</v>
      </c>
      <c r="J119">
        <v>0</v>
      </c>
      <c r="K119">
        <v>8</v>
      </c>
      <c r="L119">
        <v>-7</v>
      </c>
      <c r="O119" s="28">
        <v>46275</v>
      </c>
      <c r="R119">
        <v>-1</v>
      </c>
      <c r="S119">
        <v>10</v>
      </c>
      <c r="T119">
        <v>15</v>
      </c>
      <c r="U119">
        <v>10</v>
      </c>
      <c r="V119">
        <v>20260911010</v>
      </c>
    </row>
    <row r="120" spans="1:22" x14ac:dyDescent="0.2">
      <c r="A120" s="34" t="s">
        <v>122</v>
      </c>
      <c r="B120" s="28">
        <v>46276</v>
      </c>
      <c r="C120" s="34"/>
      <c r="D120" s="34" t="s">
        <v>338</v>
      </c>
      <c r="E120" s="34" t="s">
        <v>164</v>
      </c>
      <c r="F120" s="34" t="s">
        <v>165</v>
      </c>
      <c r="G120" s="34" t="s">
        <v>166</v>
      </c>
      <c r="H120" s="34" t="s">
        <v>167</v>
      </c>
      <c r="I120">
        <v>2</v>
      </c>
      <c r="J120">
        <v>0</v>
      </c>
      <c r="K120">
        <v>34</v>
      </c>
      <c r="L120">
        <v>-32</v>
      </c>
      <c r="O120" s="28">
        <v>46275</v>
      </c>
      <c r="R120">
        <v>-1</v>
      </c>
      <c r="S120">
        <v>11</v>
      </c>
      <c r="T120">
        <v>15</v>
      </c>
      <c r="U120">
        <v>11</v>
      </c>
      <c r="V120">
        <v>20260911011</v>
      </c>
    </row>
    <row r="121" spans="1:22" x14ac:dyDescent="0.2">
      <c r="A121" s="34" t="s">
        <v>122</v>
      </c>
      <c r="B121" s="28">
        <v>46276</v>
      </c>
      <c r="C121" s="34"/>
      <c r="D121" s="34" t="s">
        <v>338</v>
      </c>
      <c r="E121" s="34" t="s">
        <v>168</v>
      </c>
      <c r="F121" s="34" t="s">
        <v>169</v>
      </c>
      <c r="G121" s="34" t="s">
        <v>170</v>
      </c>
      <c r="H121" s="34" t="s">
        <v>171</v>
      </c>
      <c r="I121">
        <v>3</v>
      </c>
      <c r="J121">
        <v>0</v>
      </c>
      <c r="K121">
        <v>15</v>
      </c>
      <c r="L121">
        <v>-12</v>
      </c>
      <c r="O121" s="28">
        <v>46275</v>
      </c>
      <c r="R121">
        <v>-1</v>
      </c>
      <c r="S121">
        <v>12</v>
      </c>
      <c r="T121">
        <v>15</v>
      </c>
      <c r="U121">
        <v>12</v>
      </c>
      <c r="V121">
        <v>20260911012</v>
      </c>
    </row>
    <row r="122" spans="1:22" x14ac:dyDescent="0.2">
      <c r="A122" s="34" t="s">
        <v>122</v>
      </c>
      <c r="B122" s="28">
        <v>46276</v>
      </c>
      <c r="C122" s="34"/>
      <c r="D122" s="34" t="s">
        <v>338</v>
      </c>
      <c r="E122" s="34" t="s">
        <v>172</v>
      </c>
      <c r="F122" s="34" t="s">
        <v>173</v>
      </c>
      <c r="G122" s="34" t="s">
        <v>174</v>
      </c>
      <c r="H122" s="34" t="s">
        <v>175</v>
      </c>
      <c r="I122">
        <v>1</v>
      </c>
      <c r="J122">
        <v>0</v>
      </c>
      <c r="K122">
        <v>18</v>
      </c>
      <c r="L122">
        <v>-17</v>
      </c>
      <c r="O122" s="28">
        <v>46275</v>
      </c>
      <c r="R122">
        <v>-1</v>
      </c>
      <c r="S122">
        <v>13</v>
      </c>
      <c r="T122">
        <v>15</v>
      </c>
      <c r="U122">
        <v>13</v>
      </c>
      <c r="V122">
        <v>20260911013</v>
      </c>
    </row>
    <row r="123" spans="1:22" x14ac:dyDescent="0.2">
      <c r="A123" s="34" t="s">
        <v>122</v>
      </c>
      <c r="B123" s="28">
        <v>46276</v>
      </c>
      <c r="C123" s="34"/>
      <c r="D123" s="34" t="s">
        <v>338</v>
      </c>
      <c r="E123" s="34" t="s">
        <v>176</v>
      </c>
      <c r="F123" s="34" t="s">
        <v>177</v>
      </c>
      <c r="G123" s="34" t="s">
        <v>178</v>
      </c>
      <c r="H123" s="34" t="s">
        <v>179</v>
      </c>
      <c r="I123">
        <v>1</v>
      </c>
      <c r="J123">
        <v>0</v>
      </c>
      <c r="K123">
        <v>8</v>
      </c>
      <c r="L123">
        <v>-7</v>
      </c>
      <c r="O123" s="28">
        <v>46275</v>
      </c>
      <c r="R123">
        <v>-1</v>
      </c>
      <c r="S123">
        <v>14</v>
      </c>
      <c r="T123">
        <v>15</v>
      </c>
      <c r="U123">
        <v>14</v>
      </c>
      <c r="V123">
        <v>20260911014</v>
      </c>
    </row>
    <row r="124" spans="1:22" x14ac:dyDescent="0.2">
      <c r="A124" s="34" t="s">
        <v>122</v>
      </c>
      <c r="B124" s="28">
        <v>46276</v>
      </c>
      <c r="C124" s="34"/>
      <c r="D124" s="34" t="s">
        <v>338</v>
      </c>
      <c r="E124" s="34" t="s">
        <v>180</v>
      </c>
      <c r="F124" s="34" t="s">
        <v>181</v>
      </c>
      <c r="G124" s="34" t="s">
        <v>182</v>
      </c>
      <c r="H124" s="34" t="s">
        <v>183</v>
      </c>
      <c r="I124">
        <v>2</v>
      </c>
      <c r="J124">
        <v>0</v>
      </c>
      <c r="K124">
        <v>12</v>
      </c>
      <c r="L124">
        <v>-10</v>
      </c>
      <c r="O124" s="28">
        <v>46275</v>
      </c>
      <c r="R124">
        <v>-1</v>
      </c>
      <c r="S124">
        <v>15</v>
      </c>
      <c r="T124">
        <v>15</v>
      </c>
      <c r="U124">
        <v>15</v>
      </c>
      <c r="V124">
        <v>20260911015</v>
      </c>
    </row>
    <row r="125" spans="1:22" x14ac:dyDescent="0.2">
      <c r="A125" s="34" t="s">
        <v>122</v>
      </c>
      <c r="B125" s="28">
        <v>46276</v>
      </c>
      <c r="C125" s="34"/>
      <c r="D125" s="34" t="s">
        <v>338</v>
      </c>
      <c r="E125" s="34" t="s">
        <v>184</v>
      </c>
      <c r="F125" s="34" t="s">
        <v>185</v>
      </c>
      <c r="G125" s="34" t="s">
        <v>186</v>
      </c>
      <c r="H125" s="34" t="s">
        <v>187</v>
      </c>
      <c r="I125">
        <v>1</v>
      </c>
      <c r="J125">
        <v>0</v>
      </c>
      <c r="K125">
        <v>15</v>
      </c>
      <c r="L125">
        <v>-14</v>
      </c>
      <c r="O125" s="28">
        <v>46275</v>
      </c>
      <c r="R125">
        <v>-1</v>
      </c>
      <c r="S125">
        <v>16</v>
      </c>
      <c r="T125">
        <v>15</v>
      </c>
      <c r="U125">
        <v>16</v>
      </c>
      <c r="V125">
        <v>20260911016</v>
      </c>
    </row>
    <row r="126" spans="1:22" x14ac:dyDescent="0.2">
      <c r="A126" s="34" t="s">
        <v>122</v>
      </c>
      <c r="B126" s="28">
        <v>46276</v>
      </c>
      <c r="C126" s="34"/>
      <c r="D126" s="34" t="s">
        <v>338</v>
      </c>
      <c r="E126" s="34" t="s">
        <v>188</v>
      </c>
      <c r="F126" s="34" t="s">
        <v>189</v>
      </c>
      <c r="G126" s="34" t="s">
        <v>190</v>
      </c>
      <c r="H126" s="34" t="s">
        <v>191</v>
      </c>
      <c r="I126">
        <v>1</v>
      </c>
      <c r="J126">
        <v>0</v>
      </c>
      <c r="K126">
        <v>8</v>
      </c>
      <c r="L126">
        <v>-7</v>
      </c>
      <c r="O126" s="28">
        <v>46275</v>
      </c>
      <c r="R126">
        <v>-1</v>
      </c>
      <c r="S126">
        <v>17</v>
      </c>
      <c r="T126">
        <v>15</v>
      </c>
      <c r="U126">
        <v>21</v>
      </c>
      <c r="V126">
        <v>20260911017</v>
      </c>
    </row>
    <row r="127" spans="1:22" x14ac:dyDescent="0.2">
      <c r="A127" s="34" t="s">
        <v>122</v>
      </c>
      <c r="B127" s="28">
        <v>46276</v>
      </c>
      <c r="C127" s="34"/>
      <c r="D127" s="34" t="s">
        <v>338</v>
      </c>
      <c r="E127" s="34" t="s">
        <v>192</v>
      </c>
      <c r="F127" s="34" t="s">
        <v>193</v>
      </c>
      <c r="G127" s="34" t="s">
        <v>194</v>
      </c>
      <c r="H127" s="34" t="s">
        <v>195</v>
      </c>
      <c r="I127">
        <v>1</v>
      </c>
      <c r="J127">
        <v>0</v>
      </c>
      <c r="K127">
        <v>4</v>
      </c>
      <c r="L127">
        <v>-3</v>
      </c>
      <c r="O127" s="28">
        <v>46275</v>
      </c>
      <c r="R127">
        <v>-1</v>
      </c>
      <c r="S127">
        <v>18</v>
      </c>
      <c r="T127">
        <v>15</v>
      </c>
      <c r="U127">
        <v>22</v>
      </c>
      <c r="V127">
        <v>20260911018</v>
      </c>
    </row>
    <row r="128" spans="1:22" x14ac:dyDescent="0.2">
      <c r="A128" s="34" t="s">
        <v>122</v>
      </c>
      <c r="B128" s="28">
        <v>46276</v>
      </c>
      <c r="C128" s="34"/>
      <c r="D128" s="34" t="s">
        <v>338</v>
      </c>
      <c r="E128" s="34" t="s">
        <v>196</v>
      </c>
      <c r="F128" s="34" t="s">
        <v>197</v>
      </c>
      <c r="G128" s="34" t="s">
        <v>198</v>
      </c>
      <c r="H128" s="34" t="s">
        <v>199</v>
      </c>
      <c r="I128">
        <v>11</v>
      </c>
      <c r="J128">
        <v>0</v>
      </c>
      <c r="K128">
        <v>6</v>
      </c>
      <c r="L128">
        <v>5</v>
      </c>
      <c r="O128" s="28">
        <v>46275</v>
      </c>
      <c r="R128">
        <v>-1</v>
      </c>
      <c r="S128">
        <v>19</v>
      </c>
      <c r="T128">
        <v>15</v>
      </c>
      <c r="U128">
        <v>23</v>
      </c>
      <c r="V128">
        <v>20260911019</v>
      </c>
    </row>
    <row r="129" spans="1:22" x14ac:dyDescent="0.2">
      <c r="A129" s="34" t="s">
        <v>122</v>
      </c>
      <c r="B129" s="28">
        <v>46276</v>
      </c>
      <c r="C129" s="34"/>
      <c r="D129" s="34" t="s">
        <v>338</v>
      </c>
      <c r="E129" s="34" t="s">
        <v>200</v>
      </c>
      <c r="F129" s="34" t="s">
        <v>201</v>
      </c>
      <c r="G129" s="34" t="s">
        <v>202</v>
      </c>
      <c r="H129" s="34" t="s">
        <v>203</v>
      </c>
      <c r="I129">
        <v>1</v>
      </c>
      <c r="J129">
        <v>0</v>
      </c>
      <c r="K129">
        <v>11</v>
      </c>
      <c r="L129">
        <v>-10</v>
      </c>
      <c r="O129" s="28">
        <v>46275</v>
      </c>
      <c r="R129">
        <v>-1</v>
      </c>
      <c r="S129">
        <v>20</v>
      </c>
      <c r="T129">
        <v>15</v>
      </c>
      <c r="U129">
        <v>24</v>
      </c>
      <c r="V129">
        <v>20260911020</v>
      </c>
    </row>
    <row r="130" spans="1:22" x14ac:dyDescent="0.2">
      <c r="A130" s="34" t="s">
        <v>122</v>
      </c>
      <c r="B130" s="28">
        <v>46276</v>
      </c>
      <c r="C130" s="34"/>
      <c r="D130" s="34" t="s">
        <v>338</v>
      </c>
      <c r="E130" s="34" t="s">
        <v>204</v>
      </c>
      <c r="F130" s="34" t="s">
        <v>205</v>
      </c>
      <c r="G130" s="34" t="s">
        <v>206</v>
      </c>
      <c r="H130" s="34" t="s">
        <v>207</v>
      </c>
      <c r="I130">
        <v>1</v>
      </c>
      <c r="J130">
        <v>0</v>
      </c>
      <c r="K130">
        <v>4</v>
      </c>
      <c r="L130">
        <v>-3</v>
      </c>
      <c r="O130" s="28">
        <v>46275</v>
      </c>
      <c r="R130">
        <v>-1</v>
      </c>
      <c r="S130">
        <v>21</v>
      </c>
      <c r="T130">
        <v>15</v>
      </c>
      <c r="U130">
        <v>25</v>
      </c>
      <c r="V130">
        <v>20260911021</v>
      </c>
    </row>
    <row r="131" spans="1:22" x14ac:dyDescent="0.2">
      <c r="A131" s="34" t="s">
        <v>122</v>
      </c>
      <c r="B131" s="28">
        <v>46276</v>
      </c>
      <c r="C131" s="34"/>
      <c r="D131" s="34" t="s">
        <v>338</v>
      </c>
      <c r="E131" s="34" t="s">
        <v>208</v>
      </c>
      <c r="F131" s="34" t="s">
        <v>209</v>
      </c>
      <c r="G131" s="34" t="s">
        <v>210</v>
      </c>
      <c r="H131" s="34" t="s">
        <v>211</v>
      </c>
      <c r="I131">
        <v>1</v>
      </c>
      <c r="J131">
        <v>0</v>
      </c>
      <c r="K131">
        <v>2</v>
      </c>
      <c r="L131">
        <v>-1</v>
      </c>
      <c r="O131" s="28">
        <v>46275</v>
      </c>
      <c r="R131">
        <v>-1</v>
      </c>
      <c r="S131">
        <v>22</v>
      </c>
      <c r="T131">
        <v>15</v>
      </c>
      <c r="U131">
        <v>26</v>
      </c>
      <c r="V131">
        <v>20260911022</v>
      </c>
    </row>
    <row r="132" spans="1:22" x14ac:dyDescent="0.2">
      <c r="A132" s="34" t="s">
        <v>122</v>
      </c>
      <c r="B132" s="28">
        <v>46276</v>
      </c>
      <c r="C132" s="34"/>
      <c r="D132" s="34" t="s">
        <v>338</v>
      </c>
      <c r="E132" s="34" t="s">
        <v>212</v>
      </c>
      <c r="F132" s="34" t="s">
        <v>213</v>
      </c>
      <c r="G132" s="34" t="s">
        <v>214</v>
      </c>
      <c r="H132" s="34" t="s">
        <v>215</v>
      </c>
      <c r="I132">
        <v>11</v>
      </c>
      <c r="J132">
        <v>0</v>
      </c>
      <c r="K132">
        <v>7</v>
      </c>
      <c r="L132">
        <v>4</v>
      </c>
      <c r="O132" s="28">
        <v>46275</v>
      </c>
      <c r="R132">
        <v>-1</v>
      </c>
      <c r="S132">
        <v>23</v>
      </c>
      <c r="T132">
        <v>15</v>
      </c>
      <c r="U132">
        <v>27</v>
      </c>
      <c r="V132">
        <v>20260911023</v>
      </c>
    </row>
    <row r="133" spans="1:22" x14ac:dyDescent="0.2">
      <c r="A133" s="34" t="s">
        <v>122</v>
      </c>
      <c r="B133" s="28">
        <v>46276</v>
      </c>
      <c r="C133" s="34"/>
      <c r="D133" s="34" t="s">
        <v>338</v>
      </c>
      <c r="E133" s="34" t="s">
        <v>216</v>
      </c>
      <c r="F133" s="34" t="s">
        <v>217</v>
      </c>
      <c r="G133" s="34" t="s">
        <v>218</v>
      </c>
      <c r="H133" s="34" t="s">
        <v>219</v>
      </c>
      <c r="I133">
        <v>1</v>
      </c>
      <c r="J133">
        <v>0</v>
      </c>
      <c r="K133">
        <v>11</v>
      </c>
      <c r="L133">
        <v>-10</v>
      </c>
      <c r="O133" s="28">
        <v>46275</v>
      </c>
      <c r="R133">
        <v>-1</v>
      </c>
      <c r="S133">
        <v>24</v>
      </c>
      <c r="T133">
        <v>15</v>
      </c>
      <c r="U133">
        <v>28</v>
      </c>
      <c r="V133">
        <v>20260911024</v>
      </c>
    </row>
    <row r="134" spans="1:22" x14ac:dyDescent="0.2">
      <c r="A134" s="34" t="s">
        <v>122</v>
      </c>
      <c r="B134" s="28">
        <v>46276</v>
      </c>
      <c r="C134" s="34"/>
      <c r="D134" s="34" t="s">
        <v>338</v>
      </c>
      <c r="E134" s="34" t="s">
        <v>220</v>
      </c>
      <c r="F134" s="34" t="s">
        <v>221</v>
      </c>
      <c r="G134" s="34" t="s">
        <v>222</v>
      </c>
      <c r="H134" s="34" t="s">
        <v>223</v>
      </c>
      <c r="I134">
        <v>11</v>
      </c>
      <c r="J134">
        <v>0</v>
      </c>
      <c r="K134">
        <v>13</v>
      </c>
      <c r="L134">
        <v>-2</v>
      </c>
      <c r="O134" s="28">
        <v>46275</v>
      </c>
      <c r="R134">
        <v>-1</v>
      </c>
      <c r="S134">
        <v>25</v>
      </c>
      <c r="T134">
        <v>15</v>
      </c>
      <c r="U134">
        <v>29</v>
      </c>
      <c r="V134">
        <v>20260911025</v>
      </c>
    </row>
    <row r="135" spans="1:22" x14ac:dyDescent="0.2">
      <c r="A135" s="34" t="s">
        <v>122</v>
      </c>
      <c r="B135" s="28">
        <v>46276</v>
      </c>
      <c r="C135" s="34"/>
      <c r="D135" s="34" t="s">
        <v>338</v>
      </c>
      <c r="E135" s="34" t="s">
        <v>224</v>
      </c>
      <c r="F135" s="34" t="s">
        <v>225</v>
      </c>
      <c r="G135" s="34" t="s">
        <v>226</v>
      </c>
      <c r="H135" s="34" t="s">
        <v>227</v>
      </c>
      <c r="I135">
        <v>1</v>
      </c>
      <c r="J135">
        <v>0</v>
      </c>
      <c r="K135">
        <v>7</v>
      </c>
      <c r="L135">
        <v>-6</v>
      </c>
      <c r="O135" s="28">
        <v>46275</v>
      </c>
      <c r="R135">
        <v>-1</v>
      </c>
      <c r="S135">
        <v>26</v>
      </c>
      <c r="T135">
        <v>15</v>
      </c>
      <c r="U135">
        <v>30</v>
      </c>
      <c r="V135">
        <v>20260911026</v>
      </c>
    </row>
    <row r="136" spans="1:22" x14ac:dyDescent="0.2">
      <c r="A136" s="34" t="s">
        <v>122</v>
      </c>
      <c r="B136" s="28">
        <v>46276</v>
      </c>
      <c r="C136" s="34"/>
      <c r="D136" s="34" t="s">
        <v>338</v>
      </c>
      <c r="E136" s="34" t="s">
        <v>228</v>
      </c>
      <c r="F136" s="34" t="s">
        <v>229</v>
      </c>
      <c r="G136" s="34" t="s">
        <v>230</v>
      </c>
      <c r="H136" s="34" t="s">
        <v>231</v>
      </c>
      <c r="I136">
        <v>1</v>
      </c>
      <c r="J136">
        <v>0</v>
      </c>
      <c r="K136">
        <v>4</v>
      </c>
      <c r="L136">
        <v>-3</v>
      </c>
      <c r="O136" s="28">
        <v>46275</v>
      </c>
      <c r="R136">
        <v>-1</v>
      </c>
      <c r="S136">
        <v>27</v>
      </c>
      <c r="T136">
        <v>15</v>
      </c>
      <c r="U136">
        <v>31</v>
      </c>
      <c r="V136">
        <v>20260911027</v>
      </c>
    </row>
    <row r="137" spans="1:22" x14ac:dyDescent="0.2">
      <c r="A137" s="34" t="s">
        <v>122</v>
      </c>
      <c r="B137" s="28">
        <v>46276</v>
      </c>
      <c r="C137" s="34"/>
      <c r="D137" s="34" t="s">
        <v>338</v>
      </c>
      <c r="E137" s="34" t="s">
        <v>232</v>
      </c>
      <c r="F137" s="34" t="s">
        <v>233</v>
      </c>
      <c r="G137" s="34" t="s">
        <v>234</v>
      </c>
      <c r="H137" s="34" t="s">
        <v>235</v>
      </c>
      <c r="I137">
        <v>1</v>
      </c>
      <c r="J137">
        <v>0</v>
      </c>
      <c r="K137">
        <v>7</v>
      </c>
      <c r="L137">
        <v>-6</v>
      </c>
      <c r="O137" s="28">
        <v>46275</v>
      </c>
      <c r="R137">
        <v>-1</v>
      </c>
      <c r="S137">
        <v>28</v>
      </c>
      <c r="T137">
        <v>15</v>
      </c>
      <c r="U137">
        <v>32</v>
      </c>
      <c r="V137">
        <v>20260911028</v>
      </c>
    </row>
    <row r="138" spans="1:22" x14ac:dyDescent="0.2">
      <c r="A138" s="34" t="s">
        <v>122</v>
      </c>
      <c r="B138" s="28">
        <v>46276</v>
      </c>
      <c r="C138" s="34"/>
      <c r="D138" s="34" t="s">
        <v>338</v>
      </c>
      <c r="E138" s="34" t="s">
        <v>236</v>
      </c>
      <c r="F138" s="34" t="s">
        <v>237</v>
      </c>
      <c r="G138" s="34" t="s">
        <v>238</v>
      </c>
      <c r="H138" s="34" t="s">
        <v>239</v>
      </c>
      <c r="I138">
        <v>1</v>
      </c>
      <c r="J138">
        <v>0</v>
      </c>
      <c r="K138">
        <v>4</v>
      </c>
      <c r="L138">
        <v>-3</v>
      </c>
      <c r="O138" s="28">
        <v>46275</v>
      </c>
      <c r="R138">
        <v>-1</v>
      </c>
      <c r="S138">
        <v>29</v>
      </c>
      <c r="T138">
        <v>15</v>
      </c>
      <c r="U138">
        <v>33</v>
      </c>
      <c r="V138">
        <v>20260911029</v>
      </c>
    </row>
    <row r="139" spans="1:22" x14ac:dyDescent="0.2">
      <c r="A139" s="34" t="s">
        <v>122</v>
      </c>
      <c r="B139" s="28">
        <v>46276</v>
      </c>
      <c r="C139" s="34"/>
      <c r="D139" s="34" t="s">
        <v>338</v>
      </c>
      <c r="E139" s="34" t="s">
        <v>240</v>
      </c>
      <c r="F139" s="34" t="s">
        <v>241</v>
      </c>
      <c r="G139" s="34" t="s">
        <v>242</v>
      </c>
      <c r="H139" s="34" t="s">
        <v>243</v>
      </c>
      <c r="I139">
        <v>1</v>
      </c>
      <c r="J139">
        <v>0</v>
      </c>
      <c r="K139">
        <v>10</v>
      </c>
      <c r="L139">
        <v>-9</v>
      </c>
      <c r="O139" s="28">
        <v>46275</v>
      </c>
      <c r="R139">
        <v>-1</v>
      </c>
      <c r="S139">
        <v>30</v>
      </c>
      <c r="T139">
        <v>15</v>
      </c>
      <c r="U139">
        <v>34</v>
      </c>
      <c r="V139">
        <v>20260911030</v>
      </c>
    </row>
    <row r="140" spans="1:22" x14ac:dyDescent="0.2">
      <c r="A140" s="34" t="s">
        <v>122</v>
      </c>
      <c r="B140" s="28">
        <v>46276</v>
      </c>
      <c r="C140" s="34"/>
      <c r="D140" s="34" t="s">
        <v>338</v>
      </c>
      <c r="E140" s="34" t="s">
        <v>244</v>
      </c>
      <c r="F140" s="34" t="s">
        <v>245</v>
      </c>
      <c r="G140" s="34" t="s">
        <v>246</v>
      </c>
      <c r="H140" s="34" t="s">
        <v>247</v>
      </c>
      <c r="I140">
        <v>1</v>
      </c>
      <c r="J140">
        <v>0</v>
      </c>
      <c r="K140">
        <v>5</v>
      </c>
      <c r="L140">
        <v>-4</v>
      </c>
      <c r="O140" s="28">
        <v>46275</v>
      </c>
      <c r="R140">
        <v>-1</v>
      </c>
      <c r="S140">
        <v>31</v>
      </c>
      <c r="T140">
        <v>15</v>
      </c>
      <c r="U140">
        <v>35</v>
      </c>
      <c r="V140">
        <v>20260911031</v>
      </c>
    </row>
    <row r="141" spans="1:22" x14ac:dyDescent="0.2">
      <c r="A141" s="34" t="s">
        <v>122</v>
      </c>
      <c r="B141" s="28">
        <v>46276</v>
      </c>
      <c r="C141" s="34"/>
      <c r="D141" s="34" t="s">
        <v>338</v>
      </c>
      <c r="E141" s="34" t="s">
        <v>248</v>
      </c>
      <c r="F141" s="34" t="s">
        <v>249</v>
      </c>
      <c r="G141" s="34" t="s">
        <v>250</v>
      </c>
      <c r="H141" s="34" t="s">
        <v>251</v>
      </c>
      <c r="I141">
        <v>1</v>
      </c>
      <c r="J141">
        <v>0</v>
      </c>
      <c r="K141">
        <v>4</v>
      </c>
      <c r="L141">
        <v>-3</v>
      </c>
      <c r="O141" s="28">
        <v>46275</v>
      </c>
      <c r="R141">
        <v>-1</v>
      </c>
      <c r="S141">
        <v>32</v>
      </c>
      <c r="T141">
        <v>15</v>
      </c>
      <c r="U141">
        <v>36</v>
      </c>
      <c r="V141">
        <v>20260911032</v>
      </c>
    </row>
    <row r="142" spans="1:22" x14ac:dyDescent="0.2">
      <c r="A142" s="34" t="s">
        <v>122</v>
      </c>
      <c r="B142" s="28">
        <v>46276</v>
      </c>
      <c r="C142" s="34"/>
      <c r="D142" s="34" t="s">
        <v>338</v>
      </c>
      <c r="E142" s="34" t="s">
        <v>252</v>
      </c>
      <c r="F142" s="34" t="s">
        <v>253</v>
      </c>
      <c r="G142" s="34" t="s">
        <v>254</v>
      </c>
      <c r="H142" s="34" t="s">
        <v>255</v>
      </c>
      <c r="I142">
        <v>1</v>
      </c>
      <c r="J142">
        <v>0</v>
      </c>
      <c r="K142">
        <v>4</v>
      </c>
      <c r="L142">
        <v>-3</v>
      </c>
      <c r="O142" s="28">
        <v>46275</v>
      </c>
      <c r="R142">
        <v>-1</v>
      </c>
      <c r="S142">
        <v>33</v>
      </c>
      <c r="T142">
        <v>15</v>
      </c>
      <c r="U142">
        <v>37</v>
      </c>
      <c r="V142">
        <v>20260911033</v>
      </c>
    </row>
    <row r="143" spans="1:22" x14ac:dyDescent="0.2">
      <c r="A143" s="34" t="s">
        <v>122</v>
      </c>
      <c r="B143" s="28">
        <v>46276</v>
      </c>
      <c r="C143" s="34"/>
      <c r="D143" s="34" t="s">
        <v>338</v>
      </c>
      <c r="E143" s="34" t="s">
        <v>256</v>
      </c>
      <c r="F143" s="34" t="s">
        <v>257</v>
      </c>
      <c r="G143" s="34" t="s">
        <v>258</v>
      </c>
      <c r="H143" s="34" t="s">
        <v>259</v>
      </c>
      <c r="I143">
        <v>4</v>
      </c>
      <c r="J143">
        <v>0</v>
      </c>
      <c r="K143">
        <v>4</v>
      </c>
      <c r="L143">
        <v>0</v>
      </c>
      <c r="O143" s="28">
        <v>46275</v>
      </c>
      <c r="R143">
        <v>-1</v>
      </c>
      <c r="S143">
        <v>34</v>
      </c>
      <c r="T143">
        <v>15</v>
      </c>
      <c r="U143">
        <v>38</v>
      </c>
      <c r="V143">
        <v>20260911034</v>
      </c>
    </row>
    <row r="144" spans="1:22" x14ac:dyDescent="0.2">
      <c r="A144" s="34" t="s">
        <v>122</v>
      </c>
      <c r="B144" s="28">
        <v>46276</v>
      </c>
      <c r="C144" s="34"/>
      <c r="D144" s="34" t="s">
        <v>338</v>
      </c>
      <c r="E144" s="34" t="s">
        <v>260</v>
      </c>
      <c r="F144" s="34" t="s">
        <v>261</v>
      </c>
      <c r="G144" s="34" t="s">
        <v>262</v>
      </c>
      <c r="H144" s="34" t="s">
        <v>263</v>
      </c>
      <c r="I144">
        <v>4</v>
      </c>
      <c r="J144">
        <v>0</v>
      </c>
      <c r="K144">
        <v>6</v>
      </c>
      <c r="L144">
        <v>-2</v>
      </c>
      <c r="O144" s="28">
        <v>46275</v>
      </c>
      <c r="R144">
        <v>-1</v>
      </c>
      <c r="S144">
        <v>35</v>
      </c>
      <c r="T144">
        <v>15</v>
      </c>
      <c r="U144">
        <v>39</v>
      </c>
      <c r="V144">
        <v>20260911035</v>
      </c>
    </row>
    <row r="145" spans="1:22" x14ac:dyDescent="0.2">
      <c r="A145" s="34" t="s">
        <v>122</v>
      </c>
      <c r="B145" s="28">
        <v>46276</v>
      </c>
      <c r="C145" s="34"/>
      <c r="D145" s="34" t="s">
        <v>338</v>
      </c>
      <c r="E145" s="34" t="s">
        <v>264</v>
      </c>
      <c r="F145" s="34" t="s">
        <v>265</v>
      </c>
      <c r="G145" s="34" t="s">
        <v>266</v>
      </c>
      <c r="H145" s="34" t="s">
        <v>267</v>
      </c>
      <c r="I145">
        <v>4</v>
      </c>
      <c r="J145">
        <v>0</v>
      </c>
      <c r="K145">
        <v>8</v>
      </c>
      <c r="L145">
        <v>-4</v>
      </c>
      <c r="O145" s="28">
        <v>46275</v>
      </c>
      <c r="R145">
        <v>-1</v>
      </c>
      <c r="S145">
        <v>36</v>
      </c>
      <c r="T145">
        <v>15</v>
      </c>
      <c r="U145">
        <v>40</v>
      </c>
      <c r="V145">
        <v>20260911036</v>
      </c>
    </row>
    <row r="146" spans="1:22" x14ac:dyDescent="0.2">
      <c r="A146" s="34" t="s">
        <v>122</v>
      </c>
      <c r="B146" s="28">
        <v>46276</v>
      </c>
      <c r="C146" s="34"/>
      <c r="D146" s="34" t="s">
        <v>338</v>
      </c>
      <c r="E146" s="34" t="s">
        <v>268</v>
      </c>
      <c r="F146" s="34" t="s">
        <v>269</v>
      </c>
      <c r="G146" s="34" t="s">
        <v>270</v>
      </c>
      <c r="H146" s="34" t="s">
        <v>271</v>
      </c>
      <c r="I146">
        <v>1</v>
      </c>
      <c r="J146">
        <v>0</v>
      </c>
      <c r="K146">
        <v>6</v>
      </c>
      <c r="L146">
        <v>-5</v>
      </c>
      <c r="O146" s="28">
        <v>46275</v>
      </c>
      <c r="R146">
        <v>-1</v>
      </c>
      <c r="S146">
        <v>37</v>
      </c>
      <c r="T146">
        <v>15</v>
      </c>
      <c r="U146">
        <v>41</v>
      </c>
      <c r="V146">
        <v>20260911037</v>
      </c>
    </row>
    <row r="147" spans="1:22" x14ac:dyDescent="0.2">
      <c r="A147" s="34" t="s">
        <v>122</v>
      </c>
      <c r="B147" s="28">
        <v>46276</v>
      </c>
      <c r="C147" s="34"/>
      <c r="D147" s="34" t="s">
        <v>338</v>
      </c>
      <c r="E147" s="34" t="s">
        <v>272</v>
      </c>
      <c r="F147" s="34" t="s">
        <v>341</v>
      </c>
      <c r="G147" s="34" t="s">
        <v>273</v>
      </c>
      <c r="H147" s="34" t="s">
        <v>274</v>
      </c>
      <c r="I147">
        <v>1</v>
      </c>
      <c r="J147">
        <v>0</v>
      </c>
      <c r="K147">
        <v>5</v>
      </c>
      <c r="L147">
        <v>-4</v>
      </c>
      <c r="O147" s="28">
        <v>46275</v>
      </c>
      <c r="R147">
        <v>-1</v>
      </c>
      <c r="S147">
        <v>38</v>
      </c>
      <c r="T147">
        <v>15</v>
      </c>
      <c r="U147">
        <v>42</v>
      </c>
      <c r="V147">
        <v>20260911038</v>
      </c>
    </row>
    <row r="148" spans="1:22" x14ac:dyDescent="0.2">
      <c r="A148" s="34" t="s">
        <v>122</v>
      </c>
      <c r="B148" s="28">
        <v>46276</v>
      </c>
      <c r="C148" s="34"/>
      <c r="D148" s="34" t="s">
        <v>338</v>
      </c>
      <c r="E148" s="34" t="s">
        <v>275</v>
      </c>
      <c r="F148" s="34" t="s">
        <v>276</v>
      </c>
      <c r="G148" s="34" t="s">
        <v>277</v>
      </c>
      <c r="H148" s="34" t="s">
        <v>278</v>
      </c>
      <c r="I148">
        <v>1</v>
      </c>
      <c r="J148">
        <v>0</v>
      </c>
      <c r="K148">
        <v>6</v>
      </c>
      <c r="L148">
        <v>-5</v>
      </c>
      <c r="O148" s="28">
        <v>46275</v>
      </c>
      <c r="R148">
        <v>-1</v>
      </c>
      <c r="S148">
        <v>39</v>
      </c>
      <c r="T148">
        <v>15</v>
      </c>
      <c r="U148">
        <v>43</v>
      </c>
      <c r="V148">
        <v>20260911039</v>
      </c>
    </row>
    <row r="149" spans="1:22" x14ac:dyDescent="0.2">
      <c r="A149" s="34" t="s">
        <v>122</v>
      </c>
      <c r="B149" s="28">
        <v>46276</v>
      </c>
      <c r="C149" s="34"/>
      <c r="D149" s="34" t="s">
        <v>338</v>
      </c>
      <c r="E149" s="34" t="s">
        <v>279</v>
      </c>
      <c r="F149" s="34" t="s">
        <v>280</v>
      </c>
      <c r="G149" s="34" t="s">
        <v>281</v>
      </c>
      <c r="H149" s="34" t="s">
        <v>282</v>
      </c>
      <c r="I149">
        <v>1</v>
      </c>
      <c r="J149">
        <v>0</v>
      </c>
      <c r="K149">
        <v>6</v>
      </c>
      <c r="L149">
        <v>-5</v>
      </c>
      <c r="O149" s="28">
        <v>46275</v>
      </c>
      <c r="R149">
        <v>-1</v>
      </c>
      <c r="S149">
        <v>40</v>
      </c>
      <c r="T149">
        <v>15</v>
      </c>
      <c r="U149">
        <v>44</v>
      </c>
      <c r="V149">
        <v>20260911040</v>
      </c>
    </row>
    <row r="150" spans="1:22" x14ac:dyDescent="0.2">
      <c r="A150" s="34" t="s">
        <v>122</v>
      </c>
      <c r="B150" s="28">
        <v>46276</v>
      </c>
      <c r="C150" s="34"/>
      <c r="D150" s="34" t="s">
        <v>338</v>
      </c>
      <c r="E150" s="34" t="s">
        <v>283</v>
      </c>
      <c r="F150" s="34" t="s">
        <v>284</v>
      </c>
      <c r="G150" s="34" t="s">
        <v>285</v>
      </c>
      <c r="H150" s="34" t="s">
        <v>286</v>
      </c>
      <c r="I150">
        <v>1</v>
      </c>
      <c r="J150">
        <v>0</v>
      </c>
      <c r="K150">
        <v>17</v>
      </c>
      <c r="L150">
        <v>-16</v>
      </c>
      <c r="O150" s="28">
        <v>46275</v>
      </c>
      <c r="R150">
        <v>-1</v>
      </c>
      <c r="S150">
        <v>41</v>
      </c>
      <c r="T150">
        <v>15</v>
      </c>
      <c r="U150">
        <v>45</v>
      </c>
      <c r="V150">
        <v>20260911041</v>
      </c>
    </row>
    <row r="151" spans="1:22" x14ac:dyDescent="0.2">
      <c r="A151" s="34" t="s">
        <v>122</v>
      </c>
      <c r="B151" s="28">
        <v>46276</v>
      </c>
      <c r="C151" s="34"/>
      <c r="D151" s="34" t="s">
        <v>338</v>
      </c>
      <c r="E151" s="34" t="s">
        <v>287</v>
      </c>
      <c r="F151" s="34" t="s">
        <v>288</v>
      </c>
      <c r="G151" s="34" t="s">
        <v>289</v>
      </c>
      <c r="H151" s="34" t="s">
        <v>290</v>
      </c>
      <c r="I151">
        <v>1</v>
      </c>
      <c r="J151">
        <v>0</v>
      </c>
      <c r="K151">
        <v>36</v>
      </c>
      <c r="L151">
        <v>-35</v>
      </c>
      <c r="O151" s="28">
        <v>46275</v>
      </c>
      <c r="R151">
        <v>-1</v>
      </c>
      <c r="S151">
        <v>42</v>
      </c>
      <c r="T151">
        <v>15</v>
      </c>
      <c r="U151">
        <v>46</v>
      </c>
      <c r="V151">
        <v>20260911042</v>
      </c>
    </row>
    <row r="152" spans="1:22" x14ac:dyDescent="0.2">
      <c r="A152" s="34" t="s">
        <v>122</v>
      </c>
      <c r="B152" s="28">
        <v>46276</v>
      </c>
      <c r="C152" s="34"/>
      <c r="D152" s="34" t="s">
        <v>338</v>
      </c>
      <c r="E152" s="34" t="s">
        <v>291</v>
      </c>
      <c r="F152" s="34" t="s">
        <v>342</v>
      </c>
      <c r="G152" s="34" t="s">
        <v>292</v>
      </c>
      <c r="H152" s="34" t="s">
        <v>293</v>
      </c>
      <c r="I152">
        <v>1</v>
      </c>
      <c r="J152">
        <v>0</v>
      </c>
      <c r="K152">
        <v>23</v>
      </c>
      <c r="L152">
        <v>-22</v>
      </c>
      <c r="O152" s="28">
        <v>46275</v>
      </c>
      <c r="R152">
        <v>-1</v>
      </c>
      <c r="S152">
        <v>43</v>
      </c>
      <c r="T152">
        <v>15</v>
      </c>
      <c r="U152">
        <v>47</v>
      </c>
      <c r="V152">
        <v>20260911043</v>
      </c>
    </row>
    <row r="153" spans="1:22" x14ac:dyDescent="0.2">
      <c r="A153" s="34" t="s">
        <v>122</v>
      </c>
      <c r="B153" s="28">
        <v>46276</v>
      </c>
      <c r="C153" s="34"/>
      <c r="D153" s="34" t="s">
        <v>338</v>
      </c>
      <c r="E153" s="34" t="s">
        <v>294</v>
      </c>
      <c r="F153" s="34" t="s">
        <v>295</v>
      </c>
      <c r="G153" s="34" t="s">
        <v>296</v>
      </c>
      <c r="H153" s="34" t="s">
        <v>297</v>
      </c>
      <c r="I153">
        <v>1</v>
      </c>
      <c r="J153">
        <v>0</v>
      </c>
      <c r="K153">
        <v>13</v>
      </c>
      <c r="L153">
        <v>-12</v>
      </c>
      <c r="O153" s="28">
        <v>46275</v>
      </c>
      <c r="R153">
        <v>-1</v>
      </c>
      <c r="S153">
        <v>44</v>
      </c>
      <c r="T153">
        <v>15</v>
      </c>
      <c r="U153">
        <v>48</v>
      </c>
      <c r="V153">
        <v>20260911044</v>
      </c>
    </row>
    <row r="154" spans="1:22" x14ac:dyDescent="0.2">
      <c r="A154" s="34" t="s">
        <v>122</v>
      </c>
      <c r="B154" s="28">
        <v>46276</v>
      </c>
      <c r="C154" s="34"/>
      <c r="D154" s="34" t="s">
        <v>338</v>
      </c>
      <c r="E154" s="34" t="s">
        <v>298</v>
      </c>
      <c r="F154" s="34" t="s">
        <v>299</v>
      </c>
      <c r="G154" s="34" t="s">
        <v>300</v>
      </c>
      <c r="H154" s="34" t="s">
        <v>301</v>
      </c>
      <c r="I154">
        <v>1</v>
      </c>
      <c r="J154">
        <v>0</v>
      </c>
      <c r="K154">
        <v>14</v>
      </c>
      <c r="L154">
        <v>-13</v>
      </c>
      <c r="O154" s="28">
        <v>46275</v>
      </c>
      <c r="R154">
        <v>-1</v>
      </c>
      <c r="S154">
        <v>45</v>
      </c>
      <c r="T154">
        <v>15</v>
      </c>
      <c r="U154">
        <v>49</v>
      </c>
      <c r="V154">
        <v>20260911045</v>
      </c>
    </row>
    <row r="155" spans="1:22" x14ac:dyDescent="0.2">
      <c r="A155" s="34" t="s">
        <v>122</v>
      </c>
      <c r="B155" s="28">
        <v>46276</v>
      </c>
      <c r="C155" s="34"/>
      <c r="D155" s="34" t="s">
        <v>338</v>
      </c>
      <c r="E155" s="34" t="s">
        <v>302</v>
      </c>
      <c r="F155" s="34" t="s">
        <v>303</v>
      </c>
      <c r="G155" s="34" t="s">
        <v>304</v>
      </c>
      <c r="H155" s="34" t="s">
        <v>305</v>
      </c>
      <c r="I155">
        <v>1</v>
      </c>
      <c r="J155">
        <v>0</v>
      </c>
      <c r="K155">
        <v>9</v>
      </c>
      <c r="L155">
        <v>-8</v>
      </c>
      <c r="O155" s="28">
        <v>46275</v>
      </c>
      <c r="R155">
        <v>-1</v>
      </c>
      <c r="S155">
        <v>46</v>
      </c>
      <c r="T155">
        <v>15</v>
      </c>
      <c r="U155">
        <v>50</v>
      </c>
      <c r="V155">
        <v>20260911046</v>
      </c>
    </row>
    <row r="156" spans="1:22" x14ac:dyDescent="0.2">
      <c r="A156" s="34" t="s">
        <v>122</v>
      </c>
      <c r="B156" s="28">
        <v>46276</v>
      </c>
      <c r="C156" s="34"/>
      <c r="D156" s="34" t="s">
        <v>338</v>
      </c>
      <c r="E156" s="34" t="s">
        <v>306</v>
      </c>
      <c r="F156" s="34" t="s">
        <v>307</v>
      </c>
      <c r="G156" s="34" t="s">
        <v>308</v>
      </c>
      <c r="H156" s="34" t="s">
        <v>309</v>
      </c>
      <c r="I156">
        <v>1</v>
      </c>
      <c r="J156">
        <v>0</v>
      </c>
      <c r="K156">
        <v>11</v>
      </c>
      <c r="L156">
        <v>-10</v>
      </c>
      <c r="O156" s="28">
        <v>46275</v>
      </c>
      <c r="R156">
        <v>-1</v>
      </c>
      <c r="S156">
        <v>47</v>
      </c>
      <c r="T156">
        <v>15</v>
      </c>
      <c r="U156">
        <v>51</v>
      </c>
      <c r="V156">
        <v>20260911047</v>
      </c>
    </row>
    <row r="157" spans="1:22" x14ac:dyDescent="0.2">
      <c r="A157" s="34" t="s">
        <v>122</v>
      </c>
      <c r="B157" s="28">
        <v>46276</v>
      </c>
      <c r="C157" s="34"/>
      <c r="D157" s="34" t="s">
        <v>338</v>
      </c>
      <c r="E157" s="34" t="s">
        <v>310</v>
      </c>
      <c r="F157" s="34" t="s">
        <v>311</v>
      </c>
      <c r="G157" s="34" t="s">
        <v>312</v>
      </c>
      <c r="H157" s="34" t="s">
        <v>313</v>
      </c>
      <c r="I157">
        <v>1</v>
      </c>
      <c r="J157">
        <v>0</v>
      </c>
      <c r="K157">
        <v>7</v>
      </c>
      <c r="L157">
        <v>-6</v>
      </c>
      <c r="O157" s="28">
        <v>46275</v>
      </c>
      <c r="R157">
        <v>-1</v>
      </c>
      <c r="S157">
        <v>48</v>
      </c>
      <c r="T157">
        <v>15</v>
      </c>
      <c r="U157">
        <v>52</v>
      </c>
      <c r="V157">
        <v>20260911048</v>
      </c>
    </row>
    <row r="158" spans="1:22" x14ac:dyDescent="0.2">
      <c r="A158" s="34" t="s">
        <v>122</v>
      </c>
      <c r="B158" s="28">
        <v>46276</v>
      </c>
      <c r="C158" s="34"/>
      <c r="D158" s="34" t="s">
        <v>338</v>
      </c>
      <c r="E158" s="34" t="s">
        <v>314</v>
      </c>
      <c r="F158" s="34" t="s">
        <v>315</v>
      </c>
      <c r="G158" s="34" t="s">
        <v>316</v>
      </c>
      <c r="H158" s="34" t="s">
        <v>317</v>
      </c>
      <c r="I158">
        <v>1</v>
      </c>
      <c r="J158">
        <v>0</v>
      </c>
      <c r="K158">
        <v>15</v>
      </c>
      <c r="L158">
        <v>-14</v>
      </c>
      <c r="O158" s="28">
        <v>46275</v>
      </c>
      <c r="R158">
        <v>-1</v>
      </c>
      <c r="S158">
        <v>49</v>
      </c>
      <c r="T158">
        <v>15</v>
      </c>
      <c r="U158">
        <v>53</v>
      </c>
      <c r="V158">
        <v>20260911049</v>
      </c>
    </row>
    <row r="159" spans="1:22" x14ac:dyDescent="0.2">
      <c r="A159" s="34" t="s">
        <v>122</v>
      </c>
      <c r="B159" s="28">
        <v>46276</v>
      </c>
      <c r="C159" s="34"/>
      <c r="D159" s="34" t="s">
        <v>338</v>
      </c>
      <c r="E159" s="34" t="s">
        <v>318</v>
      </c>
      <c r="F159" s="34" t="s">
        <v>319</v>
      </c>
      <c r="G159" s="34" t="s">
        <v>320</v>
      </c>
      <c r="H159" s="34" t="s">
        <v>321</v>
      </c>
      <c r="I159">
        <v>1</v>
      </c>
      <c r="J159">
        <v>0</v>
      </c>
      <c r="K159">
        <v>8</v>
      </c>
      <c r="L159">
        <v>-7</v>
      </c>
      <c r="O159" s="28">
        <v>46275</v>
      </c>
      <c r="R159">
        <v>-1</v>
      </c>
      <c r="S159">
        <v>50</v>
      </c>
      <c r="T159">
        <v>15</v>
      </c>
      <c r="U159">
        <v>54</v>
      </c>
      <c r="V159">
        <v>20260911050</v>
      </c>
    </row>
    <row r="160" spans="1:22" x14ac:dyDescent="0.2">
      <c r="A160" s="34" t="s">
        <v>122</v>
      </c>
      <c r="B160" s="28">
        <v>46276</v>
      </c>
      <c r="C160" s="34"/>
      <c r="D160" s="34" t="s">
        <v>338</v>
      </c>
      <c r="E160" s="34" t="s">
        <v>322</v>
      </c>
      <c r="F160" s="34" t="s">
        <v>323</v>
      </c>
      <c r="G160" s="34" t="s">
        <v>324</v>
      </c>
      <c r="H160" s="34" t="s">
        <v>325</v>
      </c>
      <c r="I160">
        <v>1</v>
      </c>
      <c r="J160">
        <v>0</v>
      </c>
      <c r="K160">
        <v>8</v>
      </c>
      <c r="L160">
        <v>-7</v>
      </c>
      <c r="O160" s="28">
        <v>46275</v>
      </c>
      <c r="R160">
        <v>-1</v>
      </c>
      <c r="S160">
        <v>51</v>
      </c>
      <c r="T160">
        <v>15</v>
      </c>
      <c r="U160">
        <v>55</v>
      </c>
      <c r="V160">
        <v>20260911051</v>
      </c>
    </row>
    <row r="161" spans="1:22" x14ac:dyDescent="0.2">
      <c r="A161" s="34" t="s">
        <v>122</v>
      </c>
      <c r="B161" s="28">
        <v>46276</v>
      </c>
      <c r="C161" s="34"/>
      <c r="D161" s="34" t="s">
        <v>338</v>
      </c>
      <c r="E161" s="34" t="s">
        <v>326</v>
      </c>
      <c r="F161" s="34" t="s">
        <v>327</v>
      </c>
      <c r="G161" s="34" t="s">
        <v>328</v>
      </c>
      <c r="H161" s="34" t="s">
        <v>329</v>
      </c>
      <c r="I161">
        <v>1</v>
      </c>
      <c r="J161">
        <v>0</v>
      </c>
      <c r="K161">
        <v>5</v>
      </c>
      <c r="L161">
        <v>-4</v>
      </c>
      <c r="O161" s="28">
        <v>46275</v>
      </c>
      <c r="R161">
        <v>-1</v>
      </c>
      <c r="S161">
        <v>52</v>
      </c>
      <c r="T161">
        <v>15</v>
      </c>
      <c r="U161">
        <v>73</v>
      </c>
      <c r="V161">
        <v>20260911052</v>
      </c>
    </row>
    <row r="162" spans="1:22" x14ac:dyDescent="0.2">
      <c r="A162" s="34" t="s">
        <v>122</v>
      </c>
      <c r="B162" s="28">
        <v>46276</v>
      </c>
      <c r="C162" s="34"/>
      <c r="D162" s="34" t="s">
        <v>338</v>
      </c>
      <c r="E162" s="34" t="s">
        <v>330</v>
      </c>
      <c r="F162" s="34" t="s">
        <v>331</v>
      </c>
      <c r="G162" s="34" t="s">
        <v>332</v>
      </c>
      <c r="H162" s="34" t="s">
        <v>333</v>
      </c>
      <c r="I162">
        <v>1</v>
      </c>
      <c r="J162">
        <v>0</v>
      </c>
      <c r="K162">
        <v>5</v>
      </c>
      <c r="L162">
        <v>-4</v>
      </c>
      <c r="O162" s="28">
        <v>46275</v>
      </c>
      <c r="R162">
        <v>-1</v>
      </c>
      <c r="S162">
        <v>53</v>
      </c>
      <c r="T162">
        <v>15</v>
      </c>
      <c r="U162">
        <v>74</v>
      </c>
      <c r="V162">
        <v>20260911053</v>
      </c>
    </row>
    <row r="163" spans="1:22" x14ac:dyDescent="0.2">
      <c r="A163" s="34" t="s">
        <v>122</v>
      </c>
      <c r="B163" s="28">
        <v>46276</v>
      </c>
      <c r="C163" s="34"/>
      <c r="D163" s="34" t="s">
        <v>338</v>
      </c>
      <c r="E163" s="34" t="s">
        <v>334</v>
      </c>
      <c r="F163" s="34" t="s">
        <v>335</v>
      </c>
      <c r="G163" s="34" t="s">
        <v>336</v>
      </c>
      <c r="H163" s="34" t="s">
        <v>337</v>
      </c>
      <c r="I163">
        <v>1</v>
      </c>
      <c r="J163">
        <v>0</v>
      </c>
      <c r="K163">
        <v>15</v>
      </c>
      <c r="L163">
        <v>-14</v>
      </c>
      <c r="O163" s="28">
        <v>46275</v>
      </c>
      <c r="R163">
        <v>-1</v>
      </c>
      <c r="S163">
        <v>54</v>
      </c>
      <c r="T163">
        <v>15</v>
      </c>
      <c r="U163">
        <v>75</v>
      </c>
      <c r="V163">
        <v>20260911054</v>
      </c>
    </row>
    <row r="164" spans="1:22" x14ac:dyDescent="0.2">
      <c r="A164" s="34" t="s">
        <v>122</v>
      </c>
      <c r="B164" s="28">
        <v>46277</v>
      </c>
      <c r="C164" s="34"/>
      <c r="D164" s="34" t="s">
        <v>338</v>
      </c>
      <c r="E164" s="34" t="s">
        <v>124</v>
      </c>
      <c r="F164" s="34" t="s">
        <v>125</v>
      </c>
      <c r="G164" s="34" t="s">
        <v>126</v>
      </c>
      <c r="H164" s="34" t="s">
        <v>127</v>
      </c>
      <c r="I164">
        <v>7</v>
      </c>
      <c r="J164">
        <v>0</v>
      </c>
      <c r="K164">
        <v>6</v>
      </c>
      <c r="L164">
        <v>1</v>
      </c>
      <c r="O164" s="28">
        <v>46276</v>
      </c>
      <c r="R164">
        <v>-1</v>
      </c>
      <c r="S164">
        <v>1</v>
      </c>
      <c r="T164">
        <v>14</v>
      </c>
      <c r="U164">
        <v>1</v>
      </c>
      <c r="V164">
        <v>20260912001</v>
      </c>
    </row>
    <row r="165" spans="1:22" x14ac:dyDescent="0.2">
      <c r="A165" s="34" t="s">
        <v>122</v>
      </c>
      <c r="B165" s="28">
        <v>46277</v>
      </c>
      <c r="C165" s="34"/>
      <c r="D165" s="34" t="s">
        <v>338</v>
      </c>
      <c r="E165" s="34" t="s">
        <v>128</v>
      </c>
      <c r="F165" s="34" t="s">
        <v>129</v>
      </c>
      <c r="G165" s="34" t="s">
        <v>130</v>
      </c>
      <c r="H165" s="34" t="s">
        <v>131</v>
      </c>
      <c r="I165">
        <v>5</v>
      </c>
      <c r="J165">
        <v>0</v>
      </c>
      <c r="K165">
        <v>5</v>
      </c>
      <c r="L165">
        <v>0</v>
      </c>
      <c r="O165" s="28">
        <v>46276</v>
      </c>
      <c r="R165">
        <v>-1</v>
      </c>
      <c r="S165">
        <v>2</v>
      </c>
      <c r="T165">
        <v>14</v>
      </c>
      <c r="U165">
        <v>2</v>
      </c>
      <c r="V165">
        <v>20260912002</v>
      </c>
    </row>
    <row r="166" spans="1:22" x14ac:dyDescent="0.2">
      <c r="A166" s="34" t="s">
        <v>122</v>
      </c>
      <c r="B166" s="28">
        <v>46277</v>
      </c>
      <c r="C166" s="34"/>
      <c r="D166" s="34" t="s">
        <v>338</v>
      </c>
      <c r="E166" s="34" t="s">
        <v>132</v>
      </c>
      <c r="F166" s="34" t="s">
        <v>133</v>
      </c>
      <c r="G166" s="34" t="s">
        <v>134</v>
      </c>
      <c r="H166" s="34" t="s">
        <v>135</v>
      </c>
      <c r="I166">
        <v>4</v>
      </c>
      <c r="J166">
        <v>0</v>
      </c>
      <c r="K166">
        <v>4</v>
      </c>
      <c r="L166">
        <v>0</v>
      </c>
      <c r="O166" s="28">
        <v>46276</v>
      </c>
      <c r="R166">
        <v>-1</v>
      </c>
      <c r="S166">
        <v>3</v>
      </c>
      <c r="T166">
        <v>14</v>
      </c>
      <c r="U166">
        <v>3</v>
      </c>
      <c r="V166">
        <v>20260912003</v>
      </c>
    </row>
    <row r="167" spans="1:22" x14ac:dyDescent="0.2">
      <c r="A167" s="34" t="s">
        <v>122</v>
      </c>
      <c r="B167" s="28">
        <v>46277</v>
      </c>
      <c r="C167" s="34"/>
      <c r="D167" s="34" t="s">
        <v>338</v>
      </c>
      <c r="E167" s="34" t="s">
        <v>136</v>
      </c>
      <c r="F167" s="34" t="s">
        <v>137</v>
      </c>
      <c r="G167" s="34" t="s">
        <v>138</v>
      </c>
      <c r="H167" s="34" t="s">
        <v>139</v>
      </c>
      <c r="I167">
        <v>8</v>
      </c>
      <c r="J167">
        <v>0</v>
      </c>
      <c r="K167">
        <v>0</v>
      </c>
      <c r="L167">
        <v>8</v>
      </c>
      <c r="O167" s="28">
        <v>46276</v>
      </c>
      <c r="R167">
        <v>-1</v>
      </c>
      <c r="S167">
        <v>4</v>
      </c>
      <c r="T167">
        <v>14</v>
      </c>
      <c r="U167">
        <v>4</v>
      </c>
      <c r="V167">
        <v>20260912004</v>
      </c>
    </row>
    <row r="168" spans="1:22" x14ac:dyDescent="0.2">
      <c r="A168" s="34" t="s">
        <v>122</v>
      </c>
      <c r="B168" s="28">
        <v>46277</v>
      </c>
      <c r="C168" s="34"/>
      <c r="D168" s="34" t="s">
        <v>338</v>
      </c>
      <c r="E168" s="34" t="s">
        <v>140</v>
      </c>
      <c r="F168" s="34" t="s">
        <v>141</v>
      </c>
      <c r="G168" s="34" t="s">
        <v>142</v>
      </c>
      <c r="H168" s="34" t="s">
        <v>143</v>
      </c>
      <c r="I168">
        <v>5</v>
      </c>
      <c r="J168">
        <v>0</v>
      </c>
      <c r="K168">
        <v>4</v>
      </c>
      <c r="L168">
        <v>1</v>
      </c>
      <c r="O168" s="28">
        <v>46276</v>
      </c>
      <c r="R168">
        <v>-1</v>
      </c>
      <c r="S168">
        <v>5</v>
      </c>
      <c r="T168">
        <v>14</v>
      </c>
      <c r="U168">
        <v>5</v>
      </c>
      <c r="V168">
        <v>20260912005</v>
      </c>
    </row>
    <row r="169" spans="1:22" x14ac:dyDescent="0.2">
      <c r="A169" s="34" t="s">
        <v>122</v>
      </c>
      <c r="B169" s="28">
        <v>46277</v>
      </c>
      <c r="C169" s="34"/>
      <c r="D169" s="34" t="s">
        <v>338</v>
      </c>
      <c r="E169" s="34" t="s">
        <v>144</v>
      </c>
      <c r="F169" s="34" t="s">
        <v>145</v>
      </c>
      <c r="G169" s="34" t="s">
        <v>146</v>
      </c>
      <c r="H169" s="34" t="s">
        <v>147</v>
      </c>
      <c r="I169">
        <v>10</v>
      </c>
      <c r="J169">
        <v>0</v>
      </c>
      <c r="K169">
        <v>8</v>
      </c>
      <c r="L169">
        <v>2</v>
      </c>
      <c r="O169" s="28">
        <v>46276</v>
      </c>
      <c r="R169">
        <v>-1</v>
      </c>
      <c r="S169">
        <v>6</v>
      </c>
      <c r="T169">
        <v>14</v>
      </c>
      <c r="U169">
        <v>6</v>
      </c>
      <c r="V169">
        <v>20260912006</v>
      </c>
    </row>
    <row r="170" spans="1:22" x14ac:dyDescent="0.2">
      <c r="A170" s="34" t="s">
        <v>122</v>
      </c>
      <c r="B170" s="28">
        <v>46277</v>
      </c>
      <c r="C170" s="34"/>
      <c r="D170" s="34" t="s">
        <v>338</v>
      </c>
      <c r="E170" s="34" t="s">
        <v>148</v>
      </c>
      <c r="F170" s="34" t="s">
        <v>149</v>
      </c>
      <c r="G170" s="34" t="s">
        <v>150</v>
      </c>
      <c r="H170" s="34" t="s">
        <v>151</v>
      </c>
      <c r="I170">
        <v>4</v>
      </c>
      <c r="J170">
        <v>0</v>
      </c>
      <c r="K170">
        <v>4</v>
      </c>
      <c r="L170">
        <v>0</v>
      </c>
      <c r="O170" s="28">
        <v>46276</v>
      </c>
      <c r="R170">
        <v>-1</v>
      </c>
      <c r="S170">
        <v>7</v>
      </c>
      <c r="T170">
        <v>14</v>
      </c>
      <c r="U170">
        <v>7</v>
      </c>
      <c r="V170">
        <v>20260912007</v>
      </c>
    </row>
    <row r="171" spans="1:22" x14ac:dyDescent="0.2">
      <c r="A171" s="34" t="s">
        <v>122</v>
      </c>
      <c r="B171" s="28">
        <v>46277</v>
      </c>
      <c r="C171" s="34"/>
      <c r="D171" s="34" t="s">
        <v>338</v>
      </c>
      <c r="E171" s="34" t="s">
        <v>152</v>
      </c>
      <c r="F171" s="34" t="s">
        <v>153</v>
      </c>
      <c r="G171" s="34" t="s">
        <v>154</v>
      </c>
      <c r="H171" s="34" t="s">
        <v>155</v>
      </c>
      <c r="I171">
        <v>6</v>
      </c>
      <c r="J171">
        <v>0</v>
      </c>
      <c r="K171">
        <v>6</v>
      </c>
      <c r="L171">
        <v>0</v>
      </c>
      <c r="O171" s="28">
        <v>46276</v>
      </c>
      <c r="R171">
        <v>-1</v>
      </c>
      <c r="S171">
        <v>8</v>
      </c>
      <c r="T171">
        <v>14</v>
      </c>
      <c r="U171">
        <v>8</v>
      </c>
      <c r="V171">
        <v>20260912008</v>
      </c>
    </row>
    <row r="172" spans="1:22" x14ac:dyDescent="0.2">
      <c r="A172" s="34" t="s">
        <v>122</v>
      </c>
      <c r="B172" s="28">
        <v>46277</v>
      </c>
      <c r="C172" s="34"/>
      <c r="D172" s="34" t="s">
        <v>338</v>
      </c>
      <c r="E172" s="34" t="s">
        <v>156</v>
      </c>
      <c r="F172" s="34" t="s">
        <v>157</v>
      </c>
      <c r="G172" s="34" t="s">
        <v>158</v>
      </c>
      <c r="H172" s="34" t="s">
        <v>159</v>
      </c>
      <c r="I172">
        <v>12</v>
      </c>
      <c r="J172">
        <v>0</v>
      </c>
      <c r="K172">
        <v>9</v>
      </c>
      <c r="L172">
        <v>3</v>
      </c>
      <c r="O172" s="28">
        <v>46276</v>
      </c>
      <c r="R172">
        <v>-1</v>
      </c>
      <c r="S172">
        <v>9</v>
      </c>
      <c r="T172">
        <v>14</v>
      </c>
      <c r="U172">
        <v>9</v>
      </c>
      <c r="V172">
        <v>20260912009</v>
      </c>
    </row>
    <row r="173" spans="1:22" x14ac:dyDescent="0.2">
      <c r="A173" s="34" t="s">
        <v>122</v>
      </c>
      <c r="B173" s="28">
        <v>46277</v>
      </c>
      <c r="C173" s="34"/>
      <c r="D173" s="34" t="s">
        <v>338</v>
      </c>
      <c r="E173" s="34" t="s">
        <v>160</v>
      </c>
      <c r="F173" s="34" t="s">
        <v>161</v>
      </c>
      <c r="G173" s="34" t="s">
        <v>162</v>
      </c>
      <c r="H173" s="34" t="s">
        <v>163</v>
      </c>
      <c r="I173">
        <v>8</v>
      </c>
      <c r="J173">
        <v>0</v>
      </c>
      <c r="K173">
        <v>8</v>
      </c>
      <c r="L173">
        <v>0</v>
      </c>
      <c r="O173" s="28">
        <v>46276</v>
      </c>
      <c r="R173">
        <v>-1</v>
      </c>
      <c r="S173">
        <v>10</v>
      </c>
      <c r="T173">
        <v>14</v>
      </c>
      <c r="U173">
        <v>10</v>
      </c>
      <c r="V173">
        <v>20260912010</v>
      </c>
    </row>
    <row r="174" spans="1:22" x14ac:dyDescent="0.2">
      <c r="A174" s="34" t="s">
        <v>122</v>
      </c>
      <c r="B174" s="28">
        <v>46277</v>
      </c>
      <c r="C174" s="34"/>
      <c r="D174" s="34" t="s">
        <v>338</v>
      </c>
      <c r="E174" s="34" t="s">
        <v>164</v>
      </c>
      <c r="F174" s="34" t="s">
        <v>165</v>
      </c>
      <c r="G174" s="34" t="s">
        <v>166</v>
      </c>
      <c r="H174" s="34" t="s">
        <v>167</v>
      </c>
      <c r="I174">
        <v>34</v>
      </c>
      <c r="J174">
        <v>0</v>
      </c>
      <c r="K174">
        <v>37</v>
      </c>
      <c r="L174">
        <v>-3</v>
      </c>
      <c r="O174" s="28">
        <v>46276</v>
      </c>
      <c r="R174">
        <v>-1</v>
      </c>
      <c r="S174">
        <v>11</v>
      </c>
      <c r="T174">
        <v>14</v>
      </c>
      <c r="U174">
        <v>11</v>
      </c>
      <c r="V174">
        <v>20260912011</v>
      </c>
    </row>
    <row r="175" spans="1:22" x14ac:dyDescent="0.2">
      <c r="A175" s="34" t="s">
        <v>122</v>
      </c>
      <c r="B175" s="28">
        <v>46277</v>
      </c>
      <c r="C175" s="34"/>
      <c r="D175" s="34" t="s">
        <v>338</v>
      </c>
      <c r="E175" s="34" t="s">
        <v>168</v>
      </c>
      <c r="F175" s="34" t="s">
        <v>169</v>
      </c>
      <c r="G175" s="34" t="s">
        <v>170</v>
      </c>
      <c r="H175" s="34" t="s">
        <v>171</v>
      </c>
      <c r="I175">
        <v>15</v>
      </c>
      <c r="J175">
        <v>0</v>
      </c>
      <c r="K175">
        <v>15</v>
      </c>
      <c r="L175">
        <v>0</v>
      </c>
      <c r="O175" s="28">
        <v>46276</v>
      </c>
      <c r="R175">
        <v>-1</v>
      </c>
      <c r="S175">
        <v>12</v>
      </c>
      <c r="T175">
        <v>14</v>
      </c>
      <c r="U175">
        <v>12</v>
      </c>
      <c r="V175">
        <v>20260912012</v>
      </c>
    </row>
    <row r="176" spans="1:22" x14ac:dyDescent="0.2">
      <c r="A176" s="34" t="s">
        <v>122</v>
      </c>
      <c r="B176" s="28">
        <v>46277</v>
      </c>
      <c r="C176" s="34"/>
      <c r="D176" s="34" t="s">
        <v>338</v>
      </c>
      <c r="E176" s="34" t="s">
        <v>172</v>
      </c>
      <c r="F176" s="34" t="s">
        <v>173</v>
      </c>
      <c r="G176" s="34" t="s">
        <v>174</v>
      </c>
      <c r="H176" s="34" t="s">
        <v>175</v>
      </c>
      <c r="I176">
        <v>18</v>
      </c>
      <c r="J176">
        <v>0</v>
      </c>
      <c r="K176">
        <v>18</v>
      </c>
      <c r="L176">
        <v>0</v>
      </c>
      <c r="O176" s="28">
        <v>46276</v>
      </c>
      <c r="R176">
        <v>-1</v>
      </c>
      <c r="S176">
        <v>13</v>
      </c>
      <c r="T176">
        <v>14</v>
      </c>
      <c r="U176">
        <v>13</v>
      </c>
      <c r="V176">
        <v>20260912013</v>
      </c>
    </row>
    <row r="177" spans="1:22" x14ac:dyDescent="0.2">
      <c r="A177" s="34" t="s">
        <v>122</v>
      </c>
      <c r="B177" s="28">
        <v>46277</v>
      </c>
      <c r="C177" s="34"/>
      <c r="D177" s="34" t="s">
        <v>338</v>
      </c>
      <c r="E177" s="34" t="s">
        <v>176</v>
      </c>
      <c r="F177" s="34" t="s">
        <v>177</v>
      </c>
      <c r="G177" s="34" t="s">
        <v>178</v>
      </c>
      <c r="H177" s="34" t="s">
        <v>179</v>
      </c>
      <c r="I177">
        <v>8</v>
      </c>
      <c r="J177">
        <v>0</v>
      </c>
      <c r="K177">
        <v>24</v>
      </c>
      <c r="L177">
        <v>-16</v>
      </c>
      <c r="O177" s="28">
        <v>46276</v>
      </c>
      <c r="R177">
        <v>-1</v>
      </c>
      <c r="S177">
        <v>14</v>
      </c>
      <c r="T177">
        <v>14</v>
      </c>
      <c r="U177">
        <v>14</v>
      </c>
      <c r="V177">
        <v>20260912014</v>
      </c>
    </row>
    <row r="178" spans="1:22" x14ac:dyDescent="0.2">
      <c r="A178" s="34" t="s">
        <v>122</v>
      </c>
      <c r="B178" s="28">
        <v>46277</v>
      </c>
      <c r="C178" s="34"/>
      <c r="D178" s="34" t="s">
        <v>338</v>
      </c>
      <c r="E178" s="34" t="s">
        <v>180</v>
      </c>
      <c r="F178" s="34" t="s">
        <v>181</v>
      </c>
      <c r="G178" s="34" t="s">
        <v>182</v>
      </c>
      <c r="H178" s="34" t="s">
        <v>183</v>
      </c>
      <c r="I178">
        <v>12</v>
      </c>
      <c r="J178">
        <v>0</v>
      </c>
      <c r="K178">
        <v>12</v>
      </c>
      <c r="L178">
        <v>0</v>
      </c>
      <c r="O178" s="28">
        <v>46276</v>
      </c>
      <c r="R178">
        <v>-1</v>
      </c>
      <c r="S178">
        <v>15</v>
      </c>
      <c r="T178">
        <v>14</v>
      </c>
      <c r="U178">
        <v>15</v>
      </c>
      <c r="V178">
        <v>20260912015</v>
      </c>
    </row>
    <row r="179" spans="1:22" x14ac:dyDescent="0.2">
      <c r="A179" s="34" t="s">
        <v>122</v>
      </c>
      <c r="B179" s="28">
        <v>46277</v>
      </c>
      <c r="C179" s="34"/>
      <c r="D179" s="34" t="s">
        <v>338</v>
      </c>
      <c r="E179" s="34" t="s">
        <v>184</v>
      </c>
      <c r="F179" s="34" t="s">
        <v>185</v>
      </c>
      <c r="G179" s="34" t="s">
        <v>186</v>
      </c>
      <c r="H179" s="34" t="s">
        <v>187</v>
      </c>
      <c r="I179">
        <v>15</v>
      </c>
      <c r="J179">
        <v>0</v>
      </c>
      <c r="K179">
        <v>15</v>
      </c>
      <c r="L179">
        <v>0</v>
      </c>
      <c r="O179" s="28">
        <v>46276</v>
      </c>
      <c r="R179">
        <v>-1</v>
      </c>
      <c r="S179">
        <v>16</v>
      </c>
      <c r="T179">
        <v>14</v>
      </c>
      <c r="U179">
        <v>16</v>
      </c>
      <c r="V179">
        <v>20260912016</v>
      </c>
    </row>
    <row r="180" spans="1:22" x14ac:dyDescent="0.2">
      <c r="A180" s="34" t="s">
        <v>122</v>
      </c>
      <c r="B180" s="28">
        <v>46277</v>
      </c>
      <c r="C180" s="34"/>
      <c r="D180" s="34" t="s">
        <v>338</v>
      </c>
      <c r="E180" s="34" t="s">
        <v>188</v>
      </c>
      <c r="F180" s="34" t="s">
        <v>189</v>
      </c>
      <c r="G180" s="34" t="s">
        <v>190</v>
      </c>
      <c r="H180" s="34" t="s">
        <v>191</v>
      </c>
      <c r="I180">
        <v>8</v>
      </c>
      <c r="J180">
        <v>0</v>
      </c>
      <c r="K180">
        <v>7</v>
      </c>
      <c r="L180">
        <v>1</v>
      </c>
      <c r="O180" s="28">
        <v>46276</v>
      </c>
      <c r="R180">
        <v>-1</v>
      </c>
      <c r="S180">
        <v>17</v>
      </c>
      <c r="T180">
        <v>14</v>
      </c>
      <c r="U180">
        <v>21</v>
      </c>
      <c r="V180">
        <v>20260912017</v>
      </c>
    </row>
    <row r="181" spans="1:22" x14ac:dyDescent="0.2">
      <c r="A181" s="34" t="s">
        <v>122</v>
      </c>
      <c r="B181" s="28">
        <v>46277</v>
      </c>
      <c r="C181" s="34"/>
      <c r="D181" s="34" t="s">
        <v>338</v>
      </c>
      <c r="E181" s="34" t="s">
        <v>192</v>
      </c>
      <c r="F181" s="34" t="s">
        <v>193</v>
      </c>
      <c r="G181" s="34" t="s">
        <v>194</v>
      </c>
      <c r="H181" s="34" t="s">
        <v>195</v>
      </c>
      <c r="I181">
        <v>4</v>
      </c>
      <c r="J181">
        <v>0</v>
      </c>
      <c r="K181">
        <v>4</v>
      </c>
      <c r="L181">
        <v>0</v>
      </c>
      <c r="O181" s="28">
        <v>46276</v>
      </c>
      <c r="R181">
        <v>-1</v>
      </c>
      <c r="S181">
        <v>18</v>
      </c>
      <c r="T181">
        <v>14</v>
      </c>
      <c r="U181">
        <v>22</v>
      </c>
      <c r="V181">
        <v>20260912018</v>
      </c>
    </row>
    <row r="182" spans="1:22" x14ac:dyDescent="0.2">
      <c r="A182" s="34" t="s">
        <v>122</v>
      </c>
      <c r="B182" s="28">
        <v>46277</v>
      </c>
      <c r="C182" s="34"/>
      <c r="D182" s="34" t="s">
        <v>338</v>
      </c>
      <c r="E182" s="34" t="s">
        <v>196</v>
      </c>
      <c r="F182" s="34" t="s">
        <v>197</v>
      </c>
      <c r="G182" s="34" t="s">
        <v>198</v>
      </c>
      <c r="H182" s="34" t="s">
        <v>199</v>
      </c>
      <c r="I182">
        <v>6</v>
      </c>
      <c r="J182">
        <v>0</v>
      </c>
      <c r="K182">
        <v>6</v>
      </c>
      <c r="L182">
        <v>0</v>
      </c>
      <c r="O182" s="28">
        <v>46276</v>
      </c>
      <c r="R182">
        <v>-1</v>
      </c>
      <c r="S182">
        <v>19</v>
      </c>
      <c r="T182">
        <v>14</v>
      </c>
      <c r="U182">
        <v>23</v>
      </c>
      <c r="V182">
        <v>20260912019</v>
      </c>
    </row>
    <row r="183" spans="1:22" x14ac:dyDescent="0.2">
      <c r="A183" s="34" t="s">
        <v>122</v>
      </c>
      <c r="B183" s="28">
        <v>46277</v>
      </c>
      <c r="C183" s="34"/>
      <c r="D183" s="34" t="s">
        <v>338</v>
      </c>
      <c r="E183" s="34" t="s">
        <v>200</v>
      </c>
      <c r="F183" s="34" t="s">
        <v>201</v>
      </c>
      <c r="G183" s="34" t="s">
        <v>202</v>
      </c>
      <c r="H183" s="34" t="s">
        <v>203</v>
      </c>
      <c r="I183">
        <v>11</v>
      </c>
      <c r="J183">
        <v>0</v>
      </c>
      <c r="K183">
        <v>28</v>
      </c>
      <c r="L183">
        <v>-17</v>
      </c>
      <c r="O183" s="28">
        <v>46276</v>
      </c>
      <c r="R183">
        <v>-1</v>
      </c>
      <c r="S183">
        <v>20</v>
      </c>
      <c r="T183">
        <v>14</v>
      </c>
      <c r="U183">
        <v>24</v>
      </c>
      <c r="V183">
        <v>20260912020</v>
      </c>
    </row>
    <row r="184" spans="1:22" x14ac:dyDescent="0.2">
      <c r="A184" s="34" t="s">
        <v>122</v>
      </c>
      <c r="B184" s="28">
        <v>46277</v>
      </c>
      <c r="C184" s="34"/>
      <c r="D184" s="34" t="s">
        <v>338</v>
      </c>
      <c r="E184" s="34" t="s">
        <v>204</v>
      </c>
      <c r="F184" s="34" t="s">
        <v>205</v>
      </c>
      <c r="G184" s="34" t="s">
        <v>206</v>
      </c>
      <c r="H184" s="34" t="s">
        <v>207</v>
      </c>
      <c r="I184">
        <v>4</v>
      </c>
      <c r="J184">
        <v>0</v>
      </c>
      <c r="K184">
        <v>13</v>
      </c>
      <c r="L184">
        <v>-9</v>
      </c>
      <c r="O184" s="28">
        <v>46276</v>
      </c>
      <c r="R184">
        <v>-1</v>
      </c>
      <c r="S184">
        <v>21</v>
      </c>
      <c r="T184">
        <v>14</v>
      </c>
      <c r="U184">
        <v>25</v>
      </c>
      <c r="V184">
        <v>20260912021</v>
      </c>
    </row>
    <row r="185" spans="1:22" x14ac:dyDescent="0.2">
      <c r="A185" s="34" t="s">
        <v>122</v>
      </c>
      <c r="B185" s="28">
        <v>46277</v>
      </c>
      <c r="C185" s="34"/>
      <c r="D185" s="34" t="s">
        <v>338</v>
      </c>
      <c r="E185" s="34" t="s">
        <v>208</v>
      </c>
      <c r="F185" s="34" t="s">
        <v>209</v>
      </c>
      <c r="G185" s="34" t="s">
        <v>210</v>
      </c>
      <c r="H185" s="34" t="s">
        <v>211</v>
      </c>
      <c r="I185">
        <v>2</v>
      </c>
      <c r="J185">
        <v>0</v>
      </c>
      <c r="K185">
        <v>12</v>
      </c>
      <c r="L185">
        <v>-10</v>
      </c>
      <c r="O185" s="28">
        <v>46276</v>
      </c>
      <c r="R185">
        <v>-1</v>
      </c>
      <c r="S185">
        <v>22</v>
      </c>
      <c r="T185">
        <v>14</v>
      </c>
      <c r="U185">
        <v>26</v>
      </c>
      <c r="V185">
        <v>20260912022</v>
      </c>
    </row>
    <row r="186" spans="1:22" x14ac:dyDescent="0.2">
      <c r="A186" s="34" t="s">
        <v>122</v>
      </c>
      <c r="B186" s="28">
        <v>46277</v>
      </c>
      <c r="C186" s="34"/>
      <c r="D186" s="34" t="s">
        <v>338</v>
      </c>
      <c r="E186" s="34" t="s">
        <v>212</v>
      </c>
      <c r="F186" s="34" t="s">
        <v>213</v>
      </c>
      <c r="G186" s="34" t="s">
        <v>214</v>
      </c>
      <c r="H186" s="34" t="s">
        <v>215</v>
      </c>
      <c r="I186">
        <v>7</v>
      </c>
      <c r="J186">
        <v>0</v>
      </c>
      <c r="K186">
        <v>2</v>
      </c>
      <c r="L186">
        <v>5</v>
      </c>
      <c r="O186" s="28">
        <v>46276</v>
      </c>
      <c r="R186">
        <v>-1</v>
      </c>
      <c r="S186">
        <v>23</v>
      </c>
      <c r="T186">
        <v>14</v>
      </c>
      <c r="U186">
        <v>27</v>
      </c>
      <c r="V186">
        <v>20260912023</v>
      </c>
    </row>
    <row r="187" spans="1:22" x14ac:dyDescent="0.2">
      <c r="A187" s="34" t="s">
        <v>122</v>
      </c>
      <c r="B187" s="28">
        <v>46277</v>
      </c>
      <c r="C187" s="34"/>
      <c r="D187" s="34" t="s">
        <v>338</v>
      </c>
      <c r="E187" s="34" t="s">
        <v>216</v>
      </c>
      <c r="F187" s="34" t="s">
        <v>217</v>
      </c>
      <c r="G187" s="34" t="s">
        <v>218</v>
      </c>
      <c r="H187" s="34" t="s">
        <v>219</v>
      </c>
      <c r="I187">
        <v>11</v>
      </c>
      <c r="J187">
        <v>0</v>
      </c>
      <c r="K187">
        <v>10</v>
      </c>
      <c r="L187">
        <v>1</v>
      </c>
      <c r="O187" s="28">
        <v>46276</v>
      </c>
      <c r="R187">
        <v>-1</v>
      </c>
      <c r="S187">
        <v>24</v>
      </c>
      <c r="T187">
        <v>14</v>
      </c>
      <c r="U187">
        <v>28</v>
      </c>
      <c r="V187">
        <v>20260912024</v>
      </c>
    </row>
    <row r="188" spans="1:22" x14ac:dyDescent="0.2">
      <c r="A188" s="34" t="s">
        <v>122</v>
      </c>
      <c r="B188" s="28">
        <v>46277</v>
      </c>
      <c r="C188" s="34"/>
      <c r="D188" s="34" t="s">
        <v>338</v>
      </c>
      <c r="E188" s="34" t="s">
        <v>220</v>
      </c>
      <c r="F188" s="34" t="s">
        <v>221</v>
      </c>
      <c r="G188" s="34" t="s">
        <v>222</v>
      </c>
      <c r="H188" s="34" t="s">
        <v>223</v>
      </c>
      <c r="I188">
        <v>13</v>
      </c>
      <c r="J188">
        <v>0</v>
      </c>
      <c r="K188">
        <v>13</v>
      </c>
      <c r="L188">
        <v>0</v>
      </c>
      <c r="O188" s="28">
        <v>46276</v>
      </c>
      <c r="R188">
        <v>-1</v>
      </c>
      <c r="S188">
        <v>25</v>
      </c>
      <c r="T188">
        <v>14</v>
      </c>
      <c r="U188">
        <v>29</v>
      </c>
      <c r="V188">
        <v>20260912025</v>
      </c>
    </row>
    <row r="189" spans="1:22" x14ac:dyDescent="0.2">
      <c r="A189" s="34" t="s">
        <v>122</v>
      </c>
      <c r="B189" s="28">
        <v>46277</v>
      </c>
      <c r="C189" s="34"/>
      <c r="D189" s="34" t="s">
        <v>338</v>
      </c>
      <c r="E189" s="34" t="s">
        <v>224</v>
      </c>
      <c r="F189" s="34" t="s">
        <v>225</v>
      </c>
      <c r="G189" s="34" t="s">
        <v>226</v>
      </c>
      <c r="H189" s="34" t="s">
        <v>227</v>
      </c>
      <c r="I189">
        <v>7</v>
      </c>
      <c r="J189">
        <v>0</v>
      </c>
      <c r="K189">
        <v>7</v>
      </c>
      <c r="L189">
        <v>0</v>
      </c>
      <c r="O189" s="28">
        <v>46276</v>
      </c>
      <c r="R189">
        <v>-1</v>
      </c>
      <c r="S189">
        <v>26</v>
      </c>
      <c r="T189">
        <v>14</v>
      </c>
      <c r="U189">
        <v>30</v>
      </c>
      <c r="V189">
        <v>20260912026</v>
      </c>
    </row>
    <row r="190" spans="1:22" x14ac:dyDescent="0.2">
      <c r="A190" s="34" t="s">
        <v>122</v>
      </c>
      <c r="B190" s="28">
        <v>46277</v>
      </c>
      <c r="C190" s="34"/>
      <c r="D190" s="34" t="s">
        <v>338</v>
      </c>
      <c r="E190" s="34" t="s">
        <v>228</v>
      </c>
      <c r="F190" s="34" t="s">
        <v>229</v>
      </c>
      <c r="G190" s="34" t="s">
        <v>230</v>
      </c>
      <c r="H190" s="34" t="s">
        <v>231</v>
      </c>
      <c r="I190">
        <v>4</v>
      </c>
      <c r="J190">
        <v>0</v>
      </c>
      <c r="K190">
        <v>8</v>
      </c>
      <c r="L190">
        <v>-4</v>
      </c>
      <c r="O190" s="28">
        <v>46276</v>
      </c>
      <c r="R190">
        <v>-1</v>
      </c>
      <c r="S190">
        <v>27</v>
      </c>
      <c r="T190">
        <v>14</v>
      </c>
      <c r="U190">
        <v>31</v>
      </c>
      <c r="V190">
        <v>20260912027</v>
      </c>
    </row>
    <row r="191" spans="1:22" x14ac:dyDescent="0.2">
      <c r="A191" s="34" t="s">
        <v>122</v>
      </c>
      <c r="B191" s="28">
        <v>46277</v>
      </c>
      <c r="C191" s="34"/>
      <c r="D191" s="34" t="s">
        <v>338</v>
      </c>
      <c r="E191" s="34" t="s">
        <v>232</v>
      </c>
      <c r="F191" s="34" t="s">
        <v>233</v>
      </c>
      <c r="G191" s="34" t="s">
        <v>234</v>
      </c>
      <c r="H191" s="34" t="s">
        <v>235</v>
      </c>
      <c r="I191">
        <v>7</v>
      </c>
      <c r="J191">
        <v>0</v>
      </c>
      <c r="K191">
        <v>2</v>
      </c>
      <c r="L191">
        <v>5</v>
      </c>
      <c r="O191" s="28">
        <v>46276</v>
      </c>
      <c r="R191">
        <v>-1</v>
      </c>
      <c r="S191">
        <v>28</v>
      </c>
      <c r="T191">
        <v>14</v>
      </c>
      <c r="U191">
        <v>32</v>
      </c>
      <c r="V191">
        <v>20260912028</v>
      </c>
    </row>
    <row r="192" spans="1:22" x14ac:dyDescent="0.2">
      <c r="A192" s="34" t="s">
        <v>122</v>
      </c>
      <c r="B192" s="28">
        <v>46277</v>
      </c>
      <c r="C192" s="34"/>
      <c r="D192" s="34" t="s">
        <v>338</v>
      </c>
      <c r="E192" s="34" t="s">
        <v>236</v>
      </c>
      <c r="F192" s="34" t="s">
        <v>237</v>
      </c>
      <c r="G192" s="34" t="s">
        <v>238</v>
      </c>
      <c r="H192" s="34" t="s">
        <v>239</v>
      </c>
      <c r="I192">
        <v>4</v>
      </c>
      <c r="J192">
        <v>0</v>
      </c>
      <c r="K192">
        <v>9</v>
      </c>
      <c r="L192">
        <v>-5</v>
      </c>
      <c r="O192" s="28">
        <v>46276</v>
      </c>
      <c r="R192">
        <v>-1</v>
      </c>
      <c r="S192">
        <v>29</v>
      </c>
      <c r="T192">
        <v>14</v>
      </c>
      <c r="U192">
        <v>33</v>
      </c>
      <c r="V192">
        <v>20260912029</v>
      </c>
    </row>
    <row r="193" spans="1:22" x14ac:dyDescent="0.2">
      <c r="A193" s="34" t="s">
        <v>122</v>
      </c>
      <c r="B193" s="28">
        <v>46277</v>
      </c>
      <c r="C193" s="34"/>
      <c r="D193" s="34" t="s">
        <v>338</v>
      </c>
      <c r="E193" s="34" t="s">
        <v>240</v>
      </c>
      <c r="F193" s="34" t="s">
        <v>241</v>
      </c>
      <c r="G193" s="34" t="s">
        <v>242</v>
      </c>
      <c r="H193" s="34" t="s">
        <v>243</v>
      </c>
      <c r="I193">
        <v>10</v>
      </c>
      <c r="J193">
        <v>0</v>
      </c>
      <c r="K193">
        <v>12</v>
      </c>
      <c r="L193">
        <v>-2</v>
      </c>
      <c r="O193" s="28">
        <v>46276</v>
      </c>
      <c r="R193">
        <v>-1</v>
      </c>
      <c r="S193">
        <v>30</v>
      </c>
      <c r="T193">
        <v>14</v>
      </c>
      <c r="U193">
        <v>34</v>
      </c>
      <c r="V193">
        <v>20260912030</v>
      </c>
    </row>
    <row r="194" spans="1:22" x14ac:dyDescent="0.2">
      <c r="A194" s="34" t="s">
        <v>122</v>
      </c>
      <c r="B194" s="28">
        <v>46277</v>
      </c>
      <c r="C194" s="34"/>
      <c r="D194" s="34" t="s">
        <v>338</v>
      </c>
      <c r="E194" s="34" t="s">
        <v>244</v>
      </c>
      <c r="F194" s="34" t="s">
        <v>245</v>
      </c>
      <c r="G194" s="34" t="s">
        <v>246</v>
      </c>
      <c r="H194" s="34" t="s">
        <v>247</v>
      </c>
      <c r="I194">
        <v>5</v>
      </c>
      <c r="J194">
        <v>0</v>
      </c>
      <c r="K194">
        <v>5</v>
      </c>
      <c r="L194">
        <v>0</v>
      </c>
      <c r="O194" s="28">
        <v>46276</v>
      </c>
      <c r="R194">
        <v>-1</v>
      </c>
      <c r="S194">
        <v>31</v>
      </c>
      <c r="T194">
        <v>14</v>
      </c>
      <c r="U194">
        <v>35</v>
      </c>
      <c r="V194">
        <v>20260912031</v>
      </c>
    </row>
    <row r="195" spans="1:22" x14ac:dyDescent="0.2">
      <c r="A195" s="34" t="s">
        <v>122</v>
      </c>
      <c r="B195" s="28">
        <v>46277</v>
      </c>
      <c r="C195" s="34"/>
      <c r="D195" s="34" t="s">
        <v>338</v>
      </c>
      <c r="E195" s="34" t="s">
        <v>248</v>
      </c>
      <c r="F195" s="34" t="s">
        <v>249</v>
      </c>
      <c r="G195" s="34" t="s">
        <v>250</v>
      </c>
      <c r="H195" s="34" t="s">
        <v>251</v>
      </c>
      <c r="I195">
        <v>4</v>
      </c>
      <c r="J195">
        <v>0</v>
      </c>
      <c r="K195">
        <v>4</v>
      </c>
      <c r="L195">
        <v>0</v>
      </c>
      <c r="O195" s="28">
        <v>46276</v>
      </c>
      <c r="R195">
        <v>-1</v>
      </c>
      <c r="S195">
        <v>32</v>
      </c>
      <c r="T195">
        <v>14</v>
      </c>
      <c r="U195">
        <v>36</v>
      </c>
      <c r="V195">
        <v>20260912032</v>
      </c>
    </row>
    <row r="196" spans="1:22" x14ac:dyDescent="0.2">
      <c r="A196" s="34" t="s">
        <v>122</v>
      </c>
      <c r="B196" s="28">
        <v>46277</v>
      </c>
      <c r="C196" s="34"/>
      <c r="D196" s="34" t="s">
        <v>338</v>
      </c>
      <c r="E196" s="34" t="s">
        <v>252</v>
      </c>
      <c r="F196" s="34" t="s">
        <v>253</v>
      </c>
      <c r="G196" s="34" t="s">
        <v>254</v>
      </c>
      <c r="H196" s="34" t="s">
        <v>255</v>
      </c>
      <c r="I196">
        <v>4</v>
      </c>
      <c r="J196">
        <v>0</v>
      </c>
      <c r="K196">
        <v>16</v>
      </c>
      <c r="L196">
        <v>-12</v>
      </c>
      <c r="O196" s="28">
        <v>46276</v>
      </c>
      <c r="R196">
        <v>-1</v>
      </c>
      <c r="S196">
        <v>33</v>
      </c>
      <c r="T196">
        <v>14</v>
      </c>
      <c r="U196">
        <v>37</v>
      </c>
      <c r="V196">
        <v>20260912033</v>
      </c>
    </row>
    <row r="197" spans="1:22" x14ac:dyDescent="0.2">
      <c r="A197" s="34" t="s">
        <v>122</v>
      </c>
      <c r="B197" s="28">
        <v>46277</v>
      </c>
      <c r="C197" s="34"/>
      <c r="D197" s="34" t="s">
        <v>338</v>
      </c>
      <c r="E197" s="34" t="s">
        <v>256</v>
      </c>
      <c r="F197" s="34" t="s">
        <v>257</v>
      </c>
      <c r="G197" s="34" t="s">
        <v>258</v>
      </c>
      <c r="H197" s="34" t="s">
        <v>259</v>
      </c>
      <c r="I197">
        <v>4</v>
      </c>
      <c r="J197">
        <v>0</v>
      </c>
      <c r="K197">
        <v>4</v>
      </c>
      <c r="L197">
        <v>0</v>
      </c>
      <c r="O197" s="28">
        <v>46276</v>
      </c>
      <c r="R197">
        <v>-1</v>
      </c>
      <c r="S197">
        <v>34</v>
      </c>
      <c r="T197">
        <v>14</v>
      </c>
      <c r="U197">
        <v>38</v>
      </c>
      <c r="V197">
        <v>20260912034</v>
      </c>
    </row>
    <row r="198" spans="1:22" x14ac:dyDescent="0.2">
      <c r="A198" s="34" t="s">
        <v>122</v>
      </c>
      <c r="B198" s="28">
        <v>46277</v>
      </c>
      <c r="C198" s="34"/>
      <c r="D198" s="34" t="s">
        <v>338</v>
      </c>
      <c r="E198" s="34" t="s">
        <v>260</v>
      </c>
      <c r="F198" s="34" t="s">
        <v>261</v>
      </c>
      <c r="G198" s="34" t="s">
        <v>262</v>
      </c>
      <c r="H198" s="34" t="s">
        <v>263</v>
      </c>
      <c r="I198">
        <v>6</v>
      </c>
      <c r="J198">
        <v>0</v>
      </c>
      <c r="K198">
        <v>5</v>
      </c>
      <c r="L198">
        <v>1</v>
      </c>
      <c r="O198" s="28">
        <v>46276</v>
      </c>
      <c r="R198">
        <v>-1</v>
      </c>
      <c r="S198">
        <v>35</v>
      </c>
      <c r="T198">
        <v>14</v>
      </c>
      <c r="U198">
        <v>39</v>
      </c>
      <c r="V198">
        <v>20260912035</v>
      </c>
    </row>
    <row r="199" spans="1:22" x14ac:dyDescent="0.2">
      <c r="A199" s="34" t="s">
        <v>122</v>
      </c>
      <c r="B199" s="28">
        <v>46277</v>
      </c>
      <c r="C199" s="34"/>
      <c r="D199" s="34" t="s">
        <v>338</v>
      </c>
      <c r="E199" s="34" t="s">
        <v>264</v>
      </c>
      <c r="F199" s="34" t="s">
        <v>265</v>
      </c>
      <c r="G199" s="34" t="s">
        <v>266</v>
      </c>
      <c r="H199" s="34" t="s">
        <v>267</v>
      </c>
      <c r="I199">
        <v>8</v>
      </c>
      <c r="J199">
        <v>0</v>
      </c>
      <c r="K199">
        <v>7</v>
      </c>
      <c r="L199">
        <v>1</v>
      </c>
      <c r="O199" s="28">
        <v>46276</v>
      </c>
      <c r="R199">
        <v>-1</v>
      </c>
      <c r="S199">
        <v>36</v>
      </c>
      <c r="T199">
        <v>14</v>
      </c>
      <c r="U199">
        <v>40</v>
      </c>
      <c r="V199">
        <v>20260912036</v>
      </c>
    </row>
    <row r="200" spans="1:22" x14ac:dyDescent="0.2">
      <c r="A200" s="34" t="s">
        <v>122</v>
      </c>
      <c r="B200" s="28">
        <v>46277</v>
      </c>
      <c r="C200" s="34"/>
      <c r="D200" s="34" t="s">
        <v>338</v>
      </c>
      <c r="E200" s="34" t="s">
        <v>268</v>
      </c>
      <c r="F200" s="34" t="s">
        <v>269</v>
      </c>
      <c r="G200" s="34" t="s">
        <v>270</v>
      </c>
      <c r="H200" s="34" t="s">
        <v>271</v>
      </c>
      <c r="I200">
        <v>6</v>
      </c>
      <c r="J200">
        <v>0</v>
      </c>
      <c r="K200">
        <v>4</v>
      </c>
      <c r="L200">
        <v>2</v>
      </c>
      <c r="O200" s="28">
        <v>46276</v>
      </c>
      <c r="R200">
        <v>-1</v>
      </c>
      <c r="S200">
        <v>37</v>
      </c>
      <c r="T200">
        <v>14</v>
      </c>
      <c r="U200">
        <v>41</v>
      </c>
      <c r="V200">
        <v>20260912037</v>
      </c>
    </row>
    <row r="201" spans="1:22" x14ac:dyDescent="0.2">
      <c r="A201" s="34" t="s">
        <v>122</v>
      </c>
      <c r="B201" s="28">
        <v>46277</v>
      </c>
      <c r="C201" s="34"/>
      <c r="D201" s="34" t="s">
        <v>338</v>
      </c>
      <c r="E201" s="34" t="s">
        <v>272</v>
      </c>
      <c r="F201" s="34" t="s">
        <v>341</v>
      </c>
      <c r="G201" s="34" t="s">
        <v>273</v>
      </c>
      <c r="H201" s="34" t="s">
        <v>274</v>
      </c>
      <c r="I201">
        <v>5</v>
      </c>
      <c r="J201">
        <v>0</v>
      </c>
      <c r="K201">
        <v>9</v>
      </c>
      <c r="L201">
        <v>-4</v>
      </c>
      <c r="O201" s="28">
        <v>46276</v>
      </c>
      <c r="R201">
        <v>-1</v>
      </c>
      <c r="S201">
        <v>38</v>
      </c>
      <c r="T201">
        <v>14</v>
      </c>
      <c r="U201">
        <v>42</v>
      </c>
      <c r="V201">
        <v>20260912038</v>
      </c>
    </row>
    <row r="202" spans="1:22" x14ac:dyDescent="0.2">
      <c r="A202" s="34" t="s">
        <v>122</v>
      </c>
      <c r="B202" s="28">
        <v>46277</v>
      </c>
      <c r="C202" s="34"/>
      <c r="D202" s="34" t="s">
        <v>338</v>
      </c>
      <c r="E202" s="34" t="s">
        <v>275</v>
      </c>
      <c r="F202" s="34" t="s">
        <v>276</v>
      </c>
      <c r="G202" s="34" t="s">
        <v>277</v>
      </c>
      <c r="H202" s="34" t="s">
        <v>278</v>
      </c>
      <c r="I202">
        <v>6</v>
      </c>
      <c r="J202">
        <v>0</v>
      </c>
      <c r="K202">
        <v>3</v>
      </c>
      <c r="L202">
        <v>3</v>
      </c>
      <c r="O202" s="28">
        <v>46276</v>
      </c>
      <c r="R202">
        <v>-1</v>
      </c>
      <c r="S202">
        <v>39</v>
      </c>
      <c r="T202">
        <v>14</v>
      </c>
      <c r="U202">
        <v>43</v>
      </c>
      <c r="V202">
        <v>20260912039</v>
      </c>
    </row>
    <row r="203" spans="1:22" x14ac:dyDescent="0.2">
      <c r="A203" s="34" t="s">
        <v>122</v>
      </c>
      <c r="B203" s="28">
        <v>46277</v>
      </c>
      <c r="C203" s="34"/>
      <c r="D203" s="34" t="s">
        <v>338</v>
      </c>
      <c r="E203" s="34" t="s">
        <v>279</v>
      </c>
      <c r="F203" s="34" t="s">
        <v>280</v>
      </c>
      <c r="G203" s="34" t="s">
        <v>281</v>
      </c>
      <c r="H203" s="34" t="s">
        <v>282</v>
      </c>
      <c r="I203">
        <v>6</v>
      </c>
      <c r="J203">
        <v>0</v>
      </c>
      <c r="K203">
        <v>6</v>
      </c>
      <c r="L203">
        <v>0</v>
      </c>
      <c r="O203" s="28">
        <v>46276</v>
      </c>
      <c r="R203">
        <v>-1</v>
      </c>
      <c r="S203">
        <v>40</v>
      </c>
      <c r="T203">
        <v>14</v>
      </c>
      <c r="U203">
        <v>44</v>
      </c>
      <c r="V203">
        <v>20260912040</v>
      </c>
    </row>
    <row r="204" spans="1:22" x14ac:dyDescent="0.2">
      <c r="A204" s="34" t="s">
        <v>122</v>
      </c>
      <c r="B204" s="28">
        <v>46277</v>
      </c>
      <c r="C204" s="34"/>
      <c r="D204" s="34" t="s">
        <v>338</v>
      </c>
      <c r="E204" s="34" t="s">
        <v>283</v>
      </c>
      <c r="F204" s="34" t="s">
        <v>284</v>
      </c>
      <c r="G204" s="34" t="s">
        <v>285</v>
      </c>
      <c r="H204" s="34" t="s">
        <v>286</v>
      </c>
      <c r="I204">
        <v>17</v>
      </c>
      <c r="J204">
        <v>0</v>
      </c>
      <c r="K204">
        <v>13</v>
      </c>
      <c r="L204">
        <v>4</v>
      </c>
      <c r="O204" s="28">
        <v>46276</v>
      </c>
      <c r="R204">
        <v>-1</v>
      </c>
      <c r="S204">
        <v>41</v>
      </c>
      <c r="T204">
        <v>14</v>
      </c>
      <c r="U204">
        <v>45</v>
      </c>
      <c r="V204">
        <v>20260912041</v>
      </c>
    </row>
    <row r="205" spans="1:22" x14ac:dyDescent="0.2">
      <c r="A205" s="34" t="s">
        <v>122</v>
      </c>
      <c r="B205" s="28">
        <v>46277</v>
      </c>
      <c r="C205" s="34"/>
      <c r="D205" s="34" t="s">
        <v>338</v>
      </c>
      <c r="E205" s="34" t="s">
        <v>287</v>
      </c>
      <c r="F205" s="34" t="s">
        <v>288</v>
      </c>
      <c r="G205" s="34" t="s">
        <v>289</v>
      </c>
      <c r="H205" s="34" t="s">
        <v>290</v>
      </c>
      <c r="I205">
        <v>36</v>
      </c>
      <c r="J205">
        <v>0</v>
      </c>
      <c r="K205">
        <v>35</v>
      </c>
      <c r="L205">
        <v>1</v>
      </c>
      <c r="O205" s="28">
        <v>46276</v>
      </c>
      <c r="R205">
        <v>-1</v>
      </c>
      <c r="S205">
        <v>42</v>
      </c>
      <c r="T205">
        <v>14</v>
      </c>
      <c r="U205">
        <v>46</v>
      </c>
      <c r="V205">
        <v>20260912042</v>
      </c>
    </row>
    <row r="206" spans="1:22" x14ac:dyDescent="0.2">
      <c r="A206" s="34" t="s">
        <v>122</v>
      </c>
      <c r="B206" s="28">
        <v>46277</v>
      </c>
      <c r="C206" s="34"/>
      <c r="D206" s="34" t="s">
        <v>338</v>
      </c>
      <c r="E206" s="34" t="s">
        <v>291</v>
      </c>
      <c r="F206" s="34" t="s">
        <v>342</v>
      </c>
      <c r="G206" s="34" t="s">
        <v>292</v>
      </c>
      <c r="H206" s="34" t="s">
        <v>293</v>
      </c>
      <c r="I206">
        <v>23</v>
      </c>
      <c r="J206">
        <v>0</v>
      </c>
      <c r="K206">
        <v>23</v>
      </c>
      <c r="L206">
        <v>0</v>
      </c>
      <c r="O206" s="28">
        <v>46276</v>
      </c>
      <c r="R206">
        <v>-1</v>
      </c>
      <c r="S206">
        <v>43</v>
      </c>
      <c r="T206">
        <v>14</v>
      </c>
      <c r="U206">
        <v>47</v>
      </c>
      <c r="V206">
        <v>20260912043</v>
      </c>
    </row>
    <row r="207" spans="1:22" x14ac:dyDescent="0.2">
      <c r="A207" s="34" t="s">
        <v>122</v>
      </c>
      <c r="B207" s="28">
        <v>46277</v>
      </c>
      <c r="C207" s="34"/>
      <c r="D207" s="34" t="s">
        <v>338</v>
      </c>
      <c r="E207" s="34" t="s">
        <v>294</v>
      </c>
      <c r="F207" s="34" t="s">
        <v>295</v>
      </c>
      <c r="G207" s="34" t="s">
        <v>296</v>
      </c>
      <c r="H207" s="34" t="s">
        <v>297</v>
      </c>
      <c r="I207">
        <v>13</v>
      </c>
      <c r="J207">
        <v>0</v>
      </c>
      <c r="K207">
        <v>12</v>
      </c>
      <c r="L207">
        <v>1</v>
      </c>
      <c r="O207" s="28">
        <v>46276</v>
      </c>
      <c r="R207">
        <v>-1</v>
      </c>
      <c r="S207">
        <v>44</v>
      </c>
      <c r="T207">
        <v>14</v>
      </c>
      <c r="U207">
        <v>48</v>
      </c>
      <c r="V207">
        <v>20260912044</v>
      </c>
    </row>
    <row r="208" spans="1:22" x14ac:dyDescent="0.2">
      <c r="A208" s="34" t="s">
        <v>122</v>
      </c>
      <c r="B208" s="28">
        <v>46277</v>
      </c>
      <c r="C208" s="34"/>
      <c r="D208" s="34" t="s">
        <v>338</v>
      </c>
      <c r="E208" s="34" t="s">
        <v>298</v>
      </c>
      <c r="F208" s="34" t="s">
        <v>299</v>
      </c>
      <c r="G208" s="34" t="s">
        <v>300</v>
      </c>
      <c r="H208" s="34" t="s">
        <v>301</v>
      </c>
      <c r="I208">
        <v>14</v>
      </c>
      <c r="J208">
        <v>0</v>
      </c>
      <c r="K208">
        <v>14</v>
      </c>
      <c r="L208">
        <v>0</v>
      </c>
      <c r="O208" s="28">
        <v>46276</v>
      </c>
      <c r="R208">
        <v>-1</v>
      </c>
      <c r="S208">
        <v>45</v>
      </c>
      <c r="T208">
        <v>14</v>
      </c>
      <c r="U208">
        <v>49</v>
      </c>
      <c r="V208">
        <v>20260912045</v>
      </c>
    </row>
    <row r="209" spans="1:22" x14ac:dyDescent="0.2">
      <c r="A209" s="34" t="s">
        <v>122</v>
      </c>
      <c r="B209" s="28">
        <v>46277</v>
      </c>
      <c r="C209" s="34"/>
      <c r="D209" s="34" t="s">
        <v>338</v>
      </c>
      <c r="E209" s="34" t="s">
        <v>302</v>
      </c>
      <c r="F209" s="34" t="s">
        <v>303</v>
      </c>
      <c r="G209" s="34" t="s">
        <v>304</v>
      </c>
      <c r="H209" s="34" t="s">
        <v>305</v>
      </c>
      <c r="I209">
        <v>9</v>
      </c>
      <c r="J209">
        <v>0</v>
      </c>
      <c r="K209">
        <v>9</v>
      </c>
      <c r="L209">
        <v>0</v>
      </c>
      <c r="O209" s="28">
        <v>46276</v>
      </c>
      <c r="R209">
        <v>-1</v>
      </c>
      <c r="S209">
        <v>46</v>
      </c>
      <c r="T209">
        <v>14</v>
      </c>
      <c r="U209">
        <v>50</v>
      </c>
      <c r="V209">
        <v>20260912046</v>
      </c>
    </row>
    <row r="210" spans="1:22" x14ac:dyDescent="0.2">
      <c r="A210" s="34" t="s">
        <v>122</v>
      </c>
      <c r="B210" s="28">
        <v>46277</v>
      </c>
      <c r="C210" s="34"/>
      <c r="D210" s="34" t="s">
        <v>338</v>
      </c>
      <c r="E210" s="34" t="s">
        <v>306</v>
      </c>
      <c r="F210" s="34" t="s">
        <v>307</v>
      </c>
      <c r="G210" s="34" t="s">
        <v>308</v>
      </c>
      <c r="H210" s="34" t="s">
        <v>309</v>
      </c>
      <c r="I210">
        <v>11</v>
      </c>
      <c r="J210">
        <v>0</v>
      </c>
      <c r="K210">
        <v>11</v>
      </c>
      <c r="L210">
        <v>0</v>
      </c>
      <c r="O210" s="28">
        <v>46276</v>
      </c>
      <c r="R210">
        <v>-1</v>
      </c>
      <c r="S210">
        <v>47</v>
      </c>
      <c r="T210">
        <v>14</v>
      </c>
      <c r="U210">
        <v>51</v>
      </c>
      <c r="V210">
        <v>20260912047</v>
      </c>
    </row>
    <row r="211" spans="1:22" x14ac:dyDescent="0.2">
      <c r="A211" s="34" t="s">
        <v>122</v>
      </c>
      <c r="B211" s="28">
        <v>46277</v>
      </c>
      <c r="C211" s="34"/>
      <c r="D211" s="34" t="s">
        <v>338</v>
      </c>
      <c r="E211" s="34" t="s">
        <v>310</v>
      </c>
      <c r="F211" s="34" t="s">
        <v>311</v>
      </c>
      <c r="G211" s="34" t="s">
        <v>312</v>
      </c>
      <c r="H211" s="34" t="s">
        <v>313</v>
      </c>
      <c r="I211">
        <v>7</v>
      </c>
      <c r="J211">
        <v>0</v>
      </c>
      <c r="K211">
        <v>3</v>
      </c>
      <c r="L211">
        <v>4</v>
      </c>
      <c r="O211" s="28">
        <v>46276</v>
      </c>
      <c r="R211">
        <v>-1</v>
      </c>
      <c r="S211">
        <v>48</v>
      </c>
      <c r="T211">
        <v>14</v>
      </c>
      <c r="U211">
        <v>52</v>
      </c>
      <c r="V211">
        <v>20260912048</v>
      </c>
    </row>
    <row r="212" spans="1:22" x14ac:dyDescent="0.2">
      <c r="A212" s="34" t="s">
        <v>122</v>
      </c>
      <c r="B212" s="28">
        <v>46277</v>
      </c>
      <c r="C212" s="34"/>
      <c r="D212" s="34" t="s">
        <v>338</v>
      </c>
      <c r="E212" s="34" t="s">
        <v>314</v>
      </c>
      <c r="F212" s="34" t="s">
        <v>315</v>
      </c>
      <c r="G212" s="34" t="s">
        <v>316</v>
      </c>
      <c r="H212" s="34" t="s">
        <v>317</v>
      </c>
      <c r="I212">
        <v>15</v>
      </c>
      <c r="J212">
        <v>0</v>
      </c>
      <c r="K212">
        <v>14</v>
      </c>
      <c r="L212">
        <v>1</v>
      </c>
      <c r="O212" s="28">
        <v>46276</v>
      </c>
      <c r="R212">
        <v>-1</v>
      </c>
      <c r="S212">
        <v>49</v>
      </c>
      <c r="T212">
        <v>14</v>
      </c>
      <c r="U212">
        <v>53</v>
      </c>
      <c r="V212">
        <v>20260912049</v>
      </c>
    </row>
    <row r="213" spans="1:22" x14ac:dyDescent="0.2">
      <c r="A213" s="34" t="s">
        <v>122</v>
      </c>
      <c r="B213" s="28">
        <v>46277</v>
      </c>
      <c r="C213" s="34"/>
      <c r="D213" s="34" t="s">
        <v>338</v>
      </c>
      <c r="E213" s="34" t="s">
        <v>318</v>
      </c>
      <c r="F213" s="34" t="s">
        <v>319</v>
      </c>
      <c r="G213" s="34" t="s">
        <v>320</v>
      </c>
      <c r="H213" s="34" t="s">
        <v>321</v>
      </c>
      <c r="I213">
        <v>8</v>
      </c>
      <c r="J213">
        <v>0</v>
      </c>
      <c r="K213">
        <v>8</v>
      </c>
      <c r="L213">
        <v>0</v>
      </c>
      <c r="O213" s="28">
        <v>46276</v>
      </c>
      <c r="R213">
        <v>-1</v>
      </c>
      <c r="S213">
        <v>50</v>
      </c>
      <c r="T213">
        <v>14</v>
      </c>
      <c r="U213">
        <v>54</v>
      </c>
      <c r="V213">
        <v>20260912050</v>
      </c>
    </row>
    <row r="214" spans="1:22" x14ac:dyDescent="0.2">
      <c r="A214" s="34" t="s">
        <v>122</v>
      </c>
      <c r="B214" s="28">
        <v>46277</v>
      </c>
      <c r="C214" s="34"/>
      <c r="D214" s="34" t="s">
        <v>338</v>
      </c>
      <c r="E214" s="34" t="s">
        <v>322</v>
      </c>
      <c r="F214" s="34" t="s">
        <v>323</v>
      </c>
      <c r="G214" s="34" t="s">
        <v>324</v>
      </c>
      <c r="H214" s="34" t="s">
        <v>325</v>
      </c>
      <c r="I214">
        <v>8</v>
      </c>
      <c r="J214">
        <v>0</v>
      </c>
      <c r="K214">
        <v>7</v>
      </c>
      <c r="L214">
        <v>1</v>
      </c>
      <c r="O214" s="28">
        <v>46276</v>
      </c>
      <c r="R214">
        <v>-1</v>
      </c>
      <c r="S214">
        <v>51</v>
      </c>
      <c r="T214">
        <v>14</v>
      </c>
      <c r="U214">
        <v>55</v>
      </c>
      <c r="V214">
        <v>20260912051</v>
      </c>
    </row>
    <row r="215" spans="1:22" x14ac:dyDescent="0.2">
      <c r="A215" s="34" t="s">
        <v>122</v>
      </c>
      <c r="B215" s="28">
        <v>46277</v>
      </c>
      <c r="C215" s="34"/>
      <c r="D215" s="34" t="s">
        <v>338</v>
      </c>
      <c r="E215" s="34" t="s">
        <v>326</v>
      </c>
      <c r="F215" s="34" t="s">
        <v>327</v>
      </c>
      <c r="G215" s="34" t="s">
        <v>328</v>
      </c>
      <c r="H215" s="34" t="s">
        <v>329</v>
      </c>
      <c r="I215">
        <v>5</v>
      </c>
      <c r="J215">
        <v>0</v>
      </c>
      <c r="K215">
        <v>19</v>
      </c>
      <c r="L215">
        <v>-14</v>
      </c>
      <c r="O215" s="28">
        <v>46276</v>
      </c>
      <c r="R215">
        <v>-1</v>
      </c>
      <c r="S215">
        <v>52</v>
      </c>
      <c r="T215">
        <v>14</v>
      </c>
      <c r="U215">
        <v>73</v>
      </c>
      <c r="V215">
        <v>20260912052</v>
      </c>
    </row>
    <row r="216" spans="1:22" x14ac:dyDescent="0.2">
      <c r="A216" s="34" t="s">
        <v>122</v>
      </c>
      <c r="B216" s="28">
        <v>46277</v>
      </c>
      <c r="C216" s="34"/>
      <c r="D216" s="34" t="s">
        <v>338</v>
      </c>
      <c r="E216" s="34" t="s">
        <v>330</v>
      </c>
      <c r="F216" s="34" t="s">
        <v>331</v>
      </c>
      <c r="G216" s="34" t="s">
        <v>332</v>
      </c>
      <c r="H216" s="34" t="s">
        <v>333</v>
      </c>
      <c r="I216">
        <v>5</v>
      </c>
      <c r="J216">
        <v>0</v>
      </c>
      <c r="K216">
        <v>4</v>
      </c>
      <c r="L216">
        <v>1</v>
      </c>
      <c r="O216" s="28">
        <v>46276</v>
      </c>
      <c r="R216">
        <v>-1</v>
      </c>
      <c r="S216">
        <v>53</v>
      </c>
      <c r="T216">
        <v>14</v>
      </c>
      <c r="U216">
        <v>74</v>
      </c>
      <c r="V216">
        <v>20260912053</v>
      </c>
    </row>
    <row r="217" spans="1:22" x14ac:dyDescent="0.2">
      <c r="A217" s="34" t="s">
        <v>122</v>
      </c>
      <c r="B217" s="28">
        <v>46277</v>
      </c>
      <c r="C217" s="34"/>
      <c r="D217" s="34" t="s">
        <v>338</v>
      </c>
      <c r="E217" s="34" t="s">
        <v>334</v>
      </c>
      <c r="F217" s="34" t="s">
        <v>335</v>
      </c>
      <c r="G217" s="34" t="s">
        <v>336</v>
      </c>
      <c r="H217" s="34" t="s">
        <v>337</v>
      </c>
      <c r="I217">
        <v>15</v>
      </c>
      <c r="J217">
        <v>0</v>
      </c>
      <c r="K217">
        <v>18</v>
      </c>
      <c r="L217">
        <v>-3</v>
      </c>
      <c r="O217" s="28">
        <v>46276</v>
      </c>
      <c r="R217">
        <v>-1</v>
      </c>
      <c r="S217">
        <v>54</v>
      </c>
      <c r="T217">
        <v>14</v>
      </c>
      <c r="U217">
        <v>75</v>
      </c>
      <c r="V217">
        <v>20260912054</v>
      </c>
    </row>
    <row r="218" spans="1:22" x14ac:dyDescent="0.2">
      <c r="A218" s="34" t="s">
        <v>122</v>
      </c>
      <c r="B218" s="28">
        <v>46278</v>
      </c>
      <c r="C218" s="34"/>
      <c r="D218" s="34" t="s">
        <v>339</v>
      </c>
      <c r="E218" s="34" t="s">
        <v>124</v>
      </c>
      <c r="F218" s="34" t="s">
        <v>125</v>
      </c>
      <c r="G218" s="34" t="s">
        <v>126</v>
      </c>
      <c r="H218" s="34" t="s">
        <v>127</v>
      </c>
      <c r="I218">
        <v>6</v>
      </c>
      <c r="J218">
        <v>0</v>
      </c>
      <c r="K218">
        <v>6</v>
      </c>
      <c r="L218">
        <v>0</v>
      </c>
      <c r="O218" s="28">
        <v>46277</v>
      </c>
      <c r="R218">
        <v>-1</v>
      </c>
      <c r="S218">
        <v>1</v>
      </c>
      <c r="T218">
        <v>13</v>
      </c>
      <c r="U218">
        <v>1</v>
      </c>
      <c r="V218">
        <v>20260913001</v>
      </c>
    </row>
    <row r="219" spans="1:22" x14ac:dyDescent="0.2">
      <c r="A219" s="34" t="s">
        <v>122</v>
      </c>
      <c r="B219" s="28">
        <v>46278</v>
      </c>
      <c r="C219" s="34"/>
      <c r="D219" s="34" t="s">
        <v>339</v>
      </c>
      <c r="E219" s="34" t="s">
        <v>128</v>
      </c>
      <c r="F219" s="34" t="s">
        <v>129</v>
      </c>
      <c r="G219" s="34" t="s">
        <v>130</v>
      </c>
      <c r="H219" s="34" t="s">
        <v>131</v>
      </c>
      <c r="I219">
        <v>5</v>
      </c>
      <c r="J219">
        <v>0</v>
      </c>
      <c r="K219">
        <v>5</v>
      </c>
      <c r="L219">
        <v>0</v>
      </c>
      <c r="O219" s="28">
        <v>46277</v>
      </c>
      <c r="R219">
        <v>-1</v>
      </c>
      <c r="S219">
        <v>2</v>
      </c>
      <c r="T219">
        <v>13</v>
      </c>
      <c r="U219">
        <v>2</v>
      </c>
      <c r="V219">
        <v>20260913002</v>
      </c>
    </row>
    <row r="220" spans="1:22" x14ac:dyDescent="0.2">
      <c r="A220" s="34" t="s">
        <v>122</v>
      </c>
      <c r="B220" s="28">
        <v>46278</v>
      </c>
      <c r="C220" s="34"/>
      <c r="D220" s="34" t="s">
        <v>339</v>
      </c>
      <c r="E220" s="34" t="s">
        <v>132</v>
      </c>
      <c r="F220" s="34" t="s">
        <v>133</v>
      </c>
      <c r="G220" s="34" t="s">
        <v>134</v>
      </c>
      <c r="H220" s="34" t="s">
        <v>135</v>
      </c>
      <c r="I220">
        <v>4</v>
      </c>
      <c r="J220">
        <v>0</v>
      </c>
      <c r="K220">
        <v>4</v>
      </c>
      <c r="L220">
        <v>0</v>
      </c>
      <c r="O220" s="28">
        <v>46277</v>
      </c>
      <c r="R220">
        <v>-1</v>
      </c>
      <c r="S220">
        <v>3</v>
      </c>
      <c r="T220">
        <v>13</v>
      </c>
      <c r="U220">
        <v>3</v>
      </c>
      <c r="V220">
        <v>20260913003</v>
      </c>
    </row>
    <row r="221" spans="1:22" x14ac:dyDescent="0.2">
      <c r="A221" s="34" t="s">
        <v>122</v>
      </c>
      <c r="B221" s="28">
        <v>46278</v>
      </c>
      <c r="C221" s="34"/>
      <c r="D221" s="34" t="s">
        <v>339</v>
      </c>
      <c r="E221" s="34" t="s">
        <v>136</v>
      </c>
      <c r="F221" s="34" t="s">
        <v>137</v>
      </c>
      <c r="G221" s="34" t="s">
        <v>138</v>
      </c>
      <c r="H221" s="34" t="s">
        <v>139</v>
      </c>
      <c r="I221">
        <v>0</v>
      </c>
      <c r="J221">
        <v>0</v>
      </c>
      <c r="K221">
        <v>4</v>
      </c>
      <c r="L221">
        <v>-4</v>
      </c>
      <c r="O221" s="28">
        <v>46277</v>
      </c>
      <c r="R221">
        <v>-1</v>
      </c>
      <c r="S221">
        <v>4</v>
      </c>
      <c r="T221">
        <v>13</v>
      </c>
      <c r="U221">
        <v>4</v>
      </c>
      <c r="V221">
        <v>20260913004</v>
      </c>
    </row>
    <row r="222" spans="1:22" x14ac:dyDescent="0.2">
      <c r="A222" s="34" t="s">
        <v>122</v>
      </c>
      <c r="B222" s="28">
        <v>46278</v>
      </c>
      <c r="C222" s="34"/>
      <c r="D222" s="34" t="s">
        <v>339</v>
      </c>
      <c r="E222" s="34" t="s">
        <v>140</v>
      </c>
      <c r="F222" s="34" t="s">
        <v>141</v>
      </c>
      <c r="G222" s="34" t="s">
        <v>142</v>
      </c>
      <c r="H222" s="34" t="s">
        <v>143</v>
      </c>
      <c r="I222">
        <v>4</v>
      </c>
      <c r="J222">
        <v>0</v>
      </c>
      <c r="K222">
        <v>4</v>
      </c>
      <c r="L222">
        <v>0</v>
      </c>
      <c r="O222" s="28">
        <v>46277</v>
      </c>
      <c r="R222">
        <v>-1</v>
      </c>
      <c r="S222">
        <v>5</v>
      </c>
      <c r="T222">
        <v>13</v>
      </c>
      <c r="U222">
        <v>5</v>
      </c>
      <c r="V222">
        <v>20260913005</v>
      </c>
    </row>
    <row r="223" spans="1:22" x14ac:dyDescent="0.2">
      <c r="A223" s="34" t="s">
        <v>122</v>
      </c>
      <c r="B223" s="28">
        <v>46278</v>
      </c>
      <c r="C223" s="34"/>
      <c r="D223" s="34" t="s">
        <v>339</v>
      </c>
      <c r="E223" s="34" t="s">
        <v>144</v>
      </c>
      <c r="F223" s="34" t="s">
        <v>145</v>
      </c>
      <c r="G223" s="34" t="s">
        <v>146</v>
      </c>
      <c r="H223" s="34" t="s">
        <v>147</v>
      </c>
      <c r="I223">
        <v>8</v>
      </c>
      <c r="J223">
        <v>0</v>
      </c>
      <c r="K223">
        <v>5</v>
      </c>
      <c r="L223">
        <v>3</v>
      </c>
      <c r="O223" s="28">
        <v>46277</v>
      </c>
      <c r="R223">
        <v>-1</v>
      </c>
      <c r="S223">
        <v>6</v>
      </c>
      <c r="T223">
        <v>13</v>
      </c>
      <c r="U223">
        <v>6</v>
      </c>
      <c r="V223">
        <v>20260913006</v>
      </c>
    </row>
    <row r="224" spans="1:22" x14ac:dyDescent="0.2">
      <c r="A224" s="34" t="s">
        <v>122</v>
      </c>
      <c r="B224" s="28">
        <v>46278</v>
      </c>
      <c r="C224" s="34"/>
      <c r="D224" s="34" t="s">
        <v>339</v>
      </c>
      <c r="E224" s="34" t="s">
        <v>148</v>
      </c>
      <c r="F224" s="34" t="s">
        <v>149</v>
      </c>
      <c r="G224" s="34" t="s">
        <v>150</v>
      </c>
      <c r="H224" s="34" t="s">
        <v>151</v>
      </c>
      <c r="I224">
        <v>4</v>
      </c>
      <c r="J224">
        <v>0</v>
      </c>
      <c r="K224">
        <v>4</v>
      </c>
      <c r="L224">
        <v>0</v>
      </c>
      <c r="O224" s="28">
        <v>46277</v>
      </c>
      <c r="R224">
        <v>-1</v>
      </c>
      <c r="S224">
        <v>7</v>
      </c>
      <c r="T224">
        <v>13</v>
      </c>
      <c r="U224">
        <v>7</v>
      </c>
      <c r="V224">
        <v>20260913007</v>
      </c>
    </row>
    <row r="225" spans="1:22" x14ac:dyDescent="0.2">
      <c r="A225" s="34" t="s">
        <v>122</v>
      </c>
      <c r="B225" s="28">
        <v>46278</v>
      </c>
      <c r="C225" s="34"/>
      <c r="D225" s="34" t="s">
        <v>339</v>
      </c>
      <c r="E225" s="34" t="s">
        <v>152</v>
      </c>
      <c r="F225" s="34" t="s">
        <v>153</v>
      </c>
      <c r="G225" s="34" t="s">
        <v>154</v>
      </c>
      <c r="H225" s="34" t="s">
        <v>155</v>
      </c>
      <c r="I225">
        <v>6</v>
      </c>
      <c r="J225">
        <v>0</v>
      </c>
      <c r="K225">
        <v>10</v>
      </c>
      <c r="L225">
        <v>-4</v>
      </c>
      <c r="O225" s="28">
        <v>46277</v>
      </c>
      <c r="R225">
        <v>-1</v>
      </c>
      <c r="S225">
        <v>8</v>
      </c>
      <c r="T225">
        <v>13</v>
      </c>
      <c r="U225">
        <v>8</v>
      </c>
      <c r="V225">
        <v>20260913008</v>
      </c>
    </row>
    <row r="226" spans="1:22" x14ac:dyDescent="0.2">
      <c r="A226" s="34" t="s">
        <v>122</v>
      </c>
      <c r="B226" s="28">
        <v>46278</v>
      </c>
      <c r="C226" s="34"/>
      <c r="D226" s="34" t="s">
        <v>339</v>
      </c>
      <c r="E226" s="34" t="s">
        <v>156</v>
      </c>
      <c r="F226" s="34" t="s">
        <v>157</v>
      </c>
      <c r="G226" s="34" t="s">
        <v>158</v>
      </c>
      <c r="H226" s="34" t="s">
        <v>159</v>
      </c>
      <c r="I226">
        <v>9</v>
      </c>
      <c r="J226">
        <v>0</v>
      </c>
      <c r="K226">
        <v>22</v>
      </c>
      <c r="L226">
        <v>-13</v>
      </c>
      <c r="O226" s="28">
        <v>46277</v>
      </c>
      <c r="R226">
        <v>-1</v>
      </c>
      <c r="S226">
        <v>9</v>
      </c>
      <c r="T226">
        <v>13</v>
      </c>
      <c r="U226">
        <v>9</v>
      </c>
      <c r="V226">
        <v>20260913009</v>
      </c>
    </row>
    <row r="227" spans="1:22" x14ac:dyDescent="0.2">
      <c r="A227" s="34" t="s">
        <v>122</v>
      </c>
      <c r="B227" s="28">
        <v>46278</v>
      </c>
      <c r="C227" s="34"/>
      <c r="D227" s="34" t="s">
        <v>339</v>
      </c>
      <c r="E227" s="34" t="s">
        <v>160</v>
      </c>
      <c r="F227" s="34" t="s">
        <v>161</v>
      </c>
      <c r="G227" s="34" t="s">
        <v>162</v>
      </c>
      <c r="H227" s="34" t="s">
        <v>163</v>
      </c>
      <c r="I227">
        <v>8</v>
      </c>
      <c r="J227">
        <v>0</v>
      </c>
      <c r="K227">
        <v>8</v>
      </c>
      <c r="L227">
        <v>0</v>
      </c>
      <c r="O227" s="28">
        <v>46277</v>
      </c>
      <c r="R227">
        <v>-1</v>
      </c>
      <c r="S227">
        <v>10</v>
      </c>
      <c r="T227">
        <v>13</v>
      </c>
      <c r="U227">
        <v>10</v>
      </c>
      <c r="V227">
        <v>20260913010</v>
      </c>
    </row>
    <row r="228" spans="1:22" x14ac:dyDescent="0.2">
      <c r="A228" s="34" t="s">
        <v>122</v>
      </c>
      <c r="B228" s="28">
        <v>46278</v>
      </c>
      <c r="C228" s="34"/>
      <c r="D228" s="34" t="s">
        <v>339</v>
      </c>
      <c r="E228" s="34" t="s">
        <v>164</v>
      </c>
      <c r="F228" s="34" t="s">
        <v>165</v>
      </c>
      <c r="G228" s="34" t="s">
        <v>166</v>
      </c>
      <c r="H228" s="34" t="s">
        <v>167</v>
      </c>
      <c r="I228">
        <v>37</v>
      </c>
      <c r="J228">
        <v>0</v>
      </c>
      <c r="K228">
        <v>24</v>
      </c>
      <c r="L228">
        <v>13</v>
      </c>
      <c r="O228" s="28">
        <v>46277</v>
      </c>
      <c r="R228">
        <v>-1</v>
      </c>
      <c r="S228">
        <v>11</v>
      </c>
      <c r="T228">
        <v>13</v>
      </c>
      <c r="U228">
        <v>11</v>
      </c>
      <c r="V228">
        <v>20260913011</v>
      </c>
    </row>
    <row r="229" spans="1:22" x14ac:dyDescent="0.2">
      <c r="A229" s="34" t="s">
        <v>122</v>
      </c>
      <c r="B229" s="28">
        <v>46278</v>
      </c>
      <c r="C229" s="34"/>
      <c r="D229" s="34" t="s">
        <v>339</v>
      </c>
      <c r="E229" s="34" t="s">
        <v>168</v>
      </c>
      <c r="F229" s="34" t="s">
        <v>169</v>
      </c>
      <c r="G229" s="34" t="s">
        <v>170</v>
      </c>
      <c r="H229" s="34" t="s">
        <v>171</v>
      </c>
      <c r="I229">
        <v>15</v>
      </c>
      <c r="J229">
        <v>0</v>
      </c>
      <c r="K229">
        <v>15</v>
      </c>
      <c r="L229">
        <v>0</v>
      </c>
      <c r="O229" s="28">
        <v>46277</v>
      </c>
      <c r="R229">
        <v>-1</v>
      </c>
      <c r="S229">
        <v>12</v>
      </c>
      <c r="T229">
        <v>13</v>
      </c>
      <c r="U229">
        <v>12</v>
      </c>
      <c r="V229">
        <v>20260913012</v>
      </c>
    </row>
    <row r="230" spans="1:22" x14ac:dyDescent="0.2">
      <c r="A230" s="34" t="s">
        <v>122</v>
      </c>
      <c r="B230" s="28">
        <v>46278</v>
      </c>
      <c r="C230" s="34"/>
      <c r="D230" s="34" t="s">
        <v>339</v>
      </c>
      <c r="E230" s="34" t="s">
        <v>172</v>
      </c>
      <c r="F230" s="34" t="s">
        <v>173</v>
      </c>
      <c r="G230" s="34" t="s">
        <v>174</v>
      </c>
      <c r="H230" s="34" t="s">
        <v>175</v>
      </c>
      <c r="I230">
        <v>18</v>
      </c>
      <c r="J230">
        <v>0</v>
      </c>
      <c r="K230">
        <v>18</v>
      </c>
      <c r="L230">
        <v>0</v>
      </c>
      <c r="O230" s="28">
        <v>46277</v>
      </c>
      <c r="R230">
        <v>-1</v>
      </c>
      <c r="S230">
        <v>13</v>
      </c>
      <c r="T230">
        <v>13</v>
      </c>
      <c r="U230">
        <v>13</v>
      </c>
      <c r="V230">
        <v>20260913013</v>
      </c>
    </row>
    <row r="231" spans="1:22" x14ac:dyDescent="0.2">
      <c r="A231" s="34" t="s">
        <v>122</v>
      </c>
      <c r="B231" s="28">
        <v>46278</v>
      </c>
      <c r="C231" s="34"/>
      <c r="D231" s="34" t="s">
        <v>339</v>
      </c>
      <c r="E231" s="34" t="s">
        <v>176</v>
      </c>
      <c r="F231" s="34" t="s">
        <v>177</v>
      </c>
      <c r="G231" s="34" t="s">
        <v>178</v>
      </c>
      <c r="H231" s="34" t="s">
        <v>179</v>
      </c>
      <c r="I231">
        <v>24</v>
      </c>
      <c r="J231">
        <v>0</v>
      </c>
      <c r="K231">
        <v>24</v>
      </c>
      <c r="L231">
        <v>0</v>
      </c>
      <c r="O231" s="28">
        <v>46277</v>
      </c>
      <c r="R231">
        <v>-1</v>
      </c>
      <c r="S231">
        <v>14</v>
      </c>
      <c r="T231">
        <v>13</v>
      </c>
      <c r="U231">
        <v>14</v>
      </c>
      <c r="V231">
        <v>20260913014</v>
      </c>
    </row>
    <row r="232" spans="1:22" x14ac:dyDescent="0.2">
      <c r="A232" s="34" t="s">
        <v>122</v>
      </c>
      <c r="B232" s="28">
        <v>46278</v>
      </c>
      <c r="C232" s="34"/>
      <c r="D232" s="34" t="s">
        <v>339</v>
      </c>
      <c r="E232" s="34" t="s">
        <v>180</v>
      </c>
      <c r="F232" s="34" t="s">
        <v>181</v>
      </c>
      <c r="G232" s="34" t="s">
        <v>182</v>
      </c>
      <c r="H232" s="34" t="s">
        <v>183</v>
      </c>
      <c r="I232">
        <v>12</v>
      </c>
      <c r="J232">
        <v>0</v>
      </c>
      <c r="K232">
        <v>12</v>
      </c>
      <c r="L232">
        <v>0</v>
      </c>
      <c r="O232" s="28">
        <v>46277</v>
      </c>
      <c r="R232">
        <v>-1</v>
      </c>
      <c r="S232">
        <v>15</v>
      </c>
      <c r="T232">
        <v>13</v>
      </c>
      <c r="U232">
        <v>15</v>
      </c>
      <c r="V232">
        <v>20260913015</v>
      </c>
    </row>
    <row r="233" spans="1:22" x14ac:dyDescent="0.2">
      <c r="A233" s="34" t="s">
        <v>122</v>
      </c>
      <c r="B233" s="28">
        <v>46278</v>
      </c>
      <c r="C233" s="34"/>
      <c r="D233" s="34" t="s">
        <v>339</v>
      </c>
      <c r="E233" s="34" t="s">
        <v>184</v>
      </c>
      <c r="F233" s="34" t="s">
        <v>185</v>
      </c>
      <c r="G233" s="34" t="s">
        <v>186</v>
      </c>
      <c r="H233" s="34" t="s">
        <v>187</v>
      </c>
      <c r="I233">
        <v>15</v>
      </c>
      <c r="J233">
        <v>0</v>
      </c>
      <c r="K233">
        <v>15</v>
      </c>
      <c r="L233">
        <v>0</v>
      </c>
      <c r="O233" s="28">
        <v>46277</v>
      </c>
      <c r="R233">
        <v>-1</v>
      </c>
      <c r="S233">
        <v>16</v>
      </c>
      <c r="T233">
        <v>13</v>
      </c>
      <c r="U233">
        <v>16</v>
      </c>
      <c r="V233">
        <v>20260913016</v>
      </c>
    </row>
    <row r="234" spans="1:22" x14ac:dyDescent="0.2">
      <c r="A234" s="34" t="s">
        <v>122</v>
      </c>
      <c r="B234" s="28">
        <v>46278</v>
      </c>
      <c r="C234" s="34"/>
      <c r="D234" s="34" t="s">
        <v>339</v>
      </c>
      <c r="E234" s="34" t="s">
        <v>188</v>
      </c>
      <c r="F234" s="34" t="s">
        <v>189</v>
      </c>
      <c r="G234" s="34" t="s">
        <v>190</v>
      </c>
      <c r="H234" s="34" t="s">
        <v>191</v>
      </c>
      <c r="I234">
        <v>7</v>
      </c>
      <c r="J234">
        <v>0</v>
      </c>
      <c r="K234">
        <v>7</v>
      </c>
      <c r="L234">
        <v>0</v>
      </c>
      <c r="O234" s="28">
        <v>46277</v>
      </c>
      <c r="R234">
        <v>-1</v>
      </c>
      <c r="S234">
        <v>17</v>
      </c>
      <c r="T234">
        <v>13</v>
      </c>
      <c r="U234">
        <v>21</v>
      </c>
      <c r="V234">
        <v>20260913017</v>
      </c>
    </row>
    <row r="235" spans="1:22" x14ac:dyDescent="0.2">
      <c r="A235" s="34" t="s">
        <v>122</v>
      </c>
      <c r="B235" s="28">
        <v>46278</v>
      </c>
      <c r="C235" s="34"/>
      <c r="D235" s="34" t="s">
        <v>339</v>
      </c>
      <c r="E235" s="34" t="s">
        <v>192</v>
      </c>
      <c r="F235" s="34" t="s">
        <v>193</v>
      </c>
      <c r="G235" s="34" t="s">
        <v>194</v>
      </c>
      <c r="H235" s="34" t="s">
        <v>195</v>
      </c>
      <c r="I235">
        <v>4</v>
      </c>
      <c r="J235">
        <v>0</v>
      </c>
      <c r="K235">
        <v>4</v>
      </c>
      <c r="L235">
        <v>0</v>
      </c>
      <c r="O235" s="28">
        <v>46277</v>
      </c>
      <c r="R235">
        <v>-1</v>
      </c>
      <c r="S235">
        <v>18</v>
      </c>
      <c r="T235">
        <v>13</v>
      </c>
      <c r="U235">
        <v>22</v>
      </c>
      <c r="V235">
        <v>20260913018</v>
      </c>
    </row>
    <row r="236" spans="1:22" x14ac:dyDescent="0.2">
      <c r="A236" s="34" t="s">
        <v>122</v>
      </c>
      <c r="B236" s="28">
        <v>46278</v>
      </c>
      <c r="C236" s="34"/>
      <c r="D236" s="34" t="s">
        <v>339</v>
      </c>
      <c r="E236" s="34" t="s">
        <v>196</v>
      </c>
      <c r="F236" s="34" t="s">
        <v>197</v>
      </c>
      <c r="G236" s="34" t="s">
        <v>198</v>
      </c>
      <c r="H236" s="34" t="s">
        <v>199</v>
      </c>
      <c r="I236">
        <v>6</v>
      </c>
      <c r="J236">
        <v>0</v>
      </c>
      <c r="K236">
        <v>5</v>
      </c>
      <c r="L236">
        <v>1</v>
      </c>
      <c r="O236" s="28">
        <v>46277</v>
      </c>
      <c r="R236">
        <v>-1</v>
      </c>
      <c r="S236">
        <v>19</v>
      </c>
      <c r="T236">
        <v>13</v>
      </c>
      <c r="U236">
        <v>23</v>
      </c>
      <c r="V236">
        <v>20260913019</v>
      </c>
    </row>
    <row r="237" spans="1:22" x14ac:dyDescent="0.2">
      <c r="A237" s="34" t="s">
        <v>122</v>
      </c>
      <c r="B237" s="28">
        <v>46278</v>
      </c>
      <c r="C237" s="34"/>
      <c r="D237" s="34" t="s">
        <v>339</v>
      </c>
      <c r="E237" s="34" t="s">
        <v>200</v>
      </c>
      <c r="F237" s="34" t="s">
        <v>201</v>
      </c>
      <c r="G237" s="34" t="s">
        <v>202</v>
      </c>
      <c r="H237" s="34" t="s">
        <v>203</v>
      </c>
      <c r="I237">
        <v>28</v>
      </c>
      <c r="J237">
        <v>0</v>
      </c>
      <c r="K237">
        <v>24</v>
      </c>
      <c r="L237">
        <v>4</v>
      </c>
      <c r="O237" s="28">
        <v>46277</v>
      </c>
      <c r="R237">
        <v>-1</v>
      </c>
      <c r="S237">
        <v>20</v>
      </c>
      <c r="T237">
        <v>13</v>
      </c>
      <c r="U237">
        <v>24</v>
      </c>
      <c r="V237">
        <v>20260913020</v>
      </c>
    </row>
    <row r="238" spans="1:22" x14ac:dyDescent="0.2">
      <c r="A238" s="34" t="s">
        <v>122</v>
      </c>
      <c r="B238" s="28">
        <v>46278</v>
      </c>
      <c r="C238" s="34"/>
      <c r="D238" s="34" t="s">
        <v>339</v>
      </c>
      <c r="E238" s="34" t="s">
        <v>204</v>
      </c>
      <c r="F238" s="34" t="s">
        <v>205</v>
      </c>
      <c r="G238" s="34" t="s">
        <v>206</v>
      </c>
      <c r="H238" s="34" t="s">
        <v>207</v>
      </c>
      <c r="I238">
        <v>13</v>
      </c>
      <c r="J238">
        <v>0</v>
      </c>
      <c r="K238">
        <v>12</v>
      </c>
      <c r="L238">
        <v>1</v>
      </c>
      <c r="O238" s="28">
        <v>46277</v>
      </c>
      <c r="R238">
        <v>-1</v>
      </c>
      <c r="S238">
        <v>21</v>
      </c>
      <c r="T238">
        <v>13</v>
      </c>
      <c r="U238">
        <v>25</v>
      </c>
      <c r="V238">
        <v>20260913021</v>
      </c>
    </row>
    <row r="239" spans="1:22" x14ac:dyDescent="0.2">
      <c r="A239" s="34" t="s">
        <v>122</v>
      </c>
      <c r="B239" s="28">
        <v>46278</v>
      </c>
      <c r="C239" s="34"/>
      <c r="D239" s="34" t="s">
        <v>339</v>
      </c>
      <c r="E239" s="34" t="s">
        <v>208</v>
      </c>
      <c r="F239" s="34" t="s">
        <v>209</v>
      </c>
      <c r="G239" s="34" t="s">
        <v>210</v>
      </c>
      <c r="H239" s="34" t="s">
        <v>211</v>
      </c>
      <c r="I239">
        <v>12</v>
      </c>
      <c r="J239">
        <v>0</v>
      </c>
      <c r="K239">
        <v>7</v>
      </c>
      <c r="L239">
        <v>5</v>
      </c>
      <c r="O239" s="28">
        <v>46277</v>
      </c>
      <c r="R239">
        <v>-1</v>
      </c>
      <c r="S239">
        <v>22</v>
      </c>
      <c r="T239">
        <v>13</v>
      </c>
      <c r="U239">
        <v>26</v>
      </c>
      <c r="V239">
        <v>20260913022</v>
      </c>
    </row>
    <row r="240" spans="1:22" x14ac:dyDescent="0.2">
      <c r="A240" s="34" t="s">
        <v>122</v>
      </c>
      <c r="B240" s="28">
        <v>46278</v>
      </c>
      <c r="C240" s="34"/>
      <c r="D240" s="34" t="s">
        <v>339</v>
      </c>
      <c r="E240" s="34" t="s">
        <v>212</v>
      </c>
      <c r="F240" s="34" t="s">
        <v>213</v>
      </c>
      <c r="G240" s="34" t="s">
        <v>214</v>
      </c>
      <c r="H240" s="34" t="s">
        <v>215</v>
      </c>
      <c r="I240">
        <v>2</v>
      </c>
      <c r="J240">
        <v>0</v>
      </c>
      <c r="K240">
        <v>10</v>
      </c>
      <c r="L240">
        <v>-8</v>
      </c>
      <c r="O240" s="28">
        <v>46277</v>
      </c>
      <c r="R240">
        <v>-1</v>
      </c>
      <c r="S240">
        <v>23</v>
      </c>
      <c r="T240">
        <v>13</v>
      </c>
      <c r="U240">
        <v>27</v>
      </c>
      <c r="V240">
        <v>20260913023</v>
      </c>
    </row>
    <row r="241" spans="1:22" x14ac:dyDescent="0.2">
      <c r="A241" s="34" t="s">
        <v>122</v>
      </c>
      <c r="B241" s="28">
        <v>46278</v>
      </c>
      <c r="C241" s="34"/>
      <c r="D241" s="34" t="s">
        <v>339</v>
      </c>
      <c r="E241" s="34" t="s">
        <v>216</v>
      </c>
      <c r="F241" s="34" t="s">
        <v>217</v>
      </c>
      <c r="G241" s="34" t="s">
        <v>218</v>
      </c>
      <c r="H241" s="34" t="s">
        <v>219</v>
      </c>
      <c r="I241">
        <v>10</v>
      </c>
      <c r="J241">
        <v>0</v>
      </c>
      <c r="K241">
        <v>9</v>
      </c>
      <c r="L241">
        <v>1</v>
      </c>
      <c r="O241" s="28">
        <v>46277</v>
      </c>
      <c r="R241">
        <v>-1</v>
      </c>
      <c r="S241">
        <v>24</v>
      </c>
      <c r="T241">
        <v>13</v>
      </c>
      <c r="U241">
        <v>28</v>
      </c>
      <c r="V241">
        <v>20260913024</v>
      </c>
    </row>
    <row r="242" spans="1:22" x14ac:dyDescent="0.2">
      <c r="A242" s="34" t="s">
        <v>122</v>
      </c>
      <c r="B242" s="28">
        <v>46278</v>
      </c>
      <c r="C242" s="34"/>
      <c r="D242" s="34" t="s">
        <v>339</v>
      </c>
      <c r="E242" s="34" t="s">
        <v>220</v>
      </c>
      <c r="F242" s="34" t="s">
        <v>221</v>
      </c>
      <c r="G242" s="34" t="s">
        <v>222</v>
      </c>
      <c r="H242" s="34" t="s">
        <v>223</v>
      </c>
      <c r="I242">
        <v>13</v>
      </c>
      <c r="J242">
        <v>0</v>
      </c>
      <c r="K242">
        <v>13</v>
      </c>
      <c r="L242">
        <v>0</v>
      </c>
      <c r="O242" s="28">
        <v>46277</v>
      </c>
      <c r="R242">
        <v>-1</v>
      </c>
      <c r="S242">
        <v>25</v>
      </c>
      <c r="T242">
        <v>13</v>
      </c>
      <c r="U242">
        <v>29</v>
      </c>
      <c r="V242">
        <v>20260913025</v>
      </c>
    </row>
    <row r="243" spans="1:22" x14ac:dyDescent="0.2">
      <c r="A243" s="34" t="s">
        <v>122</v>
      </c>
      <c r="B243" s="28">
        <v>46278</v>
      </c>
      <c r="C243" s="34"/>
      <c r="D243" s="34" t="s">
        <v>339</v>
      </c>
      <c r="E243" s="34" t="s">
        <v>224</v>
      </c>
      <c r="F243" s="34" t="s">
        <v>225</v>
      </c>
      <c r="G243" s="34" t="s">
        <v>226</v>
      </c>
      <c r="H243" s="34" t="s">
        <v>227</v>
      </c>
      <c r="I243">
        <v>7</v>
      </c>
      <c r="J243">
        <v>0</v>
      </c>
      <c r="K243">
        <v>6</v>
      </c>
      <c r="L243">
        <v>1</v>
      </c>
      <c r="O243" s="28">
        <v>46277</v>
      </c>
      <c r="R243">
        <v>-1</v>
      </c>
      <c r="S243">
        <v>26</v>
      </c>
      <c r="T243">
        <v>13</v>
      </c>
      <c r="U243">
        <v>30</v>
      </c>
      <c r="V243">
        <v>20260913026</v>
      </c>
    </row>
    <row r="244" spans="1:22" x14ac:dyDescent="0.2">
      <c r="A244" s="34" t="s">
        <v>122</v>
      </c>
      <c r="B244" s="28">
        <v>46278</v>
      </c>
      <c r="C244" s="34"/>
      <c r="D244" s="34" t="s">
        <v>339</v>
      </c>
      <c r="E244" s="34" t="s">
        <v>228</v>
      </c>
      <c r="F244" s="34" t="s">
        <v>229</v>
      </c>
      <c r="G244" s="34" t="s">
        <v>230</v>
      </c>
      <c r="H244" s="34" t="s">
        <v>231</v>
      </c>
      <c r="I244">
        <v>8</v>
      </c>
      <c r="J244">
        <v>0</v>
      </c>
      <c r="K244">
        <v>12</v>
      </c>
      <c r="L244">
        <v>-4</v>
      </c>
      <c r="O244" s="28">
        <v>46277</v>
      </c>
      <c r="R244">
        <v>-1</v>
      </c>
      <c r="S244">
        <v>27</v>
      </c>
      <c r="T244">
        <v>13</v>
      </c>
      <c r="U244">
        <v>31</v>
      </c>
      <c r="V244">
        <v>20260913027</v>
      </c>
    </row>
    <row r="245" spans="1:22" x14ac:dyDescent="0.2">
      <c r="A245" s="34" t="s">
        <v>122</v>
      </c>
      <c r="B245" s="28">
        <v>46278</v>
      </c>
      <c r="C245" s="34"/>
      <c r="D245" s="34" t="s">
        <v>339</v>
      </c>
      <c r="E245" s="34" t="s">
        <v>232</v>
      </c>
      <c r="F245" s="34" t="s">
        <v>233</v>
      </c>
      <c r="G245" s="34" t="s">
        <v>234</v>
      </c>
      <c r="H245" s="34" t="s">
        <v>235</v>
      </c>
      <c r="I245">
        <v>2</v>
      </c>
      <c r="J245">
        <v>0</v>
      </c>
      <c r="K245">
        <v>12</v>
      </c>
      <c r="L245">
        <v>-10</v>
      </c>
      <c r="O245" s="28">
        <v>46277</v>
      </c>
      <c r="R245">
        <v>-1</v>
      </c>
      <c r="S245">
        <v>28</v>
      </c>
      <c r="T245">
        <v>13</v>
      </c>
      <c r="U245">
        <v>32</v>
      </c>
      <c r="V245">
        <v>20260913028</v>
      </c>
    </row>
    <row r="246" spans="1:22" x14ac:dyDescent="0.2">
      <c r="A246" s="34" t="s">
        <v>122</v>
      </c>
      <c r="B246" s="28">
        <v>46278</v>
      </c>
      <c r="C246" s="34"/>
      <c r="D246" s="34" t="s">
        <v>339</v>
      </c>
      <c r="E246" s="34" t="s">
        <v>236</v>
      </c>
      <c r="F246" s="34" t="s">
        <v>237</v>
      </c>
      <c r="G246" s="34" t="s">
        <v>238</v>
      </c>
      <c r="H246" s="34" t="s">
        <v>239</v>
      </c>
      <c r="I246">
        <v>9</v>
      </c>
      <c r="J246">
        <v>0</v>
      </c>
      <c r="K246">
        <v>9</v>
      </c>
      <c r="L246">
        <v>0</v>
      </c>
      <c r="O246" s="28">
        <v>46277</v>
      </c>
      <c r="R246">
        <v>-1</v>
      </c>
      <c r="S246">
        <v>29</v>
      </c>
      <c r="T246">
        <v>13</v>
      </c>
      <c r="U246">
        <v>33</v>
      </c>
      <c r="V246">
        <v>20260913029</v>
      </c>
    </row>
    <row r="247" spans="1:22" x14ac:dyDescent="0.2">
      <c r="A247" s="34" t="s">
        <v>122</v>
      </c>
      <c r="B247" s="28">
        <v>46278</v>
      </c>
      <c r="C247" s="34"/>
      <c r="D247" s="34" t="s">
        <v>339</v>
      </c>
      <c r="E247" s="34" t="s">
        <v>240</v>
      </c>
      <c r="F247" s="34" t="s">
        <v>241</v>
      </c>
      <c r="G247" s="34" t="s">
        <v>242</v>
      </c>
      <c r="H247" s="34" t="s">
        <v>243</v>
      </c>
      <c r="I247">
        <v>12</v>
      </c>
      <c r="J247">
        <v>0</v>
      </c>
      <c r="K247">
        <v>9</v>
      </c>
      <c r="L247">
        <v>3</v>
      </c>
      <c r="O247" s="28">
        <v>46277</v>
      </c>
      <c r="R247">
        <v>-1</v>
      </c>
      <c r="S247">
        <v>30</v>
      </c>
      <c r="T247">
        <v>13</v>
      </c>
      <c r="U247">
        <v>34</v>
      </c>
      <c r="V247">
        <v>20260913030</v>
      </c>
    </row>
    <row r="248" spans="1:22" x14ac:dyDescent="0.2">
      <c r="A248" s="34" t="s">
        <v>122</v>
      </c>
      <c r="B248" s="28">
        <v>46278</v>
      </c>
      <c r="C248" s="34"/>
      <c r="D248" s="34" t="s">
        <v>339</v>
      </c>
      <c r="E248" s="34" t="s">
        <v>244</v>
      </c>
      <c r="F248" s="34" t="s">
        <v>245</v>
      </c>
      <c r="G248" s="34" t="s">
        <v>246</v>
      </c>
      <c r="H248" s="34" t="s">
        <v>247</v>
      </c>
      <c r="I248">
        <v>5</v>
      </c>
      <c r="J248">
        <v>0</v>
      </c>
      <c r="K248">
        <v>5</v>
      </c>
      <c r="L248">
        <v>0</v>
      </c>
      <c r="O248" s="28">
        <v>46277</v>
      </c>
      <c r="R248">
        <v>-1</v>
      </c>
      <c r="S248">
        <v>31</v>
      </c>
      <c r="T248">
        <v>13</v>
      </c>
      <c r="U248">
        <v>35</v>
      </c>
      <c r="V248">
        <v>20260913031</v>
      </c>
    </row>
    <row r="249" spans="1:22" x14ac:dyDescent="0.2">
      <c r="A249" s="34" t="s">
        <v>122</v>
      </c>
      <c r="B249" s="28">
        <v>46278</v>
      </c>
      <c r="C249" s="34"/>
      <c r="D249" s="34" t="s">
        <v>339</v>
      </c>
      <c r="E249" s="34" t="s">
        <v>248</v>
      </c>
      <c r="F249" s="34" t="s">
        <v>249</v>
      </c>
      <c r="G249" s="34" t="s">
        <v>250</v>
      </c>
      <c r="H249" s="34" t="s">
        <v>251</v>
      </c>
      <c r="I249">
        <v>4</v>
      </c>
      <c r="J249">
        <v>0</v>
      </c>
      <c r="K249">
        <v>4</v>
      </c>
      <c r="L249">
        <v>0</v>
      </c>
      <c r="O249" s="28">
        <v>46277</v>
      </c>
      <c r="R249">
        <v>-1</v>
      </c>
      <c r="S249">
        <v>32</v>
      </c>
      <c r="T249">
        <v>13</v>
      </c>
      <c r="U249">
        <v>36</v>
      </c>
      <c r="V249">
        <v>20260913032</v>
      </c>
    </row>
    <row r="250" spans="1:22" x14ac:dyDescent="0.2">
      <c r="A250" s="34" t="s">
        <v>122</v>
      </c>
      <c r="B250" s="28">
        <v>46278</v>
      </c>
      <c r="C250" s="34"/>
      <c r="D250" s="34" t="s">
        <v>339</v>
      </c>
      <c r="E250" s="34" t="s">
        <v>252</v>
      </c>
      <c r="F250" s="34" t="s">
        <v>253</v>
      </c>
      <c r="G250" s="34" t="s">
        <v>254</v>
      </c>
      <c r="H250" s="34" t="s">
        <v>255</v>
      </c>
      <c r="I250">
        <v>16</v>
      </c>
      <c r="J250">
        <v>0</v>
      </c>
      <c r="K250">
        <v>17</v>
      </c>
      <c r="L250">
        <v>-1</v>
      </c>
      <c r="O250" s="28">
        <v>46277</v>
      </c>
      <c r="R250">
        <v>-1</v>
      </c>
      <c r="S250">
        <v>33</v>
      </c>
      <c r="T250">
        <v>13</v>
      </c>
      <c r="U250">
        <v>37</v>
      </c>
      <c r="V250">
        <v>20260913033</v>
      </c>
    </row>
    <row r="251" spans="1:22" x14ac:dyDescent="0.2">
      <c r="A251" s="34" t="s">
        <v>122</v>
      </c>
      <c r="B251" s="28">
        <v>46278</v>
      </c>
      <c r="C251" s="34"/>
      <c r="D251" s="34" t="s">
        <v>339</v>
      </c>
      <c r="E251" s="34" t="s">
        <v>256</v>
      </c>
      <c r="F251" s="34" t="s">
        <v>257</v>
      </c>
      <c r="G251" s="34" t="s">
        <v>258</v>
      </c>
      <c r="H251" s="34" t="s">
        <v>259</v>
      </c>
      <c r="I251">
        <v>4</v>
      </c>
      <c r="J251">
        <v>0</v>
      </c>
      <c r="K251">
        <v>4</v>
      </c>
      <c r="L251">
        <v>0</v>
      </c>
      <c r="O251" s="28">
        <v>46277</v>
      </c>
      <c r="R251">
        <v>-1</v>
      </c>
      <c r="S251">
        <v>34</v>
      </c>
      <c r="T251">
        <v>13</v>
      </c>
      <c r="U251">
        <v>38</v>
      </c>
      <c r="V251">
        <v>20260913034</v>
      </c>
    </row>
    <row r="252" spans="1:22" x14ac:dyDescent="0.2">
      <c r="A252" s="34" t="s">
        <v>122</v>
      </c>
      <c r="B252" s="28">
        <v>46278</v>
      </c>
      <c r="C252" s="34"/>
      <c r="D252" s="34" t="s">
        <v>339</v>
      </c>
      <c r="E252" s="34" t="s">
        <v>260</v>
      </c>
      <c r="F252" s="34" t="s">
        <v>261</v>
      </c>
      <c r="G252" s="34" t="s">
        <v>262</v>
      </c>
      <c r="H252" s="34" t="s">
        <v>263</v>
      </c>
      <c r="I252">
        <v>5</v>
      </c>
      <c r="J252">
        <v>0</v>
      </c>
      <c r="K252">
        <v>5</v>
      </c>
      <c r="L252">
        <v>0</v>
      </c>
      <c r="O252" s="28">
        <v>46277</v>
      </c>
      <c r="R252">
        <v>-1</v>
      </c>
      <c r="S252">
        <v>35</v>
      </c>
      <c r="T252">
        <v>13</v>
      </c>
      <c r="U252">
        <v>39</v>
      </c>
      <c r="V252">
        <v>20260913035</v>
      </c>
    </row>
    <row r="253" spans="1:22" x14ac:dyDescent="0.2">
      <c r="A253" s="34" t="s">
        <v>122</v>
      </c>
      <c r="B253" s="28">
        <v>46278</v>
      </c>
      <c r="C253" s="34"/>
      <c r="D253" s="34" t="s">
        <v>339</v>
      </c>
      <c r="E253" s="34" t="s">
        <v>264</v>
      </c>
      <c r="F253" s="34" t="s">
        <v>265</v>
      </c>
      <c r="G253" s="34" t="s">
        <v>266</v>
      </c>
      <c r="H253" s="34" t="s">
        <v>267</v>
      </c>
      <c r="I253">
        <v>7</v>
      </c>
      <c r="J253">
        <v>0</v>
      </c>
      <c r="K253">
        <v>7</v>
      </c>
      <c r="L253">
        <v>0</v>
      </c>
      <c r="O253" s="28">
        <v>46277</v>
      </c>
      <c r="R253">
        <v>-1</v>
      </c>
      <c r="S253">
        <v>36</v>
      </c>
      <c r="T253">
        <v>13</v>
      </c>
      <c r="U253">
        <v>40</v>
      </c>
      <c r="V253">
        <v>20260913036</v>
      </c>
    </row>
    <row r="254" spans="1:22" x14ac:dyDescent="0.2">
      <c r="A254" s="34" t="s">
        <v>122</v>
      </c>
      <c r="B254" s="28">
        <v>46278</v>
      </c>
      <c r="C254" s="34"/>
      <c r="D254" s="34" t="s">
        <v>339</v>
      </c>
      <c r="E254" s="34" t="s">
        <v>268</v>
      </c>
      <c r="F254" s="34" t="s">
        <v>269</v>
      </c>
      <c r="G254" s="34" t="s">
        <v>270</v>
      </c>
      <c r="H254" s="34" t="s">
        <v>271</v>
      </c>
      <c r="I254">
        <v>4</v>
      </c>
      <c r="J254">
        <v>0</v>
      </c>
      <c r="K254">
        <v>4</v>
      </c>
      <c r="L254">
        <v>0</v>
      </c>
      <c r="O254" s="28">
        <v>46277</v>
      </c>
      <c r="R254">
        <v>-1</v>
      </c>
      <c r="S254">
        <v>37</v>
      </c>
      <c r="T254">
        <v>13</v>
      </c>
      <c r="U254">
        <v>41</v>
      </c>
      <c r="V254">
        <v>20260913037</v>
      </c>
    </row>
    <row r="255" spans="1:22" x14ac:dyDescent="0.2">
      <c r="A255" s="34" t="s">
        <v>122</v>
      </c>
      <c r="B255" s="28">
        <v>46278</v>
      </c>
      <c r="C255" s="34"/>
      <c r="D255" s="34" t="s">
        <v>339</v>
      </c>
      <c r="E255" s="34" t="s">
        <v>272</v>
      </c>
      <c r="F255" s="34" t="s">
        <v>341</v>
      </c>
      <c r="G255" s="34" t="s">
        <v>273</v>
      </c>
      <c r="H255" s="34" t="s">
        <v>274</v>
      </c>
      <c r="I255">
        <v>9</v>
      </c>
      <c r="J255">
        <v>0</v>
      </c>
      <c r="K255">
        <v>3</v>
      </c>
      <c r="L255">
        <v>6</v>
      </c>
      <c r="O255" s="28">
        <v>46277</v>
      </c>
      <c r="R255">
        <v>-1</v>
      </c>
      <c r="S255">
        <v>38</v>
      </c>
      <c r="T255">
        <v>13</v>
      </c>
      <c r="U255">
        <v>42</v>
      </c>
      <c r="V255">
        <v>20260913038</v>
      </c>
    </row>
    <row r="256" spans="1:22" x14ac:dyDescent="0.2">
      <c r="A256" s="34" t="s">
        <v>122</v>
      </c>
      <c r="B256" s="28">
        <v>46278</v>
      </c>
      <c r="C256" s="34"/>
      <c r="D256" s="34" t="s">
        <v>339</v>
      </c>
      <c r="E256" s="34" t="s">
        <v>275</v>
      </c>
      <c r="F256" s="34" t="s">
        <v>276</v>
      </c>
      <c r="G256" s="34" t="s">
        <v>277</v>
      </c>
      <c r="H256" s="34" t="s">
        <v>278</v>
      </c>
      <c r="I256">
        <v>3</v>
      </c>
      <c r="J256">
        <v>0</v>
      </c>
      <c r="K256">
        <v>6</v>
      </c>
      <c r="L256">
        <v>-3</v>
      </c>
      <c r="O256" s="28">
        <v>46277</v>
      </c>
      <c r="R256">
        <v>-1</v>
      </c>
      <c r="S256">
        <v>39</v>
      </c>
      <c r="T256">
        <v>13</v>
      </c>
      <c r="U256">
        <v>43</v>
      </c>
      <c r="V256">
        <v>20260913039</v>
      </c>
    </row>
    <row r="257" spans="1:22" x14ac:dyDescent="0.2">
      <c r="A257" s="34" t="s">
        <v>122</v>
      </c>
      <c r="B257" s="28">
        <v>46278</v>
      </c>
      <c r="C257" s="34"/>
      <c r="D257" s="34" t="s">
        <v>339</v>
      </c>
      <c r="E257" s="34" t="s">
        <v>279</v>
      </c>
      <c r="F257" s="34" t="s">
        <v>280</v>
      </c>
      <c r="G257" s="34" t="s">
        <v>281</v>
      </c>
      <c r="H257" s="34" t="s">
        <v>282</v>
      </c>
      <c r="I257">
        <v>6</v>
      </c>
      <c r="J257">
        <v>0</v>
      </c>
      <c r="K257">
        <v>6</v>
      </c>
      <c r="L257">
        <v>0</v>
      </c>
      <c r="O257" s="28">
        <v>46277</v>
      </c>
      <c r="R257">
        <v>-1</v>
      </c>
      <c r="S257">
        <v>40</v>
      </c>
      <c r="T257">
        <v>13</v>
      </c>
      <c r="U257">
        <v>44</v>
      </c>
      <c r="V257">
        <v>20260913040</v>
      </c>
    </row>
    <row r="258" spans="1:22" x14ac:dyDescent="0.2">
      <c r="A258" s="34" t="s">
        <v>122</v>
      </c>
      <c r="B258" s="28">
        <v>46278</v>
      </c>
      <c r="C258" s="34"/>
      <c r="D258" s="34" t="s">
        <v>339</v>
      </c>
      <c r="E258" s="34" t="s">
        <v>283</v>
      </c>
      <c r="F258" s="34" t="s">
        <v>284</v>
      </c>
      <c r="G258" s="34" t="s">
        <v>285</v>
      </c>
      <c r="H258" s="34" t="s">
        <v>286</v>
      </c>
      <c r="I258">
        <v>13</v>
      </c>
      <c r="J258">
        <v>0</v>
      </c>
      <c r="K258">
        <v>13</v>
      </c>
      <c r="L258">
        <v>0</v>
      </c>
      <c r="O258" s="28">
        <v>46277</v>
      </c>
      <c r="R258">
        <v>-1</v>
      </c>
      <c r="S258">
        <v>41</v>
      </c>
      <c r="T258">
        <v>13</v>
      </c>
      <c r="U258">
        <v>45</v>
      </c>
      <c r="V258">
        <v>20260913041</v>
      </c>
    </row>
    <row r="259" spans="1:22" x14ac:dyDescent="0.2">
      <c r="A259" s="34" t="s">
        <v>122</v>
      </c>
      <c r="B259" s="28">
        <v>46278</v>
      </c>
      <c r="C259" s="34"/>
      <c r="D259" s="34" t="s">
        <v>339</v>
      </c>
      <c r="E259" s="34" t="s">
        <v>287</v>
      </c>
      <c r="F259" s="34" t="s">
        <v>288</v>
      </c>
      <c r="G259" s="34" t="s">
        <v>289</v>
      </c>
      <c r="H259" s="34" t="s">
        <v>290</v>
      </c>
      <c r="I259">
        <v>35</v>
      </c>
      <c r="J259">
        <v>0</v>
      </c>
      <c r="K259">
        <v>26</v>
      </c>
      <c r="L259">
        <v>9</v>
      </c>
      <c r="O259" s="28">
        <v>46277</v>
      </c>
      <c r="R259">
        <v>-1</v>
      </c>
      <c r="S259">
        <v>42</v>
      </c>
      <c r="T259">
        <v>13</v>
      </c>
      <c r="U259">
        <v>46</v>
      </c>
      <c r="V259">
        <v>20260913042</v>
      </c>
    </row>
    <row r="260" spans="1:22" x14ac:dyDescent="0.2">
      <c r="A260" s="34" t="s">
        <v>122</v>
      </c>
      <c r="B260" s="28">
        <v>46278</v>
      </c>
      <c r="C260" s="34"/>
      <c r="D260" s="34" t="s">
        <v>339</v>
      </c>
      <c r="E260" s="34" t="s">
        <v>291</v>
      </c>
      <c r="F260" s="34" t="s">
        <v>342</v>
      </c>
      <c r="G260" s="34" t="s">
        <v>292</v>
      </c>
      <c r="H260" s="34" t="s">
        <v>293</v>
      </c>
      <c r="I260">
        <v>23</v>
      </c>
      <c r="J260">
        <v>0</v>
      </c>
      <c r="K260">
        <v>23</v>
      </c>
      <c r="L260">
        <v>0</v>
      </c>
      <c r="O260" s="28">
        <v>46277</v>
      </c>
      <c r="R260">
        <v>-1</v>
      </c>
      <c r="S260">
        <v>43</v>
      </c>
      <c r="T260">
        <v>13</v>
      </c>
      <c r="U260">
        <v>47</v>
      </c>
      <c r="V260">
        <v>20260913043</v>
      </c>
    </row>
    <row r="261" spans="1:22" x14ac:dyDescent="0.2">
      <c r="A261" s="34" t="s">
        <v>122</v>
      </c>
      <c r="B261" s="28">
        <v>46278</v>
      </c>
      <c r="C261" s="34"/>
      <c r="D261" s="34" t="s">
        <v>339</v>
      </c>
      <c r="E261" s="34" t="s">
        <v>294</v>
      </c>
      <c r="F261" s="34" t="s">
        <v>295</v>
      </c>
      <c r="G261" s="34" t="s">
        <v>296</v>
      </c>
      <c r="H261" s="34" t="s">
        <v>297</v>
      </c>
      <c r="I261">
        <v>12</v>
      </c>
      <c r="J261">
        <v>0</v>
      </c>
      <c r="K261">
        <v>11</v>
      </c>
      <c r="L261">
        <v>1</v>
      </c>
      <c r="O261" s="28">
        <v>46277</v>
      </c>
      <c r="R261">
        <v>-1</v>
      </c>
      <c r="S261">
        <v>44</v>
      </c>
      <c r="T261">
        <v>13</v>
      </c>
      <c r="U261">
        <v>48</v>
      </c>
      <c r="V261">
        <v>20260913044</v>
      </c>
    </row>
    <row r="262" spans="1:22" x14ac:dyDescent="0.2">
      <c r="A262" s="34" t="s">
        <v>122</v>
      </c>
      <c r="B262" s="28">
        <v>46278</v>
      </c>
      <c r="C262" s="34"/>
      <c r="D262" s="34" t="s">
        <v>339</v>
      </c>
      <c r="E262" s="34" t="s">
        <v>298</v>
      </c>
      <c r="F262" s="34" t="s">
        <v>299</v>
      </c>
      <c r="G262" s="34" t="s">
        <v>300</v>
      </c>
      <c r="H262" s="34" t="s">
        <v>301</v>
      </c>
      <c r="I262">
        <v>14</v>
      </c>
      <c r="J262">
        <v>0</v>
      </c>
      <c r="K262">
        <v>14</v>
      </c>
      <c r="L262">
        <v>0</v>
      </c>
      <c r="O262" s="28">
        <v>46277</v>
      </c>
      <c r="R262">
        <v>-1</v>
      </c>
      <c r="S262">
        <v>45</v>
      </c>
      <c r="T262">
        <v>13</v>
      </c>
      <c r="U262">
        <v>49</v>
      </c>
      <c r="V262">
        <v>20260913045</v>
      </c>
    </row>
    <row r="263" spans="1:22" x14ac:dyDescent="0.2">
      <c r="A263" s="34" t="s">
        <v>122</v>
      </c>
      <c r="B263" s="28">
        <v>46278</v>
      </c>
      <c r="C263" s="34"/>
      <c r="D263" s="34" t="s">
        <v>339</v>
      </c>
      <c r="E263" s="34" t="s">
        <v>302</v>
      </c>
      <c r="F263" s="34" t="s">
        <v>303</v>
      </c>
      <c r="G263" s="34" t="s">
        <v>304</v>
      </c>
      <c r="H263" s="34" t="s">
        <v>305</v>
      </c>
      <c r="I263">
        <v>9</v>
      </c>
      <c r="J263">
        <v>0</v>
      </c>
      <c r="K263">
        <v>8</v>
      </c>
      <c r="L263">
        <v>1</v>
      </c>
      <c r="O263" s="28">
        <v>46277</v>
      </c>
      <c r="R263">
        <v>-1</v>
      </c>
      <c r="S263">
        <v>46</v>
      </c>
      <c r="T263">
        <v>13</v>
      </c>
      <c r="U263">
        <v>50</v>
      </c>
      <c r="V263">
        <v>20260913046</v>
      </c>
    </row>
    <row r="264" spans="1:22" x14ac:dyDescent="0.2">
      <c r="A264" s="34" t="s">
        <v>122</v>
      </c>
      <c r="B264" s="28">
        <v>46278</v>
      </c>
      <c r="C264" s="34"/>
      <c r="D264" s="34" t="s">
        <v>339</v>
      </c>
      <c r="E264" s="34" t="s">
        <v>306</v>
      </c>
      <c r="F264" s="34" t="s">
        <v>307</v>
      </c>
      <c r="G264" s="34" t="s">
        <v>308</v>
      </c>
      <c r="H264" s="34" t="s">
        <v>309</v>
      </c>
      <c r="I264">
        <v>11</v>
      </c>
      <c r="J264">
        <v>0</v>
      </c>
      <c r="K264">
        <v>11</v>
      </c>
      <c r="L264">
        <v>0</v>
      </c>
      <c r="O264" s="28">
        <v>46277</v>
      </c>
      <c r="R264">
        <v>-1</v>
      </c>
      <c r="S264">
        <v>47</v>
      </c>
      <c r="T264">
        <v>13</v>
      </c>
      <c r="U264">
        <v>51</v>
      </c>
      <c r="V264">
        <v>20260913047</v>
      </c>
    </row>
    <row r="265" spans="1:22" x14ac:dyDescent="0.2">
      <c r="A265" s="34" t="s">
        <v>122</v>
      </c>
      <c r="B265" s="28">
        <v>46278</v>
      </c>
      <c r="C265" s="34"/>
      <c r="D265" s="34" t="s">
        <v>339</v>
      </c>
      <c r="E265" s="34" t="s">
        <v>310</v>
      </c>
      <c r="F265" s="34" t="s">
        <v>311</v>
      </c>
      <c r="G265" s="34" t="s">
        <v>312</v>
      </c>
      <c r="H265" s="34" t="s">
        <v>313</v>
      </c>
      <c r="I265">
        <v>3</v>
      </c>
      <c r="J265">
        <v>0</v>
      </c>
      <c r="K265">
        <v>3</v>
      </c>
      <c r="L265">
        <v>0</v>
      </c>
      <c r="O265" s="28">
        <v>46277</v>
      </c>
      <c r="R265">
        <v>-1</v>
      </c>
      <c r="S265">
        <v>48</v>
      </c>
      <c r="T265">
        <v>13</v>
      </c>
      <c r="U265">
        <v>52</v>
      </c>
      <c r="V265">
        <v>20260913048</v>
      </c>
    </row>
    <row r="266" spans="1:22" x14ac:dyDescent="0.2">
      <c r="A266" s="34" t="s">
        <v>122</v>
      </c>
      <c r="B266" s="28">
        <v>46278</v>
      </c>
      <c r="C266" s="34"/>
      <c r="D266" s="34" t="s">
        <v>339</v>
      </c>
      <c r="E266" s="34" t="s">
        <v>314</v>
      </c>
      <c r="F266" s="34" t="s">
        <v>315</v>
      </c>
      <c r="G266" s="34" t="s">
        <v>316</v>
      </c>
      <c r="H266" s="34" t="s">
        <v>317</v>
      </c>
      <c r="I266">
        <v>14</v>
      </c>
      <c r="J266">
        <v>0</v>
      </c>
      <c r="K266">
        <v>31</v>
      </c>
      <c r="L266">
        <v>-17</v>
      </c>
      <c r="O266" s="28">
        <v>46277</v>
      </c>
      <c r="R266">
        <v>-1</v>
      </c>
      <c r="S266">
        <v>49</v>
      </c>
      <c r="T266">
        <v>13</v>
      </c>
      <c r="U266">
        <v>53</v>
      </c>
      <c r="V266">
        <v>20260913049</v>
      </c>
    </row>
    <row r="267" spans="1:22" x14ac:dyDescent="0.2">
      <c r="A267" s="34" t="s">
        <v>122</v>
      </c>
      <c r="B267" s="28">
        <v>46278</v>
      </c>
      <c r="C267" s="34"/>
      <c r="D267" s="34" t="s">
        <v>339</v>
      </c>
      <c r="E267" s="34" t="s">
        <v>318</v>
      </c>
      <c r="F267" s="34" t="s">
        <v>319</v>
      </c>
      <c r="G267" s="34" t="s">
        <v>320</v>
      </c>
      <c r="H267" s="34" t="s">
        <v>321</v>
      </c>
      <c r="I267">
        <v>8</v>
      </c>
      <c r="J267">
        <v>0</v>
      </c>
      <c r="K267">
        <v>5</v>
      </c>
      <c r="L267">
        <v>3</v>
      </c>
      <c r="O267" s="28">
        <v>46277</v>
      </c>
      <c r="R267">
        <v>-1</v>
      </c>
      <c r="S267">
        <v>50</v>
      </c>
      <c r="T267">
        <v>13</v>
      </c>
      <c r="U267">
        <v>54</v>
      </c>
      <c r="V267">
        <v>20260913050</v>
      </c>
    </row>
    <row r="268" spans="1:22" x14ac:dyDescent="0.2">
      <c r="A268" s="34" t="s">
        <v>122</v>
      </c>
      <c r="B268" s="28">
        <v>46278</v>
      </c>
      <c r="C268" s="34"/>
      <c r="D268" s="34" t="s">
        <v>339</v>
      </c>
      <c r="E268" s="34" t="s">
        <v>322</v>
      </c>
      <c r="F268" s="34" t="s">
        <v>323</v>
      </c>
      <c r="G268" s="34" t="s">
        <v>324</v>
      </c>
      <c r="H268" s="34" t="s">
        <v>325</v>
      </c>
      <c r="I268">
        <v>7</v>
      </c>
      <c r="J268">
        <v>0</v>
      </c>
      <c r="K268">
        <v>7</v>
      </c>
      <c r="L268">
        <v>0</v>
      </c>
      <c r="O268" s="28">
        <v>46277</v>
      </c>
      <c r="R268">
        <v>-1</v>
      </c>
      <c r="S268">
        <v>51</v>
      </c>
      <c r="T268">
        <v>13</v>
      </c>
      <c r="U268">
        <v>55</v>
      </c>
      <c r="V268">
        <v>20260913051</v>
      </c>
    </row>
    <row r="269" spans="1:22" x14ac:dyDescent="0.2">
      <c r="A269" s="34" t="s">
        <v>122</v>
      </c>
      <c r="B269" s="28">
        <v>46278</v>
      </c>
      <c r="C269" s="34"/>
      <c r="D269" s="34" t="s">
        <v>339</v>
      </c>
      <c r="E269" s="34" t="s">
        <v>326</v>
      </c>
      <c r="F269" s="34" t="s">
        <v>327</v>
      </c>
      <c r="G269" s="34" t="s">
        <v>328</v>
      </c>
      <c r="H269" s="34" t="s">
        <v>329</v>
      </c>
      <c r="I269">
        <v>19</v>
      </c>
      <c r="J269">
        <v>0</v>
      </c>
      <c r="K269">
        <v>11</v>
      </c>
      <c r="L269">
        <v>8</v>
      </c>
      <c r="O269" s="28">
        <v>46277</v>
      </c>
      <c r="R269">
        <v>-1</v>
      </c>
      <c r="S269">
        <v>52</v>
      </c>
      <c r="T269">
        <v>13</v>
      </c>
      <c r="U269">
        <v>73</v>
      </c>
      <c r="V269">
        <v>20260913052</v>
      </c>
    </row>
    <row r="270" spans="1:22" x14ac:dyDescent="0.2">
      <c r="A270" s="34" t="s">
        <v>122</v>
      </c>
      <c r="B270" s="28">
        <v>46278</v>
      </c>
      <c r="C270" s="34"/>
      <c r="D270" s="34" t="s">
        <v>339</v>
      </c>
      <c r="E270" s="34" t="s">
        <v>330</v>
      </c>
      <c r="F270" s="34" t="s">
        <v>331</v>
      </c>
      <c r="G270" s="34" t="s">
        <v>332</v>
      </c>
      <c r="H270" s="34" t="s">
        <v>333</v>
      </c>
      <c r="I270">
        <v>4</v>
      </c>
      <c r="J270">
        <v>0</v>
      </c>
      <c r="K270">
        <v>4</v>
      </c>
      <c r="L270">
        <v>0</v>
      </c>
      <c r="O270" s="28">
        <v>46277</v>
      </c>
      <c r="R270">
        <v>-1</v>
      </c>
      <c r="S270">
        <v>53</v>
      </c>
      <c r="T270">
        <v>13</v>
      </c>
      <c r="U270">
        <v>74</v>
      </c>
      <c r="V270">
        <v>20260913053</v>
      </c>
    </row>
    <row r="271" spans="1:22" x14ac:dyDescent="0.2">
      <c r="A271" s="34" t="s">
        <v>122</v>
      </c>
      <c r="B271" s="28">
        <v>46278</v>
      </c>
      <c r="C271" s="34"/>
      <c r="D271" s="34" t="s">
        <v>339</v>
      </c>
      <c r="E271" s="34" t="s">
        <v>334</v>
      </c>
      <c r="F271" s="34" t="s">
        <v>335</v>
      </c>
      <c r="G271" s="34" t="s">
        <v>336</v>
      </c>
      <c r="H271" s="34" t="s">
        <v>337</v>
      </c>
      <c r="I271">
        <v>18</v>
      </c>
      <c r="J271">
        <v>0</v>
      </c>
      <c r="K271">
        <v>17</v>
      </c>
      <c r="L271">
        <v>1</v>
      </c>
      <c r="O271" s="28">
        <v>46277</v>
      </c>
      <c r="R271">
        <v>-1</v>
      </c>
      <c r="S271">
        <v>54</v>
      </c>
      <c r="T271">
        <v>13</v>
      </c>
      <c r="U271">
        <v>75</v>
      </c>
      <c r="V271">
        <v>20260913054</v>
      </c>
    </row>
    <row r="272" spans="1:22" x14ac:dyDescent="0.2">
      <c r="A272" s="34" t="s">
        <v>122</v>
      </c>
      <c r="B272" s="28">
        <v>46279</v>
      </c>
      <c r="C272" s="34"/>
      <c r="D272" s="34" t="s">
        <v>339</v>
      </c>
      <c r="E272" s="34" t="s">
        <v>164</v>
      </c>
      <c r="F272" s="34" t="s">
        <v>165</v>
      </c>
      <c r="G272" s="34" t="s">
        <v>166</v>
      </c>
      <c r="H272" s="34" t="s">
        <v>167</v>
      </c>
      <c r="I272">
        <v>24</v>
      </c>
      <c r="J272">
        <v>0</v>
      </c>
      <c r="K272">
        <v>25</v>
      </c>
      <c r="L272">
        <v>-1</v>
      </c>
      <c r="M272">
        <v>19</v>
      </c>
      <c r="N272">
        <v>-20</v>
      </c>
      <c r="O272" s="28">
        <v>46278</v>
      </c>
      <c r="P272">
        <v>18.2</v>
      </c>
      <c r="Q272">
        <v>-364</v>
      </c>
      <c r="R272">
        <v>20</v>
      </c>
      <c r="S272">
        <v>1</v>
      </c>
      <c r="T272">
        <v>12</v>
      </c>
      <c r="U272">
        <v>11</v>
      </c>
      <c r="V272">
        <v>20260914001</v>
      </c>
    </row>
    <row r="273" spans="1:22" x14ac:dyDescent="0.2">
      <c r="A273" s="34" t="s">
        <v>122</v>
      </c>
      <c r="B273" s="28">
        <v>46279</v>
      </c>
      <c r="C273" s="34"/>
      <c r="D273" s="34" t="s">
        <v>339</v>
      </c>
      <c r="E273" s="34" t="s">
        <v>326</v>
      </c>
      <c r="F273" s="34" t="s">
        <v>327</v>
      </c>
      <c r="G273" s="34" t="s">
        <v>328</v>
      </c>
      <c r="H273" s="34" t="s">
        <v>329</v>
      </c>
      <c r="I273">
        <v>11</v>
      </c>
      <c r="J273">
        <v>0</v>
      </c>
      <c r="K273">
        <v>25</v>
      </c>
      <c r="L273">
        <v>-14</v>
      </c>
      <c r="M273">
        <v>6</v>
      </c>
      <c r="N273">
        <v>-20</v>
      </c>
      <c r="O273" s="28">
        <v>46278</v>
      </c>
      <c r="P273">
        <v>16.600000000000001</v>
      </c>
      <c r="Q273">
        <v>-332</v>
      </c>
      <c r="R273">
        <v>20</v>
      </c>
      <c r="S273">
        <v>2</v>
      </c>
      <c r="T273">
        <v>12</v>
      </c>
      <c r="U273">
        <v>73</v>
      </c>
      <c r="V273">
        <v>20260914002</v>
      </c>
    </row>
    <row r="274" spans="1:22" x14ac:dyDescent="0.2">
      <c r="A274" s="34" t="s">
        <v>122</v>
      </c>
      <c r="B274" s="28">
        <v>46279</v>
      </c>
      <c r="C274" s="34"/>
      <c r="D274" s="34" t="s">
        <v>339</v>
      </c>
      <c r="E274" s="34" t="s">
        <v>176</v>
      </c>
      <c r="F274" s="34" t="s">
        <v>177</v>
      </c>
      <c r="G274" s="34" t="s">
        <v>178</v>
      </c>
      <c r="H274" s="34" t="s">
        <v>179</v>
      </c>
      <c r="I274">
        <v>24</v>
      </c>
      <c r="J274">
        <v>0</v>
      </c>
      <c r="K274">
        <v>30</v>
      </c>
      <c r="L274">
        <v>-6</v>
      </c>
      <c r="M274">
        <v>5</v>
      </c>
      <c r="N274">
        <v>-11</v>
      </c>
      <c r="O274" s="28">
        <v>46278</v>
      </c>
      <c r="P274">
        <v>18.2</v>
      </c>
      <c r="Q274">
        <v>-200.2</v>
      </c>
      <c r="R274">
        <v>11</v>
      </c>
      <c r="S274">
        <v>3</v>
      </c>
      <c r="T274">
        <v>12</v>
      </c>
      <c r="U274">
        <v>14</v>
      </c>
      <c r="V274">
        <v>20260914003</v>
      </c>
    </row>
    <row r="275" spans="1:22" x14ac:dyDescent="0.2">
      <c r="A275" s="34" t="s">
        <v>122</v>
      </c>
      <c r="B275" s="28">
        <v>46279</v>
      </c>
      <c r="C275" s="34"/>
      <c r="D275" s="34" t="s">
        <v>339</v>
      </c>
      <c r="E275" s="34" t="s">
        <v>152</v>
      </c>
      <c r="F275" s="34" t="s">
        <v>153</v>
      </c>
      <c r="G275" s="34" t="s">
        <v>154</v>
      </c>
      <c r="H275" s="34" t="s">
        <v>155</v>
      </c>
      <c r="I275">
        <v>10</v>
      </c>
      <c r="J275">
        <v>0</v>
      </c>
      <c r="K275">
        <v>17</v>
      </c>
      <c r="L275">
        <v>-7</v>
      </c>
      <c r="M275">
        <v>3</v>
      </c>
      <c r="N275">
        <v>-10</v>
      </c>
      <c r="O275" s="28">
        <v>46278</v>
      </c>
      <c r="P275">
        <v>12.8</v>
      </c>
      <c r="Q275">
        <v>-128</v>
      </c>
      <c r="R275">
        <v>10</v>
      </c>
      <c r="S275">
        <v>4</v>
      </c>
      <c r="T275">
        <v>12</v>
      </c>
      <c r="U275">
        <v>8</v>
      </c>
      <c r="V275">
        <v>20260914004</v>
      </c>
    </row>
    <row r="276" spans="1:22" x14ac:dyDescent="0.2">
      <c r="A276" s="34" t="s">
        <v>122</v>
      </c>
      <c r="B276" s="28">
        <v>46279</v>
      </c>
      <c r="C276" s="34"/>
      <c r="D276" s="34" t="s">
        <v>339</v>
      </c>
      <c r="E276" s="34" t="s">
        <v>208</v>
      </c>
      <c r="F276" s="34" t="s">
        <v>209</v>
      </c>
      <c r="G276" s="34" t="s">
        <v>210</v>
      </c>
      <c r="H276" s="34" t="s">
        <v>211</v>
      </c>
      <c r="I276">
        <v>7</v>
      </c>
      <c r="J276">
        <v>0</v>
      </c>
      <c r="K276">
        <v>14</v>
      </c>
      <c r="L276">
        <v>-7</v>
      </c>
      <c r="M276">
        <v>3</v>
      </c>
      <c r="N276">
        <v>-10</v>
      </c>
      <c r="O276" s="28">
        <v>46278</v>
      </c>
      <c r="P276">
        <v>12.7</v>
      </c>
      <c r="Q276">
        <v>-127</v>
      </c>
      <c r="R276">
        <v>10</v>
      </c>
      <c r="S276">
        <v>5</v>
      </c>
      <c r="T276">
        <v>12</v>
      </c>
      <c r="U276">
        <v>26</v>
      </c>
      <c r="V276">
        <v>20260914005</v>
      </c>
    </row>
    <row r="277" spans="1:22" x14ac:dyDescent="0.2">
      <c r="A277" s="34" t="s">
        <v>122</v>
      </c>
      <c r="B277" s="28">
        <v>46279</v>
      </c>
      <c r="C277" s="34"/>
      <c r="D277" s="34" t="s">
        <v>339</v>
      </c>
      <c r="E277" s="34" t="s">
        <v>212</v>
      </c>
      <c r="F277" s="34" t="s">
        <v>213</v>
      </c>
      <c r="G277" s="34" t="s">
        <v>214</v>
      </c>
      <c r="H277" s="34" t="s">
        <v>215</v>
      </c>
      <c r="I277">
        <v>10</v>
      </c>
      <c r="J277">
        <v>0</v>
      </c>
      <c r="K277">
        <v>15</v>
      </c>
      <c r="L277">
        <v>-5</v>
      </c>
      <c r="M277">
        <v>5</v>
      </c>
      <c r="N277">
        <v>-10</v>
      </c>
      <c r="O277" s="28">
        <v>46278</v>
      </c>
      <c r="P277">
        <v>12.7</v>
      </c>
      <c r="Q277">
        <v>-127</v>
      </c>
      <c r="R277">
        <v>10</v>
      </c>
      <c r="S277">
        <v>6</v>
      </c>
      <c r="T277">
        <v>12</v>
      </c>
      <c r="U277">
        <v>27</v>
      </c>
      <c r="V277">
        <v>20260914006</v>
      </c>
    </row>
    <row r="278" spans="1:22" x14ac:dyDescent="0.2">
      <c r="A278" s="34" t="s">
        <v>122</v>
      </c>
      <c r="B278" s="28">
        <v>46279</v>
      </c>
      <c r="C278" s="34"/>
      <c r="D278" s="34" t="s">
        <v>339</v>
      </c>
      <c r="E278" s="34" t="s">
        <v>228</v>
      </c>
      <c r="F278" s="34" t="s">
        <v>229</v>
      </c>
      <c r="G278" s="34" t="s">
        <v>230</v>
      </c>
      <c r="H278" s="34" t="s">
        <v>231</v>
      </c>
      <c r="I278">
        <v>12</v>
      </c>
      <c r="J278">
        <v>0</v>
      </c>
      <c r="K278">
        <v>13</v>
      </c>
      <c r="L278">
        <v>-1</v>
      </c>
      <c r="M278">
        <v>9</v>
      </c>
      <c r="N278">
        <v>-10</v>
      </c>
      <c r="O278" s="28">
        <v>46278</v>
      </c>
      <c r="P278">
        <v>17.899999999999999</v>
      </c>
      <c r="Q278">
        <v>-179</v>
      </c>
      <c r="R278">
        <v>10</v>
      </c>
      <c r="S278">
        <v>7</v>
      </c>
      <c r="T278">
        <v>12</v>
      </c>
      <c r="U278">
        <v>31</v>
      </c>
      <c r="V278">
        <v>20260914007</v>
      </c>
    </row>
    <row r="279" spans="1:22" x14ac:dyDescent="0.2">
      <c r="A279" s="34" t="s">
        <v>122</v>
      </c>
      <c r="B279" s="28">
        <v>46279</v>
      </c>
      <c r="C279" s="34"/>
      <c r="D279" s="34" t="s">
        <v>339</v>
      </c>
      <c r="E279" s="34" t="s">
        <v>240</v>
      </c>
      <c r="F279" s="34" t="s">
        <v>241</v>
      </c>
      <c r="G279" s="34" t="s">
        <v>242</v>
      </c>
      <c r="H279" s="34" t="s">
        <v>243</v>
      </c>
      <c r="I279">
        <v>9</v>
      </c>
      <c r="J279">
        <v>0</v>
      </c>
      <c r="K279">
        <v>19</v>
      </c>
      <c r="L279">
        <v>-10</v>
      </c>
      <c r="M279">
        <v>0</v>
      </c>
      <c r="N279">
        <v>-10</v>
      </c>
      <c r="O279" s="28">
        <v>46278</v>
      </c>
      <c r="R279">
        <v>10</v>
      </c>
      <c r="S279">
        <v>8</v>
      </c>
      <c r="T279">
        <v>12</v>
      </c>
      <c r="U279">
        <v>34</v>
      </c>
      <c r="V279">
        <v>20260914008</v>
      </c>
    </row>
    <row r="280" spans="1:22" x14ac:dyDescent="0.2">
      <c r="A280" s="34" t="s">
        <v>122</v>
      </c>
      <c r="B280" s="28">
        <v>46279</v>
      </c>
      <c r="C280" s="34"/>
      <c r="D280" s="34" t="s">
        <v>339</v>
      </c>
      <c r="E280" s="34" t="s">
        <v>252</v>
      </c>
      <c r="F280" s="34" t="s">
        <v>253</v>
      </c>
      <c r="G280" s="34" t="s">
        <v>254</v>
      </c>
      <c r="H280" s="34" t="s">
        <v>255</v>
      </c>
      <c r="I280">
        <v>17</v>
      </c>
      <c r="J280">
        <v>0</v>
      </c>
      <c r="K280">
        <v>12</v>
      </c>
      <c r="L280">
        <v>5</v>
      </c>
      <c r="M280">
        <v>15</v>
      </c>
      <c r="N280">
        <v>-10</v>
      </c>
      <c r="O280" s="28">
        <v>46278</v>
      </c>
      <c r="P280">
        <v>18.399999999999999</v>
      </c>
      <c r="Q280">
        <v>-184</v>
      </c>
      <c r="R280">
        <v>10</v>
      </c>
      <c r="S280">
        <v>9</v>
      </c>
      <c r="T280">
        <v>12</v>
      </c>
      <c r="U280">
        <v>37</v>
      </c>
      <c r="V280">
        <v>20260914009</v>
      </c>
    </row>
    <row r="281" spans="1:22" x14ac:dyDescent="0.2">
      <c r="A281" s="34" t="s">
        <v>122</v>
      </c>
      <c r="B281" s="28">
        <v>46279</v>
      </c>
      <c r="C281" s="34"/>
      <c r="D281" s="34" t="s">
        <v>339</v>
      </c>
      <c r="E281" s="34" t="s">
        <v>272</v>
      </c>
      <c r="F281" s="34" t="s">
        <v>341</v>
      </c>
      <c r="G281" s="34" t="s">
        <v>273</v>
      </c>
      <c r="H281" s="34" t="s">
        <v>274</v>
      </c>
      <c r="I281">
        <v>3</v>
      </c>
      <c r="J281">
        <v>0</v>
      </c>
      <c r="K281">
        <v>11</v>
      </c>
      <c r="L281">
        <v>-8</v>
      </c>
      <c r="M281">
        <v>2</v>
      </c>
      <c r="N281">
        <v>-10</v>
      </c>
      <c r="O281" s="28">
        <v>46278</v>
      </c>
      <c r="P281">
        <v>18.399999999999999</v>
      </c>
      <c r="Q281">
        <v>-184</v>
      </c>
      <c r="R281">
        <v>10</v>
      </c>
      <c r="S281">
        <v>10</v>
      </c>
      <c r="T281">
        <v>12</v>
      </c>
      <c r="U281">
        <v>42</v>
      </c>
      <c r="V281">
        <v>20260914010</v>
      </c>
    </row>
    <row r="282" spans="1:22" x14ac:dyDescent="0.2">
      <c r="A282" s="34" t="s">
        <v>122</v>
      </c>
      <c r="B282" s="28">
        <v>46279</v>
      </c>
      <c r="C282" s="34"/>
      <c r="D282" s="34" t="s">
        <v>339</v>
      </c>
      <c r="E282" s="34" t="s">
        <v>310</v>
      </c>
      <c r="F282" s="34" t="s">
        <v>311</v>
      </c>
      <c r="G282" s="34" t="s">
        <v>312</v>
      </c>
      <c r="H282" s="34" t="s">
        <v>313</v>
      </c>
      <c r="I282">
        <v>3</v>
      </c>
      <c r="J282">
        <v>0</v>
      </c>
      <c r="K282">
        <v>7</v>
      </c>
      <c r="L282">
        <v>-4</v>
      </c>
      <c r="M282">
        <v>6</v>
      </c>
      <c r="N282">
        <v>-10</v>
      </c>
      <c r="O282" s="28">
        <v>46278</v>
      </c>
      <c r="P282">
        <v>12.9</v>
      </c>
      <c r="Q282">
        <v>-129</v>
      </c>
      <c r="R282">
        <v>10</v>
      </c>
      <c r="S282">
        <v>11</v>
      </c>
      <c r="T282">
        <v>12</v>
      </c>
      <c r="U282">
        <v>52</v>
      </c>
      <c r="V282">
        <v>20260914011</v>
      </c>
    </row>
    <row r="283" spans="1:22" x14ac:dyDescent="0.2">
      <c r="A283" s="34" t="s">
        <v>122</v>
      </c>
      <c r="B283" s="28">
        <v>46279</v>
      </c>
      <c r="C283" s="34"/>
      <c r="D283" s="34" t="s">
        <v>339</v>
      </c>
      <c r="E283" s="34" t="s">
        <v>204</v>
      </c>
      <c r="F283" s="34" t="s">
        <v>205</v>
      </c>
      <c r="G283" s="34" t="s">
        <v>206</v>
      </c>
      <c r="H283" s="34" t="s">
        <v>207</v>
      </c>
      <c r="I283">
        <v>12</v>
      </c>
      <c r="J283">
        <v>0</v>
      </c>
      <c r="K283">
        <v>8</v>
      </c>
      <c r="L283">
        <v>4</v>
      </c>
      <c r="M283">
        <v>6</v>
      </c>
      <c r="N283">
        <v>-2</v>
      </c>
      <c r="O283" s="28">
        <v>46278</v>
      </c>
      <c r="P283">
        <v>12.7</v>
      </c>
      <c r="Q283">
        <v>-25.4</v>
      </c>
      <c r="R283">
        <v>2</v>
      </c>
      <c r="S283">
        <v>12</v>
      </c>
      <c r="T283">
        <v>12</v>
      </c>
      <c r="U283">
        <v>25</v>
      </c>
      <c r="V283">
        <v>20260914012</v>
      </c>
    </row>
    <row r="284" spans="1:22" x14ac:dyDescent="0.2">
      <c r="A284" s="34" t="s">
        <v>122</v>
      </c>
      <c r="B284" s="28">
        <v>46279</v>
      </c>
      <c r="C284" s="34"/>
      <c r="D284" s="34" t="s">
        <v>339</v>
      </c>
      <c r="E284" s="34" t="s">
        <v>275</v>
      </c>
      <c r="F284" s="34" t="s">
        <v>276</v>
      </c>
      <c r="G284" s="34" t="s">
        <v>277</v>
      </c>
      <c r="H284" s="34" t="s">
        <v>278</v>
      </c>
      <c r="I284">
        <v>6</v>
      </c>
      <c r="J284">
        <v>0</v>
      </c>
      <c r="K284">
        <v>3</v>
      </c>
      <c r="L284">
        <v>3</v>
      </c>
      <c r="M284">
        <v>1</v>
      </c>
      <c r="N284">
        <v>2</v>
      </c>
      <c r="O284" s="28">
        <v>46278</v>
      </c>
      <c r="P284">
        <v>18.399999999999999</v>
      </c>
      <c r="Q284">
        <v>36.799999999999997</v>
      </c>
      <c r="R284">
        <v>2</v>
      </c>
      <c r="S284">
        <v>13</v>
      </c>
      <c r="T284">
        <v>12</v>
      </c>
      <c r="U284">
        <v>43</v>
      </c>
      <c r="V284">
        <v>20260914013</v>
      </c>
    </row>
    <row r="285" spans="1:22" x14ac:dyDescent="0.2">
      <c r="A285" s="34" t="s">
        <v>122</v>
      </c>
      <c r="B285" s="28">
        <v>46279</v>
      </c>
      <c r="C285" s="34"/>
      <c r="D285" s="34" t="s">
        <v>339</v>
      </c>
      <c r="E285" s="34" t="s">
        <v>124</v>
      </c>
      <c r="F285" s="34" t="s">
        <v>125</v>
      </c>
      <c r="G285" s="34" t="s">
        <v>126</v>
      </c>
      <c r="H285" s="34" t="s">
        <v>127</v>
      </c>
      <c r="I285">
        <v>6</v>
      </c>
      <c r="J285">
        <v>0</v>
      </c>
      <c r="K285">
        <v>6</v>
      </c>
      <c r="L285">
        <v>0</v>
      </c>
      <c r="M285">
        <v>0</v>
      </c>
      <c r="N285">
        <v>0</v>
      </c>
      <c r="O285" s="28">
        <v>46278</v>
      </c>
      <c r="R285">
        <v>0</v>
      </c>
      <c r="S285">
        <v>14</v>
      </c>
      <c r="T285">
        <v>12</v>
      </c>
      <c r="U285">
        <v>1</v>
      </c>
      <c r="V285">
        <v>20260914014</v>
      </c>
    </row>
    <row r="286" spans="1:22" x14ac:dyDescent="0.2">
      <c r="A286" s="34" t="s">
        <v>122</v>
      </c>
      <c r="B286" s="28">
        <v>46279</v>
      </c>
      <c r="C286" s="34"/>
      <c r="D286" s="34" t="s">
        <v>339</v>
      </c>
      <c r="E286" s="34" t="s">
        <v>128</v>
      </c>
      <c r="F286" s="34" t="s">
        <v>129</v>
      </c>
      <c r="G286" s="34" t="s">
        <v>130</v>
      </c>
      <c r="H286" s="34" t="s">
        <v>131</v>
      </c>
      <c r="I286">
        <v>5</v>
      </c>
      <c r="J286">
        <v>0</v>
      </c>
      <c r="K286">
        <v>5</v>
      </c>
      <c r="L286">
        <v>0</v>
      </c>
      <c r="M286">
        <v>0</v>
      </c>
      <c r="N286">
        <v>0</v>
      </c>
      <c r="O286" s="28">
        <v>46278</v>
      </c>
      <c r="R286">
        <v>0</v>
      </c>
      <c r="S286">
        <v>15</v>
      </c>
      <c r="T286">
        <v>12</v>
      </c>
      <c r="U286">
        <v>2</v>
      </c>
      <c r="V286">
        <v>20260914015</v>
      </c>
    </row>
    <row r="287" spans="1:22" x14ac:dyDescent="0.2">
      <c r="A287" s="34" t="s">
        <v>122</v>
      </c>
      <c r="B287" s="28">
        <v>46279</v>
      </c>
      <c r="C287" s="34"/>
      <c r="D287" s="34" t="s">
        <v>339</v>
      </c>
      <c r="E287" s="34" t="s">
        <v>132</v>
      </c>
      <c r="F287" s="34" t="s">
        <v>133</v>
      </c>
      <c r="G287" s="34" t="s">
        <v>134</v>
      </c>
      <c r="H287" s="34" t="s">
        <v>135</v>
      </c>
      <c r="I287">
        <v>4</v>
      </c>
      <c r="J287">
        <v>0</v>
      </c>
      <c r="K287">
        <v>4</v>
      </c>
      <c r="L287">
        <v>0</v>
      </c>
      <c r="M287">
        <v>0</v>
      </c>
      <c r="N287">
        <v>0</v>
      </c>
      <c r="O287" s="28">
        <v>46278</v>
      </c>
      <c r="R287">
        <v>0</v>
      </c>
      <c r="S287">
        <v>16</v>
      </c>
      <c r="T287">
        <v>12</v>
      </c>
      <c r="U287">
        <v>3</v>
      </c>
      <c r="V287">
        <v>20260914016</v>
      </c>
    </row>
    <row r="288" spans="1:22" x14ac:dyDescent="0.2">
      <c r="A288" s="34" t="s">
        <v>122</v>
      </c>
      <c r="B288" s="28">
        <v>46279</v>
      </c>
      <c r="C288" s="34"/>
      <c r="D288" s="34" t="s">
        <v>339</v>
      </c>
      <c r="E288" s="34" t="s">
        <v>136</v>
      </c>
      <c r="F288" s="34" t="s">
        <v>137</v>
      </c>
      <c r="G288" s="34" t="s">
        <v>138</v>
      </c>
      <c r="H288" s="34" t="s">
        <v>139</v>
      </c>
      <c r="I288">
        <v>4</v>
      </c>
      <c r="J288">
        <v>10</v>
      </c>
      <c r="K288">
        <v>13</v>
      </c>
      <c r="L288">
        <v>1</v>
      </c>
      <c r="M288">
        <v>1</v>
      </c>
      <c r="N288">
        <v>0</v>
      </c>
      <c r="O288" s="28">
        <v>46278</v>
      </c>
      <c r="P288">
        <v>12.8</v>
      </c>
      <c r="Q288">
        <v>0</v>
      </c>
      <c r="R288">
        <v>0</v>
      </c>
      <c r="S288">
        <v>17</v>
      </c>
      <c r="T288">
        <v>12</v>
      </c>
      <c r="U288">
        <v>4</v>
      </c>
      <c r="V288">
        <v>20260914017</v>
      </c>
    </row>
    <row r="289" spans="1:22" x14ac:dyDescent="0.2">
      <c r="A289" s="34" t="s">
        <v>122</v>
      </c>
      <c r="B289" s="28">
        <v>46279</v>
      </c>
      <c r="C289" s="34"/>
      <c r="D289" s="34" t="s">
        <v>339</v>
      </c>
      <c r="E289" s="34" t="s">
        <v>140</v>
      </c>
      <c r="F289" s="34" t="s">
        <v>141</v>
      </c>
      <c r="G289" s="34" t="s">
        <v>142</v>
      </c>
      <c r="H289" s="34" t="s">
        <v>143</v>
      </c>
      <c r="I289">
        <v>4</v>
      </c>
      <c r="J289">
        <v>0</v>
      </c>
      <c r="K289">
        <v>4</v>
      </c>
      <c r="L289">
        <v>0</v>
      </c>
      <c r="M289">
        <v>0</v>
      </c>
      <c r="N289">
        <v>0</v>
      </c>
      <c r="O289" s="28">
        <v>46278</v>
      </c>
      <c r="R289">
        <v>0</v>
      </c>
      <c r="S289">
        <v>18</v>
      </c>
      <c r="T289">
        <v>12</v>
      </c>
      <c r="U289">
        <v>5</v>
      </c>
      <c r="V289">
        <v>20260914018</v>
      </c>
    </row>
    <row r="290" spans="1:22" x14ac:dyDescent="0.2">
      <c r="A290" s="34" t="s">
        <v>122</v>
      </c>
      <c r="B290" s="28">
        <v>46279</v>
      </c>
      <c r="C290" s="34"/>
      <c r="D290" s="34" t="s">
        <v>339</v>
      </c>
      <c r="E290" s="34" t="s">
        <v>144</v>
      </c>
      <c r="F290" s="34" t="s">
        <v>145</v>
      </c>
      <c r="G290" s="34" t="s">
        <v>146</v>
      </c>
      <c r="H290" s="34" t="s">
        <v>147</v>
      </c>
      <c r="I290">
        <v>5</v>
      </c>
      <c r="J290">
        <v>0</v>
      </c>
      <c r="K290">
        <v>5</v>
      </c>
      <c r="L290">
        <v>0</v>
      </c>
      <c r="M290">
        <v>0</v>
      </c>
      <c r="N290">
        <v>0</v>
      </c>
      <c r="O290" s="28">
        <v>46278</v>
      </c>
      <c r="R290">
        <v>0</v>
      </c>
      <c r="S290">
        <v>19</v>
      </c>
      <c r="T290">
        <v>12</v>
      </c>
      <c r="U290">
        <v>6</v>
      </c>
      <c r="V290">
        <v>20260914019</v>
      </c>
    </row>
    <row r="291" spans="1:22" x14ac:dyDescent="0.2">
      <c r="A291" s="34" t="s">
        <v>122</v>
      </c>
      <c r="B291" s="28">
        <v>46279</v>
      </c>
      <c r="C291" s="34"/>
      <c r="D291" s="34" t="s">
        <v>339</v>
      </c>
      <c r="E291" s="34" t="s">
        <v>148</v>
      </c>
      <c r="F291" s="34" t="s">
        <v>149</v>
      </c>
      <c r="G291" s="34" t="s">
        <v>150</v>
      </c>
      <c r="H291" s="34" t="s">
        <v>151</v>
      </c>
      <c r="I291">
        <v>4</v>
      </c>
      <c r="J291">
        <v>0</v>
      </c>
      <c r="K291">
        <v>4</v>
      </c>
      <c r="L291">
        <v>0</v>
      </c>
      <c r="M291">
        <v>0</v>
      </c>
      <c r="N291">
        <v>0</v>
      </c>
      <c r="O291" s="28">
        <v>46278</v>
      </c>
      <c r="R291">
        <v>0</v>
      </c>
      <c r="S291">
        <v>20</v>
      </c>
      <c r="T291">
        <v>12</v>
      </c>
      <c r="U291">
        <v>7</v>
      </c>
      <c r="V291">
        <v>20260914020</v>
      </c>
    </row>
    <row r="292" spans="1:22" x14ac:dyDescent="0.2">
      <c r="A292" s="34" t="s">
        <v>122</v>
      </c>
      <c r="B292" s="28">
        <v>46279</v>
      </c>
      <c r="C292" s="34"/>
      <c r="D292" s="34" t="s">
        <v>339</v>
      </c>
      <c r="E292" s="34" t="s">
        <v>156</v>
      </c>
      <c r="F292" s="34" t="s">
        <v>157</v>
      </c>
      <c r="G292" s="34" t="s">
        <v>158</v>
      </c>
      <c r="H292" s="34" t="s">
        <v>159</v>
      </c>
      <c r="I292">
        <v>22</v>
      </c>
      <c r="J292">
        <v>0</v>
      </c>
      <c r="K292">
        <v>17</v>
      </c>
      <c r="L292">
        <v>5</v>
      </c>
      <c r="M292">
        <v>5</v>
      </c>
      <c r="N292">
        <v>0</v>
      </c>
      <c r="O292" s="28">
        <v>46278</v>
      </c>
      <c r="P292">
        <v>18.2</v>
      </c>
      <c r="Q292">
        <v>0</v>
      </c>
      <c r="R292">
        <v>0</v>
      </c>
      <c r="S292">
        <v>21</v>
      </c>
      <c r="T292">
        <v>12</v>
      </c>
      <c r="U292">
        <v>9</v>
      </c>
      <c r="V292">
        <v>20260914021</v>
      </c>
    </row>
    <row r="293" spans="1:22" x14ac:dyDescent="0.2">
      <c r="A293" s="34" t="s">
        <v>122</v>
      </c>
      <c r="B293" s="28">
        <v>46279</v>
      </c>
      <c r="C293" s="34"/>
      <c r="D293" s="34" t="s">
        <v>339</v>
      </c>
      <c r="E293" s="34" t="s">
        <v>160</v>
      </c>
      <c r="F293" s="34" t="s">
        <v>161</v>
      </c>
      <c r="G293" s="34" t="s">
        <v>162</v>
      </c>
      <c r="H293" s="34" t="s">
        <v>163</v>
      </c>
      <c r="I293">
        <v>8</v>
      </c>
      <c r="J293">
        <v>0</v>
      </c>
      <c r="K293">
        <v>7</v>
      </c>
      <c r="L293">
        <v>1</v>
      </c>
      <c r="M293">
        <v>1</v>
      </c>
      <c r="N293">
        <v>0</v>
      </c>
      <c r="O293" s="28">
        <v>46278</v>
      </c>
      <c r="R293">
        <v>0</v>
      </c>
      <c r="S293">
        <v>22</v>
      </c>
      <c r="T293">
        <v>12</v>
      </c>
      <c r="U293">
        <v>10</v>
      </c>
      <c r="V293">
        <v>20260914022</v>
      </c>
    </row>
    <row r="294" spans="1:22" x14ac:dyDescent="0.2">
      <c r="A294" s="34" t="s">
        <v>122</v>
      </c>
      <c r="B294" s="28">
        <v>46279</v>
      </c>
      <c r="C294" s="34"/>
      <c r="D294" s="34" t="s">
        <v>339</v>
      </c>
      <c r="E294" s="34" t="s">
        <v>168</v>
      </c>
      <c r="F294" s="34" t="s">
        <v>169</v>
      </c>
      <c r="G294" s="34" t="s">
        <v>170</v>
      </c>
      <c r="H294" s="34" t="s">
        <v>171</v>
      </c>
      <c r="I294">
        <v>15</v>
      </c>
      <c r="J294">
        <v>0</v>
      </c>
      <c r="K294">
        <v>15</v>
      </c>
      <c r="L294">
        <v>0</v>
      </c>
      <c r="M294">
        <v>0</v>
      </c>
      <c r="N294">
        <v>0</v>
      </c>
      <c r="O294" s="28">
        <v>46278</v>
      </c>
      <c r="R294">
        <v>0</v>
      </c>
      <c r="S294">
        <v>23</v>
      </c>
      <c r="T294">
        <v>12</v>
      </c>
      <c r="U294">
        <v>12</v>
      </c>
      <c r="V294">
        <v>20260914023</v>
      </c>
    </row>
    <row r="295" spans="1:22" x14ac:dyDescent="0.2">
      <c r="A295" s="34" t="s">
        <v>122</v>
      </c>
      <c r="B295" s="28">
        <v>46279</v>
      </c>
      <c r="C295" s="34"/>
      <c r="D295" s="34" t="s">
        <v>339</v>
      </c>
      <c r="E295" s="34" t="s">
        <v>172</v>
      </c>
      <c r="F295" s="34" t="s">
        <v>173</v>
      </c>
      <c r="G295" s="34" t="s">
        <v>174</v>
      </c>
      <c r="H295" s="34" t="s">
        <v>175</v>
      </c>
      <c r="I295">
        <v>18</v>
      </c>
      <c r="J295">
        <v>0</v>
      </c>
      <c r="K295">
        <v>16</v>
      </c>
      <c r="L295">
        <v>2</v>
      </c>
      <c r="M295">
        <v>2</v>
      </c>
      <c r="N295">
        <v>0</v>
      </c>
      <c r="O295" s="28">
        <v>46278</v>
      </c>
      <c r="P295">
        <v>18.2</v>
      </c>
      <c r="Q295">
        <v>0</v>
      </c>
      <c r="R295">
        <v>0</v>
      </c>
      <c r="S295">
        <v>24</v>
      </c>
      <c r="T295">
        <v>12</v>
      </c>
      <c r="U295">
        <v>13</v>
      </c>
      <c r="V295">
        <v>20260914024</v>
      </c>
    </row>
    <row r="296" spans="1:22" x14ac:dyDescent="0.2">
      <c r="A296" s="34" t="s">
        <v>122</v>
      </c>
      <c r="B296" s="28">
        <v>46279</v>
      </c>
      <c r="C296" s="34"/>
      <c r="D296" s="34" t="s">
        <v>339</v>
      </c>
      <c r="E296" s="34" t="s">
        <v>180</v>
      </c>
      <c r="F296" s="34" t="s">
        <v>181</v>
      </c>
      <c r="G296" s="34" t="s">
        <v>182</v>
      </c>
      <c r="H296" s="34" t="s">
        <v>183</v>
      </c>
      <c r="I296">
        <v>12</v>
      </c>
      <c r="J296">
        <v>0</v>
      </c>
      <c r="K296">
        <v>12</v>
      </c>
      <c r="L296">
        <v>0</v>
      </c>
      <c r="M296">
        <v>0</v>
      </c>
      <c r="N296">
        <v>0</v>
      </c>
      <c r="O296" s="28">
        <v>46278</v>
      </c>
      <c r="R296">
        <v>0</v>
      </c>
      <c r="S296">
        <v>25</v>
      </c>
      <c r="T296">
        <v>12</v>
      </c>
      <c r="U296">
        <v>15</v>
      </c>
      <c r="V296">
        <v>20260914025</v>
      </c>
    </row>
    <row r="297" spans="1:22" x14ac:dyDescent="0.2">
      <c r="A297" s="34" t="s">
        <v>122</v>
      </c>
      <c r="B297" s="28">
        <v>46279</v>
      </c>
      <c r="C297" s="34"/>
      <c r="D297" s="34" t="s">
        <v>339</v>
      </c>
      <c r="E297" s="34" t="s">
        <v>184</v>
      </c>
      <c r="F297" s="34" t="s">
        <v>185</v>
      </c>
      <c r="G297" s="34" t="s">
        <v>186</v>
      </c>
      <c r="H297" s="34" t="s">
        <v>187</v>
      </c>
      <c r="I297">
        <v>15</v>
      </c>
      <c r="J297">
        <v>0</v>
      </c>
      <c r="K297">
        <v>14</v>
      </c>
      <c r="L297">
        <v>1</v>
      </c>
      <c r="M297">
        <v>1</v>
      </c>
      <c r="N297">
        <v>0</v>
      </c>
      <c r="O297" s="28">
        <v>46278</v>
      </c>
      <c r="R297">
        <v>0</v>
      </c>
      <c r="S297">
        <v>26</v>
      </c>
      <c r="T297">
        <v>12</v>
      </c>
      <c r="U297">
        <v>16</v>
      </c>
      <c r="V297">
        <v>20260914026</v>
      </c>
    </row>
    <row r="298" spans="1:22" x14ac:dyDescent="0.2">
      <c r="A298" s="34" t="s">
        <v>122</v>
      </c>
      <c r="B298" s="28">
        <v>46279</v>
      </c>
      <c r="C298" s="34"/>
      <c r="D298" s="34" t="s">
        <v>339</v>
      </c>
      <c r="E298" s="34" t="s">
        <v>188</v>
      </c>
      <c r="F298" s="34" t="s">
        <v>189</v>
      </c>
      <c r="G298" s="34" t="s">
        <v>190</v>
      </c>
      <c r="H298" s="34" t="s">
        <v>191</v>
      </c>
      <c r="I298">
        <v>7</v>
      </c>
      <c r="J298">
        <v>0</v>
      </c>
      <c r="K298">
        <v>5</v>
      </c>
      <c r="L298">
        <v>2</v>
      </c>
      <c r="M298">
        <v>2</v>
      </c>
      <c r="N298">
        <v>0</v>
      </c>
      <c r="O298" s="28">
        <v>46278</v>
      </c>
      <c r="P298">
        <v>14</v>
      </c>
      <c r="Q298">
        <v>0</v>
      </c>
      <c r="R298">
        <v>0</v>
      </c>
      <c r="S298">
        <v>27</v>
      </c>
      <c r="T298">
        <v>12</v>
      </c>
      <c r="U298">
        <v>21</v>
      </c>
      <c r="V298">
        <v>20260914027</v>
      </c>
    </row>
    <row r="299" spans="1:22" x14ac:dyDescent="0.2">
      <c r="A299" s="34" t="s">
        <v>122</v>
      </c>
      <c r="B299" s="28">
        <v>46279</v>
      </c>
      <c r="C299" s="34"/>
      <c r="D299" s="34" t="s">
        <v>339</v>
      </c>
      <c r="E299" s="34" t="s">
        <v>192</v>
      </c>
      <c r="F299" s="34" t="s">
        <v>193</v>
      </c>
      <c r="G299" s="34" t="s">
        <v>194</v>
      </c>
      <c r="H299" s="34" t="s">
        <v>195</v>
      </c>
      <c r="I299">
        <v>4</v>
      </c>
      <c r="J299">
        <v>0</v>
      </c>
      <c r="K299">
        <v>4</v>
      </c>
      <c r="L299">
        <v>0</v>
      </c>
      <c r="M299">
        <v>0</v>
      </c>
      <c r="N299">
        <v>0</v>
      </c>
      <c r="O299" s="28">
        <v>46278</v>
      </c>
      <c r="R299">
        <v>0</v>
      </c>
      <c r="S299">
        <v>28</v>
      </c>
      <c r="T299">
        <v>12</v>
      </c>
      <c r="U299">
        <v>22</v>
      </c>
      <c r="V299">
        <v>20260914028</v>
      </c>
    </row>
    <row r="300" spans="1:22" x14ac:dyDescent="0.2">
      <c r="A300" s="34" t="s">
        <v>122</v>
      </c>
      <c r="B300" s="28">
        <v>46279</v>
      </c>
      <c r="C300" s="34"/>
      <c r="D300" s="34" t="s">
        <v>339</v>
      </c>
      <c r="E300" s="34" t="s">
        <v>196</v>
      </c>
      <c r="F300" s="34" t="s">
        <v>197</v>
      </c>
      <c r="G300" s="34" t="s">
        <v>198</v>
      </c>
      <c r="H300" s="34" t="s">
        <v>199</v>
      </c>
      <c r="I300">
        <v>5</v>
      </c>
      <c r="J300">
        <v>0</v>
      </c>
      <c r="K300">
        <v>4</v>
      </c>
      <c r="L300">
        <v>1</v>
      </c>
      <c r="M300">
        <v>1</v>
      </c>
      <c r="N300">
        <v>0</v>
      </c>
      <c r="O300" s="28">
        <v>46278</v>
      </c>
      <c r="P300">
        <v>12.7</v>
      </c>
      <c r="Q300">
        <v>0</v>
      </c>
      <c r="R300">
        <v>0</v>
      </c>
      <c r="S300">
        <v>29</v>
      </c>
      <c r="T300">
        <v>12</v>
      </c>
      <c r="U300">
        <v>23</v>
      </c>
      <c r="V300">
        <v>20260914029</v>
      </c>
    </row>
    <row r="301" spans="1:22" x14ac:dyDescent="0.2">
      <c r="A301" s="34" t="s">
        <v>122</v>
      </c>
      <c r="B301" s="28">
        <v>46279</v>
      </c>
      <c r="C301" s="34"/>
      <c r="D301" s="34" t="s">
        <v>339</v>
      </c>
      <c r="E301" s="34" t="s">
        <v>200</v>
      </c>
      <c r="F301" s="34" t="s">
        <v>201</v>
      </c>
      <c r="G301" s="34" t="s">
        <v>202</v>
      </c>
      <c r="H301" s="34" t="s">
        <v>203</v>
      </c>
      <c r="I301">
        <v>24</v>
      </c>
      <c r="J301">
        <v>10</v>
      </c>
      <c r="K301">
        <v>21</v>
      </c>
      <c r="L301">
        <v>13</v>
      </c>
      <c r="M301">
        <v>13</v>
      </c>
      <c r="N301">
        <v>0</v>
      </c>
      <c r="O301" s="28">
        <v>46278</v>
      </c>
      <c r="P301">
        <v>12.7</v>
      </c>
      <c r="Q301">
        <v>0</v>
      </c>
      <c r="R301">
        <v>0</v>
      </c>
      <c r="S301">
        <v>30</v>
      </c>
      <c r="T301">
        <v>12</v>
      </c>
      <c r="U301">
        <v>24</v>
      </c>
      <c r="V301">
        <v>20260914030</v>
      </c>
    </row>
    <row r="302" spans="1:22" x14ac:dyDescent="0.2">
      <c r="A302" s="34" t="s">
        <v>122</v>
      </c>
      <c r="B302" s="28">
        <v>46279</v>
      </c>
      <c r="C302" s="34"/>
      <c r="D302" s="34" t="s">
        <v>339</v>
      </c>
      <c r="E302" s="34" t="s">
        <v>216</v>
      </c>
      <c r="F302" s="34" t="s">
        <v>217</v>
      </c>
      <c r="G302" s="34" t="s">
        <v>218</v>
      </c>
      <c r="H302" s="34" t="s">
        <v>219</v>
      </c>
      <c r="I302">
        <v>9</v>
      </c>
      <c r="J302">
        <v>0</v>
      </c>
      <c r="K302">
        <v>6</v>
      </c>
      <c r="L302">
        <v>3</v>
      </c>
      <c r="M302">
        <v>3</v>
      </c>
      <c r="N302">
        <v>0</v>
      </c>
      <c r="O302" s="28">
        <v>46278</v>
      </c>
      <c r="P302">
        <v>12.7</v>
      </c>
      <c r="Q302">
        <v>0</v>
      </c>
      <c r="R302">
        <v>0</v>
      </c>
      <c r="S302">
        <v>31</v>
      </c>
      <c r="T302">
        <v>12</v>
      </c>
      <c r="U302">
        <v>28</v>
      </c>
      <c r="V302">
        <v>20260914031</v>
      </c>
    </row>
    <row r="303" spans="1:22" x14ac:dyDescent="0.2">
      <c r="A303" s="34" t="s">
        <v>122</v>
      </c>
      <c r="B303" s="28">
        <v>46279</v>
      </c>
      <c r="C303" s="34"/>
      <c r="D303" s="34" t="s">
        <v>339</v>
      </c>
      <c r="E303" s="34" t="s">
        <v>220</v>
      </c>
      <c r="F303" s="34" t="s">
        <v>221</v>
      </c>
      <c r="G303" s="34" t="s">
        <v>222</v>
      </c>
      <c r="H303" s="34" t="s">
        <v>223</v>
      </c>
      <c r="I303">
        <v>13</v>
      </c>
      <c r="J303">
        <v>0</v>
      </c>
      <c r="K303">
        <v>13</v>
      </c>
      <c r="L303">
        <v>0</v>
      </c>
      <c r="M303">
        <v>0</v>
      </c>
      <c r="N303">
        <v>0</v>
      </c>
      <c r="O303" s="28">
        <v>46278</v>
      </c>
      <c r="R303">
        <v>0</v>
      </c>
      <c r="S303">
        <v>32</v>
      </c>
      <c r="T303">
        <v>12</v>
      </c>
      <c r="U303">
        <v>29</v>
      </c>
      <c r="V303">
        <v>20260914032</v>
      </c>
    </row>
    <row r="304" spans="1:22" x14ac:dyDescent="0.2">
      <c r="A304" s="34" t="s">
        <v>122</v>
      </c>
      <c r="B304" s="28">
        <v>46279</v>
      </c>
      <c r="C304" s="34"/>
      <c r="D304" s="34" t="s">
        <v>339</v>
      </c>
      <c r="E304" s="34" t="s">
        <v>224</v>
      </c>
      <c r="F304" s="34" t="s">
        <v>225</v>
      </c>
      <c r="G304" s="34" t="s">
        <v>226</v>
      </c>
      <c r="H304" s="34" t="s">
        <v>227</v>
      </c>
      <c r="I304">
        <v>6</v>
      </c>
      <c r="J304">
        <v>0</v>
      </c>
      <c r="K304">
        <v>6</v>
      </c>
      <c r="L304">
        <v>0</v>
      </c>
      <c r="M304">
        <v>0</v>
      </c>
      <c r="N304">
        <v>0</v>
      </c>
      <c r="O304" s="28">
        <v>46278</v>
      </c>
      <c r="R304">
        <v>0</v>
      </c>
      <c r="S304">
        <v>33</v>
      </c>
      <c r="T304">
        <v>12</v>
      </c>
      <c r="U304">
        <v>30</v>
      </c>
      <c r="V304">
        <v>20260914033</v>
      </c>
    </row>
    <row r="305" spans="1:22" x14ac:dyDescent="0.2">
      <c r="A305" s="34" t="s">
        <v>122</v>
      </c>
      <c r="B305" s="28">
        <v>46279</v>
      </c>
      <c r="C305" s="34"/>
      <c r="D305" s="34" t="s">
        <v>339</v>
      </c>
      <c r="E305" s="34" t="s">
        <v>232</v>
      </c>
      <c r="F305" s="34" t="s">
        <v>233</v>
      </c>
      <c r="G305" s="34" t="s">
        <v>234</v>
      </c>
      <c r="H305" s="34" t="s">
        <v>235</v>
      </c>
      <c r="I305">
        <v>12</v>
      </c>
      <c r="J305">
        <v>0</v>
      </c>
      <c r="K305">
        <v>11</v>
      </c>
      <c r="L305">
        <v>1</v>
      </c>
      <c r="M305">
        <v>1</v>
      </c>
      <c r="N305">
        <v>0</v>
      </c>
      <c r="O305" s="28">
        <v>46278</v>
      </c>
      <c r="P305">
        <v>17.899999999999999</v>
      </c>
      <c r="Q305">
        <v>0</v>
      </c>
      <c r="R305">
        <v>0</v>
      </c>
      <c r="S305">
        <v>34</v>
      </c>
      <c r="T305">
        <v>12</v>
      </c>
      <c r="U305">
        <v>32</v>
      </c>
      <c r="V305">
        <v>20260914034</v>
      </c>
    </row>
    <row r="306" spans="1:22" x14ac:dyDescent="0.2">
      <c r="A306" s="34" t="s">
        <v>122</v>
      </c>
      <c r="B306" s="28">
        <v>46279</v>
      </c>
      <c r="C306" s="34"/>
      <c r="D306" s="34" t="s">
        <v>339</v>
      </c>
      <c r="E306" s="34" t="s">
        <v>236</v>
      </c>
      <c r="F306" s="34" t="s">
        <v>237</v>
      </c>
      <c r="G306" s="34" t="s">
        <v>238</v>
      </c>
      <c r="H306" s="34" t="s">
        <v>239</v>
      </c>
      <c r="I306">
        <v>9</v>
      </c>
      <c r="J306">
        <v>0</v>
      </c>
      <c r="K306">
        <v>8</v>
      </c>
      <c r="L306">
        <v>1</v>
      </c>
      <c r="M306">
        <v>1</v>
      </c>
      <c r="N306">
        <v>0</v>
      </c>
      <c r="O306" s="28">
        <v>46278</v>
      </c>
      <c r="R306">
        <v>0</v>
      </c>
      <c r="S306">
        <v>35</v>
      </c>
      <c r="T306">
        <v>12</v>
      </c>
      <c r="U306">
        <v>33</v>
      </c>
      <c r="V306">
        <v>20260914035</v>
      </c>
    </row>
    <row r="307" spans="1:22" x14ac:dyDescent="0.2">
      <c r="A307" s="34" t="s">
        <v>122</v>
      </c>
      <c r="B307" s="28">
        <v>46279</v>
      </c>
      <c r="C307" s="34"/>
      <c r="D307" s="34" t="s">
        <v>339</v>
      </c>
      <c r="E307" s="34" t="s">
        <v>244</v>
      </c>
      <c r="F307" s="34" t="s">
        <v>245</v>
      </c>
      <c r="G307" s="34" t="s">
        <v>246</v>
      </c>
      <c r="H307" s="34" t="s">
        <v>247</v>
      </c>
      <c r="I307">
        <v>5</v>
      </c>
      <c r="J307">
        <v>0</v>
      </c>
      <c r="K307">
        <v>5</v>
      </c>
      <c r="L307">
        <v>0</v>
      </c>
      <c r="M307">
        <v>0</v>
      </c>
      <c r="N307">
        <v>0</v>
      </c>
      <c r="O307" s="28">
        <v>46278</v>
      </c>
      <c r="R307">
        <v>0</v>
      </c>
      <c r="S307">
        <v>36</v>
      </c>
      <c r="T307">
        <v>12</v>
      </c>
      <c r="U307">
        <v>35</v>
      </c>
      <c r="V307">
        <v>20260914036</v>
      </c>
    </row>
    <row r="308" spans="1:22" x14ac:dyDescent="0.2">
      <c r="A308" s="34" t="s">
        <v>122</v>
      </c>
      <c r="B308" s="28">
        <v>46279</v>
      </c>
      <c r="C308" s="34"/>
      <c r="D308" s="34" t="s">
        <v>339</v>
      </c>
      <c r="E308" s="34" t="s">
        <v>248</v>
      </c>
      <c r="F308" s="34" t="s">
        <v>249</v>
      </c>
      <c r="G308" s="34" t="s">
        <v>250</v>
      </c>
      <c r="H308" s="34" t="s">
        <v>251</v>
      </c>
      <c r="I308">
        <v>4</v>
      </c>
      <c r="J308">
        <v>0</v>
      </c>
      <c r="K308">
        <v>4</v>
      </c>
      <c r="L308">
        <v>0</v>
      </c>
      <c r="M308">
        <v>0</v>
      </c>
      <c r="N308">
        <v>0</v>
      </c>
      <c r="O308" s="28">
        <v>46278</v>
      </c>
      <c r="R308">
        <v>0</v>
      </c>
      <c r="S308">
        <v>37</v>
      </c>
      <c r="T308">
        <v>12</v>
      </c>
      <c r="U308">
        <v>36</v>
      </c>
      <c r="V308">
        <v>20260914037</v>
      </c>
    </row>
    <row r="309" spans="1:22" x14ac:dyDescent="0.2">
      <c r="A309" s="34" t="s">
        <v>122</v>
      </c>
      <c r="B309" s="28">
        <v>46279</v>
      </c>
      <c r="C309" s="34"/>
      <c r="D309" s="34" t="s">
        <v>339</v>
      </c>
      <c r="E309" s="34" t="s">
        <v>256</v>
      </c>
      <c r="F309" s="34" t="s">
        <v>257</v>
      </c>
      <c r="G309" s="34" t="s">
        <v>258</v>
      </c>
      <c r="H309" s="34" t="s">
        <v>259</v>
      </c>
      <c r="I309">
        <v>4</v>
      </c>
      <c r="J309">
        <v>0</v>
      </c>
      <c r="K309">
        <v>4</v>
      </c>
      <c r="L309">
        <v>0</v>
      </c>
      <c r="M309">
        <v>0</v>
      </c>
      <c r="N309">
        <v>0</v>
      </c>
      <c r="O309" s="28">
        <v>46278</v>
      </c>
      <c r="R309">
        <v>0</v>
      </c>
      <c r="S309">
        <v>38</v>
      </c>
      <c r="T309">
        <v>12</v>
      </c>
      <c r="U309">
        <v>38</v>
      </c>
      <c r="V309">
        <v>20260914038</v>
      </c>
    </row>
    <row r="310" spans="1:22" x14ac:dyDescent="0.2">
      <c r="A310" s="34" t="s">
        <v>122</v>
      </c>
      <c r="B310" s="28">
        <v>46279</v>
      </c>
      <c r="C310" s="34"/>
      <c r="D310" s="34" t="s">
        <v>339</v>
      </c>
      <c r="E310" s="34" t="s">
        <v>260</v>
      </c>
      <c r="F310" s="34" t="s">
        <v>261</v>
      </c>
      <c r="G310" s="34" t="s">
        <v>262</v>
      </c>
      <c r="H310" s="34" t="s">
        <v>263</v>
      </c>
      <c r="I310">
        <v>5</v>
      </c>
      <c r="J310">
        <v>0</v>
      </c>
      <c r="K310">
        <v>4</v>
      </c>
      <c r="L310">
        <v>1</v>
      </c>
      <c r="M310">
        <v>1</v>
      </c>
      <c r="N310">
        <v>0</v>
      </c>
      <c r="O310" s="28">
        <v>46278</v>
      </c>
      <c r="P310">
        <v>18.399999999999999</v>
      </c>
      <c r="Q310">
        <v>0</v>
      </c>
      <c r="R310">
        <v>0</v>
      </c>
      <c r="S310">
        <v>39</v>
      </c>
      <c r="T310">
        <v>12</v>
      </c>
      <c r="U310">
        <v>39</v>
      </c>
      <c r="V310">
        <v>20260914039</v>
      </c>
    </row>
    <row r="311" spans="1:22" x14ac:dyDescent="0.2">
      <c r="A311" s="34" t="s">
        <v>122</v>
      </c>
      <c r="B311" s="28">
        <v>46279</v>
      </c>
      <c r="C311" s="34"/>
      <c r="D311" s="34" t="s">
        <v>339</v>
      </c>
      <c r="E311" s="34" t="s">
        <v>264</v>
      </c>
      <c r="F311" s="34" t="s">
        <v>265</v>
      </c>
      <c r="G311" s="34" t="s">
        <v>266</v>
      </c>
      <c r="H311" s="34" t="s">
        <v>267</v>
      </c>
      <c r="I311">
        <v>7</v>
      </c>
      <c r="J311">
        <v>0</v>
      </c>
      <c r="K311">
        <v>5</v>
      </c>
      <c r="L311">
        <v>2</v>
      </c>
      <c r="M311">
        <v>2</v>
      </c>
      <c r="N311">
        <v>0</v>
      </c>
      <c r="O311" s="28">
        <v>46278</v>
      </c>
      <c r="P311">
        <v>18.399999999999999</v>
      </c>
      <c r="Q311">
        <v>0</v>
      </c>
      <c r="R311">
        <v>0</v>
      </c>
      <c r="S311">
        <v>40</v>
      </c>
      <c r="T311">
        <v>12</v>
      </c>
      <c r="U311">
        <v>40</v>
      </c>
      <c r="V311">
        <v>20260914040</v>
      </c>
    </row>
    <row r="312" spans="1:22" x14ac:dyDescent="0.2">
      <c r="A312" s="34" t="s">
        <v>122</v>
      </c>
      <c r="B312" s="28">
        <v>46279</v>
      </c>
      <c r="C312" s="34"/>
      <c r="D312" s="34" t="s">
        <v>339</v>
      </c>
      <c r="E312" s="34" t="s">
        <v>268</v>
      </c>
      <c r="F312" s="34" t="s">
        <v>269</v>
      </c>
      <c r="G312" s="34" t="s">
        <v>270</v>
      </c>
      <c r="H312" s="34" t="s">
        <v>271</v>
      </c>
      <c r="I312">
        <v>4</v>
      </c>
      <c r="J312">
        <v>0</v>
      </c>
      <c r="K312">
        <v>4</v>
      </c>
      <c r="L312">
        <v>0</v>
      </c>
      <c r="M312">
        <v>0</v>
      </c>
      <c r="N312">
        <v>0</v>
      </c>
      <c r="O312" s="28">
        <v>46278</v>
      </c>
      <c r="R312">
        <v>0</v>
      </c>
      <c r="S312">
        <v>41</v>
      </c>
      <c r="T312">
        <v>12</v>
      </c>
      <c r="U312">
        <v>41</v>
      </c>
      <c r="V312">
        <v>20260914041</v>
      </c>
    </row>
    <row r="313" spans="1:22" x14ac:dyDescent="0.2">
      <c r="A313" s="34" t="s">
        <v>122</v>
      </c>
      <c r="B313" s="28">
        <v>46279</v>
      </c>
      <c r="C313" s="34"/>
      <c r="D313" s="34" t="s">
        <v>339</v>
      </c>
      <c r="E313" s="34" t="s">
        <v>279</v>
      </c>
      <c r="F313" s="34" t="s">
        <v>280</v>
      </c>
      <c r="G313" s="34" t="s">
        <v>281</v>
      </c>
      <c r="H313" s="34" t="s">
        <v>282</v>
      </c>
      <c r="I313">
        <v>6</v>
      </c>
      <c r="J313">
        <v>0</v>
      </c>
      <c r="K313">
        <v>6</v>
      </c>
      <c r="L313">
        <v>0</v>
      </c>
      <c r="M313">
        <v>0</v>
      </c>
      <c r="N313">
        <v>0</v>
      </c>
      <c r="O313" s="28">
        <v>46278</v>
      </c>
      <c r="R313">
        <v>0</v>
      </c>
      <c r="S313">
        <v>42</v>
      </c>
      <c r="T313">
        <v>12</v>
      </c>
      <c r="U313">
        <v>44</v>
      </c>
      <c r="V313">
        <v>20260914042</v>
      </c>
    </row>
    <row r="314" spans="1:22" x14ac:dyDescent="0.2">
      <c r="A314" s="34" t="s">
        <v>122</v>
      </c>
      <c r="B314" s="28">
        <v>46279</v>
      </c>
      <c r="C314" s="34"/>
      <c r="D314" s="34" t="s">
        <v>339</v>
      </c>
      <c r="E314" s="34" t="s">
        <v>283</v>
      </c>
      <c r="F314" s="34" t="s">
        <v>284</v>
      </c>
      <c r="G314" s="34" t="s">
        <v>285</v>
      </c>
      <c r="H314" s="34" t="s">
        <v>286</v>
      </c>
      <c r="I314">
        <v>13</v>
      </c>
      <c r="J314">
        <v>0</v>
      </c>
      <c r="K314">
        <v>13</v>
      </c>
      <c r="L314">
        <v>0</v>
      </c>
      <c r="M314">
        <v>0</v>
      </c>
      <c r="N314">
        <v>0</v>
      </c>
      <c r="O314" s="28">
        <v>46278</v>
      </c>
      <c r="R314">
        <v>0</v>
      </c>
      <c r="S314">
        <v>43</v>
      </c>
      <c r="T314">
        <v>12</v>
      </c>
      <c r="U314">
        <v>45</v>
      </c>
      <c r="V314">
        <v>20260914043</v>
      </c>
    </row>
    <row r="315" spans="1:22" x14ac:dyDescent="0.2">
      <c r="A315" s="34" t="s">
        <v>122</v>
      </c>
      <c r="B315" s="28">
        <v>46279</v>
      </c>
      <c r="C315" s="34"/>
      <c r="D315" s="34" t="s">
        <v>339</v>
      </c>
      <c r="E315" s="34" t="s">
        <v>287</v>
      </c>
      <c r="F315" s="34" t="s">
        <v>288</v>
      </c>
      <c r="G315" s="34" t="s">
        <v>289</v>
      </c>
      <c r="H315" s="34" t="s">
        <v>290</v>
      </c>
      <c r="I315">
        <v>26</v>
      </c>
      <c r="J315">
        <v>0</v>
      </c>
      <c r="K315">
        <v>23</v>
      </c>
      <c r="L315">
        <v>3</v>
      </c>
      <c r="M315">
        <v>3</v>
      </c>
      <c r="N315">
        <v>0</v>
      </c>
      <c r="O315" s="28">
        <v>46278</v>
      </c>
      <c r="P315">
        <v>16.7</v>
      </c>
      <c r="Q315">
        <v>0</v>
      </c>
      <c r="R315">
        <v>0</v>
      </c>
      <c r="S315">
        <v>44</v>
      </c>
      <c r="T315">
        <v>12</v>
      </c>
      <c r="U315">
        <v>46</v>
      </c>
      <c r="V315">
        <v>20260914044</v>
      </c>
    </row>
    <row r="316" spans="1:22" x14ac:dyDescent="0.2">
      <c r="A316" s="34" t="s">
        <v>122</v>
      </c>
      <c r="B316" s="28">
        <v>46279</v>
      </c>
      <c r="C316" s="34"/>
      <c r="D316" s="34" t="s">
        <v>339</v>
      </c>
      <c r="E316" s="34" t="s">
        <v>291</v>
      </c>
      <c r="F316" s="34" t="s">
        <v>342</v>
      </c>
      <c r="G316" s="34" t="s">
        <v>292</v>
      </c>
      <c r="H316" s="34" t="s">
        <v>293</v>
      </c>
      <c r="I316">
        <v>23</v>
      </c>
      <c r="J316">
        <v>0</v>
      </c>
      <c r="K316">
        <v>23</v>
      </c>
      <c r="L316">
        <v>0</v>
      </c>
      <c r="M316">
        <v>0</v>
      </c>
      <c r="N316">
        <v>0</v>
      </c>
      <c r="O316" s="28">
        <v>46278</v>
      </c>
      <c r="R316">
        <v>0</v>
      </c>
      <c r="S316">
        <v>45</v>
      </c>
      <c r="T316">
        <v>12</v>
      </c>
      <c r="U316">
        <v>47</v>
      </c>
      <c r="V316">
        <v>20260914045</v>
      </c>
    </row>
    <row r="317" spans="1:22" x14ac:dyDescent="0.2">
      <c r="A317" s="34" t="s">
        <v>122</v>
      </c>
      <c r="B317" s="28">
        <v>46279</v>
      </c>
      <c r="C317" s="34"/>
      <c r="D317" s="34" t="s">
        <v>339</v>
      </c>
      <c r="E317" s="34" t="s">
        <v>294</v>
      </c>
      <c r="F317" s="34" t="s">
        <v>295</v>
      </c>
      <c r="G317" s="34" t="s">
        <v>296</v>
      </c>
      <c r="H317" s="34" t="s">
        <v>297</v>
      </c>
      <c r="I317">
        <v>11</v>
      </c>
      <c r="J317">
        <v>0</v>
      </c>
      <c r="K317">
        <v>10</v>
      </c>
      <c r="L317">
        <v>1</v>
      </c>
      <c r="M317">
        <v>1</v>
      </c>
      <c r="N317">
        <v>0</v>
      </c>
      <c r="O317" s="28">
        <v>46278</v>
      </c>
      <c r="P317">
        <v>12.8</v>
      </c>
      <c r="Q317">
        <v>0</v>
      </c>
      <c r="R317">
        <v>0</v>
      </c>
      <c r="S317">
        <v>46</v>
      </c>
      <c r="T317">
        <v>12</v>
      </c>
      <c r="U317">
        <v>48</v>
      </c>
      <c r="V317">
        <v>20260914046</v>
      </c>
    </row>
    <row r="318" spans="1:22" x14ac:dyDescent="0.2">
      <c r="A318" s="34" t="s">
        <v>122</v>
      </c>
      <c r="B318" s="28">
        <v>46279</v>
      </c>
      <c r="C318" s="34"/>
      <c r="D318" s="34" t="s">
        <v>339</v>
      </c>
      <c r="E318" s="34" t="s">
        <v>298</v>
      </c>
      <c r="F318" s="34" t="s">
        <v>299</v>
      </c>
      <c r="G318" s="34" t="s">
        <v>300</v>
      </c>
      <c r="H318" s="34" t="s">
        <v>301</v>
      </c>
      <c r="I318">
        <v>14</v>
      </c>
      <c r="J318">
        <v>0</v>
      </c>
      <c r="K318">
        <v>13</v>
      </c>
      <c r="L318">
        <v>1</v>
      </c>
      <c r="M318">
        <v>1</v>
      </c>
      <c r="N318">
        <v>0</v>
      </c>
      <c r="O318" s="28">
        <v>46278</v>
      </c>
      <c r="P318">
        <v>12.8</v>
      </c>
      <c r="Q318">
        <v>0</v>
      </c>
      <c r="R318">
        <v>0</v>
      </c>
      <c r="S318">
        <v>47</v>
      </c>
      <c r="T318">
        <v>12</v>
      </c>
      <c r="U318">
        <v>49</v>
      </c>
      <c r="V318">
        <v>20260914047</v>
      </c>
    </row>
    <row r="319" spans="1:22" x14ac:dyDescent="0.2">
      <c r="A319" s="34" t="s">
        <v>122</v>
      </c>
      <c r="B319" s="28">
        <v>46279</v>
      </c>
      <c r="C319" s="34"/>
      <c r="D319" s="34" t="s">
        <v>339</v>
      </c>
      <c r="E319" s="34" t="s">
        <v>302</v>
      </c>
      <c r="F319" s="34" t="s">
        <v>303</v>
      </c>
      <c r="G319" s="34" t="s">
        <v>304</v>
      </c>
      <c r="H319" s="34" t="s">
        <v>305</v>
      </c>
      <c r="I319">
        <v>8</v>
      </c>
      <c r="J319">
        <v>0</v>
      </c>
      <c r="K319">
        <v>8</v>
      </c>
      <c r="L319">
        <v>0</v>
      </c>
      <c r="M319">
        <v>0</v>
      </c>
      <c r="N319">
        <v>0</v>
      </c>
      <c r="O319" s="28">
        <v>46278</v>
      </c>
      <c r="R319">
        <v>0</v>
      </c>
      <c r="S319">
        <v>48</v>
      </c>
      <c r="T319">
        <v>12</v>
      </c>
      <c r="U319">
        <v>50</v>
      </c>
      <c r="V319">
        <v>20260914048</v>
      </c>
    </row>
    <row r="320" spans="1:22" x14ac:dyDescent="0.2">
      <c r="A320" s="34" t="s">
        <v>122</v>
      </c>
      <c r="B320" s="28">
        <v>46279</v>
      </c>
      <c r="C320" s="34"/>
      <c r="D320" s="34" t="s">
        <v>339</v>
      </c>
      <c r="E320" s="34" t="s">
        <v>306</v>
      </c>
      <c r="F320" s="34" t="s">
        <v>307</v>
      </c>
      <c r="G320" s="34" t="s">
        <v>308</v>
      </c>
      <c r="H320" s="34" t="s">
        <v>309</v>
      </c>
      <c r="I320">
        <v>11</v>
      </c>
      <c r="J320">
        <v>0</v>
      </c>
      <c r="K320">
        <v>10</v>
      </c>
      <c r="L320">
        <v>1</v>
      </c>
      <c r="M320">
        <v>1</v>
      </c>
      <c r="N320">
        <v>0</v>
      </c>
      <c r="O320" s="28">
        <v>46278</v>
      </c>
      <c r="P320">
        <v>12.8</v>
      </c>
      <c r="Q320">
        <v>0</v>
      </c>
      <c r="R320">
        <v>0</v>
      </c>
      <c r="S320">
        <v>49</v>
      </c>
      <c r="T320">
        <v>12</v>
      </c>
      <c r="U320">
        <v>51</v>
      </c>
      <c r="V320">
        <v>20260914049</v>
      </c>
    </row>
    <row r="321" spans="1:22" x14ac:dyDescent="0.2">
      <c r="A321" s="34" t="s">
        <v>122</v>
      </c>
      <c r="B321" s="28">
        <v>46279</v>
      </c>
      <c r="C321" s="34"/>
      <c r="D321" s="34" t="s">
        <v>339</v>
      </c>
      <c r="E321" s="34" t="s">
        <v>314</v>
      </c>
      <c r="F321" s="34" t="s">
        <v>315</v>
      </c>
      <c r="G321" s="34" t="s">
        <v>316</v>
      </c>
      <c r="H321" s="34" t="s">
        <v>317</v>
      </c>
      <c r="I321">
        <v>31</v>
      </c>
      <c r="J321">
        <v>0</v>
      </c>
      <c r="K321">
        <v>31</v>
      </c>
      <c r="L321">
        <v>0</v>
      </c>
      <c r="M321">
        <v>0</v>
      </c>
      <c r="N321">
        <v>0</v>
      </c>
      <c r="O321" s="28">
        <v>46278</v>
      </c>
      <c r="R321">
        <v>0</v>
      </c>
      <c r="S321">
        <v>50</v>
      </c>
      <c r="T321">
        <v>12</v>
      </c>
      <c r="U321">
        <v>53</v>
      </c>
      <c r="V321">
        <v>20260914050</v>
      </c>
    </row>
    <row r="322" spans="1:22" x14ac:dyDescent="0.2">
      <c r="A322" s="34" t="s">
        <v>122</v>
      </c>
      <c r="B322" s="28">
        <v>46279</v>
      </c>
      <c r="C322" s="34"/>
      <c r="D322" s="34" t="s">
        <v>339</v>
      </c>
      <c r="E322" s="34" t="s">
        <v>318</v>
      </c>
      <c r="F322" s="34" t="s">
        <v>319</v>
      </c>
      <c r="G322" s="34" t="s">
        <v>320</v>
      </c>
      <c r="H322" s="34" t="s">
        <v>321</v>
      </c>
      <c r="I322">
        <v>5</v>
      </c>
      <c r="J322">
        <v>0</v>
      </c>
      <c r="K322">
        <v>4</v>
      </c>
      <c r="L322">
        <v>1</v>
      </c>
      <c r="M322">
        <v>1</v>
      </c>
      <c r="N322">
        <v>0</v>
      </c>
      <c r="O322" s="28">
        <v>46278</v>
      </c>
      <c r="P322">
        <v>16.399999999999999</v>
      </c>
      <c r="Q322">
        <v>0</v>
      </c>
      <c r="R322">
        <v>0</v>
      </c>
      <c r="S322">
        <v>51</v>
      </c>
      <c r="T322">
        <v>12</v>
      </c>
      <c r="U322">
        <v>54</v>
      </c>
      <c r="V322">
        <v>20260914051</v>
      </c>
    </row>
    <row r="323" spans="1:22" x14ac:dyDescent="0.2">
      <c r="A323" s="34" t="s">
        <v>122</v>
      </c>
      <c r="B323" s="28">
        <v>46279</v>
      </c>
      <c r="C323" s="34"/>
      <c r="D323" s="34" t="s">
        <v>339</v>
      </c>
      <c r="E323" s="34" t="s">
        <v>322</v>
      </c>
      <c r="F323" s="34" t="s">
        <v>323</v>
      </c>
      <c r="G323" s="34" t="s">
        <v>324</v>
      </c>
      <c r="H323" s="34" t="s">
        <v>325</v>
      </c>
      <c r="I323">
        <v>7</v>
      </c>
      <c r="J323">
        <v>0</v>
      </c>
      <c r="K323">
        <v>7</v>
      </c>
      <c r="L323">
        <v>0</v>
      </c>
      <c r="M323">
        <v>0</v>
      </c>
      <c r="N323">
        <v>0</v>
      </c>
      <c r="O323" s="28">
        <v>46278</v>
      </c>
      <c r="R323">
        <v>0</v>
      </c>
      <c r="S323">
        <v>52</v>
      </c>
      <c r="T323">
        <v>12</v>
      </c>
      <c r="U323">
        <v>55</v>
      </c>
      <c r="V323">
        <v>20260914052</v>
      </c>
    </row>
    <row r="324" spans="1:22" x14ac:dyDescent="0.2">
      <c r="A324" s="34" t="s">
        <v>122</v>
      </c>
      <c r="B324" s="28">
        <v>46279</v>
      </c>
      <c r="C324" s="34"/>
      <c r="D324" s="34" t="s">
        <v>339</v>
      </c>
      <c r="E324" s="34" t="s">
        <v>330</v>
      </c>
      <c r="F324" s="34" t="s">
        <v>331</v>
      </c>
      <c r="G324" s="34" t="s">
        <v>332</v>
      </c>
      <c r="H324" s="34" t="s">
        <v>333</v>
      </c>
      <c r="I324">
        <v>4</v>
      </c>
      <c r="J324">
        <v>0</v>
      </c>
      <c r="K324">
        <v>4</v>
      </c>
      <c r="L324">
        <v>0</v>
      </c>
      <c r="M324">
        <v>0</v>
      </c>
      <c r="N324">
        <v>0</v>
      </c>
      <c r="O324" s="28">
        <v>46278</v>
      </c>
      <c r="R324">
        <v>0</v>
      </c>
      <c r="S324">
        <v>53</v>
      </c>
      <c r="T324">
        <v>12</v>
      </c>
      <c r="U324">
        <v>74</v>
      </c>
      <c r="V324">
        <v>20260914053</v>
      </c>
    </row>
    <row r="325" spans="1:22" x14ac:dyDescent="0.2">
      <c r="A325" s="34" t="s">
        <v>122</v>
      </c>
      <c r="B325" s="28">
        <v>46279</v>
      </c>
      <c r="C325" s="34"/>
      <c r="D325" s="34" t="s">
        <v>339</v>
      </c>
      <c r="E325" s="34" t="s">
        <v>334</v>
      </c>
      <c r="F325" s="34" t="s">
        <v>335</v>
      </c>
      <c r="G325" s="34" t="s">
        <v>336</v>
      </c>
      <c r="H325" s="34" t="s">
        <v>337</v>
      </c>
      <c r="I325">
        <v>17</v>
      </c>
      <c r="J325">
        <v>0</v>
      </c>
      <c r="K325">
        <v>15</v>
      </c>
      <c r="L325">
        <v>2</v>
      </c>
      <c r="M325">
        <v>2</v>
      </c>
      <c r="N325">
        <v>0</v>
      </c>
      <c r="O325" s="28">
        <v>46278</v>
      </c>
      <c r="P325">
        <v>16.600000000000001</v>
      </c>
      <c r="Q325">
        <v>0</v>
      </c>
      <c r="R325">
        <v>0</v>
      </c>
      <c r="S325">
        <v>54</v>
      </c>
      <c r="T325">
        <v>12</v>
      </c>
      <c r="U325">
        <v>75</v>
      </c>
      <c r="V325">
        <v>20260914054</v>
      </c>
    </row>
    <row r="326" spans="1:22" x14ac:dyDescent="0.2">
      <c r="A326" s="34" t="s">
        <v>122</v>
      </c>
      <c r="B326" s="28">
        <v>46280</v>
      </c>
      <c r="C326" s="34"/>
      <c r="D326" s="34" t="s">
        <v>340</v>
      </c>
      <c r="E326" s="34" t="s">
        <v>164</v>
      </c>
      <c r="F326" s="34" t="s">
        <v>165</v>
      </c>
      <c r="G326" s="34" t="s">
        <v>166</v>
      </c>
      <c r="H326" s="34" t="s">
        <v>167</v>
      </c>
      <c r="I326">
        <v>25</v>
      </c>
      <c r="J326">
        <v>0</v>
      </c>
      <c r="K326">
        <v>27</v>
      </c>
      <c r="L326">
        <v>-2</v>
      </c>
      <c r="M326">
        <v>28</v>
      </c>
      <c r="N326">
        <v>-30</v>
      </c>
      <c r="O326" s="28">
        <v>46279</v>
      </c>
      <c r="P326">
        <v>18.2</v>
      </c>
      <c r="Q326">
        <v>-546</v>
      </c>
      <c r="R326">
        <v>30</v>
      </c>
      <c r="S326">
        <v>1</v>
      </c>
      <c r="T326">
        <v>11</v>
      </c>
      <c r="U326">
        <v>11</v>
      </c>
      <c r="V326">
        <v>20260915001</v>
      </c>
    </row>
    <row r="327" spans="1:22" x14ac:dyDescent="0.2">
      <c r="A327" s="34" t="s">
        <v>122</v>
      </c>
      <c r="B327" s="28">
        <v>46280</v>
      </c>
      <c r="C327" s="34"/>
      <c r="D327" s="34" t="s">
        <v>340</v>
      </c>
      <c r="E327" s="34" t="s">
        <v>252</v>
      </c>
      <c r="F327" s="34" t="s">
        <v>253</v>
      </c>
      <c r="G327" s="34" t="s">
        <v>254</v>
      </c>
      <c r="H327" s="34" t="s">
        <v>255</v>
      </c>
      <c r="I327">
        <v>12</v>
      </c>
      <c r="J327">
        <v>0</v>
      </c>
      <c r="K327">
        <v>20</v>
      </c>
      <c r="L327">
        <v>-8</v>
      </c>
      <c r="M327">
        <v>12</v>
      </c>
      <c r="N327">
        <v>-20</v>
      </c>
      <c r="O327" s="28">
        <v>46279</v>
      </c>
      <c r="P327">
        <v>18.399999999999999</v>
      </c>
      <c r="Q327">
        <v>-368</v>
      </c>
      <c r="R327">
        <v>20</v>
      </c>
      <c r="S327">
        <v>2</v>
      </c>
      <c r="T327">
        <v>11</v>
      </c>
      <c r="U327">
        <v>37</v>
      </c>
      <c r="V327">
        <v>20260915002</v>
      </c>
    </row>
    <row r="328" spans="1:22" x14ac:dyDescent="0.2">
      <c r="A328" s="34" t="s">
        <v>122</v>
      </c>
      <c r="B328" s="28">
        <v>46280</v>
      </c>
      <c r="C328" s="34"/>
      <c r="D328" s="34" t="s">
        <v>340</v>
      </c>
      <c r="E328" s="34" t="s">
        <v>124</v>
      </c>
      <c r="F328" s="34" t="s">
        <v>125</v>
      </c>
      <c r="G328" s="34" t="s">
        <v>126</v>
      </c>
      <c r="H328" s="34" t="s">
        <v>127</v>
      </c>
      <c r="I328">
        <v>6</v>
      </c>
      <c r="J328">
        <v>0</v>
      </c>
      <c r="K328">
        <v>5</v>
      </c>
      <c r="L328">
        <v>1</v>
      </c>
      <c r="M328">
        <v>11</v>
      </c>
      <c r="N328">
        <v>-10</v>
      </c>
      <c r="O328" s="28">
        <v>46279</v>
      </c>
      <c r="P328">
        <v>17.27</v>
      </c>
      <c r="Q328">
        <v>-172.7</v>
      </c>
      <c r="R328">
        <v>10</v>
      </c>
      <c r="S328">
        <v>3</v>
      </c>
      <c r="T328">
        <v>11</v>
      </c>
      <c r="U328">
        <v>1</v>
      </c>
      <c r="V328">
        <v>20260915003</v>
      </c>
    </row>
    <row r="329" spans="1:22" x14ac:dyDescent="0.2">
      <c r="A329" s="34" t="s">
        <v>122</v>
      </c>
      <c r="B329" s="28">
        <v>46280</v>
      </c>
      <c r="C329" s="34"/>
      <c r="D329" s="34" t="s">
        <v>340</v>
      </c>
      <c r="E329" s="34" t="s">
        <v>200</v>
      </c>
      <c r="F329" s="34" t="s">
        <v>201</v>
      </c>
      <c r="G329" s="34" t="s">
        <v>202</v>
      </c>
      <c r="H329" s="34" t="s">
        <v>203</v>
      </c>
      <c r="I329">
        <v>21</v>
      </c>
      <c r="J329">
        <v>0</v>
      </c>
      <c r="K329">
        <v>20</v>
      </c>
      <c r="L329">
        <v>1</v>
      </c>
      <c r="M329">
        <v>11</v>
      </c>
      <c r="N329">
        <v>-10</v>
      </c>
      <c r="O329" s="28">
        <v>46279</v>
      </c>
      <c r="P329">
        <v>12.7</v>
      </c>
      <c r="Q329">
        <v>-127</v>
      </c>
      <c r="R329">
        <v>10</v>
      </c>
      <c r="S329">
        <v>4</v>
      </c>
      <c r="T329">
        <v>11</v>
      </c>
      <c r="U329">
        <v>24</v>
      </c>
      <c r="V329">
        <v>20260915004</v>
      </c>
    </row>
    <row r="330" spans="1:22" x14ac:dyDescent="0.2">
      <c r="A330" s="34" t="s">
        <v>122</v>
      </c>
      <c r="B330" s="28">
        <v>46280</v>
      </c>
      <c r="C330" s="34"/>
      <c r="D330" s="34" t="s">
        <v>340</v>
      </c>
      <c r="E330" s="34" t="s">
        <v>212</v>
      </c>
      <c r="F330" s="34" t="s">
        <v>213</v>
      </c>
      <c r="G330" s="34" t="s">
        <v>214</v>
      </c>
      <c r="H330" s="34" t="s">
        <v>215</v>
      </c>
      <c r="I330">
        <v>15</v>
      </c>
      <c r="J330">
        <v>0</v>
      </c>
      <c r="K330">
        <v>19</v>
      </c>
      <c r="L330">
        <v>-4</v>
      </c>
      <c r="M330">
        <v>6</v>
      </c>
      <c r="N330">
        <v>-10</v>
      </c>
      <c r="O330" s="28">
        <v>46279</v>
      </c>
      <c r="P330">
        <v>12.7</v>
      </c>
      <c r="Q330">
        <v>-127</v>
      </c>
      <c r="R330">
        <v>10</v>
      </c>
      <c r="S330">
        <v>5</v>
      </c>
      <c r="T330">
        <v>11</v>
      </c>
      <c r="U330">
        <v>27</v>
      </c>
      <c r="V330">
        <v>20260915005</v>
      </c>
    </row>
    <row r="331" spans="1:22" x14ac:dyDescent="0.2">
      <c r="A331" s="34" t="s">
        <v>122</v>
      </c>
      <c r="B331" s="28">
        <v>46280</v>
      </c>
      <c r="C331" s="34"/>
      <c r="D331" s="34" t="s">
        <v>340</v>
      </c>
      <c r="E331" s="34" t="s">
        <v>264</v>
      </c>
      <c r="F331" s="34" t="s">
        <v>265</v>
      </c>
      <c r="G331" s="34" t="s">
        <v>266</v>
      </c>
      <c r="H331" s="34" t="s">
        <v>267</v>
      </c>
      <c r="I331">
        <v>5</v>
      </c>
      <c r="J331">
        <v>0</v>
      </c>
      <c r="K331">
        <v>7</v>
      </c>
      <c r="L331">
        <v>-2</v>
      </c>
      <c r="M331">
        <v>8</v>
      </c>
      <c r="N331">
        <v>-10</v>
      </c>
      <c r="O331" s="28">
        <v>46279</v>
      </c>
      <c r="P331">
        <v>18.399999999999999</v>
      </c>
      <c r="Q331">
        <v>-184</v>
      </c>
      <c r="R331">
        <v>10</v>
      </c>
      <c r="S331">
        <v>6</v>
      </c>
      <c r="T331">
        <v>11</v>
      </c>
      <c r="U331">
        <v>40</v>
      </c>
      <c r="V331">
        <v>20260915006</v>
      </c>
    </row>
    <row r="332" spans="1:22" x14ac:dyDescent="0.2">
      <c r="A332" s="34" t="s">
        <v>122</v>
      </c>
      <c r="B332" s="28">
        <v>46280</v>
      </c>
      <c r="C332" s="34"/>
      <c r="D332" s="34" t="s">
        <v>340</v>
      </c>
      <c r="E332" s="34" t="s">
        <v>272</v>
      </c>
      <c r="F332" s="34" t="s">
        <v>341</v>
      </c>
      <c r="G332" s="34" t="s">
        <v>273</v>
      </c>
      <c r="H332" s="34" t="s">
        <v>274</v>
      </c>
      <c r="I332">
        <v>11</v>
      </c>
      <c r="J332">
        <v>0</v>
      </c>
      <c r="K332">
        <v>16</v>
      </c>
      <c r="L332">
        <v>-5</v>
      </c>
      <c r="M332">
        <v>5</v>
      </c>
      <c r="N332">
        <v>-10</v>
      </c>
      <c r="O332" s="28">
        <v>46279</v>
      </c>
      <c r="P332">
        <v>18.399999999999999</v>
      </c>
      <c r="Q332">
        <v>-184</v>
      </c>
      <c r="R332">
        <v>10</v>
      </c>
      <c r="S332">
        <v>7</v>
      </c>
      <c r="T332">
        <v>11</v>
      </c>
      <c r="U332">
        <v>42</v>
      </c>
      <c r="V332">
        <v>20260915007</v>
      </c>
    </row>
    <row r="333" spans="1:22" x14ac:dyDescent="0.2">
      <c r="A333" s="34" t="s">
        <v>122</v>
      </c>
      <c r="B333" s="28">
        <v>46280</v>
      </c>
      <c r="C333" s="34"/>
      <c r="D333" s="34" t="s">
        <v>340</v>
      </c>
      <c r="E333" s="34" t="s">
        <v>204</v>
      </c>
      <c r="F333" s="34" t="s">
        <v>205</v>
      </c>
      <c r="G333" s="34" t="s">
        <v>206</v>
      </c>
      <c r="H333" s="34" t="s">
        <v>207</v>
      </c>
      <c r="I333">
        <v>8</v>
      </c>
      <c r="J333">
        <v>0</v>
      </c>
      <c r="K333">
        <v>6</v>
      </c>
      <c r="L333">
        <v>2</v>
      </c>
      <c r="M333">
        <v>0</v>
      </c>
      <c r="N333">
        <v>2</v>
      </c>
      <c r="O333" s="28">
        <v>46279</v>
      </c>
      <c r="R333">
        <v>2</v>
      </c>
      <c r="S333">
        <v>8</v>
      </c>
      <c r="T333">
        <v>11</v>
      </c>
      <c r="U333">
        <v>25</v>
      </c>
      <c r="V333">
        <v>20260915008</v>
      </c>
    </row>
    <row r="334" spans="1:22" x14ac:dyDescent="0.2">
      <c r="A334" s="34" t="s">
        <v>122</v>
      </c>
      <c r="B334" s="28">
        <v>46280</v>
      </c>
      <c r="C334" s="34"/>
      <c r="D334" s="34" t="s">
        <v>340</v>
      </c>
      <c r="E334" s="34" t="s">
        <v>275</v>
      </c>
      <c r="F334" s="34" t="s">
        <v>276</v>
      </c>
      <c r="G334" s="34" t="s">
        <v>277</v>
      </c>
      <c r="H334" s="34" t="s">
        <v>278</v>
      </c>
      <c r="I334">
        <v>3</v>
      </c>
      <c r="J334">
        <v>0</v>
      </c>
      <c r="K334">
        <v>5</v>
      </c>
      <c r="L334">
        <v>-2</v>
      </c>
      <c r="M334">
        <v>0</v>
      </c>
      <c r="N334">
        <v>-2</v>
      </c>
      <c r="O334" s="28">
        <v>46279</v>
      </c>
      <c r="R334">
        <v>2</v>
      </c>
      <c r="S334">
        <v>9</v>
      </c>
      <c r="T334">
        <v>11</v>
      </c>
      <c r="U334">
        <v>43</v>
      </c>
      <c r="V334">
        <v>20260915009</v>
      </c>
    </row>
    <row r="335" spans="1:22" x14ac:dyDescent="0.2">
      <c r="A335" s="34" t="s">
        <v>122</v>
      </c>
      <c r="B335" s="28">
        <v>46280</v>
      </c>
      <c r="C335" s="34"/>
      <c r="D335" s="34" t="s">
        <v>340</v>
      </c>
      <c r="E335" s="34" t="s">
        <v>176</v>
      </c>
      <c r="F335" s="34" t="s">
        <v>177</v>
      </c>
      <c r="G335" s="34" t="s">
        <v>178</v>
      </c>
      <c r="H335" s="34" t="s">
        <v>179</v>
      </c>
      <c r="I335">
        <v>30</v>
      </c>
      <c r="J335">
        <v>0</v>
      </c>
      <c r="K335">
        <v>18</v>
      </c>
      <c r="L335">
        <v>12</v>
      </c>
      <c r="M335">
        <v>11</v>
      </c>
      <c r="N335">
        <v>1</v>
      </c>
      <c r="O335" s="28">
        <v>46279</v>
      </c>
      <c r="P335">
        <v>17.07</v>
      </c>
      <c r="Q335">
        <v>17.07</v>
      </c>
      <c r="R335">
        <v>1</v>
      </c>
      <c r="S335">
        <v>10</v>
      </c>
      <c r="T335">
        <v>11</v>
      </c>
      <c r="U335">
        <v>14</v>
      </c>
      <c r="V335">
        <v>20260915010</v>
      </c>
    </row>
    <row r="336" spans="1:22" x14ac:dyDescent="0.2">
      <c r="A336" s="34" t="s">
        <v>122</v>
      </c>
      <c r="B336" s="28">
        <v>46280</v>
      </c>
      <c r="C336" s="34"/>
      <c r="D336" s="34" t="s">
        <v>340</v>
      </c>
      <c r="E336" s="34" t="s">
        <v>128</v>
      </c>
      <c r="F336" s="34" t="s">
        <v>129</v>
      </c>
      <c r="G336" s="34" t="s">
        <v>130</v>
      </c>
      <c r="H336" s="34" t="s">
        <v>131</v>
      </c>
      <c r="I336">
        <v>5</v>
      </c>
      <c r="J336">
        <v>0</v>
      </c>
      <c r="K336">
        <v>5</v>
      </c>
      <c r="L336">
        <v>0</v>
      </c>
      <c r="M336">
        <v>0</v>
      </c>
      <c r="N336">
        <v>0</v>
      </c>
      <c r="O336" s="28">
        <v>46279</v>
      </c>
      <c r="R336">
        <v>0</v>
      </c>
      <c r="S336">
        <v>11</v>
      </c>
      <c r="T336">
        <v>11</v>
      </c>
      <c r="U336">
        <v>2</v>
      </c>
      <c r="V336">
        <v>20260915011</v>
      </c>
    </row>
    <row r="337" spans="1:22" x14ac:dyDescent="0.2">
      <c r="A337" s="34" t="s">
        <v>122</v>
      </c>
      <c r="B337" s="28">
        <v>46280</v>
      </c>
      <c r="C337" s="34"/>
      <c r="D337" s="34" t="s">
        <v>340</v>
      </c>
      <c r="E337" s="34" t="s">
        <v>132</v>
      </c>
      <c r="F337" s="34" t="s">
        <v>133</v>
      </c>
      <c r="G337" s="34" t="s">
        <v>134</v>
      </c>
      <c r="H337" s="34" t="s">
        <v>135</v>
      </c>
      <c r="I337">
        <v>4</v>
      </c>
      <c r="J337">
        <v>0</v>
      </c>
      <c r="K337">
        <v>4</v>
      </c>
      <c r="L337">
        <v>0</v>
      </c>
      <c r="M337">
        <v>0</v>
      </c>
      <c r="N337">
        <v>0</v>
      </c>
      <c r="O337" s="28">
        <v>46279</v>
      </c>
      <c r="R337">
        <v>0</v>
      </c>
      <c r="S337">
        <v>12</v>
      </c>
      <c r="T337">
        <v>11</v>
      </c>
      <c r="U337">
        <v>3</v>
      </c>
      <c r="V337">
        <v>20260915012</v>
      </c>
    </row>
    <row r="338" spans="1:22" x14ac:dyDescent="0.2">
      <c r="A338" s="34" t="s">
        <v>122</v>
      </c>
      <c r="B338" s="28">
        <v>46280</v>
      </c>
      <c r="C338" s="34"/>
      <c r="D338" s="34" t="s">
        <v>340</v>
      </c>
      <c r="E338" s="34" t="s">
        <v>136</v>
      </c>
      <c r="F338" s="34" t="s">
        <v>137</v>
      </c>
      <c r="G338" s="34" t="s">
        <v>138</v>
      </c>
      <c r="H338" s="34" t="s">
        <v>139</v>
      </c>
      <c r="I338">
        <v>13</v>
      </c>
      <c r="J338">
        <v>0</v>
      </c>
      <c r="K338">
        <v>9</v>
      </c>
      <c r="L338">
        <v>4</v>
      </c>
      <c r="M338">
        <v>4</v>
      </c>
      <c r="N338">
        <v>0</v>
      </c>
      <c r="O338" s="28">
        <v>46279</v>
      </c>
      <c r="P338">
        <v>12.8</v>
      </c>
      <c r="Q338">
        <v>0</v>
      </c>
      <c r="R338">
        <v>0</v>
      </c>
      <c r="S338">
        <v>13</v>
      </c>
      <c r="T338">
        <v>11</v>
      </c>
      <c r="U338">
        <v>4</v>
      </c>
      <c r="V338">
        <v>20260915013</v>
      </c>
    </row>
    <row r="339" spans="1:22" x14ac:dyDescent="0.2">
      <c r="A339" s="34" t="s">
        <v>122</v>
      </c>
      <c r="B339" s="28">
        <v>46280</v>
      </c>
      <c r="C339" s="34"/>
      <c r="D339" s="34" t="s">
        <v>340</v>
      </c>
      <c r="E339" s="34" t="s">
        <v>140</v>
      </c>
      <c r="F339" s="34" t="s">
        <v>141</v>
      </c>
      <c r="G339" s="34" t="s">
        <v>142</v>
      </c>
      <c r="H339" s="34" t="s">
        <v>143</v>
      </c>
      <c r="I339">
        <v>4</v>
      </c>
      <c r="J339">
        <v>0</v>
      </c>
      <c r="K339">
        <v>4</v>
      </c>
      <c r="L339">
        <v>0</v>
      </c>
      <c r="M339">
        <v>0</v>
      </c>
      <c r="N339">
        <v>0</v>
      </c>
      <c r="O339" s="28">
        <v>46279</v>
      </c>
      <c r="R339">
        <v>0</v>
      </c>
      <c r="S339">
        <v>14</v>
      </c>
      <c r="T339">
        <v>11</v>
      </c>
      <c r="U339">
        <v>5</v>
      </c>
      <c r="V339">
        <v>20260915014</v>
      </c>
    </row>
    <row r="340" spans="1:22" x14ac:dyDescent="0.2">
      <c r="A340" s="34" t="s">
        <v>122</v>
      </c>
      <c r="B340" s="28">
        <v>46280</v>
      </c>
      <c r="C340" s="34"/>
      <c r="D340" s="34" t="s">
        <v>340</v>
      </c>
      <c r="E340" s="34" t="s">
        <v>144</v>
      </c>
      <c r="F340" s="34" t="s">
        <v>145</v>
      </c>
      <c r="G340" s="34" t="s">
        <v>146</v>
      </c>
      <c r="H340" s="34" t="s">
        <v>147</v>
      </c>
      <c r="I340">
        <v>5</v>
      </c>
      <c r="J340">
        <v>0</v>
      </c>
      <c r="K340">
        <v>5</v>
      </c>
      <c r="L340">
        <v>0</v>
      </c>
      <c r="M340">
        <v>0</v>
      </c>
      <c r="N340">
        <v>0</v>
      </c>
      <c r="O340" s="28">
        <v>46279</v>
      </c>
      <c r="R340">
        <v>0</v>
      </c>
      <c r="S340">
        <v>15</v>
      </c>
      <c r="T340">
        <v>11</v>
      </c>
      <c r="U340">
        <v>6</v>
      </c>
      <c r="V340">
        <v>20260915015</v>
      </c>
    </row>
    <row r="341" spans="1:22" x14ac:dyDescent="0.2">
      <c r="A341" s="34" t="s">
        <v>122</v>
      </c>
      <c r="B341" s="28">
        <v>46280</v>
      </c>
      <c r="C341" s="34"/>
      <c r="D341" s="34" t="s">
        <v>340</v>
      </c>
      <c r="E341" s="34" t="s">
        <v>148</v>
      </c>
      <c r="F341" s="34" t="s">
        <v>149</v>
      </c>
      <c r="G341" s="34" t="s">
        <v>150</v>
      </c>
      <c r="H341" s="34" t="s">
        <v>151</v>
      </c>
      <c r="I341">
        <v>4</v>
      </c>
      <c r="J341">
        <v>0</v>
      </c>
      <c r="K341">
        <v>3</v>
      </c>
      <c r="L341">
        <v>1</v>
      </c>
      <c r="M341">
        <v>1</v>
      </c>
      <c r="N341">
        <v>0</v>
      </c>
      <c r="O341" s="28">
        <v>46279</v>
      </c>
      <c r="P341">
        <v>12.8</v>
      </c>
      <c r="Q341">
        <v>0</v>
      </c>
      <c r="R341">
        <v>0</v>
      </c>
      <c r="S341">
        <v>16</v>
      </c>
      <c r="T341">
        <v>11</v>
      </c>
      <c r="U341">
        <v>7</v>
      </c>
      <c r="V341">
        <v>20260915016</v>
      </c>
    </row>
    <row r="342" spans="1:22" x14ac:dyDescent="0.2">
      <c r="A342" s="34" t="s">
        <v>122</v>
      </c>
      <c r="B342" s="28">
        <v>46280</v>
      </c>
      <c r="C342" s="34"/>
      <c r="D342" s="34" t="s">
        <v>340</v>
      </c>
      <c r="E342" s="34" t="s">
        <v>152</v>
      </c>
      <c r="F342" s="34" t="s">
        <v>153</v>
      </c>
      <c r="G342" s="34" t="s">
        <v>154</v>
      </c>
      <c r="H342" s="34" t="s">
        <v>155</v>
      </c>
      <c r="I342">
        <v>17</v>
      </c>
      <c r="J342">
        <v>0</v>
      </c>
      <c r="K342">
        <v>15</v>
      </c>
      <c r="L342">
        <v>2</v>
      </c>
      <c r="M342">
        <v>2</v>
      </c>
      <c r="N342">
        <v>0</v>
      </c>
      <c r="O342" s="28">
        <v>46279</v>
      </c>
      <c r="P342">
        <v>12.8</v>
      </c>
      <c r="Q342">
        <v>0</v>
      </c>
      <c r="R342">
        <v>0</v>
      </c>
      <c r="S342">
        <v>17</v>
      </c>
      <c r="T342">
        <v>11</v>
      </c>
      <c r="U342">
        <v>8</v>
      </c>
      <c r="V342">
        <v>20260915017</v>
      </c>
    </row>
    <row r="343" spans="1:22" x14ac:dyDescent="0.2">
      <c r="A343" s="34" t="s">
        <v>122</v>
      </c>
      <c r="B343" s="28">
        <v>46280</v>
      </c>
      <c r="C343" s="34"/>
      <c r="D343" s="34" t="s">
        <v>340</v>
      </c>
      <c r="E343" s="34" t="s">
        <v>156</v>
      </c>
      <c r="F343" s="34" t="s">
        <v>157</v>
      </c>
      <c r="G343" s="34" t="s">
        <v>158</v>
      </c>
      <c r="H343" s="34" t="s">
        <v>159</v>
      </c>
      <c r="I343">
        <v>17</v>
      </c>
      <c r="J343">
        <v>0</v>
      </c>
      <c r="K343">
        <v>15</v>
      </c>
      <c r="L343">
        <v>2</v>
      </c>
      <c r="M343">
        <v>2</v>
      </c>
      <c r="N343">
        <v>0</v>
      </c>
      <c r="O343" s="28">
        <v>46279</v>
      </c>
      <c r="P343">
        <v>18.2</v>
      </c>
      <c r="Q343">
        <v>0</v>
      </c>
      <c r="R343">
        <v>0</v>
      </c>
      <c r="S343">
        <v>18</v>
      </c>
      <c r="T343">
        <v>11</v>
      </c>
      <c r="U343">
        <v>9</v>
      </c>
      <c r="V343">
        <v>20260915018</v>
      </c>
    </row>
    <row r="344" spans="1:22" x14ac:dyDescent="0.2">
      <c r="A344" s="34" t="s">
        <v>122</v>
      </c>
      <c r="B344" s="28">
        <v>46280</v>
      </c>
      <c r="C344" s="34"/>
      <c r="D344" s="34" t="s">
        <v>340</v>
      </c>
      <c r="E344" s="34" t="s">
        <v>160</v>
      </c>
      <c r="F344" s="34" t="s">
        <v>161</v>
      </c>
      <c r="G344" s="34" t="s">
        <v>162</v>
      </c>
      <c r="H344" s="34" t="s">
        <v>163</v>
      </c>
      <c r="I344">
        <v>7</v>
      </c>
      <c r="J344">
        <v>0</v>
      </c>
      <c r="K344">
        <v>5</v>
      </c>
      <c r="L344">
        <v>2</v>
      </c>
      <c r="M344">
        <v>2</v>
      </c>
      <c r="N344">
        <v>0</v>
      </c>
      <c r="O344" s="28">
        <v>46279</v>
      </c>
      <c r="P344">
        <v>18.2</v>
      </c>
      <c r="Q344">
        <v>0</v>
      </c>
      <c r="R344">
        <v>0</v>
      </c>
      <c r="S344">
        <v>19</v>
      </c>
      <c r="T344">
        <v>11</v>
      </c>
      <c r="U344">
        <v>10</v>
      </c>
      <c r="V344">
        <v>20260915019</v>
      </c>
    </row>
    <row r="345" spans="1:22" x14ac:dyDescent="0.2">
      <c r="A345" s="34" t="s">
        <v>122</v>
      </c>
      <c r="B345" s="28">
        <v>46280</v>
      </c>
      <c r="C345" s="34"/>
      <c r="D345" s="34" t="s">
        <v>340</v>
      </c>
      <c r="E345" s="34" t="s">
        <v>168</v>
      </c>
      <c r="F345" s="34" t="s">
        <v>169</v>
      </c>
      <c r="G345" s="34" t="s">
        <v>170</v>
      </c>
      <c r="H345" s="34" t="s">
        <v>171</v>
      </c>
      <c r="I345">
        <v>15</v>
      </c>
      <c r="J345">
        <v>0</v>
      </c>
      <c r="K345">
        <v>14</v>
      </c>
      <c r="L345">
        <v>1</v>
      </c>
      <c r="M345">
        <v>1</v>
      </c>
      <c r="N345">
        <v>0</v>
      </c>
      <c r="O345" s="28">
        <v>46279</v>
      </c>
      <c r="P345">
        <v>18.2</v>
      </c>
      <c r="Q345">
        <v>0</v>
      </c>
      <c r="R345">
        <v>0</v>
      </c>
      <c r="S345">
        <v>20</v>
      </c>
      <c r="T345">
        <v>11</v>
      </c>
      <c r="U345">
        <v>12</v>
      </c>
      <c r="V345">
        <v>20260915020</v>
      </c>
    </row>
    <row r="346" spans="1:22" x14ac:dyDescent="0.2">
      <c r="A346" s="34" t="s">
        <v>122</v>
      </c>
      <c r="B346" s="28">
        <v>46280</v>
      </c>
      <c r="C346" s="34"/>
      <c r="D346" s="34" t="s">
        <v>340</v>
      </c>
      <c r="E346" s="34" t="s">
        <v>172</v>
      </c>
      <c r="F346" s="34" t="s">
        <v>173</v>
      </c>
      <c r="G346" s="34" t="s">
        <v>174</v>
      </c>
      <c r="H346" s="34" t="s">
        <v>175</v>
      </c>
      <c r="I346">
        <v>16</v>
      </c>
      <c r="J346">
        <v>0</v>
      </c>
      <c r="K346">
        <v>16</v>
      </c>
      <c r="L346">
        <v>0</v>
      </c>
      <c r="M346">
        <v>0</v>
      </c>
      <c r="N346">
        <v>0</v>
      </c>
      <c r="O346" s="28">
        <v>46279</v>
      </c>
      <c r="R346">
        <v>0</v>
      </c>
      <c r="S346">
        <v>21</v>
      </c>
      <c r="T346">
        <v>11</v>
      </c>
      <c r="U346">
        <v>13</v>
      </c>
      <c r="V346">
        <v>20260915021</v>
      </c>
    </row>
    <row r="347" spans="1:22" x14ac:dyDescent="0.2">
      <c r="A347" s="34" t="s">
        <v>122</v>
      </c>
      <c r="B347" s="28">
        <v>46280</v>
      </c>
      <c r="C347" s="34"/>
      <c r="D347" s="34" t="s">
        <v>340</v>
      </c>
      <c r="E347" s="34" t="s">
        <v>180</v>
      </c>
      <c r="F347" s="34" t="s">
        <v>181</v>
      </c>
      <c r="G347" s="34" t="s">
        <v>182</v>
      </c>
      <c r="H347" s="34" t="s">
        <v>183</v>
      </c>
      <c r="I347">
        <v>12</v>
      </c>
      <c r="J347">
        <v>0</v>
      </c>
      <c r="K347">
        <v>11</v>
      </c>
      <c r="L347">
        <v>1</v>
      </c>
      <c r="M347">
        <v>1</v>
      </c>
      <c r="N347">
        <v>0</v>
      </c>
      <c r="O347" s="28">
        <v>46279</v>
      </c>
      <c r="R347">
        <v>0</v>
      </c>
      <c r="S347">
        <v>22</v>
      </c>
      <c r="T347">
        <v>11</v>
      </c>
      <c r="U347">
        <v>15</v>
      </c>
      <c r="V347">
        <v>20260915022</v>
      </c>
    </row>
    <row r="348" spans="1:22" x14ac:dyDescent="0.2">
      <c r="A348" s="34" t="s">
        <v>122</v>
      </c>
      <c r="B348" s="28">
        <v>46280</v>
      </c>
      <c r="C348" s="34"/>
      <c r="D348" s="34" t="s">
        <v>340</v>
      </c>
      <c r="E348" s="34" t="s">
        <v>184</v>
      </c>
      <c r="F348" s="34" t="s">
        <v>185</v>
      </c>
      <c r="G348" s="34" t="s">
        <v>186</v>
      </c>
      <c r="H348" s="34" t="s">
        <v>187</v>
      </c>
      <c r="I348">
        <v>14</v>
      </c>
      <c r="J348">
        <v>0</v>
      </c>
      <c r="K348">
        <v>13</v>
      </c>
      <c r="L348">
        <v>1</v>
      </c>
      <c r="M348">
        <v>1</v>
      </c>
      <c r="N348">
        <v>0</v>
      </c>
      <c r="O348" s="28">
        <v>46279</v>
      </c>
      <c r="P348">
        <v>18.2</v>
      </c>
      <c r="Q348">
        <v>0</v>
      </c>
      <c r="R348">
        <v>0</v>
      </c>
      <c r="S348">
        <v>23</v>
      </c>
      <c r="T348">
        <v>11</v>
      </c>
      <c r="U348">
        <v>16</v>
      </c>
      <c r="V348">
        <v>20260915023</v>
      </c>
    </row>
    <row r="349" spans="1:22" x14ac:dyDescent="0.2">
      <c r="A349" s="34" t="s">
        <v>122</v>
      </c>
      <c r="B349" s="28">
        <v>46280</v>
      </c>
      <c r="C349" s="34"/>
      <c r="D349" s="34" t="s">
        <v>340</v>
      </c>
      <c r="E349" s="34" t="s">
        <v>188</v>
      </c>
      <c r="F349" s="34" t="s">
        <v>189</v>
      </c>
      <c r="G349" s="34" t="s">
        <v>190</v>
      </c>
      <c r="H349" s="34" t="s">
        <v>191</v>
      </c>
      <c r="I349">
        <v>5</v>
      </c>
      <c r="J349">
        <v>0</v>
      </c>
      <c r="K349">
        <v>4</v>
      </c>
      <c r="L349">
        <v>1</v>
      </c>
      <c r="M349">
        <v>1</v>
      </c>
      <c r="N349">
        <v>0</v>
      </c>
      <c r="O349" s="28">
        <v>46279</v>
      </c>
      <c r="P349">
        <v>14</v>
      </c>
      <c r="Q349">
        <v>0</v>
      </c>
      <c r="R349">
        <v>0</v>
      </c>
      <c r="S349">
        <v>24</v>
      </c>
      <c r="T349">
        <v>11</v>
      </c>
      <c r="U349">
        <v>21</v>
      </c>
      <c r="V349">
        <v>20260915024</v>
      </c>
    </row>
    <row r="350" spans="1:22" x14ac:dyDescent="0.2">
      <c r="A350" s="34" t="s">
        <v>122</v>
      </c>
      <c r="B350" s="28">
        <v>46280</v>
      </c>
      <c r="C350" s="34"/>
      <c r="D350" s="34" t="s">
        <v>340</v>
      </c>
      <c r="E350" s="34" t="s">
        <v>192</v>
      </c>
      <c r="F350" s="34" t="s">
        <v>193</v>
      </c>
      <c r="G350" s="34" t="s">
        <v>194</v>
      </c>
      <c r="H350" s="34" t="s">
        <v>195</v>
      </c>
      <c r="I350">
        <v>4</v>
      </c>
      <c r="J350">
        <v>0</v>
      </c>
      <c r="K350">
        <v>4</v>
      </c>
      <c r="L350">
        <v>0</v>
      </c>
      <c r="M350">
        <v>0</v>
      </c>
      <c r="N350">
        <v>0</v>
      </c>
      <c r="O350" s="28">
        <v>46279</v>
      </c>
      <c r="R350">
        <v>0</v>
      </c>
      <c r="S350">
        <v>25</v>
      </c>
      <c r="T350">
        <v>11</v>
      </c>
      <c r="U350">
        <v>22</v>
      </c>
      <c r="V350">
        <v>20260915025</v>
      </c>
    </row>
    <row r="351" spans="1:22" x14ac:dyDescent="0.2">
      <c r="A351" s="34" t="s">
        <v>122</v>
      </c>
      <c r="B351" s="28">
        <v>46280</v>
      </c>
      <c r="C351" s="34"/>
      <c r="D351" s="34" t="s">
        <v>340</v>
      </c>
      <c r="E351" s="34" t="s">
        <v>196</v>
      </c>
      <c r="F351" s="34" t="s">
        <v>197</v>
      </c>
      <c r="G351" s="34" t="s">
        <v>198</v>
      </c>
      <c r="H351" s="34" t="s">
        <v>199</v>
      </c>
      <c r="I351">
        <v>4</v>
      </c>
      <c r="J351">
        <v>0</v>
      </c>
      <c r="K351">
        <v>3</v>
      </c>
      <c r="L351">
        <v>1</v>
      </c>
      <c r="M351">
        <v>1</v>
      </c>
      <c r="N351">
        <v>0</v>
      </c>
      <c r="O351" s="28">
        <v>46279</v>
      </c>
      <c r="R351">
        <v>0</v>
      </c>
      <c r="S351">
        <v>26</v>
      </c>
      <c r="T351">
        <v>11</v>
      </c>
      <c r="U351">
        <v>23</v>
      </c>
      <c r="V351">
        <v>20260915026</v>
      </c>
    </row>
    <row r="352" spans="1:22" x14ac:dyDescent="0.2">
      <c r="A352" s="34" t="s">
        <v>122</v>
      </c>
      <c r="B352" s="28">
        <v>46280</v>
      </c>
      <c r="C352" s="34"/>
      <c r="D352" s="34" t="s">
        <v>340</v>
      </c>
      <c r="E352" s="34" t="s">
        <v>208</v>
      </c>
      <c r="F352" s="34" t="s">
        <v>209</v>
      </c>
      <c r="G352" s="34" t="s">
        <v>210</v>
      </c>
      <c r="H352" s="34" t="s">
        <v>211</v>
      </c>
      <c r="I352">
        <v>14</v>
      </c>
      <c r="J352">
        <v>0</v>
      </c>
      <c r="K352">
        <v>14</v>
      </c>
      <c r="L352">
        <v>0</v>
      </c>
      <c r="M352">
        <v>0</v>
      </c>
      <c r="N352">
        <v>0</v>
      </c>
      <c r="O352" s="28">
        <v>46279</v>
      </c>
      <c r="R352">
        <v>0</v>
      </c>
      <c r="S352">
        <v>27</v>
      </c>
      <c r="T352">
        <v>11</v>
      </c>
      <c r="U352">
        <v>26</v>
      </c>
      <c r="V352">
        <v>20260915027</v>
      </c>
    </row>
    <row r="353" spans="1:22" x14ac:dyDescent="0.2">
      <c r="A353" s="34" t="s">
        <v>122</v>
      </c>
      <c r="B353" s="28">
        <v>46280</v>
      </c>
      <c r="C353" s="34"/>
      <c r="D353" s="34" t="s">
        <v>340</v>
      </c>
      <c r="E353" s="34" t="s">
        <v>216</v>
      </c>
      <c r="F353" s="34" t="s">
        <v>217</v>
      </c>
      <c r="G353" s="34" t="s">
        <v>218</v>
      </c>
      <c r="H353" s="34" t="s">
        <v>219</v>
      </c>
      <c r="I353">
        <v>6</v>
      </c>
      <c r="J353">
        <v>0</v>
      </c>
      <c r="K353">
        <v>3</v>
      </c>
      <c r="L353">
        <v>3</v>
      </c>
      <c r="M353">
        <v>3</v>
      </c>
      <c r="N353">
        <v>0</v>
      </c>
      <c r="O353" s="28">
        <v>46279</v>
      </c>
      <c r="P353">
        <v>12.7</v>
      </c>
      <c r="Q353">
        <v>0</v>
      </c>
      <c r="R353">
        <v>0</v>
      </c>
      <c r="S353">
        <v>28</v>
      </c>
      <c r="T353">
        <v>11</v>
      </c>
      <c r="U353">
        <v>28</v>
      </c>
      <c r="V353">
        <v>20260915028</v>
      </c>
    </row>
    <row r="354" spans="1:22" x14ac:dyDescent="0.2">
      <c r="A354" s="34" t="s">
        <v>122</v>
      </c>
      <c r="B354" s="28">
        <v>46280</v>
      </c>
      <c r="C354" s="34"/>
      <c r="D354" s="34" t="s">
        <v>340</v>
      </c>
      <c r="E354" s="34" t="s">
        <v>220</v>
      </c>
      <c r="F354" s="34" t="s">
        <v>221</v>
      </c>
      <c r="G354" s="34" t="s">
        <v>222</v>
      </c>
      <c r="H354" s="34" t="s">
        <v>223</v>
      </c>
      <c r="I354">
        <v>13</v>
      </c>
      <c r="J354">
        <v>0</v>
      </c>
      <c r="K354">
        <v>11</v>
      </c>
      <c r="L354">
        <v>2</v>
      </c>
      <c r="M354">
        <v>2</v>
      </c>
      <c r="N354">
        <v>0</v>
      </c>
      <c r="O354" s="28">
        <v>46279</v>
      </c>
      <c r="P354">
        <v>17.899999999999999</v>
      </c>
      <c r="Q354">
        <v>0</v>
      </c>
      <c r="R354">
        <v>0</v>
      </c>
      <c r="S354">
        <v>29</v>
      </c>
      <c r="T354">
        <v>11</v>
      </c>
      <c r="U354">
        <v>29</v>
      </c>
      <c r="V354">
        <v>20260915029</v>
      </c>
    </row>
    <row r="355" spans="1:22" x14ac:dyDescent="0.2">
      <c r="A355" s="34" t="s">
        <v>122</v>
      </c>
      <c r="B355" s="28">
        <v>46280</v>
      </c>
      <c r="C355" s="34"/>
      <c r="D355" s="34" t="s">
        <v>340</v>
      </c>
      <c r="E355" s="34" t="s">
        <v>224</v>
      </c>
      <c r="F355" s="34" t="s">
        <v>225</v>
      </c>
      <c r="G355" s="34" t="s">
        <v>226</v>
      </c>
      <c r="H355" s="34" t="s">
        <v>227</v>
      </c>
      <c r="I355">
        <v>6</v>
      </c>
      <c r="J355">
        <v>0</v>
      </c>
      <c r="K355">
        <v>6</v>
      </c>
      <c r="L355">
        <v>0</v>
      </c>
      <c r="M355">
        <v>0</v>
      </c>
      <c r="N355">
        <v>0</v>
      </c>
      <c r="O355" s="28">
        <v>46279</v>
      </c>
      <c r="R355">
        <v>0</v>
      </c>
      <c r="S355">
        <v>30</v>
      </c>
      <c r="T355">
        <v>11</v>
      </c>
      <c r="U355">
        <v>30</v>
      </c>
      <c r="V355">
        <v>20260915030</v>
      </c>
    </row>
    <row r="356" spans="1:22" x14ac:dyDescent="0.2">
      <c r="A356" s="34" t="s">
        <v>122</v>
      </c>
      <c r="B356" s="28">
        <v>46280</v>
      </c>
      <c r="C356" s="34"/>
      <c r="D356" s="34" t="s">
        <v>340</v>
      </c>
      <c r="E356" s="34" t="s">
        <v>228</v>
      </c>
      <c r="F356" s="34" t="s">
        <v>229</v>
      </c>
      <c r="G356" s="34" t="s">
        <v>230</v>
      </c>
      <c r="H356" s="34" t="s">
        <v>231</v>
      </c>
      <c r="I356">
        <v>13</v>
      </c>
      <c r="J356">
        <v>0</v>
      </c>
      <c r="K356">
        <v>8</v>
      </c>
      <c r="L356">
        <v>5</v>
      </c>
      <c r="M356">
        <v>5</v>
      </c>
      <c r="N356">
        <v>0</v>
      </c>
      <c r="O356" s="28">
        <v>46279</v>
      </c>
      <c r="P356">
        <v>17.899999999999999</v>
      </c>
      <c r="Q356">
        <v>0</v>
      </c>
      <c r="R356">
        <v>0</v>
      </c>
      <c r="S356">
        <v>31</v>
      </c>
      <c r="T356">
        <v>11</v>
      </c>
      <c r="U356">
        <v>31</v>
      </c>
      <c r="V356">
        <v>20260915031</v>
      </c>
    </row>
    <row r="357" spans="1:22" x14ac:dyDescent="0.2">
      <c r="A357" s="34" t="s">
        <v>122</v>
      </c>
      <c r="B357" s="28">
        <v>46280</v>
      </c>
      <c r="C357" s="34"/>
      <c r="D357" s="34" t="s">
        <v>340</v>
      </c>
      <c r="E357" s="34" t="s">
        <v>232</v>
      </c>
      <c r="F357" s="34" t="s">
        <v>233</v>
      </c>
      <c r="G357" s="34" t="s">
        <v>234</v>
      </c>
      <c r="H357" s="34" t="s">
        <v>235</v>
      </c>
      <c r="I357">
        <v>11</v>
      </c>
      <c r="J357">
        <v>0</v>
      </c>
      <c r="K357">
        <v>8</v>
      </c>
      <c r="L357">
        <v>3</v>
      </c>
      <c r="M357">
        <v>3</v>
      </c>
      <c r="N357">
        <v>0</v>
      </c>
      <c r="O357" s="28">
        <v>46279</v>
      </c>
      <c r="P357">
        <v>17.899999999999999</v>
      </c>
      <c r="Q357">
        <v>0</v>
      </c>
      <c r="R357">
        <v>0</v>
      </c>
      <c r="S357">
        <v>32</v>
      </c>
      <c r="T357">
        <v>11</v>
      </c>
      <c r="U357">
        <v>32</v>
      </c>
      <c r="V357">
        <v>20260915032</v>
      </c>
    </row>
    <row r="358" spans="1:22" x14ac:dyDescent="0.2">
      <c r="A358" s="34" t="s">
        <v>122</v>
      </c>
      <c r="B358" s="28">
        <v>46280</v>
      </c>
      <c r="C358" s="34"/>
      <c r="D358" s="34" t="s">
        <v>340</v>
      </c>
      <c r="E358" s="34" t="s">
        <v>236</v>
      </c>
      <c r="F358" s="34" t="s">
        <v>237</v>
      </c>
      <c r="G358" s="34" t="s">
        <v>238</v>
      </c>
      <c r="H358" s="34" t="s">
        <v>239</v>
      </c>
      <c r="I358">
        <v>8</v>
      </c>
      <c r="J358">
        <v>0</v>
      </c>
      <c r="K358">
        <v>8</v>
      </c>
      <c r="L358">
        <v>0</v>
      </c>
      <c r="M358">
        <v>0</v>
      </c>
      <c r="N358">
        <v>0</v>
      </c>
      <c r="O358" s="28">
        <v>46279</v>
      </c>
      <c r="R358">
        <v>0</v>
      </c>
      <c r="S358">
        <v>33</v>
      </c>
      <c r="T358">
        <v>11</v>
      </c>
      <c r="U358">
        <v>33</v>
      </c>
      <c r="V358">
        <v>20260915033</v>
      </c>
    </row>
    <row r="359" spans="1:22" x14ac:dyDescent="0.2">
      <c r="A359" s="34" t="s">
        <v>122</v>
      </c>
      <c r="B359" s="28">
        <v>46280</v>
      </c>
      <c r="C359" s="34"/>
      <c r="D359" s="34" t="s">
        <v>340</v>
      </c>
      <c r="E359" s="34" t="s">
        <v>240</v>
      </c>
      <c r="F359" s="34" t="s">
        <v>241</v>
      </c>
      <c r="G359" s="34" t="s">
        <v>242</v>
      </c>
      <c r="H359" s="34" t="s">
        <v>243</v>
      </c>
      <c r="I359">
        <v>19</v>
      </c>
      <c r="J359">
        <v>0</v>
      </c>
      <c r="K359">
        <v>17</v>
      </c>
      <c r="L359">
        <v>2</v>
      </c>
      <c r="M359">
        <v>2</v>
      </c>
      <c r="N359">
        <v>0</v>
      </c>
      <c r="O359" s="28">
        <v>46279</v>
      </c>
      <c r="P359">
        <v>17.899999999999999</v>
      </c>
      <c r="Q359">
        <v>0</v>
      </c>
      <c r="R359">
        <v>0</v>
      </c>
      <c r="S359">
        <v>34</v>
      </c>
      <c r="T359">
        <v>11</v>
      </c>
      <c r="U359">
        <v>34</v>
      </c>
      <c r="V359">
        <v>20260915034</v>
      </c>
    </row>
    <row r="360" spans="1:22" x14ac:dyDescent="0.2">
      <c r="A360" s="34" t="s">
        <v>122</v>
      </c>
      <c r="B360" s="28">
        <v>46280</v>
      </c>
      <c r="C360" s="34"/>
      <c r="D360" s="34" t="s">
        <v>340</v>
      </c>
      <c r="E360" s="34" t="s">
        <v>244</v>
      </c>
      <c r="F360" s="34" t="s">
        <v>245</v>
      </c>
      <c r="G360" s="34" t="s">
        <v>246</v>
      </c>
      <c r="H360" s="34" t="s">
        <v>247</v>
      </c>
      <c r="I360">
        <v>5</v>
      </c>
      <c r="J360">
        <v>0</v>
      </c>
      <c r="K360">
        <v>5</v>
      </c>
      <c r="L360">
        <v>0</v>
      </c>
      <c r="M360">
        <v>0</v>
      </c>
      <c r="N360">
        <v>0</v>
      </c>
      <c r="O360" s="28">
        <v>46279</v>
      </c>
      <c r="R360">
        <v>0</v>
      </c>
      <c r="S360">
        <v>35</v>
      </c>
      <c r="T360">
        <v>11</v>
      </c>
      <c r="U360">
        <v>35</v>
      </c>
      <c r="V360">
        <v>20260915035</v>
      </c>
    </row>
    <row r="361" spans="1:22" x14ac:dyDescent="0.2">
      <c r="A361" s="34" t="s">
        <v>122</v>
      </c>
      <c r="B361" s="28">
        <v>46280</v>
      </c>
      <c r="C361" s="34"/>
      <c r="D361" s="34" t="s">
        <v>340</v>
      </c>
      <c r="E361" s="34" t="s">
        <v>248</v>
      </c>
      <c r="F361" s="34" t="s">
        <v>249</v>
      </c>
      <c r="G361" s="34" t="s">
        <v>250</v>
      </c>
      <c r="H361" s="34" t="s">
        <v>251</v>
      </c>
      <c r="I361">
        <v>4</v>
      </c>
      <c r="J361">
        <v>0</v>
      </c>
      <c r="K361">
        <v>4</v>
      </c>
      <c r="L361">
        <v>0</v>
      </c>
      <c r="M361">
        <v>0</v>
      </c>
      <c r="N361">
        <v>0</v>
      </c>
      <c r="O361" s="28">
        <v>46279</v>
      </c>
      <c r="R361">
        <v>0</v>
      </c>
      <c r="S361">
        <v>36</v>
      </c>
      <c r="T361">
        <v>11</v>
      </c>
      <c r="U361">
        <v>36</v>
      </c>
      <c r="V361">
        <v>20260915036</v>
      </c>
    </row>
    <row r="362" spans="1:22" x14ac:dyDescent="0.2">
      <c r="A362" s="34" t="s">
        <v>122</v>
      </c>
      <c r="B362" s="28">
        <v>46280</v>
      </c>
      <c r="C362" s="34"/>
      <c r="D362" s="34" t="s">
        <v>340</v>
      </c>
      <c r="E362" s="34" t="s">
        <v>256</v>
      </c>
      <c r="F362" s="34" t="s">
        <v>257</v>
      </c>
      <c r="G362" s="34" t="s">
        <v>258</v>
      </c>
      <c r="H362" s="34" t="s">
        <v>259</v>
      </c>
      <c r="I362">
        <v>4</v>
      </c>
      <c r="J362">
        <v>0</v>
      </c>
      <c r="K362">
        <v>4</v>
      </c>
      <c r="L362">
        <v>0</v>
      </c>
      <c r="M362">
        <v>0</v>
      </c>
      <c r="N362">
        <v>0</v>
      </c>
      <c r="O362" s="28">
        <v>46279</v>
      </c>
      <c r="R362">
        <v>0</v>
      </c>
      <c r="S362">
        <v>37</v>
      </c>
      <c r="T362">
        <v>11</v>
      </c>
      <c r="U362">
        <v>38</v>
      </c>
      <c r="V362">
        <v>20260915037</v>
      </c>
    </row>
    <row r="363" spans="1:22" x14ac:dyDescent="0.2">
      <c r="A363" s="34" t="s">
        <v>122</v>
      </c>
      <c r="B363" s="28">
        <v>46280</v>
      </c>
      <c r="C363" s="34"/>
      <c r="D363" s="34" t="s">
        <v>340</v>
      </c>
      <c r="E363" s="34" t="s">
        <v>260</v>
      </c>
      <c r="F363" s="34" t="s">
        <v>261</v>
      </c>
      <c r="G363" s="34" t="s">
        <v>262</v>
      </c>
      <c r="H363" s="34" t="s">
        <v>263</v>
      </c>
      <c r="I363">
        <v>4</v>
      </c>
      <c r="J363">
        <v>0</v>
      </c>
      <c r="K363">
        <v>4</v>
      </c>
      <c r="L363">
        <v>0</v>
      </c>
      <c r="M363">
        <v>0</v>
      </c>
      <c r="N363">
        <v>0</v>
      </c>
      <c r="O363" s="28">
        <v>46279</v>
      </c>
      <c r="R363">
        <v>0</v>
      </c>
      <c r="S363">
        <v>38</v>
      </c>
      <c r="T363">
        <v>11</v>
      </c>
      <c r="U363">
        <v>39</v>
      </c>
      <c r="V363">
        <v>20260915038</v>
      </c>
    </row>
    <row r="364" spans="1:22" x14ac:dyDescent="0.2">
      <c r="A364" s="34" t="s">
        <v>122</v>
      </c>
      <c r="B364" s="28">
        <v>46280</v>
      </c>
      <c r="C364" s="34"/>
      <c r="D364" s="34" t="s">
        <v>340</v>
      </c>
      <c r="E364" s="34" t="s">
        <v>268</v>
      </c>
      <c r="F364" s="34" t="s">
        <v>269</v>
      </c>
      <c r="G364" s="34" t="s">
        <v>270</v>
      </c>
      <c r="H364" s="34" t="s">
        <v>271</v>
      </c>
      <c r="I364">
        <v>4</v>
      </c>
      <c r="J364">
        <v>0</v>
      </c>
      <c r="K364">
        <v>4</v>
      </c>
      <c r="L364">
        <v>0</v>
      </c>
      <c r="M364">
        <v>0</v>
      </c>
      <c r="N364">
        <v>0</v>
      </c>
      <c r="O364" s="28">
        <v>46279</v>
      </c>
      <c r="R364">
        <v>0</v>
      </c>
      <c r="S364">
        <v>39</v>
      </c>
      <c r="T364">
        <v>11</v>
      </c>
      <c r="U364">
        <v>41</v>
      </c>
      <c r="V364">
        <v>20260915039</v>
      </c>
    </row>
    <row r="365" spans="1:22" x14ac:dyDescent="0.2">
      <c r="A365" s="34" t="s">
        <v>122</v>
      </c>
      <c r="B365" s="28">
        <v>46280</v>
      </c>
      <c r="C365" s="34"/>
      <c r="D365" s="34" t="s">
        <v>340</v>
      </c>
      <c r="E365" s="34" t="s">
        <v>279</v>
      </c>
      <c r="F365" s="34" t="s">
        <v>280</v>
      </c>
      <c r="G365" s="34" t="s">
        <v>281</v>
      </c>
      <c r="H365" s="34" t="s">
        <v>282</v>
      </c>
      <c r="I365">
        <v>6</v>
      </c>
      <c r="J365">
        <v>0</v>
      </c>
      <c r="K365">
        <v>6</v>
      </c>
      <c r="L365">
        <v>0</v>
      </c>
      <c r="M365">
        <v>0</v>
      </c>
      <c r="N365">
        <v>0</v>
      </c>
      <c r="O365" s="28">
        <v>46279</v>
      </c>
      <c r="R365">
        <v>0</v>
      </c>
      <c r="S365">
        <v>40</v>
      </c>
      <c r="T365">
        <v>11</v>
      </c>
      <c r="U365">
        <v>44</v>
      </c>
      <c r="V365">
        <v>20260915040</v>
      </c>
    </row>
    <row r="366" spans="1:22" x14ac:dyDescent="0.2">
      <c r="A366" s="34" t="s">
        <v>122</v>
      </c>
      <c r="B366" s="28">
        <v>46280</v>
      </c>
      <c r="C366" s="34"/>
      <c r="D366" s="34" t="s">
        <v>340</v>
      </c>
      <c r="E366" s="34" t="s">
        <v>283</v>
      </c>
      <c r="F366" s="34" t="s">
        <v>284</v>
      </c>
      <c r="G366" s="34" t="s">
        <v>285</v>
      </c>
      <c r="H366" s="34" t="s">
        <v>286</v>
      </c>
      <c r="I366">
        <v>13</v>
      </c>
      <c r="J366">
        <v>0</v>
      </c>
      <c r="K366">
        <v>10</v>
      </c>
      <c r="L366">
        <v>3</v>
      </c>
      <c r="M366">
        <v>3</v>
      </c>
      <c r="N366">
        <v>0</v>
      </c>
      <c r="O366" s="28">
        <v>46279</v>
      </c>
      <c r="P366">
        <v>16.7</v>
      </c>
      <c r="Q366">
        <v>0</v>
      </c>
      <c r="R366">
        <v>0</v>
      </c>
      <c r="S366">
        <v>41</v>
      </c>
      <c r="T366">
        <v>11</v>
      </c>
      <c r="U366">
        <v>45</v>
      </c>
      <c r="V366">
        <v>20260915041</v>
      </c>
    </row>
    <row r="367" spans="1:22" x14ac:dyDescent="0.2">
      <c r="A367" s="34" t="s">
        <v>122</v>
      </c>
      <c r="B367" s="28">
        <v>46280</v>
      </c>
      <c r="C367" s="34"/>
      <c r="D367" s="34" t="s">
        <v>340</v>
      </c>
      <c r="E367" s="34" t="s">
        <v>287</v>
      </c>
      <c r="F367" s="34" t="s">
        <v>288</v>
      </c>
      <c r="G367" s="34" t="s">
        <v>289</v>
      </c>
      <c r="H367" s="34" t="s">
        <v>290</v>
      </c>
      <c r="I367">
        <v>23</v>
      </c>
      <c r="J367">
        <v>0</v>
      </c>
      <c r="K367">
        <v>20</v>
      </c>
      <c r="L367">
        <v>3</v>
      </c>
      <c r="M367">
        <v>3</v>
      </c>
      <c r="N367">
        <v>0</v>
      </c>
      <c r="O367" s="28">
        <v>46279</v>
      </c>
      <c r="P367">
        <v>16.7</v>
      </c>
      <c r="Q367">
        <v>0</v>
      </c>
      <c r="R367">
        <v>0</v>
      </c>
      <c r="S367">
        <v>42</v>
      </c>
      <c r="T367">
        <v>11</v>
      </c>
      <c r="U367">
        <v>46</v>
      </c>
      <c r="V367">
        <v>20260915042</v>
      </c>
    </row>
    <row r="368" spans="1:22" x14ac:dyDescent="0.2">
      <c r="A368" s="34" t="s">
        <v>122</v>
      </c>
      <c r="B368" s="28">
        <v>46280</v>
      </c>
      <c r="C368" s="34"/>
      <c r="D368" s="34" t="s">
        <v>340</v>
      </c>
      <c r="E368" s="34" t="s">
        <v>291</v>
      </c>
      <c r="F368" s="34" t="s">
        <v>342</v>
      </c>
      <c r="G368" s="34" t="s">
        <v>292</v>
      </c>
      <c r="H368" s="34" t="s">
        <v>293</v>
      </c>
      <c r="I368">
        <v>23</v>
      </c>
      <c r="J368">
        <v>0</v>
      </c>
      <c r="K368">
        <v>23</v>
      </c>
      <c r="L368">
        <v>0</v>
      </c>
      <c r="M368">
        <v>0</v>
      </c>
      <c r="N368">
        <v>0</v>
      </c>
      <c r="O368" s="28">
        <v>46279</v>
      </c>
      <c r="R368">
        <v>0</v>
      </c>
      <c r="S368">
        <v>43</v>
      </c>
      <c r="T368">
        <v>11</v>
      </c>
      <c r="U368">
        <v>47</v>
      </c>
      <c r="V368">
        <v>20260915043</v>
      </c>
    </row>
    <row r="369" spans="1:22" x14ac:dyDescent="0.2">
      <c r="A369" s="34" t="s">
        <v>122</v>
      </c>
      <c r="B369" s="28">
        <v>46280</v>
      </c>
      <c r="C369" s="34"/>
      <c r="D369" s="34" t="s">
        <v>340</v>
      </c>
      <c r="E369" s="34" t="s">
        <v>294</v>
      </c>
      <c r="F369" s="34" t="s">
        <v>295</v>
      </c>
      <c r="G369" s="34" t="s">
        <v>296</v>
      </c>
      <c r="H369" s="34" t="s">
        <v>297</v>
      </c>
      <c r="I369">
        <v>10</v>
      </c>
      <c r="J369">
        <v>0</v>
      </c>
      <c r="K369">
        <v>9</v>
      </c>
      <c r="L369">
        <v>1</v>
      </c>
      <c r="M369">
        <v>1</v>
      </c>
      <c r="N369">
        <v>0</v>
      </c>
      <c r="O369" s="28">
        <v>46279</v>
      </c>
      <c r="P369">
        <v>12</v>
      </c>
      <c r="Q369">
        <v>0</v>
      </c>
      <c r="R369">
        <v>0</v>
      </c>
      <c r="S369">
        <v>44</v>
      </c>
      <c r="T369">
        <v>11</v>
      </c>
      <c r="U369">
        <v>48</v>
      </c>
      <c r="V369">
        <v>20260915044</v>
      </c>
    </row>
    <row r="370" spans="1:22" x14ac:dyDescent="0.2">
      <c r="A370" s="34" t="s">
        <v>122</v>
      </c>
      <c r="B370" s="28">
        <v>46280</v>
      </c>
      <c r="C370" s="34"/>
      <c r="D370" s="34" t="s">
        <v>340</v>
      </c>
      <c r="E370" s="34" t="s">
        <v>298</v>
      </c>
      <c r="F370" s="34" t="s">
        <v>299</v>
      </c>
      <c r="G370" s="34" t="s">
        <v>300</v>
      </c>
      <c r="H370" s="34" t="s">
        <v>301</v>
      </c>
      <c r="I370">
        <v>13</v>
      </c>
      <c r="J370">
        <v>0</v>
      </c>
      <c r="K370">
        <v>13</v>
      </c>
      <c r="L370">
        <v>0</v>
      </c>
      <c r="M370">
        <v>0</v>
      </c>
      <c r="N370">
        <v>0</v>
      </c>
      <c r="O370" s="28">
        <v>46279</v>
      </c>
      <c r="R370">
        <v>0</v>
      </c>
      <c r="S370">
        <v>45</v>
      </c>
      <c r="T370">
        <v>11</v>
      </c>
      <c r="U370">
        <v>49</v>
      </c>
      <c r="V370">
        <v>20260915045</v>
      </c>
    </row>
    <row r="371" spans="1:22" x14ac:dyDescent="0.2">
      <c r="A371" s="34" t="s">
        <v>122</v>
      </c>
      <c r="B371" s="28">
        <v>46280</v>
      </c>
      <c r="C371" s="34"/>
      <c r="D371" s="34" t="s">
        <v>340</v>
      </c>
      <c r="E371" s="34" t="s">
        <v>302</v>
      </c>
      <c r="F371" s="34" t="s">
        <v>303</v>
      </c>
      <c r="G371" s="34" t="s">
        <v>304</v>
      </c>
      <c r="H371" s="34" t="s">
        <v>305</v>
      </c>
      <c r="I371">
        <v>8</v>
      </c>
      <c r="J371">
        <v>0</v>
      </c>
      <c r="K371">
        <v>8</v>
      </c>
      <c r="L371">
        <v>0</v>
      </c>
      <c r="M371">
        <v>0</v>
      </c>
      <c r="N371">
        <v>0</v>
      </c>
      <c r="O371" s="28">
        <v>46279</v>
      </c>
      <c r="R371">
        <v>0</v>
      </c>
      <c r="S371">
        <v>46</v>
      </c>
      <c r="T371">
        <v>11</v>
      </c>
      <c r="U371">
        <v>50</v>
      </c>
      <c r="V371">
        <v>20260915046</v>
      </c>
    </row>
    <row r="372" spans="1:22" x14ac:dyDescent="0.2">
      <c r="A372" s="34" t="s">
        <v>122</v>
      </c>
      <c r="B372" s="28">
        <v>46280</v>
      </c>
      <c r="C372" s="34"/>
      <c r="D372" s="34" t="s">
        <v>340</v>
      </c>
      <c r="E372" s="34" t="s">
        <v>306</v>
      </c>
      <c r="F372" s="34" t="s">
        <v>307</v>
      </c>
      <c r="G372" s="34" t="s">
        <v>308</v>
      </c>
      <c r="H372" s="34" t="s">
        <v>309</v>
      </c>
      <c r="I372">
        <v>10</v>
      </c>
      <c r="J372">
        <v>0</v>
      </c>
      <c r="K372">
        <v>10</v>
      </c>
      <c r="L372">
        <v>0</v>
      </c>
      <c r="M372">
        <v>0</v>
      </c>
      <c r="N372">
        <v>0</v>
      </c>
      <c r="O372" s="28">
        <v>46279</v>
      </c>
      <c r="R372">
        <v>0</v>
      </c>
      <c r="S372">
        <v>47</v>
      </c>
      <c r="T372">
        <v>11</v>
      </c>
      <c r="U372">
        <v>51</v>
      </c>
      <c r="V372">
        <v>20260915047</v>
      </c>
    </row>
    <row r="373" spans="1:22" x14ac:dyDescent="0.2">
      <c r="A373" s="34" t="s">
        <v>122</v>
      </c>
      <c r="B373" s="28">
        <v>46280</v>
      </c>
      <c r="C373" s="34"/>
      <c r="D373" s="34" t="s">
        <v>340</v>
      </c>
      <c r="E373" s="34" t="s">
        <v>310</v>
      </c>
      <c r="F373" s="34" t="s">
        <v>311</v>
      </c>
      <c r="G373" s="34" t="s">
        <v>312</v>
      </c>
      <c r="H373" s="34" t="s">
        <v>313</v>
      </c>
      <c r="I373">
        <v>7</v>
      </c>
      <c r="J373">
        <v>0</v>
      </c>
      <c r="K373">
        <v>5</v>
      </c>
      <c r="L373">
        <v>2</v>
      </c>
      <c r="M373">
        <v>2</v>
      </c>
      <c r="N373">
        <v>0</v>
      </c>
      <c r="O373" s="28">
        <v>46279</v>
      </c>
      <c r="P373">
        <v>12.9</v>
      </c>
      <c r="Q373">
        <v>0</v>
      </c>
      <c r="R373">
        <v>0</v>
      </c>
      <c r="S373">
        <v>48</v>
      </c>
      <c r="T373">
        <v>11</v>
      </c>
      <c r="U373">
        <v>52</v>
      </c>
      <c r="V373">
        <v>20260915048</v>
      </c>
    </row>
    <row r="374" spans="1:22" x14ac:dyDescent="0.2">
      <c r="A374" s="34" t="s">
        <v>122</v>
      </c>
      <c r="B374" s="28">
        <v>46280</v>
      </c>
      <c r="C374" s="34"/>
      <c r="D374" s="34" t="s">
        <v>340</v>
      </c>
      <c r="E374" s="34" t="s">
        <v>314</v>
      </c>
      <c r="F374" s="34" t="s">
        <v>315</v>
      </c>
      <c r="G374" s="34" t="s">
        <v>316</v>
      </c>
      <c r="H374" s="34" t="s">
        <v>317</v>
      </c>
      <c r="I374">
        <v>31</v>
      </c>
      <c r="J374">
        <v>0</v>
      </c>
      <c r="K374">
        <v>29</v>
      </c>
      <c r="L374">
        <v>2</v>
      </c>
      <c r="M374">
        <v>2</v>
      </c>
      <c r="N374">
        <v>0</v>
      </c>
      <c r="O374" s="28">
        <v>46279</v>
      </c>
      <c r="P374">
        <v>12.9</v>
      </c>
      <c r="Q374">
        <v>0</v>
      </c>
      <c r="R374">
        <v>0</v>
      </c>
      <c r="S374">
        <v>49</v>
      </c>
      <c r="T374">
        <v>11</v>
      </c>
      <c r="U374">
        <v>53</v>
      </c>
      <c r="V374">
        <v>20260915049</v>
      </c>
    </row>
    <row r="375" spans="1:22" x14ac:dyDescent="0.2">
      <c r="A375" s="34" t="s">
        <v>122</v>
      </c>
      <c r="B375" s="28">
        <v>46280</v>
      </c>
      <c r="C375" s="34"/>
      <c r="D375" s="34" t="s">
        <v>340</v>
      </c>
      <c r="E375" s="34" t="s">
        <v>318</v>
      </c>
      <c r="F375" s="34" t="s">
        <v>319</v>
      </c>
      <c r="G375" s="34" t="s">
        <v>320</v>
      </c>
      <c r="H375" s="34" t="s">
        <v>321</v>
      </c>
      <c r="I375">
        <v>4</v>
      </c>
      <c r="J375">
        <v>0</v>
      </c>
      <c r="K375">
        <v>3</v>
      </c>
      <c r="L375">
        <v>1</v>
      </c>
      <c r="M375">
        <v>1</v>
      </c>
      <c r="N375">
        <v>0</v>
      </c>
      <c r="O375" s="28">
        <v>46279</v>
      </c>
      <c r="P375">
        <v>16.399999999999999</v>
      </c>
      <c r="Q375">
        <v>0</v>
      </c>
      <c r="R375">
        <v>0</v>
      </c>
      <c r="S375">
        <v>50</v>
      </c>
      <c r="T375">
        <v>11</v>
      </c>
      <c r="U375">
        <v>54</v>
      </c>
      <c r="V375">
        <v>20260915050</v>
      </c>
    </row>
    <row r="376" spans="1:22" x14ac:dyDescent="0.2">
      <c r="A376" s="34" t="s">
        <v>122</v>
      </c>
      <c r="B376" s="28">
        <v>46280</v>
      </c>
      <c r="C376" s="34"/>
      <c r="D376" s="34" t="s">
        <v>340</v>
      </c>
      <c r="E376" s="34" t="s">
        <v>322</v>
      </c>
      <c r="F376" s="34" t="s">
        <v>323</v>
      </c>
      <c r="G376" s="34" t="s">
        <v>324</v>
      </c>
      <c r="H376" s="34" t="s">
        <v>325</v>
      </c>
      <c r="I376">
        <v>7</v>
      </c>
      <c r="J376">
        <v>0</v>
      </c>
      <c r="K376">
        <v>7</v>
      </c>
      <c r="L376">
        <v>0</v>
      </c>
      <c r="M376">
        <v>0</v>
      </c>
      <c r="N376">
        <v>0</v>
      </c>
      <c r="O376" s="28">
        <v>46279</v>
      </c>
      <c r="R376">
        <v>0</v>
      </c>
      <c r="S376">
        <v>51</v>
      </c>
      <c r="T376">
        <v>11</v>
      </c>
      <c r="U376">
        <v>55</v>
      </c>
      <c r="V376">
        <v>20260915051</v>
      </c>
    </row>
    <row r="377" spans="1:22" x14ac:dyDescent="0.2">
      <c r="A377" s="34" t="s">
        <v>122</v>
      </c>
      <c r="B377" s="28">
        <v>46280</v>
      </c>
      <c r="C377" s="34"/>
      <c r="D377" s="34" t="s">
        <v>340</v>
      </c>
      <c r="E377" s="34" t="s">
        <v>326</v>
      </c>
      <c r="F377" s="34" t="s">
        <v>327</v>
      </c>
      <c r="G377" s="34" t="s">
        <v>328</v>
      </c>
      <c r="H377" s="34" t="s">
        <v>329</v>
      </c>
      <c r="I377">
        <v>25</v>
      </c>
      <c r="J377">
        <v>0</v>
      </c>
      <c r="K377">
        <v>19</v>
      </c>
      <c r="L377">
        <v>6</v>
      </c>
      <c r="M377">
        <v>6</v>
      </c>
      <c r="N377">
        <v>0</v>
      </c>
      <c r="O377" s="28">
        <v>46279</v>
      </c>
      <c r="P377">
        <v>16.8</v>
      </c>
      <c r="Q377">
        <v>0</v>
      </c>
      <c r="R377">
        <v>0</v>
      </c>
      <c r="S377">
        <v>52</v>
      </c>
      <c r="T377">
        <v>11</v>
      </c>
      <c r="U377">
        <v>73</v>
      </c>
      <c r="V377">
        <v>20260915052</v>
      </c>
    </row>
    <row r="378" spans="1:22" x14ac:dyDescent="0.2">
      <c r="A378" s="34" t="s">
        <v>122</v>
      </c>
      <c r="B378" s="28">
        <v>46280</v>
      </c>
      <c r="C378" s="34"/>
      <c r="D378" s="34" t="s">
        <v>340</v>
      </c>
      <c r="E378" s="34" t="s">
        <v>330</v>
      </c>
      <c r="F378" s="34" t="s">
        <v>331</v>
      </c>
      <c r="G378" s="34" t="s">
        <v>332</v>
      </c>
      <c r="H378" s="34" t="s">
        <v>333</v>
      </c>
      <c r="I378">
        <v>4</v>
      </c>
      <c r="J378">
        <v>0</v>
      </c>
      <c r="K378">
        <v>4</v>
      </c>
      <c r="L378">
        <v>0</v>
      </c>
      <c r="M378">
        <v>0</v>
      </c>
      <c r="N378">
        <v>0</v>
      </c>
      <c r="O378" s="28">
        <v>46279</v>
      </c>
      <c r="R378">
        <v>0</v>
      </c>
      <c r="S378">
        <v>53</v>
      </c>
      <c r="T378">
        <v>11</v>
      </c>
      <c r="U378">
        <v>74</v>
      </c>
      <c r="V378">
        <v>20260915053</v>
      </c>
    </row>
    <row r="379" spans="1:22" x14ac:dyDescent="0.2">
      <c r="A379" s="34" t="s">
        <v>122</v>
      </c>
      <c r="B379" s="28">
        <v>46280</v>
      </c>
      <c r="C379" s="34"/>
      <c r="D379" s="34" t="s">
        <v>340</v>
      </c>
      <c r="E379" s="34" t="s">
        <v>334</v>
      </c>
      <c r="F379" s="34" t="s">
        <v>335</v>
      </c>
      <c r="G379" s="34" t="s">
        <v>336</v>
      </c>
      <c r="H379" s="34" t="s">
        <v>337</v>
      </c>
      <c r="I379">
        <v>15</v>
      </c>
      <c r="J379">
        <v>0</v>
      </c>
      <c r="K379">
        <v>11</v>
      </c>
      <c r="L379">
        <v>4</v>
      </c>
      <c r="M379">
        <v>4</v>
      </c>
      <c r="N379">
        <v>0</v>
      </c>
      <c r="O379" s="28">
        <v>46279</v>
      </c>
      <c r="P379">
        <v>16.600000000000001</v>
      </c>
      <c r="Q379">
        <v>0</v>
      </c>
      <c r="R379">
        <v>0</v>
      </c>
      <c r="S379">
        <v>54</v>
      </c>
      <c r="T379">
        <v>11</v>
      </c>
      <c r="U379">
        <v>75</v>
      </c>
      <c r="V379">
        <v>20260915054</v>
      </c>
    </row>
    <row r="380" spans="1:22" x14ac:dyDescent="0.2">
      <c r="A380" s="34" t="s">
        <v>122</v>
      </c>
      <c r="B380" s="28">
        <v>46281</v>
      </c>
      <c r="C380" s="34"/>
      <c r="D380" s="34" t="s">
        <v>340</v>
      </c>
      <c r="E380" s="34" t="s">
        <v>164</v>
      </c>
      <c r="F380" s="34" t="s">
        <v>165</v>
      </c>
      <c r="G380" s="34" t="s">
        <v>166</v>
      </c>
      <c r="H380" s="34" t="s">
        <v>167</v>
      </c>
      <c r="I380">
        <v>27</v>
      </c>
      <c r="J380">
        <v>0</v>
      </c>
      <c r="K380">
        <v>34</v>
      </c>
      <c r="L380">
        <v>-7</v>
      </c>
      <c r="M380">
        <v>23</v>
      </c>
      <c r="N380">
        <v>-30</v>
      </c>
      <c r="O380" s="28">
        <v>46280</v>
      </c>
      <c r="P380">
        <v>18.2</v>
      </c>
      <c r="Q380">
        <v>-546</v>
      </c>
      <c r="R380">
        <v>30</v>
      </c>
      <c r="S380">
        <v>1</v>
      </c>
      <c r="T380">
        <v>10</v>
      </c>
      <c r="U380">
        <v>11</v>
      </c>
      <c r="V380">
        <v>20260916001</v>
      </c>
    </row>
    <row r="381" spans="1:22" x14ac:dyDescent="0.2">
      <c r="A381" s="34" t="s">
        <v>122</v>
      </c>
      <c r="B381" s="28">
        <v>46281</v>
      </c>
      <c r="C381" s="34"/>
      <c r="D381" s="34" t="s">
        <v>340</v>
      </c>
      <c r="E381" s="34" t="s">
        <v>152</v>
      </c>
      <c r="F381" s="34" t="s">
        <v>153</v>
      </c>
      <c r="G381" s="34" t="s">
        <v>154</v>
      </c>
      <c r="H381" s="34" t="s">
        <v>155</v>
      </c>
      <c r="I381">
        <v>15</v>
      </c>
      <c r="J381">
        <v>0</v>
      </c>
      <c r="K381">
        <v>13</v>
      </c>
      <c r="L381">
        <v>2</v>
      </c>
      <c r="M381">
        <v>12</v>
      </c>
      <c r="N381">
        <v>-10</v>
      </c>
      <c r="O381" s="28">
        <v>46280</v>
      </c>
      <c r="P381">
        <v>12.8</v>
      </c>
      <c r="Q381">
        <v>-128</v>
      </c>
      <c r="R381">
        <v>10</v>
      </c>
      <c r="S381">
        <v>2</v>
      </c>
      <c r="T381">
        <v>10</v>
      </c>
      <c r="U381">
        <v>8</v>
      </c>
      <c r="V381">
        <v>20260916002</v>
      </c>
    </row>
    <row r="382" spans="1:22" x14ac:dyDescent="0.2">
      <c r="A382" s="34" t="s">
        <v>122</v>
      </c>
      <c r="B382" s="28">
        <v>46281</v>
      </c>
      <c r="C382" s="34"/>
      <c r="D382" s="34" t="s">
        <v>340</v>
      </c>
      <c r="E382" s="34" t="s">
        <v>176</v>
      </c>
      <c r="F382" s="34" t="s">
        <v>177</v>
      </c>
      <c r="G382" s="34" t="s">
        <v>178</v>
      </c>
      <c r="H382" s="34" t="s">
        <v>179</v>
      </c>
      <c r="I382">
        <v>18</v>
      </c>
      <c r="J382">
        <v>0</v>
      </c>
      <c r="K382">
        <v>22</v>
      </c>
      <c r="L382">
        <v>-4</v>
      </c>
      <c r="M382">
        <v>6</v>
      </c>
      <c r="N382">
        <v>-10</v>
      </c>
      <c r="O382" s="28">
        <v>46280</v>
      </c>
      <c r="P382">
        <v>18.2</v>
      </c>
      <c r="Q382">
        <v>-182</v>
      </c>
      <c r="R382">
        <v>10</v>
      </c>
      <c r="S382">
        <v>3</v>
      </c>
      <c r="T382">
        <v>10</v>
      </c>
      <c r="U382">
        <v>14</v>
      </c>
      <c r="V382">
        <v>20260916003</v>
      </c>
    </row>
    <row r="383" spans="1:22" x14ac:dyDescent="0.2">
      <c r="A383" s="34" t="s">
        <v>122</v>
      </c>
      <c r="B383" s="28">
        <v>46281</v>
      </c>
      <c r="C383" s="34"/>
      <c r="D383" s="34" t="s">
        <v>340</v>
      </c>
      <c r="E383" s="34" t="s">
        <v>310</v>
      </c>
      <c r="F383" s="34" t="s">
        <v>311</v>
      </c>
      <c r="G383" s="34" t="s">
        <v>312</v>
      </c>
      <c r="H383" s="34" t="s">
        <v>313</v>
      </c>
      <c r="I383">
        <v>5</v>
      </c>
      <c r="J383">
        <v>0</v>
      </c>
      <c r="K383">
        <v>9</v>
      </c>
      <c r="L383">
        <v>-4</v>
      </c>
      <c r="M383">
        <v>6</v>
      </c>
      <c r="N383">
        <v>-10</v>
      </c>
      <c r="O383" s="28">
        <v>46280</v>
      </c>
      <c r="P383">
        <v>12.8</v>
      </c>
      <c r="Q383">
        <v>-128</v>
      </c>
      <c r="R383">
        <v>10</v>
      </c>
      <c r="S383">
        <v>4</v>
      </c>
      <c r="T383">
        <v>10</v>
      </c>
      <c r="U383">
        <v>52</v>
      </c>
      <c r="V383">
        <v>20260916004</v>
      </c>
    </row>
    <row r="384" spans="1:22" x14ac:dyDescent="0.2">
      <c r="A384" s="34" t="s">
        <v>122</v>
      </c>
      <c r="B384" s="28">
        <v>46281</v>
      </c>
      <c r="C384" s="34"/>
      <c r="D384" s="34" t="s">
        <v>340</v>
      </c>
      <c r="E384" s="34" t="s">
        <v>208</v>
      </c>
      <c r="F384" s="34" t="s">
        <v>209</v>
      </c>
      <c r="G384" s="34" t="s">
        <v>210</v>
      </c>
      <c r="H384" s="34" t="s">
        <v>211</v>
      </c>
      <c r="I384">
        <v>14</v>
      </c>
      <c r="J384">
        <v>0</v>
      </c>
      <c r="K384">
        <v>9</v>
      </c>
      <c r="L384">
        <v>5</v>
      </c>
      <c r="M384">
        <v>4</v>
      </c>
      <c r="N384">
        <v>1</v>
      </c>
      <c r="O384" s="28">
        <v>46280</v>
      </c>
      <c r="P384">
        <v>12.7</v>
      </c>
      <c r="Q384">
        <v>12.7</v>
      </c>
      <c r="R384">
        <v>1</v>
      </c>
      <c r="S384">
        <v>5</v>
      </c>
      <c r="T384">
        <v>10</v>
      </c>
      <c r="U384">
        <v>26</v>
      </c>
      <c r="V384">
        <v>20260916005</v>
      </c>
    </row>
    <row r="385" spans="1:22" x14ac:dyDescent="0.2">
      <c r="A385" s="34" t="s">
        <v>122</v>
      </c>
      <c r="B385" s="28">
        <v>46281</v>
      </c>
      <c r="C385" s="34"/>
      <c r="D385" s="34" t="s">
        <v>340</v>
      </c>
      <c r="E385" s="34" t="s">
        <v>212</v>
      </c>
      <c r="F385" s="34" t="s">
        <v>213</v>
      </c>
      <c r="G385" s="34" t="s">
        <v>214</v>
      </c>
      <c r="H385" s="34" t="s">
        <v>215</v>
      </c>
      <c r="I385">
        <v>19</v>
      </c>
      <c r="J385">
        <v>0</v>
      </c>
      <c r="K385">
        <v>12</v>
      </c>
      <c r="L385">
        <v>7</v>
      </c>
      <c r="M385">
        <v>8</v>
      </c>
      <c r="N385">
        <v>-1</v>
      </c>
      <c r="O385" s="28">
        <v>46280</v>
      </c>
      <c r="P385">
        <v>12.7</v>
      </c>
      <c r="Q385">
        <v>-12.7</v>
      </c>
      <c r="R385">
        <v>1</v>
      </c>
      <c r="S385">
        <v>6</v>
      </c>
      <c r="T385">
        <v>10</v>
      </c>
      <c r="U385">
        <v>27</v>
      </c>
      <c r="V385">
        <v>20260916006</v>
      </c>
    </row>
    <row r="386" spans="1:22" x14ac:dyDescent="0.2">
      <c r="A386" s="34" t="s">
        <v>122</v>
      </c>
      <c r="B386" s="28">
        <v>46281</v>
      </c>
      <c r="C386" s="34"/>
      <c r="D386" s="34" t="s">
        <v>340</v>
      </c>
      <c r="E386" s="34" t="s">
        <v>124</v>
      </c>
      <c r="F386" s="34" t="s">
        <v>125</v>
      </c>
      <c r="G386" s="34" t="s">
        <v>126</v>
      </c>
      <c r="H386" s="34" t="s">
        <v>127</v>
      </c>
      <c r="I386">
        <v>5</v>
      </c>
      <c r="J386">
        <v>0</v>
      </c>
      <c r="K386">
        <v>5</v>
      </c>
      <c r="L386">
        <v>0</v>
      </c>
      <c r="M386">
        <v>0</v>
      </c>
      <c r="N386">
        <v>0</v>
      </c>
      <c r="O386" s="28">
        <v>46280</v>
      </c>
      <c r="R386">
        <v>0</v>
      </c>
      <c r="S386">
        <v>7</v>
      </c>
      <c r="T386">
        <v>10</v>
      </c>
      <c r="U386">
        <v>1</v>
      </c>
      <c r="V386">
        <v>20260916007</v>
      </c>
    </row>
    <row r="387" spans="1:22" x14ac:dyDescent="0.2">
      <c r="A387" s="34" t="s">
        <v>122</v>
      </c>
      <c r="B387" s="28">
        <v>46281</v>
      </c>
      <c r="C387" s="34"/>
      <c r="D387" s="34" t="s">
        <v>340</v>
      </c>
      <c r="E387" s="34" t="s">
        <v>128</v>
      </c>
      <c r="F387" s="34" t="s">
        <v>129</v>
      </c>
      <c r="G387" s="34" t="s">
        <v>130</v>
      </c>
      <c r="H387" s="34" t="s">
        <v>131</v>
      </c>
      <c r="I387">
        <v>5</v>
      </c>
      <c r="J387">
        <v>0</v>
      </c>
      <c r="K387">
        <v>5</v>
      </c>
      <c r="L387">
        <v>0</v>
      </c>
      <c r="M387">
        <v>0</v>
      </c>
      <c r="N387">
        <v>0</v>
      </c>
      <c r="O387" s="28">
        <v>46280</v>
      </c>
      <c r="R387">
        <v>0</v>
      </c>
      <c r="S387">
        <v>8</v>
      </c>
      <c r="T387">
        <v>10</v>
      </c>
      <c r="U387">
        <v>2</v>
      </c>
      <c r="V387">
        <v>20260916008</v>
      </c>
    </row>
    <row r="388" spans="1:22" x14ac:dyDescent="0.2">
      <c r="A388" s="34" t="s">
        <v>122</v>
      </c>
      <c r="B388" s="28">
        <v>46281</v>
      </c>
      <c r="C388" s="34"/>
      <c r="D388" s="34" t="s">
        <v>340</v>
      </c>
      <c r="E388" s="34" t="s">
        <v>132</v>
      </c>
      <c r="F388" s="34" t="s">
        <v>133</v>
      </c>
      <c r="G388" s="34" t="s">
        <v>134</v>
      </c>
      <c r="H388" s="34" t="s">
        <v>135</v>
      </c>
      <c r="I388">
        <v>4</v>
      </c>
      <c r="J388">
        <v>0</v>
      </c>
      <c r="K388">
        <v>4</v>
      </c>
      <c r="L388">
        <v>0</v>
      </c>
      <c r="M388">
        <v>0</v>
      </c>
      <c r="N388">
        <v>0</v>
      </c>
      <c r="O388" s="28">
        <v>46280</v>
      </c>
      <c r="R388">
        <v>0</v>
      </c>
      <c r="S388">
        <v>9</v>
      </c>
      <c r="T388">
        <v>10</v>
      </c>
      <c r="U388">
        <v>3</v>
      </c>
      <c r="V388">
        <v>20260916009</v>
      </c>
    </row>
    <row r="389" spans="1:22" x14ac:dyDescent="0.2">
      <c r="A389" s="34" t="s">
        <v>122</v>
      </c>
      <c r="B389" s="28">
        <v>46281</v>
      </c>
      <c r="C389" s="34"/>
      <c r="D389" s="34" t="s">
        <v>340</v>
      </c>
      <c r="E389" s="34" t="s">
        <v>136</v>
      </c>
      <c r="F389" s="34" t="s">
        <v>137</v>
      </c>
      <c r="G389" s="34" t="s">
        <v>138</v>
      </c>
      <c r="H389" s="34" t="s">
        <v>139</v>
      </c>
      <c r="I389">
        <v>9</v>
      </c>
      <c r="J389">
        <v>0</v>
      </c>
      <c r="K389">
        <v>5</v>
      </c>
      <c r="L389">
        <v>4</v>
      </c>
      <c r="M389">
        <v>4</v>
      </c>
      <c r="N389">
        <v>0</v>
      </c>
      <c r="O389" s="28">
        <v>46280</v>
      </c>
      <c r="P389">
        <v>12.8</v>
      </c>
      <c r="Q389">
        <v>0</v>
      </c>
      <c r="R389">
        <v>0</v>
      </c>
      <c r="S389">
        <v>10</v>
      </c>
      <c r="T389">
        <v>10</v>
      </c>
      <c r="U389">
        <v>4</v>
      </c>
      <c r="V389">
        <v>20260916010</v>
      </c>
    </row>
    <row r="390" spans="1:22" x14ac:dyDescent="0.2">
      <c r="A390" s="34" t="s">
        <v>122</v>
      </c>
      <c r="B390" s="28">
        <v>46281</v>
      </c>
      <c r="C390" s="34"/>
      <c r="D390" s="34" t="s">
        <v>340</v>
      </c>
      <c r="E390" s="34" t="s">
        <v>140</v>
      </c>
      <c r="F390" s="34" t="s">
        <v>141</v>
      </c>
      <c r="G390" s="34" t="s">
        <v>142</v>
      </c>
      <c r="H390" s="34" t="s">
        <v>143</v>
      </c>
      <c r="I390">
        <v>4</v>
      </c>
      <c r="J390">
        <v>0</v>
      </c>
      <c r="K390">
        <v>2</v>
      </c>
      <c r="L390">
        <v>2</v>
      </c>
      <c r="M390">
        <v>2</v>
      </c>
      <c r="N390">
        <v>0</v>
      </c>
      <c r="O390" s="28">
        <v>46280</v>
      </c>
      <c r="P390">
        <v>12.8</v>
      </c>
      <c r="Q390">
        <v>0</v>
      </c>
      <c r="R390">
        <v>0</v>
      </c>
      <c r="S390">
        <v>11</v>
      </c>
      <c r="T390">
        <v>10</v>
      </c>
      <c r="U390">
        <v>5</v>
      </c>
      <c r="V390">
        <v>20260916011</v>
      </c>
    </row>
    <row r="391" spans="1:22" x14ac:dyDescent="0.2">
      <c r="A391" s="34" t="s">
        <v>122</v>
      </c>
      <c r="B391" s="28">
        <v>46281</v>
      </c>
      <c r="C391" s="34"/>
      <c r="D391" s="34" t="s">
        <v>340</v>
      </c>
      <c r="E391" s="34" t="s">
        <v>144</v>
      </c>
      <c r="F391" s="34" t="s">
        <v>145</v>
      </c>
      <c r="G391" s="34" t="s">
        <v>146</v>
      </c>
      <c r="H391" s="34" t="s">
        <v>147</v>
      </c>
      <c r="I391">
        <v>5</v>
      </c>
      <c r="J391">
        <v>0</v>
      </c>
      <c r="K391">
        <v>4</v>
      </c>
      <c r="L391">
        <v>1</v>
      </c>
      <c r="M391">
        <v>1</v>
      </c>
      <c r="N391">
        <v>0</v>
      </c>
      <c r="O391" s="28">
        <v>46280</v>
      </c>
      <c r="P391">
        <v>12.8</v>
      </c>
      <c r="Q391">
        <v>0</v>
      </c>
      <c r="R391">
        <v>0</v>
      </c>
      <c r="S391">
        <v>12</v>
      </c>
      <c r="T391">
        <v>10</v>
      </c>
      <c r="U391">
        <v>6</v>
      </c>
      <c r="V391">
        <v>20260916012</v>
      </c>
    </row>
    <row r="392" spans="1:22" x14ac:dyDescent="0.2">
      <c r="A392" s="34" t="s">
        <v>122</v>
      </c>
      <c r="B392" s="28">
        <v>46281</v>
      </c>
      <c r="C392" s="34"/>
      <c r="D392" s="34" t="s">
        <v>340</v>
      </c>
      <c r="E392" s="34" t="s">
        <v>148</v>
      </c>
      <c r="F392" s="34" t="s">
        <v>149</v>
      </c>
      <c r="G392" s="34" t="s">
        <v>150</v>
      </c>
      <c r="H392" s="34" t="s">
        <v>151</v>
      </c>
      <c r="I392">
        <v>3</v>
      </c>
      <c r="J392">
        <v>0</v>
      </c>
      <c r="K392">
        <v>3</v>
      </c>
      <c r="L392">
        <v>0</v>
      </c>
      <c r="M392">
        <v>0</v>
      </c>
      <c r="N392">
        <v>0</v>
      </c>
      <c r="O392" s="28">
        <v>46280</v>
      </c>
      <c r="R392">
        <v>0</v>
      </c>
      <c r="S392">
        <v>13</v>
      </c>
      <c r="T392">
        <v>10</v>
      </c>
      <c r="U392">
        <v>7</v>
      </c>
      <c r="V392">
        <v>20260916013</v>
      </c>
    </row>
    <row r="393" spans="1:22" x14ac:dyDescent="0.2">
      <c r="A393" s="34" t="s">
        <v>122</v>
      </c>
      <c r="B393" s="28">
        <v>46281</v>
      </c>
      <c r="C393" s="34"/>
      <c r="D393" s="34" t="s">
        <v>340</v>
      </c>
      <c r="E393" s="34" t="s">
        <v>156</v>
      </c>
      <c r="F393" s="34" t="s">
        <v>157</v>
      </c>
      <c r="G393" s="34" t="s">
        <v>158</v>
      </c>
      <c r="H393" s="34" t="s">
        <v>159</v>
      </c>
      <c r="I393">
        <v>15</v>
      </c>
      <c r="J393">
        <v>0</v>
      </c>
      <c r="K393">
        <v>15</v>
      </c>
      <c r="L393">
        <v>0</v>
      </c>
      <c r="M393">
        <v>0</v>
      </c>
      <c r="N393">
        <v>0</v>
      </c>
      <c r="O393" s="28">
        <v>46280</v>
      </c>
      <c r="R393">
        <v>0</v>
      </c>
      <c r="S393">
        <v>14</v>
      </c>
      <c r="T393">
        <v>10</v>
      </c>
      <c r="U393">
        <v>9</v>
      </c>
      <c r="V393">
        <v>20260916014</v>
      </c>
    </row>
    <row r="394" spans="1:22" x14ac:dyDescent="0.2">
      <c r="A394" s="34" t="s">
        <v>122</v>
      </c>
      <c r="B394" s="28">
        <v>46281</v>
      </c>
      <c r="C394" s="34"/>
      <c r="D394" s="34" t="s">
        <v>340</v>
      </c>
      <c r="E394" s="34" t="s">
        <v>160</v>
      </c>
      <c r="F394" s="34" t="s">
        <v>161</v>
      </c>
      <c r="G394" s="34" t="s">
        <v>162</v>
      </c>
      <c r="H394" s="34" t="s">
        <v>163</v>
      </c>
      <c r="I394">
        <v>5</v>
      </c>
      <c r="J394">
        <v>0</v>
      </c>
      <c r="K394">
        <v>5</v>
      </c>
      <c r="L394">
        <v>0</v>
      </c>
      <c r="M394">
        <v>0</v>
      </c>
      <c r="N394">
        <v>0</v>
      </c>
      <c r="O394" s="28">
        <v>46280</v>
      </c>
      <c r="R394">
        <v>0</v>
      </c>
      <c r="S394">
        <v>15</v>
      </c>
      <c r="T394">
        <v>10</v>
      </c>
      <c r="U394">
        <v>10</v>
      </c>
      <c r="V394">
        <v>20260916015</v>
      </c>
    </row>
    <row r="395" spans="1:22" x14ac:dyDescent="0.2">
      <c r="A395" s="34" t="s">
        <v>122</v>
      </c>
      <c r="B395" s="28">
        <v>46281</v>
      </c>
      <c r="C395" s="34"/>
      <c r="D395" s="34" t="s">
        <v>340</v>
      </c>
      <c r="E395" s="34" t="s">
        <v>168</v>
      </c>
      <c r="F395" s="34" t="s">
        <v>169</v>
      </c>
      <c r="G395" s="34" t="s">
        <v>170</v>
      </c>
      <c r="H395" s="34" t="s">
        <v>171</v>
      </c>
      <c r="I395">
        <v>14</v>
      </c>
      <c r="J395">
        <v>0</v>
      </c>
      <c r="K395">
        <v>14</v>
      </c>
      <c r="L395">
        <v>0</v>
      </c>
      <c r="M395">
        <v>0</v>
      </c>
      <c r="N395">
        <v>0</v>
      </c>
      <c r="O395" s="28">
        <v>46280</v>
      </c>
      <c r="R395">
        <v>0</v>
      </c>
      <c r="S395">
        <v>16</v>
      </c>
      <c r="T395">
        <v>10</v>
      </c>
      <c r="U395">
        <v>12</v>
      </c>
      <c r="V395">
        <v>20260916016</v>
      </c>
    </row>
    <row r="396" spans="1:22" x14ac:dyDescent="0.2">
      <c r="A396" s="34" t="s">
        <v>122</v>
      </c>
      <c r="B396" s="28">
        <v>46281</v>
      </c>
      <c r="C396" s="34"/>
      <c r="D396" s="34" t="s">
        <v>340</v>
      </c>
      <c r="E396" s="34" t="s">
        <v>172</v>
      </c>
      <c r="F396" s="34" t="s">
        <v>173</v>
      </c>
      <c r="G396" s="34" t="s">
        <v>174</v>
      </c>
      <c r="H396" s="34" t="s">
        <v>175</v>
      </c>
      <c r="I396">
        <v>16</v>
      </c>
      <c r="J396">
        <v>0</v>
      </c>
      <c r="K396">
        <v>15</v>
      </c>
      <c r="L396">
        <v>1</v>
      </c>
      <c r="M396">
        <v>1</v>
      </c>
      <c r="N396">
        <v>0</v>
      </c>
      <c r="O396" s="28">
        <v>46280</v>
      </c>
      <c r="P396">
        <v>18.2</v>
      </c>
      <c r="Q396">
        <v>0</v>
      </c>
      <c r="R396">
        <v>0</v>
      </c>
      <c r="S396">
        <v>17</v>
      </c>
      <c r="T396">
        <v>10</v>
      </c>
      <c r="U396">
        <v>13</v>
      </c>
      <c r="V396">
        <v>20260916017</v>
      </c>
    </row>
    <row r="397" spans="1:22" x14ac:dyDescent="0.2">
      <c r="A397" s="34" t="s">
        <v>122</v>
      </c>
      <c r="B397" s="28">
        <v>46281</v>
      </c>
      <c r="C397" s="34"/>
      <c r="D397" s="34" t="s">
        <v>340</v>
      </c>
      <c r="E397" s="34" t="s">
        <v>180</v>
      </c>
      <c r="F397" s="34" t="s">
        <v>181</v>
      </c>
      <c r="G397" s="34" t="s">
        <v>182</v>
      </c>
      <c r="H397" s="34" t="s">
        <v>183</v>
      </c>
      <c r="I397">
        <v>11</v>
      </c>
      <c r="J397">
        <v>0</v>
      </c>
      <c r="K397">
        <v>11</v>
      </c>
      <c r="L397">
        <v>0</v>
      </c>
      <c r="M397">
        <v>0</v>
      </c>
      <c r="N397">
        <v>0</v>
      </c>
      <c r="O397" s="28">
        <v>46280</v>
      </c>
      <c r="R397">
        <v>0</v>
      </c>
      <c r="S397">
        <v>18</v>
      </c>
      <c r="T397">
        <v>10</v>
      </c>
      <c r="U397">
        <v>15</v>
      </c>
      <c r="V397">
        <v>20260916018</v>
      </c>
    </row>
    <row r="398" spans="1:22" x14ac:dyDescent="0.2">
      <c r="A398" s="34" t="s">
        <v>122</v>
      </c>
      <c r="B398" s="28">
        <v>46281</v>
      </c>
      <c r="C398" s="34"/>
      <c r="D398" s="34" t="s">
        <v>340</v>
      </c>
      <c r="E398" s="34" t="s">
        <v>184</v>
      </c>
      <c r="F398" s="34" t="s">
        <v>185</v>
      </c>
      <c r="G398" s="34" t="s">
        <v>186</v>
      </c>
      <c r="H398" s="34" t="s">
        <v>187</v>
      </c>
      <c r="I398">
        <v>13</v>
      </c>
      <c r="J398">
        <v>0</v>
      </c>
      <c r="K398">
        <v>13</v>
      </c>
      <c r="L398">
        <v>0</v>
      </c>
      <c r="M398">
        <v>0</v>
      </c>
      <c r="N398">
        <v>0</v>
      </c>
      <c r="O398" s="28">
        <v>46280</v>
      </c>
      <c r="R398">
        <v>0</v>
      </c>
      <c r="S398">
        <v>19</v>
      </c>
      <c r="T398">
        <v>10</v>
      </c>
      <c r="U398">
        <v>16</v>
      </c>
      <c r="V398">
        <v>20260916019</v>
      </c>
    </row>
    <row r="399" spans="1:22" x14ac:dyDescent="0.2">
      <c r="A399" s="34" t="s">
        <v>122</v>
      </c>
      <c r="B399" s="28">
        <v>46281</v>
      </c>
      <c r="C399" s="34"/>
      <c r="D399" s="34" t="s">
        <v>340</v>
      </c>
      <c r="E399" s="34" t="s">
        <v>188</v>
      </c>
      <c r="F399" s="34" t="s">
        <v>189</v>
      </c>
      <c r="G399" s="34" t="s">
        <v>190</v>
      </c>
      <c r="H399" s="34" t="s">
        <v>191</v>
      </c>
      <c r="I399">
        <v>4</v>
      </c>
      <c r="J399">
        <v>0</v>
      </c>
      <c r="K399">
        <v>4</v>
      </c>
      <c r="L399">
        <v>0</v>
      </c>
      <c r="M399">
        <v>0</v>
      </c>
      <c r="N399">
        <v>0</v>
      </c>
      <c r="O399" s="28">
        <v>46280</v>
      </c>
      <c r="R399">
        <v>0</v>
      </c>
      <c r="S399">
        <v>20</v>
      </c>
      <c r="T399">
        <v>10</v>
      </c>
      <c r="U399">
        <v>21</v>
      </c>
      <c r="V399">
        <v>20260916020</v>
      </c>
    </row>
    <row r="400" spans="1:22" x14ac:dyDescent="0.2">
      <c r="A400" s="34" t="s">
        <v>122</v>
      </c>
      <c r="B400" s="28">
        <v>46281</v>
      </c>
      <c r="C400" s="34"/>
      <c r="D400" s="34" t="s">
        <v>340</v>
      </c>
      <c r="E400" s="34" t="s">
        <v>192</v>
      </c>
      <c r="F400" s="34" t="s">
        <v>193</v>
      </c>
      <c r="G400" s="34" t="s">
        <v>194</v>
      </c>
      <c r="H400" s="34" t="s">
        <v>195</v>
      </c>
      <c r="I400">
        <v>4</v>
      </c>
      <c r="J400">
        <v>0</v>
      </c>
      <c r="K400">
        <v>4</v>
      </c>
      <c r="L400">
        <v>0</v>
      </c>
      <c r="M400">
        <v>0</v>
      </c>
      <c r="N400">
        <v>0</v>
      </c>
      <c r="O400" s="28">
        <v>46280</v>
      </c>
      <c r="R400">
        <v>0</v>
      </c>
      <c r="S400">
        <v>21</v>
      </c>
      <c r="T400">
        <v>10</v>
      </c>
      <c r="U400">
        <v>22</v>
      </c>
      <c r="V400">
        <v>20260916021</v>
      </c>
    </row>
    <row r="401" spans="1:22" x14ac:dyDescent="0.2">
      <c r="A401" s="34" t="s">
        <v>122</v>
      </c>
      <c r="B401" s="28">
        <v>46281</v>
      </c>
      <c r="C401" s="34"/>
      <c r="D401" s="34" t="s">
        <v>340</v>
      </c>
      <c r="E401" s="34" t="s">
        <v>196</v>
      </c>
      <c r="F401" s="34" t="s">
        <v>197</v>
      </c>
      <c r="G401" s="34" t="s">
        <v>198</v>
      </c>
      <c r="H401" s="34" t="s">
        <v>199</v>
      </c>
      <c r="I401">
        <v>3</v>
      </c>
      <c r="J401">
        <v>0</v>
      </c>
      <c r="K401">
        <v>3</v>
      </c>
      <c r="L401">
        <v>0</v>
      </c>
      <c r="M401">
        <v>0</v>
      </c>
      <c r="N401">
        <v>0</v>
      </c>
      <c r="O401" s="28">
        <v>46280</v>
      </c>
      <c r="R401">
        <v>0</v>
      </c>
      <c r="S401">
        <v>22</v>
      </c>
      <c r="T401">
        <v>10</v>
      </c>
      <c r="U401">
        <v>23</v>
      </c>
      <c r="V401">
        <v>20260916022</v>
      </c>
    </row>
    <row r="402" spans="1:22" x14ac:dyDescent="0.2">
      <c r="A402" s="34" t="s">
        <v>122</v>
      </c>
      <c r="B402" s="28">
        <v>46281</v>
      </c>
      <c r="C402" s="34"/>
      <c r="D402" s="34" t="s">
        <v>340</v>
      </c>
      <c r="E402" s="34" t="s">
        <v>200</v>
      </c>
      <c r="F402" s="34" t="s">
        <v>201</v>
      </c>
      <c r="G402" s="34" t="s">
        <v>202</v>
      </c>
      <c r="H402" s="34" t="s">
        <v>203</v>
      </c>
      <c r="I402">
        <v>20</v>
      </c>
      <c r="J402">
        <v>0</v>
      </c>
      <c r="K402">
        <v>14</v>
      </c>
      <c r="L402">
        <v>6</v>
      </c>
      <c r="M402">
        <v>6</v>
      </c>
      <c r="N402">
        <v>0</v>
      </c>
      <c r="O402" s="28">
        <v>46280</v>
      </c>
      <c r="P402">
        <v>12.7</v>
      </c>
      <c r="Q402">
        <v>0</v>
      </c>
      <c r="R402">
        <v>0</v>
      </c>
      <c r="S402">
        <v>23</v>
      </c>
      <c r="T402">
        <v>10</v>
      </c>
      <c r="U402">
        <v>24</v>
      </c>
      <c r="V402">
        <v>20260916023</v>
      </c>
    </row>
    <row r="403" spans="1:22" x14ac:dyDescent="0.2">
      <c r="A403" s="34" t="s">
        <v>122</v>
      </c>
      <c r="B403" s="28">
        <v>46281</v>
      </c>
      <c r="C403" s="34"/>
      <c r="D403" s="34" t="s">
        <v>340</v>
      </c>
      <c r="E403" s="34" t="s">
        <v>204</v>
      </c>
      <c r="F403" s="34" t="s">
        <v>205</v>
      </c>
      <c r="G403" s="34" t="s">
        <v>206</v>
      </c>
      <c r="H403" s="34" t="s">
        <v>207</v>
      </c>
      <c r="I403">
        <v>6</v>
      </c>
      <c r="J403">
        <v>0</v>
      </c>
      <c r="K403">
        <v>6</v>
      </c>
      <c r="L403">
        <v>0</v>
      </c>
      <c r="M403">
        <v>0</v>
      </c>
      <c r="N403">
        <v>0</v>
      </c>
      <c r="O403" s="28">
        <v>46280</v>
      </c>
      <c r="R403">
        <v>0</v>
      </c>
      <c r="S403">
        <v>24</v>
      </c>
      <c r="T403">
        <v>10</v>
      </c>
      <c r="U403">
        <v>25</v>
      </c>
      <c r="V403">
        <v>20260916024</v>
      </c>
    </row>
    <row r="404" spans="1:22" x14ac:dyDescent="0.2">
      <c r="A404" s="34" t="s">
        <v>122</v>
      </c>
      <c r="B404" s="28">
        <v>46281</v>
      </c>
      <c r="C404" s="34"/>
      <c r="D404" s="34" t="s">
        <v>340</v>
      </c>
      <c r="E404" s="34" t="s">
        <v>216</v>
      </c>
      <c r="F404" s="34" t="s">
        <v>217</v>
      </c>
      <c r="G404" s="34" t="s">
        <v>218</v>
      </c>
      <c r="H404" s="34" t="s">
        <v>219</v>
      </c>
      <c r="I404">
        <v>3</v>
      </c>
      <c r="J404">
        <v>0</v>
      </c>
      <c r="K404">
        <v>2</v>
      </c>
      <c r="L404">
        <v>1</v>
      </c>
      <c r="M404">
        <v>1</v>
      </c>
      <c r="N404">
        <v>0</v>
      </c>
      <c r="O404" s="28">
        <v>46280</v>
      </c>
      <c r="P404">
        <v>12.7</v>
      </c>
      <c r="Q404">
        <v>0</v>
      </c>
      <c r="R404">
        <v>0</v>
      </c>
      <c r="S404">
        <v>25</v>
      </c>
      <c r="T404">
        <v>10</v>
      </c>
      <c r="U404">
        <v>28</v>
      </c>
      <c r="V404">
        <v>20260916025</v>
      </c>
    </row>
    <row r="405" spans="1:22" x14ac:dyDescent="0.2">
      <c r="A405" s="34" t="s">
        <v>122</v>
      </c>
      <c r="B405" s="28">
        <v>46281</v>
      </c>
      <c r="C405" s="34"/>
      <c r="D405" s="34" t="s">
        <v>340</v>
      </c>
      <c r="E405" s="34" t="s">
        <v>220</v>
      </c>
      <c r="F405" s="34" t="s">
        <v>221</v>
      </c>
      <c r="G405" s="34" t="s">
        <v>222</v>
      </c>
      <c r="H405" s="34" t="s">
        <v>223</v>
      </c>
      <c r="I405">
        <v>11</v>
      </c>
      <c r="J405">
        <v>0</v>
      </c>
      <c r="K405">
        <v>11</v>
      </c>
      <c r="L405">
        <v>0</v>
      </c>
      <c r="M405">
        <v>0</v>
      </c>
      <c r="N405">
        <v>0</v>
      </c>
      <c r="O405" s="28">
        <v>46280</v>
      </c>
      <c r="R405">
        <v>0</v>
      </c>
      <c r="S405">
        <v>26</v>
      </c>
      <c r="T405">
        <v>10</v>
      </c>
      <c r="U405">
        <v>29</v>
      </c>
      <c r="V405">
        <v>20260916026</v>
      </c>
    </row>
    <row r="406" spans="1:22" x14ac:dyDescent="0.2">
      <c r="A406" s="34" t="s">
        <v>122</v>
      </c>
      <c r="B406" s="28">
        <v>46281</v>
      </c>
      <c r="C406" s="34"/>
      <c r="D406" s="34" t="s">
        <v>340</v>
      </c>
      <c r="E406" s="34" t="s">
        <v>224</v>
      </c>
      <c r="F406" s="34" t="s">
        <v>225</v>
      </c>
      <c r="G406" s="34" t="s">
        <v>226</v>
      </c>
      <c r="H406" s="34" t="s">
        <v>227</v>
      </c>
      <c r="I406">
        <v>6</v>
      </c>
      <c r="J406">
        <v>0</v>
      </c>
      <c r="K406">
        <v>5</v>
      </c>
      <c r="L406">
        <v>1</v>
      </c>
      <c r="M406">
        <v>1</v>
      </c>
      <c r="N406">
        <v>0</v>
      </c>
      <c r="O406" s="28">
        <v>46280</v>
      </c>
      <c r="P406">
        <v>17.899999999999999</v>
      </c>
      <c r="Q406">
        <v>0</v>
      </c>
      <c r="R406">
        <v>0</v>
      </c>
      <c r="S406">
        <v>27</v>
      </c>
      <c r="T406">
        <v>10</v>
      </c>
      <c r="U406">
        <v>30</v>
      </c>
      <c r="V406">
        <v>20260916027</v>
      </c>
    </row>
    <row r="407" spans="1:22" x14ac:dyDescent="0.2">
      <c r="A407" s="34" t="s">
        <v>122</v>
      </c>
      <c r="B407" s="28">
        <v>46281</v>
      </c>
      <c r="C407" s="34"/>
      <c r="D407" s="34" t="s">
        <v>340</v>
      </c>
      <c r="E407" s="34" t="s">
        <v>228</v>
      </c>
      <c r="F407" s="34" t="s">
        <v>229</v>
      </c>
      <c r="G407" s="34" t="s">
        <v>230</v>
      </c>
      <c r="H407" s="34" t="s">
        <v>231</v>
      </c>
      <c r="I407">
        <v>8</v>
      </c>
      <c r="J407">
        <v>0</v>
      </c>
      <c r="K407">
        <v>7</v>
      </c>
      <c r="L407">
        <v>1</v>
      </c>
      <c r="M407">
        <v>1</v>
      </c>
      <c r="N407">
        <v>0</v>
      </c>
      <c r="O407" s="28">
        <v>46280</v>
      </c>
      <c r="P407">
        <v>17.899999999999999</v>
      </c>
      <c r="Q407">
        <v>0</v>
      </c>
      <c r="R407">
        <v>0</v>
      </c>
      <c r="S407">
        <v>28</v>
      </c>
      <c r="T407">
        <v>10</v>
      </c>
      <c r="U407">
        <v>31</v>
      </c>
      <c r="V407">
        <v>20260916028</v>
      </c>
    </row>
    <row r="408" spans="1:22" x14ac:dyDescent="0.2">
      <c r="A408" s="34" t="s">
        <v>122</v>
      </c>
      <c r="B408" s="28">
        <v>46281</v>
      </c>
      <c r="C408" s="34"/>
      <c r="D408" s="34" t="s">
        <v>340</v>
      </c>
      <c r="E408" s="34" t="s">
        <v>232</v>
      </c>
      <c r="F408" s="34" t="s">
        <v>233</v>
      </c>
      <c r="G408" s="34" t="s">
        <v>234</v>
      </c>
      <c r="H408" s="34" t="s">
        <v>235</v>
      </c>
      <c r="I408">
        <v>8</v>
      </c>
      <c r="J408">
        <v>0</v>
      </c>
      <c r="K408">
        <v>7</v>
      </c>
      <c r="L408">
        <v>1</v>
      </c>
      <c r="M408">
        <v>1</v>
      </c>
      <c r="N408">
        <v>0</v>
      </c>
      <c r="O408" s="28">
        <v>46280</v>
      </c>
      <c r="P408">
        <v>17.899999999999999</v>
      </c>
      <c r="Q408">
        <v>0</v>
      </c>
      <c r="R408">
        <v>0</v>
      </c>
      <c r="S408">
        <v>29</v>
      </c>
      <c r="T408">
        <v>10</v>
      </c>
      <c r="U408">
        <v>32</v>
      </c>
      <c r="V408">
        <v>20260916029</v>
      </c>
    </row>
    <row r="409" spans="1:22" x14ac:dyDescent="0.2">
      <c r="A409" s="34" t="s">
        <v>122</v>
      </c>
      <c r="B409" s="28">
        <v>46281</v>
      </c>
      <c r="C409" s="34"/>
      <c r="D409" s="34" t="s">
        <v>340</v>
      </c>
      <c r="E409" s="34" t="s">
        <v>236</v>
      </c>
      <c r="F409" s="34" t="s">
        <v>237</v>
      </c>
      <c r="G409" s="34" t="s">
        <v>238</v>
      </c>
      <c r="H409" s="34" t="s">
        <v>239</v>
      </c>
      <c r="I409">
        <v>8</v>
      </c>
      <c r="J409">
        <v>0</v>
      </c>
      <c r="K409">
        <v>7</v>
      </c>
      <c r="L409">
        <v>1</v>
      </c>
      <c r="M409">
        <v>1</v>
      </c>
      <c r="N409">
        <v>0</v>
      </c>
      <c r="O409" s="28">
        <v>46280</v>
      </c>
      <c r="P409">
        <v>17.899999999999999</v>
      </c>
      <c r="Q409">
        <v>0</v>
      </c>
      <c r="R409">
        <v>0</v>
      </c>
      <c r="S409">
        <v>30</v>
      </c>
      <c r="T409">
        <v>10</v>
      </c>
      <c r="U409">
        <v>33</v>
      </c>
      <c r="V409">
        <v>20260916030</v>
      </c>
    </row>
    <row r="410" spans="1:22" x14ac:dyDescent="0.2">
      <c r="A410" s="34" t="s">
        <v>122</v>
      </c>
      <c r="B410" s="28">
        <v>46281</v>
      </c>
      <c r="C410" s="34"/>
      <c r="D410" s="34" t="s">
        <v>340</v>
      </c>
      <c r="E410" s="34" t="s">
        <v>240</v>
      </c>
      <c r="F410" s="34" t="s">
        <v>241</v>
      </c>
      <c r="G410" s="34" t="s">
        <v>242</v>
      </c>
      <c r="H410" s="34" t="s">
        <v>243</v>
      </c>
      <c r="I410">
        <v>17</v>
      </c>
      <c r="J410">
        <v>0</v>
      </c>
      <c r="K410">
        <v>17</v>
      </c>
      <c r="L410">
        <v>0</v>
      </c>
      <c r="M410">
        <v>0</v>
      </c>
      <c r="N410">
        <v>0</v>
      </c>
      <c r="O410" s="28">
        <v>46280</v>
      </c>
      <c r="R410">
        <v>0</v>
      </c>
      <c r="S410">
        <v>31</v>
      </c>
      <c r="T410">
        <v>10</v>
      </c>
      <c r="U410">
        <v>34</v>
      </c>
      <c r="V410">
        <v>20260916031</v>
      </c>
    </row>
    <row r="411" spans="1:22" x14ac:dyDescent="0.2">
      <c r="A411" s="34" t="s">
        <v>122</v>
      </c>
      <c r="B411" s="28">
        <v>46281</v>
      </c>
      <c r="C411" s="34"/>
      <c r="D411" s="34" t="s">
        <v>340</v>
      </c>
      <c r="E411" s="34" t="s">
        <v>244</v>
      </c>
      <c r="F411" s="34" t="s">
        <v>245</v>
      </c>
      <c r="G411" s="34" t="s">
        <v>246</v>
      </c>
      <c r="H411" s="34" t="s">
        <v>247</v>
      </c>
      <c r="I411">
        <v>5</v>
      </c>
      <c r="J411">
        <v>0</v>
      </c>
      <c r="K411">
        <v>5</v>
      </c>
      <c r="L411">
        <v>0</v>
      </c>
      <c r="M411">
        <v>0</v>
      </c>
      <c r="N411">
        <v>0</v>
      </c>
      <c r="O411" s="28">
        <v>46280</v>
      </c>
      <c r="R411">
        <v>0</v>
      </c>
      <c r="S411">
        <v>32</v>
      </c>
      <c r="T411">
        <v>10</v>
      </c>
      <c r="U411">
        <v>35</v>
      </c>
      <c r="V411">
        <v>20260916032</v>
      </c>
    </row>
    <row r="412" spans="1:22" x14ac:dyDescent="0.2">
      <c r="A412" s="34" t="s">
        <v>122</v>
      </c>
      <c r="B412" s="28">
        <v>46281</v>
      </c>
      <c r="C412" s="34"/>
      <c r="D412" s="34" t="s">
        <v>340</v>
      </c>
      <c r="E412" s="34" t="s">
        <v>248</v>
      </c>
      <c r="F412" s="34" t="s">
        <v>249</v>
      </c>
      <c r="G412" s="34" t="s">
        <v>250</v>
      </c>
      <c r="H412" s="34" t="s">
        <v>251</v>
      </c>
      <c r="I412">
        <v>4</v>
      </c>
      <c r="J412">
        <v>0</v>
      </c>
      <c r="K412">
        <v>4</v>
      </c>
      <c r="L412">
        <v>0</v>
      </c>
      <c r="M412">
        <v>0</v>
      </c>
      <c r="N412">
        <v>0</v>
      </c>
      <c r="O412" s="28">
        <v>46280</v>
      </c>
      <c r="R412">
        <v>0</v>
      </c>
      <c r="S412">
        <v>33</v>
      </c>
      <c r="T412">
        <v>10</v>
      </c>
      <c r="U412">
        <v>36</v>
      </c>
      <c r="V412">
        <v>20260916033</v>
      </c>
    </row>
    <row r="413" spans="1:22" x14ac:dyDescent="0.2">
      <c r="A413" s="34" t="s">
        <v>122</v>
      </c>
      <c r="B413" s="28">
        <v>46281</v>
      </c>
      <c r="C413" s="34"/>
      <c r="D413" s="34" t="s">
        <v>340</v>
      </c>
      <c r="E413" s="34" t="s">
        <v>252</v>
      </c>
      <c r="F413" s="34" t="s">
        <v>253</v>
      </c>
      <c r="G413" s="34" t="s">
        <v>254</v>
      </c>
      <c r="H413" s="34" t="s">
        <v>255</v>
      </c>
      <c r="I413">
        <v>20</v>
      </c>
      <c r="J413">
        <v>0</v>
      </c>
      <c r="K413">
        <v>12</v>
      </c>
      <c r="L413">
        <v>8</v>
      </c>
      <c r="M413">
        <v>8</v>
      </c>
      <c r="N413">
        <v>0</v>
      </c>
      <c r="O413" s="28">
        <v>46280</v>
      </c>
      <c r="P413">
        <v>18.399999999999999</v>
      </c>
      <c r="Q413">
        <v>0</v>
      </c>
      <c r="R413">
        <v>0</v>
      </c>
      <c r="S413">
        <v>34</v>
      </c>
      <c r="T413">
        <v>10</v>
      </c>
      <c r="U413">
        <v>37</v>
      </c>
      <c r="V413">
        <v>20260916034</v>
      </c>
    </row>
    <row r="414" spans="1:22" x14ac:dyDescent="0.2">
      <c r="A414" s="34" t="s">
        <v>122</v>
      </c>
      <c r="B414" s="28">
        <v>46281</v>
      </c>
      <c r="C414" s="34"/>
      <c r="D414" s="34" t="s">
        <v>340</v>
      </c>
      <c r="E414" s="34" t="s">
        <v>256</v>
      </c>
      <c r="F414" s="34" t="s">
        <v>257</v>
      </c>
      <c r="G414" s="34" t="s">
        <v>258</v>
      </c>
      <c r="H414" s="34" t="s">
        <v>259</v>
      </c>
      <c r="I414">
        <v>4</v>
      </c>
      <c r="J414">
        <v>0</v>
      </c>
      <c r="K414">
        <v>4</v>
      </c>
      <c r="L414">
        <v>0</v>
      </c>
      <c r="M414">
        <v>0</v>
      </c>
      <c r="N414">
        <v>0</v>
      </c>
      <c r="O414" s="28">
        <v>46280</v>
      </c>
      <c r="R414">
        <v>0</v>
      </c>
      <c r="S414">
        <v>35</v>
      </c>
      <c r="T414">
        <v>10</v>
      </c>
      <c r="U414">
        <v>38</v>
      </c>
      <c r="V414">
        <v>20260916035</v>
      </c>
    </row>
    <row r="415" spans="1:22" x14ac:dyDescent="0.2">
      <c r="A415" s="34" t="s">
        <v>122</v>
      </c>
      <c r="B415" s="28">
        <v>46281</v>
      </c>
      <c r="C415" s="34"/>
      <c r="D415" s="34" t="s">
        <v>340</v>
      </c>
      <c r="E415" s="34" t="s">
        <v>260</v>
      </c>
      <c r="F415" s="34" t="s">
        <v>261</v>
      </c>
      <c r="G415" s="34" t="s">
        <v>262</v>
      </c>
      <c r="H415" s="34" t="s">
        <v>263</v>
      </c>
      <c r="I415">
        <v>4</v>
      </c>
      <c r="J415">
        <v>0</v>
      </c>
      <c r="K415">
        <v>4</v>
      </c>
      <c r="L415">
        <v>0</v>
      </c>
      <c r="M415">
        <v>0</v>
      </c>
      <c r="N415">
        <v>0</v>
      </c>
      <c r="O415" s="28">
        <v>46280</v>
      </c>
      <c r="R415">
        <v>0</v>
      </c>
      <c r="S415">
        <v>36</v>
      </c>
      <c r="T415">
        <v>10</v>
      </c>
      <c r="U415">
        <v>39</v>
      </c>
      <c r="V415">
        <v>20260916036</v>
      </c>
    </row>
    <row r="416" spans="1:22" x14ac:dyDescent="0.2">
      <c r="A416" s="34" t="s">
        <v>122</v>
      </c>
      <c r="B416" s="28">
        <v>46281</v>
      </c>
      <c r="C416" s="34"/>
      <c r="D416" s="34" t="s">
        <v>340</v>
      </c>
      <c r="E416" s="34" t="s">
        <v>264</v>
      </c>
      <c r="F416" s="34" t="s">
        <v>265</v>
      </c>
      <c r="G416" s="34" t="s">
        <v>266</v>
      </c>
      <c r="H416" s="34" t="s">
        <v>267</v>
      </c>
      <c r="I416">
        <v>7</v>
      </c>
      <c r="J416">
        <v>0</v>
      </c>
      <c r="K416">
        <v>5</v>
      </c>
      <c r="L416">
        <v>2</v>
      </c>
      <c r="M416">
        <v>2</v>
      </c>
      <c r="N416">
        <v>0</v>
      </c>
      <c r="O416" s="28">
        <v>46280</v>
      </c>
      <c r="P416">
        <v>18.399999999999999</v>
      </c>
      <c r="Q416">
        <v>0</v>
      </c>
      <c r="R416">
        <v>0</v>
      </c>
      <c r="S416">
        <v>37</v>
      </c>
      <c r="T416">
        <v>10</v>
      </c>
      <c r="U416">
        <v>40</v>
      </c>
      <c r="V416">
        <v>20260916037</v>
      </c>
    </row>
    <row r="417" spans="1:22" x14ac:dyDescent="0.2">
      <c r="A417" s="34" t="s">
        <v>122</v>
      </c>
      <c r="B417" s="28">
        <v>46281</v>
      </c>
      <c r="C417" s="34"/>
      <c r="D417" s="34" t="s">
        <v>340</v>
      </c>
      <c r="E417" s="34" t="s">
        <v>268</v>
      </c>
      <c r="F417" s="34" t="s">
        <v>269</v>
      </c>
      <c r="G417" s="34" t="s">
        <v>270</v>
      </c>
      <c r="H417" s="34" t="s">
        <v>271</v>
      </c>
      <c r="I417">
        <v>4</v>
      </c>
      <c r="J417">
        <v>0</v>
      </c>
      <c r="K417">
        <v>4</v>
      </c>
      <c r="L417">
        <v>0</v>
      </c>
      <c r="M417">
        <v>0</v>
      </c>
      <c r="N417">
        <v>0</v>
      </c>
      <c r="O417" s="28">
        <v>46280</v>
      </c>
      <c r="R417">
        <v>0</v>
      </c>
      <c r="S417">
        <v>38</v>
      </c>
      <c r="T417">
        <v>10</v>
      </c>
      <c r="U417">
        <v>41</v>
      </c>
      <c r="V417">
        <v>20260916038</v>
      </c>
    </row>
    <row r="418" spans="1:22" x14ac:dyDescent="0.2">
      <c r="A418" s="34" t="s">
        <v>122</v>
      </c>
      <c r="B418" s="28">
        <v>46281</v>
      </c>
      <c r="C418" s="34"/>
      <c r="D418" s="34" t="s">
        <v>340</v>
      </c>
      <c r="E418" s="34" t="s">
        <v>272</v>
      </c>
      <c r="F418" s="34" t="s">
        <v>341</v>
      </c>
      <c r="G418" s="34" t="s">
        <v>273</v>
      </c>
      <c r="H418" s="34" t="s">
        <v>274</v>
      </c>
      <c r="I418">
        <v>16</v>
      </c>
      <c r="J418">
        <v>0</v>
      </c>
      <c r="K418">
        <v>12</v>
      </c>
      <c r="L418">
        <v>4</v>
      </c>
      <c r="M418">
        <v>4</v>
      </c>
      <c r="N418">
        <v>0</v>
      </c>
      <c r="O418" s="28">
        <v>46280</v>
      </c>
      <c r="P418">
        <v>18.399999999999999</v>
      </c>
      <c r="Q418">
        <v>0</v>
      </c>
      <c r="R418">
        <v>0</v>
      </c>
      <c r="S418">
        <v>39</v>
      </c>
      <c r="T418">
        <v>10</v>
      </c>
      <c r="U418">
        <v>42</v>
      </c>
      <c r="V418">
        <v>20260916039</v>
      </c>
    </row>
    <row r="419" spans="1:22" x14ac:dyDescent="0.2">
      <c r="A419" s="34" t="s">
        <v>122</v>
      </c>
      <c r="B419" s="28">
        <v>46281</v>
      </c>
      <c r="C419" s="34"/>
      <c r="D419" s="34" t="s">
        <v>340</v>
      </c>
      <c r="E419" s="34" t="s">
        <v>275</v>
      </c>
      <c r="F419" s="34" t="s">
        <v>276</v>
      </c>
      <c r="G419" s="34" t="s">
        <v>277</v>
      </c>
      <c r="H419" s="34" t="s">
        <v>278</v>
      </c>
      <c r="I419">
        <v>5</v>
      </c>
      <c r="J419">
        <v>0</v>
      </c>
      <c r="K419">
        <v>5</v>
      </c>
      <c r="L419">
        <v>0</v>
      </c>
      <c r="M419">
        <v>0</v>
      </c>
      <c r="N419">
        <v>0</v>
      </c>
      <c r="O419" s="28">
        <v>46280</v>
      </c>
      <c r="R419">
        <v>0</v>
      </c>
      <c r="S419">
        <v>40</v>
      </c>
      <c r="T419">
        <v>10</v>
      </c>
      <c r="U419">
        <v>43</v>
      </c>
      <c r="V419">
        <v>20260916040</v>
      </c>
    </row>
    <row r="420" spans="1:22" x14ac:dyDescent="0.2">
      <c r="A420" s="34" t="s">
        <v>122</v>
      </c>
      <c r="B420" s="28">
        <v>46281</v>
      </c>
      <c r="C420" s="34"/>
      <c r="D420" s="34" t="s">
        <v>340</v>
      </c>
      <c r="E420" s="34" t="s">
        <v>279</v>
      </c>
      <c r="F420" s="34" t="s">
        <v>280</v>
      </c>
      <c r="G420" s="34" t="s">
        <v>281</v>
      </c>
      <c r="H420" s="34" t="s">
        <v>282</v>
      </c>
      <c r="I420">
        <v>6</v>
      </c>
      <c r="J420">
        <v>0</v>
      </c>
      <c r="K420">
        <v>6</v>
      </c>
      <c r="L420">
        <v>0</v>
      </c>
      <c r="M420">
        <v>0</v>
      </c>
      <c r="N420">
        <v>0</v>
      </c>
      <c r="O420" s="28">
        <v>46280</v>
      </c>
      <c r="R420">
        <v>0</v>
      </c>
      <c r="S420">
        <v>41</v>
      </c>
      <c r="T420">
        <v>10</v>
      </c>
      <c r="U420">
        <v>44</v>
      </c>
      <c r="V420">
        <v>20260916041</v>
      </c>
    </row>
    <row r="421" spans="1:22" x14ac:dyDescent="0.2">
      <c r="A421" s="34" t="s">
        <v>122</v>
      </c>
      <c r="B421" s="28">
        <v>46281</v>
      </c>
      <c r="C421" s="34"/>
      <c r="D421" s="34" t="s">
        <v>340</v>
      </c>
      <c r="E421" s="34" t="s">
        <v>283</v>
      </c>
      <c r="F421" s="34" t="s">
        <v>284</v>
      </c>
      <c r="G421" s="34" t="s">
        <v>285</v>
      </c>
      <c r="H421" s="34" t="s">
        <v>286</v>
      </c>
      <c r="I421">
        <v>10</v>
      </c>
      <c r="J421">
        <v>0</v>
      </c>
      <c r="K421">
        <v>8</v>
      </c>
      <c r="L421">
        <v>2</v>
      </c>
      <c r="M421">
        <v>2</v>
      </c>
      <c r="N421">
        <v>0</v>
      </c>
      <c r="O421" s="28">
        <v>46280</v>
      </c>
      <c r="P421">
        <v>16.7</v>
      </c>
      <c r="Q421">
        <v>0</v>
      </c>
      <c r="R421">
        <v>0</v>
      </c>
      <c r="S421">
        <v>42</v>
      </c>
      <c r="T421">
        <v>10</v>
      </c>
      <c r="U421">
        <v>45</v>
      </c>
      <c r="V421">
        <v>20260916042</v>
      </c>
    </row>
    <row r="422" spans="1:22" x14ac:dyDescent="0.2">
      <c r="A422" s="34" t="s">
        <v>122</v>
      </c>
      <c r="B422" s="28">
        <v>46281</v>
      </c>
      <c r="C422" s="34"/>
      <c r="D422" s="34" t="s">
        <v>340</v>
      </c>
      <c r="E422" s="34" t="s">
        <v>287</v>
      </c>
      <c r="F422" s="34" t="s">
        <v>288</v>
      </c>
      <c r="G422" s="34" t="s">
        <v>289</v>
      </c>
      <c r="H422" s="34" t="s">
        <v>290</v>
      </c>
      <c r="I422">
        <v>20</v>
      </c>
      <c r="J422">
        <v>0</v>
      </c>
      <c r="K422">
        <v>19</v>
      </c>
      <c r="L422">
        <v>1</v>
      </c>
      <c r="M422">
        <v>1</v>
      </c>
      <c r="N422">
        <v>0</v>
      </c>
      <c r="O422" s="28">
        <v>46280</v>
      </c>
      <c r="P422">
        <v>18.7</v>
      </c>
      <c r="Q422">
        <v>0</v>
      </c>
      <c r="R422">
        <v>0</v>
      </c>
      <c r="S422">
        <v>43</v>
      </c>
      <c r="T422">
        <v>10</v>
      </c>
      <c r="U422">
        <v>46</v>
      </c>
      <c r="V422">
        <v>20260916043</v>
      </c>
    </row>
    <row r="423" spans="1:22" x14ac:dyDescent="0.2">
      <c r="A423" s="34" t="s">
        <v>122</v>
      </c>
      <c r="B423" s="28">
        <v>46281</v>
      </c>
      <c r="C423" s="34"/>
      <c r="D423" s="34" t="s">
        <v>340</v>
      </c>
      <c r="E423" s="34" t="s">
        <v>291</v>
      </c>
      <c r="F423" s="34" t="s">
        <v>342</v>
      </c>
      <c r="G423" s="34" t="s">
        <v>292</v>
      </c>
      <c r="H423" s="34" t="s">
        <v>293</v>
      </c>
      <c r="I423">
        <v>23</v>
      </c>
      <c r="J423">
        <v>0</v>
      </c>
      <c r="K423">
        <v>23</v>
      </c>
      <c r="L423">
        <v>0</v>
      </c>
      <c r="M423">
        <v>0</v>
      </c>
      <c r="N423">
        <v>0</v>
      </c>
      <c r="O423" s="28">
        <v>46280</v>
      </c>
      <c r="R423">
        <v>0</v>
      </c>
      <c r="S423">
        <v>44</v>
      </c>
      <c r="T423">
        <v>10</v>
      </c>
      <c r="U423">
        <v>47</v>
      </c>
      <c r="V423">
        <v>20260916044</v>
      </c>
    </row>
    <row r="424" spans="1:22" x14ac:dyDescent="0.2">
      <c r="A424" s="34" t="s">
        <v>122</v>
      </c>
      <c r="B424" s="28">
        <v>46281</v>
      </c>
      <c r="C424" s="34"/>
      <c r="D424" s="34" t="s">
        <v>340</v>
      </c>
      <c r="E424" s="34" t="s">
        <v>294</v>
      </c>
      <c r="F424" s="34" t="s">
        <v>295</v>
      </c>
      <c r="G424" s="34" t="s">
        <v>296</v>
      </c>
      <c r="H424" s="34" t="s">
        <v>297</v>
      </c>
      <c r="I424">
        <v>9</v>
      </c>
      <c r="J424">
        <v>0</v>
      </c>
      <c r="K424">
        <v>5</v>
      </c>
      <c r="L424">
        <v>4</v>
      </c>
      <c r="M424">
        <v>4</v>
      </c>
      <c r="N424">
        <v>0</v>
      </c>
      <c r="O424" s="28">
        <v>46280</v>
      </c>
      <c r="P424">
        <v>12.9</v>
      </c>
      <c r="Q424">
        <v>0</v>
      </c>
      <c r="R424">
        <v>0</v>
      </c>
      <c r="S424">
        <v>45</v>
      </c>
      <c r="T424">
        <v>10</v>
      </c>
      <c r="U424">
        <v>48</v>
      </c>
      <c r="V424">
        <v>20260916045</v>
      </c>
    </row>
    <row r="425" spans="1:22" x14ac:dyDescent="0.2">
      <c r="A425" s="34" t="s">
        <v>122</v>
      </c>
      <c r="B425" s="28">
        <v>46281</v>
      </c>
      <c r="C425" s="34"/>
      <c r="D425" s="34" t="s">
        <v>340</v>
      </c>
      <c r="E425" s="34" t="s">
        <v>298</v>
      </c>
      <c r="F425" s="34" t="s">
        <v>299</v>
      </c>
      <c r="G425" s="34" t="s">
        <v>300</v>
      </c>
      <c r="H425" s="34" t="s">
        <v>301</v>
      </c>
      <c r="I425">
        <v>13</v>
      </c>
      <c r="J425">
        <v>0</v>
      </c>
      <c r="K425">
        <v>12</v>
      </c>
      <c r="L425">
        <v>1</v>
      </c>
      <c r="M425">
        <v>1</v>
      </c>
      <c r="N425">
        <v>0</v>
      </c>
      <c r="O425" s="28">
        <v>46280</v>
      </c>
      <c r="P425">
        <v>12.9</v>
      </c>
      <c r="Q425">
        <v>0</v>
      </c>
      <c r="R425">
        <v>0</v>
      </c>
      <c r="S425">
        <v>46</v>
      </c>
      <c r="T425">
        <v>10</v>
      </c>
      <c r="U425">
        <v>49</v>
      </c>
      <c r="V425">
        <v>20260916046</v>
      </c>
    </row>
    <row r="426" spans="1:22" x14ac:dyDescent="0.2">
      <c r="A426" s="34" t="s">
        <v>122</v>
      </c>
      <c r="B426" s="28">
        <v>46281</v>
      </c>
      <c r="C426" s="34"/>
      <c r="D426" s="34" t="s">
        <v>340</v>
      </c>
      <c r="E426" s="34" t="s">
        <v>302</v>
      </c>
      <c r="F426" s="34" t="s">
        <v>303</v>
      </c>
      <c r="G426" s="34" t="s">
        <v>304</v>
      </c>
      <c r="H426" s="34" t="s">
        <v>305</v>
      </c>
      <c r="I426">
        <v>8</v>
      </c>
      <c r="J426">
        <v>0</v>
      </c>
      <c r="K426">
        <v>8</v>
      </c>
      <c r="L426">
        <v>0</v>
      </c>
      <c r="M426">
        <v>0</v>
      </c>
      <c r="N426">
        <v>0</v>
      </c>
      <c r="O426" s="28">
        <v>46280</v>
      </c>
      <c r="R426">
        <v>0</v>
      </c>
      <c r="S426">
        <v>47</v>
      </c>
      <c r="T426">
        <v>10</v>
      </c>
      <c r="U426">
        <v>50</v>
      </c>
      <c r="V426">
        <v>20260916047</v>
      </c>
    </row>
    <row r="427" spans="1:22" x14ac:dyDescent="0.2">
      <c r="A427" s="34" t="s">
        <v>122</v>
      </c>
      <c r="B427" s="28">
        <v>46281</v>
      </c>
      <c r="C427" s="34"/>
      <c r="D427" s="34" t="s">
        <v>340</v>
      </c>
      <c r="E427" s="34" t="s">
        <v>306</v>
      </c>
      <c r="F427" s="34" t="s">
        <v>307</v>
      </c>
      <c r="G427" s="34" t="s">
        <v>308</v>
      </c>
      <c r="H427" s="34" t="s">
        <v>309</v>
      </c>
      <c r="I427">
        <v>10</v>
      </c>
      <c r="J427">
        <v>0</v>
      </c>
      <c r="K427">
        <v>10</v>
      </c>
      <c r="L427">
        <v>0</v>
      </c>
      <c r="M427">
        <v>0</v>
      </c>
      <c r="N427">
        <v>0</v>
      </c>
      <c r="O427" s="28">
        <v>46280</v>
      </c>
      <c r="R427">
        <v>0</v>
      </c>
      <c r="S427">
        <v>48</v>
      </c>
      <c r="T427">
        <v>10</v>
      </c>
      <c r="U427">
        <v>51</v>
      </c>
      <c r="V427">
        <v>20260916048</v>
      </c>
    </row>
    <row r="428" spans="1:22" x14ac:dyDescent="0.2">
      <c r="A428" s="34" t="s">
        <v>122</v>
      </c>
      <c r="B428" s="28">
        <v>46281</v>
      </c>
      <c r="C428" s="34"/>
      <c r="D428" s="34" t="s">
        <v>340</v>
      </c>
      <c r="E428" s="34" t="s">
        <v>314</v>
      </c>
      <c r="F428" s="34" t="s">
        <v>315</v>
      </c>
      <c r="G428" s="34" t="s">
        <v>316</v>
      </c>
      <c r="H428" s="34" t="s">
        <v>317</v>
      </c>
      <c r="I428">
        <v>29</v>
      </c>
      <c r="J428">
        <v>0</v>
      </c>
      <c r="K428">
        <v>23</v>
      </c>
      <c r="L428">
        <v>6</v>
      </c>
      <c r="M428">
        <v>6</v>
      </c>
      <c r="N428">
        <v>0</v>
      </c>
      <c r="O428" s="28">
        <v>46280</v>
      </c>
      <c r="P428">
        <v>12.8</v>
      </c>
      <c r="Q428">
        <v>0</v>
      </c>
      <c r="R428">
        <v>0</v>
      </c>
      <c r="S428">
        <v>49</v>
      </c>
      <c r="T428">
        <v>10</v>
      </c>
      <c r="U428">
        <v>53</v>
      </c>
      <c r="V428">
        <v>20260916049</v>
      </c>
    </row>
    <row r="429" spans="1:22" x14ac:dyDescent="0.2">
      <c r="A429" s="34" t="s">
        <v>122</v>
      </c>
      <c r="B429" s="28">
        <v>46281</v>
      </c>
      <c r="C429" s="34"/>
      <c r="D429" s="34" t="s">
        <v>340</v>
      </c>
      <c r="E429" s="34" t="s">
        <v>318</v>
      </c>
      <c r="F429" s="34" t="s">
        <v>319</v>
      </c>
      <c r="G429" s="34" t="s">
        <v>320</v>
      </c>
      <c r="H429" s="34" t="s">
        <v>321</v>
      </c>
      <c r="I429">
        <v>3</v>
      </c>
      <c r="J429">
        <v>0</v>
      </c>
      <c r="K429">
        <v>2</v>
      </c>
      <c r="L429">
        <v>1</v>
      </c>
      <c r="M429">
        <v>1</v>
      </c>
      <c r="N429">
        <v>0</v>
      </c>
      <c r="O429" s="28">
        <v>46280</v>
      </c>
      <c r="P429">
        <v>16.399999999999999</v>
      </c>
      <c r="Q429">
        <v>0</v>
      </c>
      <c r="R429">
        <v>0</v>
      </c>
      <c r="S429">
        <v>50</v>
      </c>
      <c r="T429">
        <v>10</v>
      </c>
      <c r="U429">
        <v>54</v>
      </c>
      <c r="V429">
        <v>20260916050</v>
      </c>
    </row>
    <row r="430" spans="1:22" x14ac:dyDescent="0.2">
      <c r="A430" s="34" t="s">
        <v>122</v>
      </c>
      <c r="B430" s="28">
        <v>46281</v>
      </c>
      <c r="C430" s="34"/>
      <c r="D430" s="34" t="s">
        <v>340</v>
      </c>
      <c r="E430" s="34" t="s">
        <v>322</v>
      </c>
      <c r="F430" s="34" t="s">
        <v>323</v>
      </c>
      <c r="G430" s="34" t="s">
        <v>324</v>
      </c>
      <c r="H430" s="34" t="s">
        <v>325</v>
      </c>
      <c r="I430">
        <v>7</v>
      </c>
      <c r="J430">
        <v>0</v>
      </c>
      <c r="K430">
        <v>7</v>
      </c>
      <c r="L430">
        <v>0</v>
      </c>
      <c r="M430">
        <v>0</v>
      </c>
      <c r="N430">
        <v>0</v>
      </c>
      <c r="O430" s="28">
        <v>46280</v>
      </c>
      <c r="R430">
        <v>0</v>
      </c>
      <c r="S430">
        <v>51</v>
      </c>
      <c r="T430">
        <v>10</v>
      </c>
      <c r="U430">
        <v>55</v>
      </c>
      <c r="V430">
        <v>20260916051</v>
      </c>
    </row>
    <row r="431" spans="1:22" x14ac:dyDescent="0.2">
      <c r="A431" s="34" t="s">
        <v>122</v>
      </c>
      <c r="B431" s="28">
        <v>46281</v>
      </c>
      <c r="C431" s="34"/>
      <c r="D431" s="34" t="s">
        <v>340</v>
      </c>
      <c r="E431" s="34" t="s">
        <v>326</v>
      </c>
      <c r="F431" s="34" t="s">
        <v>327</v>
      </c>
      <c r="G431" s="34" t="s">
        <v>328</v>
      </c>
      <c r="H431" s="34" t="s">
        <v>329</v>
      </c>
      <c r="I431">
        <v>19</v>
      </c>
      <c r="J431">
        <v>0</v>
      </c>
      <c r="K431">
        <v>17</v>
      </c>
      <c r="L431">
        <v>2</v>
      </c>
      <c r="M431">
        <v>2</v>
      </c>
      <c r="N431">
        <v>0</v>
      </c>
      <c r="O431" s="28">
        <v>46280</v>
      </c>
      <c r="P431">
        <v>16.600000000000001</v>
      </c>
      <c r="Q431">
        <v>0</v>
      </c>
      <c r="R431">
        <v>0</v>
      </c>
      <c r="S431">
        <v>52</v>
      </c>
      <c r="T431">
        <v>10</v>
      </c>
      <c r="U431">
        <v>73</v>
      </c>
      <c r="V431">
        <v>20260916052</v>
      </c>
    </row>
    <row r="432" spans="1:22" x14ac:dyDescent="0.2">
      <c r="A432" s="34" t="s">
        <v>122</v>
      </c>
      <c r="B432" s="28">
        <v>46281</v>
      </c>
      <c r="C432" s="34"/>
      <c r="D432" s="34" t="s">
        <v>340</v>
      </c>
      <c r="E432" s="34" t="s">
        <v>330</v>
      </c>
      <c r="F432" s="34" t="s">
        <v>331</v>
      </c>
      <c r="G432" s="34" t="s">
        <v>332</v>
      </c>
      <c r="H432" s="34" t="s">
        <v>333</v>
      </c>
      <c r="I432">
        <v>4</v>
      </c>
      <c r="J432">
        <v>0</v>
      </c>
      <c r="K432">
        <v>4</v>
      </c>
      <c r="L432">
        <v>0</v>
      </c>
      <c r="M432">
        <v>0</v>
      </c>
      <c r="N432">
        <v>0</v>
      </c>
      <c r="O432" s="28">
        <v>46280</v>
      </c>
      <c r="R432">
        <v>0</v>
      </c>
      <c r="S432">
        <v>53</v>
      </c>
      <c r="T432">
        <v>10</v>
      </c>
      <c r="U432">
        <v>74</v>
      </c>
      <c r="V432">
        <v>20260916053</v>
      </c>
    </row>
    <row r="433" spans="1:22" x14ac:dyDescent="0.2">
      <c r="A433" s="34" t="s">
        <v>122</v>
      </c>
      <c r="B433" s="28">
        <v>46281</v>
      </c>
      <c r="C433" s="34"/>
      <c r="D433" s="34" t="s">
        <v>340</v>
      </c>
      <c r="E433" s="34" t="s">
        <v>334</v>
      </c>
      <c r="F433" s="34" t="s">
        <v>335</v>
      </c>
      <c r="G433" s="34" t="s">
        <v>336</v>
      </c>
      <c r="H433" s="34" t="s">
        <v>337</v>
      </c>
      <c r="I433">
        <v>11</v>
      </c>
      <c r="J433">
        <v>0</v>
      </c>
      <c r="K433">
        <v>8</v>
      </c>
      <c r="L433">
        <v>3</v>
      </c>
      <c r="M433">
        <v>3</v>
      </c>
      <c r="N433">
        <v>0</v>
      </c>
      <c r="O433" s="28">
        <v>46280</v>
      </c>
      <c r="P433">
        <v>16.600000000000001</v>
      </c>
      <c r="Q433">
        <v>0</v>
      </c>
      <c r="R433">
        <v>0</v>
      </c>
      <c r="S433">
        <v>54</v>
      </c>
      <c r="T433">
        <v>10</v>
      </c>
      <c r="U433">
        <v>75</v>
      </c>
      <c r="V433">
        <v>20260916054</v>
      </c>
    </row>
    <row r="434" spans="1:22" x14ac:dyDescent="0.2">
      <c r="A434" s="34" t="s">
        <v>122</v>
      </c>
      <c r="B434" s="28">
        <v>46282</v>
      </c>
      <c r="C434" s="34"/>
      <c r="D434" s="34" t="s">
        <v>123</v>
      </c>
      <c r="E434" s="34" t="s">
        <v>156</v>
      </c>
      <c r="F434" s="34" t="s">
        <v>157</v>
      </c>
      <c r="G434" s="34" t="s">
        <v>158</v>
      </c>
      <c r="H434" s="34" t="s">
        <v>159</v>
      </c>
      <c r="I434">
        <v>15</v>
      </c>
      <c r="J434">
        <v>10</v>
      </c>
      <c r="K434">
        <v>9</v>
      </c>
      <c r="L434">
        <v>16</v>
      </c>
      <c r="M434">
        <v>4</v>
      </c>
      <c r="N434">
        <v>12</v>
      </c>
      <c r="O434" s="28">
        <v>46281</v>
      </c>
      <c r="P434">
        <v>18.2</v>
      </c>
      <c r="Q434">
        <v>218.4</v>
      </c>
      <c r="R434">
        <v>12</v>
      </c>
      <c r="S434">
        <v>1</v>
      </c>
      <c r="T434">
        <v>9</v>
      </c>
      <c r="U434">
        <v>9</v>
      </c>
      <c r="V434">
        <v>20260917001</v>
      </c>
    </row>
    <row r="435" spans="1:22" x14ac:dyDescent="0.2">
      <c r="A435" s="34" t="s">
        <v>122</v>
      </c>
      <c r="B435" s="28">
        <v>46282</v>
      </c>
      <c r="C435" s="34"/>
      <c r="D435" s="34" t="s">
        <v>123</v>
      </c>
      <c r="E435" s="34" t="s">
        <v>240</v>
      </c>
      <c r="F435" s="34" t="s">
        <v>241</v>
      </c>
      <c r="G435" s="34" t="s">
        <v>242</v>
      </c>
      <c r="H435" s="34" t="s">
        <v>243</v>
      </c>
      <c r="I435">
        <v>17</v>
      </c>
      <c r="J435">
        <v>10</v>
      </c>
      <c r="K435">
        <v>17</v>
      </c>
      <c r="L435">
        <v>10</v>
      </c>
      <c r="M435">
        <v>0</v>
      </c>
      <c r="N435">
        <v>10</v>
      </c>
      <c r="O435" s="28">
        <v>46281</v>
      </c>
      <c r="R435">
        <v>10</v>
      </c>
      <c r="S435">
        <v>2</v>
      </c>
      <c r="T435">
        <v>9</v>
      </c>
      <c r="U435">
        <v>34</v>
      </c>
      <c r="V435">
        <v>20260917002</v>
      </c>
    </row>
    <row r="436" spans="1:22" x14ac:dyDescent="0.2">
      <c r="A436" s="34" t="s">
        <v>122</v>
      </c>
      <c r="B436" s="28">
        <v>46282</v>
      </c>
      <c r="C436" s="34"/>
      <c r="D436" s="34" t="s">
        <v>123</v>
      </c>
      <c r="E436" s="34" t="s">
        <v>294</v>
      </c>
      <c r="F436" s="34" t="s">
        <v>295</v>
      </c>
      <c r="G436" s="34" t="s">
        <v>296</v>
      </c>
      <c r="H436" s="34" t="s">
        <v>297</v>
      </c>
      <c r="I436">
        <v>5</v>
      </c>
      <c r="J436">
        <v>20</v>
      </c>
      <c r="K436">
        <v>21</v>
      </c>
      <c r="L436">
        <v>4</v>
      </c>
      <c r="M436">
        <v>14</v>
      </c>
      <c r="N436">
        <v>-10</v>
      </c>
      <c r="O436" s="28">
        <v>46281</v>
      </c>
      <c r="P436">
        <v>12.8</v>
      </c>
      <c r="Q436">
        <v>-128</v>
      </c>
      <c r="R436">
        <v>10</v>
      </c>
      <c r="S436">
        <v>3</v>
      </c>
      <c r="T436">
        <v>9</v>
      </c>
      <c r="U436">
        <v>48</v>
      </c>
      <c r="V436">
        <v>20260917003</v>
      </c>
    </row>
    <row r="437" spans="1:22" x14ac:dyDescent="0.2">
      <c r="A437" s="34" t="s">
        <v>122</v>
      </c>
      <c r="B437" s="28">
        <v>46282</v>
      </c>
      <c r="C437" s="34"/>
      <c r="D437" s="34" t="s">
        <v>123</v>
      </c>
      <c r="E437" s="34" t="s">
        <v>216</v>
      </c>
      <c r="F437" s="34" t="s">
        <v>217</v>
      </c>
      <c r="G437" s="34" t="s">
        <v>218</v>
      </c>
      <c r="H437" s="34" t="s">
        <v>219</v>
      </c>
      <c r="I437">
        <v>2</v>
      </c>
      <c r="J437">
        <v>10</v>
      </c>
      <c r="K437">
        <v>3</v>
      </c>
      <c r="L437">
        <v>9</v>
      </c>
      <c r="M437">
        <v>3</v>
      </c>
      <c r="N437">
        <v>6</v>
      </c>
      <c r="O437" s="28">
        <v>46281</v>
      </c>
      <c r="P437">
        <v>12.7</v>
      </c>
      <c r="Q437">
        <v>76.2</v>
      </c>
      <c r="R437">
        <v>6</v>
      </c>
      <c r="S437">
        <v>4</v>
      </c>
      <c r="T437">
        <v>9</v>
      </c>
      <c r="U437">
        <v>28</v>
      </c>
      <c r="V437">
        <v>20260917004</v>
      </c>
    </row>
    <row r="438" spans="1:22" x14ac:dyDescent="0.2">
      <c r="A438" s="34" t="s">
        <v>122</v>
      </c>
      <c r="B438" s="28">
        <v>46282</v>
      </c>
      <c r="C438" s="34"/>
      <c r="D438" s="34" t="s">
        <v>123</v>
      </c>
      <c r="E438" s="34" t="s">
        <v>220</v>
      </c>
      <c r="F438" s="34" t="s">
        <v>221</v>
      </c>
      <c r="G438" s="34" t="s">
        <v>222</v>
      </c>
      <c r="H438" s="34" t="s">
        <v>223</v>
      </c>
      <c r="I438">
        <v>11</v>
      </c>
      <c r="J438">
        <v>0</v>
      </c>
      <c r="K438">
        <v>6</v>
      </c>
      <c r="L438">
        <v>5</v>
      </c>
      <c r="M438">
        <v>0</v>
      </c>
      <c r="N438">
        <v>5</v>
      </c>
      <c r="O438" s="28">
        <v>46281</v>
      </c>
      <c r="R438">
        <v>5</v>
      </c>
      <c r="S438">
        <v>5</v>
      </c>
      <c r="T438">
        <v>9</v>
      </c>
      <c r="U438">
        <v>29</v>
      </c>
      <c r="V438">
        <v>20260917005</v>
      </c>
    </row>
    <row r="439" spans="1:22" x14ac:dyDescent="0.2">
      <c r="A439" s="34" t="s">
        <v>122</v>
      </c>
      <c r="B439" s="28">
        <v>46282</v>
      </c>
      <c r="C439" s="34"/>
      <c r="D439" s="34" t="s">
        <v>123</v>
      </c>
      <c r="E439" s="34" t="s">
        <v>334</v>
      </c>
      <c r="F439" s="34" t="s">
        <v>335</v>
      </c>
      <c r="G439" s="34" t="s">
        <v>336</v>
      </c>
      <c r="H439" s="34" t="s">
        <v>337</v>
      </c>
      <c r="I439">
        <v>8</v>
      </c>
      <c r="J439">
        <v>10</v>
      </c>
      <c r="K439">
        <v>8</v>
      </c>
      <c r="L439">
        <v>10</v>
      </c>
      <c r="M439">
        <v>6</v>
      </c>
      <c r="N439">
        <v>4</v>
      </c>
      <c r="O439" s="28">
        <v>46281</v>
      </c>
      <c r="P439">
        <v>16.600000000000001</v>
      </c>
      <c r="Q439">
        <v>66.400000000000006</v>
      </c>
      <c r="R439">
        <v>4</v>
      </c>
      <c r="S439">
        <v>6</v>
      </c>
      <c r="T439">
        <v>9</v>
      </c>
      <c r="U439">
        <v>75</v>
      </c>
      <c r="V439">
        <v>20260917006</v>
      </c>
    </row>
    <row r="440" spans="1:22" x14ac:dyDescent="0.2">
      <c r="A440" s="34" t="s">
        <v>122</v>
      </c>
      <c r="B440" s="28">
        <v>46282</v>
      </c>
      <c r="C440" s="34"/>
      <c r="D440" s="34" t="s">
        <v>123</v>
      </c>
      <c r="E440" s="34" t="s">
        <v>136</v>
      </c>
      <c r="F440" s="34" t="s">
        <v>137</v>
      </c>
      <c r="G440" s="34" t="s">
        <v>138</v>
      </c>
      <c r="H440" s="34" t="s">
        <v>139</v>
      </c>
      <c r="I440">
        <v>5</v>
      </c>
      <c r="J440">
        <v>10</v>
      </c>
      <c r="K440">
        <v>5</v>
      </c>
      <c r="L440">
        <v>10</v>
      </c>
      <c r="M440">
        <v>7</v>
      </c>
      <c r="N440">
        <v>3</v>
      </c>
      <c r="O440" s="28">
        <v>46281</v>
      </c>
      <c r="P440">
        <v>12.8</v>
      </c>
      <c r="Q440">
        <v>38.4</v>
      </c>
      <c r="R440">
        <v>3</v>
      </c>
      <c r="S440">
        <v>7</v>
      </c>
      <c r="T440">
        <v>9</v>
      </c>
      <c r="U440">
        <v>4</v>
      </c>
      <c r="V440">
        <v>20260917007</v>
      </c>
    </row>
    <row r="441" spans="1:22" x14ac:dyDescent="0.2">
      <c r="A441" s="34" t="s">
        <v>122</v>
      </c>
      <c r="B441" s="28">
        <v>46282</v>
      </c>
      <c r="C441" s="34"/>
      <c r="D441" s="34" t="s">
        <v>123</v>
      </c>
      <c r="E441" s="34" t="s">
        <v>232</v>
      </c>
      <c r="F441" s="34" t="s">
        <v>233</v>
      </c>
      <c r="G441" s="34" t="s">
        <v>234</v>
      </c>
      <c r="H441" s="34" t="s">
        <v>235</v>
      </c>
      <c r="I441">
        <v>7</v>
      </c>
      <c r="J441">
        <v>10</v>
      </c>
      <c r="K441">
        <v>18</v>
      </c>
      <c r="L441">
        <v>-1</v>
      </c>
      <c r="M441">
        <v>2</v>
      </c>
      <c r="N441">
        <v>-3</v>
      </c>
      <c r="O441" s="28">
        <v>46281</v>
      </c>
      <c r="P441">
        <v>17.8</v>
      </c>
      <c r="Q441">
        <v>-53.4</v>
      </c>
      <c r="R441">
        <v>3</v>
      </c>
      <c r="S441">
        <v>8</v>
      </c>
      <c r="T441">
        <v>9</v>
      </c>
      <c r="U441">
        <v>32</v>
      </c>
      <c r="V441">
        <v>20260917008</v>
      </c>
    </row>
    <row r="442" spans="1:22" x14ac:dyDescent="0.2">
      <c r="A442" s="34" t="s">
        <v>122</v>
      </c>
      <c r="B442" s="28">
        <v>46282</v>
      </c>
      <c r="C442" s="34"/>
      <c r="D442" s="34" t="s">
        <v>123</v>
      </c>
      <c r="E442" s="34" t="s">
        <v>264</v>
      </c>
      <c r="F442" s="34" t="s">
        <v>265</v>
      </c>
      <c r="G442" s="34" t="s">
        <v>266</v>
      </c>
      <c r="H442" s="34" t="s">
        <v>267</v>
      </c>
      <c r="I442">
        <v>5</v>
      </c>
      <c r="J442">
        <v>10</v>
      </c>
      <c r="K442">
        <v>8</v>
      </c>
      <c r="L442">
        <v>7</v>
      </c>
      <c r="M442">
        <v>4</v>
      </c>
      <c r="N442">
        <v>3</v>
      </c>
      <c r="O442" s="28">
        <v>46281</v>
      </c>
      <c r="P442">
        <v>18.399999999999999</v>
      </c>
      <c r="Q442">
        <v>55.2</v>
      </c>
      <c r="R442">
        <v>3</v>
      </c>
      <c r="S442">
        <v>9</v>
      </c>
      <c r="T442">
        <v>9</v>
      </c>
      <c r="U442">
        <v>40</v>
      </c>
      <c r="V442">
        <v>20260917009</v>
      </c>
    </row>
    <row r="443" spans="1:22" x14ac:dyDescent="0.2">
      <c r="A443" s="34" t="s">
        <v>122</v>
      </c>
      <c r="B443" s="28">
        <v>46282</v>
      </c>
      <c r="C443" s="34"/>
      <c r="D443" s="34" t="s">
        <v>123</v>
      </c>
      <c r="E443" s="34" t="s">
        <v>302</v>
      </c>
      <c r="F443" s="34" t="s">
        <v>303</v>
      </c>
      <c r="G443" s="34" t="s">
        <v>304</v>
      </c>
      <c r="H443" s="34" t="s">
        <v>305</v>
      </c>
      <c r="I443">
        <v>8</v>
      </c>
      <c r="J443">
        <v>0</v>
      </c>
      <c r="K443">
        <v>6</v>
      </c>
      <c r="L443">
        <v>2</v>
      </c>
      <c r="M443">
        <v>0</v>
      </c>
      <c r="N443">
        <v>2</v>
      </c>
      <c r="O443" s="28">
        <v>46281</v>
      </c>
      <c r="R443">
        <v>2</v>
      </c>
      <c r="S443">
        <v>10</v>
      </c>
      <c r="T443">
        <v>9</v>
      </c>
      <c r="U443">
        <v>50</v>
      </c>
      <c r="V443">
        <v>20260917010</v>
      </c>
    </row>
    <row r="444" spans="1:22" x14ac:dyDescent="0.2">
      <c r="A444" s="34" t="s">
        <v>122</v>
      </c>
      <c r="B444" s="28">
        <v>46282</v>
      </c>
      <c r="C444" s="34"/>
      <c r="D444" s="34" t="s">
        <v>123</v>
      </c>
      <c r="E444" s="34" t="s">
        <v>326</v>
      </c>
      <c r="F444" s="34" t="s">
        <v>327</v>
      </c>
      <c r="G444" s="34" t="s">
        <v>328</v>
      </c>
      <c r="H444" s="34" t="s">
        <v>329</v>
      </c>
      <c r="I444">
        <v>17</v>
      </c>
      <c r="J444">
        <v>0</v>
      </c>
      <c r="K444">
        <v>15</v>
      </c>
      <c r="L444">
        <v>2</v>
      </c>
      <c r="M444">
        <v>4</v>
      </c>
      <c r="N444">
        <v>-2</v>
      </c>
      <c r="O444" s="28">
        <v>46281</v>
      </c>
      <c r="P444">
        <v>16.600000000000001</v>
      </c>
      <c r="Q444">
        <v>-33.200000000000003</v>
      </c>
      <c r="R444">
        <v>2</v>
      </c>
      <c r="S444">
        <v>11</v>
      </c>
      <c r="T444">
        <v>9</v>
      </c>
      <c r="U444">
        <v>73</v>
      </c>
      <c r="V444">
        <v>20260917011</v>
      </c>
    </row>
    <row r="445" spans="1:22" x14ac:dyDescent="0.2">
      <c r="A445" s="34" t="s">
        <v>122</v>
      </c>
      <c r="B445" s="28">
        <v>46282</v>
      </c>
      <c r="C445" s="34"/>
      <c r="D445" s="34" t="s">
        <v>123</v>
      </c>
      <c r="E445" s="34" t="s">
        <v>176</v>
      </c>
      <c r="F445" s="34" t="s">
        <v>177</v>
      </c>
      <c r="G445" s="34" t="s">
        <v>178</v>
      </c>
      <c r="H445" s="34" t="s">
        <v>179</v>
      </c>
      <c r="I445">
        <v>22</v>
      </c>
      <c r="J445">
        <v>10</v>
      </c>
      <c r="K445">
        <v>26</v>
      </c>
      <c r="L445">
        <v>6</v>
      </c>
      <c r="M445">
        <v>5</v>
      </c>
      <c r="N445">
        <v>1</v>
      </c>
      <c r="O445" s="28">
        <v>46281</v>
      </c>
      <c r="P445">
        <v>18.2</v>
      </c>
      <c r="Q445">
        <v>18.2</v>
      </c>
      <c r="R445">
        <v>1</v>
      </c>
      <c r="S445">
        <v>12</v>
      </c>
      <c r="T445">
        <v>9</v>
      </c>
      <c r="U445">
        <v>14</v>
      </c>
      <c r="V445">
        <v>20260917012</v>
      </c>
    </row>
    <row r="446" spans="1:22" x14ac:dyDescent="0.2">
      <c r="A446" s="34" t="s">
        <v>122</v>
      </c>
      <c r="B446" s="28">
        <v>46282</v>
      </c>
      <c r="C446" s="34"/>
      <c r="D446" s="34" t="s">
        <v>123</v>
      </c>
      <c r="E446" s="34" t="s">
        <v>196</v>
      </c>
      <c r="F446" s="34" t="s">
        <v>197</v>
      </c>
      <c r="G446" s="34" t="s">
        <v>198</v>
      </c>
      <c r="H446" s="34" t="s">
        <v>199</v>
      </c>
      <c r="I446">
        <v>3</v>
      </c>
      <c r="J446">
        <v>10</v>
      </c>
      <c r="K446">
        <v>12</v>
      </c>
      <c r="L446">
        <v>1</v>
      </c>
      <c r="M446">
        <v>0</v>
      </c>
      <c r="N446">
        <v>1</v>
      </c>
      <c r="O446" s="28">
        <v>46281</v>
      </c>
      <c r="R446">
        <v>1</v>
      </c>
      <c r="S446">
        <v>13</v>
      </c>
      <c r="T446">
        <v>9</v>
      </c>
      <c r="U446">
        <v>23</v>
      </c>
      <c r="V446">
        <v>20260917013</v>
      </c>
    </row>
    <row r="447" spans="1:22" x14ac:dyDescent="0.2">
      <c r="A447" s="34" t="s">
        <v>122</v>
      </c>
      <c r="B447" s="28">
        <v>46282</v>
      </c>
      <c r="C447" s="34"/>
      <c r="D447" s="34" t="s">
        <v>123</v>
      </c>
      <c r="E447" s="34" t="s">
        <v>228</v>
      </c>
      <c r="F447" s="34" t="s">
        <v>229</v>
      </c>
      <c r="G447" s="34" t="s">
        <v>230</v>
      </c>
      <c r="H447" s="34" t="s">
        <v>231</v>
      </c>
      <c r="I447">
        <v>7</v>
      </c>
      <c r="J447">
        <v>10</v>
      </c>
      <c r="K447">
        <v>12</v>
      </c>
      <c r="L447">
        <v>5</v>
      </c>
      <c r="M447">
        <v>6</v>
      </c>
      <c r="N447">
        <v>-1</v>
      </c>
      <c r="O447" s="28">
        <v>46281</v>
      </c>
      <c r="P447">
        <v>17.899999999999999</v>
      </c>
      <c r="Q447">
        <v>-17.899999999999999</v>
      </c>
      <c r="R447">
        <v>1</v>
      </c>
      <c r="S447">
        <v>14</v>
      </c>
      <c r="T447">
        <v>9</v>
      </c>
      <c r="U447">
        <v>31</v>
      </c>
      <c r="V447">
        <v>20260917014</v>
      </c>
    </row>
    <row r="448" spans="1:22" x14ac:dyDescent="0.2">
      <c r="A448" s="34" t="s">
        <v>122</v>
      </c>
      <c r="B448" s="28">
        <v>46282</v>
      </c>
      <c r="C448" s="34"/>
      <c r="D448" s="34" t="s">
        <v>123</v>
      </c>
      <c r="E448" s="34" t="s">
        <v>252</v>
      </c>
      <c r="F448" s="34" t="s">
        <v>253</v>
      </c>
      <c r="G448" s="34" t="s">
        <v>254</v>
      </c>
      <c r="H448" s="34" t="s">
        <v>255</v>
      </c>
      <c r="I448">
        <v>12</v>
      </c>
      <c r="J448">
        <v>10</v>
      </c>
      <c r="K448">
        <v>15</v>
      </c>
      <c r="L448">
        <v>7</v>
      </c>
      <c r="M448">
        <v>6</v>
      </c>
      <c r="N448">
        <v>1</v>
      </c>
      <c r="O448" s="28">
        <v>46281</v>
      </c>
      <c r="P448">
        <v>18.399999999999999</v>
      </c>
      <c r="Q448">
        <v>18.399999999999999</v>
      </c>
      <c r="R448">
        <v>1</v>
      </c>
      <c r="S448">
        <v>15</v>
      </c>
      <c r="T448">
        <v>9</v>
      </c>
      <c r="U448">
        <v>37</v>
      </c>
      <c r="V448">
        <v>20260917015</v>
      </c>
    </row>
    <row r="449" spans="1:22" x14ac:dyDescent="0.2">
      <c r="A449" s="34" t="s">
        <v>122</v>
      </c>
      <c r="B449" s="28">
        <v>46282</v>
      </c>
      <c r="C449" s="34"/>
      <c r="D449" s="34" t="s">
        <v>123</v>
      </c>
      <c r="E449" s="34" t="s">
        <v>291</v>
      </c>
      <c r="F449" s="34" t="s">
        <v>342</v>
      </c>
      <c r="G449" s="34" t="s">
        <v>292</v>
      </c>
      <c r="H449" s="34" t="s">
        <v>293</v>
      </c>
      <c r="I449">
        <v>23</v>
      </c>
      <c r="J449">
        <v>0</v>
      </c>
      <c r="K449">
        <v>22</v>
      </c>
      <c r="L449">
        <v>1</v>
      </c>
      <c r="M449">
        <v>0</v>
      </c>
      <c r="N449">
        <v>1</v>
      </c>
      <c r="O449" s="28">
        <v>46281</v>
      </c>
      <c r="R449">
        <v>1</v>
      </c>
      <c r="S449">
        <v>16</v>
      </c>
      <c r="T449">
        <v>9</v>
      </c>
      <c r="U449">
        <v>47</v>
      </c>
      <c r="V449">
        <v>20260917016</v>
      </c>
    </row>
    <row r="450" spans="1:22" x14ac:dyDescent="0.2">
      <c r="A450" s="34" t="s">
        <v>122</v>
      </c>
      <c r="B450" s="28">
        <v>46282</v>
      </c>
      <c r="C450" s="34"/>
      <c r="D450" s="34" t="s">
        <v>123</v>
      </c>
      <c r="E450" s="34" t="s">
        <v>124</v>
      </c>
      <c r="F450" s="34" t="s">
        <v>125</v>
      </c>
      <c r="G450" s="34" t="s">
        <v>126</v>
      </c>
      <c r="H450" s="34" t="s">
        <v>127</v>
      </c>
      <c r="I450">
        <v>5</v>
      </c>
      <c r="J450">
        <v>5</v>
      </c>
      <c r="K450">
        <v>10</v>
      </c>
      <c r="L450">
        <v>0</v>
      </c>
      <c r="M450">
        <v>0</v>
      </c>
      <c r="N450">
        <v>0</v>
      </c>
      <c r="O450" s="28">
        <v>46281</v>
      </c>
      <c r="R450">
        <v>0</v>
      </c>
      <c r="S450">
        <v>17</v>
      </c>
      <c r="T450">
        <v>9</v>
      </c>
      <c r="U450">
        <v>1</v>
      </c>
      <c r="V450">
        <v>20260917017</v>
      </c>
    </row>
    <row r="451" spans="1:22" x14ac:dyDescent="0.2">
      <c r="A451" s="34" t="s">
        <v>122</v>
      </c>
      <c r="B451" s="28">
        <v>46282</v>
      </c>
      <c r="C451" s="34"/>
      <c r="D451" s="34" t="s">
        <v>123</v>
      </c>
      <c r="E451" s="34" t="s">
        <v>128</v>
      </c>
      <c r="F451" s="34" t="s">
        <v>129</v>
      </c>
      <c r="G451" s="34" t="s">
        <v>130</v>
      </c>
      <c r="H451" s="34" t="s">
        <v>131</v>
      </c>
      <c r="I451">
        <v>5</v>
      </c>
      <c r="J451">
        <v>0</v>
      </c>
      <c r="K451">
        <v>5</v>
      </c>
      <c r="L451">
        <v>0</v>
      </c>
      <c r="M451">
        <v>0</v>
      </c>
      <c r="N451">
        <v>0</v>
      </c>
      <c r="O451" s="28">
        <v>46281</v>
      </c>
      <c r="R451">
        <v>0</v>
      </c>
      <c r="S451">
        <v>18</v>
      </c>
      <c r="T451">
        <v>9</v>
      </c>
      <c r="U451">
        <v>2</v>
      </c>
      <c r="V451">
        <v>20260917018</v>
      </c>
    </row>
    <row r="452" spans="1:22" x14ac:dyDescent="0.2">
      <c r="A452" s="34" t="s">
        <v>122</v>
      </c>
      <c r="B452" s="28">
        <v>46282</v>
      </c>
      <c r="C452" s="34"/>
      <c r="D452" s="34" t="s">
        <v>123</v>
      </c>
      <c r="E452" s="34" t="s">
        <v>132</v>
      </c>
      <c r="F452" s="34" t="s">
        <v>133</v>
      </c>
      <c r="G452" s="34" t="s">
        <v>134</v>
      </c>
      <c r="H452" s="34" t="s">
        <v>135</v>
      </c>
      <c r="I452">
        <v>4</v>
      </c>
      <c r="J452">
        <v>0</v>
      </c>
      <c r="K452">
        <v>4</v>
      </c>
      <c r="L452">
        <v>0</v>
      </c>
      <c r="M452">
        <v>0</v>
      </c>
      <c r="N452">
        <v>0</v>
      </c>
      <c r="O452" s="28">
        <v>46281</v>
      </c>
      <c r="R452">
        <v>0</v>
      </c>
      <c r="S452">
        <v>19</v>
      </c>
      <c r="T452">
        <v>9</v>
      </c>
      <c r="U452">
        <v>3</v>
      </c>
      <c r="V452">
        <v>20260917019</v>
      </c>
    </row>
    <row r="453" spans="1:22" x14ac:dyDescent="0.2">
      <c r="A453" s="34" t="s">
        <v>122</v>
      </c>
      <c r="B453" s="28">
        <v>46282</v>
      </c>
      <c r="C453" s="34"/>
      <c r="D453" s="34" t="s">
        <v>123</v>
      </c>
      <c r="E453" s="34" t="s">
        <v>140</v>
      </c>
      <c r="F453" s="34" t="s">
        <v>141</v>
      </c>
      <c r="G453" s="34" t="s">
        <v>142</v>
      </c>
      <c r="H453" s="34" t="s">
        <v>143</v>
      </c>
      <c r="I453">
        <v>2</v>
      </c>
      <c r="J453">
        <v>4</v>
      </c>
      <c r="K453">
        <v>5</v>
      </c>
      <c r="L453">
        <v>1</v>
      </c>
      <c r="M453">
        <v>1</v>
      </c>
      <c r="N453">
        <v>0</v>
      </c>
      <c r="O453" s="28">
        <v>46281</v>
      </c>
      <c r="P453">
        <v>12.8</v>
      </c>
      <c r="Q453">
        <v>0</v>
      </c>
      <c r="R453">
        <v>0</v>
      </c>
      <c r="S453">
        <v>20</v>
      </c>
      <c r="T453">
        <v>9</v>
      </c>
      <c r="U453">
        <v>5</v>
      </c>
      <c r="V453">
        <v>20260917020</v>
      </c>
    </row>
    <row r="454" spans="1:22" x14ac:dyDescent="0.2">
      <c r="A454" s="34" t="s">
        <v>122</v>
      </c>
      <c r="B454" s="28">
        <v>46282</v>
      </c>
      <c r="C454" s="34"/>
      <c r="D454" s="34" t="s">
        <v>123</v>
      </c>
      <c r="E454" s="34" t="s">
        <v>144</v>
      </c>
      <c r="F454" s="34" t="s">
        <v>145</v>
      </c>
      <c r="G454" s="34" t="s">
        <v>146</v>
      </c>
      <c r="H454" s="34" t="s">
        <v>147</v>
      </c>
      <c r="I454">
        <v>4</v>
      </c>
      <c r="J454">
        <v>0</v>
      </c>
      <c r="K454">
        <v>2</v>
      </c>
      <c r="L454">
        <v>2</v>
      </c>
      <c r="M454">
        <v>2</v>
      </c>
      <c r="N454">
        <v>0</v>
      </c>
      <c r="O454" s="28">
        <v>46281</v>
      </c>
      <c r="P454">
        <v>12.8</v>
      </c>
      <c r="Q454">
        <v>0</v>
      </c>
      <c r="R454">
        <v>0</v>
      </c>
      <c r="S454">
        <v>21</v>
      </c>
      <c r="T454">
        <v>9</v>
      </c>
      <c r="U454">
        <v>6</v>
      </c>
      <c r="V454">
        <v>20260917021</v>
      </c>
    </row>
    <row r="455" spans="1:22" x14ac:dyDescent="0.2">
      <c r="A455" s="34" t="s">
        <v>122</v>
      </c>
      <c r="B455" s="28">
        <v>46282</v>
      </c>
      <c r="C455" s="34"/>
      <c r="D455" s="34" t="s">
        <v>123</v>
      </c>
      <c r="E455" s="34" t="s">
        <v>148</v>
      </c>
      <c r="F455" s="34" t="s">
        <v>149</v>
      </c>
      <c r="G455" s="34" t="s">
        <v>150</v>
      </c>
      <c r="H455" s="34" t="s">
        <v>151</v>
      </c>
      <c r="I455">
        <v>3</v>
      </c>
      <c r="J455">
        <v>3</v>
      </c>
      <c r="K455">
        <v>5</v>
      </c>
      <c r="L455">
        <v>1</v>
      </c>
      <c r="M455">
        <v>1</v>
      </c>
      <c r="N455">
        <v>0</v>
      </c>
      <c r="O455" s="28">
        <v>46281</v>
      </c>
      <c r="P455">
        <v>12.8</v>
      </c>
      <c r="Q455">
        <v>0</v>
      </c>
      <c r="R455">
        <v>0</v>
      </c>
      <c r="S455">
        <v>22</v>
      </c>
      <c r="T455">
        <v>9</v>
      </c>
      <c r="U455">
        <v>7</v>
      </c>
      <c r="V455">
        <v>20260917022</v>
      </c>
    </row>
    <row r="456" spans="1:22" x14ac:dyDescent="0.2">
      <c r="A456" s="34" t="s">
        <v>122</v>
      </c>
      <c r="B456" s="28">
        <v>46282</v>
      </c>
      <c r="C456" s="34"/>
      <c r="D456" s="34" t="s">
        <v>123</v>
      </c>
      <c r="E456" s="34" t="s">
        <v>152</v>
      </c>
      <c r="F456" s="34" t="s">
        <v>153</v>
      </c>
      <c r="G456" s="34" t="s">
        <v>154</v>
      </c>
      <c r="H456" s="34" t="s">
        <v>155</v>
      </c>
      <c r="I456">
        <v>13</v>
      </c>
      <c r="J456">
        <v>10</v>
      </c>
      <c r="K456">
        <v>14</v>
      </c>
      <c r="L456">
        <v>9</v>
      </c>
      <c r="M456">
        <v>9</v>
      </c>
      <c r="N456">
        <v>0</v>
      </c>
      <c r="O456" s="28">
        <v>46281</v>
      </c>
      <c r="P456">
        <v>12.8</v>
      </c>
      <c r="Q456">
        <v>0</v>
      </c>
      <c r="R456">
        <v>0</v>
      </c>
      <c r="S456">
        <v>23</v>
      </c>
      <c r="T456">
        <v>9</v>
      </c>
      <c r="U456">
        <v>8</v>
      </c>
      <c r="V456">
        <v>20260917023</v>
      </c>
    </row>
    <row r="457" spans="1:22" x14ac:dyDescent="0.2">
      <c r="A457" s="34" t="s">
        <v>122</v>
      </c>
      <c r="B457" s="28">
        <v>46282</v>
      </c>
      <c r="C457" s="34"/>
      <c r="D457" s="34" t="s">
        <v>123</v>
      </c>
      <c r="E457" s="34" t="s">
        <v>160</v>
      </c>
      <c r="F457" s="34" t="s">
        <v>161</v>
      </c>
      <c r="G457" s="34" t="s">
        <v>162</v>
      </c>
      <c r="H457" s="34" t="s">
        <v>163</v>
      </c>
      <c r="I457">
        <v>5</v>
      </c>
      <c r="J457">
        <v>0</v>
      </c>
      <c r="K457">
        <v>5</v>
      </c>
      <c r="L457">
        <v>0</v>
      </c>
      <c r="M457">
        <v>0</v>
      </c>
      <c r="N457">
        <v>0</v>
      </c>
      <c r="O457" s="28">
        <v>46281</v>
      </c>
      <c r="R457">
        <v>0</v>
      </c>
      <c r="S457">
        <v>24</v>
      </c>
      <c r="T457">
        <v>9</v>
      </c>
      <c r="U457">
        <v>10</v>
      </c>
      <c r="V457">
        <v>20260917024</v>
      </c>
    </row>
    <row r="458" spans="1:22" x14ac:dyDescent="0.2">
      <c r="A458" s="34" t="s">
        <v>122</v>
      </c>
      <c r="B458" s="28">
        <v>46282</v>
      </c>
      <c r="C458" s="34"/>
      <c r="D458" s="34" t="s">
        <v>123</v>
      </c>
      <c r="E458" s="34" t="s">
        <v>164</v>
      </c>
      <c r="F458" s="34" t="s">
        <v>165</v>
      </c>
      <c r="G458" s="34" t="s">
        <v>166</v>
      </c>
      <c r="H458" s="34" t="s">
        <v>167</v>
      </c>
      <c r="I458">
        <v>34</v>
      </c>
      <c r="J458">
        <v>20</v>
      </c>
      <c r="K458">
        <v>32</v>
      </c>
      <c r="L458">
        <v>22</v>
      </c>
      <c r="M458">
        <v>22</v>
      </c>
      <c r="N458">
        <v>0</v>
      </c>
      <c r="O458" s="28">
        <v>46281</v>
      </c>
      <c r="P458">
        <v>18.2</v>
      </c>
      <c r="Q458">
        <v>0</v>
      </c>
      <c r="R458">
        <v>0</v>
      </c>
      <c r="S458">
        <v>25</v>
      </c>
      <c r="T458">
        <v>9</v>
      </c>
      <c r="U458">
        <v>11</v>
      </c>
      <c r="V458">
        <v>20260917025</v>
      </c>
    </row>
    <row r="459" spans="1:22" x14ac:dyDescent="0.2">
      <c r="A459" s="34" t="s">
        <v>122</v>
      </c>
      <c r="B459" s="28">
        <v>46282</v>
      </c>
      <c r="C459" s="34"/>
      <c r="D459" s="34" t="s">
        <v>123</v>
      </c>
      <c r="E459" s="34" t="s">
        <v>168</v>
      </c>
      <c r="F459" s="34" t="s">
        <v>169</v>
      </c>
      <c r="G459" s="34" t="s">
        <v>170</v>
      </c>
      <c r="H459" s="34" t="s">
        <v>171</v>
      </c>
      <c r="I459">
        <v>14</v>
      </c>
      <c r="J459">
        <v>0</v>
      </c>
      <c r="K459">
        <v>13</v>
      </c>
      <c r="L459">
        <v>1</v>
      </c>
      <c r="M459">
        <v>1</v>
      </c>
      <c r="N459">
        <v>0</v>
      </c>
      <c r="O459" s="28">
        <v>46281</v>
      </c>
      <c r="P459">
        <v>18.2</v>
      </c>
      <c r="Q459">
        <v>0</v>
      </c>
      <c r="R459">
        <v>0</v>
      </c>
      <c r="S459">
        <v>26</v>
      </c>
      <c r="T459">
        <v>9</v>
      </c>
      <c r="U459">
        <v>12</v>
      </c>
      <c r="V459">
        <v>20260917026</v>
      </c>
    </row>
    <row r="460" spans="1:22" x14ac:dyDescent="0.2">
      <c r="A460" s="34" t="s">
        <v>122</v>
      </c>
      <c r="B460" s="28">
        <v>46282</v>
      </c>
      <c r="C460" s="34"/>
      <c r="D460" s="34" t="s">
        <v>123</v>
      </c>
      <c r="E460" s="34" t="s">
        <v>172</v>
      </c>
      <c r="F460" s="34" t="s">
        <v>173</v>
      </c>
      <c r="G460" s="34" t="s">
        <v>174</v>
      </c>
      <c r="H460" s="34" t="s">
        <v>175</v>
      </c>
      <c r="I460">
        <v>15</v>
      </c>
      <c r="J460">
        <v>0</v>
      </c>
      <c r="K460">
        <v>15</v>
      </c>
      <c r="L460">
        <v>0</v>
      </c>
      <c r="M460">
        <v>0</v>
      </c>
      <c r="N460">
        <v>0</v>
      </c>
      <c r="O460" s="28">
        <v>46281</v>
      </c>
      <c r="R460">
        <v>0</v>
      </c>
      <c r="S460">
        <v>27</v>
      </c>
      <c r="T460">
        <v>9</v>
      </c>
      <c r="U460">
        <v>13</v>
      </c>
      <c r="V460">
        <v>20260917027</v>
      </c>
    </row>
    <row r="461" spans="1:22" x14ac:dyDescent="0.2">
      <c r="A461" s="34" t="s">
        <v>122</v>
      </c>
      <c r="B461" s="28">
        <v>46282</v>
      </c>
      <c r="C461" s="34"/>
      <c r="D461" s="34" t="s">
        <v>123</v>
      </c>
      <c r="E461" s="34" t="s">
        <v>180</v>
      </c>
      <c r="F461" s="34" t="s">
        <v>181</v>
      </c>
      <c r="G461" s="34" t="s">
        <v>182</v>
      </c>
      <c r="H461" s="34" t="s">
        <v>183</v>
      </c>
      <c r="I461">
        <v>11</v>
      </c>
      <c r="J461">
        <v>0</v>
      </c>
      <c r="K461">
        <v>9</v>
      </c>
      <c r="L461">
        <v>2</v>
      </c>
      <c r="M461">
        <v>2</v>
      </c>
      <c r="N461">
        <v>0</v>
      </c>
      <c r="O461" s="28">
        <v>46281</v>
      </c>
      <c r="P461">
        <v>18.2</v>
      </c>
      <c r="Q461">
        <v>0</v>
      </c>
      <c r="R461">
        <v>0</v>
      </c>
      <c r="S461">
        <v>28</v>
      </c>
      <c r="T461">
        <v>9</v>
      </c>
      <c r="U461">
        <v>15</v>
      </c>
      <c r="V461">
        <v>20260917028</v>
      </c>
    </row>
    <row r="462" spans="1:22" x14ac:dyDescent="0.2">
      <c r="A462" s="34" t="s">
        <v>122</v>
      </c>
      <c r="B462" s="28">
        <v>46282</v>
      </c>
      <c r="C462" s="34"/>
      <c r="D462" s="34" t="s">
        <v>123</v>
      </c>
      <c r="E462" s="34" t="s">
        <v>184</v>
      </c>
      <c r="F462" s="34" t="s">
        <v>185</v>
      </c>
      <c r="G462" s="34" t="s">
        <v>186</v>
      </c>
      <c r="H462" s="34" t="s">
        <v>187</v>
      </c>
      <c r="I462">
        <v>13</v>
      </c>
      <c r="J462">
        <v>0</v>
      </c>
      <c r="K462">
        <v>13</v>
      </c>
      <c r="L462">
        <v>0</v>
      </c>
      <c r="M462">
        <v>0</v>
      </c>
      <c r="N462">
        <v>0</v>
      </c>
      <c r="O462" s="28">
        <v>46281</v>
      </c>
      <c r="R462">
        <v>0</v>
      </c>
      <c r="S462">
        <v>29</v>
      </c>
      <c r="T462">
        <v>9</v>
      </c>
      <c r="U462">
        <v>16</v>
      </c>
      <c r="V462">
        <v>20260917029</v>
      </c>
    </row>
    <row r="463" spans="1:22" x14ac:dyDescent="0.2">
      <c r="A463" s="34" t="s">
        <v>122</v>
      </c>
      <c r="B463" s="28">
        <v>46282</v>
      </c>
      <c r="C463" s="34"/>
      <c r="D463" s="34" t="s">
        <v>123</v>
      </c>
      <c r="E463" s="34" t="s">
        <v>188</v>
      </c>
      <c r="F463" s="34" t="s">
        <v>189</v>
      </c>
      <c r="G463" s="34" t="s">
        <v>190</v>
      </c>
      <c r="H463" s="34" t="s">
        <v>191</v>
      </c>
      <c r="I463">
        <v>4</v>
      </c>
      <c r="J463">
        <v>0</v>
      </c>
      <c r="K463">
        <v>4</v>
      </c>
      <c r="L463">
        <v>0</v>
      </c>
      <c r="M463">
        <v>0</v>
      </c>
      <c r="N463">
        <v>0</v>
      </c>
      <c r="O463" s="28">
        <v>46281</v>
      </c>
      <c r="R463">
        <v>0</v>
      </c>
      <c r="S463">
        <v>30</v>
      </c>
      <c r="T463">
        <v>9</v>
      </c>
      <c r="U463">
        <v>21</v>
      </c>
      <c r="V463">
        <v>20260917030</v>
      </c>
    </row>
    <row r="464" spans="1:22" x14ac:dyDescent="0.2">
      <c r="A464" s="34" t="s">
        <v>122</v>
      </c>
      <c r="B464" s="28">
        <v>46282</v>
      </c>
      <c r="C464" s="34"/>
      <c r="D464" s="34" t="s">
        <v>123</v>
      </c>
      <c r="E464" s="34" t="s">
        <v>192</v>
      </c>
      <c r="F464" s="34" t="s">
        <v>193</v>
      </c>
      <c r="G464" s="34" t="s">
        <v>194</v>
      </c>
      <c r="H464" s="34" t="s">
        <v>195</v>
      </c>
      <c r="I464">
        <v>4</v>
      </c>
      <c r="J464">
        <v>0</v>
      </c>
      <c r="K464">
        <v>4</v>
      </c>
      <c r="L464">
        <v>0</v>
      </c>
      <c r="M464">
        <v>0</v>
      </c>
      <c r="N464">
        <v>0</v>
      </c>
      <c r="O464" s="28">
        <v>46281</v>
      </c>
      <c r="R464">
        <v>0</v>
      </c>
      <c r="S464">
        <v>31</v>
      </c>
      <c r="T464">
        <v>9</v>
      </c>
      <c r="U464">
        <v>22</v>
      </c>
      <c r="V464">
        <v>20260917031</v>
      </c>
    </row>
    <row r="465" spans="1:22" x14ac:dyDescent="0.2">
      <c r="A465" s="34" t="s">
        <v>122</v>
      </c>
      <c r="B465" s="28">
        <v>46282</v>
      </c>
      <c r="C465" s="34"/>
      <c r="D465" s="34" t="s">
        <v>123</v>
      </c>
      <c r="E465" s="34" t="s">
        <v>200</v>
      </c>
      <c r="F465" s="34" t="s">
        <v>201</v>
      </c>
      <c r="G465" s="34" t="s">
        <v>202</v>
      </c>
      <c r="H465" s="34" t="s">
        <v>203</v>
      </c>
      <c r="I465">
        <v>14</v>
      </c>
      <c r="J465">
        <v>0</v>
      </c>
      <c r="K465">
        <v>6</v>
      </c>
      <c r="L465">
        <v>8</v>
      </c>
      <c r="M465">
        <v>8</v>
      </c>
      <c r="N465">
        <v>0</v>
      </c>
      <c r="O465" s="28">
        <v>46281</v>
      </c>
      <c r="P465">
        <v>12.7</v>
      </c>
      <c r="Q465">
        <v>0</v>
      </c>
      <c r="R465">
        <v>0</v>
      </c>
      <c r="S465">
        <v>32</v>
      </c>
      <c r="T465">
        <v>9</v>
      </c>
      <c r="U465">
        <v>24</v>
      </c>
      <c r="V465">
        <v>20260917032</v>
      </c>
    </row>
    <row r="466" spans="1:22" x14ac:dyDescent="0.2">
      <c r="A466" s="34" t="s">
        <v>122</v>
      </c>
      <c r="B466" s="28">
        <v>46282</v>
      </c>
      <c r="C466" s="34"/>
      <c r="D466" s="34" t="s">
        <v>123</v>
      </c>
      <c r="E466" s="34" t="s">
        <v>204</v>
      </c>
      <c r="F466" s="34" t="s">
        <v>205</v>
      </c>
      <c r="G466" s="34" t="s">
        <v>206</v>
      </c>
      <c r="H466" s="34" t="s">
        <v>207</v>
      </c>
      <c r="I466">
        <v>6</v>
      </c>
      <c r="J466">
        <v>0</v>
      </c>
      <c r="K466">
        <v>1</v>
      </c>
      <c r="L466">
        <v>5</v>
      </c>
      <c r="M466">
        <v>5</v>
      </c>
      <c r="N466">
        <v>0</v>
      </c>
      <c r="O466" s="28">
        <v>46281</v>
      </c>
      <c r="P466">
        <v>12.7</v>
      </c>
      <c r="Q466">
        <v>0</v>
      </c>
      <c r="R466">
        <v>0</v>
      </c>
      <c r="S466">
        <v>33</v>
      </c>
      <c r="T466">
        <v>9</v>
      </c>
      <c r="U466">
        <v>25</v>
      </c>
      <c r="V466">
        <v>20260917033</v>
      </c>
    </row>
    <row r="467" spans="1:22" x14ac:dyDescent="0.2">
      <c r="A467" s="34" t="s">
        <v>122</v>
      </c>
      <c r="B467" s="28">
        <v>46282</v>
      </c>
      <c r="C467" s="34"/>
      <c r="D467" s="34" t="s">
        <v>123</v>
      </c>
      <c r="E467" s="34" t="s">
        <v>208</v>
      </c>
      <c r="F467" s="34" t="s">
        <v>209</v>
      </c>
      <c r="G467" s="34" t="s">
        <v>210</v>
      </c>
      <c r="H467" s="34" t="s">
        <v>211</v>
      </c>
      <c r="I467">
        <v>9</v>
      </c>
      <c r="J467">
        <v>0</v>
      </c>
      <c r="K467">
        <v>8</v>
      </c>
      <c r="L467">
        <v>1</v>
      </c>
      <c r="M467">
        <v>1</v>
      </c>
      <c r="N467">
        <v>0</v>
      </c>
      <c r="O467" s="28">
        <v>46281</v>
      </c>
      <c r="R467">
        <v>0</v>
      </c>
      <c r="S467">
        <v>34</v>
      </c>
      <c r="T467">
        <v>9</v>
      </c>
      <c r="U467">
        <v>26</v>
      </c>
      <c r="V467">
        <v>20260917034</v>
      </c>
    </row>
    <row r="468" spans="1:22" x14ac:dyDescent="0.2">
      <c r="A468" s="34" t="s">
        <v>122</v>
      </c>
      <c r="B468" s="28">
        <v>46282</v>
      </c>
      <c r="C468" s="34"/>
      <c r="D468" s="34" t="s">
        <v>123</v>
      </c>
      <c r="E468" s="34" t="s">
        <v>212</v>
      </c>
      <c r="F468" s="34" t="s">
        <v>213</v>
      </c>
      <c r="G468" s="34" t="s">
        <v>214</v>
      </c>
      <c r="H468" s="34" t="s">
        <v>215</v>
      </c>
      <c r="I468">
        <v>12</v>
      </c>
      <c r="J468">
        <v>0</v>
      </c>
      <c r="K468">
        <v>10</v>
      </c>
      <c r="L468">
        <v>2</v>
      </c>
      <c r="M468">
        <v>2</v>
      </c>
      <c r="N468">
        <v>0</v>
      </c>
      <c r="O468" s="28">
        <v>46281</v>
      </c>
      <c r="P468">
        <v>12.7</v>
      </c>
      <c r="Q468">
        <v>0</v>
      </c>
      <c r="R468">
        <v>0</v>
      </c>
      <c r="S468">
        <v>35</v>
      </c>
      <c r="T468">
        <v>9</v>
      </c>
      <c r="U468">
        <v>27</v>
      </c>
      <c r="V468">
        <v>20260917035</v>
      </c>
    </row>
    <row r="469" spans="1:22" x14ac:dyDescent="0.2">
      <c r="A469" s="34" t="s">
        <v>122</v>
      </c>
      <c r="B469" s="28">
        <v>46282</v>
      </c>
      <c r="C469" s="34"/>
      <c r="D469" s="34" t="s">
        <v>123</v>
      </c>
      <c r="E469" s="34" t="s">
        <v>224</v>
      </c>
      <c r="F469" s="34" t="s">
        <v>225</v>
      </c>
      <c r="G469" s="34" t="s">
        <v>226</v>
      </c>
      <c r="H469" s="34" t="s">
        <v>227</v>
      </c>
      <c r="I469">
        <v>5</v>
      </c>
      <c r="J469">
        <v>0</v>
      </c>
      <c r="K469">
        <v>2</v>
      </c>
      <c r="L469">
        <v>3</v>
      </c>
      <c r="M469">
        <v>3</v>
      </c>
      <c r="N469">
        <v>0</v>
      </c>
      <c r="O469" s="28">
        <v>46281</v>
      </c>
      <c r="P469">
        <v>17.899999999999999</v>
      </c>
      <c r="Q469">
        <v>0</v>
      </c>
      <c r="R469">
        <v>0</v>
      </c>
      <c r="S469">
        <v>36</v>
      </c>
      <c r="T469">
        <v>9</v>
      </c>
      <c r="U469">
        <v>30</v>
      </c>
      <c r="V469">
        <v>20260917036</v>
      </c>
    </row>
    <row r="470" spans="1:22" x14ac:dyDescent="0.2">
      <c r="A470" s="34" t="s">
        <v>122</v>
      </c>
      <c r="B470" s="28">
        <v>46282</v>
      </c>
      <c r="C470" s="34"/>
      <c r="D470" s="34" t="s">
        <v>123</v>
      </c>
      <c r="E470" s="34" t="s">
        <v>236</v>
      </c>
      <c r="F470" s="34" t="s">
        <v>237</v>
      </c>
      <c r="G470" s="34" t="s">
        <v>238</v>
      </c>
      <c r="H470" s="34" t="s">
        <v>239</v>
      </c>
      <c r="I470">
        <v>7</v>
      </c>
      <c r="J470">
        <v>0</v>
      </c>
      <c r="K470">
        <v>5</v>
      </c>
      <c r="L470">
        <v>2</v>
      </c>
      <c r="M470">
        <v>2</v>
      </c>
      <c r="N470">
        <v>0</v>
      </c>
      <c r="O470" s="28">
        <v>46281</v>
      </c>
      <c r="P470">
        <v>17.899999999999999</v>
      </c>
      <c r="Q470">
        <v>0</v>
      </c>
      <c r="R470">
        <v>0</v>
      </c>
      <c r="S470">
        <v>37</v>
      </c>
      <c r="T470">
        <v>9</v>
      </c>
      <c r="U470">
        <v>33</v>
      </c>
      <c r="V470">
        <v>20260917037</v>
      </c>
    </row>
    <row r="471" spans="1:22" x14ac:dyDescent="0.2">
      <c r="A471" s="34" t="s">
        <v>122</v>
      </c>
      <c r="B471" s="28">
        <v>46282</v>
      </c>
      <c r="C471" s="34"/>
      <c r="D471" s="34" t="s">
        <v>123</v>
      </c>
      <c r="E471" s="34" t="s">
        <v>244</v>
      </c>
      <c r="F471" s="34" t="s">
        <v>245</v>
      </c>
      <c r="G471" s="34" t="s">
        <v>246</v>
      </c>
      <c r="H471" s="34" t="s">
        <v>247</v>
      </c>
      <c r="I471">
        <v>5</v>
      </c>
      <c r="J471">
        <v>0</v>
      </c>
      <c r="K471">
        <v>5</v>
      </c>
      <c r="L471">
        <v>0</v>
      </c>
      <c r="M471">
        <v>0</v>
      </c>
      <c r="N471">
        <v>0</v>
      </c>
      <c r="O471" s="28">
        <v>46281</v>
      </c>
      <c r="R471">
        <v>0</v>
      </c>
      <c r="S471">
        <v>38</v>
      </c>
      <c r="T471">
        <v>9</v>
      </c>
      <c r="U471">
        <v>35</v>
      </c>
      <c r="V471">
        <v>20260917038</v>
      </c>
    </row>
    <row r="472" spans="1:22" x14ac:dyDescent="0.2">
      <c r="A472" s="34" t="s">
        <v>122</v>
      </c>
      <c r="B472" s="28">
        <v>46282</v>
      </c>
      <c r="C472" s="34"/>
      <c r="D472" s="34" t="s">
        <v>123</v>
      </c>
      <c r="E472" s="34" t="s">
        <v>248</v>
      </c>
      <c r="F472" s="34" t="s">
        <v>249</v>
      </c>
      <c r="G472" s="34" t="s">
        <v>250</v>
      </c>
      <c r="H472" s="34" t="s">
        <v>251</v>
      </c>
      <c r="I472">
        <v>4</v>
      </c>
      <c r="J472">
        <v>0</v>
      </c>
      <c r="K472">
        <v>4</v>
      </c>
      <c r="L472">
        <v>0</v>
      </c>
      <c r="M472">
        <v>0</v>
      </c>
      <c r="N472">
        <v>0</v>
      </c>
      <c r="O472" s="28">
        <v>46281</v>
      </c>
      <c r="R472">
        <v>0</v>
      </c>
      <c r="S472">
        <v>39</v>
      </c>
      <c r="T472">
        <v>9</v>
      </c>
      <c r="U472">
        <v>36</v>
      </c>
      <c r="V472">
        <v>20260917039</v>
      </c>
    </row>
    <row r="473" spans="1:22" x14ac:dyDescent="0.2">
      <c r="A473" s="34" t="s">
        <v>122</v>
      </c>
      <c r="B473" s="28">
        <v>46282</v>
      </c>
      <c r="C473" s="34"/>
      <c r="D473" s="34" t="s">
        <v>123</v>
      </c>
      <c r="E473" s="34" t="s">
        <v>256</v>
      </c>
      <c r="F473" s="34" t="s">
        <v>257</v>
      </c>
      <c r="G473" s="34" t="s">
        <v>258</v>
      </c>
      <c r="H473" s="34" t="s">
        <v>259</v>
      </c>
      <c r="I473">
        <v>4</v>
      </c>
      <c r="J473">
        <v>0</v>
      </c>
      <c r="K473">
        <v>4</v>
      </c>
      <c r="L473">
        <v>0</v>
      </c>
      <c r="M473">
        <v>0</v>
      </c>
      <c r="N473">
        <v>0</v>
      </c>
      <c r="O473" s="28">
        <v>46281</v>
      </c>
      <c r="R473">
        <v>0</v>
      </c>
      <c r="S473">
        <v>40</v>
      </c>
      <c r="T473">
        <v>9</v>
      </c>
      <c r="U473">
        <v>38</v>
      </c>
      <c r="V473">
        <v>20260917040</v>
      </c>
    </row>
    <row r="474" spans="1:22" x14ac:dyDescent="0.2">
      <c r="A474" s="34" t="s">
        <v>122</v>
      </c>
      <c r="B474" s="28">
        <v>46282</v>
      </c>
      <c r="C474" s="34"/>
      <c r="D474" s="34" t="s">
        <v>123</v>
      </c>
      <c r="E474" s="34" t="s">
        <v>260</v>
      </c>
      <c r="F474" s="34" t="s">
        <v>261</v>
      </c>
      <c r="G474" s="34" t="s">
        <v>262</v>
      </c>
      <c r="H474" s="34" t="s">
        <v>263</v>
      </c>
      <c r="I474">
        <v>4</v>
      </c>
      <c r="J474">
        <v>0</v>
      </c>
      <c r="K474">
        <v>4</v>
      </c>
      <c r="L474">
        <v>0</v>
      </c>
      <c r="M474">
        <v>0</v>
      </c>
      <c r="N474">
        <v>0</v>
      </c>
      <c r="O474" s="28">
        <v>46281</v>
      </c>
      <c r="R474">
        <v>0</v>
      </c>
      <c r="S474">
        <v>41</v>
      </c>
      <c r="T474">
        <v>9</v>
      </c>
      <c r="U474">
        <v>39</v>
      </c>
      <c r="V474">
        <v>20260917041</v>
      </c>
    </row>
    <row r="475" spans="1:22" x14ac:dyDescent="0.2">
      <c r="A475" s="34" t="s">
        <v>122</v>
      </c>
      <c r="B475" s="28">
        <v>46282</v>
      </c>
      <c r="C475" s="34"/>
      <c r="D475" s="34" t="s">
        <v>123</v>
      </c>
      <c r="E475" s="34" t="s">
        <v>268</v>
      </c>
      <c r="F475" s="34" t="s">
        <v>269</v>
      </c>
      <c r="G475" s="34" t="s">
        <v>270</v>
      </c>
      <c r="H475" s="34" t="s">
        <v>271</v>
      </c>
      <c r="I475">
        <v>4</v>
      </c>
      <c r="J475">
        <v>0</v>
      </c>
      <c r="K475">
        <v>3</v>
      </c>
      <c r="L475">
        <v>1</v>
      </c>
      <c r="M475">
        <v>1</v>
      </c>
      <c r="N475">
        <v>0</v>
      </c>
      <c r="O475" s="28">
        <v>46281</v>
      </c>
      <c r="P475">
        <v>18.399999999999999</v>
      </c>
      <c r="Q475">
        <v>0</v>
      </c>
      <c r="R475">
        <v>0</v>
      </c>
      <c r="S475">
        <v>42</v>
      </c>
      <c r="T475">
        <v>9</v>
      </c>
      <c r="U475">
        <v>41</v>
      </c>
      <c r="V475">
        <v>20260917042</v>
      </c>
    </row>
    <row r="476" spans="1:22" x14ac:dyDescent="0.2">
      <c r="A476" s="34" t="s">
        <v>122</v>
      </c>
      <c r="B476" s="28">
        <v>46282</v>
      </c>
      <c r="C476" s="34"/>
      <c r="D476" s="34" t="s">
        <v>123</v>
      </c>
      <c r="E476" s="34" t="s">
        <v>272</v>
      </c>
      <c r="F476" s="34" t="s">
        <v>341</v>
      </c>
      <c r="G476" s="34" t="s">
        <v>273</v>
      </c>
      <c r="H476" s="34" t="s">
        <v>274</v>
      </c>
      <c r="I476">
        <v>12</v>
      </c>
      <c r="J476">
        <v>0</v>
      </c>
      <c r="K476">
        <v>10</v>
      </c>
      <c r="L476">
        <v>2</v>
      </c>
      <c r="M476">
        <v>2</v>
      </c>
      <c r="N476">
        <v>0</v>
      </c>
      <c r="O476" s="28">
        <v>46281</v>
      </c>
      <c r="P476">
        <v>18.399999999999999</v>
      </c>
      <c r="Q476">
        <v>0</v>
      </c>
      <c r="R476">
        <v>0</v>
      </c>
      <c r="S476">
        <v>43</v>
      </c>
      <c r="T476">
        <v>9</v>
      </c>
      <c r="U476">
        <v>42</v>
      </c>
      <c r="V476">
        <v>20260917043</v>
      </c>
    </row>
    <row r="477" spans="1:22" x14ac:dyDescent="0.2">
      <c r="A477" s="34" t="s">
        <v>122</v>
      </c>
      <c r="B477" s="28">
        <v>46282</v>
      </c>
      <c r="C477" s="34"/>
      <c r="D477" s="34" t="s">
        <v>123</v>
      </c>
      <c r="E477" s="34" t="s">
        <v>275</v>
      </c>
      <c r="F477" s="34" t="s">
        <v>276</v>
      </c>
      <c r="G477" s="34" t="s">
        <v>277</v>
      </c>
      <c r="H477" s="34" t="s">
        <v>278</v>
      </c>
      <c r="I477">
        <v>5</v>
      </c>
      <c r="J477">
        <v>0</v>
      </c>
      <c r="K477">
        <v>5</v>
      </c>
      <c r="L477">
        <v>0</v>
      </c>
      <c r="M477">
        <v>0</v>
      </c>
      <c r="N477">
        <v>0</v>
      </c>
      <c r="O477" s="28">
        <v>46281</v>
      </c>
      <c r="R477">
        <v>0</v>
      </c>
      <c r="S477">
        <v>44</v>
      </c>
      <c r="T477">
        <v>9</v>
      </c>
      <c r="U477">
        <v>43</v>
      </c>
      <c r="V477">
        <v>20260917044</v>
      </c>
    </row>
    <row r="478" spans="1:22" x14ac:dyDescent="0.2">
      <c r="A478" s="34" t="s">
        <v>122</v>
      </c>
      <c r="B478" s="28">
        <v>46282</v>
      </c>
      <c r="C478" s="34"/>
      <c r="D478" s="34" t="s">
        <v>123</v>
      </c>
      <c r="E478" s="34" t="s">
        <v>279</v>
      </c>
      <c r="F478" s="34" t="s">
        <v>280</v>
      </c>
      <c r="G478" s="34" t="s">
        <v>281</v>
      </c>
      <c r="H478" s="34" t="s">
        <v>282</v>
      </c>
      <c r="I478">
        <v>6</v>
      </c>
      <c r="J478">
        <v>0</v>
      </c>
      <c r="K478">
        <v>6</v>
      </c>
      <c r="L478">
        <v>0</v>
      </c>
      <c r="M478">
        <v>0</v>
      </c>
      <c r="N478">
        <v>0</v>
      </c>
      <c r="O478" s="28">
        <v>46281</v>
      </c>
      <c r="R478">
        <v>0</v>
      </c>
      <c r="S478">
        <v>45</v>
      </c>
      <c r="T478">
        <v>9</v>
      </c>
      <c r="U478">
        <v>44</v>
      </c>
      <c r="V478">
        <v>20260917045</v>
      </c>
    </row>
    <row r="479" spans="1:22" x14ac:dyDescent="0.2">
      <c r="A479" s="34" t="s">
        <v>122</v>
      </c>
      <c r="B479" s="28">
        <v>46282</v>
      </c>
      <c r="C479" s="34"/>
      <c r="D479" s="34" t="s">
        <v>123</v>
      </c>
      <c r="E479" s="34" t="s">
        <v>283</v>
      </c>
      <c r="F479" s="34" t="s">
        <v>284</v>
      </c>
      <c r="G479" s="34" t="s">
        <v>285</v>
      </c>
      <c r="H479" s="34" t="s">
        <v>286</v>
      </c>
      <c r="I479">
        <v>8</v>
      </c>
      <c r="J479">
        <v>10</v>
      </c>
      <c r="K479">
        <v>17</v>
      </c>
      <c r="L479">
        <v>1</v>
      </c>
      <c r="M479">
        <v>1</v>
      </c>
      <c r="N479">
        <v>0</v>
      </c>
      <c r="O479" s="28">
        <v>46281</v>
      </c>
      <c r="P479">
        <v>16.7</v>
      </c>
      <c r="Q479">
        <v>0</v>
      </c>
      <c r="R479">
        <v>0</v>
      </c>
      <c r="S479">
        <v>46</v>
      </c>
      <c r="T479">
        <v>9</v>
      </c>
      <c r="U479">
        <v>45</v>
      </c>
      <c r="V479">
        <v>20260917046</v>
      </c>
    </row>
    <row r="480" spans="1:22" x14ac:dyDescent="0.2">
      <c r="A480" s="34" t="s">
        <v>122</v>
      </c>
      <c r="B480" s="28">
        <v>46282</v>
      </c>
      <c r="C480" s="34"/>
      <c r="D480" s="34" t="s">
        <v>123</v>
      </c>
      <c r="E480" s="34" t="s">
        <v>287</v>
      </c>
      <c r="F480" s="34" t="s">
        <v>288</v>
      </c>
      <c r="G480" s="34" t="s">
        <v>289</v>
      </c>
      <c r="H480" s="34" t="s">
        <v>290</v>
      </c>
      <c r="I480">
        <v>19</v>
      </c>
      <c r="J480">
        <v>0</v>
      </c>
      <c r="K480">
        <v>17</v>
      </c>
      <c r="L480">
        <v>2</v>
      </c>
      <c r="M480">
        <v>2</v>
      </c>
      <c r="N480">
        <v>0</v>
      </c>
      <c r="O480" s="28">
        <v>46281</v>
      </c>
      <c r="P480">
        <v>16.7</v>
      </c>
      <c r="Q480">
        <v>0</v>
      </c>
      <c r="R480">
        <v>0</v>
      </c>
      <c r="S480">
        <v>47</v>
      </c>
      <c r="T480">
        <v>9</v>
      </c>
      <c r="U480">
        <v>46</v>
      </c>
      <c r="V480">
        <v>20260917047</v>
      </c>
    </row>
    <row r="481" spans="1:22" x14ac:dyDescent="0.2">
      <c r="A481" s="34" t="s">
        <v>122</v>
      </c>
      <c r="B481" s="28">
        <v>46282</v>
      </c>
      <c r="C481" s="34"/>
      <c r="D481" s="34" t="s">
        <v>123</v>
      </c>
      <c r="E481" s="34" t="s">
        <v>298</v>
      </c>
      <c r="F481" s="34" t="s">
        <v>299</v>
      </c>
      <c r="G481" s="34" t="s">
        <v>300</v>
      </c>
      <c r="H481" s="34" t="s">
        <v>301</v>
      </c>
      <c r="I481">
        <v>12</v>
      </c>
      <c r="J481">
        <v>0</v>
      </c>
      <c r="K481">
        <v>6</v>
      </c>
      <c r="L481">
        <v>6</v>
      </c>
      <c r="M481">
        <v>6</v>
      </c>
      <c r="N481">
        <v>0</v>
      </c>
      <c r="O481" s="28">
        <v>46281</v>
      </c>
      <c r="P481">
        <v>12.9</v>
      </c>
      <c r="Q481">
        <v>0</v>
      </c>
      <c r="R481">
        <v>0</v>
      </c>
      <c r="S481">
        <v>48</v>
      </c>
      <c r="T481">
        <v>9</v>
      </c>
      <c r="U481">
        <v>49</v>
      </c>
      <c r="V481">
        <v>20260917048</v>
      </c>
    </row>
    <row r="482" spans="1:22" x14ac:dyDescent="0.2">
      <c r="A482" s="34" t="s">
        <v>122</v>
      </c>
      <c r="B482" s="28">
        <v>46282</v>
      </c>
      <c r="C482" s="34"/>
      <c r="D482" s="34" t="s">
        <v>123</v>
      </c>
      <c r="E482" s="34" t="s">
        <v>306</v>
      </c>
      <c r="F482" s="34" t="s">
        <v>307</v>
      </c>
      <c r="G482" s="34" t="s">
        <v>308</v>
      </c>
      <c r="H482" s="34" t="s">
        <v>309</v>
      </c>
      <c r="I482">
        <v>10</v>
      </c>
      <c r="J482">
        <v>0</v>
      </c>
      <c r="K482">
        <v>10</v>
      </c>
      <c r="L482">
        <v>0</v>
      </c>
      <c r="M482">
        <v>0</v>
      </c>
      <c r="N482">
        <v>0</v>
      </c>
      <c r="O482" s="28">
        <v>46281</v>
      </c>
      <c r="R482">
        <v>0</v>
      </c>
      <c r="S482">
        <v>49</v>
      </c>
      <c r="T482">
        <v>9</v>
      </c>
      <c r="U482">
        <v>51</v>
      </c>
      <c r="V482">
        <v>20260917049</v>
      </c>
    </row>
    <row r="483" spans="1:22" x14ac:dyDescent="0.2">
      <c r="A483" s="34" t="s">
        <v>122</v>
      </c>
      <c r="B483" s="28">
        <v>46282</v>
      </c>
      <c r="C483" s="34"/>
      <c r="D483" s="34" t="s">
        <v>123</v>
      </c>
      <c r="E483" s="34" t="s">
        <v>310</v>
      </c>
      <c r="F483" s="34" t="s">
        <v>311</v>
      </c>
      <c r="G483" s="34" t="s">
        <v>312</v>
      </c>
      <c r="H483" s="34" t="s">
        <v>313</v>
      </c>
      <c r="I483">
        <v>9</v>
      </c>
      <c r="J483">
        <v>0</v>
      </c>
      <c r="K483">
        <v>7</v>
      </c>
      <c r="L483">
        <v>2</v>
      </c>
      <c r="M483">
        <v>2</v>
      </c>
      <c r="N483">
        <v>0</v>
      </c>
      <c r="O483" s="28">
        <v>46281</v>
      </c>
      <c r="P483">
        <v>12.9</v>
      </c>
      <c r="Q483">
        <v>0</v>
      </c>
      <c r="R483">
        <v>0</v>
      </c>
      <c r="S483">
        <v>50</v>
      </c>
      <c r="T483">
        <v>9</v>
      </c>
      <c r="U483">
        <v>52</v>
      </c>
      <c r="V483">
        <v>20260917050</v>
      </c>
    </row>
    <row r="484" spans="1:22" x14ac:dyDescent="0.2">
      <c r="A484" s="34" t="s">
        <v>122</v>
      </c>
      <c r="B484" s="28">
        <v>46282</v>
      </c>
      <c r="C484" s="34"/>
      <c r="D484" s="34" t="s">
        <v>123</v>
      </c>
      <c r="E484" s="34" t="s">
        <v>314</v>
      </c>
      <c r="F484" s="34" t="s">
        <v>315</v>
      </c>
      <c r="G484" s="34" t="s">
        <v>316</v>
      </c>
      <c r="H484" s="34" t="s">
        <v>317</v>
      </c>
      <c r="I484">
        <v>23</v>
      </c>
      <c r="J484">
        <v>0</v>
      </c>
      <c r="K484">
        <v>20</v>
      </c>
      <c r="L484">
        <v>3</v>
      </c>
      <c r="M484">
        <v>3</v>
      </c>
      <c r="N484">
        <v>0</v>
      </c>
      <c r="O484" s="28">
        <v>46281</v>
      </c>
      <c r="P484">
        <v>12.9</v>
      </c>
      <c r="Q484">
        <v>0</v>
      </c>
      <c r="R484">
        <v>0</v>
      </c>
      <c r="S484">
        <v>51</v>
      </c>
      <c r="T484">
        <v>9</v>
      </c>
      <c r="U484">
        <v>53</v>
      </c>
      <c r="V484">
        <v>20260917051</v>
      </c>
    </row>
    <row r="485" spans="1:22" x14ac:dyDescent="0.2">
      <c r="A485" s="34" t="s">
        <v>122</v>
      </c>
      <c r="B485" s="28">
        <v>46282</v>
      </c>
      <c r="C485" s="34"/>
      <c r="D485" s="34" t="s">
        <v>123</v>
      </c>
      <c r="E485" s="34" t="s">
        <v>318</v>
      </c>
      <c r="F485" s="34" t="s">
        <v>319</v>
      </c>
      <c r="G485" s="34" t="s">
        <v>320</v>
      </c>
      <c r="H485" s="34" t="s">
        <v>321</v>
      </c>
      <c r="I485">
        <v>2</v>
      </c>
      <c r="J485">
        <v>10</v>
      </c>
      <c r="K485">
        <v>11</v>
      </c>
      <c r="L485">
        <v>1</v>
      </c>
      <c r="M485">
        <v>1</v>
      </c>
      <c r="N485">
        <v>0</v>
      </c>
      <c r="O485" s="28">
        <v>46281</v>
      </c>
      <c r="P485">
        <v>16.399999999999999</v>
      </c>
      <c r="Q485">
        <v>0</v>
      </c>
      <c r="R485">
        <v>0</v>
      </c>
      <c r="S485">
        <v>52</v>
      </c>
      <c r="T485">
        <v>9</v>
      </c>
      <c r="U485">
        <v>54</v>
      </c>
      <c r="V485">
        <v>20260917052</v>
      </c>
    </row>
    <row r="486" spans="1:22" x14ac:dyDescent="0.2">
      <c r="A486" s="34" t="s">
        <v>122</v>
      </c>
      <c r="B486" s="28">
        <v>46282</v>
      </c>
      <c r="C486" s="34"/>
      <c r="D486" s="34" t="s">
        <v>123</v>
      </c>
      <c r="E486" s="34" t="s">
        <v>322</v>
      </c>
      <c r="F486" s="34" t="s">
        <v>323</v>
      </c>
      <c r="G486" s="34" t="s">
        <v>324</v>
      </c>
      <c r="H486" s="34" t="s">
        <v>325</v>
      </c>
      <c r="I486">
        <v>7</v>
      </c>
      <c r="J486">
        <v>0</v>
      </c>
      <c r="K486">
        <v>6</v>
      </c>
      <c r="L486">
        <v>1</v>
      </c>
      <c r="M486">
        <v>1</v>
      </c>
      <c r="N486">
        <v>0</v>
      </c>
      <c r="O486" s="28">
        <v>46281</v>
      </c>
      <c r="P486">
        <v>16.399999999999999</v>
      </c>
      <c r="Q486">
        <v>0</v>
      </c>
      <c r="R486">
        <v>0</v>
      </c>
      <c r="S486">
        <v>53</v>
      </c>
      <c r="T486">
        <v>9</v>
      </c>
      <c r="U486">
        <v>55</v>
      </c>
      <c r="V486">
        <v>20260917053</v>
      </c>
    </row>
    <row r="487" spans="1:22" x14ac:dyDescent="0.2">
      <c r="A487" s="34" t="s">
        <v>122</v>
      </c>
      <c r="B487" s="28">
        <v>46282</v>
      </c>
      <c r="C487" s="34"/>
      <c r="D487" s="34" t="s">
        <v>123</v>
      </c>
      <c r="E487" s="34" t="s">
        <v>330</v>
      </c>
      <c r="F487" s="34" t="s">
        <v>331</v>
      </c>
      <c r="G487" s="34" t="s">
        <v>332</v>
      </c>
      <c r="H487" s="34" t="s">
        <v>333</v>
      </c>
      <c r="I487">
        <v>4</v>
      </c>
      <c r="J487">
        <v>0</v>
      </c>
      <c r="K487">
        <v>3</v>
      </c>
      <c r="L487">
        <v>1</v>
      </c>
      <c r="M487">
        <v>1</v>
      </c>
      <c r="N487">
        <v>0</v>
      </c>
      <c r="O487" s="28">
        <v>46281</v>
      </c>
      <c r="P487">
        <v>16.600000000000001</v>
      </c>
      <c r="Q487">
        <v>0</v>
      </c>
      <c r="R487">
        <v>0</v>
      </c>
      <c r="S487">
        <v>54</v>
      </c>
      <c r="T487">
        <v>9</v>
      </c>
      <c r="U487">
        <v>74</v>
      </c>
      <c r="V487">
        <v>20260917054</v>
      </c>
    </row>
    <row r="488" spans="1:22" x14ac:dyDescent="0.2">
      <c r="A488" s="34" t="s">
        <v>122</v>
      </c>
      <c r="B488" s="28">
        <v>46283</v>
      </c>
      <c r="C488" s="34"/>
      <c r="D488" s="34" t="s">
        <v>343</v>
      </c>
      <c r="E488" s="34" t="s">
        <v>164</v>
      </c>
      <c r="F488" s="34" t="s">
        <v>165</v>
      </c>
      <c r="G488" s="34" t="s">
        <v>166</v>
      </c>
      <c r="H488" s="34" t="s">
        <v>167</v>
      </c>
      <c r="I488">
        <v>32</v>
      </c>
      <c r="J488">
        <v>0</v>
      </c>
      <c r="K488">
        <v>43</v>
      </c>
      <c r="L488">
        <v>-11</v>
      </c>
      <c r="M488">
        <v>19</v>
      </c>
      <c r="N488">
        <v>-30</v>
      </c>
      <c r="O488" s="28">
        <v>46282</v>
      </c>
      <c r="P488">
        <v>18.2</v>
      </c>
      <c r="Q488">
        <v>-546</v>
      </c>
      <c r="R488">
        <v>30</v>
      </c>
      <c r="S488">
        <v>1</v>
      </c>
      <c r="T488">
        <v>8</v>
      </c>
      <c r="U488">
        <v>11</v>
      </c>
      <c r="V488">
        <v>20260918001</v>
      </c>
    </row>
    <row r="489" spans="1:22" x14ac:dyDescent="0.2">
      <c r="A489" s="34" t="s">
        <v>122</v>
      </c>
      <c r="B489" s="28">
        <v>46283</v>
      </c>
      <c r="C489" s="34"/>
      <c r="D489" s="34" t="s">
        <v>343</v>
      </c>
      <c r="E489" s="34" t="s">
        <v>204</v>
      </c>
      <c r="F489" s="34" t="s">
        <v>205</v>
      </c>
      <c r="G489" s="34" t="s">
        <v>206</v>
      </c>
      <c r="H489" s="34" t="s">
        <v>207</v>
      </c>
      <c r="I489">
        <v>1</v>
      </c>
      <c r="J489">
        <v>0</v>
      </c>
      <c r="K489">
        <v>11</v>
      </c>
      <c r="L489">
        <v>-10</v>
      </c>
      <c r="M489">
        <v>2</v>
      </c>
      <c r="N489">
        <v>-12</v>
      </c>
      <c r="O489" s="28">
        <v>46282</v>
      </c>
      <c r="P489">
        <v>12.7</v>
      </c>
      <c r="Q489">
        <v>-152.4</v>
      </c>
      <c r="R489">
        <v>12</v>
      </c>
      <c r="S489">
        <v>2</v>
      </c>
      <c r="T489">
        <v>8</v>
      </c>
      <c r="U489">
        <v>25</v>
      </c>
      <c r="V489">
        <v>20260918002</v>
      </c>
    </row>
    <row r="490" spans="1:22" x14ac:dyDescent="0.2">
      <c r="A490" s="34" t="s">
        <v>122</v>
      </c>
      <c r="B490" s="28">
        <v>46283</v>
      </c>
      <c r="C490" s="34"/>
      <c r="D490" s="34" t="s">
        <v>343</v>
      </c>
      <c r="E490" s="34" t="s">
        <v>144</v>
      </c>
      <c r="F490" s="34" t="s">
        <v>145</v>
      </c>
      <c r="G490" s="34" t="s">
        <v>146</v>
      </c>
      <c r="H490" s="34" t="s">
        <v>147</v>
      </c>
      <c r="I490">
        <v>2</v>
      </c>
      <c r="J490">
        <v>0</v>
      </c>
      <c r="K490">
        <v>11</v>
      </c>
      <c r="L490">
        <v>-9</v>
      </c>
      <c r="M490">
        <v>1</v>
      </c>
      <c r="N490">
        <v>-10</v>
      </c>
      <c r="O490" s="28">
        <v>46282</v>
      </c>
      <c r="P490">
        <v>12.8</v>
      </c>
      <c r="Q490">
        <v>-128</v>
      </c>
      <c r="R490">
        <v>10</v>
      </c>
      <c r="S490">
        <v>3</v>
      </c>
      <c r="T490">
        <v>8</v>
      </c>
      <c r="U490">
        <v>6</v>
      </c>
      <c r="V490">
        <v>20260918003</v>
      </c>
    </row>
    <row r="491" spans="1:22" x14ac:dyDescent="0.2">
      <c r="A491" s="34" t="s">
        <v>122</v>
      </c>
      <c r="B491" s="28">
        <v>46283</v>
      </c>
      <c r="C491" s="34"/>
      <c r="D491" s="34" t="s">
        <v>343</v>
      </c>
      <c r="E491" s="34" t="s">
        <v>200</v>
      </c>
      <c r="F491" s="34" t="s">
        <v>201</v>
      </c>
      <c r="G491" s="34" t="s">
        <v>202</v>
      </c>
      <c r="H491" s="34" t="s">
        <v>203</v>
      </c>
      <c r="I491">
        <v>6</v>
      </c>
      <c r="J491">
        <v>0</v>
      </c>
      <c r="K491">
        <v>9</v>
      </c>
      <c r="L491">
        <v>-3</v>
      </c>
      <c r="M491">
        <v>7</v>
      </c>
      <c r="N491">
        <v>-10</v>
      </c>
      <c r="O491" s="28">
        <v>46282</v>
      </c>
      <c r="P491">
        <v>12.7</v>
      </c>
      <c r="Q491">
        <v>-127</v>
      </c>
      <c r="R491">
        <v>10</v>
      </c>
      <c r="S491">
        <v>4</v>
      </c>
      <c r="T491">
        <v>8</v>
      </c>
      <c r="U491">
        <v>24</v>
      </c>
      <c r="V491">
        <v>20260918004</v>
      </c>
    </row>
    <row r="492" spans="1:22" x14ac:dyDescent="0.2">
      <c r="A492" s="34" t="s">
        <v>122</v>
      </c>
      <c r="B492" s="28">
        <v>46283</v>
      </c>
      <c r="C492" s="34"/>
      <c r="D492" s="34" t="s">
        <v>343</v>
      </c>
      <c r="E492" s="34" t="s">
        <v>224</v>
      </c>
      <c r="F492" s="34" t="s">
        <v>225</v>
      </c>
      <c r="G492" s="34" t="s">
        <v>226</v>
      </c>
      <c r="H492" s="34" t="s">
        <v>227</v>
      </c>
      <c r="I492">
        <v>2</v>
      </c>
      <c r="J492">
        <v>0</v>
      </c>
      <c r="K492">
        <v>12</v>
      </c>
      <c r="L492">
        <v>-10</v>
      </c>
      <c r="M492">
        <v>0</v>
      </c>
      <c r="N492">
        <v>-10</v>
      </c>
      <c r="O492" s="28">
        <v>46282</v>
      </c>
      <c r="R492">
        <v>10</v>
      </c>
      <c r="S492">
        <v>5</v>
      </c>
      <c r="T492">
        <v>8</v>
      </c>
      <c r="U492">
        <v>30</v>
      </c>
      <c r="V492">
        <v>20260918005</v>
      </c>
    </row>
    <row r="493" spans="1:22" x14ac:dyDescent="0.2">
      <c r="A493" s="34" t="s">
        <v>122</v>
      </c>
      <c r="B493" s="28">
        <v>46283</v>
      </c>
      <c r="C493" s="34"/>
      <c r="D493" s="34" t="s">
        <v>343</v>
      </c>
      <c r="E493" s="34" t="s">
        <v>298</v>
      </c>
      <c r="F493" s="34" t="s">
        <v>299</v>
      </c>
      <c r="G493" s="34" t="s">
        <v>300</v>
      </c>
      <c r="H493" s="34" t="s">
        <v>301</v>
      </c>
      <c r="I493">
        <v>6</v>
      </c>
      <c r="J493">
        <v>0</v>
      </c>
      <c r="K493">
        <v>15</v>
      </c>
      <c r="L493">
        <v>-9</v>
      </c>
      <c r="M493">
        <v>1</v>
      </c>
      <c r="N493">
        <v>-10</v>
      </c>
      <c r="O493" s="28">
        <v>46282</v>
      </c>
      <c r="P493">
        <v>12.9</v>
      </c>
      <c r="Q493">
        <v>-129</v>
      </c>
      <c r="R493">
        <v>10</v>
      </c>
      <c r="S493">
        <v>6</v>
      </c>
      <c r="T493">
        <v>8</v>
      </c>
      <c r="U493">
        <v>49</v>
      </c>
      <c r="V493">
        <v>20260918006</v>
      </c>
    </row>
    <row r="494" spans="1:22" x14ac:dyDescent="0.2">
      <c r="A494" s="34" t="s">
        <v>122</v>
      </c>
      <c r="B494" s="28">
        <v>46283</v>
      </c>
      <c r="C494" s="34"/>
      <c r="D494" s="34" t="s">
        <v>343</v>
      </c>
      <c r="E494" s="34" t="s">
        <v>244</v>
      </c>
      <c r="F494" s="34" t="s">
        <v>245</v>
      </c>
      <c r="G494" s="34" t="s">
        <v>246</v>
      </c>
      <c r="H494" s="34" t="s">
        <v>247</v>
      </c>
      <c r="I494">
        <v>5</v>
      </c>
      <c r="J494">
        <v>0</v>
      </c>
      <c r="K494">
        <v>14</v>
      </c>
      <c r="L494">
        <v>-9</v>
      </c>
      <c r="M494">
        <v>0</v>
      </c>
      <c r="N494">
        <v>-9</v>
      </c>
      <c r="O494" s="28">
        <v>46282</v>
      </c>
      <c r="R494">
        <v>9</v>
      </c>
      <c r="S494">
        <v>7</v>
      </c>
      <c r="T494">
        <v>8</v>
      </c>
      <c r="U494">
        <v>35</v>
      </c>
      <c r="V494">
        <v>20260918007</v>
      </c>
    </row>
    <row r="495" spans="1:22" x14ac:dyDescent="0.2">
      <c r="A495" s="34" t="s">
        <v>122</v>
      </c>
      <c r="B495" s="28">
        <v>46283</v>
      </c>
      <c r="C495" s="34"/>
      <c r="D495" s="34" t="s">
        <v>343</v>
      </c>
      <c r="E495" s="34" t="s">
        <v>152</v>
      </c>
      <c r="F495" s="34" t="s">
        <v>153</v>
      </c>
      <c r="G495" s="34" t="s">
        <v>154</v>
      </c>
      <c r="H495" s="34" t="s">
        <v>155</v>
      </c>
      <c r="I495">
        <v>14</v>
      </c>
      <c r="J495">
        <v>0</v>
      </c>
      <c r="K495">
        <v>15</v>
      </c>
      <c r="L495">
        <v>-1</v>
      </c>
      <c r="M495">
        <v>6</v>
      </c>
      <c r="N495">
        <v>-7</v>
      </c>
      <c r="O495" s="28">
        <v>46282</v>
      </c>
      <c r="P495">
        <v>12.8</v>
      </c>
      <c r="Q495">
        <v>-89.6</v>
      </c>
      <c r="R495">
        <v>7</v>
      </c>
      <c r="S495">
        <v>8</v>
      </c>
      <c r="T495">
        <v>8</v>
      </c>
      <c r="U495">
        <v>8</v>
      </c>
      <c r="V495">
        <v>20260918008</v>
      </c>
    </row>
    <row r="496" spans="1:22" x14ac:dyDescent="0.2">
      <c r="A496" s="34" t="s">
        <v>122</v>
      </c>
      <c r="B496" s="28">
        <v>46283</v>
      </c>
      <c r="C496" s="34"/>
      <c r="D496" s="34" t="s">
        <v>343</v>
      </c>
      <c r="E496" s="34" t="s">
        <v>156</v>
      </c>
      <c r="F496" s="34" t="s">
        <v>157</v>
      </c>
      <c r="G496" s="34" t="s">
        <v>158</v>
      </c>
      <c r="H496" s="34" t="s">
        <v>159</v>
      </c>
      <c r="I496">
        <v>9</v>
      </c>
      <c r="J496">
        <v>0</v>
      </c>
      <c r="K496">
        <v>6</v>
      </c>
      <c r="L496">
        <v>3</v>
      </c>
      <c r="M496">
        <v>10</v>
      </c>
      <c r="N496">
        <v>-7</v>
      </c>
      <c r="O496" s="28">
        <v>46282</v>
      </c>
      <c r="P496">
        <v>18.2</v>
      </c>
      <c r="Q496">
        <v>-127.4</v>
      </c>
      <c r="R496">
        <v>7</v>
      </c>
      <c r="S496">
        <v>9</v>
      </c>
      <c r="T496">
        <v>8</v>
      </c>
      <c r="U496">
        <v>9</v>
      </c>
      <c r="V496">
        <v>20260918009</v>
      </c>
    </row>
    <row r="497" spans="1:22" x14ac:dyDescent="0.2">
      <c r="A497" s="34" t="s">
        <v>122</v>
      </c>
      <c r="B497" s="28">
        <v>46283</v>
      </c>
      <c r="C497" s="34"/>
      <c r="D497" s="34" t="s">
        <v>343</v>
      </c>
      <c r="E497" s="34" t="s">
        <v>216</v>
      </c>
      <c r="F497" s="34" t="s">
        <v>217</v>
      </c>
      <c r="G497" s="34" t="s">
        <v>218</v>
      </c>
      <c r="H497" s="34" t="s">
        <v>219</v>
      </c>
      <c r="I497">
        <v>3</v>
      </c>
      <c r="J497">
        <v>0</v>
      </c>
      <c r="K497">
        <v>6</v>
      </c>
      <c r="L497">
        <v>-3</v>
      </c>
      <c r="M497">
        <v>2</v>
      </c>
      <c r="N497">
        <v>-5</v>
      </c>
      <c r="O497" s="28">
        <v>46282</v>
      </c>
      <c r="P497">
        <v>12.7</v>
      </c>
      <c r="Q497">
        <v>-63.5</v>
      </c>
      <c r="R497">
        <v>5</v>
      </c>
      <c r="S497">
        <v>10</v>
      </c>
      <c r="T497">
        <v>8</v>
      </c>
      <c r="U497">
        <v>28</v>
      </c>
      <c r="V497">
        <v>20260918010</v>
      </c>
    </row>
    <row r="498" spans="1:22" x14ac:dyDescent="0.2">
      <c r="A498" s="34" t="s">
        <v>122</v>
      </c>
      <c r="B498" s="28">
        <v>46283</v>
      </c>
      <c r="C498" s="34"/>
      <c r="D498" s="34" t="s">
        <v>343</v>
      </c>
      <c r="E498" s="34" t="s">
        <v>220</v>
      </c>
      <c r="F498" s="34" t="s">
        <v>221</v>
      </c>
      <c r="G498" s="34" t="s">
        <v>222</v>
      </c>
      <c r="H498" s="34" t="s">
        <v>223</v>
      </c>
      <c r="I498">
        <v>6</v>
      </c>
      <c r="J498">
        <v>0</v>
      </c>
      <c r="K498">
        <v>10</v>
      </c>
      <c r="L498">
        <v>-4</v>
      </c>
      <c r="M498">
        <v>1</v>
      </c>
      <c r="N498">
        <v>-5</v>
      </c>
      <c r="O498" s="28">
        <v>46282</v>
      </c>
      <c r="P498">
        <v>17.899999999999999</v>
      </c>
      <c r="Q498">
        <v>-89.5</v>
      </c>
      <c r="R498">
        <v>5</v>
      </c>
      <c r="S498">
        <v>11</v>
      </c>
      <c r="T498">
        <v>8</v>
      </c>
      <c r="U498">
        <v>29</v>
      </c>
      <c r="V498">
        <v>20260918011</v>
      </c>
    </row>
    <row r="499" spans="1:22" x14ac:dyDescent="0.2">
      <c r="A499" s="34" t="s">
        <v>122</v>
      </c>
      <c r="B499" s="28">
        <v>46283</v>
      </c>
      <c r="C499" s="34"/>
      <c r="D499" s="34" t="s">
        <v>343</v>
      </c>
      <c r="E499" s="34" t="s">
        <v>228</v>
      </c>
      <c r="F499" s="34" t="s">
        <v>229</v>
      </c>
      <c r="G499" s="34" t="s">
        <v>230</v>
      </c>
      <c r="H499" s="34" t="s">
        <v>231</v>
      </c>
      <c r="I499">
        <v>12</v>
      </c>
      <c r="J499">
        <v>0</v>
      </c>
      <c r="K499">
        <v>14</v>
      </c>
      <c r="L499">
        <v>-2</v>
      </c>
      <c r="M499">
        <v>3</v>
      </c>
      <c r="N499">
        <v>-5</v>
      </c>
      <c r="O499" s="28">
        <v>46282</v>
      </c>
      <c r="P499">
        <v>17.8</v>
      </c>
      <c r="Q499">
        <v>-89</v>
      </c>
      <c r="R499">
        <v>5</v>
      </c>
      <c r="S499">
        <v>12</v>
      </c>
      <c r="T499">
        <v>8</v>
      </c>
      <c r="U499">
        <v>31</v>
      </c>
      <c r="V499">
        <v>20260918012</v>
      </c>
    </row>
    <row r="500" spans="1:22" x14ac:dyDescent="0.2">
      <c r="A500" s="34" t="s">
        <v>122</v>
      </c>
      <c r="B500" s="28">
        <v>46283</v>
      </c>
      <c r="C500" s="34"/>
      <c r="D500" s="34" t="s">
        <v>343</v>
      </c>
      <c r="E500" s="34" t="s">
        <v>248</v>
      </c>
      <c r="F500" s="34" t="s">
        <v>249</v>
      </c>
      <c r="G500" s="34" t="s">
        <v>250</v>
      </c>
      <c r="H500" s="34" t="s">
        <v>251</v>
      </c>
      <c r="I500">
        <v>4</v>
      </c>
      <c r="J500">
        <v>0</v>
      </c>
      <c r="K500">
        <v>9</v>
      </c>
      <c r="L500">
        <v>-5</v>
      </c>
      <c r="M500">
        <v>0</v>
      </c>
      <c r="N500">
        <v>-5</v>
      </c>
      <c r="O500" s="28">
        <v>46282</v>
      </c>
      <c r="R500">
        <v>5</v>
      </c>
      <c r="S500">
        <v>13</v>
      </c>
      <c r="T500">
        <v>8</v>
      </c>
      <c r="U500">
        <v>36</v>
      </c>
      <c r="V500">
        <v>20260918013</v>
      </c>
    </row>
    <row r="501" spans="1:22" x14ac:dyDescent="0.2">
      <c r="A501" s="34" t="s">
        <v>122</v>
      </c>
      <c r="B501" s="28">
        <v>46283</v>
      </c>
      <c r="C501" s="34"/>
      <c r="D501" s="34" t="s">
        <v>343</v>
      </c>
      <c r="E501" s="34" t="s">
        <v>294</v>
      </c>
      <c r="F501" s="34" t="s">
        <v>295</v>
      </c>
      <c r="G501" s="34" t="s">
        <v>296</v>
      </c>
      <c r="H501" s="34" t="s">
        <v>297</v>
      </c>
      <c r="I501">
        <v>21</v>
      </c>
      <c r="J501">
        <v>0</v>
      </c>
      <c r="K501">
        <v>12</v>
      </c>
      <c r="L501">
        <v>9</v>
      </c>
      <c r="M501">
        <v>4</v>
      </c>
      <c r="N501">
        <v>5</v>
      </c>
      <c r="O501" s="28">
        <v>46282</v>
      </c>
      <c r="P501">
        <v>12.9</v>
      </c>
      <c r="Q501">
        <v>64.5</v>
      </c>
      <c r="R501">
        <v>5</v>
      </c>
      <c r="S501">
        <v>14</v>
      </c>
      <c r="T501">
        <v>8</v>
      </c>
      <c r="U501">
        <v>48</v>
      </c>
      <c r="V501">
        <v>20260918014</v>
      </c>
    </row>
    <row r="502" spans="1:22" x14ac:dyDescent="0.2">
      <c r="A502" s="34" t="s">
        <v>122</v>
      </c>
      <c r="B502" s="28">
        <v>46283</v>
      </c>
      <c r="C502" s="34"/>
      <c r="D502" s="34" t="s">
        <v>343</v>
      </c>
      <c r="E502" s="34" t="s">
        <v>334</v>
      </c>
      <c r="F502" s="34" t="s">
        <v>335</v>
      </c>
      <c r="G502" s="34" t="s">
        <v>336</v>
      </c>
      <c r="H502" s="34" t="s">
        <v>337</v>
      </c>
      <c r="I502">
        <v>8</v>
      </c>
      <c r="J502">
        <v>0</v>
      </c>
      <c r="K502">
        <v>11</v>
      </c>
      <c r="L502">
        <v>-3</v>
      </c>
      <c r="M502">
        <v>2</v>
      </c>
      <c r="N502">
        <v>-5</v>
      </c>
      <c r="O502" s="28">
        <v>46282</v>
      </c>
      <c r="P502">
        <v>16.600000000000001</v>
      </c>
      <c r="Q502">
        <v>-83</v>
      </c>
      <c r="R502">
        <v>5</v>
      </c>
      <c r="S502">
        <v>15</v>
      </c>
      <c r="T502">
        <v>8</v>
      </c>
      <c r="U502">
        <v>75</v>
      </c>
      <c r="V502">
        <v>20260918015</v>
      </c>
    </row>
    <row r="503" spans="1:22" x14ac:dyDescent="0.2">
      <c r="A503" s="34" t="s">
        <v>122</v>
      </c>
      <c r="B503" s="28">
        <v>46283</v>
      </c>
      <c r="C503" s="34"/>
      <c r="D503" s="34" t="s">
        <v>343</v>
      </c>
      <c r="E503" s="34" t="s">
        <v>136</v>
      </c>
      <c r="F503" s="34" t="s">
        <v>137</v>
      </c>
      <c r="G503" s="34" t="s">
        <v>138</v>
      </c>
      <c r="H503" s="34" t="s">
        <v>139</v>
      </c>
      <c r="I503">
        <v>5</v>
      </c>
      <c r="J503">
        <v>0</v>
      </c>
      <c r="K503">
        <v>1</v>
      </c>
      <c r="L503">
        <v>4</v>
      </c>
      <c r="M503">
        <v>7</v>
      </c>
      <c r="N503">
        <v>-3</v>
      </c>
      <c r="O503" s="28">
        <v>46282</v>
      </c>
      <c r="P503">
        <v>12.8</v>
      </c>
      <c r="Q503">
        <v>-38.4</v>
      </c>
      <c r="R503">
        <v>3</v>
      </c>
      <c r="S503">
        <v>16</v>
      </c>
      <c r="T503">
        <v>8</v>
      </c>
      <c r="U503">
        <v>4</v>
      </c>
      <c r="V503">
        <v>20260918016</v>
      </c>
    </row>
    <row r="504" spans="1:22" x14ac:dyDescent="0.2">
      <c r="A504" s="34" t="s">
        <v>122</v>
      </c>
      <c r="B504" s="28">
        <v>46283</v>
      </c>
      <c r="C504" s="34"/>
      <c r="D504" s="34" t="s">
        <v>343</v>
      </c>
      <c r="E504" s="34" t="s">
        <v>208</v>
      </c>
      <c r="F504" s="34" t="s">
        <v>209</v>
      </c>
      <c r="G504" s="34" t="s">
        <v>210</v>
      </c>
      <c r="H504" s="34" t="s">
        <v>211</v>
      </c>
      <c r="I504">
        <v>8</v>
      </c>
      <c r="J504">
        <v>0</v>
      </c>
      <c r="K504">
        <v>4</v>
      </c>
      <c r="L504">
        <v>4</v>
      </c>
      <c r="M504">
        <v>1</v>
      </c>
      <c r="N504">
        <v>3</v>
      </c>
      <c r="O504" s="28">
        <v>46282</v>
      </c>
      <c r="P504">
        <v>12.7</v>
      </c>
      <c r="Q504">
        <v>38.1</v>
      </c>
      <c r="R504">
        <v>3</v>
      </c>
      <c r="S504">
        <v>17</v>
      </c>
      <c r="T504">
        <v>8</v>
      </c>
      <c r="U504">
        <v>26</v>
      </c>
      <c r="V504">
        <v>20260918017</v>
      </c>
    </row>
    <row r="505" spans="1:22" x14ac:dyDescent="0.2">
      <c r="A505" s="34" t="s">
        <v>122</v>
      </c>
      <c r="B505" s="28">
        <v>46283</v>
      </c>
      <c r="C505" s="34"/>
      <c r="D505" s="34" t="s">
        <v>343</v>
      </c>
      <c r="E505" s="34" t="s">
        <v>232</v>
      </c>
      <c r="F505" s="34" t="s">
        <v>233</v>
      </c>
      <c r="G505" s="34" t="s">
        <v>234</v>
      </c>
      <c r="H505" s="34" t="s">
        <v>235</v>
      </c>
      <c r="I505">
        <v>18</v>
      </c>
      <c r="J505">
        <v>0</v>
      </c>
      <c r="K505">
        <v>12</v>
      </c>
      <c r="L505">
        <v>6</v>
      </c>
      <c r="M505">
        <v>3</v>
      </c>
      <c r="N505">
        <v>3</v>
      </c>
      <c r="O505" s="28">
        <v>46282</v>
      </c>
      <c r="P505">
        <v>17.899999999999999</v>
      </c>
      <c r="Q505">
        <v>53.7</v>
      </c>
      <c r="R505">
        <v>3</v>
      </c>
      <c r="S505">
        <v>18</v>
      </c>
      <c r="T505">
        <v>8</v>
      </c>
      <c r="U505">
        <v>32</v>
      </c>
      <c r="V505">
        <v>20260918018</v>
      </c>
    </row>
    <row r="506" spans="1:22" x14ac:dyDescent="0.2">
      <c r="A506" s="34" t="s">
        <v>122</v>
      </c>
      <c r="B506" s="28">
        <v>46283</v>
      </c>
      <c r="C506" s="34"/>
      <c r="D506" s="34" t="s">
        <v>343</v>
      </c>
      <c r="E506" s="34" t="s">
        <v>264</v>
      </c>
      <c r="F506" s="34" t="s">
        <v>265</v>
      </c>
      <c r="G506" s="34" t="s">
        <v>266</v>
      </c>
      <c r="H506" s="34" t="s">
        <v>267</v>
      </c>
      <c r="I506">
        <v>8</v>
      </c>
      <c r="J506">
        <v>0</v>
      </c>
      <c r="K506">
        <v>10</v>
      </c>
      <c r="L506">
        <v>-2</v>
      </c>
      <c r="M506">
        <v>1</v>
      </c>
      <c r="N506">
        <v>-3</v>
      </c>
      <c r="O506" s="28">
        <v>46282</v>
      </c>
      <c r="P506">
        <v>18.399999999999999</v>
      </c>
      <c r="Q506">
        <v>-55.2</v>
      </c>
      <c r="R506">
        <v>3</v>
      </c>
      <c r="S506">
        <v>19</v>
      </c>
      <c r="T506">
        <v>8</v>
      </c>
      <c r="U506">
        <v>40</v>
      </c>
      <c r="V506">
        <v>20260918019</v>
      </c>
    </row>
    <row r="507" spans="1:22" x14ac:dyDescent="0.2">
      <c r="A507" s="34" t="s">
        <v>122</v>
      </c>
      <c r="B507" s="28">
        <v>46283</v>
      </c>
      <c r="C507" s="34"/>
      <c r="D507" s="34" t="s">
        <v>343</v>
      </c>
      <c r="E507" s="34" t="s">
        <v>176</v>
      </c>
      <c r="F507" s="34" t="s">
        <v>177</v>
      </c>
      <c r="G507" s="34" t="s">
        <v>178</v>
      </c>
      <c r="H507" s="34" t="s">
        <v>179</v>
      </c>
      <c r="I507">
        <v>26</v>
      </c>
      <c r="J507">
        <v>0</v>
      </c>
      <c r="K507">
        <v>14</v>
      </c>
      <c r="L507">
        <v>12</v>
      </c>
      <c r="M507">
        <v>13</v>
      </c>
      <c r="N507">
        <v>-1</v>
      </c>
      <c r="O507" s="28">
        <v>46282</v>
      </c>
      <c r="P507">
        <v>18.2</v>
      </c>
      <c r="Q507">
        <v>-18.2</v>
      </c>
      <c r="R507">
        <v>1</v>
      </c>
      <c r="S507">
        <v>20</v>
      </c>
      <c r="T507">
        <v>8</v>
      </c>
      <c r="U507">
        <v>14</v>
      </c>
      <c r="V507">
        <v>20260918020</v>
      </c>
    </row>
    <row r="508" spans="1:22" x14ac:dyDescent="0.2">
      <c r="A508" s="34" t="s">
        <v>122</v>
      </c>
      <c r="B508" s="28">
        <v>46283</v>
      </c>
      <c r="C508" s="34"/>
      <c r="D508" s="34" t="s">
        <v>343</v>
      </c>
      <c r="E508" s="34" t="s">
        <v>196</v>
      </c>
      <c r="F508" s="34" t="s">
        <v>197</v>
      </c>
      <c r="G508" s="34" t="s">
        <v>198</v>
      </c>
      <c r="H508" s="34" t="s">
        <v>199</v>
      </c>
      <c r="I508">
        <v>12</v>
      </c>
      <c r="J508">
        <v>0</v>
      </c>
      <c r="K508">
        <v>12</v>
      </c>
      <c r="L508">
        <v>0</v>
      </c>
      <c r="M508">
        <v>1</v>
      </c>
      <c r="N508">
        <v>-1</v>
      </c>
      <c r="O508" s="28">
        <v>46282</v>
      </c>
      <c r="P508">
        <v>12.7</v>
      </c>
      <c r="Q508">
        <v>-12.7</v>
      </c>
      <c r="R508">
        <v>1</v>
      </c>
      <c r="S508">
        <v>21</v>
      </c>
      <c r="T508">
        <v>8</v>
      </c>
      <c r="U508">
        <v>23</v>
      </c>
      <c r="V508">
        <v>20260918021</v>
      </c>
    </row>
    <row r="509" spans="1:22" x14ac:dyDescent="0.2">
      <c r="A509" s="34" t="s">
        <v>122</v>
      </c>
      <c r="B509" s="28">
        <v>46283</v>
      </c>
      <c r="C509" s="34"/>
      <c r="D509" s="34" t="s">
        <v>343</v>
      </c>
      <c r="E509" s="34" t="s">
        <v>252</v>
      </c>
      <c r="F509" s="34" t="s">
        <v>253</v>
      </c>
      <c r="G509" s="34" t="s">
        <v>254</v>
      </c>
      <c r="H509" s="34" t="s">
        <v>255</v>
      </c>
      <c r="I509">
        <v>15</v>
      </c>
      <c r="J509">
        <v>0</v>
      </c>
      <c r="K509">
        <v>4</v>
      </c>
      <c r="L509">
        <v>11</v>
      </c>
      <c r="M509">
        <v>12</v>
      </c>
      <c r="N509">
        <v>-1</v>
      </c>
      <c r="O509" s="28">
        <v>46282</v>
      </c>
      <c r="P509">
        <v>18.399999999999999</v>
      </c>
      <c r="Q509">
        <v>-18.399999999999999</v>
      </c>
      <c r="R509">
        <v>1</v>
      </c>
      <c r="S509">
        <v>22</v>
      </c>
      <c r="T509">
        <v>8</v>
      </c>
      <c r="U509">
        <v>37</v>
      </c>
      <c r="V509">
        <v>20260918022</v>
      </c>
    </row>
    <row r="510" spans="1:22" x14ac:dyDescent="0.2">
      <c r="A510" s="34" t="s">
        <v>122</v>
      </c>
      <c r="B510" s="28">
        <v>46283</v>
      </c>
      <c r="C510" s="34"/>
      <c r="D510" s="34" t="s">
        <v>343</v>
      </c>
      <c r="E510" s="34" t="s">
        <v>326</v>
      </c>
      <c r="F510" s="34" t="s">
        <v>327</v>
      </c>
      <c r="G510" s="34" t="s">
        <v>328</v>
      </c>
      <c r="H510" s="34" t="s">
        <v>329</v>
      </c>
      <c r="I510">
        <v>15</v>
      </c>
      <c r="J510">
        <v>0</v>
      </c>
      <c r="K510">
        <v>11</v>
      </c>
      <c r="L510">
        <v>4</v>
      </c>
      <c r="M510">
        <v>3</v>
      </c>
      <c r="N510">
        <v>1</v>
      </c>
      <c r="O510" s="28">
        <v>46282</v>
      </c>
      <c r="P510">
        <v>16.600000000000001</v>
      </c>
      <c r="Q510">
        <v>16.600000000000001</v>
      </c>
      <c r="R510">
        <v>1</v>
      </c>
      <c r="S510">
        <v>23</v>
      </c>
      <c r="T510">
        <v>8</v>
      </c>
      <c r="U510">
        <v>73</v>
      </c>
      <c r="V510">
        <v>20260918023</v>
      </c>
    </row>
    <row r="511" spans="1:22" x14ac:dyDescent="0.2">
      <c r="A511" s="34" t="s">
        <v>122</v>
      </c>
      <c r="B511" s="28">
        <v>46283</v>
      </c>
      <c r="C511" s="34"/>
      <c r="D511" s="34" t="s">
        <v>343</v>
      </c>
      <c r="E511" s="34" t="s">
        <v>124</v>
      </c>
      <c r="F511" s="34" t="s">
        <v>125</v>
      </c>
      <c r="G511" s="34" t="s">
        <v>126</v>
      </c>
      <c r="H511" s="34" t="s">
        <v>127</v>
      </c>
      <c r="I511">
        <v>10</v>
      </c>
      <c r="J511">
        <v>0</v>
      </c>
      <c r="K511">
        <v>8</v>
      </c>
      <c r="L511">
        <v>2</v>
      </c>
      <c r="M511">
        <v>2</v>
      </c>
      <c r="N511">
        <v>0</v>
      </c>
      <c r="O511" s="28">
        <v>46282</v>
      </c>
      <c r="P511">
        <v>18.399999999999999</v>
      </c>
      <c r="Q511">
        <v>0</v>
      </c>
      <c r="R511">
        <v>0</v>
      </c>
      <c r="S511">
        <v>24</v>
      </c>
      <c r="T511">
        <v>8</v>
      </c>
      <c r="U511">
        <v>1</v>
      </c>
      <c r="V511">
        <v>20260918024</v>
      </c>
    </row>
    <row r="512" spans="1:22" x14ac:dyDescent="0.2">
      <c r="A512" s="34" t="s">
        <v>122</v>
      </c>
      <c r="B512" s="28">
        <v>46283</v>
      </c>
      <c r="C512" s="34"/>
      <c r="D512" s="34" t="s">
        <v>343</v>
      </c>
      <c r="E512" s="34" t="s">
        <v>128</v>
      </c>
      <c r="F512" s="34" t="s">
        <v>129</v>
      </c>
      <c r="G512" s="34" t="s">
        <v>130</v>
      </c>
      <c r="H512" s="34" t="s">
        <v>131</v>
      </c>
      <c r="I512">
        <v>5</v>
      </c>
      <c r="J512">
        <v>0</v>
      </c>
      <c r="K512">
        <v>5</v>
      </c>
      <c r="L512">
        <v>0</v>
      </c>
      <c r="M512">
        <v>0</v>
      </c>
      <c r="N512">
        <v>0</v>
      </c>
      <c r="O512" s="28">
        <v>46282</v>
      </c>
      <c r="R512">
        <v>0</v>
      </c>
      <c r="S512">
        <v>25</v>
      </c>
      <c r="T512">
        <v>8</v>
      </c>
      <c r="U512">
        <v>2</v>
      </c>
      <c r="V512">
        <v>20260918025</v>
      </c>
    </row>
    <row r="513" spans="1:22" x14ac:dyDescent="0.2">
      <c r="A513" s="34" t="s">
        <v>122</v>
      </c>
      <c r="B513" s="28">
        <v>46283</v>
      </c>
      <c r="C513" s="34"/>
      <c r="D513" s="34" t="s">
        <v>343</v>
      </c>
      <c r="E513" s="34" t="s">
        <v>132</v>
      </c>
      <c r="F513" s="34" t="s">
        <v>133</v>
      </c>
      <c r="G513" s="34" t="s">
        <v>134</v>
      </c>
      <c r="H513" s="34" t="s">
        <v>135</v>
      </c>
      <c r="I513">
        <v>4</v>
      </c>
      <c r="J513">
        <v>0</v>
      </c>
      <c r="K513">
        <v>4</v>
      </c>
      <c r="L513">
        <v>0</v>
      </c>
      <c r="M513">
        <v>0</v>
      </c>
      <c r="N513">
        <v>0</v>
      </c>
      <c r="O513" s="28">
        <v>46282</v>
      </c>
      <c r="R513">
        <v>0</v>
      </c>
      <c r="S513">
        <v>26</v>
      </c>
      <c r="T513">
        <v>8</v>
      </c>
      <c r="U513">
        <v>3</v>
      </c>
      <c r="V513">
        <v>20260918026</v>
      </c>
    </row>
    <row r="514" spans="1:22" x14ac:dyDescent="0.2">
      <c r="A514" s="34" t="s">
        <v>122</v>
      </c>
      <c r="B514" s="28">
        <v>46283</v>
      </c>
      <c r="C514" s="34"/>
      <c r="D514" s="34" t="s">
        <v>343</v>
      </c>
      <c r="E514" s="34" t="s">
        <v>140</v>
      </c>
      <c r="F514" s="34" t="s">
        <v>141</v>
      </c>
      <c r="G514" s="34" t="s">
        <v>142</v>
      </c>
      <c r="H514" s="34" t="s">
        <v>143</v>
      </c>
      <c r="I514">
        <v>5</v>
      </c>
      <c r="J514">
        <v>0</v>
      </c>
      <c r="K514">
        <v>5</v>
      </c>
      <c r="L514">
        <v>0</v>
      </c>
      <c r="M514">
        <v>0</v>
      </c>
      <c r="N514">
        <v>0</v>
      </c>
      <c r="O514" s="28">
        <v>46282</v>
      </c>
      <c r="R514">
        <v>0</v>
      </c>
      <c r="S514">
        <v>27</v>
      </c>
      <c r="T514">
        <v>8</v>
      </c>
      <c r="U514">
        <v>5</v>
      </c>
      <c r="V514">
        <v>20260918027</v>
      </c>
    </row>
    <row r="515" spans="1:22" x14ac:dyDescent="0.2">
      <c r="A515" s="34" t="s">
        <v>122</v>
      </c>
      <c r="B515" s="28">
        <v>46283</v>
      </c>
      <c r="C515" s="34"/>
      <c r="D515" s="34" t="s">
        <v>343</v>
      </c>
      <c r="E515" s="34" t="s">
        <v>148</v>
      </c>
      <c r="F515" s="34" t="s">
        <v>149</v>
      </c>
      <c r="G515" s="34" t="s">
        <v>150</v>
      </c>
      <c r="H515" s="34" t="s">
        <v>151</v>
      </c>
      <c r="I515">
        <v>5</v>
      </c>
      <c r="J515">
        <v>0</v>
      </c>
      <c r="K515">
        <v>4</v>
      </c>
      <c r="L515">
        <v>1</v>
      </c>
      <c r="M515">
        <v>1</v>
      </c>
      <c r="N515">
        <v>0</v>
      </c>
      <c r="O515" s="28">
        <v>46282</v>
      </c>
      <c r="P515">
        <v>12.8</v>
      </c>
      <c r="Q515">
        <v>0</v>
      </c>
      <c r="R515">
        <v>0</v>
      </c>
      <c r="S515">
        <v>28</v>
      </c>
      <c r="T515">
        <v>8</v>
      </c>
      <c r="U515">
        <v>7</v>
      </c>
      <c r="V515">
        <v>20260918028</v>
      </c>
    </row>
    <row r="516" spans="1:22" x14ac:dyDescent="0.2">
      <c r="A516" s="34" t="s">
        <v>122</v>
      </c>
      <c r="B516" s="28">
        <v>46283</v>
      </c>
      <c r="C516" s="34"/>
      <c r="D516" s="34" t="s">
        <v>343</v>
      </c>
      <c r="E516" s="34" t="s">
        <v>160</v>
      </c>
      <c r="F516" s="34" t="s">
        <v>161</v>
      </c>
      <c r="G516" s="34" t="s">
        <v>162</v>
      </c>
      <c r="H516" s="34" t="s">
        <v>163</v>
      </c>
      <c r="I516">
        <v>5</v>
      </c>
      <c r="J516">
        <v>0</v>
      </c>
      <c r="K516">
        <v>5</v>
      </c>
      <c r="L516">
        <v>0</v>
      </c>
      <c r="M516">
        <v>0</v>
      </c>
      <c r="N516">
        <v>0</v>
      </c>
      <c r="O516" s="28">
        <v>46282</v>
      </c>
      <c r="R516">
        <v>0</v>
      </c>
      <c r="S516">
        <v>29</v>
      </c>
      <c r="T516">
        <v>8</v>
      </c>
      <c r="U516">
        <v>10</v>
      </c>
      <c r="V516">
        <v>20260918029</v>
      </c>
    </row>
    <row r="517" spans="1:22" x14ac:dyDescent="0.2">
      <c r="A517" s="34" t="s">
        <v>122</v>
      </c>
      <c r="B517" s="28">
        <v>46283</v>
      </c>
      <c r="C517" s="34"/>
      <c r="D517" s="34" t="s">
        <v>343</v>
      </c>
      <c r="E517" s="34" t="s">
        <v>168</v>
      </c>
      <c r="F517" s="34" t="s">
        <v>169</v>
      </c>
      <c r="G517" s="34" t="s">
        <v>170</v>
      </c>
      <c r="H517" s="34" t="s">
        <v>171</v>
      </c>
      <c r="I517">
        <v>13</v>
      </c>
      <c r="J517">
        <v>0</v>
      </c>
      <c r="K517">
        <v>12</v>
      </c>
      <c r="L517">
        <v>1</v>
      </c>
      <c r="M517">
        <v>1</v>
      </c>
      <c r="N517">
        <v>0</v>
      </c>
      <c r="O517" s="28">
        <v>46282</v>
      </c>
      <c r="P517">
        <v>18.2</v>
      </c>
      <c r="Q517">
        <v>0</v>
      </c>
      <c r="R517">
        <v>0</v>
      </c>
      <c r="S517">
        <v>30</v>
      </c>
      <c r="T517">
        <v>8</v>
      </c>
      <c r="U517">
        <v>12</v>
      </c>
      <c r="V517">
        <v>20260918030</v>
      </c>
    </row>
    <row r="518" spans="1:22" x14ac:dyDescent="0.2">
      <c r="A518" s="34" t="s">
        <v>122</v>
      </c>
      <c r="B518" s="28">
        <v>46283</v>
      </c>
      <c r="C518" s="34"/>
      <c r="D518" s="34" t="s">
        <v>343</v>
      </c>
      <c r="E518" s="34" t="s">
        <v>172</v>
      </c>
      <c r="F518" s="34" t="s">
        <v>173</v>
      </c>
      <c r="G518" s="34" t="s">
        <v>174</v>
      </c>
      <c r="H518" s="34" t="s">
        <v>175</v>
      </c>
      <c r="I518">
        <v>15</v>
      </c>
      <c r="J518">
        <v>0</v>
      </c>
      <c r="K518">
        <v>14</v>
      </c>
      <c r="L518">
        <v>1</v>
      </c>
      <c r="M518">
        <v>1</v>
      </c>
      <c r="N518">
        <v>0</v>
      </c>
      <c r="O518" s="28">
        <v>46282</v>
      </c>
      <c r="R518">
        <v>0</v>
      </c>
      <c r="S518">
        <v>31</v>
      </c>
      <c r="T518">
        <v>8</v>
      </c>
      <c r="U518">
        <v>13</v>
      </c>
      <c r="V518">
        <v>20260918031</v>
      </c>
    </row>
    <row r="519" spans="1:22" x14ac:dyDescent="0.2">
      <c r="A519" s="34" t="s">
        <v>122</v>
      </c>
      <c r="B519" s="28">
        <v>46283</v>
      </c>
      <c r="C519" s="34"/>
      <c r="D519" s="34" t="s">
        <v>343</v>
      </c>
      <c r="E519" s="34" t="s">
        <v>180</v>
      </c>
      <c r="F519" s="34" t="s">
        <v>181</v>
      </c>
      <c r="G519" s="34" t="s">
        <v>182</v>
      </c>
      <c r="H519" s="34" t="s">
        <v>183</v>
      </c>
      <c r="I519">
        <v>9</v>
      </c>
      <c r="J519">
        <v>0</v>
      </c>
      <c r="K519">
        <v>9</v>
      </c>
      <c r="L519">
        <v>0</v>
      </c>
      <c r="M519">
        <v>0</v>
      </c>
      <c r="N519">
        <v>0</v>
      </c>
      <c r="O519" s="28">
        <v>46282</v>
      </c>
      <c r="R519">
        <v>0</v>
      </c>
      <c r="S519">
        <v>32</v>
      </c>
      <c r="T519">
        <v>8</v>
      </c>
      <c r="U519">
        <v>15</v>
      </c>
      <c r="V519">
        <v>20260918032</v>
      </c>
    </row>
    <row r="520" spans="1:22" x14ac:dyDescent="0.2">
      <c r="A520" s="34" t="s">
        <v>122</v>
      </c>
      <c r="B520" s="28">
        <v>46283</v>
      </c>
      <c r="C520" s="34"/>
      <c r="D520" s="34" t="s">
        <v>343</v>
      </c>
      <c r="E520" s="34" t="s">
        <v>184</v>
      </c>
      <c r="F520" s="34" t="s">
        <v>185</v>
      </c>
      <c r="G520" s="34" t="s">
        <v>186</v>
      </c>
      <c r="H520" s="34" t="s">
        <v>187</v>
      </c>
      <c r="I520">
        <v>13</v>
      </c>
      <c r="J520">
        <v>0</v>
      </c>
      <c r="K520">
        <v>13</v>
      </c>
      <c r="L520">
        <v>0</v>
      </c>
      <c r="M520">
        <v>0</v>
      </c>
      <c r="N520">
        <v>0</v>
      </c>
      <c r="O520" s="28">
        <v>46282</v>
      </c>
      <c r="R520">
        <v>0</v>
      </c>
      <c r="S520">
        <v>33</v>
      </c>
      <c r="T520">
        <v>8</v>
      </c>
      <c r="U520">
        <v>16</v>
      </c>
      <c r="V520">
        <v>20260918033</v>
      </c>
    </row>
    <row r="521" spans="1:22" x14ac:dyDescent="0.2">
      <c r="A521" s="34" t="s">
        <v>122</v>
      </c>
      <c r="B521" s="28">
        <v>46283</v>
      </c>
      <c r="C521" s="34"/>
      <c r="D521" s="34" t="s">
        <v>343</v>
      </c>
      <c r="E521" s="34" t="s">
        <v>188</v>
      </c>
      <c r="F521" s="34" t="s">
        <v>189</v>
      </c>
      <c r="G521" s="34" t="s">
        <v>190</v>
      </c>
      <c r="H521" s="34" t="s">
        <v>191</v>
      </c>
      <c r="I521">
        <v>4</v>
      </c>
      <c r="J521">
        <v>0</v>
      </c>
      <c r="K521">
        <v>4</v>
      </c>
      <c r="L521">
        <v>0</v>
      </c>
      <c r="M521">
        <v>0</v>
      </c>
      <c r="N521">
        <v>0</v>
      </c>
      <c r="O521" s="28">
        <v>46282</v>
      </c>
      <c r="R521">
        <v>0</v>
      </c>
      <c r="S521">
        <v>34</v>
      </c>
      <c r="T521">
        <v>8</v>
      </c>
      <c r="U521">
        <v>21</v>
      </c>
      <c r="V521">
        <v>20260918034</v>
      </c>
    </row>
    <row r="522" spans="1:22" x14ac:dyDescent="0.2">
      <c r="A522" s="34" t="s">
        <v>122</v>
      </c>
      <c r="B522" s="28">
        <v>46283</v>
      </c>
      <c r="C522" s="34"/>
      <c r="D522" s="34" t="s">
        <v>343</v>
      </c>
      <c r="E522" s="34" t="s">
        <v>192</v>
      </c>
      <c r="F522" s="34" t="s">
        <v>193</v>
      </c>
      <c r="G522" s="34" t="s">
        <v>194</v>
      </c>
      <c r="H522" s="34" t="s">
        <v>195</v>
      </c>
      <c r="I522">
        <v>4</v>
      </c>
      <c r="J522">
        <v>0</v>
      </c>
      <c r="K522">
        <v>4</v>
      </c>
      <c r="L522">
        <v>0</v>
      </c>
      <c r="M522">
        <v>0</v>
      </c>
      <c r="N522">
        <v>0</v>
      </c>
      <c r="O522" s="28">
        <v>46282</v>
      </c>
      <c r="R522">
        <v>0</v>
      </c>
      <c r="S522">
        <v>35</v>
      </c>
      <c r="T522">
        <v>8</v>
      </c>
      <c r="U522">
        <v>22</v>
      </c>
      <c r="V522">
        <v>20260918035</v>
      </c>
    </row>
    <row r="523" spans="1:22" x14ac:dyDescent="0.2">
      <c r="A523" s="34" t="s">
        <v>122</v>
      </c>
      <c r="B523" s="28">
        <v>46283</v>
      </c>
      <c r="C523" s="34"/>
      <c r="D523" s="34" t="s">
        <v>343</v>
      </c>
      <c r="E523" s="34" t="s">
        <v>212</v>
      </c>
      <c r="F523" s="34" t="s">
        <v>213</v>
      </c>
      <c r="G523" s="34" t="s">
        <v>214</v>
      </c>
      <c r="H523" s="34" t="s">
        <v>215</v>
      </c>
      <c r="I523">
        <v>10</v>
      </c>
      <c r="J523">
        <v>0</v>
      </c>
      <c r="K523">
        <v>5</v>
      </c>
      <c r="L523">
        <v>5</v>
      </c>
      <c r="M523">
        <v>5</v>
      </c>
      <c r="N523">
        <v>0</v>
      </c>
      <c r="O523" s="28">
        <v>46282</v>
      </c>
      <c r="P523">
        <v>12.7</v>
      </c>
      <c r="Q523">
        <v>0</v>
      </c>
      <c r="R523">
        <v>0</v>
      </c>
      <c r="S523">
        <v>36</v>
      </c>
      <c r="T523">
        <v>8</v>
      </c>
      <c r="U523">
        <v>27</v>
      </c>
      <c r="V523">
        <v>20260918036</v>
      </c>
    </row>
    <row r="524" spans="1:22" x14ac:dyDescent="0.2">
      <c r="A524" s="34" t="s">
        <v>122</v>
      </c>
      <c r="B524" s="28">
        <v>46283</v>
      </c>
      <c r="C524" s="34"/>
      <c r="D524" s="34" t="s">
        <v>343</v>
      </c>
      <c r="E524" s="34" t="s">
        <v>236</v>
      </c>
      <c r="F524" s="34" t="s">
        <v>237</v>
      </c>
      <c r="G524" s="34" t="s">
        <v>238</v>
      </c>
      <c r="H524" s="34" t="s">
        <v>239</v>
      </c>
      <c r="I524">
        <v>5</v>
      </c>
      <c r="J524">
        <v>0</v>
      </c>
      <c r="K524">
        <v>3</v>
      </c>
      <c r="L524">
        <v>2</v>
      </c>
      <c r="M524">
        <v>2</v>
      </c>
      <c r="N524">
        <v>0</v>
      </c>
      <c r="O524" s="28">
        <v>46282</v>
      </c>
      <c r="P524">
        <v>17.899999999999999</v>
      </c>
      <c r="Q524">
        <v>0</v>
      </c>
      <c r="R524">
        <v>0</v>
      </c>
      <c r="S524">
        <v>37</v>
      </c>
      <c r="T524">
        <v>8</v>
      </c>
      <c r="U524">
        <v>33</v>
      </c>
      <c r="V524">
        <v>20260918037</v>
      </c>
    </row>
    <row r="525" spans="1:22" x14ac:dyDescent="0.2">
      <c r="A525" s="34" t="s">
        <v>122</v>
      </c>
      <c r="B525" s="28">
        <v>46283</v>
      </c>
      <c r="C525" s="34"/>
      <c r="D525" s="34" t="s">
        <v>343</v>
      </c>
      <c r="E525" s="34" t="s">
        <v>240</v>
      </c>
      <c r="F525" s="34" t="s">
        <v>241</v>
      </c>
      <c r="G525" s="34" t="s">
        <v>242</v>
      </c>
      <c r="H525" s="34" t="s">
        <v>243</v>
      </c>
      <c r="I525">
        <v>17</v>
      </c>
      <c r="J525">
        <v>0</v>
      </c>
      <c r="K525">
        <v>14</v>
      </c>
      <c r="L525">
        <v>3</v>
      </c>
      <c r="M525">
        <v>3</v>
      </c>
      <c r="N525">
        <v>0</v>
      </c>
      <c r="O525" s="28">
        <v>46282</v>
      </c>
      <c r="P525">
        <v>17.899999999999999</v>
      </c>
      <c r="Q525">
        <v>0</v>
      </c>
      <c r="R525">
        <v>0</v>
      </c>
      <c r="S525">
        <v>38</v>
      </c>
      <c r="T525">
        <v>8</v>
      </c>
      <c r="U525">
        <v>34</v>
      </c>
      <c r="V525">
        <v>20260918038</v>
      </c>
    </row>
    <row r="526" spans="1:22" x14ac:dyDescent="0.2">
      <c r="A526" s="34" t="s">
        <v>122</v>
      </c>
      <c r="B526" s="28">
        <v>46283</v>
      </c>
      <c r="C526" s="34"/>
      <c r="D526" s="34" t="s">
        <v>343</v>
      </c>
      <c r="E526" s="34" t="s">
        <v>256</v>
      </c>
      <c r="F526" s="34" t="s">
        <v>257</v>
      </c>
      <c r="G526" s="34" t="s">
        <v>258</v>
      </c>
      <c r="H526" s="34" t="s">
        <v>259</v>
      </c>
      <c r="I526">
        <v>4</v>
      </c>
      <c r="J526">
        <v>0</v>
      </c>
      <c r="K526">
        <v>4</v>
      </c>
      <c r="L526">
        <v>0</v>
      </c>
      <c r="M526">
        <v>0</v>
      </c>
      <c r="N526">
        <v>0</v>
      </c>
      <c r="O526" s="28">
        <v>46282</v>
      </c>
      <c r="R526">
        <v>0</v>
      </c>
      <c r="S526">
        <v>39</v>
      </c>
      <c r="T526">
        <v>8</v>
      </c>
      <c r="U526">
        <v>38</v>
      </c>
      <c r="V526">
        <v>20260918039</v>
      </c>
    </row>
    <row r="527" spans="1:22" x14ac:dyDescent="0.2">
      <c r="A527" s="34" t="s">
        <v>122</v>
      </c>
      <c r="B527" s="28">
        <v>46283</v>
      </c>
      <c r="C527" s="34"/>
      <c r="D527" s="34" t="s">
        <v>343</v>
      </c>
      <c r="E527" s="34" t="s">
        <v>260</v>
      </c>
      <c r="F527" s="34" t="s">
        <v>261</v>
      </c>
      <c r="G527" s="34" t="s">
        <v>262</v>
      </c>
      <c r="H527" s="34" t="s">
        <v>263</v>
      </c>
      <c r="I527">
        <v>4</v>
      </c>
      <c r="J527">
        <v>0</v>
      </c>
      <c r="K527">
        <v>4</v>
      </c>
      <c r="L527">
        <v>0</v>
      </c>
      <c r="M527">
        <v>0</v>
      </c>
      <c r="N527">
        <v>0</v>
      </c>
      <c r="O527" s="28">
        <v>46282</v>
      </c>
      <c r="R527">
        <v>0</v>
      </c>
      <c r="S527">
        <v>40</v>
      </c>
      <c r="T527">
        <v>8</v>
      </c>
      <c r="U527">
        <v>39</v>
      </c>
      <c r="V527">
        <v>20260918040</v>
      </c>
    </row>
    <row r="528" spans="1:22" x14ac:dyDescent="0.2">
      <c r="A528" s="34" t="s">
        <v>122</v>
      </c>
      <c r="B528" s="28">
        <v>46283</v>
      </c>
      <c r="C528" s="34"/>
      <c r="D528" s="34" t="s">
        <v>343</v>
      </c>
      <c r="E528" s="34" t="s">
        <v>268</v>
      </c>
      <c r="F528" s="34" t="s">
        <v>269</v>
      </c>
      <c r="G528" s="34" t="s">
        <v>270</v>
      </c>
      <c r="H528" s="34" t="s">
        <v>271</v>
      </c>
      <c r="I528">
        <v>3</v>
      </c>
      <c r="J528">
        <v>0</v>
      </c>
      <c r="K528">
        <v>3</v>
      </c>
      <c r="L528">
        <v>0</v>
      </c>
      <c r="M528">
        <v>0</v>
      </c>
      <c r="N528">
        <v>0</v>
      </c>
      <c r="O528" s="28">
        <v>46282</v>
      </c>
      <c r="R528">
        <v>0</v>
      </c>
      <c r="S528">
        <v>41</v>
      </c>
      <c r="T528">
        <v>8</v>
      </c>
      <c r="U528">
        <v>41</v>
      </c>
      <c r="V528">
        <v>20260918041</v>
      </c>
    </row>
    <row r="529" spans="1:22" x14ac:dyDescent="0.2">
      <c r="A529" s="34" t="s">
        <v>122</v>
      </c>
      <c r="B529" s="28">
        <v>46283</v>
      </c>
      <c r="C529" s="34"/>
      <c r="D529" s="34" t="s">
        <v>343</v>
      </c>
      <c r="E529" s="34" t="s">
        <v>272</v>
      </c>
      <c r="F529" s="34" t="s">
        <v>341</v>
      </c>
      <c r="G529" s="34" t="s">
        <v>273</v>
      </c>
      <c r="H529" s="34" t="s">
        <v>274</v>
      </c>
      <c r="I529">
        <v>10</v>
      </c>
      <c r="J529">
        <v>0</v>
      </c>
      <c r="K529">
        <v>3</v>
      </c>
      <c r="L529">
        <v>7</v>
      </c>
      <c r="M529">
        <v>7</v>
      </c>
      <c r="N529">
        <v>0</v>
      </c>
      <c r="O529" s="28">
        <v>46282</v>
      </c>
      <c r="P529">
        <v>18.399999999999999</v>
      </c>
      <c r="Q529">
        <v>0</v>
      </c>
      <c r="R529">
        <v>0</v>
      </c>
      <c r="S529">
        <v>42</v>
      </c>
      <c r="T529">
        <v>8</v>
      </c>
      <c r="U529">
        <v>42</v>
      </c>
      <c r="V529">
        <v>20260918042</v>
      </c>
    </row>
    <row r="530" spans="1:22" x14ac:dyDescent="0.2">
      <c r="A530" s="34" t="s">
        <v>122</v>
      </c>
      <c r="B530" s="28">
        <v>46283</v>
      </c>
      <c r="C530" s="34"/>
      <c r="D530" s="34" t="s">
        <v>343</v>
      </c>
      <c r="E530" s="34" t="s">
        <v>275</v>
      </c>
      <c r="F530" s="34" t="s">
        <v>276</v>
      </c>
      <c r="G530" s="34" t="s">
        <v>277</v>
      </c>
      <c r="H530" s="34" t="s">
        <v>278</v>
      </c>
      <c r="I530">
        <v>5</v>
      </c>
      <c r="J530">
        <v>0</v>
      </c>
      <c r="K530">
        <v>5</v>
      </c>
      <c r="L530">
        <v>0</v>
      </c>
      <c r="M530">
        <v>0</v>
      </c>
      <c r="N530">
        <v>0</v>
      </c>
      <c r="O530" s="28">
        <v>46282</v>
      </c>
      <c r="R530">
        <v>0</v>
      </c>
      <c r="S530">
        <v>43</v>
      </c>
      <c r="T530">
        <v>8</v>
      </c>
      <c r="U530">
        <v>43</v>
      </c>
      <c r="V530">
        <v>20260918043</v>
      </c>
    </row>
    <row r="531" spans="1:22" x14ac:dyDescent="0.2">
      <c r="A531" s="34" t="s">
        <v>122</v>
      </c>
      <c r="B531" s="28">
        <v>46283</v>
      </c>
      <c r="C531" s="34"/>
      <c r="D531" s="34" t="s">
        <v>343</v>
      </c>
      <c r="E531" s="34" t="s">
        <v>279</v>
      </c>
      <c r="F531" s="34" t="s">
        <v>280</v>
      </c>
      <c r="G531" s="34" t="s">
        <v>281</v>
      </c>
      <c r="H531" s="34" t="s">
        <v>282</v>
      </c>
      <c r="I531">
        <v>6</v>
      </c>
      <c r="J531">
        <v>0</v>
      </c>
      <c r="K531">
        <v>6</v>
      </c>
      <c r="L531">
        <v>0</v>
      </c>
      <c r="M531">
        <v>0</v>
      </c>
      <c r="N531">
        <v>0</v>
      </c>
      <c r="O531" s="28">
        <v>46282</v>
      </c>
      <c r="R531">
        <v>0</v>
      </c>
      <c r="S531">
        <v>44</v>
      </c>
      <c r="T531">
        <v>8</v>
      </c>
      <c r="U531">
        <v>44</v>
      </c>
      <c r="V531">
        <v>20260918044</v>
      </c>
    </row>
    <row r="532" spans="1:22" x14ac:dyDescent="0.2">
      <c r="A532" s="34" t="s">
        <v>122</v>
      </c>
      <c r="B532" s="28">
        <v>46283</v>
      </c>
      <c r="C532" s="34"/>
      <c r="D532" s="34" t="s">
        <v>343</v>
      </c>
      <c r="E532" s="34" t="s">
        <v>283</v>
      </c>
      <c r="F532" s="34" t="s">
        <v>284</v>
      </c>
      <c r="G532" s="34" t="s">
        <v>285</v>
      </c>
      <c r="H532" s="34" t="s">
        <v>286</v>
      </c>
      <c r="I532">
        <v>17</v>
      </c>
      <c r="J532">
        <v>0</v>
      </c>
      <c r="K532">
        <v>14</v>
      </c>
      <c r="L532">
        <v>3</v>
      </c>
      <c r="M532">
        <v>3</v>
      </c>
      <c r="N532">
        <v>0</v>
      </c>
      <c r="O532" s="28">
        <v>46282</v>
      </c>
      <c r="P532">
        <v>16.7</v>
      </c>
      <c r="Q532">
        <v>0</v>
      </c>
      <c r="R532">
        <v>0</v>
      </c>
      <c r="S532">
        <v>45</v>
      </c>
      <c r="T532">
        <v>8</v>
      </c>
      <c r="U532">
        <v>45</v>
      </c>
      <c r="V532">
        <v>20260918045</v>
      </c>
    </row>
    <row r="533" spans="1:22" x14ac:dyDescent="0.2">
      <c r="A533" s="34" t="s">
        <v>122</v>
      </c>
      <c r="B533" s="28">
        <v>46283</v>
      </c>
      <c r="C533" s="34"/>
      <c r="D533" s="34" t="s">
        <v>343</v>
      </c>
      <c r="E533" s="34" t="s">
        <v>287</v>
      </c>
      <c r="F533" s="34" t="s">
        <v>288</v>
      </c>
      <c r="G533" s="34" t="s">
        <v>289</v>
      </c>
      <c r="H533" s="34" t="s">
        <v>290</v>
      </c>
      <c r="I533">
        <v>17</v>
      </c>
      <c r="J533">
        <v>0</v>
      </c>
      <c r="K533">
        <v>14</v>
      </c>
      <c r="L533">
        <v>3</v>
      </c>
      <c r="M533">
        <v>3</v>
      </c>
      <c r="N533">
        <v>0</v>
      </c>
      <c r="O533" s="28">
        <v>46282</v>
      </c>
      <c r="P533">
        <v>16.7</v>
      </c>
      <c r="Q533">
        <v>0</v>
      </c>
      <c r="R533">
        <v>0</v>
      </c>
      <c r="S533">
        <v>46</v>
      </c>
      <c r="T533">
        <v>8</v>
      </c>
      <c r="U533">
        <v>46</v>
      </c>
      <c r="V533">
        <v>20260918046</v>
      </c>
    </row>
    <row r="534" spans="1:22" x14ac:dyDescent="0.2">
      <c r="A534" s="34" t="s">
        <v>122</v>
      </c>
      <c r="B534" s="28">
        <v>46283</v>
      </c>
      <c r="C534" s="34"/>
      <c r="D534" s="34" t="s">
        <v>343</v>
      </c>
      <c r="E534" s="34" t="s">
        <v>291</v>
      </c>
      <c r="F534" s="34" t="s">
        <v>342</v>
      </c>
      <c r="G534" s="34" t="s">
        <v>292</v>
      </c>
      <c r="H534" s="34" t="s">
        <v>293</v>
      </c>
      <c r="I534">
        <v>22</v>
      </c>
      <c r="J534">
        <v>0</v>
      </c>
      <c r="K534">
        <v>22</v>
      </c>
      <c r="L534">
        <v>0</v>
      </c>
      <c r="M534">
        <v>0</v>
      </c>
      <c r="N534">
        <v>0</v>
      </c>
      <c r="O534" s="28">
        <v>46282</v>
      </c>
      <c r="R534">
        <v>0</v>
      </c>
      <c r="S534">
        <v>47</v>
      </c>
      <c r="T534">
        <v>8</v>
      </c>
      <c r="U534">
        <v>47</v>
      </c>
      <c r="V534">
        <v>20260918047</v>
      </c>
    </row>
    <row r="535" spans="1:22" x14ac:dyDescent="0.2">
      <c r="A535" s="34" t="s">
        <v>122</v>
      </c>
      <c r="B535" s="28">
        <v>46283</v>
      </c>
      <c r="C535" s="34"/>
      <c r="D535" s="34" t="s">
        <v>343</v>
      </c>
      <c r="E535" s="34" t="s">
        <v>302</v>
      </c>
      <c r="F535" s="34" t="s">
        <v>303</v>
      </c>
      <c r="G535" s="34" t="s">
        <v>304</v>
      </c>
      <c r="H535" s="34" t="s">
        <v>305</v>
      </c>
      <c r="I535">
        <v>6</v>
      </c>
      <c r="J535">
        <v>0</v>
      </c>
      <c r="K535">
        <v>6</v>
      </c>
      <c r="L535">
        <v>0</v>
      </c>
      <c r="M535">
        <v>0</v>
      </c>
      <c r="N535">
        <v>0</v>
      </c>
      <c r="O535" s="28">
        <v>46282</v>
      </c>
      <c r="R535">
        <v>0</v>
      </c>
      <c r="S535">
        <v>48</v>
      </c>
      <c r="T535">
        <v>8</v>
      </c>
      <c r="U535">
        <v>50</v>
      </c>
      <c r="V535">
        <v>20260918048</v>
      </c>
    </row>
    <row r="536" spans="1:22" x14ac:dyDescent="0.2">
      <c r="A536" s="34" t="s">
        <v>122</v>
      </c>
      <c r="B536" s="28">
        <v>46283</v>
      </c>
      <c r="C536" s="34"/>
      <c r="D536" s="34" t="s">
        <v>343</v>
      </c>
      <c r="E536" s="34" t="s">
        <v>306</v>
      </c>
      <c r="F536" s="34" t="s">
        <v>307</v>
      </c>
      <c r="G536" s="34" t="s">
        <v>308</v>
      </c>
      <c r="H536" s="34" t="s">
        <v>309</v>
      </c>
      <c r="I536">
        <v>10</v>
      </c>
      <c r="J536">
        <v>0</v>
      </c>
      <c r="K536">
        <v>10</v>
      </c>
      <c r="L536">
        <v>0</v>
      </c>
      <c r="M536">
        <v>0</v>
      </c>
      <c r="N536">
        <v>0</v>
      </c>
      <c r="O536" s="28">
        <v>46282</v>
      </c>
      <c r="R536">
        <v>0</v>
      </c>
      <c r="S536">
        <v>49</v>
      </c>
      <c r="T536">
        <v>8</v>
      </c>
      <c r="U536">
        <v>51</v>
      </c>
      <c r="V536">
        <v>20260918049</v>
      </c>
    </row>
    <row r="537" spans="1:22" x14ac:dyDescent="0.2">
      <c r="A537" s="34" t="s">
        <v>122</v>
      </c>
      <c r="B537" s="28">
        <v>46283</v>
      </c>
      <c r="C537" s="34"/>
      <c r="D537" s="34" t="s">
        <v>343</v>
      </c>
      <c r="E537" s="34" t="s">
        <v>310</v>
      </c>
      <c r="F537" s="34" t="s">
        <v>311</v>
      </c>
      <c r="G537" s="34" t="s">
        <v>312</v>
      </c>
      <c r="H537" s="34" t="s">
        <v>313</v>
      </c>
      <c r="I537">
        <v>7</v>
      </c>
      <c r="J537">
        <v>0</v>
      </c>
      <c r="K537">
        <v>5</v>
      </c>
      <c r="L537">
        <v>2</v>
      </c>
      <c r="M537">
        <v>2</v>
      </c>
      <c r="N537">
        <v>0</v>
      </c>
      <c r="O537" s="28">
        <v>46282</v>
      </c>
      <c r="P537">
        <v>12.8</v>
      </c>
      <c r="Q537">
        <v>0</v>
      </c>
      <c r="R537">
        <v>0</v>
      </c>
      <c r="S537">
        <v>50</v>
      </c>
      <c r="T537">
        <v>8</v>
      </c>
      <c r="U537">
        <v>52</v>
      </c>
      <c r="V537">
        <v>20260918050</v>
      </c>
    </row>
    <row r="538" spans="1:22" x14ac:dyDescent="0.2">
      <c r="A538" s="34" t="s">
        <v>122</v>
      </c>
      <c r="B538" s="28">
        <v>46283</v>
      </c>
      <c r="C538" s="34"/>
      <c r="D538" s="34" t="s">
        <v>343</v>
      </c>
      <c r="E538" s="34" t="s">
        <v>314</v>
      </c>
      <c r="F538" s="34" t="s">
        <v>315</v>
      </c>
      <c r="G538" s="34" t="s">
        <v>316</v>
      </c>
      <c r="H538" s="34" t="s">
        <v>317</v>
      </c>
      <c r="I538">
        <v>20</v>
      </c>
      <c r="J538">
        <v>0</v>
      </c>
      <c r="K538">
        <v>18</v>
      </c>
      <c r="L538">
        <v>2</v>
      </c>
      <c r="M538">
        <v>2</v>
      </c>
      <c r="N538">
        <v>0</v>
      </c>
      <c r="O538" s="28">
        <v>46282</v>
      </c>
      <c r="P538">
        <v>12.9</v>
      </c>
      <c r="Q538">
        <v>0</v>
      </c>
      <c r="R538">
        <v>0</v>
      </c>
      <c r="S538">
        <v>51</v>
      </c>
      <c r="T538">
        <v>8</v>
      </c>
      <c r="U538">
        <v>53</v>
      </c>
      <c r="V538">
        <v>20260918051</v>
      </c>
    </row>
    <row r="539" spans="1:22" x14ac:dyDescent="0.2">
      <c r="A539" s="34" t="s">
        <v>122</v>
      </c>
      <c r="B539" s="28">
        <v>46283</v>
      </c>
      <c r="C539" s="34"/>
      <c r="D539" s="34" t="s">
        <v>343</v>
      </c>
      <c r="E539" s="34" t="s">
        <v>318</v>
      </c>
      <c r="F539" s="34" t="s">
        <v>319</v>
      </c>
      <c r="G539" s="34" t="s">
        <v>320</v>
      </c>
      <c r="H539" s="34" t="s">
        <v>321</v>
      </c>
      <c r="I539">
        <v>11</v>
      </c>
      <c r="J539">
        <v>0</v>
      </c>
      <c r="K539">
        <v>9</v>
      </c>
      <c r="L539">
        <v>2</v>
      </c>
      <c r="M539">
        <v>2</v>
      </c>
      <c r="N539">
        <v>0</v>
      </c>
      <c r="O539" s="28">
        <v>46282</v>
      </c>
      <c r="P539">
        <v>16.399999999999999</v>
      </c>
      <c r="Q539">
        <v>0</v>
      </c>
      <c r="R539">
        <v>0</v>
      </c>
      <c r="S539">
        <v>52</v>
      </c>
      <c r="T539">
        <v>8</v>
      </c>
      <c r="U539">
        <v>54</v>
      </c>
      <c r="V539">
        <v>20260918052</v>
      </c>
    </row>
    <row r="540" spans="1:22" x14ac:dyDescent="0.2">
      <c r="A540" s="34" t="s">
        <v>122</v>
      </c>
      <c r="B540" s="28">
        <v>46283</v>
      </c>
      <c r="C540" s="34"/>
      <c r="D540" s="34" t="s">
        <v>343</v>
      </c>
      <c r="E540" s="34" t="s">
        <v>322</v>
      </c>
      <c r="F540" s="34" t="s">
        <v>323</v>
      </c>
      <c r="G540" s="34" t="s">
        <v>324</v>
      </c>
      <c r="H540" s="34" t="s">
        <v>325</v>
      </c>
      <c r="I540">
        <v>6</v>
      </c>
      <c r="J540">
        <v>0</v>
      </c>
      <c r="K540">
        <v>5</v>
      </c>
      <c r="L540">
        <v>1</v>
      </c>
      <c r="M540">
        <v>1</v>
      </c>
      <c r="N540">
        <v>0</v>
      </c>
      <c r="O540" s="28">
        <v>46282</v>
      </c>
      <c r="P540">
        <v>16.399999999999999</v>
      </c>
      <c r="Q540">
        <v>0</v>
      </c>
      <c r="R540">
        <v>0</v>
      </c>
      <c r="S540">
        <v>53</v>
      </c>
      <c r="T540">
        <v>8</v>
      </c>
      <c r="U540">
        <v>55</v>
      </c>
      <c r="V540">
        <v>20260918053</v>
      </c>
    </row>
    <row r="541" spans="1:22" x14ac:dyDescent="0.2">
      <c r="A541" s="34" t="s">
        <v>122</v>
      </c>
      <c r="B541" s="28">
        <v>46283</v>
      </c>
      <c r="C541" s="34"/>
      <c r="D541" s="34" t="s">
        <v>343</v>
      </c>
      <c r="E541" s="34" t="s">
        <v>330</v>
      </c>
      <c r="F541" s="34" t="s">
        <v>331</v>
      </c>
      <c r="G541" s="34" t="s">
        <v>332</v>
      </c>
      <c r="H541" s="34" t="s">
        <v>333</v>
      </c>
      <c r="I541">
        <v>3</v>
      </c>
      <c r="J541">
        <v>0</v>
      </c>
      <c r="K541">
        <v>3</v>
      </c>
      <c r="L541">
        <v>0</v>
      </c>
      <c r="M541">
        <v>0</v>
      </c>
      <c r="N541">
        <v>0</v>
      </c>
      <c r="O541" s="28">
        <v>46282</v>
      </c>
      <c r="R541">
        <v>0</v>
      </c>
      <c r="S541">
        <v>54</v>
      </c>
      <c r="T541">
        <v>8</v>
      </c>
      <c r="U541">
        <v>74</v>
      </c>
      <c r="V541">
        <v>20260918054</v>
      </c>
    </row>
    <row r="542" spans="1:22" x14ac:dyDescent="0.2">
      <c r="A542" s="34" t="s">
        <v>122</v>
      </c>
      <c r="B542" s="28">
        <v>46285</v>
      </c>
      <c r="C542" s="34"/>
      <c r="D542" s="34" t="s">
        <v>340</v>
      </c>
      <c r="E542" s="34" t="s">
        <v>124</v>
      </c>
      <c r="F542" s="34" t="s">
        <v>125</v>
      </c>
      <c r="G542" s="34" t="s">
        <v>126</v>
      </c>
      <c r="H542" s="34" t="s">
        <v>127</v>
      </c>
      <c r="I542">
        <v>8</v>
      </c>
      <c r="J542">
        <v>0</v>
      </c>
      <c r="K542">
        <v>8</v>
      </c>
      <c r="L542">
        <v>0</v>
      </c>
      <c r="O542" s="28">
        <v>46283</v>
      </c>
      <c r="R542">
        <v>-1</v>
      </c>
      <c r="S542">
        <v>1</v>
      </c>
      <c r="T542">
        <v>7</v>
      </c>
      <c r="U542">
        <v>1</v>
      </c>
      <c r="V542">
        <v>20260920001</v>
      </c>
    </row>
    <row r="543" spans="1:22" x14ac:dyDescent="0.2">
      <c r="A543" s="34" t="s">
        <v>122</v>
      </c>
      <c r="B543" s="28">
        <v>46285</v>
      </c>
      <c r="C543" s="34"/>
      <c r="D543" s="34" t="s">
        <v>340</v>
      </c>
      <c r="E543" s="34" t="s">
        <v>128</v>
      </c>
      <c r="F543" s="34" t="s">
        <v>129</v>
      </c>
      <c r="G543" s="34" t="s">
        <v>130</v>
      </c>
      <c r="H543" s="34" t="s">
        <v>131</v>
      </c>
      <c r="I543">
        <v>5</v>
      </c>
      <c r="J543">
        <v>0</v>
      </c>
      <c r="K543">
        <v>5</v>
      </c>
      <c r="L543">
        <v>0</v>
      </c>
      <c r="O543" s="28">
        <v>46283</v>
      </c>
      <c r="R543">
        <v>-1</v>
      </c>
      <c r="S543">
        <v>2</v>
      </c>
      <c r="T543">
        <v>7</v>
      </c>
      <c r="U543">
        <v>2</v>
      </c>
      <c r="V543">
        <v>20260920002</v>
      </c>
    </row>
    <row r="544" spans="1:22" x14ac:dyDescent="0.2">
      <c r="A544" s="34" t="s">
        <v>122</v>
      </c>
      <c r="B544" s="28">
        <v>46285</v>
      </c>
      <c r="C544" s="34"/>
      <c r="D544" s="34" t="s">
        <v>340</v>
      </c>
      <c r="E544" s="34" t="s">
        <v>132</v>
      </c>
      <c r="F544" s="34" t="s">
        <v>133</v>
      </c>
      <c r="G544" s="34" t="s">
        <v>134</v>
      </c>
      <c r="H544" s="34" t="s">
        <v>135</v>
      </c>
      <c r="I544">
        <v>4</v>
      </c>
      <c r="J544">
        <v>0</v>
      </c>
      <c r="K544">
        <v>3</v>
      </c>
      <c r="L544">
        <v>1</v>
      </c>
      <c r="O544" s="28">
        <v>46283</v>
      </c>
      <c r="R544">
        <v>-1</v>
      </c>
      <c r="S544">
        <v>3</v>
      </c>
      <c r="T544">
        <v>7</v>
      </c>
      <c r="U544">
        <v>3</v>
      </c>
      <c r="V544">
        <v>20260920003</v>
      </c>
    </row>
    <row r="545" spans="1:22" x14ac:dyDescent="0.2">
      <c r="A545" s="34" t="s">
        <v>122</v>
      </c>
      <c r="B545" s="28">
        <v>46285</v>
      </c>
      <c r="C545" s="34"/>
      <c r="D545" s="34" t="s">
        <v>340</v>
      </c>
      <c r="E545" s="34" t="s">
        <v>136</v>
      </c>
      <c r="F545" s="34" t="s">
        <v>137</v>
      </c>
      <c r="G545" s="34" t="s">
        <v>138</v>
      </c>
      <c r="H545" s="34" t="s">
        <v>139</v>
      </c>
      <c r="I545">
        <v>1</v>
      </c>
      <c r="J545">
        <v>0</v>
      </c>
      <c r="K545">
        <v>2</v>
      </c>
      <c r="L545">
        <v>-1</v>
      </c>
      <c r="O545" s="28">
        <v>46283</v>
      </c>
      <c r="R545">
        <v>-1</v>
      </c>
      <c r="S545">
        <v>4</v>
      </c>
      <c r="T545">
        <v>7</v>
      </c>
      <c r="U545">
        <v>4</v>
      </c>
      <c r="V545">
        <v>20260920004</v>
      </c>
    </row>
    <row r="546" spans="1:22" x14ac:dyDescent="0.2">
      <c r="A546" s="34" t="s">
        <v>122</v>
      </c>
      <c r="B546" s="28">
        <v>46285</v>
      </c>
      <c r="C546" s="34"/>
      <c r="D546" s="34" t="s">
        <v>340</v>
      </c>
      <c r="E546" s="34" t="s">
        <v>140</v>
      </c>
      <c r="F546" s="34" t="s">
        <v>141</v>
      </c>
      <c r="G546" s="34" t="s">
        <v>142</v>
      </c>
      <c r="H546" s="34" t="s">
        <v>143</v>
      </c>
      <c r="I546">
        <v>5</v>
      </c>
      <c r="J546">
        <v>0</v>
      </c>
      <c r="K546">
        <v>5</v>
      </c>
      <c r="L546">
        <v>0</v>
      </c>
      <c r="O546" s="28">
        <v>46283</v>
      </c>
      <c r="R546">
        <v>-1</v>
      </c>
      <c r="S546">
        <v>5</v>
      </c>
      <c r="T546">
        <v>7</v>
      </c>
      <c r="U546">
        <v>5</v>
      </c>
      <c r="V546">
        <v>20260920005</v>
      </c>
    </row>
    <row r="547" spans="1:22" x14ac:dyDescent="0.2">
      <c r="A547" s="34" t="s">
        <v>122</v>
      </c>
      <c r="B547" s="28">
        <v>46285</v>
      </c>
      <c r="C547" s="34"/>
      <c r="D547" s="34" t="s">
        <v>340</v>
      </c>
      <c r="E547" s="34" t="s">
        <v>144</v>
      </c>
      <c r="F547" s="34" t="s">
        <v>145</v>
      </c>
      <c r="G547" s="34" t="s">
        <v>146</v>
      </c>
      <c r="H547" s="34" t="s">
        <v>147</v>
      </c>
      <c r="I547">
        <v>11</v>
      </c>
      <c r="J547">
        <v>0</v>
      </c>
      <c r="K547">
        <v>11</v>
      </c>
      <c r="L547">
        <v>0</v>
      </c>
      <c r="O547" s="28">
        <v>46283</v>
      </c>
      <c r="R547">
        <v>-1</v>
      </c>
      <c r="S547">
        <v>6</v>
      </c>
      <c r="T547">
        <v>7</v>
      </c>
      <c r="U547">
        <v>6</v>
      </c>
      <c r="V547">
        <v>20260920006</v>
      </c>
    </row>
    <row r="548" spans="1:22" x14ac:dyDescent="0.2">
      <c r="A548" s="34" t="s">
        <v>122</v>
      </c>
      <c r="B548" s="28">
        <v>46285</v>
      </c>
      <c r="C548" s="34"/>
      <c r="D548" s="34" t="s">
        <v>340</v>
      </c>
      <c r="E548" s="34" t="s">
        <v>148</v>
      </c>
      <c r="F548" s="34" t="s">
        <v>149</v>
      </c>
      <c r="G548" s="34" t="s">
        <v>150</v>
      </c>
      <c r="H548" s="34" t="s">
        <v>151</v>
      </c>
      <c r="I548">
        <v>4</v>
      </c>
      <c r="J548">
        <v>0</v>
      </c>
      <c r="K548">
        <v>4</v>
      </c>
      <c r="L548">
        <v>0</v>
      </c>
      <c r="O548" s="28">
        <v>46283</v>
      </c>
      <c r="R548">
        <v>-1</v>
      </c>
      <c r="S548">
        <v>7</v>
      </c>
      <c r="T548">
        <v>7</v>
      </c>
      <c r="U548">
        <v>7</v>
      </c>
      <c r="V548">
        <v>20260920007</v>
      </c>
    </row>
    <row r="549" spans="1:22" x14ac:dyDescent="0.2">
      <c r="A549" s="34" t="s">
        <v>122</v>
      </c>
      <c r="B549" s="28">
        <v>46285</v>
      </c>
      <c r="C549" s="34"/>
      <c r="D549" s="34" t="s">
        <v>340</v>
      </c>
      <c r="E549" s="34" t="s">
        <v>152</v>
      </c>
      <c r="F549" s="34" t="s">
        <v>153</v>
      </c>
      <c r="G549" s="34" t="s">
        <v>154</v>
      </c>
      <c r="H549" s="34" t="s">
        <v>155</v>
      </c>
      <c r="I549">
        <v>15</v>
      </c>
      <c r="J549">
        <v>0</v>
      </c>
      <c r="K549">
        <v>20</v>
      </c>
      <c r="L549">
        <v>-5</v>
      </c>
      <c r="O549" s="28">
        <v>46283</v>
      </c>
      <c r="R549">
        <v>-1</v>
      </c>
      <c r="S549">
        <v>8</v>
      </c>
      <c r="T549">
        <v>7</v>
      </c>
      <c r="U549">
        <v>8</v>
      </c>
      <c r="V549">
        <v>20260920008</v>
      </c>
    </row>
    <row r="550" spans="1:22" x14ac:dyDescent="0.2">
      <c r="A550" s="34" t="s">
        <v>122</v>
      </c>
      <c r="B550" s="28">
        <v>46285</v>
      </c>
      <c r="C550" s="34"/>
      <c r="D550" s="34" t="s">
        <v>340</v>
      </c>
      <c r="E550" s="34" t="s">
        <v>156</v>
      </c>
      <c r="F550" s="34" t="s">
        <v>157</v>
      </c>
      <c r="G550" s="34" t="s">
        <v>158</v>
      </c>
      <c r="H550" s="34" t="s">
        <v>159</v>
      </c>
      <c r="I550">
        <v>6</v>
      </c>
      <c r="J550">
        <v>0</v>
      </c>
      <c r="K550">
        <v>18</v>
      </c>
      <c r="L550">
        <v>-12</v>
      </c>
      <c r="O550" s="28">
        <v>46283</v>
      </c>
      <c r="R550">
        <v>-1</v>
      </c>
      <c r="S550">
        <v>9</v>
      </c>
      <c r="T550">
        <v>7</v>
      </c>
      <c r="U550">
        <v>9</v>
      </c>
      <c r="V550">
        <v>20260920009</v>
      </c>
    </row>
    <row r="551" spans="1:22" x14ac:dyDescent="0.2">
      <c r="A551" s="34" t="s">
        <v>122</v>
      </c>
      <c r="B551" s="28">
        <v>46285</v>
      </c>
      <c r="C551" s="34"/>
      <c r="D551" s="34" t="s">
        <v>340</v>
      </c>
      <c r="E551" s="34" t="s">
        <v>160</v>
      </c>
      <c r="F551" s="34" t="s">
        <v>161</v>
      </c>
      <c r="G551" s="34" t="s">
        <v>162</v>
      </c>
      <c r="H551" s="34" t="s">
        <v>163</v>
      </c>
      <c r="I551">
        <v>5</v>
      </c>
      <c r="J551">
        <v>0</v>
      </c>
      <c r="K551">
        <v>15</v>
      </c>
      <c r="L551">
        <v>-10</v>
      </c>
      <c r="O551" s="28">
        <v>46283</v>
      </c>
      <c r="R551">
        <v>-1</v>
      </c>
      <c r="S551">
        <v>10</v>
      </c>
      <c r="T551">
        <v>7</v>
      </c>
      <c r="U551">
        <v>10</v>
      </c>
      <c r="V551">
        <v>20260920010</v>
      </c>
    </row>
    <row r="552" spans="1:22" x14ac:dyDescent="0.2">
      <c r="A552" s="34" t="s">
        <v>122</v>
      </c>
      <c r="B552" s="28">
        <v>46285</v>
      </c>
      <c r="C552" s="34"/>
      <c r="D552" s="34" t="s">
        <v>340</v>
      </c>
      <c r="E552" s="34" t="s">
        <v>164</v>
      </c>
      <c r="F552" s="34" t="s">
        <v>165</v>
      </c>
      <c r="G552" s="34" t="s">
        <v>166</v>
      </c>
      <c r="H552" s="34" t="s">
        <v>167</v>
      </c>
      <c r="I552">
        <v>43</v>
      </c>
      <c r="J552">
        <v>0</v>
      </c>
      <c r="K552">
        <v>33</v>
      </c>
      <c r="L552">
        <v>10</v>
      </c>
      <c r="O552" s="28">
        <v>46283</v>
      </c>
      <c r="R552">
        <v>-1</v>
      </c>
      <c r="S552">
        <v>11</v>
      </c>
      <c r="T552">
        <v>7</v>
      </c>
      <c r="U552">
        <v>11</v>
      </c>
      <c r="V552">
        <v>20260920011</v>
      </c>
    </row>
    <row r="553" spans="1:22" x14ac:dyDescent="0.2">
      <c r="A553" s="34" t="s">
        <v>122</v>
      </c>
      <c r="B553" s="28">
        <v>46285</v>
      </c>
      <c r="C553" s="34"/>
      <c r="D553" s="34" t="s">
        <v>340</v>
      </c>
      <c r="E553" s="34" t="s">
        <v>168</v>
      </c>
      <c r="F553" s="34" t="s">
        <v>169</v>
      </c>
      <c r="G553" s="34" t="s">
        <v>170</v>
      </c>
      <c r="H553" s="34" t="s">
        <v>171</v>
      </c>
      <c r="I553">
        <v>12</v>
      </c>
      <c r="J553">
        <v>0</v>
      </c>
      <c r="K553">
        <v>10</v>
      </c>
      <c r="L553">
        <v>2</v>
      </c>
      <c r="O553" s="28">
        <v>46283</v>
      </c>
      <c r="R553">
        <v>-1</v>
      </c>
      <c r="S553">
        <v>12</v>
      </c>
      <c r="T553">
        <v>7</v>
      </c>
      <c r="U553">
        <v>12</v>
      </c>
      <c r="V553">
        <v>20260920012</v>
      </c>
    </row>
    <row r="554" spans="1:22" x14ac:dyDescent="0.2">
      <c r="A554" s="34" t="s">
        <v>122</v>
      </c>
      <c r="B554" s="28">
        <v>46285</v>
      </c>
      <c r="C554" s="34"/>
      <c r="D554" s="34" t="s">
        <v>340</v>
      </c>
      <c r="E554" s="34" t="s">
        <v>172</v>
      </c>
      <c r="F554" s="34" t="s">
        <v>173</v>
      </c>
      <c r="G554" s="34" t="s">
        <v>174</v>
      </c>
      <c r="H554" s="34" t="s">
        <v>175</v>
      </c>
      <c r="I554">
        <v>14</v>
      </c>
      <c r="J554">
        <v>0</v>
      </c>
      <c r="K554">
        <v>13</v>
      </c>
      <c r="L554">
        <v>1</v>
      </c>
      <c r="O554" s="28">
        <v>46283</v>
      </c>
      <c r="R554">
        <v>-1</v>
      </c>
      <c r="S554">
        <v>13</v>
      </c>
      <c r="T554">
        <v>7</v>
      </c>
      <c r="U554">
        <v>13</v>
      </c>
      <c r="V554">
        <v>20260920013</v>
      </c>
    </row>
    <row r="555" spans="1:22" x14ac:dyDescent="0.2">
      <c r="A555" s="34" t="s">
        <v>122</v>
      </c>
      <c r="B555" s="28">
        <v>46285</v>
      </c>
      <c r="C555" s="34"/>
      <c r="D555" s="34" t="s">
        <v>340</v>
      </c>
      <c r="E555" s="34" t="s">
        <v>176</v>
      </c>
      <c r="F555" s="34" t="s">
        <v>177</v>
      </c>
      <c r="G555" s="34" t="s">
        <v>178</v>
      </c>
      <c r="H555" s="34" t="s">
        <v>179</v>
      </c>
      <c r="I555">
        <v>14</v>
      </c>
      <c r="J555">
        <v>0</v>
      </c>
      <c r="K555">
        <v>28</v>
      </c>
      <c r="L555">
        <v>-14</v>
      </c>
      <c r="O555" s="28">
        <v>46283</v>
      </c>
      <c r="R555">
        <v>-1</v>
      </c>
      <c r="S555">
        <v>14</v>
      </c>
      <c r="T555">
        <v>7</v>
      </c>
      <c r="U555">
        <v>14</v>
      </c>
      <c r="V555">
        <v>20260920014</v>
      </c>
    </row>
    <row r="556" spans="1:22" x14ac:dyDescent="0.2">
      <c r="A556" s="34" t="s">
        <v>122</v>
      </c>
      <c r="B556" s="28">
        <v>46285</v>
      </c>
      <c r="C556" s="34"/>
      <c r="D556" s="34" t="s">
        <v>340</v>
      </c>
      <c r="E556" s="34" t="s">
        <v>180</v>
      </c>
      <c r="F556" s="34" t="s">
        <v>181</v>
      </c>
      <c r="G556" s="34" t="s">
        <v>182</v>
      </c>
      <c r="H556" s="34" t="s">
        <v>183</v>
      </c>
      <c r="I556">
        <v>9</v>
      </c>
      <c r="J556">
        <v>0</v>
      </c>
      <c r="K556">
        <v>18</v>
      </c>
      <c r="L556">
        <v>-9</v>
      </c>
      <c r="O556" s="28">
        <v>46283</v>
      </c>
      <c r="R556">
        <v>-1</v>
      </c>
      <c r="S556">
        <v>15</v>
      </c>
      <c r="T556">
        <v>7</v>
      </c>
      <c r="U556">
        <v>15</v>
      </c>
      <c r="V556">
        <v>20260920015</v>
      </c>
    </row>
    <row r="557" spans="1:22" x14ac:dyDescent="0.2">
      <c r="A557" s="34" t="s">
        <v>122</v>
      </c>
      <c r="B557" s="28">
        <v>46285</v>
      </c>
      <c r="C557" s="34"/>
      <c r="D557" s="34" t="s">
        <v>340</v>
      </c>
      <c r="E557" s="34" t="s">
        <v>184</v>
      </c>
      <c r="F557" s="34" t="s">
        <v>185</v>
      </c>
      <c r="G557" s="34" t="s">
        <v>186</v>
      </c>
      <c r="H557" s="34" t="s">
        <v>187</v>
      </c>
      <c r="I557">
        <v>13</v>
      </c>
      <c r="J557">
        <v>0</v>
      </c>
      <c r="K557">
        <v>13</v>
      </c>
      <c r="L557">
        <v>0</v>
      </c>
      <c r="O557" s="28">
        <v>46283</v>
      </c>
      <c r="R557">
        <v>-1</v>
      </c>
      <c r="S557">
        <v>16</v>
      </c>
      <c r="T557">
        <v>7</v>
      </c>
      <c r="U557">
        <v>16</v>
      </c>
      <c r="V557">
        <v>20260920016</v>
      </c>
    </row>
    <row r="558" spans="1:22" x14ac:dyDescent="0.2">
      <c r="A558" s="34" t="s">
        <v>122</v>
      </c>
      <c r="B558" s="28">
        <v>46285</v>
      </c>
      <c r="C558" s="34"/>
      <c r="D558" s="34" t="s">
        <v>340</v>
      </c>
      <c r="E558" s="34" t="s">
        <v>188</v>
      </c>
      <c r="F558" s="34" t="s">
        <v>189</v>
      </c>
      <c r="G558" s="34" t="s">
        <v>190</v>
      </c>
      <c r="H558" s="34" t="s">
        <v>191</v>
      </c>
      <c r="I558">
        <v>4</v>
      </c>
      <c r="J558">
        <v>0</v>
      </c>
      <c r="K558">
        <v>4</v>
      </c>
      <c r="L558">
        <v>0</v>
      </c>
      <c r="O558" s="28">
        <v>46283</v>
      </c>
      <c r="R558">
        <v>-1</v>
      </c>
      <c r="S558">
        <v>17</v>
      </c>
      <c r="T558">
        <v>7</v>
      </c>
      <c r="U558">
        <v>21</v>
      </c>
      <c r="V558">
        <v>20260920017</v>
      </c>
    </row>
    <row r="559" spans="1:22" x14ac:dyDescent="0.2">
      <c r="A559" s="34" t="s">
        <v>122</v>
      </c>
      <c r="B559" s="28">
        <v>46285</v>
      </c>
      <c r="C559" s="34"/>
      <c r="D559" s="34" t="s">
        <v>340</v>
      </c>
      <c r="E559" s="34" t="s">
        <v>192</v>
      </c>
      <c r="F559" s="34" t="s">
        <v>193</v>
      </c>
      <c r="G559" s="34" t="s">
        <v>194</v>
      </c>
      <c r="H559" s="34" t="s">
        <v>195</v>
      </c>
      <c r="I559">
        <v>4</v>
      </c>
      <c r="J559">
        <v>0</v>
      </c>
      <c r="K559">
        <v>4</v>
      </c>
      <c r="L559">
        <v>0</v>
      </c>
      <c r="O559" s="28">
        <v>46283</v>
      </c>
      <c r="R559">
        <v>-1</v>
      </c>
      <c r="S559">
        <v>18</v>
      </c>
      <c r="T559">
        <v>7</v>
      </c>
      <c r="U559">
        <v>22</v>
      </c>
      <c r="V559">
        <v>20260920018</v>
      </c>
    </row>
    <row r="560" spans="1:22" x14ac:dyDescent="0.2">
      <c r="A560" s="34" t="s">
        <v>122</v>
      </c>
      <c r="B560" s="28">
        <v>46285</v>
      </c>
      <c r="C560" s="34"/>
      <c r="D560" s="34" t="s">
        <v>340</v>
      </c>
      <c r="E560" s="34" t="s">
        <v>196</v>
      </c>
      <c r="F560" s="34" t="s">
        <v>197</v>
      </c>
      <c r="G560" s="34" t="s">
        <v>198</v>
      </c>
      <c r="H560" s="34" t="s">
        <v>199</v>
      </c>
      <c r="I560">
        <v>12</v>
      </c>
      <c r="J560">
        <v>0</v>
      </c>
      <c r="K560">
        <v>12</v>
      </c>
      <c r="L560">
        <v>0</v>
      </c>
      <c r="O560" s="28">
        <v>46283</v>
      </c>
      <c r="R560">
        <v>-1</v>
      </c>
      <c r="S560">
        <v>19</v>
      </c>
      <c r="T560">
        <v>7</v>
      </c>
      <c r="U560">
        <v>23</v>
      </c>
      <c r="V560">
        <v>20260920019</v>
      </c>
    </row>
    <row r="561" spans="1:22" x14ac:dyDescent="0.2">
      <c r="A561" s="34" t="s">
        <v>122</v>
      </c>
      <c r="B561" s="28">
        <v>46285</v>
      </c>
      <c r="C561" s="34"/>
      <c r="D561" s="34" t="s">
        <v>340</v>
      </c>
      <c r="E561" s="34" t="s">
        <v>200</v>
      </c>
      <c r="F561" s="34" t="s">
        <v>201</v>
      </c>
      <c r="G561" s="34" t="s">
        <v>202</v>
      </c>
      <c r="H561" s="34" t="s">
        <v>203</v>
      </c>
      <c r="I561">
        <v>9</v>
      </c>
      <c r="J561">
        <v>0</v>
      </c>
      <c r="K561">
        <v>21</v>
      </c>
      <c r="L561">
        <v>-12</v>
      </c>
      <c r="O561" s="28">
        <v>46283</v>
      </c>
      <c r="R561">
        <v>-1</v>
      </c>
      <c r="S561">
        <v>20</v>
      </c>
      <c r="T561">
        <v>7</v>
      </c>
      <c r="U561">
        <v>24</v>
      </c>
      <c r="V561">
        <v>20260920020</v>
      </c>
    </row>
    <row r="562" spans="1:22" x14ac:dyDescent="0.2">
      <c r="A562" s="34" t="s">
        <v>122</v>
      </c>
      <c r="B562" s="28">
        <v>46285</v>
      </c>
      <c r="C562" s="34"/>
      <c r="D562" s="34" t="s">
        <v>340</v>
      </c>
      <c r="E562" s="34" t="s">
        <v>204</v>
      </c>
      <c r="F562" s="34" t="s">
        <v>205</v>
      </c>
      <c r="G562" s="34" t="s">
        <v>206</v>
      </c>
      <c r="H562" s="34" t="s">
        <v>207</v>
      </c>
      <c r="I562">
        <v>11</v>
      </c>
      <c r="J562">
        <v>0</v>
      </c>
      <c r="K562">
        <v>7</v>
      </c>
      <c r="L562">
        <v>4</v>
      </c>
      <c r="O562" s="28">
        <v>46283</v>
      </c>
      <c r="R562">
        <v>-1</v>
      </c>
      <c r="S562">
        <v>21</v>
      </c>
      <c r="T562">
        <v>7</v>
      </c>
      <c r="U562">
        <v>25</v>
      </c>
      <c r="V562">
        <v>20260920021</v>
      </c>
    </row>
    <row r="563" spans="1:22" x14ac:dyDescent="0.2">
      <c r="A563" s="34" t="s">
        <v>122</v>
      </c>
      <c r="B563" s="28">
        <v>46285</v>
      </c>
      <c r="C563" s="34"/>
      <c r="D563" s="34" t="s">
        <v>340</v>
      </c>
      <c r="E563" s="34" t="s">
        <v>208</v>
      </c>
      <c r="F563" s="34" t="s">
        <v>209</v>
      </c>
      <c r="G563" s="34" t="s">
        <v>210</v>
      </c>
      <c r="H563" s="34" t="s">
        <v>211</v>
      </c>
      <c r="I563">
        <v>4</v>
      </c>
      <c r="J563">
        <v>0</v>
      </c>
      <c r="K563">
        <v>5</v>
      </c>
      <c r="L563">
        <v>-1</v>
      </c>
      <c r="O563" s="28">
        <v>46283</v>
      </c>
      <c r="R563">
        <v>-1</v>
      </c>
      <c r="S563">
        <v>22</v>
      </c>
      <c r="T563">
        <v>7</v>
      </c>
      <c r="U563">
        <v>26</v>
      </c>
      <c r="V563">
        <v>20260920022</v>
      </c>
    </row>
    <row r="564" spans="1:22" x14ac:dyDescent="0.2">
      <c r="A564" s="34" t="s">
        <v>122</v>
      </c>
      <c r="B564" s="28">
        <v>46285</v>
      </c>
      <c r="C564" s="34"/>
      <c r="D564" s="34" t="s">
        <v>340</v>
      </c>
      <c r="E564" s="34" t="s">
        <v>212</v>
      </c>
      <c r="F564" s="34" t="s">
        <v>213</v>
      </c>
      <c r="G564" s="34" t="s">
        <v>214</v>
      </c>
      <c r="H564" s="34" t="s">
        <v>215</v>
      </c>
      <c r="I564">
        <v>5</v>
      </c>
      <c r="J564">
        <v>0</v>
      </c>
      <c r="K564">
        <v>10</v>
      </c>
      <c r="L564">
        <v>-5</v>
      </c>
      <c r="O564" s="28">
        <v>46283</v>
      </c>
      <c r="R564">
        <v>-1</v>
      </c>
      <c r="S564">
        <v>23</v>
      </c>
      <c r="T564">
        <v>7</v>
      </c>
      <c r="U564">
        <v>27</v>
      </c>
      <c r="V564">
        <v>20260920023</v>
      </c>
    </row>
    <row r="565" spans="1:22" x14ac:dyDescent="0.2">
      <c r="A565" s="34" t="s">
        <v>122</v>
      </c>
      <c r="B565" s="28">
        <v>46285</v>
      </c>
      <c r="C565" s="34"/>
      <c r="D565" s="34" t="s">
        <v>340</v>
      </c>
      <c r="E565" s="34" t="s">
        <v>216</v>
      </c>
      <c r="F565" s="34" t="s">
        <v>217</v>
      </c>
      <c r="G565" s="34" t="s">
        <v>218</v>
      </c>
      <c r="H565" s="34" t="s">
        <v>219</v>
      </c>
      <c r="I565">
        <v>6</v>
      </c>
      <c r="J565">
        <v>0</v>
      </c>
      <c r="K565">
        <v>8</v>
      </c>
      <c r="L565">
        <v>-2</v>
      </c>
      <c r="O565" s="28">
        <v>46283</v>
      </c>
      <c r="R565">
        <v>-1</v>
      </c>
      <c r="S565">
        <v>24</v>
      </c>
      <c r="T565">
        <v>7</v>
      </c>
      <c r="U565">
        <v>28</v>
      </c>
      <c r="V565">
        <v>20260920024</v>
      </c>
    </row>
    <row r="566" spans="1:22" x14ac:dyDescent="0.2">
      <c r="A566" s="34" t="s">
        <v>122</v>
      </c>
      <c r="B566" s="28">
        <v>46285</v>
      </c>
      <c r="C566" s="34"/>
      <c r="D566" s="34" t="s">
        <v>340</v>
      </c>
      <c r="E566" s="34" t="s">
        <v>220</v>
      </c>
      <c r="F566" s="34" t="s">
        <v>221</v>
      </c>
      <c r="G566" s="34" t="s">
        <v>222</v>
      </c>
      <c r="H566" s="34" t="s">
        <v>223</v>
      </c>
      <c r="I566">
        <v>10</v>
      </c>
      <c r="J566">
        <v>0</v>
      </c>
      <c r="K566">
        <v>12</v>
      </c>
      <c r="L566">
        <v>-2</v>
      </c>
      <c r="O566" s="28">
        <v>46283</v>
      </c>
      <c r="R566">
        <v>-1</v>
      </c>
      <c r="S566">
        <v>25</v>
      </c>
      <c r="T566">
        <v>7</v>
      </c>
      <c r="U566">
        <v>29</v>
      </c>
      <c r="V566">
        <v>20260920025</v>
      </c>
    </row>
    <row r="567" spans="1:22" x14ac:dyDescent="0.2">
      <c r="A567" s="34" t="s">
        <v>122</v>
      </c>
      <c r="B567" s="28">
        <v>46285</v>
      </c>
      <c r="C567" s="34"/>
      <c r="D567" s="34" t="s">
        <v>340</v>
      </c>
      <c r="E567" s="34" t="s">
        <v>224</v>
      </c>
      <c r="F567" s="34" t="s">
        <v>225</v>
      </c>
      <c r="G567" s="34" t="s">
        <v>226</v>
      </c>
      <c r="H567" s="34" t="s">
        <v>227</v>
      </c>
      <c r="I567">
        <v>12</v>
      </c>
      <c r="J567">
        <v>0</v>
      </c>
      <c r="K567">
        <v>12</v>
      </c>
      <c r="L567">
        <v>0</v>
      </c>
      <c r="O567" s="28">
        <v>46283</v>
      </c>
      <c r="R567">
        <v>-1</v>
      </c>
      <c r="S567">
        <v>26</v>
      </c>
      <c r="T567">
        <v>7</v>
      </c>
      <c r="U567">
        <v>30</v>
      </c>
      <c r="V567">
        <v>20260920026</v>
      </c>
    </row>
    <row r="568" spans="1:22" x14ac:dyDescent="0.2">
      <c r="A568" s="34" t="s">
        <v>122</v>
      </c>
      <c r="B568" s="28">
        <v>46285</v>
      </c>
      <c r="C568" s="34"/>
      <c r="D568" s="34" t="s">
        <v>340</v>
      </c>
      <c r="E568" s="34" t="s">
        <v>228</v>
      </c>
      <c r="F568" s="34" t="s">
        <v>229</v>
      </c>
      <c r="G568" s="34" t="s">
        <v>230</v>
      </c>
      <c r="H568" s="34" t="s">
        <v>231</v>
      </c>
      <c r="I568">
        <v>14</v>
      </c>
      <c r="J568">
        <v>0</v>
      </c>
      <c r="K568">
        <v>12</v>
      </c>
      <c r="L568">
        <v>2</v>
      </c>
      <c r="O568" s="28">
        <v>46283</v>
      </c>
      <c r="R568">
        <v>-1</v>
      </c>
      <c r="S568">
        <v>27</v>
      </c>
      <c r="T568">
        <v>7</v>
      </c>
      <c r="U568">
        <v>31</v>
      </c>
      <c r="V568">
        <v>20260920027</v>
      </c>
    </row>
    <row r="569" spans="1:22" x14ac:dyDescent="0.2">
      <c r="A569" s="34" t="s">
        <v>122</v>
      </c>
      <c r="B569" s="28">
        <v>46285</v>
      </c>
      <c r="C569" s="34"/>
      <c r="D569" s="34" t="s">
        <v>340</v>
      </c>
      <c r="E569" s="34" t="s">
        <v>232</v>
      </c>
      <c r="F569" s="34" t="s">
        <v>233</v>
      </c>
      <c r="G569" s="34" t="s">
        <v>234</v>
      </c>
      <c r="H569" s="34" t="s">
        <v>235</v>
      </c>
      <c r="I569">
        <v>12</v>
      </c>
      <c r="J569">
        <v>0</v>
      </c>
      <c r="K569">
        <v>6</v>
      </c>
      <c r="L569">
        <v>6</v>
      </c>
      <c r="O569" s="28">
        <v>46283</v>
      </c>
      <c r="R569">
        <v>-1</v>
      </c>
      <c r="S569">
        <v>28</v>
      </c>
      <c r="T569">
        <v>7</v>
      </c>
      <c r="U569">
        <v>32</v>
      </c>
      <c r="V569">
        <v>20260920028</v>
      </c>
    </row>
    <row r="570" spans="1:22" x14ac:dyDescent="0.2">
      <c r="A570" s="34" t="s">
        <v>122</v>
      </c>
      <c r="B570" s="28">
        <v>46285</v>
      </c>
      <c r="C570" s="34"/>
      <c r="D570" s="34" t="s">
        <v>340</v>
      </c>
      <c r="E570" s="34" t="s">
        <v>236</v>
      </c>
      <c r="F570" s="34" t="s">
        <v>237</v>
      </c>
      <c r="G570" s="34" t="s">
        <v>238</v>
      </c>
      <c r="H570" s="34" t="s">
        <v>239</v>
      </c>
      <c r="I570">
        <v>3</v>
      </c>
      <c r="J570">
        <v>0</v>
      </c>
      <c r="K570">
        <v>11</v>
      </c>
      <c r="L570">
        <v>-8</v>
      </c>
      <c r="O570" s="28">
        <v>46283</v>
      </c>
      <c r="R570">
        <v>-1</v>
      </c>
      <c r="S570">
        <v>29</v>
      </c>
      <c r="T570">
        <v>7</v>
      </c>
      <c r="U570">
        <v>33</v>
      </c>
      <c r="V570">
        <v>20260920029</v>
      </c>
    </row>
    <row r="571" spans="1:22" x14ac:dyDescent="0.2">
      <c r="A571" s="34" t="s">
        <v>122</v>
      </c>
      <c r="B571" s="28">
        <v>46285</v>
      </c>
      <c r="C571" s="34"/>
      <c r="D571" s="34" t="s">
        <v>340</v>
      </c>
      <c r="E571" s="34" t="s">
        <v>240</v>
      </c>
      <c r="F571" s="34" t="s">
        <v>241</v>
      </c>
      <c r="G571" s="34" t="s">
        <v>242</v>
      </c>
      <c r="H571" s="34" t="s">
        <v>243</v>
      </c>
      <c r="I571">
        <v>14</v>
      </c>
      <c r="J571">
        <v>0</v>
      </c>
      <c r="K571">
        <v>11</v>
      </c>
      <c r="L571">
        <v>3</v>
      </c>
      <c r="O571" s="28">
        <v>46283</v>
      </c>
      <c r="R571">
        <v>-1</v>
      </c>
      <c r="S571">
        <v>30</v>
      </c>
      <c r="T571">
        <v>7</v>
      </c>
      <c r="U571">
        <v>34</v>
      </c>
      <c r="V571">
        <v>20260920030</v>
      </c>
    </row>
    <row r="572" spans="1:22" x14ac:dyDescent="0.2">
      <c r="A572" s="34" t="s">
        <v>122</v>
      </c>
      <c r="B572" s="28">
        <v>46285</v>
      </c>
      <c r="C572" s="34"/>
      <c r="D572" s="34" t="s">
        <v>340</v>
      </c>
      <c r="E572" s="34" t="s">
        <v>244</v>
      </c>
      <c r="F572" s="34" t="s">
        <v>245</v>
      </c>
      <c r="G572" s="34" t="s">
        <v>246</v>
      </c>
      <c r="H572" s="34" t="s">
        <v>247</v>
      </c>
      <c r="I572">
        <v>14</v>
      </c>
      <c r="J572">
        <v>0</v>
      </c>
      <c r="K572">
        <v>5</v>
      </c>
      <c r="L572">
        <v>9</v>
      </c>
      <c r="O572" s="28">
        <v>46283</v>
      </c>
      <c r="R572">
        <v>-1</v>
      </c>
      <c r="S572">
        <v>31</v>
      </c>
      <c r="T572">
        <v>7</v>
      </c>
      <c r="U572">
        <v>35</v>
      </c>
      <c r="V572">
        <v>20260920031</v>
      </c>
    </row>
    <row r="573" spans="1:22" x14ac:dyDescent="0.2">
      <c r="A573" s="34" t="s">
        <v>122</v>
      </c>
      <c r="B573" s="28">
        <v>46285</v>
      </c>
      <c r="C573" s="34"/>
      <c r="D573" s="34" t="s">
        <v>340</v>
      </c>
      <c r="E573" s="34" t="s">
        <v>248</v>
      </c>
      <c r="F573" s="34" t="s">
        <v>249</v>
      </c>
      <c r="G573" s="34" t="s">
        <v>250</v>
      </c>
      <c r="H573" s="34" t="s">
        <v>251</v>
      </c>
      <c r="I573">
        <v>9</v>
      </c>
      <c r="J573">
        <v>0</v>
      </c>
      <c r="K573">
        <v>3</v>
      </c>
      <c r="L573">
        <v>6</v>
      </c>
      <c r="O573" s="28">
        <v>46283</v>
      </c>
      <c r="R573">
        <v>-1</v>
      </c>
      <c r="S573">
        <v>32</v>
      </c>
      <c r="T573">
        <v>7</v>
      </c>
      <c r="U573">
        <v>36</v>
      </c>
      <c r="V573">
        <v>20260920032</v>
      </c>
    </row>
    <row r="574" spans="1:22" x14ac:dyDescent="0.2">
      <c r="A574" s="34" t="s">
        <v>122</v>
      </c>
      <c r="B574" s="28">
        <v>46285</v>
      </c>
      <c r="C574" s="34"/>
      <c r="D574" s="34" t="s">
        <v>340</v>
      </c>
      <c r="E574" s="34" t="s">
        <v>252</v>
      </c>
      <c r="F574" s="34" t="s">
        <v>253</v>
      </c>
      <c r="G574" s="34" t="s">
        <v>254</v>
      </c>
      <c r="H574" s="34" t="s">
        <v>255</v>
      </c>
      <c r="I574">
        <v>4</v>
      </c>
      <c r="J574">
        <v>0</v>
      </c>
      <c r="K574">
        <v>4</v>
      </c>
      <c r="L574">
        <v>0</v>
      </c>
      <c r="O574" s="28">
        <v>46283</v>
      </c>
      <c r="R574">
        <v>-1</v>
      </c>
      <c r="S574">
        <v>33</v>
      </c>
      <c r="T574">
        <v>7</v>
      </c>
      <c r="U574">
        <v>37</v>
      </c>
      <c r="V574">
        <v>20260920033</v>
      </c>
    </row>
    <row r="575" spans="1:22" x14ac:dyDescent="0.2">
      <c r="A575" s="34" t="s">
        <v>122</v>
      </c>
      <c r="B575" s="28">
        <v>46285</v>
      </c>
      <c r="C575" s="34"/>
      <c r="D575" s="34" t="s">
        <v>340</v>
      </c>
      <c r="E575" s="34" t="s">
        <v>256</v>
      </c>
      <c r="F575" s="34" t="s">
        <v>257</v>
      </c>
      <c r="G575" s="34" t="s">
        <v>258</v>
      </c>
      <c r="H575" s="34" t="s">
        <v>259</v>
      </c>
      <c r="I575">
        <v>4</v>
      </c>
      <c r="J575">
        <v>0</v>
      </c>
      <c r="K575">
        <v>4</v>
      </c>
      <c r="L575">
        <v>0</v>
      </c>
      <c r="O575" s="28">
        <v>46283</v>
      </c>
      <c r="R575">
        <v>-1</v>
      </c>
      <c r="S575">
        <v>34</v>
      </c>
      <c r="T575">
        <v>7</v>
      </c>
      <c r="U575">
        <v>38</v>
      </c>
      <c r="V575">
        <v>20260920034</v>
      </c>
    </row>
    <row r="576" spans="1:22" x14ac:dyDescent="0.2">
      <c r="A576" s="34" t="s">
        <v>122</v>
      </c>
      <c r="B576" s="28">
        <v>46285</v>
      </c>
      <c r="C576" s="34"/>
      <c r="D576" s="34" t="s">
        <v>340</v>
      </c>
      <c r="E576" s="34" t="s">
        <v>260</v>
      </c>
      <c r="F576" s="34" t="s">
        <v>261</v>
      </c>
      <c r="G576" s="34" t="s">
        <v>262</v>
      </c>
      <c r="H576" s="34" t="s">
        <v>263</v>
      </c>
      <c r="I576">
        <v>4</v>
      </c>
      <c r="J576">
        <v>0</v>
      </c>
      <c r="K576">
        <v>4</v>
      </c>
      <c r="L576">
        <v>0</v>
      </c>
      <c r="O576" s="28">
        <v>46283</v>
      </c>
      <c r="R576">
        <v>-1</v>
      </c>
      <c r="S576">
        <v>35</v>
      </c>
      <c r="T576">
        <v>7</v>
      </c>
      <c r="U576">
        <v>39</v>
      </c>
      <c r="V576">
        <v>20260920035</v>
      </c>
    </row>
    <row r="577" spans="1:22" x14ac:dyDescent="0.2">
      <c r="A577" s="34" t="s">
        <v>122</v>
      </c>
      <c r="B577" s="28">
        <v>46285</v>
      </c>
      <c r="C577" s="34"/>
      <c r="D577" s="34" t="s">
        <v>340</v>
      </c>
      <c r="E577" s="34" t="s">
        <v>264</v>
      </c>
      <c r="F577" s="34" t="s">
        <v>265</v>
      </c>
      <c r="G577" s="34" t="s">
        <v>266</v>
      </c>
      <c r="H577" s="34" t="s">
        <v>267</v>
      </c>
      <c r="I577">
        <v>10</v>
      </c>
      <c r="J577">
        <v>0</v>
      </c>
      <c r="K577">
        <v>4</v>
      </c>
      <c r="L577">
        <v>6</v>
      </c>
      <c r="O577" s="28">
        <v>46283</v>
      </c>
      <c r="R577">
        <v>-1</v>
      </c>
      <c r="S577">
        <v>36</v>
      </c>
      <c r="T577">
        <v>7</v>
      </c>
      <c r="U577">
        <v>40</v>
      </c>
      <c r="V577">
        <v>20260920036</v>
      </c>
    </row>
    <row r="578" spans="1:22" x14ac:dyDescent="0.2">
      <c r="A578" s="34" t="s">
        <v>122</v>
      </c>
      <c r="B578" s="28">
        <v>46285</v>
      </c>
      <c r="C578" s="34"/>
      <c r="D578" s="34" t="s">
        <v>340</v>
      </c>
      <c r="E578" s="34" t="s">
        <v>268</v>
      </c>
      <c r="F578" s="34" t="s">
        <v>269</v>
      </c>
      <c r="G578" s="34" t="s">
        <v>270</v>
      </c>
      <c r="H578" s="34" t="s">
        <v>271</v>
      </c>
      <c r="I578">
        <v>3</v>
      </c>
      <c r="J578">
        <v>0</v>
      </c>
      <c r="K578">
        <v>3</v>
      </c>
      <c r="L578">
        <v>0</v>
      </c>
      <c r="O578" s="28">
        <v>46283</v>
      </c>
      <c r="R578">
        <v>-1</v>
      </c>
      <c r="S578">
        <v>37</v>
      </c>
      <c r="T578">
        <v>7</v>
      </c>
      <c r="U578">
        <v>41</v>
      </c>
      <c r="V578">
        <v>20260920037</v>
      </c>
    </row>
    <row r="579" spans="1:22" x14ac:dyDescent="0.2">
      <c r="A579" s="34" t="s">
        <v>122</v>
      </c>
      <c r="B579" s="28">
        <v>46285</v>
      </c>
      <c r="C579" s="34"/>
      <c r="D579" s="34" t="s">
        <v>340</v>
      </c>
      <c r="E579" s="34" t="s">
        <v>272</v>
      </c>
      <c r="F579" s="34" t="s">
        <v>341</v>
      </c>
      <c r="G579" s="34" t="s">
        <v>273</v>
      </c>
      <c r="H579" s="34" t="s">
        <v>274</v>
      </c>
      <c r="I579">
        <v>3</v>
      </c>
      <c r="J579">
        <v>0</v>
      </c>
      <c r="K579">
        <v>15</v>
      </c>
      <c r="L579">
        <v>-12</v>
      </c>
      <c r="O579" s="28">
        <v>46283</v>
      </c>
      <c r="R579">
        <v>-1</v>
      </c>
      <c r="S579">
        <v>38</v>
      </c>
      <c r="T579">
        <v>7</v>
      </c>
      <c r="U579">
        <v>42</v>
      </c>
      <c r="V579">
        <v>20260920038</v>
      </c>
    </row>
    <row r="580" spans="1:22" x14ac:dyDescent="0.2">
      <c r="A580" s="34" t="s">
        <v>122</v>
      </c>
      <c r="B580" s="28">
        <v>46285</v>
      </c>
      <c r="C580" s="34"/>
      <c r="D580" s="34" t="s">
        <v>340</v>
      </c>
      <c r="E580" s="34" t="s">
        <v>275</v>
      </c>
      <c r="F580" s="34" t="s">
        <v>276</v>
      </c>
      <c r="G580" s="34" t="s">
        <v>277</v>
      </c>
      <c r="H580" s="34" t="s">
        <v>278</v>
      </c>
      <c r="I580">
        <v>5</v>
      </c>
      <c r="J580">
        <v>0</v>
      </c>
      <c r="K580">
        <v>4</v>
      </c>
      <c r="L580">
        <v>1</v>
      </c>
      <c r="O580" s="28">
        <v>46283</v>
      </c>
      <c r="R580">
        <v>-1</v>
      </c>
      <c r="S580">
        <v>39</v>
      </c>
      <c r="T580">
        <v>7</v>
      </c>
      <c r="U580">
        <v>43</v>
      </c>
      <c r="V580">
        <v>20260920039</v>
      </c>
    </row>
    <row r="581" spans="1:22" x14ac:dyDescent="0.2">
      <c r="A581" s="34" t="s">
        <v>122</v>
      </c>
      <c r="B581" s="28">
        <v>46285</v>
      </c>
      <c r="C581" s="34"/>
      <c r="D581" s="34" t="s">
        <v>340</v>
      </c>
      <c r="E581" s="34" t="s">
        <v>279</v>
      </c>
      <c r="F581" s="34" t="s">
        <v>280</v>
      </c>
      <c r="G581" s="34" t="s">
        <v>281</v>
      </c>
      <c r="H581" s="34" t="s">
        <v>282</v>
      </c>
      <c r="I581">
        <v>6</v>
      </c>
      <c r="J581">
        <v>0</v>
      </c>
      <c r="K581">
        <v>6</v>
      </c>
      <c r="L581">
        <v>0</v>
      </c>
      <c r="O581" s="28">
        <v>46283</v>
      </c>
      <c r="R581">
        <v>-1</v>
      </c>
      <c r="S581">
        <v>40</v>
      </c>
      <c r="T581">
        <v>7</v>
      </c>
      <c r="U581">
        <v>44</v>
      </c>
      <c r="V581">
        <v>20260920040</v>
      </c>
    </row>
    <row r="582" spans="1:22" x14ac:dyDescent="0.2">
      <c r="A582" s="34" t="s">
        <v>122</v>
      </c>
      <c r="B582" s="28">
        <v>46285</v>
      </c>
      <c r="C582" s="34"/>
      <c r="D582" s="34" t="s">
        <v>340</v>
      </c>
      <c r="E582" s="34" t="s">
        <v>283</v>
      </c>
      <c r="F582" s="34" t="s">
        <v>284</v>
      </c>
      <c r="G582" s="34" t="s">
        <v>285</v>
      </c>
      <c r="H582" s="34" t="s">
        <v>286</v>
      </c>
      <c r="I582">
        <v>14</v>
      </c>
      <c r="J582">
        <v>0</v>
      </c>
      <c r="K582">
        <v>13</v>
      </c>
      <c r="L582">
        <v>1</v>
      </c>
      <c r="O582" s="28">
        <v>46283</v>
      </c>
      <c r="R582">
        <v>-1</v>
      </c>
      <c r="S582">
        <v>41</v>
      </c>
      <c r="T582">
        <v>7</v>
      </c>
      <c r="U582">
        <v>45</v>
      </c>
      <c r="V582">
        <v>20260920041</v>
      </c>
    </row>
    <row r="583" spans="1:22" x14ac:dyDescent="0.2">
      <c r="A583" s="34" t="s">
        <v>122</v>
      </c>
      <c r="B583" s="28">
        <v>46285</v>
      </c>
      <c r="C583" s="34"/>
      <c r="D583" s="34" t="s">
        <v>340</v>
      </c>
      <c r="E583" s="34" t="s">
        <v>287</v>
      </c>
      <c r="F583" s="34" t="s">
        <v>288</v>
      </c>
      <c r="G583" s="34" t="s">
        <v>289</v>
      </c>
      <c r="H583" s="34" t="s">
        <v>290</v>
      </c>
      <c r="I583">
        <v>14</v>
      </c>
      <c r="J583">
        <v>0</v>
      </c>
      <c r="K583">
        <v>22</v>
      </c>
      <c r="L583">
        <v>-8</v>
      </c>
      <c r="O583" s="28">
        <v>46283</v>
      </c>
      <c r="R583">
        <v>-1</v>
      </c>
      <c r="S583">
        <v>42</v>
      </c>
      <c r="T583">
        <v>7</v>
      </c>
      <c r="U583">
        <v>46</v>
      </c>
      <c r="V583">
        <v>20260920042</v>
      </c>
    </row>
    <row r="584" spans="1:22" x14ac:dyDescent="0.2">
      <c r="A584" s="34" t="s">
        <v>122</v>
      </c>
      <c r="B584" s="28">
        <v>46285</v>
      </c>
      <c r="C584" s="34"/>
      <c r="D584" s="34" t="s">
        <v>340</v>
      </c>
      <c r="E584" s="34" t="s">
        <v>291</v>
      </c>
      <c r="F584" s="34" t="s">
        <v>342</v>
      </c>
      <c r="G584" s="34" t="s">
        <v>292</v>
      </c>
      <c r="H584" s="34" t="s">
        <v>293</v>
      </c>
      <c r="I584">
        <v>22</v>
      </c>
      <c r="J584">
        <v>0</v>
      </c>
      <c r="K584">
        <v>22</v>
      </c>
      <c r="L584">
        <v>0</v>
      </c>
      <c r="O584" s="28">
        <v>46283</v>
      </c>
      <c r="R584">
        <v>-1</v>
      </c>
      <c r="S584">
        <v>43</v>
      </c>
      <c r="T584">
        <v>7</v>
      </c>
      <c r="U584">
        <v>47</v>
      </c>
      <c r="V584">
        <v>20260920043</v>
      </c>
    </row>
    <row r="585" spans="1:22" x14ac:dyDescent="0.2">
      <c r="A585" s="34" t="s">
        <v>122</v>
      </c>
      <c r="B585" s="28">
        <v>46285</v>
      </c>
      <c r="C585" s="34"/>
      <c r="D585" s="34" t="s">
        <v>340</v>
      </c>
      <c r="E585" s="34" t="s">
        <v>294</v>
      </c>
      <c r="F585" s="34" t="s">
        <v>295</v>
      </c>
      <c r="G585" s="34" t="s">
        <v>296</v>
      </c>
      <c r="H585" s="34" t="s">
        <v>297</v>
      </c>
      <c r="I585">
        <v>12</v>
      </c>
      <c r="J585">
        <v>0</v>
      </c>
      <c r="K585">
        <v>15</v>
      </c>
      <c r="L585">
        <v>-3</v>
      </c>
      <c r="O585" s="28">
        <v>46283</v>
      </c>
      <c r="R585">
        <v>-1</v>
      </c>
      <c r="S585">
        <v>44</v>
      </c>
      <c r="T585">
        <v>7</v>
      </c>
      <c r="U585">
        <v>48</v>
      </c>
      <c r="V585">
        <v>20260920044</v>
      </c>
    </row>
    <row r="586" spans="1:22" x14ac:dyDescent="0.2">
      <c r="A586" s="34" t="s">
        <v>122</v>
      </c>
      <c r="B586" s="28">
        <v>46285</v>
      </c>
      <c r="C586" s="34"/>
      <c r="D586" s="34" t="s">
        <v>340</v>
      </c>
      <c r="E586" s="34" t="s">
        <v>298</v>
      </c>
      <c r="F586" s="34" t="s">
        <v>299</v>
      </c>
      <c r="G586" s="34" t="s">
        <v>300</v>
      </c>
      <c r="H586" s="34" t="s">
        <v>301</v>
      </c>
      <c r="I586">
        <v>15</v>
      </c>
      <c r="J586">
        <v>0</v>
      </c>
      <c r="K586">
        <v>14</v>
      </c>
      <c r="L586">
        <v>1</v>
      </c>
      <c r="O586" s="28">
        <v>46283</v>
      </c>
      <c r="R586">
        <v>-1</v>
      </c>
      <c r="S586">
        <v>45</v>
      </c>
      <c r="T586">
        <v>7</v>
      </c>
      <c r="U586">
        <v>49</v>
      </c>
      <c r="V586">
        <v>20260920045</v>
      </c>
    </row>
    <row r="587" spans="1:22" x14ac:dyDescent="0.2">
      <c r="A587" s="34" t="s">
        <v>122</v>
      </c>
      <c r="B587" s="28">
        <v>46285</v>
      </c>
      <c r="C587" s="34"/>
      <c r="D587" s="34" t="s">
        <v>340</v>
      </c>
      <c r="E587" s="34" t="s">
        <v>302</v>
      </c>
      <c r="F587" s="34" t="s">
        <v>303</v>
      </c>
      <c r="G587" s="34" t="s">
        <v>304</v>
      </c>
      <c r="H587" s="34" t="s">
        <v>305</v>
      </c>
      <c r="I587">
        <v>6</v>
      </c>
      <c r="J587">
        <v>0</v>
      </c>
      <c r="K587">
        <v>8</v>
      </c>
      <c r="L587">
        <v>-2</v>
      </c>
      <c r="O587" s="28">
        <v>46283</v>
      </c>
      <c r="R587">
        <v>-1</v>
      </c>
      <c r="S587">
        <v>46</v>
      </c>
      <c r="T587">
        <v>7</v>
      </c>
      <c r="U587">
        <v>50</v>
      </c>
      <c r="V587">
        <v>20260920046</v>
      </c>
    </row>
    <row r="588" spans="1:22" x14ac:dyDescent="0.2">
      <c r="A588" s="34" t="s">
        <v>122</v>
      </c>
      <c r="B588" s="28">
        <v>46285</v>
      </c>
      <c r="C588" s="34"/>
      <c r="D588" s="34" t="s">
        <v>340</v>
      </c>
      <c r="E588" s="34" t="s">
        <v>306</v>
      </c>
      <c r="F588" s="34" t="s">
        <v>307</v>
      </c>
      <c r="G588" s="34" t="s">
        <v>308</v>
      </c>
      <c r="H588" s="34" t="s">
        <v>309</v>
      </c>
      <c r="I588">
        <v>10</v>
      </c>
      <c r="J588">
        <v>0</v>
      </c>
      <c r="K588">
        <v>8</v>
      </c>
      <c r="L588">
        <v>2</v>
      </c>
      <c r="O588" s="28">
        <v>46283</v>
      </c>
      <c r="R588">
        <v>-1</v>
      </c>
      <c r="S588">
        <v>47</v>
      </c>
      <c r="T588">
        <v>7</v>
      </c>
      <c r="U588">
        <v>51</v>
      </c>
      <c r="V588">
        <v>20260920047</v>
      </c>
    </row>
    <row r="589" spans="1:22" x14ac:dyDescent="0.2">
      <c r="A589" s="34" t="s">
        <v>122</v>
      </c>
      <c r="B589" s="28">
        <v>46285</v>
      </c>
      <c r="C589" s="34"/>
      <c r="D589" s="34" t="s">
        <v>340</v>
      </c>
      <c r="E589" s="34" t="s">
        <v>310</v>
      </c>
      <c r="F589" s="34" t="s">
        <v>311</v>
      </c>
      <c r="G589" s="34" t="s">
        <v>312</v>
      </c>
      <c r="H589" s="34" t="s">
        <v>313</v>
      </c>
      <c r="I589">
        <v>5</v>
      </c>
      <c r="J589">
        <v>0</v>
      </c>
      <c r="K589">
        <v>13</v>
      </c>
      <c r="L589">
        <v>-8</v>
      </c>
      <c r="O589" s="28">
        <v>46283</v>
      </c>
      <c r="R589">
        <v>-1</v>
      </c>
      <c r="S589">
        <v>48</v>
      </c>
      <c r="T589">
        <v>7</v>
      </c>
      <c r="U589">
        <v>52</v>
      </c>
      <c r="V589">
        <v>20260920048</v>
      </c>
    </row>
    <row r="590" spans="1:22" x14ac:dyDescent="0.2">
      <c r="A590" s="34" t="s">
        <v>122</v>
      </c>
      <c r="B590" s="28">
        <v>46285</v>
      </c>
      <c r="C590" s="34"/>
      <c r="D590" s="34" t="s">
        <v>340</v>
      </c>
      <c r="E590" s="34" t="s">
        <v>314</v>
      </c>
      <c r="F590" s="34" t="s">
        <v>315</v>
      </c>
      <c r="G590" s="34" t="s">
        <v>316</v>
      </c>
      <c r="H590" s="34" t="s">
        <v>317</v>
      </c>
      <c r="I590">
        <v>18</v>
      </c>
      <c r="J590">
        <v>0</v>
      </c>
      <c r="K590">
        <v>21</v>
      </c>
      <c r="L590">
        <v>-3</v>
      </c>
      <c r="O590" s="28">
        <v>46283</v>
      </c>
      <c r="R590">
        <v>-1</v>
      </c>
      <c r="S590">
        <v>49</v>
      </c>
      <c r="T590">
        <v>7</v>
      </c>
      <c r="U590">
        <v>53</v>
      </c>
      <c r="V590">
        <v>20260920049</v>
      </c>
    </row>
    <row r="591" spans="1:22" x14ac:dyDescent="0.2">
      <c r="A591" s="34" t="s">
        <v>122</v>
      </c>
      <c r="B591" s="28">
        <v>46285</v>
      </c>
      <c r="C591" s="34"/>
      <c r="D591" s="34" t="s">
        <v>340</v>
      </c>
      <c r="E591" s="34" t="s">
        <v>318</v>
      </c>
      <c r="F591" s="34" t="s">
        <v>319</v>
      </c>
      <c r="G591" s="34" t="s">
        <v>320</v>
      </c>
      <c r="H591" s="34" t="s">
        <v>321</v>
      </c>
      <c r="I591">
        <v>9</v>
      </c>
      <c r="J591">
        <v>0</v>
      </c>
      <c r="K591">
        <v>8</v>
      </c>
      <c r="L591">
        <v>1</v>
      </c>
      <c r="O591" s="28">
        <v>46283</v>
      </c>
      <c r="R591">
        <v>-1</v>
      </c>
      <c r="S591">
        <v>50</v>
      </c>
      <c r="T591">
        <v>7</v>
      </c>
      <c r="U591">
        <v>54</v>
      </c>
      <c r="V591">
        <v>20260920050</v>
      </c>
    </row>
    <row r="592" spans="1:22" x14ac:dyDescent="0.2">
      <c r="A592" s="34" t="s">
        <v>122</v>
      </c>
      <c r="B592" s="28">
        <v>46285</v>
      </c>
      <c r="C592" s="34"/>
      <c r="D592" s="34" t="s">
        <v>340</v>
      </c>
      <c r="E592" s="34" t="s">
        <v>322</v>
      </c>
      <c r="F592" s="34" t="s">
        <v>323</v>
      </c>
      <c r="G592" s="34" t="s">
        <v>324</v>
      </c>
      <c r="H592" s="34" t="s">
        <v>325</v>
      </c>
      <c r="I592">
        <v>5</v>
      </c>
      <c r="J592">
        <v>0</v>
      </c>
      <c r="K592">
        <v>4</v>
      </c>
      <c r="L592">
        <v>1</v>
      </c>
      <c r="O592" s="28">
        <v>46283</v>
      </c>
      <c r="R592">
        <v>-1</v>
      </c>
      <c r="S592">
        <v>51</v>
      </c>
      <c r="T592">
        <v>7</v>
      </c>
      <c r="U592">
        <v>55</v>
      </c>
      <c r="V592">
        <v>20260920051</v>
      </c>
    </row>
    <row r="593" spans="1:22" x14ac:dyDescent="0.2">
      <c r="A593" s="34" t="s">
        <v>122</v>
      </c>
      <c r="B593" s="28">
        <v>46285</v>
      </c>
      <c r="C593" s="34"/>
      <c r="D593" s="34" t="s">
        <v>340</v>
      </c>
      <c r="E593" s="34" t="s">
        <v>326</v>
      </c>
      <c r="F593" s="34" t="s">
        <v>327</v>
      </c>
      <c r="G593" s="34" t="s">
        <v>328</v>
      </c>
      <c r="H593" s="34" t="s">
        <v>329</v>
      </c>
      <c r="I593">
        <v>11</v>
      </c>
      <c r="J593">
        <v>0</v>
      </c>
      <c r="K593">
        <v>13</v>
      </c>
      <c r="L593">
        <v>-2</v>
      </c>
      <c r="O593" s="28">
        <v>46283</v>
      </c>
      <c r="R593">
        <v>-1</v>
      </c>
      <c r="S593">
        <v>52</v>
      </c>
      <c r="T593">
        <v>7</v>
      </c>
      <c r="U593">
        <v>73</v>
      </c>
      <c r="V593">
        <v>20260920052</v>
      </c>
    </row>
    <row r="594" spans="1:22" x14ac:dyDescent="0.2">
      <c r="A594" s="34" t="s">
        <v>122</v>
      </c>
      <c r="B594" s="28">
        <v>46285</v>
      </c>
      <c r="C594" s="34"/>
      <c r="D594" s="34" t="s">
        <v>340</v>
      </c>
      <c r="E594" s="34" t="s">
        <v>330</v>
      </c>
      <c r="F594" s="34" t="s">
        <v>331</v>
      </c>
      <c r="G594" s="34" t="s">
        <v>332</v>
      </c>
      <c r="H594" s="34" t="s">
        <v>333</v>
      </c>
      <c r="I594">
        <v>3</v>
      </c>
      <c r="J594">
        <v>0</v>
      </c>
      <c r="K594">
        <v>13</v>
      </c>
      <c r="L594">
        <v>-10</v>
      </c>
      <c r="O594" s="28">
        <v>46283</v>
      </c>
      <c r="R594">
        <v>-1</v>
      </c>
      <c r="S594">
        <v>53</v>
      </c>
      <c r="T594">
        <v>7</v>
      </c>
      <c r="U594">
        <v>74</v>
      </c>
      <c r="V594">
        <v>20260920053</v>
      </c>
    </row>
    <row r="595" spans="1:22" x14ac:dyDescent="0.2">
      <c r="A595" s="34" t="s">
        <v>122</v>
      </c>
      <c r="B595" s="28">
        <v>46285</v>
      </c>
      <c r="C595" s="34"/>
      <c r="D595" s="34" t="s">
        <v>340</v>
      </c>
      <c r="E595" s="34" t="s">
        <v>334</v>
      </c>
      <c r="F595" s="34" t="s">
        <v>335</v>
      </c>
      <c r="G595" s="34" t="s">
        <v>336</v>
      </c>
      <c r="H595" s="34" t="s">
        <v>337</v>
      </c>
      <c r="I595">
        <v>11</v>
      </c>
      <c r="J595">
        <v>0</v>
      </c>
      <c r="K595">
        <v>14</v>
      </c>
      <c r="L595">
        <v>-3</v>
      </c>
      <c r="O595" s="28">
        <v>46283</v>
      </c>
      <c r="R595">
        <v>-1</v>
      </c>
      <c r="S595">
        <v>54</v>
      </c>
      <c r="T595">
        <v>7</v>
      </c>
      <c r="U595">
        <v>75</v>
      </c>
      <c r="V595">
        <v>20260920054</v>
      </c>
    </row>
    <row r="596" spans="1:22" x14ac:dyDescent="0.2">
      <c r="A596" s="34" t="s">
        <v>122</v>
      </c>
      <c r="B596" s="28">
        <v>46286</v>
      </c>
      <c r="C596" s="34"/>
      <c r="D596" s="34" t="s">
        <v>339</v>
      </c>
      <c r="E596" s="34" t="s">
        <v>124</v>
      </c>
      <c r="F596" s="34" t="s">
        <v>125</v>
      </c>
      <c r="G596" s="34" t="s">
        <v>126</v>
      </c>
      <c r="H596" s="34" t="s">
        <v>127</v>
      </c>
      <c r="I596">
        <v>8</v>
      </c>
      <c r="J596">
        <v>0</v>
      </c>
      <c r="K596">
        <v>12</v>
      </c>
      <c r="L596">
        <v>-4</v>
      </c>
      <c r="O596" s="28">
        <v>46285</v>
      </c>
      <c r="R596">
        <v>-1</v>
      </c>
      <c r="S596">
        <v>1</v>
      </c>
      <c r="T596">
        <v>6</v>
      </c>
      <c r="U596">
        <v>1</v>
      </c>
      <c r="V596">
        <v>20260921001</v>
      </c>
    </row>
    <row r="597" spans="1:22" x14ac:dyDescent="0.2">
      <c r="A597" s="34" t="s">
        <v>122</v>
      </c>
      <c r="B597" s="28">
        <v>46286</v>
      </c>
      <c r="C597" s="34"/>
      <c r="D597" s="34" t="s">
        <v>339</v>
      </c>
      <c r="E597" s="34" t="s">
        <v>128</v>
      </c>
      <c r="F597" s="34" t="s">
        <v>129</v>
      </c>
      <c r="G597" s="34" t="s">
        <v>130</v>
      </c>
      <c r="H597" s="34" t="s">
        <v>131</v>
      </c>
      <c r="I597">
        <v>5</v>
      </c>
      <c r="J597">
        <v>0</v>
      </c>
      <c r="K597">
        <v>5</v>
      </c>
      <c r="L597">
        <v>0</v>
      </c>
      <c r="O597" s="28">
        <v>46285</v>
      </c>
      <c r="R597">
        <v>-1</v>
      </c>
      <c r="S597">
        <v>2</v>
      </c>
      <c r="T597">
        <v>6</v>
      </c>
      <c r="U597">
        <v>2</v>
      </c>
      <c r="V597">
        <v>20260921002</v>
      </c>
    </row>
    <row r="598" spans="1:22" x14ac:dyDescent="0.2">
      <c r="A598" s="34" t="s">
        <v>122</v>
      </c>
      <c r="B598" s="28">
        <v>46286</v>
      </c>
      <c r="C598" s="34"/>
      <c r="D598" s="34" t="s">
        <v>339</v>
      </c>
      <c r="E598" s="34" t="s">
        <v>132</v>
      </c>
      <c r="F598" s="34" t="s">
        <v>133</v>
      </c>
      <c r="G598" s="34" t="s">
        <v>134</v>
      </c>
      <c r="H598" s="34" t="s">
        <v>135</v>
      </c>
      <c r="I598">
        <v>3</v>
      </c>
      <c r="J598">
        <v>0</v>
      </c>
      <c r="K598">
        <v>5</v>
      </c>
      <c r="L598">
        <v>-2</v>
      </c>
      <c r="O598" s="28">
        <v>46285</v>
      </c>
      <c r="R598">
        <v>-1</v>
      </c>
      <c r="S598">
        <v>3</v>
      </c>
      <c r="T598">
        <v>6</v>
      </c>
      <c r="U598">
        <v>3</v>
      </c>
      <c r="V598">
        <v>20260921003</v>
      </c>
    </row>
    <row r="599" spans="1:22" x14ac:dyDescent="0.2">
      <c r="A599" s="34" t="s">
        <v>122</v>
      </c>
      <c r="B599" s="28">
        <v>46286</v>
      </c>
      <c r="C599" s="34"/>
      <c r="D599" s="34" t="s">
        <v>339</v>
      </c>
      <c r="E599" s="34" t="s">
        <v>136</v>
      </c>
      <c r="F599" s="34" t="s">
        <v>137</v>
      </c>
      <c r="G599" s="34" t="s">
        <v>138</v>
      </c>
      <c r="H599" s="34" t="s">
        <v>139</v>
      </c>
      <c r="I599">
        <v>2</v>
      </c>
      <c r="J599">
        <v>0</v>
      </c>
      <c r="K599">
        <v>8</v>
      </c>
      <c r="L599">
        <v>-6</v>
      </c>
      <c r="O599" s="28">
        <v>46285</v>
      </c>
      <c r="R599">
        <v>-1</v>
      </c>
      <c r="S599">
        <v>4</v>
      </c>
      <c r="T599">
        <v>6</v>
      </c>
      <c r="U599">
        <v>4</v>
      </c>
      <c r="V599">
        <v>20260921004</v>
      </c>
    </row>
    <row r="600" spans="1:22" x14ac:dyDescent="0.2">
      <c r="A600" s="34" t="s">
        <v>122</v>
      </c>
      <c r="B600" s="28">
        <v>46286</v>
      </c>
      <c r="C600" s="34"/>
      <c r="D600" s="34" t="s">
        <v>339</v>
      </c>
      <c r="E600" s="34" t="s">
        <v>140</v>
      </c>
      <c r="F600" s="34" t="s">
        <v>141</v>
      </c>
      <c r="G600" s="34" t="s">
        <v>142</v>
      </c>
      <c r="H600" s="34" t="s">
        <v>143</v>
      </c>
      <c r="I600">
        <v>5</v>
      </c>
      <c r="J600">
        <v>0</v>
      </c>
      <c r="K600">
        <v>5</v>
      </c>
      <c r="L600">
        <v>0</v>
      </c>
      <c r="O600" s="28">
        <v>46285</v>
      </c>
      <c r="R600">
        <v>-1</v>
      </c>
      <c r="S600">
        <v>5</v>
      </c>
      <c r="T600">
        <v>6</v>
      </c>
      <c r="U600">
        <v>5</v>
      </c>
      <c r="V600">
        <v>20260921005</v>
      </c>
    </row>
    <row r="601" spans="1:22" x14ac:dyDescent="0.2">
      <c r="A601" s="34" t="s">
        <v>122</v>
      </c>
      <c r="B601" s="28">
        <v>46286</v>
      </c>
      <c r="C601" s="34"/>
      <c r="D601" s="34" t="s">
        <v>339</v>
      </c>
      <c r="E601" s="34" t="s">
        <v>144</v>
      </c>
      <c r="F601" s="34" t="s">
        <v>145</v>
      </c>
      <c r="G601" s="34" t="s">
        <v>146</v>
      </c>
      <c r="H601" s="34" t="s">
        <v>147</v>
      </c>
      <c r="I601">
        <v>11</v>
      </c>
      <c r="J601">
        <v>0</v>
      </c>
      <c r="K601">
        <v>9</v>
      </c>
      <c r="L601">
        <v>2</v>
      </c>
      <c r="O601" s="28">
        <v>46285</v>
      </c>
      <c r="R601">
        <v>-1</v>
      </c>
      <c r="S601">
        <v>6</v>
      </c>
      <c r="T601">
        <v>6</v>
      </c>
      <c r="U601">
        <v>6</v>
      </c>
      <c r="V601">
        <v>20260921006</v>
      </c>
    </row>
    <row r="602" spans="1:22" x14ac:dyDescent="0.2">
      <c r="A602" s="34" t="s">
        <v>122</v>
      </c>
      <c r="B602" s="28">
        <v>46286</v>
      </c>
      <c r="C602" s="34"/>
      <c r="D602" s="34" t="s">
        <v>339</v>
      </c>
      <c r="E602" s="34" t="s">
        <v>148</v>
      </c>
      <c r="F602" s="34" t="s">
        <v>149</v>
      </c>
      <c r="G602" s="34" t="s">
        <v>150</v>
      </c>
      <c r="H602" s="34" t="s">
        <v>151</v>
      </c>
      <c r="I602">
        <v>4</v>
      </c>
      <c r="J602">
        <v>0</v>
      </c>
      <c r="K602">
        <v>4</v>
      </c>
      <c r="L602">
        <v>0</v>
      </c>
      <c r="O602" s="28">
        <v>46285</v>
      </c>
      <c r="R602">
        <v>-1</v>
      </c>
      <c r="S602">
        <v>7</v>
      </c>
      <c r="T602">
        <v>6</v>
      </c>
      <c r="U602">
        <v>7</v>
      </c>
      <c r="V602">
        <v>20260921007</v>
      </c>
    </row>
    <row r="603" spans="1:22" x14ac:dyDescent="0.2">
      <c r="A603" s="34" t="s">
        <v>122</v>
      </c>
      <c r="B603" s="28">
        <v>46286</v>
      </c>
      <c r="C603" s="34"/>
      <c r="D603" s="34" t="s">
        <v>339</v>
      </c>
      <c r="E603" s="34" t="s">
        <v>152</v>
      </c>
      <c r="F603" s="34" t="s">
        <v>153</v>
      </c>
      <c r="G603" s="34" t="s">
        <v>154</v>
      </c>
      <c r="H603" s="34" t="s">
        <v>155</v>
      </c>
      <c r="I603">
        <v>20</v>
      </c>
      <c r="J603">
        <v>0</v>
      </c>
      <c r="K603">
        <v>16</v>
      </c>
      <c r="L603">
        <v>4</v>
      </c>
      <c r="O603" s="28">
        <v>46285</v>
      </c>
      <c r="R603">
        <v>-1</v>
      </c>
      <c r="S603">
        <v>8</v>
      </c>
      <c r="T603">
        <v>6</v>
      </c>
      <c r="U603">
        <v>8</v>
      </c>
      <c r="V603">
        <v>20260921008</v>
      </c>
    </row>
    <row r="604" spans="1:22" x14ac:dyDescent="0.2">
      <c r="A604" s="34" t="s">
        <v>122</v>
      </c>
      <c r="B604" s="28">
        <v>46286</v>
      </c>
      <c r="C604" s="34"/>
      <c r="D604" s="34" t="s">
        <v>339</v>
      </c>
      <c r="E604" s="34" t="s">
        <v>156</v>
      </c>
      <c r="F604" s="34" t="s">
        <v>157</v>
      </c>
      <c r="G604" s="34" t="s">
        <v>158</v>
      </c>
      <c r="H604" s="34" t="s">
        <v>159</v>
      </c>
      <c r="I604">
        <v>18</v>
      </c>
      <c r="J604">
        <v>0</v>
      </c>
      <c r="K604">
        <v>16</v>
      </c>
      <c r="L604">
        <v>2</v>
      </c>
      <c r="O604" s="28">
        <v>46285</v>
      </c>
      <c r="R604">
        <v>-1</v>
      </c>
      <c r="S604">
        <v>9</v>
      </c>
      <c r="T604">
        <v>6</v>
      </c>
      <c r="U604">
        <v>9</v>
      </c>
      <c r="V604">
        <v>20260921009</v>
      </c>
    </row>
    <row r="605" spans="1:22" x14ac:dyDescent="0.2">
      <c r="A605" s="34" t="s">
        <v>122</v>
      </c>
      <c r="B605" s="28">
        <v>46286</v>
      </c>
      <c r="C605" s="34"/>
      <c r="D605" s="34" t="s">
        <v>339</v>
      </c>
      <c r="E605" s="34" t="s">
        <v>160</v>
      </c>
      <c r="F605" s="34" t="s">
        <v>161</v>
      </c>
      <c r="G605" s="34" t="s">
        <v>162</v>
      </c>
      <c r="H605" s="34" t="s">
        <v>163</v>
      </c>
      <c r="I605">
        <v>15</v>
      </c>
      <c r="J605">
        <v>0</v>
      </c>
      <c r="K605">
        <v>15</v>
      </c>
      <c r="L605">
        <v>0</v>
      </c>
      <c r="O605" s="28">
        <v>46285</v>
      </c>
      <c r="R605">
        <v>-1</v>
      </c>
      <c r="S605">
        <v>10</v>
      </c>
      <c r="T605">
        <v>6</v>
      </c>
      <c r="U605">
        <v>10</v>
      </c>
      <c r="V605">
        <v>20260921010</v>
      </c>
    </row>
    <row r="606" spans="1:22" x14ac:dyDescent="0.2">
      <c r="A606" s="34" t="s">
        <v>122</v>
      </c>
      <c r="B606" s="28">
        <v>46286</v>
      </c>
      <c r="C606" s="34"/>
      <c r="D606" s="34" t="s">
        <v>339</v>
      </c>
      <c r="E606" s="34" t="s">
        <v>164</v>
      </c>
      <c r="F606" s="34" t="s">
        <v>165</v>
      </c>
      <c r="G606" s="34" t="s">
        <v>166</v>
      </c>
      <c r="H606" s="34" t="s">
        <v>167</v>
      </c>
      <c r="I606">
        <v>33</v>
      </c>
      <c r="J606">
        <v>0</v>
      </c>
      <c r="K606">
        <v>39</v>
      </c>
      <c r="L606">
        <v>-6</v>
      </c>
      <c r="O606" s="28">
        <v>46285</v>
      </c>
      <c r="R606">
        <v>-1</v>
      </c>
      <c r="S606">
        <v>11</v>
      </c>
      <c r="T606">
        <v>6</v>
      </c>
      <c r="U606">
        <v>11</v>
      </c>
      <c r="V606">
        <v>20260921011</v>
      </c>
    </row>
    <row r="607" spans="1:22" x14ac:dyDescent="0.2">
      <c r="A607" s="34" t="s">
        <v>122</v>
      </c>
      <c r="B607" s="28">
        <v>46286</v>
      </c>
      <c r="C607" s="34"/>
      <c r="D607" s="34" t="s">
        <v>339</v>
      </c>
      <c r="E607" s="34" t="s">
        <v>168</v>
      </c>
      <c r="F607" s="34" t="s">
        <v>169</v>
      </c>
      <c r="G607" s="34" t="s">
        <v>170</v>
      </c>
      <c r="H607" s="34" t="s">
        <v>171</v>
      </c>
      <c r="I607">
        <v>10</v>
      </c>
      <c r="J607">
        <v>0</v>
      </c>
      <c r="K607">
        <v>10</v>
      </c>
      <c r="L607">
        <v>0</v>
      </c>
      <c r="O607" s="28">
        <v>46285</v>
      </c>
      <c r="R607">
        <v>-1</v>
      </c>
      <c r="S607">
        <v>12</v>
      </c>
      <c r="T607">
        <v>6</v>
      </c>
      <c r="U607">
        <v>12</v>
      </c>
      <c r="V607">
        <v>20260921012</v>
      </c>
    </row>
    <row r="608" spans="1:22" x14ac:dyDescent="0.2">
      <c r="A608" s="34" t="s">
        <v>122</v>
      </c>
      <c r="B608" s="28">
        <v>46286</v>
      </c>
      <c r="C608" s="34"/>
      <c r="D608" s="34" t="s">
        <v>339</v>
      </c>
      <c r="E608" s="34" t="s">
        <v>172</v>
      </c>
      <c r="F608" s="34" t="s">
        <v>173</v>
      </c>
      <c r="G608" s="34" t="s">
        <v>174</v>
      </c>
      <c r="H608" s="34" t="s">
        <v>175</v>
      </c>
      <c r="I608">
        <v>13</v>
      </c>
      <c r="J608">
        <v>0</v>
      </c>
      <c r="K608">
        <v>13</v>
      </c>
      <c r="L608">
        <v>0</v>
      </c>
      <c r="O608" s="28">
        <v>46285</v>
      </c>
      <c r="R608">
        <v>-1</v>
      </c>
      <c r="S608">
        <v>13</v>
      </c>
      <c r="T608">
        <v>6</v>
      </c>
      <c r="U608">
        <v>13</v>
      </c>
      <c r="V608">
        <v>20260921013</v>
      </c>
    </row>
    <row r="609" spans="1:22" x14ac:dyDescent="0.2">
      <c r="A609" s="34" t="s">
        <v>122</v>
      </c>
      <c r="B609" s="28">
        <v>46286</v>
      </c>
      <c r="C609" s="34"/>
      <c r="D609" s="34" t="s">
        <v>339</v>
      </c>
      <c r="E609" s="34" t="s">
        <v>176</v>
      </c>
      <c r="F609" s="34" t="s">
        <v>177</v>
      </c>
      <c r="G609" s="34" t="s">
        <v>178</v>
      </c>
      <c r="H609" s="34" t="s">
        <v>179</v>
      </c>
      <c r="I609">
        <v>28</v>
      </c>
      <c r="J609">
        <v>0</v>
      </c>
      <c r="K609">
        <v>25</v>
      </c>
      <c r="L609">
        <v>3</v>
      </c>
      <c r="O609" s="28">
        <v>46285</v>
      </c>
      <c r="R609">
        <v>-1</v>
      </c>
      <c r="S609">
        <v>14</v>
      </c>
      <c r="T609">
        <v>6</v>
      </c>
      <c r="U609">
        <v>14</v>
      </c>
      <c r="V609">
        <v>20260921014</v>
      </c>
    </row>
    <row r="610" spans="1:22" x14ac:dyDescent="0.2">
      <c r="A610" s="34" t="s">
        <v>122</v>
      </c>
      <c r="B610" s="28">
        <v>46286</v>
      </c>
      <c r="C610" s="34"/>
      <c r="D610" s="34" t="s">
        <v>339</v>
      </c>
      <c r="E610" s="34" t="s">
        <v>180</v>
      </c>
      <c r="F610" s="34" t="s">
        <v>181</v>
      </c>
      <c r="G610" s="34" t="s">
        <v>182</v>
      </c>
      <c r="H610" s="34" t="s">
        <v>183</v>
      </c>
      <c r="I610">
        <v>18</v>
      </c>
      <c r="J610">
        <v>0</v>
      </c>
      <c r="K610">
        <v>18</v>
      </c>
      <c r="L610">
        <v>0</v>
      </c>
      <c r="O610" s="28">
        <v>46285</v>
      </c>
      <c r="R610">
        <v>-1</v>
      </c>
      <c r="S610">
        <v>15</v>
      </c>
      <c r="T610">
        <v>6</v>
      </c>
      <c r="U610">
        <v>15</v>
      </c>
      <c r="V610">
        <v>20260921015</v>
      </c>
    </row>
    <row r="611" spans="1:22" x14ac:dyDescent="0.2">
      <c r="A611" s="34" t="s">
        <v>122</v>
      </c>
      <c r="B611" s="28">
        <v>46286</v>
      </c>
      <c r="C611" s="34"/>
      <c r="D611" s="34" t="s">
        <v>339</v>
      </c>
      <c r="E611" s="34" t="s">
        <v>184</v>
      </c>
      <c r="F611" s="34" t="s">
        <v>185</v>
      </c>
      <c r="G611" s="34" t="s">
        <v>186</v>
      </c>
      <c r="H611" s="34" t="s">
        <v>187</v>
      </c>
      <c r="I611">
        <v>13</v>
      </c>
      <c r="J611">
        <v>0</v>
      </c>
      <c r="K611">
        <v>13</v>
      </c>
      <c r="L611">
        <v>0</v>
      </c>
      <c r="O611" s="28">
        <v>46285</v>
      </c>
      <c r="R611">
        <v>-1</v>
      </c>
      <c r="S611">
        <v>16</v>
      </c>
      <c r="T611">
        <v>6</v>
      </c>
      <c r="U611">
        <v>16</v>
      </c>
      <c r="V611">
        <v>20260921016</v>
      </c>
    </row>
    <row r="612" spans="1:22" x14ac:dyDescent="0.2">
      <c r="A612" s="34" t="s">
        <v>122</v>
      </c>
      <c r="B612" s="28">
        <v>46286</v>
      </c>
      <c r="C612" s="34"/>
      <c r="D612" s="34" t="s">
        <v>339</v>
      </c>
      <c r="E612" s="34" t="s">
        <v>188</v>
      </c>
      <c r="F612" s="34" t="s">
        <v>189</v>
      </c>
      <c r="G612" s="34" t="s">
        <v>190</v>
      </c>
      <c r="H612" s="34" t="s">
        <v>191</v>
      </c>
      <c r="I612">
        <v>4</v>
      </c>
      <c r="J612">
        <v>0</v>
      </c>
      <c r="K612">
        <v>4</v>
      </c>
      <c r="L612">
        <v>0</v>
      </c>
      <c r="O612" s="28">
        <v>46285</v>
      </c>
      <c r="R612">
        <v>-1</v>
      </c>
      <c r="S612">
        <v>17</v>
      </c>
      <c r="T612">
        <v>6</v>
      </c>
      <c r="U612">
        <v>21</v>
      </c>
      <c r="V612">
        <v>20260921017</v>
      </c>
    </row>
    <row r="613" spans="1:22" x14ac:dyDescent="0.2">
      <c r="A613" s="34" t="s">
        <v>122</v>
      </c>
      <c r="B613" s="28">
        <v>46286</v>
      </c>
      <c r="C613" s="34"/>
      <c r="D613" s="34" t="s">
        <v>339</v>
      </c>
      <c r="E613" s="34" t="s">
        <v>192</v>
      </c>
      <c r="F613" s="34" t="s">
        <v>193</v>
      </c>
      <c r="G613" s="34" t="s">
        <v>194</v>
      </c>
      <c r="H613" s="34" t="s">
        <v>195</v>
      </c>
      <c r="I613">
        <v>4</v>
      </c>
      <c r="J613">
        <v>0</v>
      </c>
      <c r="K613">
        <v>4</v>
      </c>
      <c r="L613">
        <v>0</v>
      </c>
      <c r="O613" s="28">
        <v>46285</v>
      </c>
      <c r="R613">
        <v>-1</v>
      </c>
      <c r="S613">
        <v>18</v>
      </c>
      <c r="T613">
        <v>6</v>
      </c>
      <c r="U613">
        <v>22</v>
      </c>
      <c r="V613">
        <v>20260921018</v>
      </c>
    </row>
    <row r="614" spans="1:22" x14ac:dyDescent="0.2">
      <c r="A614" s="34" t="s">
        <v>122</v>
      </c>
      <c r="B614" s="28">
        <v>46286</v>
      </c>
      <c r="C614" s="34"/>
      <c r="D614" s="34" t="s">
        <v>339</v>
      </c>
      <c r="E614" s="34" t="s">
        <v>196</v>
      </c>
      <c r="F614" s="34" t="s">
        <v>197</v>
      </c>
      <c r="G614" s="34" t="s">
        <v>198</v>
      </c>
      <c r="H614" s="34" t="s">
        <v>199</v>
      </c>
      <c r="I614">
        <v>12</v>
      </c>
      <c r="J614">
        <v>0</v>
      </c>
      <c r="K614">
        <v>12</v>
      </c>
      <c r="L614">
        <v>0</v>
      </c>
      <c r="O614" s="28">
        <v>46285</v>
      </c>
      <c r="R614">
        <v>-1</v>
      </c>
      <c r="S614">
        <v>19</v>
      </c>
      <c r="T614">
        <v>6</v>
      </c>
      <c r="U614">
        <v>23</v>
      </c>
      <c r="V614">
        <v>20260921019</v>
      </c>
    </row>
    <row r="615" spans="1:22" x14ac:dyDescent="0.2">
      <c r="A615" s="34" t="s">
        <v>122</v>
      </c>
      <c r="B615" s="28">
        <v>46286</v>
      </c>
      <c r="C615" s="34"/>
      <c r="D615" s="34" t="s">
        <v>339</v>
      </c>
      <c r="E615" s="34" t="s">
        <v>200</v>
      </c>
      <c r="F615" s="34" t="s">
        <v>201</v>
      </c>
      <c r="G615" s="34" t="s">
        <v>202</v>
      </c>
      <c r="H615" s="34" t="s">
        <v>203</v>
      </c>
      <c r="I615">
        <v>21</v>
      </c>
      <c r="J615">
        <v>0</v>
      </c>
      <c r="K615">
        <v>11</v>
      </c>
      <c r="L615">
        <v>10</v>
      </c>
      <c r="O615" s="28">
        <v>46285</v>
      </c>
      <c r="R615">
        <v>-1</v>
      </c>
      <c r="S615">
        <v>20</v>
      </c>
      <c r="T615">
        <v>6</v>
      </c>
      <c r="U615">
        <v>24</v>
      </c>
      <c r="V615">
        <v>20260921020</v>
      </c>
    </row>
    <row r="616" spans="1:22" x14ac:dyDescent="0.2">
      <c r="A616" s="34" t="s">
        <v>122</v>
      </c>
      <c r="B616" s="28">
        <v>46286</v>
      </c>
      <c r="C616" s="34"/>
      <c r="D616" s="34" t="s">
        <v>339</v>
      </c>
      <c r="E616" s="34" t="s">
        <v>204</v>
      </c>
      <c r="F616" s="34" t="s">
        <v>205</v>
      </c>
      <c r="G616" s="34" t="s">
        <v>206</v>
      </c>
      <c r="H616" s="34" t="s">
        <v>207</v>
      </c>
      <c r="I616">
        <v>7</v>
      </c>
      <c r="J616">
        <v>0</v>
      </c>
      <c r="K616">
        <v>7</v>
      </c>
      <c r="L616">
        <v>0</v>
      </c>
      <c r="O616" s="28">
        <v>46285</v>
      </c>
      <c r="R616">
        <v>-1</v>
      </c>
      <c r="S616">
        <v>21</v>
      </c>
      <c r="T616">
        <v>6</v>
      </c>
      <c r="U616">
        <v>25</v>
      </c>
      <c r="V616">
        <v>20260921021</v>
      </c>
    </row>
    <row r="617" spans="1:22" x14ac:dyDescent="0.2">
      <c r="A617" s="34" t="s">
        <v>122</v>
      </c>
      <c r="B617" s="28">
        <v>46286</v>
      </c>
      <c r="C617" s="34"/>
      <c r="D617" s="34" t="s">
        <v>339</v>
      </c>
      <c r="E617" s="34" t="s">
        <v>208</v>
      </c>
      <c r="F617" s="34" t="s">
        <v>209</v>
      </c>
      <c r="G617" s="34" t="s">
        <v>210</v>
      </c>
      <c r="H617" s="34" t="s">
        <v>211</v>
      </c>
      <c r="I617">
        <v>5</v>
      </c>
      <c r="J617">
        <v>0</v>
      </c>
      <c r="K617">
        <v>13</v>
      </c>
      <c r="L617">
        <v>-8</v>
      </c>
      <c r="O617" s="28">
        <v>46285</v>
      </c>
      <c r="R617">
        <v>-1</v>
      </c>
      <c r="S617">
        <v>22</v>
      </c>
      <c r="T617">
        <v>6</v>
      </c>
      <c r="U617">
        <v>26</v>
      </c>
      <c r="V617">
        <v>20260921022</v>
      </c>
    </row>
    <row r="618" spans="1:22" x14ac:dyDescent="0.2">
      <c r="A618" s="34" t="s">
        <v>122</v>
      </c>
      <c r="B618" s="28">
        <v>46286</v>
      </c>
      <c r="C618" s="34"/>
      <c r="D618" s="34" t="s">
        <v>339</v>
      </c>
      <c r="E618" s="34" t="s">
        <v>212</v>
      </c>
      <c r="F618" s="34" t="s">
        <v>213</v>
      </c>
      <c r="G618" s="34" t="s">
        <v>214</v>
      </c>
      <c r="H618" s="34" t="s">
        <v>215</v>
      </c>
      <c r="I618">
        <v>10</v>
      </c>
      <c r="J618">
        <v>0</v>
      </c>
      <c r="K618">
        <v>3</v>
      </c>
      <c r="L618">
        <v>7</v>
      </c>
      <c r="O618" s="28">
        <v>46285</v>
      </c>
      <c r="R618">
        <v>-1</v>
      </c>
      <c r="S618">
        <v>23</v>
      </c>
      <c r="T618">
        <v>6</v>
      </c>
      <c r="U618">
        <v>27</v>
      </c>
      <c r="V618">
        <v>20260921023</v>
      </c>
    </row>
    <row r="619" spans="1:22" x14ac:dyDescent="0.2">
      <c r="A619" s="34" t="s">
        <v>122</v>
      </c>
      <c r="B619" s="28">
        <v>46286</v>
      </c>
      <c r="C619" s="34"/>
      <c r="D619" s="34" t="s">
        <v>339</v>
      </c>
      <c r="E619" s="34" t="s">
        <v>216</v>
      </c>
      <c r="F619" s="34" t="s">
        <v>217</v>
      </c>
      <c r="G619" s="34" t="s">
        <v>218</v>
      </c>
      <c r="H619" s="34" t="s">
        <v>219</v>
      </c>
      <c r="I619">
        <v>8</v>
      </c>
      <c r="J619">
        <v>0</v>
      </c>
      <c r="K619">
        <v>6</v>
      </c>
      <c r="L619">
        <v>2</v>
      </c>
      <c r="O619" s="28">
        <v>46285</v>
      </c>
      <c r="R619">
        <v>-1</v>
      </c>
      <c r="S619">
        <v>24</v>
      </c>
      <c r="T619">
        <v>6</v>
      </c>
      <c r="U619">
        <v>28</v>
      </c>
      <c r="V619">
        <v>20260921024</v>
      </c>
    </row>
    <row r="620" spans="1:22" x14ac:dyDescent="0.2">
      <c r="A620" s="34" t="s">
        <v>122</v>
      </c>
      <c r="B620" s="28">
        <v>46286</v>
      </c>
      <c r="C620" s="34"/>
      <c r="D620" s="34" t="s">
        <v>339</v>
      </c>
      <c r="E620" s="34" t="s">
        <v>220</v>
      </c>
      <c r="F620" s="34" t="s">
        <v>221</v>
      </c>
      <c r="G620" s="34" t="s">
        <v>222</v>
      </c>
      <c r="H620" s="34" t="s">
        <v>223</v>
      </c>
      <c r="I620">
        <v>12</v>
      </c>
      <c r="J620">
        <v>0</v>
      </c>
      <c r="K620">
        <v>9</v>
      </c>
      <c r="L620">
        <v>3</v>
      </c>
      <c r="O620" s="28">
        <v>46285</v>
      </c>
      <c r="R620">
        <v>-1</v>
      </c>
      <c r="S620">
        <v>25</v>
      </c>
      <c r="T620">
        <v>6</v>
      </c>
      <c r="U620">
        <v>29</v>
      </c>
      <c r="V620">
        <v>20260921025</v>
      </c>
    </row>
    <row r="621" spans="1:22" x14ac:dyDescent="0.2">
      <c r="A621" s="34" t="s">
        <v>122</v>
      </c>
      <c r="B621" s="28">
        <v>46286</v>
      </c>
      <c r="C621" s="34"/>
      <c r="D621" s="34" t="s">
        <v>339</v>
      </c>
      <c r="E621" s="34" t="s">
        <v>224</v>
      </c>
      <c r="F621" s="34" t="s">
        <v>225</v>
      </c>
      <c r="G621" s="34" t="s">
        <v>226</v>
      </c>
      <c r="H621" s="34" t="s">
        <v>227</v>
      </c>
      <c r="I621">
        <v>12</v>
      </c>
      <c r="J621">
        <v>0</v>
      </c>
      <c r="K621">
        <v>12</v>
      </c>
      <c r="L621">
        <v>0</v>
      </c>
      <c r="O621" s="28">
        <v>46285</v>
      </c>
      <c r="R621">
        <v>-1</v>
      </c>
      <c r="S621">
        <v>26</v>
      </c>
      <c r="T621">
        <v>6</v>
      </c>
      <c r="U621">
        <v>30</v>
      </c>
      <c r="V621">
        <v>20260921026</v>
      </c>
    </row>
    <row r="622" spans="1:22" x14ac:dyDescent="0.2">
      <c r="A622" s="34" t="s">
        <v>122</v>
      </c>
      <c r="B622" s="28">
        <v>46286</v>
      </c>
      <c r="C622" s="34"/>
      <c r="D622" s="34" t="s">
        <v>339</v>
      </c>
      <c r="E622" s="34" t="s">
        <v>228</v>
      </c>
      <c r="F622" s="34" t="s">
        <v>229</v>
      </c>
      <c r="G622" s="34" t="s">
        <v>230</v>
      </c>
      <c r="H622" s="34" t="s">
        <v>231</v>
      </c>
      <c r="I622">
        <v>12</v>
      </c>
      <c r="J622">
        <v>0</v>
      </c>
      <c r="K622">
        <v>9</v>
      </c>
      <c r="L622">
        <v>3</v>
      </c>
      <c r="O622" s="28">
        <v>46285</v>
      </c>
      <c r="R622">
        <v>-1</v>
      </c>
      <c r="S622">
        <v>27</v>
      </c>
      <c r="T622">
        <v>6</v>
      </c>
      <c r="U622">
        <v>31</v>
      </c>
      <c r="V622">
        <v>20260921027</v>
      </c>
    </row>
    <row r="623" spans="1:22" x14ac:dyDescent="0.2">
      <c r="A623" s="34" t="s">
        <v>122</v>
      </c>
      <c r="B623" s="28">
        <v>46286</v>
      </c>
      <c r="C623" s="34"/>
      <c r="D623" s="34" t="s">
        <v>339</v>
      </c>
      <c r="E623" s="34" t="s">
        <v>232</v>
      </c>
      <c r="F623" s="34" t="s">
        <v>233</v>
      </c>
      <c r="G623" s="34" t="s">
        <v>234</v>
      </c>
      <c r="H623" s="34" t="s">
        <v>235</v>
      </c>
      <c r="I623">
        <v>6</v>
      </c>
      <c r="J623">
        <v>0</v>
      </c>
      <c r="K623">
        <v>4</v>
      </c>
      <c r="L623">
        <v>2</v>
      </c>
      <c r="O623" s="28">
        <v>46285</v>
      </c>
      <c r="R623">
        <v>-1</v>
      </c>
      <c r="S623">
        <v>28</v>
      </c>
      <c r="T623">
        <v>6</v>
      </c>
      <c r="U623">
        <v>32</v>
      </c>
      <c r="V623">
        <v>20260921028</v>
      </c>
    </row>
    <row r="624" spans="1:22" x14ac:dyDescent="0.2">
      <c r="A624" s="34" t="s">
        <v>122</v>
      </c>
      <c r="B624" s="28">
        <v>46286</v>
      </c>
      <c r="C624" s="34"/>
      <c r="D624" s="34" t="s">
        <v>339</v>
      </c>
      <c r="E624" s="34" t="s">
        <v>236</v>
      </c>
      <c r="F624" s="34" t="s">
        <v>237</v>
      </c>
      <c r="G624" s="34" t="s">
        <v>238</v>
      </c>
      <c r="H624" s="34" t="s">
        <v>239</v>
      </c>
      <c r="I624">
        <v>11</v>
      </c>
      <c r="J624">
        <v>0</v>
      </c>
      <c r="K624">
        <v>11</v>
      </c>
      <c r="L624">
        <v>0</v>
      </c>
      <c r="O624" s="28">
        <v>46285</v>
      </c>
      <c r="R624">
        <v>-1</v>
      </c>
      <c r="S624">
        <v>29</v>
      </c>
      <c r="T624">
        <v>6</v>
      </c>
      <c r="U624">
        <v>33</v>
      </c>
      <c r="V624">
        <v>20260921029</v>
      </c>
    </row>
    <row r="625" spans="1:22" x14ac:dyDescent="0.2">
      <c r="A625" s="34" t="s">
        <v>122</v>
      </c>
      <c r="B625" s="28">
        <v>46286</v>
      </c>
      <c r="C625" s="34"/>
      <c r="D625" s="34" t="s">
        <v>339</v>
      </c>
      <c r="E625" s="34" t="s">
        <v>240</v>
      </c>
      <c r="F625" s="34" t="s">
        <v>241</v>
      </c>
      <c r="G625" s="34" t="s">
        <v>242</v>
      </c>
      <c r="H625" s="34" t="s">
        <v>243</v>
      </c>
      <c r="I625">
        <v>11</v>
      </c>
      <c r="J625">
        <v>0</v>
      </c>
      <c r="K625">
        <v>9</v>
      </c>
      <c r="L625">
        <v>2</v>
      </c>
      <c r="O625" s="28">
        <v>46285</v>
      </c>
      <c r="R625">
        <v>-1</v>
      </c>
      <c r="S625">
        <v>30</v>
      </c>
      <c r="T625">
        <v>6</v>
      </c>
      <c r="U625">
        <v>34</v>
      </c>
      <c r="V625">
        <v>20260921030</v>
      </c>
    </row>
    <row r="626" spans="1:22" x14ac:dyDescent="0.2">
      <c r="A626" s="34" t="s">
        <v>122</v>
      </c>
      <c r="B626" s="28">
        <v>46286</v>
      </c>
      <c r="C626" s="34"/>
      <c r="D626" s="34" t="s">
        <v>339</v>
      </c>
      <c r="E626" s="34" t="s">
        <v>244</v>
      </c>
      <c r="F626" s="34" t="s">
        <v>245</v>
      </c>
      <c r="G626" s="34" t="s">
        <v>246</v>
      </c>
      <c r="H626" s="34" t="s">
        <v>247</v>
      </c>
      <c r="I626">
        <v>5</v>
      </c>
      <c r="J626">
        <v>0</v>
      </c>
      <c r="K626">
        <v>5</v>
      </c>
      <c r="L626">
        <v>0</v>
      </c>
      <c r="O626" s="28">
        <v>46285</v>
      </c>
      <c r="R626">
        <v>-1</v>
      </c>
      <c r="S626">
        <v>31</v>
      </c>
      <c r="T626">
        <v>6</v>
      </c>
      <c r="U626">
        <v>35</v>
      </c>
      <c r="V626">
        <v>20260921031</v>
      </c>
    </row>
    <row r="627" spans="1:22" x14ac:dyDescent="0.2">
      <c r="A627" s="34" t="s">
        <v>122</v>
      </c>
      <c r="B627" s="28">
        <v>46286</v>
      </c>
      <c r="C627" s="34"/>
      <c r="D627" s="34" t="s">
        <v>339</v>
      </c>
      <c r="E627" s="34" t="s">
        <v>248</v>
      </c>
      <c r="F627" s="34" t="s">
        <v>249</v>
      </c>
      <c r="G627" s="34" t="s">
        <v>250</v>
      </c>
      <c r="H627" s="34" t="s">
        <v>251</v>
      </c>
      <c r="I627">
        <v>3</v>
      </c>
      <c r="J627">
        <v>0</v>
      </c>
      <c r="K627">
        <v>6</v>
      </c>
      <c r="L627">
        <v>-3</v>
      </c>
      <c r="O627" s="28">
        <v>46285</v>
      </c>
      <c r="R627">
        <v>-1</v>
      </c>
      <c r="S627">
        <v>32</v>
      </c>
      <c r="T627">
        <v>6</v>
      </c>
      <c r="U627">
        <v>36</v>
      </c>
      <c r="V627">
        <v>20260921032</v>
      </c>
    </row>
    <row r="628" spans="1:22" x14ac:dyDescent="0.2">
      <c r="A628" s="34" t="s">
        <v>122</v>
      </c>
      <c r="B628" s="28">
        <v>46286</v>
      </c>
      <c r="C628" s="34"/>
      <c r="D628" s="34" t="s">
        <v>339</v>
      </c>
      <c r="E628" s="34" t="s">
        <v>252</v>
      </c>
      <c r="F628" s="34" t="s">
        <v>253</v>
      </c>
      <c r="G628" s="34" t="s">
        <v>254</v>
      </c>
      <c r="H628" s="34" t="s">
        <v>255</v>
      </c>
      <c r="I628">
        <v>4</v>
      </c>
      <c r="J628">
        <v>0</v>
      </c>
      <c r="K628">
        <v>10</v>
      </c>
      <c r="L628">
        <v>-6</v>
      </c>
      <c r="O628" s="28">
        <v>46285</v>
      </c>
      <c r="R628">
        <v>-1</v>
      </c>
      <c r="S628">
        <v>33</v>
      </c>
      <c r="T628">
        <v>6</v>
      </c>
      <c r="U628">
        <v>37</v>
      </c>
      <c r="V628">
        <v>20260921033</v>
      </c>
    </row>
    <row r="629" spans="1:22" x14ac:dyDescent="0.2">
      <c r="A629" s="34" t="s">
        <v>122</v>
      </c>
      <c r="B629" s="28">
        <v>46286</v>
      </c>
      <c r="C629" s="34"/>
      <c r="D629" s="34" t="s">
        <v>339</v>
      </c>
      <c r="E629" s="34" t="s">
        <v>256</v>
      </c>
      <c r="F629" s="34" t="s">
        <v>257</v>
      </c>
      <c r="G629" s="34" t="s">
        <v>258</v>
      </c>
      <c r="H629" s="34" t="s">
        <v>259</v>
      </c>
      <c r="I629">
        <v>4</v>
      </c>
      <c r="J629">
        <v>0</v>
      </c>
      <c r="K629">
        <v>4</v>
      </c>
      <c r="L629">
        <v>0</v>
      </c>
      <c r="O629" s="28">
        <v>46285</v>
      </c>
      <c r="R629">
        <v>-1</v>
      </c>
      <c r="S629">
        <v>34</v>
      </c>
      <c r="T629">
        <v>6</v>
      </c>
      <c r="U629">
        <v>38</v>
      </c>
      <c r="V629">
        <v>20260921034</v>
      </c>
    </row>
    <row r="630" spans="1:22" x14ac:dyDescent="0.2">
      <c r="A630" s="34" t="s">
        <v>122</v>
      </c>
      <c r="B630" s="28">
        <v>46286</v>
      </c>
      <c r="C630" s="34"/>
      <c r="D630" s="34" t="s">
        <v>339</v>
      </c>
      <c r="E630" s="34" t="s">
        <v>260</v>
      </c>
      <c r="F630" s="34" t="s">
        <v>261</v>
      </c>
      <c r="G630" s="34" t="s">
        <v>262</v>
      </c>
      <c r="H630" s="34" t="s">
        <v>263</v>
      </c>
      <c r="I630">
        <v>4</v>
      </c>
      <c r="J630">
        <v>0</v>
      </c>
      <c r="K630">
        <v>4</v>
      </c>
      <c r="L630">
        <v>0</v>
      </c>
      <c r="O630" s="28">
        <v>46285</v>
      </c>
      <c r="R630">
        <v>-1</v>
      </c>
      <c r="S630">
        <v>35</v>
      </c>
      <c r="T630">
        <v>6</v>
      </c>
      <c r="U630">
        <v>39</v>
      </c>
      <c r="V630">
        <v>20260921035</v>
      </c>
    </row>
    <row r="631" spans="1:22" x14ac:dyDescent="0.2">
      <c r="A631" s="34" t="s">
        <v>122</v>
      </c>
      <c r="B631" s="28">
        <v>46286</v>
      </c>
      <c r="C631" s="34"/>
      <c r="D631" s="34" t="s">
        <v>339</v>
      </c>
      <c r="E631" s="34" t="s">
        <v>264</v>
      </c>
      <c r="F631" s="34" t="s">
        <v>265</v>
      </c>
      <c r="G631" s="34" t="s">
        <v>266</v>
      </c>
      <c r="H631" s="34" t="s">
        <v>267</v>
      </c>
      <c r="I631">
        <v>4</v>
      </c>
      <c r="J631">
        <v>0</v>
      </c>
      <c r="K631">
        <v>11</v>
      </c>
      <c r="L631">
        <v>-7</v>
      </c>
      <c r="O631" s="28">
        <v>46285</v>
      </c>
      <c r="R631">
        <v>-1</v>
      </c>
      <c r="S631">
        <v>36</v>
      </c>
      <c r="T631">
        <v>6</v>
      </c>
      <c r="U631">
        <v>40</v>
      </c>
      <c r="V631">
        <v>20260921036</v>
      </c>
    </row>
    <row r="632" spans="1:22" x14ac:dyDescent="0.2">
      <c r="A632" s="34" t="s">
        <v>122</v>
      </c>
      <c r="B632" s="28">
        <v>46286</v>
      </c>
      <c r="C632" s="34"/>
      <c r="D632" s="34" t="s">
        <v>339</v>
      </c>
      <c r="E632" s="34" t="s">
        <v>268</v>
      </c>
      <c r="F632" s="34" t="s">
        <v>269</v>
      </c>
      <c r="G632" s="34" t="s">
        <v>270</v>
      </c>
      <c r="H632" s="34" t="s">
        <v>271</v>
      </c>
      <c r="I632">
        <v>3</v>
      </c>
      <c r="J632">
        <v>0</v>
      </c>
      <c r="K632">
        <v>7</v>
      </c>
      <c r="L632">
        <v>-4</v>
      </c>
      <c r="O632" s="28">
        <v>46285</v>
      </c>
      <c r="R632">
        <v>-1</v>
      </c>
      <c r="S632">
        <v>37</v>
      </c>
      <c r="T632">
        <v>6</v>
      </c>
      <c r="U632">
        <v>41</v>
      </c>
      <c r="V632">
        <v>20260921037</v>
      </c>
    </row>
    <row r="633" spans="1:22" x14ac:dyDescent="0.2">
      <c r="A633" s="34" t="s">
        <v>122</v>
      </c>
      <c r="B633" s="28">
        <v>46286</v>
      </c>
      <c r="C633" s="34"/>
      <c r="D633" s="34" t="s">
        <v>339</v>
      </c>
      <c r="E633" s="34" t="s">
        <v>272</v>
      </c>
      <c r="F633" s="34" t="s">
        <v>341</v>
      </c>
      <c r="G633" s="34" t="s">
        <v>273</v>
      </c>
      <c r="H633" s="34" t="s">
        <v>274</v>
      </c>
      <c r="I633">
        <v>15</v>
      </c>
      <c r="J633">
        <v>0</v>
      </c>
      <c r="K633">
        <v>19</v>
      </c>
      <c r="L633">
        <v>-4</v>
      </c>
      <c r="O633" s="28">
        <v>46285</v>
      </c>
      <c r="R633">
        <v>-1</v>
      </c>
      <c r="S633">
        <v>38</v>
      </c>
      <c r="T633">
        <v>6</v>
      </c>
      <c r="U633">
        <v>42</v>
      </c>
      <c r="V633">
        <v>20260921038</v>
      </c>
    </row>
    <row r="634" spans="1:22" x14ac:dyDescent="0.2">
      <c r="A634" s="34" t="s">
        <v>122</v>
      </c>
      <c r="B634" s="28">
        <v>46286</v>
      </c>
      <c r="C634" s="34"/>
      <c r="D634" s="34" t="s">
        <v>339</v>
      </c>
      <c r="E634" s="34" t="s">
        <v>275</v>
      </c>
      <c r="F634" s="34" t="s">
        <v>276</v>
      </c>
      <c r="G634" s="34" t="s">
        <v>277</v>
      </c>
      <c r="H634" s="34" t="s">
        <v>278</v>
      </c>
      <c r="I634">
        <v>4</v>
      </c>
      <c r="J634">
        <v>0</v>
      </c>
      <c r="K634">
        <v>1</v>
      </c>
      <c r="L634">
        <v>3</v>
      </c>
      <c r="O634" s="28">
        <v>46285</v>
      </c>
      <c r="R634">
        <v>-1</v>
      </c>
      <c r="S634">
        <v>39</v>
      </c>
      <c r="T634">
        <v>6</v>
      </c>
      <c r="U634">
        <v>43</v>
      </c>
      <c r="V634">
        <v>20260921039</v>
      </c>
    </row>
    <row r="635" spans="1:22" x14ac:dyDescent="0.2">
      <c r="A635" s="34" t="s">
        <v>122</v>
      </c>
      <c r="B635" s="28">
        <v>46286</v>
      </c>
      <c r="C635" s="34"/>
      <c r="D635" s="34" t="s">
        <v>339</v>
      </c>
      <c r="E635" s="34" t="s">
        <v>279</v>
      </c>
      <c r="F635" s="34" t="s">
        <v>280</v>
      </c>
      <c r="G635" s="34" t="s">
        <v>281</v>
      </c>
      <c r="H635" s="34" t="s">
        <v>282</v>
      </c>
      <c r="I635">
        <v>6</v>
      </c>
      <c r="J635">
        <v>0</v>
      </c>
      <c r="K635">
        <v>5</v>
      </c>
      <c r="L635">
        <v>1</v>
      </c>
      <c r="O635" s="28">
        <v>46285</v>
      </c>
      <c r="R635">
        <v>-1</v>
      </c>
      <c r="S635">
        <v>40</v>
      </c>
      <c r="T635">
        <v>6</v>
      </c>
      <c r="U635">
        <v>44</v>
      </c>
      <c r="V635">
        <v>20260921040</v>
      </c>
    </row>
    <row r="636" spans="1:22" x14ac:dyDescent="0.2">
      <c r="A636" s="34" t="s">
        <v>122</v>
      </c>
      <c r="B636" s="28">
        <v>46286</v>
      </c>
      <c r="C636" s="34"/>
      <c r="D636" s="34" t="s">
        <v>339</v>
      </c>
      <c r="E636" s="34" t="s">
        <v>283</v>
      </c>
      <c r="F636" s="34" t="s">
        <v>284</v>
      </c>
      <c r="G636" s="34" t="s">
        <v>285</v>
      </c>
      <c r="H636" s="34" t="s">
        <v>286</v>
      </c>
      <c r="I636">
        <v>13</v>
      </c>
      <c r="J636">
        <v>0</v>
      </c>
      <c r="K636">
        <v>13</v>
      </c>
      <c r="L636">
        <v>0</v>
      </c>
      <c r="O636" s="28">
        <v>46285</v>
      </c>
      <c r="R636">
        <v>-1</v>
      </c>
      <c r="S636">
        <v>41</v>
      </c>
      <c r="T636">
        <v>6</v>
      </c>
      <c r="U636">
        <v>45</v>
      </c>
      <c r="V636">
        <v>20260921041</v>
      </c>
    </row>
    <row r="637" spans="1:22" x14ac:dyDescent="0.2">
      <c r="A637" s="34" t="s">
        <v>122</v>
      </c>
      <c r="B637" s="28">
        <v>46286</v>
      </c>
      <c r="C637" s="34"/>
      <c r="D637" s="34" t="s">
        <v>339</v>
      </c>
      <c r="E637" s="34" t="s">
        <v>287</v>
      </c>
      <c r="F637" s="34" t="s">
        <v>288</v>
      </c>
      <c r="G637" s="34" t="s">
        <v>289</v>
      </c>
      <c r="H637" s="34" t="s">
        <v>290</v>
      </c>
      <c r="I637">
        <v>22</v>
      </c>
      <c r="J637">
        <v>0</v>
      </c>
      <c r="K637">
        <v>17</v>
      </c>
      <c r="L637">
        <v>5</v>
      </c>
      <c r="O637" s="28">
        <v>46285</v>
      </c>
      <c r="R637">
        <v>-1</v>
      </c>
      <c r="S637">
        <v>42</v>
      </c>
      <c r="T637">
        <v>6</v>
      </c>
      <c r="U637">
        <v>46</v>
      </c>
      <c r="V637">
        <v>20260921042</v>
      </c>
    </row>
    <row r="638" spans="1:22" x14ac:dyDescent="0.2">
      <c r="A638" s="34" t="s">
        <v>122</v>
      </c>
      <c r="B638" s="28">
        <v>46286</v>
      </c>
      <c r="C638" s="34"/>
      <c r="D638" s="34" t="s">
        <v>339</v>
      </c>
      <c r="E638" s="34" t="s">
        <v>291</v>
      </c>
      <c r="F638" s="34" t="s">
        <v>342</v>
      </c>
      <c r="G638" s="34" t="s">
        <v>292</v>
      </c>
      <c r="H638" s="34" t="s">
        <v>293</v>
      </c>
      <c r="I638">
        <v>22</v>
      </c>
      <c r="J638">
        <v>0</v>
      </c>
      <c r="K638">
        <v>17</v>
      </c>
      <c r="L638">
        <v>5</v>
      </c>
      <c r="O638" s="28">
        <v>46285</v>
      </c>
      <c r="R638">
        <v>-1</v>
      </c>
      <c r="S638">
        <v>43</v>
      </c>
      <c r="T638">
        <v>6</v>
      </c>
      <c r="U638">
        <v>47</v>
      </c>
      <c r="V638">
        <v>20260921043</v>
      </c>
    </row>
    <row r="639" spans="1:22" x14ac:dyDescent="0.2">
      <c r="A639" s="34" t="s">
        <v>122</v>
      </c>
      <c r="B639" s="28">
        <v>46286</v>
      </c>
      <c r="C639" s="34"/>
      <c r="D639" s="34" t="s">
        <v>339</v>
      </c>
      <c r="E639" s="34" t="s">
        <v>294</v>
      </c>
      <c r="F639" s="34" t="s">
        <v>295</v>
      </c>
      <c r="G639" s="34" t="s">
        <v>296</v>
      </c>
      <c r="H639" s="34" t="s">
        <v>297</v>
      </c>
      <c r="I639">
        <v>15</v>
      </c>
      <c r="J639">
        <v>0</v>
      </c>
      <c r="K639">
        <v>12</v>
      </c>
      <c r="L639">
        <v>3</v>
      </c>
      <c r="O639" s="28">
        <v>46285</v>
      </c>
      <c r="R639">
        <v>-1</v>
      </c>
      <c r="S639">
        <v>44</v>
      </c>
      <c r="T639">
        <v>6</v>
      </c>
      <c r="U639">
        <v>48</v>
      </c>
      <c r="V639">
        <v>20260921044</v>
      </c>
    </row>
    <row r="640" spans="1:22" x14ac:dyDescent="0.2">
      <c r="A640" s="34" t="s">
        <v>122</v>
      </c>
      <c r="B640" s="28">
        <v>46286</v>
      </c>
      <c r="C640" s="34"/>
      <c r="D640" s="34" t="s">
        <v>339</v>
      </c>
      <c r="E640" s="34" t="s">
        <v>298</v>
      </c>
      <c r="F640" s="34" t="s">
        <v>299</v>
      </c>
      <c r="G640" s="34" t="s">
        <v>300</v>
      </c>
      <c r="H640" s="34" t="s">
        <v>301</v>
      </c>
      <c r="I640">
        <v>14</v>
      </c>
      <c r="J640">
        <v>0</v>
      </c>
      <c r="K640">
        <v>13</v>
      </c>
      <c r="L640">
        <v>1</v>
      </c>
      <c r="O640" s="28">
        <v>46285</v>
      </c>
      <c r="R640">
        <v>-1</v>
      </c>
      <c r="S640">
        <v>45</v>
      </c>
      <c r="T640">
        <v>6</v>
      </c>
      <c r="U640">
        <v>49</v>
      </c>
      <c r="V640">
        <v>20260921045</v>
      </c>
    </row>
    <row r="641" spans="1:22" x14ac:dyDescent="0.2">
      <c r="A641" s="34" t="s">
        <v>122</v>
      </c>
      <c r="B641" s="28">
        <v>46286</v>
      </c>
      <c r="C641" s="34"/>
      <c r="D641" s="34" t="s">
        <v>339</v>
      </c>
      <c r="E641" s="34" t="s">
        <v>302</v>
      </c>
      <c r="F641" s="34" t="s">
        <v>303</v>
      </c>
      <c r="G641" s="34" t="s">
        <v>304</v>
      </c>
      <c r="H641" s="34" t="s">
        <v>305</v>
      </c>
      <c r="I641">
        <v>8</v>
      </c>
      <c r="J641">
        <v>0</v>
      </c>
      <c r="K641">
        <v>8</v>
      </c>
      <c r="L641">
        <v>0</v>
      </c>
      <c r="O641" s="28">
        <v>46285</v>
      </c>
      <c r="R641">
        <v>-1</v>
      </c>
      <c r="S641">
        <v>46</v>
      </c>
      <c r="T641">
        <v>6</v>
      </c>
      <c r="U641">
        <v>50</v>
      </c>
      <c r="V641">
        <v>20260921046</v>
      </c>
    </row>
    <row r="642" spans="1:22" x14ac:dyDescent="0.2">
      <c r="A642" s="34" t="s">
        <v>122</v>
      </c>
      <c r="B642" s="28">
        <v>46286</v>
      </c>
      <c r="C642" s="34"/>
      <c r="D642" s="34" t="s">
        <v>339</v>
      </c>
      <c r="E642" s="34" t="s">
        <v>306</v>
      </c>
      <c r="F642" s="34" t="s">
        <v>307</v>
      </c>
      <c r="G642" s="34" t="s">
        <v>308</v>
      </c>
      <c r="H642" s="34" t="s">
        <v>309</v>
      </c>
      <c r="I642">
        <v>8</v>
      </c>
      <c r="J642">
        <v>0</v>
      </c>
      <c r="K642">
        <v>8</v>
      </c>
      <c r="L642">
        <v>0</v>
      </c>
      <c r="O642" s="28">
        <v>46285</v>
      </c>
      <c r="R642">
        <v>-1</v>
      </c>
      <c r="S642">
        <v>47</v>
      </c>
      <c r="T642">
        <v>6</v>
      </c>
      <c r="U642">
        <v>51</v>
      </c>
      <c r="V642">
        <v>20260921047</v>
      </c>
    </row>
    <row r="643" spans="1:22" x14ac:dyDescent="0.2">
      <c r="A643" s="34" t="s">
        <v>122</v>
      </c>
      <c r="B643" s="28">
        <v>46286</v>
      </c>
      <c r="C643" s="34"/>
      <c r="D643" s="34" t="s">
        <v>339</v>
      </c>
      <c r="E643" s="34" t="s">
        <v>310</v>
      </c>
      <c r="F643" s="34" t="s">
        <v>311</v>
      </c>
      <c r="G643" s="34" t="s">
        <v>312</v>
      </c>
      <c r="H643" s="34" t="s">
        <v>313</v>
      </c>
      <c r="I643">
        <v>13</v>
      </c>
      <c r="J643">
        <v>0</v>
      </c>
      <c r="K643">
        <v>9</v>
      </c>
      <c r="L643">
        <v>4</v>
      </c>
      <c r="O643" s="28">
        <v>46285</v>
      </c>
      <c r="R643">
        <v>-1</v>
      </c>
      <c r="S643">
        <v>48</v>
      </c>
      <c r="T643">
        <v>6</v>
      </c>
      <c r="U643">
        <v>52</v>
      </c>
      <c r="V643">
        <v>20260921048</v>
      </c>
    </row>
    <row r="644" spans="1:22" x14ac:dyDescent="0.2">
      <c r="A644" s="34" t="s">
        <v>122</v>
      </c>
      <c r="B644" s="28">
        <v>46286</v>
      </c>
      <c r="C644" s="34"/>
      <c r="D644" s="34" t="s">
        <v>339</v>
      </c>
      <c r="E644" s="34" t="s">
        <v>314</v>
      </c>
      <c r="F644" s="34" t="s">
        <v>315</v>
      </c>
      <c r="G644" s="34" t="s">
        <v>316</v>
      </c>
      <c r="H644" s="34" t="s">
        <v>317</v>
      </c>
      <c r="I644">
        <v>21</v>
      </c>
      <c r="J644">
        <v>0</v>
      </c>
      <c r="K644">
        <v>29</v>
      </c>
      <c r="L644">
        <v>-8</v>
      </c>
      <c r="O644" s="28">
        <v>46285</v>
      </c>
      <c r="R644">
        <v>-1</v>
      </c>
      <c r="S644">
        <v>49</v>
      </c>
      <c r="T644">
        <v>6</v>
      </c>
      <c r="U644">
        <v>53</v>
      </c>
      <c r="V644">
        <v>20260921049</v>
      </c>
    </row>
    <row r="645" spans="1:22" x14ac:dyDescent="0.2">
      <c r="A645" s="34" t="s">
        <v>122</v>
      </c>
      <c r="B645" s="28">
        <v>46286</v>
      </c>
      <c r="C645" s="34"/>
      <c r="D645" s="34" t="s">
        <v>339</v>
      </c>
      <c r="E645" s="34" t="s">
        <v>318</v>
      </c>
      <c r="F645" s="34" t="s">
        <v>319</v>
      </c>
      <c r="G645" s="34" t="s">
        <v>320</v>
      </c>
      <c r="H645" s="34" t="s">
        <v>321</v>
      </c>
      <c r="I645">
        <v>8</v>
      </c>
      <c r="J645">
        <v>0</v>
      </c>
      <c r="K645">
        <v>7</v>
      </c>
      <c r="L645">
        <v>1</v>
      </c>
      <c r="O645" s="28">
        <v>46285</v>
      </c>
      <c r="R645">
        <v>-1</v>
      </c>
      <c r="S645">
        <v>50</v>
      </c>
      <c r="T645">
        <v>6</v>
      </c>
      <c r="U645">
        <v>54</v>
      </c>
      <c r="V645">
        <v>20260921050</v>
      </c>
    </row>
    <row r="646" spans="1:22" x14ac:dyDescent="0.2">
      <c r="A646" s="34" t="s">
        <v>122</v>
      </c>
      <c r="B646" s="28">
        <v>46286</v>
      </c>
      <c r="C646" s="34"/>
      <c r="D646" s="34" t="s">
        <v>339</v>
      </c>
      <c r="E646" s="34" t="s">
        <v>322</v>
      </c>
      <c r="F646" s="34" t="s">
        <v>323</v>
      </c>
      <c r="G646" s="34" t="s">
        <v>324</v>
      </c>
      <c r="H646" s="34" t="s">
        <v>325</v>
      </c>
      <c r="I646">
        <v>4</v>
      </c>
      <c r="J646">
        <v>0</v>
      </c>
      <c r="K646">
        <v>3</v>
      </c>
      <c r="L646">
        <v>1</v>
      </c>
      <c r="O646" s="28">
        <v>46285</v>
      </c>
      <c r="R646">
        <v>-1</v>
      </c>
      <c r="S646">
        <v>51</v>
      </c>
      <c r="T646">
        <v>6</v>
      </c>
      <c r="U646">
        <v>55</v>
      </c>
      <c r="V646">
        <v>20260921051</v>
      </c>
    </row>
    <row r="647" spans="1:22" x14ac:dyDescent="0.2">
      <c r="A647" s="34" t="s">
        <v>122</v>
      </c>
      <c r="B647" s="28">
        <v>46286</v>
      </c>
      <c r="C647" s="34"/>
      <c r="D647" s="34" t="s">
        <v>339</v>
      </c>
      <c r="E647" s="34" t="s">
        <v>326</v>
      </c>
      <c r="F647" s="34" t="s">
        <v>327</v>
      </c>
      <c r="G647" s="34" t="s">
        <v>328</v>
      </c>
      <c r="H647" s="34" t="s">
        <v>329</v>
      </c>
      <c r="I647">
        <v>13</v>
      </c>
      <c r="J647">
        <v>0</v>
      </c>
      <c r="K647">
        <v>18</v>
      </c>
      <c r="L647">
        <v>-5</v>
      </c>
      <c r="O647" s="28">
        <v>46285</v>
      </c>
      <c r="R647">
        <v>-1</v>
      </c>
      <c r="S647">
        <v>52</v>
      </c>
      <c r="T647">
        <v>6</v>
      </c>
      <c r="U647">
        <v>73</v>
      </c>
      <c r="V647">
        <v>20260921052</v>
      </c>
    </row>
    <row r="648" spans="1:22" x14ac:dyDescent="0.2">
      <c r="A648" s="34" t="s">
        <v>122</v>
      </c>
      <c r="B648" s="28">
        <v>46286</v>
      </c>
      <c r="C648" s="34"/>
      <c r="D648" s="34" t="s">
        <v>339</v>
      </c>
      <c r="E648" s="34" t="s">
        <v>330</v>
      </c>
      <c r="F648" s="34" t="s">
        <v>331</v>
      </c>
      <c r="G648" s="34" t="s">
        <v>332</v>
      </c>
      <c r="H648" s="34" t="s">
        <v>333</v>
      </c>
      <c r="I648">
        <v>13</v>
      </c>
      <c r="J648">
        <v>0</v>
      </c>
      <c r="K648">
        <v>10</v>
      </c>
      <c r="L648">
        <v>3</v>
      </c>
      <c r="O648" s="28">
        <v>46285</v>
      </c>
      <c r="R648">
        <v>-1</v>
      </c>
      <c r="S648">
        <v>53</v>
      </c>
      <c r="T648">
        <v>6</v>
      </c>
      <c r="U648">
        <v>74</v>
      </c>
      <c r="V648">
        <v>20260921053</v>
      </c>
    </row>
    <row r="649" spans="1:22" x14ac:dyDescent="0.2">
      <c r="A649" s="34" t="s">
        <v>122</v>
      </c>
      <c r="B649" s="28">
        <v>46286</v>
      </c>
      <c r="C649" s="34"/>
      <c r="D649" s="34" t="s">
        <v>339</v>
      </c>
      <c r="E649" s="34" t="s">
        <v>334</v>
      </c>
      <c r="F649" s="34" t="s">
        <v>335</v>
      </c>
      <c r="G649" s="34" t="s">
        <v>336</v>
      </c>
      <c r="H649" s="34" t="s">
        <v>337</v>
      </c>
      <c r="I649">
        <v>14</v>
      </c>
      <c r="J649">
        <v>0</v>
      </c>
      <c r="K649">
        <v>24</v>
      </c>
      <c r="L649">
        <v>-10</v>
      </c>
      <c r="O649" s="28">
        <v>46285</v>
      </c>
      <c r="R649">
        <v>-1</v>
      </c>
      <c r="S649">
        <v>54</v>
      </c>
      <c r="T649">
        <v>6</v>
      </c>
      <c r="U649">
        <v>75</v>
      </c>
      <c r="V649">
        <v>20260921054</v>
      </c>
    </row>
    <row r="650" spans="1:22" x14ac:dyDescent="0.2">
      <c r="A650" s="34" t="s">
        <v>122</v>
      </c>
      <c r="B650" s="28">
        <v>46287</v>
      </c>
      <c r="C650" s="34"/>
      <c r="D650" s="34" t="s">
        <v>339</v>
      </c>
      <c r="E650" s="34" t="s">
        <v>124</v>
      </c>
      <c r="F650" s="34" t="s">
        <v>125</v>
      </c>
      <c r="G650" s="34" t="s">
        <v>126</v>
      </c>
      <c r="H650" s="34" t="s">
        <v>127</v>
      </c>
      <c r="I650">
        <v>12</v>
      </c>
      <c r="J650">
        <v>0</v>
      </c>
      <c r="K650">
        <v>11</v>
      </c>
      <c r="L650">
        <v>1</v>
      </c>
      <c r="O650" s="28">
        <v>46286</v>
      </c>
      <c r="R650">
        <v>-1</v>
      </c>
      <c r="S650">
        <v>1</v>
      </c>
      <c r="T650">
        <v>5</v>
      </c>
      <c r="U650">
        <v>1</v>
      </c>
      <c r="V650">
        <v>20260922001</v>
      </c>
    </row>
    <row r="651" spans="1:22" x14ac:dyDescent="0.2">
      <c r="A651" s="34" t="s">
        <v>122</v>
      </c>
      <c r="B651" s="28">
        <v>46287</v>
      </c>
      <c r="C651" s="34"/>
      <c r="D651" s="34" t="s">
        <v>339</v>
      </c>
      <c r="E651" s="34" t="s">
        <v>128</v>
      </c>
      <c r="F651" s="34" t="s">
        <v>129</v>
      </c>
      <c r="G651" s="34" t="s">
        <v>130</v>
      </c>
      <c r="H651" s="34" t="s">
        <v>131</v>
      </c>
      <c r="I651">
        <v>5</v>
      </c>
      <c r="J651">
        <v>0</v>
      </c>
      <c r="K651">
        <v>5</v>
      </c>
      <c r="L651">
        <v>0</v>
      </c>
      <c r="O651" s="28">
        <v>46286</v>
      </c>
      <c r="R651">
        <v>-1</v>
      </c>
      <c r="S651">
        <v>2</v>
      </c>
      <c r="T651">
        <v>5</v>
      </c>
      <c r="U651">
        <v>2</v>
      </c>
      <c r="V651">
        <v>20260922002</v>
      </c>
    </row>
    <row r="652" spans="1:22" x14ac:dyDescent="0.2">
      <c r="A652" s="34" t="s">
        <v>122</v>
      </c>
      <c r="B652" s="28">
        <v>46287</v>
      </c>
      <c r="C652" s="34"/>
      <c r="D652" s="34" t="s">
        <v>339</v>
      </c>
      <c r="E652" s="34" t="s">
        <v>132</v>
      </c>
      <c r="F652" s="34" t="s">
        <v>133</v>
      </c>
      <c r="G652" s="34" t="s">
        <v>134</v>
      </c>
      <c r="H652" s="34" t="s">
        <v>135</v>
      </c>
      <c r="I652">
        <v>5</v>
      </c>
      <c r="J652">
        <v>0</v>
      </c>
      <c r="K652">
        <v>5</v>
      </c>
      <c r="L652">
        <v>0</v>
      </c>
      <c r="O652" s="28">
        <v>46286</v>
      </c>
      <c r="R652">
        <v>-1</v>
      </c>
      <c r="S652">
        <v>3</v>
      </c>
      <c r="T652">
        <v>5</v>
      </c>
      <c r="U652">
        <v>3</v>
      </c>
      <c r="V652">
        <v>20260922003</v>
      </c>
    </row>
    <row r="653" spans="1:22" x14ac:dyDescent="0.2">
      <c r="A653" s="34" t="s">
        <v>122</v>
      </c>
      <c r="B653" s="28">
        <v>46287</v>
      </c>
      <c r="C653" s="34"/>
      <c r="D653" s="34" t="s">
        <v>339</v>
      </c>
      <c r="E653" s="34" t="s">
        <v>136</v>
      </c>
      <c r="F653" s="34" t="s">
        <v>137</v>
      </c>
      <c r="G653" s="34" t="s">
        <v>138</v>
      </c>
      <c r="H653" s="34" t="s">
        <v>139</v>
      </c>
      <c r="I653">
        <v>8</v>
      </c>
      <c r="J653">
        <v>0</v>
      </c>
      <c r="K653">
        <v>2</v>
      </c>
      <c r="L653">
        <v>6</v>
      </c>
      <c r="O653" s="28">
        <v>46286</v>
      </c>
      <c r="R653">
        <v>-1</v>
      </c>
      <c r="S653">
        <v>4</v>
      </c>
      <c r="T653">
        <v>5</v>
      </c>
      <c r="U653">
        <v>4</v>
      </c>
      <c r="V653">
        <v>20260922004</v>
      </c>
    </row>
    <row r="654" spans="1:22" x14ac:dyDescent="0.2">
      <c r="A654" s="34" t="s">
        <v>122</v>
      </c>
      <c r="B654" s="28">
        <v>46287</v>
      </c>
      <c r="C654" s="34"/>
      <c r="D654" s="34" t="s">
        <v>339</v>
      </c>
      <c r="E654" s="34" t="s">
        <v>140</v>
      </c>
      <c r="F654" s="34" t="s">
        <v>141</v>
      </c>
      <c r="G654" s="34" t="s">
        <v>142</v>
      </c>
      <c r="H654" s="34" t="s">
        <v>143</v>
      </c>
      <c r="I654">
        <v>5</v>
      </c>
      <c r="J654">
        <v>0</v>
      </c>
      <c r="K654">
        <v>5</v>
      </c>
      <c r="L654">
        <v>0</v>
      </c>
      <c r="O654" s="28">
        <v>46286</v>
      </c>
      <c r="R654">
        <v>-1</v>
      </c>
      <c r="S654">
        <v>5</v>
      </c>
      <c r="T654">
        <v>5</v>
      </c>
      <c r="U654">
        <v>5</v>
      </c>
      <c r="V654">
        <v>20260922005</v>
      </c>
    </row>
    <row r="655" spans="1:22" x14ac:dyDescent="0.2">
      <c r="A655" s="34" t="s">
        <v>122</v>
      </c>
      <c r="B655" s="28">
        <v>46287</v>
      </c>
      <c r="C655" s="34"/>
      <c r="D655" s="34" t="s">
        <v>339</v>
      </c>
      <c r="E655" s="34" t="s">
        <v>144</v>
      </c>
      <c r="F655" s="34" t="s">
        <v>145</v>
      </c>
      <c r="G655" s="34" t="s">
        <v>146</v>
      </c>
      <c r="H655" s="34" t="s">
        <v>147</v>
      </c>
      <c r="I655">
        <v>9</v>
      </c>
      <c r="J655">
        <v>0</v>
      </c>
      <c r="K655">
        <v>9</v>
      </c>
      <c r="L655">
        <v>0</v>
      </c>
      <c r="O655" s="28">
        <v>46286</v>
      </c>
      <c r="R655">
        <v>-1</v>
      </c>
      <c r="S655">
        <v>6</v>
      </c>
      <c r="T655">
        <v>5</v>
      </c>
      <c r="U655">
        <v>6</v>
      </c>
      <c r="V655">
        <v>20260922006</v>
      </c>
    </row>
    <row r="656" spans="1:22" x14ac:dyDescent="0.2">
      <c r="A656" s="34" t="s">
        <v>122</v>
      </c>
      <c r="B656" s="28">
        <v>46287</v>
      </c>
      <c r="C656" s="34"/>
      <c r="D656" s="34" t="s">
        <v>339</v>
      </c>
      <c r="E656" s="34" t="s">
        <v>148</v>
      </c>
      <c r="F656" s="34" t="s">
        <v>149</v>
      </c>
      <c r="G656" s="34" t="s">
        <v>150</v>
      </c>
      <c r="H656" s="34" t="s">
        <v>151</v>
      </c>
      <c r="I656">
        <v>4</v>
      </c>
      <c r="J656">
        <v>0</v>
      </c>
      <c r="K656">
        <v>4</v>
      </c>
      <c r="L656">
        <v>0</v>
      </c>
      <c r="O656" s="28">
        <v>46286</v>
      </c>
      <c r="R656">
        <v>-1</v>
      </c>
      <c r="S656">
        <v>7</v>
      </c>
      <c r="T656">
        <v>5</v>
      </c>
      <c r="U656">
        <v>7</v>
      </c>
      <c r="V656">
        <v>20260922007</v>
      </c>
    </row>
    <row r="657" spans="1:22" x14ac:dyDescent="0.2">
      <c r="A657" s="34" t="s">
        <v>122</v>
      </c>
      <c r="B657" s="28">
        <v>46287</v>
      </c>
      <c r="C657" s="34"/>
      <c r="D657" s="34" t="s">
        <v>339</v>
      </c>
      <c r="E657" s="34" t="s">
        <v>152</v>
      </c>
      <c r="F657" s="34" t="s">
        <v>153</v>
      </c>
      <c r="G657" s="34" t="s">
        <v>154</v>
      </c>
      <c r="H657" s="34" t="s">
        <v>155</v>
      </c>
      <c r="I657">
        <v>16</v>
      </c>
      <c r="J657">
        <v>0</v>
      </c>
      <c r="K657">
        <v>10</v>
      </c>
      <c r="L657">
        <v>6</v>
      </c>
      <c r="O657" s="28">
        <v>46286</v>
      </c>
      <c r="R657">
        <v>-1</v>
      </c>
      <c r="S657">
        <v>8</v>
      </c>
      <c r="T657">
        <v>5</v>
      </c>
      <c r="U657">
        <v>8</v>
      </c>
      <c r="V657">
        <v>20260922008</v>
      </c>
    </row>
    <row r="658" spans="1:22" x14ac:dyDescent="0.2">
      <c r="A658" s="34" t="s">
        <v>122</v>
      </c>
      <c r="B658" s="28">
        <v>46287</v>
      </c>
      <c r="C658" s="34"/>
      <c r="D658" s="34" t="s">
        <v>339</v>
      </c>
      <c r="E658" s="34" t="s">
        <v>156</v>
      </c>
      <c r="F658" s="34" t="s">
        <v>157</v>
      </c>
      <c r="G658" s="34" t="s">
        <v>158</v>
      </c>
      <c r="H658" s="34" t="s">
        <v>159</v>
      </c>
      <c r="I658">
        <v>16</v>
      </c>
      <c r="J658">
        <v>0</v>
      </c>
      <c r="K658">
        <v>13</v>
      </c>
      <c r="L658">
        <v>3</v>
      </c>
      <c r="O658" s="28">
        <v>46286</v>
      </c>
      <c r="R658">
        <v>-1</v>
      </c>
      <c r="S658">
        <v>9</v>
      </c>
      <c r="T658">
        <v>5</v>
      </c>
      <c r="U658">
        <v>9</v>
      </c>
      <c r="V658">
        <v>20260922009</v>
      </c>
    </row>
    <row r="659" spans="1:22" x14ac:dyDescent="0.2">
      <c r="A659" s="34" t="s">
        <v>122</v>
      </c>
      <c r="B659" s="28">
        <v>46287</v>
      </c>
      <c r="C659" s="34"/>
      <c r="D659" s="34" t="s">
        <v>339</v>
      </c>
      <c r="E659" s="34" t="s">
        <v>160</v>
      </c>
      <c r="F659" s="34" t="s">
        <v>161</v>
      </c>
      <c r="G659" s="34" t="s">
        <v>162</v>
      </c>
      <c r="H659" s="34" t="s">
        <v>163</v>
      </c>
      <c r="I659">
        <v>15</v>
      </c>
      <c r="J659">
        <v>0</v>
      </c>
      <c r="K659">
        <v>15</v>
      </c>
      <c r="L659">
        <v>0</v>
      </c>
      <c r="O659" s="28">
        <v>46286</v>
      </c>
      <c r="R659">
        <v>-1</v>
      </c>
      <c r="S659">
        <v>10</v>
      </c>
      <c r="T659">
        <v>5</v>
      </c>
      <c r="U659">
        <v>10</v>
      </c>
      <c r="V659">
        <v>20260922010</v>
      </c>
    </row>
    <row r="660" spans="1:22" x14ac:dyDescent="0.2">
      <c r="A660" s="34" t="s">
        <v>122</v>
      </c>
      <c r="B660" s="28">
        <v>46287</v>
      </c>
      <c r="C660" s="34"/>
      <c r="D660" s="34" t="s">
        <v>339</v>
      </c>
      <c r="E660" s="34" t="s">
        <v>164</v>
      </c>
      <c r="F660" s="34" t="s">
        <v>165</v>
      </c>
      <c r="G660" s="34" t="s">
        <v>166</v>
      </c>
      <c r="H660" s="34" t="s">
        <v>167</v>
      </c>
      <c r="I660">
        <v>39</v>
      </c>
      <c r="J660">
        <v>0</v>
      </c>
      <c r="K660">
        <v>37</v>
      </c>
      <c r="L660">
        <v>2</v>
      </c>
      <c r="O660" s="28">
        <v>46286</v>
      </c>
      <c r="R660">
        <v>-1</v>
      </c>
      <c r="S660">
        <v>11</v>
      </c>
      <c r="T660">
        <v>5</v>
      </c>
      <c r="U660">
        <v>11</v>
      </c>
      <c r="V660">
        <v>20260922011</v>
      </c>
    </row>
    <row r="661" spans="1:22" x14ac:dyDescent="0.2">
      <c r="A661" s="34" t="s">
        <v>122</v>
      </c>
      <c r="B661" s="28">
        <v>46287</v>
      </c>
      <c r="C661" s="34"/>
      <c r="D661" s="34" t="s">
        <v>339</v>
      </c>
      <c r="E661" s="34" t="s">
        <v>168</v>
      </c>
      <c r="F661" s="34" t="s">
        <v>169</v>
      </c>
      <c r="G661" s="34" t="s">
        <v>170</v>
      </c>
      <c r="H661" s="34" t="s">
        <v>171</v>
      </c>
      <c r="I661">
        <v>10</v>
      </c>
      <c r="J661">
        <v>0</v>
      </c>
      <c r="K661">
        <v>6</v>
      </c>
      <c r="L661">
        <v>4</v>
      </c>
      <c r="O661" s="28">
        <v>46286</v>
      </c>
      <c r="R661">
        <v>-1</v>
      </c>
      <c r="S661">
        <v>12</v>
      </c>
      <c r="T661">
        <v>5</v>
      </c>
      <c r="U661">
        <v>12</v>
      </c>
      <c r="V661">
        <v>20260922012</v>
      </c>
    </row>
    <row r="662" spans="1:22" x14ac:dyDescent="0.2">
      <c r="A662" s="34" t="s">
        <v>122</v>
      </c>
      <c r="B662" s="28">
        <v>46287</v>
      </c>
      <c r="C662" s="34"/>
      <c r="D662" s="34" t="s">
        <v>339</v>
      </c>
      <c r="E662" s="34" t="s">
        <v>172</v>
      </c>
      <c r="F662" s="34" t="s">
        <v>173</v>
      </c>
      <c r="G662" s="34" t="s">
        <v>174</v>
      </c>
      <c r="H662" s="34" t="s">
        <v>175</v>
      </c>
      <c r="I662">
        <v>13</v>
      </c>
      <c r="J662">
        <v>0</v>
      </c>
      <c r="K662">
        <v>12</v>
      </c>
      <c r="L662">
        <v>1</v>
      </c>
      <c r="O662" s="28">
        <v>46286</v>
      </c>
      <c r="R662">
        <v>-1</v>
      </c>
      <c r="S662">
        <v>13</v>
      </c>
      <c r="T662">
        <v>5</v>
      </c>
      <c r="U662">
        <v>13</v>
      </c>
      <c r="V662">
        <v>20260922013</v>
      </c>
    </row>
    <row r="663" spans="1:22" x14ac:dyDescent="0.2">
      <c r="A663" s="34" t="s">
        <v>122</v>
      </c>
      <c r="B663" s="28">
        <v>46287</v>
      </c>
      <c r="C663" s="34"/>
      <c r="D663" s="34" t="s">
        <v>339</v>
      </c>
      <c r="E663" s="34" t="s">
        <v>176</v>
      </c>
      <c r="F663" s="34" t="s">
        <v>177</v>
      </c>
      <c r="G663" s="34" t="s">
        <v>178</v>
      </c>
      <c r="H663" s="34" t="s">
        <v>179</v>
      </c>
      <c r="I663">
        <v>25</v>
      </c>
      <c r="J663">
        <v>0</v>
      </c>
      <c r="K663">
        <v>28</v>
      </c>
      <c r="L663">
        <v>-3</v>
      </c>
      <c r="O663" s="28">
        <v>46286</v>
      </c>
      <c r="R663">
        <v>-1</v>
      </c>
      <c r="S663">
        <v>14</v>
      </c>
      <c r="T663">
        <v>5</v>
      </c>
      <c r="U663">
        <v>14</v>
      </c>
      <c r="V663">
        <v>20260922014</v>
      </c>
    </row>
    <row r="664" spans="1:22" x14ac:dyDescent="0.2">
      <c r="A664" s="34" t="s">
        <v>122</v>
      </c>
      <c r="B664" s="28">
        <v>46287</v>
      </c>
      <c r="C664" s="34"/>
      <c r="D664" s="34" t="s">
        <v>339</v>
      </c>
      <c r="E664" s="34" t="s">
        <v>180</v>
      </c>
      <c r="F664" s="34" t="s">
        <v>181</v>
      </c>
      <c r="G664" s="34" t="s">
        <v>182</v>
      </c>
      <c r="H664" s="34" t="s">
        <v>183</v>
      </c>
      <c r="I664">
        <v>18</v>
      </c>
      <c r="J664">
        <v>0</v>
      </c>
      <c r="K664">
        <v>17</v>
      </c>
      <c r="L664">
        <v>1</v>
      </c>
      <c r="O664" s="28">
        <v>46286</v>
      </c>
      <c r="R664">
        <v>-1</v>
      </c>
      <c r="S664">
        <v>15</v>
      </c>
      <c r="T664">
        <v>5</v>
      </c>
      <c r="U664">
        <v>15</v>
      </c>
      <c r="V664">
        <v>20260922015</v>
      </c>
    </row>
    <row r="665" spans="1:22" x14ac:dyDescent="0.2">
      <c r="A665" s="34" t="s">
        <v>122</v>
      </c>
      <c r="B665" s="28">
        <v>46287</v>
      </c>
      <c r="C665" s="34"/>
      <c r="D665" s="34" t="s">
        <v>339</v>
      </c>
      <c r="E665" s="34" t="s">
        <v>184</v>
      </c>
      <c r="F665" s="34" t="s">
        <v>185</v>
      </c>
      <c r="G665" s="34" t="s">
        <v>186</v>
      </c>
      <c r="H665" s="34" t="s">
        <v>187</v>
      </c>
      <c r="I665">
        <v>13</v>
      </c>
      <c r="J665">
        <v>0</v>
      </c>
      <c r="K665">
        <v>10</v>
      </c>
      <c r="L665">
        <v>3</v>
      </c>
      <c r="O665" s="28">
        <v>46286</v>
      </c>
      <c r="R665">
        <v>-1</v>
      </c>
      <c r="S665">
        <v>16</v>
      </c>
      <c r="T665">
        <v>5</v>
      </c>
      <c r="U665">
        <v>16</v>
      </c>
      <c r="V665">
        <v>20260922016</v>
      </c>
    </row>
    <row r="666" spans="1:22" x14ac:dyDescent="0.2">
      <c r="A666" s="34" t="s">
        <v>122</v>
      </c>
      <c r="B666" s="28">
        <v>46287</v>
      </c>
      <c r="C666" s="34"/>
      <c r="D666" s="34" t="s">
        <v>339</v>
      </c>
      <c r="E666" s="34" t="s">
        <v>188</v>
      </c>
      <c r="F666" s="34" t="s">
        <v>189</v>
      </c>
      <c r="G666" s="34" t="s">
        <v>190</v>
      </c>
      <c r="H666" s="34" t="s">
        <v>191</v>
      </c>
      <c r="I666">
        <v>4</v>
      </c>
      <c r="J666">
        <v>0</v>
      </c>
      <c r="K666">
        <v>4</v>
      </c>
      <c r="L666">
        <v>0</v>
      </c>
      <c r="O666" s="28">
        <v>46286</v>
      </c>
      <c r="R666">
        <v>-1</v>
      </c>
      <c r="S666">
        <v>17</v>
      </c>
      <c r="T666">
        <v>5</v>
      </c>
      <c r="U666">
        <v>21</v>
      </c>
      <c r="V666">
        <v>20260922017</v>
      </c>
    </row>
    <row r="667" spans="1:22" x14ac:dyDescent="0.2">
      <c r="A667" s="34" t="s">
        <v>122</v>
      </c>
      <c r="B667" s="28">
        <v>46287</v>
      </c>
      <c r="C667" s="34"/>
      <c r="D667" s="34" t="s">
        <v>339</v>
      </c>
      <c r="E667" s="34" t="s">
        <v>192</v>
      </c>
      <c r="F667" s="34" t="s">
        <v>193</v>
      </c>
      <c r="G667" s="34" t="s">
        <v>194</v>
      </c>
      <c r="H667" s="34" t="s">
        <v>195</v>
      </c>
      <c r="I667">
        <v>4</v>
      </c>
      <c r="J667">
        <v>0</v>
      </c>
      <c r="K667">
        <v>4</v>
      </c>
      <c r="L667">
        <v>0</v>
      </c>
      <c r="O667" s="28">
        <v>46286</v>
      </c>
      <c r="R667">
        <v>-1</v>
      </c>
      <c r="S667">
        <v>18</v>
      </c>
      <c r="T667">
        <v>5</v>
      </c>
      <c r="U667">
        <v>22</v>
      </c>
      <c r="V667">
        <v>20260922018</v>
      </c>
    </row>
    <row r="668" spans="1:22" x14ac:dyDescent="0.2">
      <c r="A668" s="34" t="s">
        <v>122</v>
      </c>
      <c r="B668" s="28">
        <v>46287</v>
      </c>
      <c r="C668" s="34"/>
      <c r="D668" s="34" t="s">
        <v>339</v>
      </c>
      <c r="E668" s="34" t="s">
        <v>196</v>
      </c>
      <c r="F668" s="34" t="s">
        <v>197</v>
      </c>
      <c r="G668" s="34" t="s">
        <v>198</v>
      </c>
      <c r="H668" s="34" t="s">
        <v>199</v>
      </c>
      <c r="I668">
        <v>12</v>
      </c>
      <c r="J668">
        <v>0</v>
      </c>
      <c r="K668">
        <v>12</v>
      </c>
      <c r="L668">
        <v>0</v>
      </c>
      <c r="O668" s="28">
        <v>46286</v>
      </c>
      <c r="R668">
        <v>-1</v>
      </c>
      <c r="S668">
        <v>19</v>
      </c>
      <c r="T668">
        <v>5</v>
      </c>
      <c r="U668">
        <v>23</v>
      </c>
      <c r="V668">
        <v>20260922019</v>
      </c>
    </row>
    <row r="669" spans="1:22" x14ac:dyDescent="0.2">
      <c r="A669" s="34" t="s">
        <v>122</v>
      </c>
      <c r="B669" s="28">
        <v>46287</v>
      </c>
      <c r="C669" s="34"/>
      <c r="D669" s="34" t="s">
        <v>339</v>
      </c>
      <c r="E669" s="34" t="s">
        <v>200</v>
      </c>
      <c r="F669" s="34" t="s">
        <v>201</v>
      </c>
      <c r="G669" s="34" t="s">
        <v>202</v>
      </c>
      <c r="H669" s="34" t="s">
        <v>203</v>
      </c>
      <c r="I669">
        <v>11</v>
      </c>
      <c r="J669">
        <v>0</v>
      </c>
      <c r="K669">
        <v>5</v>
      </c>
      <c r="L669">
        <v>6</v>
      </c>
      <c r="O669" s="28">
        <v>46286</v>
      </c>
      <c r="R669">
        <v>-1</v>
      </c>
      <c r="S669">
        <v>20</v>
      </c>
      <c r="T669">
        <v>5</v>
      </c>
      <c r="U669">
        <v>24</v>
      </c>
      <c r="V669">
        <v>20260922020</v>
      </c>
    </row>
    <row r="670" spans="1:22" x14ac:dyDescent="0.2">
      <c r="A670" s="34" t="s">
        <v>122</v>
      </c>
      <c r="B670" s="28">
        <v>46287</v>
      </c>
      <c r="C670" s="34"/>
      <c r="D670" s="34" t="s">
        <v>339</v>
      </c>
      <c r="E670" s="34" t="s">
        <v>204</v>
      </c>
      <c r="F670" s="34" t="s">
        <v>205</v>
      </c>
      <c r="G670" s="34" t="s">
        <v>206</v>
      </c>
      <c r="H670" s="34" t="s">
        <v>207</v>
      </c>
      <c r="I670">
        <v>7</v>
      </c>
      <c r="J670">
        <v>0</v>
      </c>
      <c r="K670">
        <v>4</v>
      </c>
      <c r="L670">
        <v>3</v>
      </c>
      <c r="O670" s="28">
        <v>46286</v>
      </c>
      <c r="R670">
        <v>-1</v>
      </c>
      <c r="S670">
        <v>21</v>
      </c>
      <c r="T670">
        <v>5</v>
      </c>
      <c r="U670">
        <v>25</v>
      </c>
      <c r="V670">
        <v>20260922021</v>
      </c>
    </row>
    <row r="671" spans="1:22" x14ac:dyDescent="0.2">
      <c r="A671" s="34" t="s">
        <v>122</v>
      </c>
      <c r="B671" s="28">
        <v>46287</v>
      </c>
      <c r="C671" s="34"/>
      <c r="D671" s="34" t="s">
        <v>339</v>
      </c>
      <c r="E671" s="34" t="s">
        <v>208</v>
      </c>
      <c r="F671" s="34" t="s">
        <v>209</v>
      </c>
      <c r="G671" s="34" t="s">
        <v>210</v>
      </c>
      <c r="H671" s="34" t="s">
        <v>211</v>
      </c>
      <c r="I671">
        <v>13</v>
      </c>
      <c r="J671">
        <v>0</v>
      </c>
      <c r="K671">
        <v>12</v>
      </c>
      <c r="L671">
        <v>1</v>
      </c>
      <c r="O671" s="28">
        <v>46286</v>
      </c>
      <c r="R671">
        <v>-1</v>
      </c>
      <c r="S671">
        <v>22</v>
      </c>
      <c r="T671">
        <v>5</v>
      </c>
      <c r="U671">
        <v>26</v>
      </c>
      <c r="V671">
        <v>20260922022</v>
      </c>
    </row>
    <row r="672" spans="1:22" x14ac:dyDescent="0.2">
      <c r="A672" s="34" t="s">
        <v>122</v>
      </c>
      <c r="B672" s="28">
        <v>46287</v>
      </c>
      <c r="C672" s="34"/>
      <c r="D672" s="34" t="s">
        <v>339</v>
      </c>
      <c r="E672" s="34" t="s">
        <v>212</v>
      </c>
      <c r="F672" s="34" t="s">
        <v>213</v>
      </c>
      <c r="G672" s="34" t="s">
        <v>214</v>
      </c>
      <c r="H672" s="34" t="s">
        <v>215</v>
      </c>
      <c r="I672">
        <v>3</v>
      </c>
      <c r="J672">
        <v>0</v>
      </c>
      <c r="K672">
        <v>8</v>
      </c>
      <c r="L672">
        <v>-5</v>
      </c>
      <c r="O672" s="28">
        <v>46286</v>
      </c>
      <c r="R672">
        <v>-1</v>
      </c>
      <c r="S672">
        <v>23</v>
      </c>
      <c r="T672">
        <v>5</v>
      </c>
      <c r="U672">
        <v>27</v>
      </c>
      <c r="V672">
        <v>20260922023</v>
      </c>
    </row>
    <row r="673" spans="1:22" x14ac:dyDescent="0.2">
      <c r="A673" s="34" t="s">
        <v>122</v>
      </c>
      <c r="B673" s="28">
        <v>46287</v>
      </c>
      <c r="C673" s="34"/>
      <c r="D673" s="34" t="s">
        <v>339</v>
      </c>
      <c r="E673" s="34" t="s">
        <v>216</v>
      </c>
      <c r="F673" s="34" t="s">
        <v>217</v>
      </c>
      <c r="G673" s="34" t="s">
        <v>218</v>
      </c>
      <c r="H673" s="34" t="s">
        <v>219</v>
      </c>
      <c r="I673">
        <v>6</v>
      </c>
      <c r="J673">
        <v>0</v>
      </c>
      <c r="K673">
        <v>2</v>
      </c>
      <c r="L673">
        <v>4</v>
      </c>
      <c r="O673" s="28">
        <v>46286</v>
      </c>
      <c r="R673">
        <v>-1</v>
      </c>
      <c r="S673">
        <v>24</v>
      </c>
      <c r="T673">
        <v>5</v>
      </c>
      <c r="U673">
        <v>28</v>
      </c>
      <c r="V673">
        <v>20260922024</v>
      </c>
    </row>
    <row r="674" spans="1:22" x14ac:dyDescent="0.2">
      <c r="A674" s="34" t="s">
        <v>122</v>
      </c>
      <c r="B674" s="28">
        <v>46287</v>
      </c>
      <c r="C674" s="34"/>
      <c r="D674" s="34" t="s">
        <v>339</v>
      </c>
      <c r="E674" s="34" t="s">
        <v>220</v>
      </c>
      <c r="F674" s="34" t="s">
        <v>221</v>
      </c>
      <c r="G674" s="34" t="s">
        <v>222</v>
      </c>
      <c r="H674" s="34" t="s">
        <v>223</v>
      </c>
      <c r="I674">
        <v>9</v>
      </c>
      <c r="J674">
        <v>0</v>
      </c>
      <c r="K674">
        <v>9</v>
      </c>
      <c r="L674">
        <v>0</v>
      </c>
      <c r="O674" s="28">
        <v>46286</v>
      </c>
      <c r="R674">
        <v>-1</v>
      </c>
      <c r="S674">
        <v>25</v>
      </c>
      <c r="T674">
        <v>5</v>
      </c>
      <c r="U674">
        <v>29</v>
      </c>
      <c r="V674">
        <v>20260922025</v>
      </c>
    </row>
    <row r="675" spans="1:22" x14ac:dyDescent="0.2">
      <c r="A675" s="34" t="s">
        <v>122</v>
      </c>
      <c r="B675" s="28">
        <v>46287</v>
      </c>
      <c r="C675" s="34"/>
      <c r="D675" s="34" t="s">
        <v>339</v>
      </c>
      <c r="E675" s="34" t="s">
        <v>224</v>
      </c>
      <c r="F675" s="34" t="s">
        <v>225</v>
      </c>
      <c r="G675" s="34" t="s">
        <v>226</v>
      </c>
      <c r="H675" s="34" t="s">
        <v>227</v>
      </c>
      <c r="I675">
        <v>12</v>
      </c>
      <c r="J675">
        <v>0</v>
      </c>
      <c r="K675">
        <v>10</v>
      </c>
      <c r="L675">
        <v>2</v>
      </c>
      <c r="O675" s="28">
        <v>46286</v>
      </c>
      <c r="R675">
        <v>-1</v>
      </c>
      <c r="S675">
        <v>26</v>
      </c>
      <c r="T675">
        <v>5</v>
      </c>
      <c r="U675">
        <v>30</v>
      </c>
      <c r="V675">
        <v>20260922026</v>
      </c>
    </row>
    <row r="676" spans="1:22" x14ac:dyDescent="0.2">
      <c r="A676" s="34" t="s">
        <v>122</v>
      </c>
      <c r="B676" s="28">
        <v>46287</v>
      </c>
      <c r="C676" s="34"/>
      <c r="D676" s="34" t="s">
        <v>339</v>
      </c>
      <c r="E676" s="34" t="s">
        <v>228</v>
      </c>
      <c r="F676" s="34" t="s">
        <v>229</v>
      </c>
      <c r="G676" s="34" t="s">
        <v>230</v>
      </c>
      <c r="H676" s="34" t="s">
        <v>231</v>
      </c>
      <c r="I676">
        <v>9</v>
      </c>
      <c r="J676">
        <v>0</v>
      </c>
      <c r="K676">
        <v>6</v>
      </c>
      <c r="L676">
        <v>3</v>
      </c>
      <c r="O676" s="28">
        <v>46286</v>
      </c>
      <c r="R676">
        <v>-1</v>
      </c>
      <c r="S676">
        <v>27</v>
      </c>
      <c r="T676">
        <v>5</v>
      </c>
      <c r="U676">
        <v>31</v>
      </c>
      <c r="V676">
        <v>20260922027</v>
      </c>
    </row>
    <row r="677" spans="1:22" x14ac:dyDescent="0.2">
      <c r="A677" s="34" t="s">
        <v>122</v>
      </c>
      <c r="B677" s="28">
        <v>46287</v>
      </c>
      <c r="C677" s="34"/>
      <c r="D677" s="34" t="s">
        <v>339</v>
      </c>
      <c r="E677" s="34" t="s">
        <v>232</v>
      </c>
      <c r="F677" s="34" t="s">
        <v>233</v>
      </c>
      <c r="G677" s="34" t="s">
        <v>234</v>
      </c>
      <c r="H677" s="34" t="s">
        <v>235</v>
      </c>
      <c r="I677">
        <v>4</v>
      </c>
      <c r="J677">
        <v>0</v>
      </c>
      <c r="K677">
        <v>13</v>
      </c>
      <c r="L677">
        <v>-9</v>
      </c>
      <c r="O677" s="28">
        <v>46286</v>
      </c>
      <c r="R677">
        <v>-1</v>
      </c>
      <c r="S677">
        <v>28</v>
      </c>
      <c r="T677">
        <v>5</v>
      </c>
      <c r="U677">
        <v>32</v>
      </c>
      <c r="V677">
        <v>20260922028</v>
      </c>
    </row>
    <row r="678" spans="1:22" x14ac:dyDescent="0.2">
      <c r="A678" s="34" t="s">
        <v>122</v>
      </c>
      <c r="B678" s="28">
        <v>46287</v>
      </c>
      <c r="C678" s="34"/>
      <c r="D678" s="34" t="s">
        <v>339</v>
      </c>
      <c r="E678" s="34" t="s">
        <v>236</v>
      </c>
      <c r="F678" s="34" t="s">
        <v>237</v>
      </c>
      <c r="G678" s="34" t="s">
        <v>238</v>
      </c>
      <c r="H678" s="34" t="s">
        <v>239</v>
      </c>
      <c r="I678">
        <v>11</v>
      </c>
      <c r="J678">
        <v>0</v>
      </c>
      <c r="K678">
        <v>11</v>
      </c>
      <c r="L678">
        <v>0</v>
      </c>
      <c r="O678" s="28">
        <v>46286</v>
      </c>
      <c r="R678">
        <v>-1</v>
      </c>
      <c r="S678">
        <v>29</v>
      </c>
      <c r="T678">
        <v>5</v>
      </c>
      <c r="U678">
        <v>33</v>
      </c>
      <c r="V678">
        <v>20260922029</v>
      </c>
    </row>
    <row r="679" spans="1:22" x14ac:dyDescent="0.2">
      <c r="A679" s="34" t="s">
        <v>122</v>
      </c>
      <c r="B679" s="28">
        <v>46287</v>
      </c>
      <c r="C679" s="34"/>
      <c r="D679" s="34" t="s">
        <v>339</v>
      </c>
      <c r="E679" s="34" t="s">
        <v>240</v>
      </c>
      <c r="F679" s="34" t="s">
        <v>241</v>
      </c>
      <c r="G679" s="34" t="s">
        <v>242</v>
      </c>
      <c r="H679" s="34" t="s">
        <v>243</v>
      </c>
      <c r="I679">
        <v>9</v>
      </c>
      <c r="J679">
        <v>0</v>
      </c>
      <c r="K679">
        <v>15</v>
      </c>
      <c r="L679">
        <v>-6</v>
      </c>
      <c r="O679" s="28">
        <v>46286</v>
      </c>
      <c r="R679">
        <v>-1</v>
      </c>
      <c r="S679">
        <v>30</v>
      </c>
      <c r="T679">
        <v>5</v>
      </c>
      <c r="U679">
        <v>34</v>
      </c>
      <c r="V679">
        <v>20260922030</v>
      </c>
    </row>
    <row r="680" spans="1:22" x14ac:dyDescent="0.2">
      <c r="A680" s="34" t="s">
        <v>122</v>
      </c>
      <c r="B680" s="28">
        <v>46287</v>
      </c>
      <c r="C680" s="34"/>
      <c r="D680" s="34" t="s">
        <v>339</v>
      </c>
      <c r="E680" s="34" t="s">
        <v>244</v>
      </c>
      <c r="F680" s="34" t="s">
        <v>245</v>
      </c>
      <c r="G680" s="34" t="s">
        <v>246</v>
      </c>
      <c r="H680" s="34" t="s">
        <v>247</v>
      </c>
      <c r="I680">
        <v>5</v>
      </c>
      <c r="J680">
        <v>0</v>
      </c>
      <c r="K680">
        <v>5</v>
      </c>
      <c r="L680">
        <v>0</v>
      </c>
      <c r="O680" s="28">
        <v>46286</v>
      </c>
      <c r="R680">
        <v>-1</v>
      </c>
      <c r="S680">
        <v>31</v>
      </c>
      <c r="T680">
        <v>5</v>
      </c>
      <c r="U680">
        <v>35</v>
      </c>
      <c r="V680">
        <v>20260922031</v>
      </c>
    </row>
    <row r="681" spans="1:22" x14ac:dyDescent="0.2">
      <c r="A681" s="34" t="s">
        <v>122</v>
      </c>
      <c r="B681" s="28">
        <v>46287</v>
      </c>
      <c r="C681" s="34"/>
      <c r="D681" s="34" t="s">
        <v>339</v>
      </c>
      <c r="E681" s="34" t="s">
        <v>248</v>
      </c>
      <c r="F681" s="34" t="s">
        <v>249</v>
      </c>
      <c r="G681" s="34" t="s">
        <v>250</v>
      </c>
      <c r="H681" s="34" t="s">
        <v>251</v>
      </c>
      <c r="I681">
        <v>6</v>
      </c>
      <c r="J681">
        <v>0</v>
      </c>
      <c r="K681">
        <v>6</v>
      </c>
      <c r="L681">
        <v>0</v>
      </c>
      <c r="O681" s="28">
        <v>46286</v>
      </c>
      <c r="R681">
        <v>-1</v>
      </c>
      <c r="S681">
        <v>32</v>
      </c>
      <c r="T681">
        <v>5</v>
      </c>
      <c r="U681">
        <v>36</v>
      </c>
      <c r="V681">
        <v>20260922032</v>
      </c>
    </row>
    <row r="682" spans="1:22" x14ac:dyDescent="0.2">
      <c r="A682" s="34" t="s">
        <v>122</v>
      </c>
      <c r="B682" s="28">
        <v>46287</v>
      </c>
      <c r="C682" s="34"/>
      <c r="D682" s="34" t="s">
        <v>339</v>
      </c>
      <c r="E682" s="34" t="s">
        <v>252</v>
      </c>
      <c r="F682" s="34" t="s">
        <v>253</v>
      </c>
      <c r="G682" s="34" t="s">
        <v>254</v>
      </c>
      <c r="H682" s="34" t="s">
        <v>255</v>
      </c>
      <c r="I682">
        <v>10</v>
      </c>
      <c r="J682">
        <v>0</v>
      </c>
      <c r="K682">
        <v>9</v>
      </c>
      <c r="L682">
        <v>1</v>
      </c>
      <c r="O682" s="28">
        <v>46286</v>
      </c>
      <c r="R682">
        <v>-1</v>
      </c>
      <c r="S682">
        <v>33</v>
      </c>
      <c r="T682">
        <v>5</v>
      </c>
      <c r="U682">
        <v>37</v>
      </c>
      <c r="V682">
        <v>20260922033</v>
      </c>
    </row>
    <row r="683" spans="1:22" x14ac:dyDescent="0.2">
      <c r="A683" s="34" t="s">
        <v>122</v>
      </c>
      <c r="B683" s="28">
        <v>46287</v>
      </c>
      <c r="C683" s="34"/>
      <c r="D683" s="34" t="s">
        <v>339</v>
      </c>
      <c r="E683" s="34" t="s">
        <v>256</v>
      </c>
      <c r="F683" s="34" t="s">
        <v>257</v>
      </c>
      <c r="G683" s="34" t="s">
        <v>258</v>
      </c>
      <c r="H683" s="34" t="s">
        <v>259</v>
      </c>
      <c r="I683">
        <v>4</v>
      </c>
      <c r="J683">
        <v>0</v>
      </c>
      <c r="K683">
        <v>4</v>
      </c>
      <c r="L683">
        <v>0</v>
      </c>
      <c r="O683" s="28">
        <v>46286</v>
      </c>
      <c r="R683">
        <v>-1</v>
      </c>
      <c r="S683">
        <v>34</v>
      </c>
      <c r="T683">
        <v>5</v>
      </c>
      <c r="U683">
        <v>38</v>
      </c>
      <c r="V683">
        <v>20260922034</v>
      </c>
    </row>
    <row r="684" spans="1:22" x14ac:dyDescent="0.2">
      <c r="A684" s="34" t="s">
        <v>122</v>
      </c>
      <c r="B684" s="28">
        <v>46287</v>
      </c>
      <c r="C684" s="34"/>
      <c r="D684" s="34" t="s">
        <v>339</v>
      </c>
      <c r="E684" s="34" t="s">
        <v>260</v>
      </c>
      <c r="F684" s="34" t="s">
        <v>261</v>
      </c>
      <c r="G684" s="34" t="s">
        <v>262</v>
      </c>
      <c r="H684" s="34" t="s">
        <v>263</v>
      </c>
      <c r="I684">
        <v>4</v>
      </c>
      <c r="J684">
        <v>0</v>
      </c>
      <c r="K684">
        <v>4</v>
      </c>
      <c r="L684">
        <v>0</v>
      </c>
      <c r="O684" s="28">
        <v>46286</v>
      </c>
      <c r="R684">
        <v>-1</v>
      </c>
      <c r="S684">
        <v>35</v>
      </c>
      <c r="T684">
        <v>5</v>
      </c>
      <c r="U684">
        <v>39</v>
      </c>
      <c r="V684">
        <v>20260922035</v>
      </c>
    </row>
    <row r="685" spans="1:22" x14ac:dyDescent="0.2">
      <c r="A685" s="34" t="s">
        <v>122</v>
      </c>
      <c r="B685" s="28">
        <v>46287</v>
      </c>
      <c r="C685" s="34"/>
      <c r="D685" s="34" t="s">
        <v>339</v>
      </c>
      <c r="E685" s="34" t="s">
        <v>264</v>
      </c>
      <c r="F685" s="34" t="s">
        <v>265</v>
      </c>
      <c r="G685" s="34" t="s">
        <v>266</v>
      </c>
      <c r="H685" s="34" t="s">
        <v>267</v>
      </c>
      <c r="I685">
        <v>11</v>
      </c>
      <c r="J685">
        <v>0</v>
      </c>
      <c r="K685">
        <v>10</v>
      </c>
      <c r="L685">
        <v>1</v>
      </c>
      <c r="O685" s="28">
        <v>46286</v>
      </c>
      <c r="R685">
        <v>-1</v>
      </c>
      <c r="S685">
        <v>36</v>
      </c>
      <c r="T685">
        <v>5</v>
      </c>
      <c r="U685">
        <v>40</v>
      </c>
      <c r="V685">
        <v>20260922036</v>
      </c>
    </row>
    <row r="686" spans="1:22" x14ac:dyDescent="0.2">
      <c r="A686" s="34" t="s">
        <v>122</v>
      </c>
      <c r="B686" s="28">
        <v>46287</v>
      </c>
      <c r="C686" s="34"/>
      <c r="D686" s="34" t="s">
        <v>339</v>
      </c>
      <c r="E686" s="34" t="s">
        <v>268</v>
      </c>
      <c r="F686" s="34" t="s">
        <v>269</v>
      </c>
      <c r="G686" s="34" t="s">
        <v>270</v>
      </c>
      <c r="H686" s="34" t="s">
        <v>271</v>
      </c>
      <c r="I686">
        <v>7</v>
      </c>
      <c r="J686">
        <v>0</v>
      </c>
      <c r="K686">
        <v>7</v>
      </c>
      <c r="L686">
        <v>0</v>
      </c>
      <c r="O686" s="28">
        <v>46286</v>
      </c>
      <c r="R686">
        <v>-1</v>
      </c>
      <c r="S686">
        <v>37</v>
      </c>
      <c r="T686">
        <v>5</v>
      </c>
      <c r="U686">
        <v>41</v>
      </c>
      <c r="V686">
        <v>20260922037</v>
      </c>
    </row>
    <row r="687" spans="1:22" x14ac:dyDescent="0.2">
      <c r="A687" s="34" t="s">
        <v>122</v>
      </c>
      <c r="B687" s="28">
        <v>46287</v>
      </c>
      <c r="C687" s="34"/>
      <c r="D687" s="34" t="s">
        <v>339</v>
      </c>
      <c r="E687" s="34" t="s">
        <v>272</v>
      </c>
      <c r="F687" s="34" t="s">
        <v>341</v>
      </c>
      <c r="G687" s="34" t="s">
        <v>273</v>
      </c>
      <c r="H687" s="34" t="s">
        <v>274</v>
      </c>
      <c r="I687">
        <v>19</v>
      </c>
      <c r="J687">
        <v>0</v>
      </c>
      <c r="K687">
        <v>8</v>
      </c>
      <c r="L687">
        <v>11</v>
      </c>
      <c r="O687" s="28">
        <v>46286</v>
      </c>
      <c r="R687">
        <v>-1</v>
      </c>
      <c r="S687">
        <v>38</v>
      </c>
      <c r="T687">
        <v>5</v>
      </c>
      <c r="U687">
        <v>42</v>
      </c>
      <c r="V687">
        <v>20260922038</v>
      </c>
    </row>
    <row r="688" spans="1:22" x14ac:dyDescent="0.2">
      <c r="A688" s="34" t="s">
        <v>122</v>
      </c>
      <c r="B688" s="28">
        <v>46287</v>
      </c>
      <c r="C688" s="34"/>
      <c r="D688" s="34" t="s">
        <v>339</v>
      </c>
      <c r="E688" s="34" t="s">
        <v>275</v>
      </c>
      <c r="F688" s="34" t="s">
        <v>276</v>
      </c>
      <c r="G688" s="34" t="s">
        <v>277</v>
      </c>
      <c r="H688" s="34" t="s">
        <v>278</v>
      </c>
      <c r="I688">
        <v>1</v>
      </c>
      <c r="J688">
        <v>0</v>
      </c>
      <c r="K688">
        <v>2</v>
      </c>
      <c r="L688">
        <v>-1</v>
      </c>
      <c r="O688" s="28">
        <v>46286</v>
      </c>
      <c r="R688">
        <v>-1</v>
      </c>
      <c r="S688">
        <v>39</v>
      </c>
      <c r="T688">
        <v>5</v>
      </c>
      <c r="U688">
        <v>43</v>
      </c>
      <c r="V688">
        <v>20260922039</v>
      </c>
    </row>
    <row r="689" spans="1:22" x14ac:dyDescent="0.2">
      <c r="A689" s="34" t="s">
        <v>122</v>
      </c>
      <c r="B689" s="28">
        <v>46287</v>
      </c>
      <c r="C689" s="34"/>
      <c r="D689" s="34" t="s">
        <v>339</v>
      </c>
      <c r="E689" s="34" t="s">
        <v>279</v>
      </c>
      <c r="F689" s="34" t="s">
        <v>280</v>
      </c>
      <c r="G689" s="34" t="s">
        <v>281</v>
      </c>
      <c r="H689" s="34" t="s">
        <v>282</v>
      </c>
      <c r="I689">
        <v>5</v>
      </c>
      <c r="J689">
        <v>0</v>
      </c>
      <c r="K689">
        <v>4</v>
      </c>
      <c r="L689">
        <v>1</v>
      </c>
      <c r="O689" s="28">
        <v>46286</v>
      </c>
      <c r="R689">
        <v>-1</v>
      </c>
      <c r="S689">
        <v>40</v>
      </c>
      <c r="T689">
        <v>5</v>
      </c>
      <c r="U689">
        <v>44</v>
      </c>
      <c r="V689">
        <v>20260922040</v>
      </c>
    </row>
    <row r="690" spans="1:22" x14ac:dyDescent="0.2">
      <c r="A690" s="34" t="s">
        <v>122</v>
      </c>
      <c r="B690" s="28">
        <v>46287</v>
      </c>
      <c r="C690" s="34"/>
      <c r="D690" s="34" t="s">
        <v>339</v>
      </c>
      <c r="E690" s="34" t="s">
        <v>283</v>
      </c>
      <c r="F690" s="34" t="s">
        <v>284</v>
      </c>
      <c r="G690" s="34" t="s">
        <v>285</v>
      </c>
      <c r="H690" s="34" t="s">
        <v>286</v>
      </c>
      <c r="I690">
        <v>13</v>
      </c>
      <c r="J690">
        <v>0</v>
      </c>
      <c r="K690">
        <v>21</v>
      </c>
      <c r="L690">
        <v>-8</v>
      </c>
      <c r="O690" s="28">
        <v>46286</v>
      </c>
      <c r="R690">
        <v>-1</v>
      </c>
      <c r="S690">
        <v>41</v>
      </c>
      <c r="T690">
        <v>5</v>
      </c>
      <c r="U690">
        <v>45</v>
      </c>
      <c r="V690">
        <v>20260922041</v>
      </c>
    </row>
    <row r="691" spans="1:22" x14ac:dyDescent="0.2">
      <c r="A691" s="34" t="s">
        <v>122</v>
      </c>
      <c r="B691" s="28">
        <v>46287</v>
      </c>
      <c r="C691" s="34"/>
      <c r="D691" s="34" t="s">
        <v>339</v>
      </c>
      <c r="E691" s="34" t="s">
        <v>287</v>
      </c>
      <c r="F691" s="34" t="s">
        <v>288</v>
      </c>
      <c r="G691" s="34" t="s">
        <v>289</v>
      </c>
      <c r="H691" s="34" t="s">
        <v>290</v>
      </c>
      <c r="I691">
        <v>17</v>
      </c>
      <c r="J691">
        <v>0</v>
      </c>
      <c r="K691">
        <v>16</v>
      </c>
      <c r="L691">
        <v>1</v>
      </c>
      <c r="O691" s="28">
        <v>46286</v>
      </c>
      <c r="R691">
        <v>-1</v>
      </c>
      <c r="S691">
        <v>42</v>
      </c>
      <c r="T691">
        <v>5</v>
      </c>
      <c r="U691">
        <v>46</v>
      </c>
      <c r="V691">
        <v>20260922042</v>
      </c>
    </row>
    <row r="692" spans="1:22" x14ac:dyDescent="0.2">
      <c r="A692" s="34" t="s">
        <v>122</v>
      </c>
      <c r="B692" s="28">
        <v>46287</v>
      </c>
      <c r="C692" s="34"/>
      <c r="D692" s="34" t="s">
        <v>339</v>
      </c>
      <c r="E692" s="34" t="s">
        <v>291</v>
      </c>
      <c r="F692" s="34" t="s">
        <v>342</v>
      </c>
      <c r="G692" s="34" t="s">
        <v>292</v>
      </c>
      <c r="H692" s="34" t="s">
        <v>293</v>
      </c>
      <c r="I692">
        <v>17</v>
      </c>
      <c r="J692">
        <v>0</v>
      </c>
      <c r="K692">
        <v>21</v>
      </c>
      <c r="L692">
        <v>-4</v>
      </c>
      <c r="O692" s="28">
        <v>46286</v>
      </c>
      <c r="R692">
        <v>-1</v>
      </c>
      <c r="S692">
        <v>43</v>
      </c>
      <c r="T692">
        <v>5</v>
      </c>
      <c r="U692">
        <v>47</v>
      </c>
      <c r="V692">
        <v>20260922043</v>
      </c>
    </row>
    <row r="693" spans="1:22" x14ac:dyDescent="0.2">
      <c r="A693" s="34" t="s">
        <v>122</v>
      </c>
      <c r="B693" s="28">
        <v>46287</v>
      </c>
      <c r="C693" s="34"/>
      <c r="D693" s="34" t="s">
        <v>339</v>
      </c>
      <c r="E693" s="34" t="s">
        <v>294</v>
      </c>
      <c r="F693" s="34" t="s">
        <v>295</v>
      </c>
      <c r="G693" s="34" t="s">
        <v>296</v>
      </c>
      <c r="H693" s="34" t="s">
        <v>297</v>
      </c>
      <c r="I693">
        <v>12</v>
      </c>
      <c r="J693">
        <v>0</v>
      </c>
      <c r="K693">
        <v>9</v>
      </c>
      <c r="L693">
        <v>3</v>
      </c>
      <c r="O693" s="28">
        <v>46286</v>
      </c>
      <c r="R693">
        <v>-1</v>
      </c>
      <c r="S693">
        <v>44</v>
      </c>
      <c r="T693">
        <v>5</v>
      </c>
      <c r="U693">
        <v>48</v>
      </c>
      <c r="V693">
        <v>20260922044</v>
      </c>
    </row>
    <row r="694" spans="1:22" x14ac:dyDescent="0.2">
      <c r="A694" s="34" t="s">
        <v>122</v>
      </c>
      <c r="B694" s="28">
        <v>46287</v>
      </c>
      <c r="C694" s="34"/>
      <c r="D694" s="34" t="s">
        <v>339</v>
      </c>
      <c r="E694" s="34" t="s">
        <v>298</v>
      </c>
      <c r="F694" s="34" t="s">
        <v>299</v>
      </c>
      <c r="G694" s="34" t="s">
        <v>300</v>
      </c>
      <c r="H694" s="34" t="s">
        <v>301</v>
      </c>
      <c r="I694">
        <v>13</v>
      </c>
      <c r="J694">
        <v>0</v>
      </c>
      <c r="K694">
        <v>13</v>
      </c>
      <c r="L694">
        <v>0</v>
      </c>
      <c r="O694" s="28">
        <v>46286</v>
      </c>
      <c r="R694">
        <v>-1</v>
      </c>
      <c r="S694">
        <v>45</v>
      </c>
      <c r="T694">
        <v>5</v>
      </c>
      <c r="U694">
        <v>49</v>
      </c>
      <c r="V694">
        <v>20260922045</v>
      </c>
    </row>
    <row r="695" spans="1:22" x14ac:dyDescent="0.2">
      <c r="A695" s="34" t="s">
        <v>122</v>
      </c>
      <c r="B695" s="28">
        <v>46287</v>
      </c>
      <c r="C695" s="34"/>
      <c r="D695" s="34" t="s">
        <v>339</v>
      </c>
      <c r="E695" s="34" t="s">
        <v>302</v>
      </c>
      <c r="F695" s="34" t="s">
        <v>303</v>
      </c>
      <c r="G695" s="34" t="s">
        <v>304</v>
      </c>
      <c r="H695" s="34" t="s">
        <v>305</v>
      </c>
      <c r="I695">
        <v>8</v>
      </c>
      <c r="J695">
        <v>0</v>
      </c>
      <c r="K695">
        <v>8</v>
      </c>
      <c r="L695">
        <v>0</v>
      </c>
      <c r="O695" s="28">
        <v>46286</v>
      </c>
      <c r="R695">
        <v>-1</v>
      </c>
      <c r="S695">
        <v>46</v>
      </c>
      <c r="T695">
        <v>5</v>
      </c>
      <c r="U695">
        <v>50</v>
      </c>
      <c r="V695">
        <v>20260922046</v>
      </c>
    </row>
    <row r="696" spans="1:22" x14ac:dyDescent="0.2">
      <c r="A696" s="34" t="s">
        <v>122</v>
      </c>
      <c r="B696" s="28">
        <v>46287</v>
      </c>
      <c r="C696" s="34"/>
      <c r="D696" s="34" t="s">
        <v>339</v>
      </c>
      <c r="E696" s="34" t="s">
        <v>306</v>
      </c>
      <c r="F696" s="34" t="s">
        <v>307</v>
      </c>
      <c r="G696" s="34" t="s">
        <v>308</v>
      </c>
      <c r="H696" s="34" t="s">
        <v>309</v>
      </c>
      <c r="I696">
        <v>8</v>
      </c>
      <c r="J696">
        <v>0</v>
      </c>
      <c r="K696">
        <v>8</v>
      </c>
      <c r="L696">
        <v>0</v>
      </c>
      <c r="O696" s="28">
        <v>46286</v>
      </c>
      <c r="R696">
        <v>-1</v>
      </c>
      <c r="S696">
        <v>47</v>
      </c>
      <c r="T696">
        <v>5</v>
      </c>
      <c r="U696">
        <v>51</v>
      </c>
      <c r="V696">
        <v>20260922047</v>
      </c>
    </row>
    <row r="697" spans="1:22" x14ac:dyDescent="0.2">
      <c r="A697" s="34" t="s">
        <v>122</v>
      </c>
      <c r="B697" s="28">
        <v>46287</v>
      </c>
      <c r="C697" s="34"/>
      <c r="D697" s="34" t="s">
        <v>339</v>
      </c>
      <c r="E697" s="34" t="s">
        <v>310</v>
      </c>
      <c r="F697" s="34" t="s">
        <v>311</v>
      </c>
      <c r="G697" s="34" t="s">
        <v>312</v>
      </c>
      <c r="H697" s="34" t="s">
        <v>313</v>
      </c>
      <c r="I697">
        <v>9</v>
      </c>
      <c r="J697">
        <v>0</v>
      </c>
      <c r="K697">
        <v>5</v>
      </c>
      <c r="L697">
        <v>4</v>
      </c>
      <c r="O697" s="28">
        <v>46286</v>
      </c>
      <c r="R697">
        <v>-1</v>
      </c>
      <c r="S697">
        <v>48</v>
      </c>
      <c r="T697">
        <v>5</v>
      </c>
      <c r="U697">
        <v>52</v>
      </c>
      <c r="V697">
        <v>20260922048</v>
      </c>
    </row>
    <row r="698" spans="1:22" x14ac:dyDescent="0.2">
      <c r="A698" s="34" t="s">
        <v>122</v>
      </c>
      <c r="B698" s="28">
        <v>46287</v>
      </c>
      <c r="C698" s="34"/>
      <c r="D698" s="34" t="s">
        <v>339</v>
      </c>
      <c r="E698" s="34" t="s">
        <v>314</v>
      </c>
      <c r="F698" s="34" t="s">
        <v>315</v>
      </c>
      <c r="G698" s="34" t="s">
        <v>316</v>
      </c>
      <c r="H698" s="34" t="s">
        <v>317</v>
      </c>
      <c r="I698">
        <v>29</v>
      </c>
      <c r="J698">
        <v>0</v>
      </c>
      <c r="K698">
        <v>26</v>
      </c>
      <c r="L698">
        <v>3</v>
      </c>
      <c r="O698" s="28">
        <v>46286</v>
      </c>
      <c r="R698">
        <v>-1</v>
      </c>
      <c r="S698">
        <v>49</v>
      </c>
      <c r="T698">
        <v>5</v>
      </c>
      <c r="U698">
        <v>53</v>
      </c>
      <c r="V698">
        <v>20260922049</v>
      </c>
    </row>
    <row r="699" spans="1:22" x14ac:dyDescent="0.2">
      <c r="A699" s="34" t="s">
        <v>122</v>
      </c>
      <c r="B699" s="28">
        <v>46287</v>
      </c>
      <c r="C699" s="34"/>
      <c r="D699" s="34" t="s">
        <v>339</v>
      </c>
      <c r="E699" s="34" t="s">
        <v>318</v>
      </c>
      <c r="F699" s="34" t="s">
        <v>319</v>
      </c>
      <c r="G699" s="34" t="s">
        <v>320</v>
      </c>
      <c r="H699" s="34" t="s">
        <v>321</v>
      </c>
      <c r="I699">
        <v>7</v>
      </c>
      <c r="J699">
        <v>0</v>
      </c>
      <c r="K699">
        <v>7</v>
      </c>
      <c r="L699">
        <v>0</v>
      </c>
      <c r="O699" s="28">
        <v>46286</v>
      </c>
      <c r="R699">
        <v>-1</v>
      </c>
      <c r="S699">
        <v>50</v>
      </c>
      <c r="T699">
        <v>5</v>
      </c>
      <c r="U699">
        <v>54</v>
      </c>
      <c r="V699">
        <v>20260922050</v>
      </c>
    </row>
    <row r="700" spans="1:22" x14ac:dyDescent="0.2">
      <c r="A700" s="34" t="s">
        <v>122</v>
      </c>
      <c r="B700" s="28">
        <v>46287</v>
      </c>
      <c r="C700" s="34"/>
      <c r="D700" s="34" t="s">
        <v>339</v>
      </c>
      <c r="E700" s="34" t="s">
        <v>322</v>
      </c>
      <c r="F700" s="34" t="s">
        <v>323</v>
      </c>
      <c r="G700" s="34" t="s">
        <v>324</v>
      </c>
      <c r="H700" s="34" t="s">
        <v>325</v>
      </c>
      <c r="I700">
        <v>3</v>
      </c>
      <c r="J700">
        <v>0</v>
      </c>
      <c r="K700">
        <v>8</v>
      </c>
      <c r="L700">
        <v>-5</v>
      </c>
      <c r="O700" s="28">
        <v>46286</v>
      </c>
      <c r="R700">
        <v>-1</v>
      </c>
      <c r="S700">
        <v>51</v>
      </c>
      <c r="T700">
        <v>5</v>
      </c>
      <c r="U700">
        <v>55</v>
      </c>
      <c r="V700">
        <v>20260922051</v>
      </c>
    </row>
    <row r="701" spans="1:22" x14ac:dyDescent="0.2">
      <c r="A701" s="34" t="s">
        <v>122</v>
      </c>
      <c r="B701" s="28">
        <v>46287</v>
      </c>
      <c r="C701" s="34"/>
      <c r="D701" s="34" t="s">
        <v>339</v>
      </c>
      <c r="E701" s="34" t="s">
        <v>326</v>
      </c>
      <c r="F701" s="34" t="s">
        <v>327</v>
      </c>
      <c r="G701" s="34" t="s">
        <v>328</v>
      </c>
      <c r="H701" s="34" t="s">
        <v>329</v>
      </c>
      <c r="I701">
        <v>18</v>
      </c>
      <c r="J701">
        <v>0</v>
      </c>
      <c r="K701">
        <v>12</v>
      </c>
      <c r="L701">
        <v>6</v>
      </c>
      <c r="O701" s="28">
        <v>46286</v>
      </c>
      <c r="R701">
        <v>-1</v>
      </c>
      <c r="S701">
        <v>52</v>
      </c>
      <c r="T701">
        <v>5</v>
      </c>
      <c r="U701">
        <v>73</v>
      </c>
      <c r="V701">
        <v>20260922052</v>
      </c>
    </row>
    <row r="702" spans="1:22" x14ac:dyDescent="0.2">
      <c r="A702" s="34" t="s">
        <v>122</v>
      </c>
      <c r="B702" s="28">
        <v>46287</v>
      </c>
      <c r="C702" s="34"/>
      <c r="D702" s="34" t="s">
        <v>339</v>
      </c>
      <c r="E702" s="34" t="s">
        <v>330</v>
      </c>
      <c r="F702" s="34" t="s">
        <v>331</v>
      </c>
      <c r="G702" s="34" t="s">
        <v>332</v>
      </c>
      <c r="H702" s="34" t="s">
        <v>333</v>
      </c>
      <c r="I702">
        <v>10</v>
      </c>
      <c r="J702">
        <v>0</v>
      </c>
      <c r="K702">
        <v>12</v>
      </c>
      <c r="L702">
        <v>-2</v>
      </c>
      <c r="O702" s="28">
        <v>46286</v>
      </c>
      <c r="R702">
        <v>-1</v>
      </c>
      <c r="S702">
        <v>53</v>
      </c>
      <c r="T702">
        <v>5</v>
      </c>
      <c r="U702">
        <v>74</v>
      </c>
      <c r="V702">
        <v>20260922053</v>
      </c>
    </row>
    <row r="703" spans="1:22" x14ac:dyDescent="0.2">
      <c r="A703" s="34" t="s">
        <v>122</v>
      </c>
      <c r="B703" s="28">
        <v>46287</v>
      </c>
      <c r="C703" s="34"/>
      <c r="D703" s="34" t="s">
        <v>339</v>
      </c>
      <c r="E703" s="34" t="s">
        <v>334</v>
      </c>
      <c r="F703" s="34" t="s">
        <v>335</v>
      </c>
      <c r="G703" s="34" t="s">
        <v>336</v>
      </c>
      <c r="H703" s="34" t="s">
        <v>337</v>
      </c>
      <c r="I703">
        <v>24</v>
      </c>
      <c r="J703">
        <v>0</v>
      </c>
      <c r="K703">
        <v>22</v>
      </c>
      <c r="L703">
        <v>2</v>
      </c>
      <c r="O703" s="28">
        <v>46286</v>
      </c>
      <c r="R703">
        <v>-1</v>
      </c>
      <c r="S703">
        <v>54</v>
      </c>
      <c r="T703">
        <v>5</v>
      </c>
      <c r="U703">
        <v>75</v>
      </c>
      <c r="V703">
        <v>20260922054</v>
      </c>
    </row>
    <row r="704" spans="1:22" x14ac:dyDescent="0.2">
      <c r="A704" s="34" t="s">
        <v>122</v>
      </c>
      <c r="B704" s="28">
        <v>46289</v>
      </c>
      <c r="C704" s="34"/>
      <c r="D704" s="34" t="s">
        <v>339</v>
      </c>
      <c r="E704" s="34" t="s">
        <v>124</v>
      </c>
      <c r="F704" s="34" t="s">
        <v>125</v>
      </c>
      <c r="G704" s="34" t="s">
        <v>126</v>
      </c>
      <c r="H704" s="34" t="s">
        <v>127</v>
      </c>
      <c r="I704">
        <v>11</v>
      </c>
      <c r="J704">
        <v>0</v>
      </c>
      <c r="K704">
        <v>8</v>
      </c>
      <c r="L704">
        <v>3</v>
      </c>
      <c r="O704" s="28">
        <v>46287</v>
      </c>
      <c r="R704">
        <v>-1</v>
      </c>
      <c r="S704">
        <v>1</v>
      </c>
      <c r="T704">
        <v>4</v>
      </c>
      <c r="U704">
        <v>1</v>
      </c>
      <c r="V704">
        <v>20260924001</v>
      </c>
    </row>
    <row r="705" spans="1:22" x14ac:dyDescent="0.2">
      <c r="A705" s="34" t="s">
        <v>122</v>
      </c>
      <c r="B705" s="28">
        <v>46289</v>
      </c>
      <c r="C705" s="34"/>
      <c r="D705" s="34" t="s">
        <v>339</v>
      </c>
      <c r="E705" s="34" t="s">
        <v>128</v>
      </c>
      <c r="F705" s="34" t="s">
        <v>129</v>
      </c>
      <c r="G705" s="34" t="s">
        <v>130</v>
      </c>
      <c r="H705" s="34" t="s">
        <v>131</v>
      </c>
      <c r="I705">
        <v>5</v>
      </c>
      <c r="J705">
        <v>0</v>
      </c>
      <c r="K705">
        <v>5</v>
      </c>
      <c r="L705">
        <v>0</v>
      </c>
      <c r="O705" s="28">
        <v>46287</v>
      </c>
      <c r="R705">
        <v>-1</v>
      </c>
      <c r="S705">
        <v>2</v>
      </c>
      <c r="T705">
        <v>4</v>
      </c>
      <c r="U705">
        <v>2</v>
      </c>
      <c r="V705">
        <v>20260924002</v>
      </c>
    </row>
    <row r="706" spans="1:22" x14ac:dyDescent="0.2">
      <c r="A706" s="34" t="s">
        <v>122</v>
      </c>
      <c r="B706" s="28">
        <v>46289</v>
      </c>
      <c r="C706" s="34"/>
      <c r="D706" s="34" t="s">
        <v>339</v>
      </c>
      <c r="E706" s="34" t="s">
        <v>132</v>
      </c>
      <c r="F706" s="34" t="s">
        <v>133</v>
      </c>
      <c r="G706" s="34" t="s">
        <v>134</v>
      </c>
      <c r="H706" s="34" t="s">
        <v>135</v>
      </c>
      <c r="I706">
        <v>5</v>
      </c>
      <c r="J706">
        <v>0</v>
      </c>
      <c r="K706">
        <v>4</v>
      </c>
      <c r="L706">
        <v>1</v>
      </c>
      <c r="O706" s="28">
        <v>46287</v>
      </c>
      <c r="R706">
        <v>-1</v>
      </c>
      <c r="S706">
        <v>3</v>
      </c>
      <c r="T706">
        <v>4</v>
      </c>
      <c r="U706">
        <v>3</v>
      </c>
      <c r="V706">
        <v>20260924003</v>
      </c>
    </row>
    <row r="707" spans="1:22" x14ac:dyDescent="0.2">
      <c r="A707" s="34" t="s">
        <v>122</v>
      </c>
      <c r="B707" s="28">
        <v>46289</v>
      </c>
      <c r="C707" s="34"/>
      <c r="D707" s="34" t="s">
        <v>339</v>
      </c>
      <c r="E707" s="34" t="s">
        <v>136</v>
      </c>
      <c r="F707" s="34" t="s">
        <v>137</v>
      </c>
      <c r="G707" s="34" t="s">
        <v>138</v>
      </c>
      <c r="H707" s="34" t="s">
        <v>139</v>
      </c>
      <c r="I707">
        <v>2</v>
      </c>
      <c r="J707">
        <v>0</v>
      </c>
      <c r="K707">
        <v>1</v>
      </c>
      <c r="L707">
        <v>1</v>
      </c>
      <c r="O707" s="28">
        <v>46287</v>
      </c>
      <c r="R707">
        <v>-1</v>
      </c>
      <c r="S707">
        <v>4</v>
      </c>
      <c r="T707">
        <v>4</v>
      </c>
      <c r="U707">
        <v>4</v>
      </c>
      <c r="V707">
        <v>20260924004</v>
      </c>
    </row>
    <row r="708" spans="1:22" x14ac:dyDescent="0.2">
      <c r="A708" s="34" t="s">
        <v>122</v>
      </c>
      <c r="B708" s="28">
        <v>46289</v>
      </c>
      <c r="C708" s="34"/>
      <c r="D708" s="34" t="s">
        <v>339</v>
      </c>
      <c r="E708" s="34" t="s">
        <v>140</v>
      </c>
      <c r="F708" s="34" t="s">
        <v>141</v>
      </c>
      <c r="G708" s="34" t="s">
        <v>142</v>
      </c>
      <c r="H708" s="34" t="s">
        <v>143</v>
      </c>
      <c r="I708">
        <v>5</v>
      </c>
      <c r="J708">
        <v>0</v>
      </c>
      <c r="K708">
        <v>7</v>
      </c>
      <c r="L708">
        <v>-2</v>
      </c>
      <c r="O708" s="28">
        <v>46287</v>
      </c>
      <c r="R708">
        <v>-1</v>
      </c>
      <c r="S708">
        <v>5</v>
      </c>
      <c r="T708">
        <v>4</v>
      </c>
      <c r="U708">
        <v>5</v>
      </c>
      <c r="V708">
        <v>20260924005</v>
      </c>
    </row>
    <row r="709" spans="1:22" x14ac:dyDescent="0.2">
      <c r="A709" s="34" t="s">
        <v>122</v>
      </c>
      <c r="B709" s="28">
        <v>46289</v>
      </c>
      <c r="C709" s="34"/>
      <c r="D709" s="34" t="s">
        <v>339</v>
      </c>
      <c r="E709" s="34" t="s">
        <v>144</v>
      </c>
      <c r="F709" s="34" t="s">
        <v>145</v>
      </c>
      <c r="G709" s="34" t="s">
        <v>146</v>
      </c>
      <c r="H709" s="34" t="s">
        <v>147</v>
      </c>
      <c r="I709">
        <v>9</v>
      </c>
      <c r="J709">
        <v>0</v>
      </c>
      <c r="K709">
        <v>2</v>
      </c>
      <c r="L709">
        <v>7</v>
      </c>
      <c r="O709" s="28">
        <v>46287</v>
      </c>
      <c r="R709">
        <v>-1</v>
      </c>
      <c r="S709">
        <v>6</v>
      </c>
      <c r="T709">
        <v>4</v>
      </c>
      <c r="U709">
        <v>6</v>
      </c>
      <c r="V709">
        <v>20260924006</v>
      </c>
    </row>
    <row r="710" spans="1:22" x14ac:dyDescent="0.2">
      <c r="A710" s="34" t="s">
        <v>122</v>
      </c>
      <c r="B710" s="28">
        <v>46289</v>
      </c>
      <c r="C710" s="34"/>
      <c r="D710" s="34" t="s">
        <v>339</v>
      </c>
      <c r="E710" s="34" t="s">
        <v>148</v>
      </c>
      <c r="F710" s="34" t="s">
        <v>149</v>
      </c>
      <c r="G710" s="34" t="s">
        <v>150</v>
      </c>
      <c r="H710" s="34" t="s">
        <v>151</v>
      </c>
      <c r="I710">
        <v>4</v>
      </c>
      <c r="J710">
        <v>0</v>
      </c>
      <c r="K710">
        <v>6</v>
      </c>
      <c r="L710">
        <v>-2</v>
      </c>
      <c r="O710" s="28">
        <v>46287</v>
      </c>
      <c r="R710">
        <v>-1</v>
      </c>
      <c r="S710">
        <v>7</v>
      </c>
      <c r="T710">
        <v>4</v>
      </c>
      <c r="U710">
        <v>7</v>
      </c>
      <c r="V710">
        <v>20260924007</v>
      </c>
    </row>
    <row r="711" spans="1:22" x14ac:dyDescent="0.2">
      <c r="A711" s="34" t="s">
        <v>122</v>
      </c>
      <c r="B711" s="28">
        <v>46289</v>
      </c>
      <c r="C711" s="34"/>
      <c r="D711" s="34" t="s">
        <v>339</v>
      </c>
      <c r="E711" s="34" t="s">
        <v>152</v>
      </c>
      <c r="F711" s="34" t="s">
        <v>153</v>
      </c>
      <c r="G711" s="34" t="s">
        <v>154</v>
      </c>
      <c r="H711" s="34" t="s">
        <v>155</v>
      </c>
      <c r="I711">
        <v>10</v>
      </c>
      <c r="J711">
        <v>10</v>
      </c>
      <c r="K711">
        <v>9</v>
      </c>
      <c r="L711">
        <v>11</v>
      </c>
      <c r="O711" s="28">
        <v>46287</v>
      </c>
      <c r="R711">
        <v>-1</v>
      </c>
      <c r="S711">
        <v>8</v>
      </c>
      <c r="T711">
        <v>4</v>
      </c>
      <c r="U711">
        <v>8</v>
      </c>
      <c r="V711">
        <v>20260924008</v>
      </c>
    </row>
    <row r="712" spans="1:22" x14ac:dyDescent="0.2">
      <c r="A712" s="34" t="s">
        <v>122</v>
      </c>
      <c r="B712" s="28">
        <v>46289</v>
      </c>
      <c r="C712" s="34"/>
      <c r="D712" s="34" t="s">
        <v>339</v>
      </c>
      <c r="E712" s="34" t="s">
        <v>156</v>
      </c>
      <c r="F712" s="34" t="s">
        <v>157</v>
      </c>
      <c r="G712" s="34" t="s">
        <v>158</v>
      </c>
      <c r="H712" s="34" t="s">
        <v>159</v>
      </c>
      <c r="I712">
        <v>13</v>
      </c>
      <c r="J712">
        <v>0</v>
      </c>
      <c r="K712">
        <v>25</v>
      </c>
      <c r="L712">
        <v>-12</v>
      </c>
      <c r="O712" s="28">
        <v>46287</v>
      </c>
      <c r="R712">
        <v>-1</v>
      </c>
      <c r="S712">
        <v>9</v>
      </c>
      <c r="T712">
        <v>4</v>
      </c>
      <c r="U712">
        <v>9</v>
      </c>
      <c r="V712">
        <v>20260924009</v>
      </c>
    </row>
    <row r="713" spans="1:22" x14ac:dyDescent="0.2">
      <c r="A713" s="34" t="s">
        <v>122</v>
      </c>
      <c r="B713" s="28">
        <v>46289</v>
      </c>
      <c r="C713" s="34"/>
      <c r="D713" s="34" t="s">
        <v>339</v>
      </c>
      <c r="E713" s="34" t="s">
        <v>160</v>
      </c>
      <c r="F713" s="34" t="s">
        <v>161</v>
      </c>
      <c r="G713" s="34" t="s">
        <v>162</v>
      </c>
      <c r="H713" s="34" t="s">
        <v>163</v>
      </c>
      <c r="I713">
        <v>15</v>
      </c>
      <c r="J713">
        <v>0</v>
      </c>
      <c r="K713">
        <v>15</v>
      </c>
      <c r="L713">
        <v>0</v>
      </c>
      <c r="O713" s="28">
        <v>46287</v>
      </c>
      <c r="R713">
        <v>-1</v>
      </c>
      <c r="S713">
        <v>10</v>
      </c>
      <c r="T713">
        <v>4</v>
      </c>
      <c r="U713">
        <v>10</v>
      </c>
      <c r="V713">
        <v>20260924010</v>
      </c>
    </row>
    <row r="714" spans="1:22" x14ac:dyDescent="0.2">
      <c r="A714" s="34" t="s">
        <v>122</v>
      </c>
      <c r="B714" s="28">
        <v>46289</v>
      </c>
      <c r="C714" s="34"/>
      <c r="D714" s="34" t="s">
        <v>339</v>
      </c>
      <c r="E714" s="34" t="s">
        <v>164</v>
      </c>
      <c r="F714" s="34" t="s">
        <v>165</v>
      </c>
      <c r="G714" s="34" t="s">
        <v>166</v>
      </c>
      <c r="H714" s="34" t="s">
        <v>167</v>
      </c>
      <c r="I714">
        <v>37</v>
      </c>
      <c r="J714">
        <v>30</v>
      </c>
      <c r="K714">
        <v>33</v>
      </c>
      <c r="L714">
        <v>34</v>
      </c>
      <c r="O714" s="28">
        <v>46287</v>
      </c>
      <c r="R714">
        <v>-1</v>
      </c>
      <c r="S714">
        <v>11</v>
      </c>
      <c r="T714">
        <v>4</v>
      </c>
      <c r="U714">
        <v>11</v>
      </c>
      <c r="V714">
        <v>20260924011</v>
      </c>
    </row>
    <row r="715" spans="1:22" x14ac:dyDescent="0.2">
      <c r="A715" s="34" t="s">
        <v>122</v>
      </c>
      <c r="B715" s="28">
        <v>46289</v>
      </c>
      <c r="C715" s="34"/>
      <c r="D715" s="34" t="s">
        <v>339</v>
      </c>
      <c r="E715" s="34" t="s">
        <v>168</v>
      </c>
      <c r="F715" s="34" t="s">
        <v>169</v>
      </c>
      <c r="G715" s="34" t="s">
        <v>170</v>
      </c>
      <c r="H715" s="34" t="s">
        <v>171</v>
      </c>
      <c r="I715">
        <v>6</v>
      </c>
      <c r="J715">
        <v>0</v>
      </c>
      <c r="K715">
        <v>15</v>
      </c>
      <c r="L715">
        <v>-9</v>
      </c>
      <c r="O715" s="28">
        <v>46287</v>
      </c>
      <c r="R715">
        <v>-1</v>
      </c>
      <c r="S715">
        <v>12</v>
      </c>
      <c r="T715">
        <v>4</v>
      </c>
      <c r="U715">
        <v>12</v>
      </c>
      <c r="V715">
        <v>20260924012</v>
      </c>
    </row>
    <row r="716" spans="1:22" x14ac:dyDescent="0.2">
      <c r="A716" s="34" t="s">
        <v>122</v>
      </c>
      <c r="B716" s="28">
        <v>46289</v>
      </c>
      <c r="C716" s="34"/>
      <c r="D716" s="34" t="s">
        <v>339</v>
      </c>
      <c r="E716" s="34" t="s">
        <v>172</v>
      </c>
      <c r="F716" s="34" t="s">
        <v>173</v>
      </c>
      <c r="G716" s="34" t="s">
        <v>174</v>
      </c>
      <c r="H716" s="34" t="s">
        <v>175</v>
      </c>
      <c r="I716">
        <v>12</v>
      </c>
      <c r="J716">
        <v>0</v>
      </c>
      <c r="K716">
        <v>12</v>
      </c>
      <c r="L716">
        <v>0</v>
      </c>
      <c r="O716" s="28">
        <v>46287</v>
      </c>
      <c r="R716">
        <v>-1</v>
      </c>
      <c r="S716">
        <v>13</v>
      </c>
      <c r="T716">
        <v>4</v>
      </c>
      <c r="U716">
        <v>13</v>
      </c>
      <c r="V716">
        <v>20260924013</v>
      </c>
    </row>
    <row r="717" spans="1:22" x14ac:dyDescent="0.2">
      <c r="A717" s="34" t="s">
        <v>122</v>
      </c>
      <c r="B717" s="28">
        <v>46289</v>
      </c>
      <c r="C717" s="34"/>
      <c r="D717" s="34" t="s">
        <v>339</v>
      </c>
      <c r="E717" s="34" t="s">
        <v>176</v>
      </c>
      <c r="F717" s="34" t="s">
        <v>177</v>
      </c>
      <c r="G717" s="34" t="s">
        <v>178</v>
      </c>
      <c r="H717" s="34" t="s">
        <v>179</v>
      </c>
      <c r="I717">
        <v>28</v>
      </c>
      <c r="J717">
        <v>0</v>
      </c>
      <c r="K717">
        <v>32</v>
      </c>
      <c r="L717">
        <v>-4</v>
      </c>
      <c r="O717" s="28">
        <v>46287</v>
      </c>
      <c r="R717">
        <v>-1</v>
      </c>
      <c r="S717">
        <v>14</v>
      </c>
      <c r="T717">
        <v>4</v>
      </c>
      <c r="U717">
        <v>14</v>
      </c>
      <c r="V717">
        <v>20260924014</v>
      </c>
    </row>
    <row r="718" spans="1:22" x14ac:dyDescent="0.2">
      <c r="A718" s="34" t="s">
        <v>122</v>
      </c>
      <c r="B718" s="28">
        <v>46289</v>
      </c>
      <c r="C718" s="34"/>
      <c r="D718" s="34" t="s">
        <v>339</v>
      </c>
      <c r="E718" s="34" t="s">
        <v>180</v>
      </c>
      <c r="F718" s="34" t="s">
        <v>181</v>
      </c>
      <c r="G718" s="34" t="s">
        <v>182</v>
      </c>
      <c r="H718" s="34" t="s">
        <v>183</v>
      </c>
      <c r="I718">
        <v>17</v>
      </c>
      <c r="J718">
        <v>0</v>
      </c>
      <c r="K718">
        <v>16</v>
      </c>
      <c r="L718">
        <v>1</v>
      </c>
      <c r="O718" s="28">
        <v>46287</v>
      </c>
      <c r="R718">
        <v>-1</v>
      </c>
      <c r="S718">
        <v>15</v>
      </c>
      <c r="T718">
        <v>4</v>
      </c>
      <c r="U718">
        <v>15</v>
      </c>
      <c r="V718">
        <v>20260924015</v>
      </c>
    </row>
    <row r="719" spans="1:22" x14ac:dyDescent="0.2">
      <c r="A719" s="34" t="s">
        <v>122</v>
      </c>
      <c r="B719" s="28">
        <v>46289</v>
      </c>
      <c r="C719" s="34"/>
      <c r="D719" s="34" t="s">
        <v>339</v>
      </c>
      <c r="E719" s="34" t="s">
        <v>184</v>
      </c>
      <c r="F719" s="34" t="s">
        <v>185</v>
      </c>
      <c r="G719" s="34" t="s">
        <v>186</v>
      </c>
      <c r="H719" s="34" t="s">
        <v>187</v>
      </c>
      <c r="I719">
        <v>10</v>
      </c>
      <c r="J719">
        <v>0</v>
      </c>
      <c r="K719">
        <v>10</v>
      </c>
      <c r="L719">
        <v>0</v>
      </c>
      <c r="O719" s="28">
        <v>46287</v>
      </c>
      <c r="R719">
        <v>-1</v>
      </c>
      <c r="S719">
        <v>16</v>
      </c>
      <c r="T719">
        <v>4</v>
      </c>
      <c r="U719">
        <v>16</v>
      </c>
      <c r="V719">
        <v>20260924016</v>
      </c>
    </row>
    <row r="720" spans="1:22" x14ac:dyDescent="0.2">
      <c r="A720" s="34" t="s">
        <v>122</v>
      </c>
      <c r="B720" s="28">
        <v>46289</v>
      </c>
      <c r="C720" s="34"/>
      <c r="D720" s="34" t="s">
        <v>339</v>
      </c>
      <c r="E720" s="34" t="s">
        <v>188</v>
      </c>
      <c r="F720" s="34" t="s">
        <v>189</v>
      </c>
      <c r="G720" s="34" t="s">
        <v>190</v>
      </c>
      <c r="H720" s="34" t="s">
        <v>191</v>
      </c>
      <c r="I720">
        <v>4</v>
      </c>
      <c r="J720">
        <v>0</v>
      </c>
      <c r="K720">
        <v>4</v>
      </c>
      <c r="L720">
        <v>0</v>
      </c>
      <c r="O720" s="28">
        <v>46287</v>
      </c>
      <c r="R720">
        <v>-1</v>
      </c>
      <c r="S720">
        <v>17</v>
      </c>
      <c r="T720">
        <v>4</v>
      </c>
      <c r="U720">
        <v>21</v>
      </c>
      <c r="V720">
        <v>20260924017</v>
      </c>
    </row>
    <row r="721" spans="1:22" x14ac:dyDescent="0.2">
      <c r="A721" s="34" t="s">
        <v>122</v>
      </c>
      <c r="B721" s="28">
        <v>46289</v>
      </c>
      <c r="C721" s="34"/>
      <c r="D721" s="34" t="s">
        <v>339</v>
      </c>
      <c r="E721" s="34" t="s">
        <v>192</v>
      </c>
      <c r="F721" s="34" t="s">
        <v>193</v>
      </c>
      <c r="G721" s="34" t="s">
        <v>194</v>
      </c>
      <c r="H721" s="34" t="s">
        <v>195</v>
      </c>
      <c r="I721">
        <v>4</v>
      </c>
      <c r="J721">
        <v>0</v>
      </c>
      <c r="K721">
        <v>4</v>
      </c>
      <c r="L721">
        <v>0</v>
      </c>
      <c r="O721" s="28">
        <v>46287</v>
      </c>
      <c r="R721">
        <v>-1</v>
      </c>
      <c r="S721">
        <v>18</v>
      </c>
      <c r="T721">
        <v>4</v>
      </c>
      <c r="U721">
        <v>22</v>
      </c>
      <c r="V721">
        <v>20260924018</v>
      </c>
    </row>
    <row r="722" spans="1:22" x14ac:dyDescent="0.2">
      <c r="A722" s="34" t="s">
        <v>122</v>
      </c>
      <c r="B722" s="28">
        <v>46289</v>
      </c>
      <c r="C722" s="34"/>
      <c r="D722" s="34" t="s">
        <v>339</v>
      </c>
      <c r="E722" s="34" t="s">
        <v>196</v>
      </c>
      <c r="F722" s="34" t="s">
        <v>197</v>
      </c>
      <c r="G722" s="34" t="s">
        <v>198</v>
      </c>
      <c r="H722" s="34" t="s">
        <v>199</v>
      </c>
      <c r="I722">
        <v>12</v>
      </c>
      <c r="J722">
        <v>0</v>
      </c>
      <c r="K722">
        <v>11</v>
      </c>
      <c r="L722">
        <v>1</v>
      </c>
      <c r="O722" s="28">
        <v>46287</v>
      </c>
      <c r="R722">
        <v>-1</v>
      </c>
      <c r="S722">
        <v>19</v>
      </c>
      <c r="T722">
        <v>4</v>
      </c>
      <c r="U722">
        <v>23</v>
      </c>
      <c r="V722">
        <v>20260924019</v>
      </c>
    </row>
    <row r="723" spans="1:22" x14ac:dyDescent="0.2">
      <c r="A723" s="34" t="s">
        <v>122</v>
      </c>
      <c r="B723" s="28">
        <v>46289</v>
      </c>
      <c r="C723" s="34"/>
      <c r="D723" s="34" t="s">
        <v>339</v>
      </c>
      <c r="E723" s="34" t="s">
        <v>200</v>
      </c>
      <c r="F723" s="34" t="s">
        <v>201</v>
      </c>
      <c r="G723" s="34" t="s">
        <v>202</v>
      </c>
      <c r="H723" s="34" t="s">
        <v>203</v>
      </c>
      <c r="I723">
        <v>5</v>
      </c>
      <c r="J723">
        <v>0</v>
      </c>
      <c r="K723">
        <v>21</v>
      </c>
      <c r="L723">
        <v>-16</v>
      </c>
      <c r="O723" s="28">
        <v>46287</v>
      </c>
      <c r="R723">
        <v>-1</v>
      </c>
      <c r="S723">
        <v>20</v>
      </c>
      <c r="T723">
        <v>4</v>
      </c>
      <c r="U723">
        <v>24</v>
      </c>
      <c r="V723">
        <v>20260924020</v>
      </c>
    </row>
    <row r="724" spans="1:22" x14ac:dyDescent="0.2">
      <c r="A724" s="34" t="s">
        <v>122</v>
      </c>
      <c r="B724" s="28">
        <v>46289</v>
      </c>
      <c r="C724" s="34"/>
      <c r="D724" s="34" t="s">
        <v>339</v>
      </c>
      <c r="E724" s="34" t="s">
        <v>204</v>
      </c>
      <c r="F724" s="34" t="s">
        <v>205</v>
      </c>
      <c r="G724" s="34" t="s">
        <v>206</v>
      </c>
      <c r="H724" s="34" t="s">
        <v>207</v>
      </c>
      <c r="I724">
        <v>4</v>
      </c>
      <c r="J724">
        <v>0</v>
      </c>
      <c r="K724">
        <v>7</v>
      </c>
      <c r="L724">
        <v>-3</v>
      </c>
      <c r="O724" s="28">
        <v>46287</v>
      </c>
      <c r="R724">
        <v>-1</v>
      </c>
      <c r="S724">
        <v>21</v>
      </c>
      <c r="T724">
        <v>4</v>
      </c>
      <c r="U724">
        <v>25</v>
      </c>
      <c r="V724">
        <v>20260924021</v>
      </c>
    </row>
    <row r="725" spans="1:22" x14ac:dyDescent="0.2">
      <c r="A725" s="34" t="s">
        <v>122</v>
      </c>
      <c r="B725" s="28">
        <v>46289</v>
      </c>
      <c r="C725" s="34"/>
      <c r="D725" s="34" t="s">
        <v>339</v>
      </c>
      <c r="E725" s="34" t="s">
        <v>208</v>
      </c>
      <c r="F725" s="34" t="s">
        <v>209</v>
      </c>
      <c r="G725" s="34" t="s">
        <v>210</v>
      </c>
      <c r="H725" s="34" t="s">
        <v>211</v>
      </c>
      <c r="I725">
        <v>12</v>
      </c>
      <c r="J725">
        <v>0</v>
      </c>
      <c r="K725">
        <v>3</v>
      </c>
      <c r="L725">
        <v>9</v>
      </c>
      <c r="O725" s="28">
        <v>46287</v>
      </c>
      <c r="R725">
        <v>-1</v>
      </c>
      <c r="S725">
        <v>22</v>
      </c>
      <c r="T725">
        <v>4</v>
      </c>
      <c r="U725">
        <v>26</v>
      </c>
      <c r="V725">
        <v>20260924022</v>
      </c>
    </row>
    <row r="726" spans="1:22" x14ac:dyDescent="0.2">
      <c r="A726" s="34" t="s">
        <v>122</v>
      </c>
      <c r="B726" s="28">
        <v>46289</v>
      </c>
      <c r="C726" s="34"/>
      <c r="D726" s="34" t="s">
        <v>339</v>
      </c>
      <c r="E726" s="34" t="s">
        <v>212</v>
      </c>
      <c r="F726" s="34" t="s">
        <v>213</v>
      </c>
      <c r="G726" s="34" t="s">
        <v>214</v>
      </c>
      <c r="H726" s="34" t="s">
        <v>215</v>
      </c>
      <c r="I726">
        <v>8</v>
      </c>
      <c r="J726">
        <v>0</v>
      </c>
      <c r="K726">
        <v>12</v>
      </c>
      <c r="L726">
        <v>-4</v>
      </c>
      <c r="O726" s="28">
        <v>46287</v>
      </c>
      <c r="R726">
        <v>-1</v>
      </c>
      <c r="S726">
        <v>23</v>
      </c>
      <c r="T726">
        <v>4</v>
      </c>
      <c r="U726">
        <v>27</v>
      </c>
      <c r="V726">
        <v>20260924023</v>
      </c>
    </row>
    <row r="727" spans="1:22" x14ac:dyDescent="0.2">
      <c r="A727" s="34" t="s">
        <v>122</v>
      </c>
      <c r="B727" s="28">
        <v>46289</v>
      </c>
      <c r="C727" s="34"/>
      <c r="D727" s="34" t="s">
        <v>339</v>
      </c>
      <c r="E727" s="34" t="s">
        <v>216</v>
      </c>
      <c r="F727" s="34" t="s">
        <v>217</v>
      </c>
      <c r="G727" s="34" t="s">
        <v>218</v>
      </c>
      <c r="H727" s="34" t="s">
        <v>219</v>
      </c>
      <c r="I727">
        <v>2</v>
      </c>
      <c r="J727">
        <v>0</v>
      </c>
      <c r="K727">
        <v>8</v>
      </c>
      <c r="L727">
        <v>-6</v>
      </c>
      <c r="O727" s="28">
        <v>46287</v>
      </c>
      <c r="R727">
        <v>-1</v>
      </c>
      <c r="S727">
        <v>24</v>
      </c>
      <c r="T727">
        <v>4</v>
      </c>
      <c r="U727">
        <v>28</v>
      </c>
      <c r="V727">
        <v>20260924024</v>
      </c>
    </row>
    <row r="728" spans="1:22" x14ac:dyDescent="0.2">
      <c r="A728" s="34" t="s">
        <v>122</v>
      </c>
      <c r="B728" s="28">
        <v>46289</v>
      </c>
      <c r="C728" s="34"/>
      <c r="D728" s="34" t="s">
        <v>339</v>
      </c>
      <c r="E728" s="34" t="s">
        <v>220</v>
      </c>
      <c r="F728" s="34" t="s">
        <v>221</v>
      </c>
      <c r="G728" s="34" t="s">
        <v>222</v>
      </c>
      <c r="H728" s="34" t="s">
        <v>223</v>
      </c>
      <c r="I728">
        <v>9</v>
      </c>
      <c r="J728">
        <v>0</v>
      </c>
      <c r="K728">
        <v>7</v>
      </c>
      <c r="L728">
        <v>2</v>
      </c>
      <c r="O728" s="28">
        <v>46287</v>
      </c>
      <c r="R728">
        <v>-1</v>
      </c>
      <c r="S728">
        <v>25</v>
      </c>
      <c r="T728">
        <v>4</v>
      </c>
      <c r="U728">
        <v>29</v>
      </c>
      <c r="V728">
        <v>20260924025</v>
      </c>
    </row>
    <row r="729" spans="1:22" x14ac:dyDescent="0.2">
      <c r="A729" s="34" t="s">
        <v>122</v>
      </c>
      <c r="B729" s="28">
        <v>46289</v>
      </c>
      <c r="C729" s="34"/>
      <c r="D729" s="34" t="s">
        <v>339</v>
      </c>
      <c r="E729" s="34" t="s">
        <v>224</v>
      </c>
      <c r="F729" s="34" t="s">
        <v>225</v>
      </c>
      <c r="G729" s="34" t="s">
        <v>226</v>
      </c>
      <c r="H729" s="34" t="s">
        <v>227</v>
      </c>
      <c r="I729">
        <v>10</v>
      </c>
      <c r="J729">
        <v>0</v>
      </c>
      <c r="K729">
        <v>10</v>
      </c>
      <c r="L729">
        <v>0</v>
      </c>
      <c r="O729" s="28">
        <v>46287</v>
      </c>
      <c r="R729">
        <v>-1</v>
      </c>
      <c r="S729">
        <v>26</v>
      </c>
      <c r="T729">
        <v>4</v>
      </c>
      <c r="U729">
        <v>30</v>
      </c>
      <c r="V729">
        <v>20260924026</v>
      </c>
    </row>
    <row r="730" spans="1:22" x14ac:dyDescent="0.2">
      <c r="A730" s="34" t="s">
        <v>122</v>
      </c>
      <c r="B730" s="28">
        <v>46289</v>
      </c>
      <c r="C730" s="34"/>
      <c r="D730" s="34" t="s">
        <v>339</v>
      </c>
      <c r="E730" s="34" t="s">
        <v>228</v>
      </c>
      <c r="F730" s="34" t="s">
        <v>229</v>
      </c>
      <c r="G730" s="34" t="s">
        <v>230</v>
      </c>
      <c r="H730" s="34" t="s">
        <v>231</v>
      </c>
      <c r="I730">
        <v>6</v>
      </c>
      <c r="J730">
        <v>0</v>
      </c>
      <c r="K730">
        <v>9</v>
      </c>
      <c r="L730">
        <v>-3</v>
      </c>
      <c r="O730" s="28">
        <v>46287</v>
      </c>
      <c r="R730">
        <v>-1</v>
      </c>
      <c r="S730">
        <v>27</v>
      </c>
      <c r="T730">
        <v>4</v>
      </c>
      <c r="U730">
        <v>31</v>
      </c>
      <c r="V730">
        <v>20260924027</v>
      </c>
    </row>
    <row r="731" spans="1:22" x14ac:dyDescent="0.2">
      <c r="A731" s="34" t="s">
        <v>122</v>
      </c>
      <c r="B731" s="28">
        <v>46289</v>
      </c>
      <c r="C731" s="34"/>
      <c r="D731" s="34" t="s">
        <v>339</v>
      </c>
      <c r="E731" s="34" t="s">
        <v>232</v>
      </c>
      <c r="F731" s="34" t="s">
        <v>233</v>
      </c>
      <c r="G731" s="34" t="s">
        <v>234</v>
      </c>
      <c r="H731" s="34" t="s">
        <v>235</v>
      </c>
      <c r="I731">
        <v>13</v>
      </c>
      <c r="J731">
        <v>0</v>
      </c>
      <c r="K731">
        <v>10</v>
      </c>
      <c r="L731">
        <v>3</v>
      </c>
      <c r="O731" s="28">
        <v>46287</v>
      </c>
      <c r="R731">
        <v>-1</v>
      </c>
      <c r="S731">
        <v>28</v>
      </c>
      <c r="T731">
        <v>4</v>
      </c>
      <c r="U731">
        <v>32</v>
      </c>
      <c r="V731">
        <v>20260924028</v>
      </c>
    </row>
    <row r="732" spans="1:22" x14ac:dyDescent="0.2">
      <c r="A732" s="34" t="s">
        <v>122</v>
      </c>
      <c r="B732" s="28">
        <v>46289</v>
      </c>
      <c r="C732" s="34"/>
      <c r="D732" s="34" t="s">
        <v>339</v>
      </c>
      <c r="E732" s="34" t="s">
        <v>236</v>
      </c>
      <c r="F732" s="34" t="s">
        <v>237</v>
      </c>
      <c r="G732" s="34" t="s">
        <v>238</v>
      </c>
      <c r="H732" s="34" t="s">
        <v>239</v>
      </c>
      <c r="I732">
        <v>11</v>
      </c>
      <c r="J732">
        <v>0</v>
      </c>
      <c r="K732">
        <v>10</v>
      </c>
      <c r="L732">
        <v>1</v>
      </c>
      <c r="O732" s="28">
        <v>46287</v>
      </c>
      <c r="R732">
        <v>-1</v>
      </c>
      <c r="S732">
        <v>29</v>
      </c>
      <c r="T732">
        <v>4</v>
      </c>
      <c r="U732">
        <v>33</v>
      </c>
      <c r="V732">
        <v>20260924029</v>
      </c>
    </row>
    <row r="733" spans="1:22" x14ac:dyDescent="0.2">
      <c r="A733" s="34" t="s">
        <v>122</v>
      </c>
      <c r="B733" s="28">
        <v>46289</v>
      </c>
      <c r="C733" s="34"/>
      <c r="D733" s="34" t="s">
        <v>339</v>
      </c>
      <c r="E733" s="34" t="s">
        <v>240</v>
      </c>
      <c r="F733" s="34" t="s">
        <v>241</v>
      </c>
      <c r="G733" s="34" t="s">
        <v>242</v>
      </c>
      <c r="H733" s="34" t="s">
        <v>243</v>
      </c>
      <c r="I733">
        <v>15</v>
      </c>
      <c r="J733">
        <v>0</v>
      </c>
      <c r="K733">
        <v>10</v>
      </c>
      <c r="L733">
        <v>5</v>
      </c>
      <c r="O733" s="28">
        <v>46287</v>
      </c>
      <c r="R733">
        <v>-1</v>
      </c>
      <c r="S733">
        <v>30</v>
      </c>
      <c r="T733">
        <v>4</v>
      </c>
      <c r="U733">
        <v>34</v>
      </c>
      <c r="V733">
        <v>20260924030</v>
      </c>
    </row>
    <row r="734" spans="1:22" x14ac:dyDescent="0.2">
      <c r="A734" s="34" t="s">
        <v>122</v>
      </c>
      <c r="B734" s="28">
        <v>46289</v>
      </c>
      <c r="C734" s="34"/>
      <c r="D734" s="34" t="s">
        <v>339</v>
      </c>
      <c r="E734" s="34" t="s">
        <v>244</v>
      </c>
      <c r="F734" s="34" t="s">
        <v>245</v>
      </c>
      <c r="G734" s="34" t="s">
        <v>246</v>
      </c>
      <c r="H734" s="34" t="s">
        <v>247</v>
      </c>
      <c r="I734">
        <v>5</v>
      </c>
      <c r="J734">
        <v>0</v>
      </c>
      <c r="K734">
        <v>5</v>
      </c>
      <c r="L734">
        <v>0</v>
      </c>
      <c r="O734" s="28">
        <v>46287</v>
      </c>
      <c r="R734">
        <v>-1</v>
      </c>
      <c r="S734">
        <v>31</v>
      </c>
      <c r="T734">
        <v>4</v>
      </c>
      <c r="U734">
        <v>35</v>
      </c>
      <c r="V734">
        <v>20260924031</v>
      </c>
    </row>
    <row r="735" spans="1:22" x14ac:dyDescent="0.2">
      <c r="A735" s="34" t="s">
        <v>122</v>
      </c>
      <c r="B735" s="28">
        <v>46289</v>
      </c>
      <c r="C735" s="34"/>
      <c r="D735" s="34" t="s">
        <v>339</v>
      </c>
      <c r="E735" s="34" t="s">
        <v>248</v>
      </c>
      <c r="F735" s="34" t="s">
        <v>249</v>
      </c>
      <c r="G735" s="34" t="s">
        <v>250</v>
      </c>
      <c r="H735" s="34" t="s">
        <v>251</v>
      </c>
      <c r="I735">
        <v>6</v>
      </c>
      <c r="J735">
        <v>0</v>
      </c>
      <c r="K735">
        <v>5</v>
      </c>
      <c r="L735">
        <v>1</v>
      </c>
      <c r="O735" s="28">
        <v>46287</v>
      </c>
      <c r="R735">
        <v>-1</v>
      </c>
      <c r="S735">
        <v>32</v>
      </c>
      <c r="T735">
        <v>4</v>
      </c>
      <c r="U735">
        <v>36</v>
      </c>
      <c r="V735">
        <v>20260924032</v>
      </c>
    </row>
    <row r="736" spans="1:22" x14ac:dyDescent="0.2">
      <c r="A736" s="34" t="s">
        <v>122</v>
      </c>
      <c r="B736" s="28">
        <v>46289</v>
      </c>
      <c r="C736" s="34"/>
      <c r="D736" s="34" t="s">
        <v>339</v>
      </c>
      <c r="E736" s="34" t="s">
        <v>252</v>
      </c>
      <c r="F736" s="34" t="s">
        <v>253</v>
      </c>
      <c r="G736" s="34" t="s">
        <v>254</v>
      </c>
      <c r="H736" s="34" t="s">
        <v>255</v>
      </c>
      <c r="I736">
        <v>9</v>
      </c>
      <c r="J736">
        <v>0</v>
      </c>
      <c r="K736">
        <v>14</v>
      </c>
      <c r="L736">
        <v>-5</v>
      </c>
      <c r="O736" s="28">
        <v>46287</v>
      </c>
      <c r="R736">
        <v>-1</v>
      </c>
      <c r="S736">
        <v>33</v>
      </c>
      <c r="T736">
        <v>4</v>
      </c>
      <c r="U736">
        <v>37</v>
      </c>
      <c r="V736">
        <v>20260924033</v>
      </c>
    </row>
    <row r="737" spans="1:22" x14ac:dyDescent="0.2">
      <c r="A737" s="34" t="s">
        <v>122</v>
      </c>
      <c r="B737" s="28">
        <v>46289</v>
      </c>
      <c r="C737" s="34"/>
      <c r="D737" s="34" t="s">
        <v>339</v>
      </c>
      <c r="E737" s="34" t="s">
        <v>256</v>
      </c>
      <c r="F737" s="34" t="s">
        <v>257</v>
      </c>
      <c r="G737" s="34" t="s">
        <v>258</v>
      </c>
      <c r="H737" s="34" t="s">
        <v>259</v>
      </c>
      <c r="I737">
        <v>4</v>
      </c>
      <c r="J737">
        <v>0</v>
      </c>
      <c r="K737">
        <v>3</v>
      </c>
      <c r="L737">
        <v>1</v>
      </c>
      <c r="O737" s="28">
        <v>46287</v>
      </c>
      <c r="R737">
        <v>-1</v>
      </c>
      <c r="S737">
        <v>34</v>
      </c>
      <c r="T737">
        <v>4</v>
      </c>
      <c r="U737">
        <v>38</v>
      </c>
      <c r="V737">
        <v>20260924034</v>
      </c>
    </row>
    <row r="738" spans="1:22" x14ac:dyDescent="0.2">
      <c r="A738" s="34" t="s">
        <v>122</v>
      </c>
      <c r="B738" s="28">
        <v>46289</v>
      </c>
      <c r="C738" s="34"/>
      <c r="D738" s="34" t="s">
        <v>339</v>
      </c>
      <c r="E738" s="34" t="s">
        <v>260</v>
      </c>
      <c r="F738" s="34" t="s">
        <v>261</v>
      </c>
      <c r="G738" s="34" t="s">
        <v>262</v>
      </c>
      <c r="H738" s="34" t="s">
        <v>263</v>
      </c>
      <c r="I738">
        <v>4</v>
      </c>
      <c r="J738">
        <v>0</v>
      </c>
      <c r="K738">
        <v>2</v>
      </c>
      <c r="L738">
        <v>2</v>
      </c>
      <c r="O738" s="28">
        <v>46287</v>
      </c>
      <c r="R738">
        <v>-1</v>
      </c>
      <c r="S738">
        <v>35</v>
      </c>
      <c r="T738">
        <v>4</v>
      </c>
      <c r="U738">
        <v>39</v>
      </c>
      <c r="V738">
        <v>20260924035</v>
      </c>
    </row>
    <row r="739" spans="1:22" x14ac:dyDescent="0.2">
      <c r="A739" s="34" t="s">
        <v>122</v>
      </c>
      <c r="B739" s="28">
        <v>46289</v>
      </c>
      <c r="C739" s="34"/>
      <c r="D739" s="34" t="s">
        <v>339</v>
      </c>
      <c r="E739" s="34" t="s">
        <v>264</v>
      </c>
      <c r="F739" s="34" t="s">
        <v>265</v>
      </c>
      <c r="G739" s="34" t="s">
        <v>266</v>
      </c>
      <c r="H739" s="34" t="s">
        <v>267</v>
      </c>
      <c r="I739">
        <v>10</v>
      </c>
      <c r="J739">
        <v>0</v>
      </c>
      <c r="K739">
        <v>3</v>
      </c>
      <c r="L739">
        <v>7</v>
      </c>
      <c r="O739" s="28">
        <v>46287</v>
      </c>
      <c r="R739">
        <v>-1</v>
      </c>
      <c r="S739">
        <v>36</v>
      </c>
      <c r="T739">
        <v>4</v>
      </c>
      <c r="U739">
        <v>40</v>
      </c>
      <c r="V739">
        <v>20260924036</v>
      </c>
    </row>
    <row r="740" spans="1:22" x14ac:dyDescent="0.2">
      <c r="A740" s="34" t="s">
        <v>122</v>
      </c>
      <c r="B740" s="28">
        <v>46289</v>
      </c>
      <c r="C740" s="34"/>
      <c r="D740" s="34" t="s">
        <v>339</v>
      </c>
      <c r="E740" s="34" t="s">
        <v>268</v>
      </c>
      <c r="F740" s="34" t="s">
        <v>269</v>
      </c>
      <c r="G740" s="34" t="s">
        <v>270</v>
      </c>
      <c r="H740" s="34" t="s">
        <v>271</v>
      </c>
      <c r="I740">
        <v>7</v>
      </c>
      <c r="J740">
        <v>0</v>
      </c>
      <c r="K740">
        <v>6</v>
      </c>
      <c r="L740">
        <v>1</v>
      </c>
      <c r="O740" s="28">
        <v>46287</v>
      </c>
      <c r="R740">
        <v>-1</v>
      </c>
      <c r="S740">
        <v>37</v>
      </c>
      <c r="T740">
        <v>4</v>
      </c>
      <c r="U740">
        <v>41</v>
      </c>
      <c r="V740">
        <v>20260924037</v>
      </c>
    </row>
    <row r="741" spans="1:22" x14ac:dyDescent="0.2">
      <c r="A741" s="34" t="s">
        <v>122</v>
      </c>
      <c r="B741" s="28">
        <v>46289</v>
      </c>
      <c r="C741" s="34"/>
      <c r="D741" s="34" t="s">
        <v>339</v>
      </c>
      <c r="E741" s="34" t="s">
        <v>272</v>
      </c>
      <c r="F741" s="34" t="s">
        <v>341</v>
      </c>
      <c r="G741" s="34" t="s">
        <v>273</v>
      </c>
      <c r="H741" s="34" t="s">
        <v>274</v>
      </c>
      <c r="I741">
        <v>8</v>
      </c>
      <c r="J741">
        <v>0</v>
      </c>
      <c r="K741">
        <v>18</v>
      </c>
      <c r="L741">
        <v>-10</v>
      </c>
      <c r="O741" s="28">
        <v>46287</v>
      </c>
      <c r="R741">
        <v>-1</v>
      </c>
      <c r="S741">
        <v>38</v>
      </c>
      <c r="T741">
        <v>4</v>
      </c>
      <c r="U741">
        <v>42</v>
      </c>
      <c r="V741">
        <v>20260924038</v>
      </c>
    </row>
    <row r="742" spans="1:22" x14ac:dyDescent="0.2">
      <c r="A742" s="34" t="s">
        <v>122</v>
      </c>
      <c r="B742" s="28">
        <v>46289</v>
      </c>
      <c r="C742" s="34"/>
      <c r="D742" s="34" t="s">
        <v>339</v>
      </c>
      <c r="E742" s="34" t="s">
        <v>275</v>
      </c>
      <c r="F742" s="34" t="s">
        <v>276</v>
      </c>
      <c r="G742" s="34" t="s">
        <v>277</v>
      </c>
      <c r="H742" s="34" t="s">
        <v>278</v>
      </c>
      <c r="I742">
        <v>2</v>
      </c>
      <c r="J742">
        <v>0</v>
      </c>
      <c r="K742">
        <v>3</v>
      </c>
      <c r="L742">
        <v>-1</v>
      </c>
      <c r="O742" s="28">
        <v>46287</v>
      </c>
      <c r="R742">
        <v>-1</v>
      </c>
      <c r="S742">
        <v>39</v>
      </c>
      <c r="T742">
        <v>4</v>
      </c>
      <c r="U742">
        <v>43</v>
      </c>
      <c r="V742">
        <v>20260924039</v>
      </c>
    </row>
    <row r="743" spans="1:22" x14ac:dyDescent="0.2">
      <c r="A743" s="34" t="s">
        <v>122</v>
      </c>
      <c r="B743" s="28">
        <v>46289</v>
      </c>
      <c r="C743" s="34"/>
      <c r="D743" s="34" t="s">
        <v>339</v>
      </c>
      <c r="E743" s="34" t="s">
        <v>279</v>
      </c>
      <c r="F743" s="34" t="s">
        <v>280</v>
      </c>
      <c r="G743" s="34" t="s">
        <v>281</v>
      </c>
      <c r="H743" s="34" t="s">
        <v>282</v>
      </c>
      <c r="I743">
        <v>4</v>
      </c>
      <c r="J743">
        <v>0</v>
      </c>
      <c r="K743">
        <v>5</v>
      </c>
      <c r="L743">
        <v>-1</v>
      </c>
      <c r="O743" s="28">
        <v>46287</v>
      </c>
      <c r="R743">
        <v>-1</v>
      </c>
      <c r="S743">
        <v>40</v>
      </c>
      <c r="T743">
        <v>4</v>
      </c>
      <c r="U743">
        <v>44</v>
      </c>
      <c r="V743">
        <v>20260924040</v>
      </c>
    </row>
    <row r="744" spans="1:22" x14ac:dyDescent="0.2">
      <c r="A744" s="34" t="s">
        <v>122</v>
      </c>
      <c r="B744" s="28">
        <v>46289</v>
      </c>
      <c r="C744" s="34"/>
      <c r="D744" s="34" t="s">
        <v>339</v>
      </c>
      <c r="E744" s="34" t="s">
        <v>283</v>
      </c>
      <c r="F744" s="34" t="s">
        <v>284</v>
      </c>
      <c r="G744" s="34" t="s">
        <v>285</v>
      </c>
      <c r="H744" s="34" t="s">
        <v>286</v>
      </c>
      <c r="I744">
        <v>21</v>
      </c>
      <c r="J744">
        <v>0</v>
      </c>
      <c r="K744">
        <v>19</v>
      </c>
      <c r="L744">
        <v>2</v>
      </c>
      <c r="O744" s="28">
        <v>46287</v>
      </c>
      <c r="R744">
        <v>-1</v>
      </c>
      <c r="S744">
        <v>41</v>
      </c>
      <c r="T744">
        <v>4</v>
      </c>
      <c r="U744">
        <v>45</v>
      </c>
      <c r="V744">
        <v>20260924041</v>
      </c>
    </row>
    <row r="745" spans="1:22" x14ac:dyDescent="0.2">
      <c r="A745" s="34" t="s">
        <v>122</v>
      </c>
      <c r="B745" s="28">
        <v>46289</v>
      </c>
      <c r="C745" s="34"/>
      <c r="D745" s="34" t="s">
        <v>339</v>
      </c>
      <c r="E745" s="34" t="s">
        <v>287</v>
      </c>
      <c r="F745" s="34" t="s">
        <v>288</v>
      </c>
      <c r="G745" s="34" t="s">
        <v>289</v>
      </c>
      <c r="H745" s="34" t="s">
        <v>290</v>
      </c>
      <c r="I745">
        <v>16</v>
      </c>
      <c r="J745">
        <v>0</v>
      </c>
      <c r="K745">
        <v>9</v>
      </c>
      <c r="L745">
        <v>7</v>
      </c>
      <c r="O745" s="28">
        <v>46287</v>
      </c>
      <c r="R745">
        <v>-1</v>
      </c>
      <c r="S745">
        <v>42</v>
      </c>
      <c r="T745">
        <v>4</v>
      </c>
      <c r="U745">
        <v>46</v>
      </c>
      <c r="V745">
        <v>20260924042</v>
      </c>
    </row>
    <row r="746" spans="1:22" x14ac:dyDescent="0.2">
      <c r="A746" s="34" t="s">
        <v>122</v>
      </c>
      <c r="B746" s="28">
        <v>46289</v>
      </c>
      <c r="C746" s="34"/>
      <c r="D746" s="34" t="s">
        <v>339</v>
      </c>
      <c r="E746" s="34" t="s">
        <v>291</v>
      </c>
      <c r="F746" s="34" t="s">
        <v>342</v>
      </c>
      <c r="G746" s="34" t="s">
        <v>292</v>
      </c>
      <c r="H746" s="34" t="s">
        <v>293</v>
      </c>
      <c r="I746">
        <v>21</v>
      </c>
      <c r="J746">
        <v>0</v>
      </c>
      <c r="K746">
        <v>20</v>
      </c>
      <c r="L746">
        <v>1</v>
      </c>
      <c r="O746" s="28">
        <v>46287</v>
      </c>
      <c r="R746">
        <v>-1</v>
      </c>
      <c r="S746">
        <v>43</v>
      </c>
      <c r="T746">
        <v>4</v>
      </c>
      <c r="U746">
        <v>47</v>
      </c>
      <c r="V746">
        <v>20260924043</v>
      </c>
    </row>
    <row r="747" spans="1:22" x14ac:dyDescent="0.2">
      <c r="A747" s="34" t="s">
        <v>122</v>
      </c>
      <c r="B747" s="28">
        <v>46289</v>
      </c>
      <c r="C747" s="34"/>
      <c r="D747" s="34" t="s">
        <v>339</v>
      </c>
      <c r="E747" s="34" t="s">
        <v>294</v>
      </c>
      <c r="F747" s="34" t="s">
        <v>295</v>
      </c>
      <c r="G747" s="34" t="s">
        <v>296</v>
      </c>
      <c r="H747" s="34" t="s">
        <v>297</v>
      </c>
      <c r="I747">
        <v>9</v>
      </c>
      <c r="J747">
        <v>0</v>
      </c>
      <c r="K747">
        <v>16</v>
      </c>
      <c r="L747">
        <v>-7</v>
      </c>
      <c r="O747" s="28">
        <v>46287</v>
      </c>
      <c r="R747">
        <v>-1</v>
      </c>
      <c r="S747">
        <v>44</v>
      </c>
      <c r="T747">
        <v>4</v>
      </c>
      <c r="U747">
        <v>48</v>
      </c>
      <c r="V747">
        <v>20260924044</v>
      </c>
    </row>
    <row r="748" spans="1:22" x14ac:dyDescent="0.2">
      <c r="A748" s="34" t="s">
        <v>122</v>
      </c>
      <c r="B748" s="28">
        <v>46289</v>
      </c>
      <c r="C748" s="34"/>
      <c r="D748" s="34" t="s">
        <v>339</v>
      </c>
      <c r="E748" s="34" t="s">
        <v>298</v>
      </c>
      <c r="F748" s="34" t="s">
        <v>299</v>
      </c>
      <c r="G748" s="34" t="s">
        <v>300</v>
      </c>
      <c r="H748" s="34" t="s">
        <v>301</v>
      </c>
      <c r="I748">
        <v>13</v>
      </c>
      <c r="J748">
        <v>0</v>
      </c>
      <c r="K748">
        <v>9</v>
      </c>
      <c r="L748">
        <v>4</v>
      </c>
      <c r="O748" s="28">
        <v>46287</v>
      </c>
      <c r="R748">
        <v>-1</v>
      </c>
      <c r="S748">
        <v>45</v>
      </c>
      <c r="T748">
        <v>4</v>
      </c>
      <c r="U748">
        <v>49</v>
      </c>
      <c r="V748">
        <v>20260924045</v>
      </c>
    </row>
    <row r="749" spans="1:22" x14ac:dyDescent="0.2">
      <c r="A749" s="34" t="s">
        <v>122</v>
      </c>
      <c r="B749" s="28">
        <v>46289</v>
      </c>
      <c r="C749" s="34"/>
      <c r="D749" s="34" t="s">
        <v>339</v>
      </c>
      <c r="E749" s="34" t="s">
        <v>302</v>
      </c>
      <c r="F749" s="34" t="s">
        <v>303</v>
      </c>
      <c r="G749" s="34" t="s">
        <v>304</v>
      </c>
      <c r="H749" s="34" t="s">
        <v>305</v>
      </c>
      <c r="I749">
        <v>8</v>
      </c>
      <c r="J749">
        <v>0</v>
      </c>
      <c r="K749">
        <v>8</v>
      </c>
      <c r="L749">
        <v>0</v>
      </c>
      <c r="O749" s="28">
        <v>46287</v>
      </c>
      <c r="R749">
        <v>-1</v>
      </c>
      <c r="S749">
        <v>46</v>
      </c>
      <c r="T749">
        <v>4</v>
      </c>
      <c r="U749">
        <v>50</v>
      </c>
      <c r="V749">
        <v>20260924046</v>
      </c>
    </row>
    <row r="750" spans="1:22" x14ac:dyDescent="0.2">
      <c r="A750" s="34" t="s">
        <v>122</v>
      </c>
      <c r="B750" s="28">
        <v>46289</v>
      </c>
      <c r="C750" s="34"/>
      <c r="D750" s="34" t="s">
        <v>339</v>
      </c>
      <c r="E750" s="34" t="s">
        <v>306</v>
      </c>
      <c r="F750" s="34" t="s">
        <v>307</v>
      </c>
      <c r="G750" s="34" t="s">
        <v>308</v>
      </c>
      <c r="H750" s="34" t="s">
        <v>309</v>
      </c>
      <c r="I750">
        <v>8</v>
      </c>
      <c r="J750">
        <v>0</v>
      </c>
      <c r="K750">
        <v>8</v>
      </c>
      <c r="L750">
        <v>0</v>
      </c>
      <c r="O750" s="28">
        <v>46287</v>
      </c>
      <c r="R750">
        <v>-1</v>
      </c>
      <c r="S750">
        <v>47</v>
      </c>
      <c r="T750">
        <v>4</v>
      </c>
      <c r="U750">
        <v>51</v>
      </c>
      <c r="V750">
        <v>20260924047</v>
      </c>
    </row>
    <row r="751" spans="1:22" x14ac:dyDescent="0.2">
      <c r="A751" s="34" t="s">
        <v>122</v>
      </c>
      <c r="B751" s="28">
        <v>46289</v>
      </c>
      <c r="C751" s="34"/>
      <c r="D751" s="34" t="s">
        <v>339</v>
      </c>
      <c r="E751" s="34" t="s">
        <v>310</v>
      </c>
      <c r="F751" s="34" t="s">
        <v>311</v>
      </c>
      <c r="G751" s="34" t="s">
        <v>312</v>
      </c>
      <c r="H751" s="34" t="s">
        <v>313</v>
      </c>
      <c r="I751">
        <v>5</v>
      </c>
      <c r="J751">
        <v>0</v>
      </c>
      <c r="K751">
        <v>9</v>
      </c>
      <c r="L751">
        <v>-4</v>
      </c>
      <c r="O751" s="28">
        <v>46287</v>
      </c>
      <c r="R751">
        <v>-1</v>
      </c>
      <c r="S751">
        <v>48</v>
      </c>
      <c r="T751">
        <v>4</v>
      </c>
      <c r="U751">
        <v>52</v>
      </c>
      <c r="V751">
        <v>20260924048</v>
      </c>
    </row>
    <row r="752" spans="1:22" x14ac:dyDescent="0.2">
      <c r="A752" s="34" t="s">
        <v>122</v>
      </c>
      <c r="B752" s="28">
        <v>46289</v>
      </c>
      <c r="C752" s="34"/>
      <c r="D752" s="34" t="s">
        <v>339</v>
      </c>
      <c r="E752" s="34" t="s">
        <v>314</v>
      </c>
      <c r="F752" s="34" t="s">
        <v>315</v>
      </c>
      <c r="G752" s="34" t="s">
        <v>316</v>
      </c>
      <c r="H752" s="34" t="s">
        <v>317</v>
      </c>
      <c r="I752">
        <v>26</v>
      </c>
      <c r="J752">
        <v>0</v>
      </c>
      <c r="K752">
        <v>25</v>
      </c>
      <c r="L752">
        <v>1</v>
      </c>
      <c r="O752" s="28">
        <v>46287</v>
      </c>
      <c r="R752">
        <v>-1</v>
      </c>
      <c r="S752">
        <v>49</v>
      </c>
      <c r="T752">
        <v>4</v>
      </c>
      <c r="U752">
        <v>53</v>
      </c>
      <c r="V752">
        <v>20260924049</v>
      </c>
    </row>
    <row r="753" spans="1:22" x14ac:dyDescent="0.2">
      <c r="A753" s="34" t="s">
        <v>122</v>
      </c>
      <c r="B753" s="28">
        <v>46289</v>
      </c>
      <c r="C753" s="34"/>
      <c r="D753" s="34" t="s">
        <v>339</v>
      </c>
      <c r="E753" s="34" t="s">
        <v>318</v>
      </c>
      <c r="F753" s="34" t="s">
        <v>319</v>
      </c>
      <c r="G753" s="34" t="s">
        <v>320</v>
      </c>
      <c r="H753" s="34" t="s">
        <v>321</v>
      </c>
      <c r="I753">
        <v>7</v>
      </c>
      <c r="J753">
        <v>0</v>
      </c>
      <c r="K753">
        <v>2</v>
      </c>
      <c r="L753">
        <v>5</v>
      </c>
      <c r="O753" s="28">
        <v>46287</v>
      </c>
      <c r="R753">
        <v>-1</v>
      </c>
      <c r="S753">
        <v>50</v>
      </c>
      <c r="T753">
        <v>4</v>
      </c>
      <c r="U753">
        <v>54</v>
      </c>
      <c r="V753">
        <v>20260924050</v>
      </c>
    </row>
    <row r="754" spans="1:22" x14ac:dyDescent="0.2">
      <c r="A754" s="34" t="s">
        <v>122</v>
      </c>
      <c r="B754" s="28">
        <v>46289</v>
      </c>
      <c r="C754" s="34"/>
      <c r="D754" s="34" t="s">
        <v>339</v>
      </c>
      <c r="E754" s="34" t="s">
        <v>322</v>
      </c>
      <c r="F754" s="34" t="s">
        <v>323</v>
      </c>
      <c r="G754" s="34" t="s">
        <v>324</v>
      </c>
      <c r="H754" s="34" t="s">
        <v>325</v>
      </c>
      <c r="I754">
        <v>8</v>
      </c>
      <c r="J754">
        <v>0</v>
      </c>
      <c r="K754">
        <v>6</v>
      </c>
      <c r="L754">
        <v>2</v>
      </c>
      <c r="O754" s="28">
        <v>46287</v>
      </c>
      <c r="R754">
        <v>-1</v>
      </c>
      <c r="S754">
        <v>51</v>
      </c>
      <c r="T754">
        <v>4</v>
      </c>
      <c r="U754">
        <v>55</v>
      </c>
      <c r="V754">
        <v>20260924051</v>
      </c>
    </row>
    <row r="755" spans="1:22" x14ac:dyDescent="0.2">
      <c r="A755" s="34" t="s">
        <v>122</v>
      </c>
      <c r="B755" s="28">
        <v>46289</v>
      </c>
      <c r="C755" s="34"/>
      <c r="D755" s="34" t="s">
        <v>339</v>
      </c>
      <c r="E755" s="34" t="s">
        <v>326</v>
      </c>
      <c r="F755" s="34" t="s">
        <v>327</v>
      </c>
      <c r="G755" s="34" t="s">
        <v>328</v>
      </c>
      <c r="H755" s="34" t="s">
        <v>329</v>
      </c>
      <c r="I755">
        <v>12</v>
      </c>
      <c r="J755">
        <v>0</v>
      </c>
      <c r="K755">
        <v>14</v>
      </c>
      <c r="L755">
        <v>-2</v>
      </c>
      <c r="O755" s="28">
        <v>46287</v>
      </c>
      <c r="R755">
        <v>-1</v>
      </c>
      <c r="S755">
        <v>52</v>
      </c>
      <c r="T755">
        <v>4</v>
      </c>
      <c r="U755">
        <v>73</v>
      </c>
      <c r="V755">
        <v>20260924052</v>
      </c>
    </row>
    <row r="756" spans="1:22" x14ac:dyDescent="0.2">
      <c r="A756" s="34" t="s">
        <v>122</v>
      </c>
      <c r="B756" s="28">
        <v>46289</v>
      </c>
      <c r="C756" s="34"/>
      <c r="D756" s="34" t="s">
        <v>339</v>
      </c>
      <c r="E756" s="34" t="s">
        <v>330</v>
      </c>
      <c r="F756" s="34" t="s">
        <v>331</v>
      </c>
      <c r="G756" s="34" t="s">
        <v>332</v>
      </c>
      <c r="H756" s="34" t="s">
        <v>333</v>
      </c>
      <c r="I756">
        <v>12</v>
      </c>
      <c r="J756">
        <v>0</v>
      </c>
      <c r="K756">
        <v>12</v>
      </c>
      <c r="L756">
        <v>0</v>
      </c>
      <c r="O756" s="28">
        <v>46287</v>
      </c>
      <c r="R756">
        <v>-1</v>
      </c>
      <c r="S756">
        <v>53</v>
      </c>
      <c r="T756">
        <v>4</v>
      </c>
      <c r="U756">
        <v>74</v>
      </c>
      <c r="V756">
        <v>20260924053</v>
      </c>
    </row>
    <row r="757" spans="1:22" x14ac:dyDescent="0.2">
      <c r="A757" s="34" t="s">
        <v>122</v>
      </c>
      <c r="B757" s="28">
        <v>46289</v>
      </c>
      <c r="C757" s="34"/>
      <c r="D757" s="34" t="s">
        <v>339</v>
      </c>
      <c r="E757" s="34" t="s">
        <v>334</v>
      </c>
      <c r="F757" s="34" t="s">
        <v>335</v>
      </c>
      <c r="G757" s="34" t="s">
        <v>336</v>
      </c>
      <c r="H757" s="34" t="s">
        <v>337</v>
      </c>
      <c r="I757">
        <v>22</v>
      </c>
      <c r="J757">
        <v>0</v>
      </c>
      <c r="K757">
        <v>19</v>
      </c>
      <c r="L757">
        <v>3</v>
      </c>
      <c r="O757" s="28">
        <v>46287</v>
      </c>
      <c r="R757">
        <v>-1</v>
      </c>
      <c r="S757">
        <v>54</v>
      </c>
      <c r="T757">
        <v>4</v>
      </c>
      <c r="U757">
        <v>75</v>
      </c>
      <c r="V757">
        <v>20260924054</v>
      </c>
    </row>
    <row r="758" spans="1:22" x14ac:dyDescent="0.2">
      <c r="A758" s="34" t="s">
        <v>122</v>
      </c>
      <c r="B758" s="28">
        <v>46290</v>
      </c>
      <c r="C758" s="34"/>
      <c r="D758" s="34" t="s">
        <v>339</v>
      </c>
      <c r="E758" s="34" t="s">
        <v>124</v>
      </c>
      <c r="F758" s="34" t="s">
        <v>125</v>
      </c>
      <c r="G758" s="34" t="s">
        <v>126</v>
      </c>
      <c r="H758" s="34" t="s">
        <v>127</v>
      </c>
      <c r="I758">
        <v>8</v>
      </c>
      <c r="J758">
        <v>0</v>
      </c>
      <c r="K758">
        <v>7</v>
      </c>
      <c r="L758">
        <v>1</v>
      </c>
      <c r="O758" s="28">
        <v>46289</v>
      </c>
      <c r="R758">
        <v>-1</v>
      </c>
      <c r="S758">
        <v>1</v>
      </c>
      <c r="T758">
        <v>3</v>
      </c>
      <c r="U758">
        <v>1</v>
      </c>
      <c r="V758">
        <v>20260925001</v>
      </c>
    </row>
    <row r="759" spans="1:22" x14ac:dyDescent="0.2">
      <c r="A759" s="34" t="s">
        <v>122</v>
      </c>
      <c r="B759" s="28">
        <v>46290</v>
      </c>
      <c r="C759" s="34"/>
      <c r="D759" s="34" t="s">
        <v>339</v>
      </c>
      <c r="E759" s="34" t="s">
        <v>128</v>
      </c>
      <c r="F759" s="34" t="s">
        <v>129</v>
      </c>
      <c r="G759" s="34" t="s">
        <v>130</v>
      </c>
      <c r="H759" s="34" t="s">
        <v>131</v>
      </c>
      <c r="I759">
        <v>5</v>
      </c>
      <c r="J759">
        <v>0</v>
      </c>
      <c r="K759">
        <v>5</v>
      </c>
      <c r="L759">
        <v>0</v>
      </c>
      <c r="O759" s="28">
        <v>46289</v>
      </c>
      <c r="R759">
        <v>-1</v>
      </c>
      <c r="S759">
        <v>2</v>
      </c>
      <c r="T759">
        <v>3</v>
      </c>
      <c r="U759">
        <v>2</v>
      </c>
      <c r="V759">
        <v>20260925002</v>
      </c>
    </row>
    <row r="760" spans="1:22" x14ac:dyDescent="0.2">
      <c r="A760" s="34" t="s">
        <v>122</v>
      </c>
      <c r="B760" s="28">
        <v>46290</v>
      </c>
      <c r="C760" s="34"/>
      <c r="D760" s="34" t="s">
        <v>339</v>
      </c>
      <c r="E760" s="34" t="s">
        <v>132</v>
      </c>
      <c r="F760" s="34" t="s">
        <v>133</v>
      </c>
      <c r="G760" s="34" t="s">
        <v>134</v>
      </c>
      <c r="H760" s="34" t="s">
        <v>135</v>
      </c>
      <c r="I760">
        <v>4</v>
      </c>
      <c r="J760">
        <v>0</v>
      </c>
      <c r="K760">
        <v>4</v>
      </c>
      <c r="L760">
        <v>0</v>
      </c>
      <c r="O760" s="28">
        <v>46289</v>
      </c>
      <c r="R760">
        <v>-1</v>
      </c>
      <c r="S760">
        <v>3</v>
      </c>
      <c r="T760">
        <v>3</v>
      </c>
      <c r="U760">
        <v>3</v>
      </c>
      <c r="V760">
        <v>20260925003</v>
      </c>
    </row>
    <row r="761" spans="1:22" x14ac:dyDescent="0.2">
      <c r="A761" s="34" t="s">
        <v>122</v>
      </c>
      <c r="B761" s="28">
        <v>46290</v>
      </c>
      <c r="C761" s="34"/>
      <c r="D761" s="34" t="s">
        <v>339</v>
      </c>
      <c r="E761" s="34" t="s">
        <v>136</v>
      </c>
      <c r="F761" s="34" t="s">
        <v>137</v>
      </c>
      <c r="G761" s="34" t="s">
        <v>138</v>
      </c>
      <c r="H761" s="34" t="s">
        <v>139</v>
      </c>
      <c r="I761">
        <v>1</v>
      </c>
      <c r="J761">
        <v>0</v>
      </c>
      <c r="K761">
        <v>8</v>
      </c>
      <c r="L761">
        <v>-7</v>
      </c>
      <c r="O761" s="28">
        <v>46289</v>
      </c>
      <c r="R761">
        <v>-1</v>
      </c>
      <c r="S761">
        <v>4</v>
      </c>
      <c r="T761">
        <v>3</v>
      </c>
      <c r="U761">
        <v>4</v>
      </c>
      <c r="V761">
        <v>20260925004</v>
      </c>
    </row>
    <row r="762" spans="1:22" x14ac:dyDescent="0.2">
      <c r="A762" s="34" t="s">
        <v>122</v>
      </c>
      <c r="B762" s="28">
        <v>46290</v>
      </c>
      <c r="C762" s="34"/>
      <c r="D762" s="34" t="s">
        <v>339</v>
      </c>
      <c r="E762" s="34" t="s">
        <v>140</v>
      </c>
      <c r="F762" s="34" t="s">
        <v>141</v>
      </c>
      <c r="G762" s="34" t="s">
        <v>142</v>
      </c>
      <c r="H762" s="34" t="s">
        <v>143</v>
      </c>
      <c r="I762">
        <v>7</v>
      </c>
      <c r="J762">
        <v>0</v>
      </c>
      <c r="K762">
        <v>7</v>
      </c>
      <c r="L762">
        <v>0</v>
      </c>
      <c r="O762" s="28">
        <v>46289</v>
      </c>
      <c r="R762">
        <v>-1</v>
      </c>
      <c r="S762">
        <v>5</v>
      </c>
      <c r="T762">
        <v>3</v>
      </c>
      <c r="U762">
        <v>5</v>
      </c>
      <c r="V762">
        <v>20260925005</v>
      </c>
    </row>
    <row r="763" spans="1:22" x14ac:dyDescent="0.2">
      <c r="A763" s="34" t="s">
        <v>122</v>
      </c>
      <c r="B763" s="28">
        <v>46290</v>
      </c>
      <c r="C763" s="34"/>
      <c r="D763" s="34" t="s">
        <v>339</v>
      </c>
      <c r="E763" s="34" t="s">
        <v>144</v>
      </c>
      <c r="F763" s="34" t="s">
        <v>145</v>
      </c>
      <c r="G763" s="34" t="s">
        <v>146</v>
      </c>
      <c r="H763" s="34" t="s">
        <v>147</v>
      </c>
      <c r="I763">
        <v>2</v>
      </c>
      <c r="J763">
        <v>0</v>
      </c>
      <c r="K763">
        <v>12</v>
      </c>
      <c r="L763">
        <v>-10</v>
      </c>
      <c r="O763" s="28">
        <v>46289</v>
      </c>
      <c r="R763">
        <v>-1</v>
      </c>
      <c r="S763">
        <v>6</v>
      </c>
      <c r="T763">
        <v>3</v>
      </c>
      <c r="U763">
        <v>6</v>
      </c>
      <c r="V763">
        <v>20260925006</v>
      </c>
    </row>
    <row r="764" spans="1:22" x14ac:dyDescent="0.2">
      <c r="A764" s="34" t="s">
        <v>122</v>
      </c>
      <c r="B764" s="28">
        <v>46290</v>
      </c>
      <c r="C764" s="34"/>
      <c r="D764" s="34" t="s">
        <v>339</v>
      </c>
      <c r="E764" s="34" t="s">
        <v>148</v>
      </c>
      <c r="F764" s="34" t="s">
        <v>149</v>
      </c>
      <c r="G764" s="34" t="s">
        <v>150</v>
      </c>
      <c r="H764" s="34" t="s">
        <v>151</v>
      </c>
      <c r="I764">
        <v>6</v>
      </c>
      <c r="J764">
        <v>0</v>
      </c>
      <c r="K764">
        <v>6</v>
      </c>
      <c r="L764">
        <v>0</v>
      </c>
      <c r="O764" s="28">
        <v>46289</v>
      </c>
      <c r="R764">
        <v>-1</v>
      </c>
      <c r="S764">
        <v>7</v>
      </c>
      <c r="T764">
        <v>3</v>
      </c>
      <c r="U764">
        <v>7</v>
      </c>
      <c r="V764">
        <v>20260925007</v>
      </c>
    </row>
    <row r="765" spans="1:22" x14ac:dyDescent="0.2">
      <c r="A765" s="34" t="s">
        <v>122</v>
      </c>
      <c r="B765" s="28">
        <v>46290</v>
      </c>
      <c r="C765" s="34"/>
      <c r="D765" s="34" t="s">
        <v>339</v>
      </c>
      <c r="E765" s="34" t="s">
        <v>152</v>
      </c>
      <c r="F765" s="34" t="s">
        <v>153</v>
      </c>
      <c r="G765" s="34" t="s">
        <v>154</v>
      </c>
      <c r="H765" s="34" t="s">
        <v>155</v>
      </c>
      <c r="I765">
        <v>9</v>
      </c>
      <c r="J765">
        <v>0</v>
      </c>
      <c r="K765">
        <v>0</v>
      </c>
      <c r="L765">
        <v>9</v>
      </c>
      <c r="O765" s="28">
        <v>46289</v>
      </c>
      <c r="R765">
        <v>-1</v>
      </c>
      <c r="S765">
        <v>8</v>
      </c>
      <c r="T765">
        <v>3</v>
      </c>
      <c r="U765">
        <v>8</v>
      </c>
      <c r="V765">
        <v>20260925008</v>
      </c>
    </row>
    <row r="766" spans="1:22" x14ac:dyDescent="0.2">
      <c r="A766" s="34" t="s">
        <v>122</v>
      </c>
      <c r="B766" s="28">
        <v>46290</v>
      </c>
      <c r="C766" s="34"/>
      <c r="D766" s="34" t="s">
        <v>339</v>
      </c>
      <c r="E766" s="34" t="s">
        <v>156</v>
      </c>
      <c r="F766" s="34" t="s">
        <v>157</v>
      </c>
      <c r="G766" s="34" t="s">
        <v>158</v>
      </c>
      <c r="H766" s="34" t="s">
        <v>159</v>
      </c>
      <c r="I766">
        <v>25</v>
      </c>
      <c r="J766">
        <v>0</v>
      </c>
      <c r="K766">
        <v>22</v>
      </c>
      <c r="L766">
        <v>3</v>
      </c>
      <c r="O766" s="28">
        <v>46289</v>
      </c>
      <c r="R766">
        <v>-1</v>
      </c>
      <c r="S766">
        <v>9</v>
      </c>
      <c r="T766">
        <v>3</v>
      </c>
      <c r="U766">
        <v>9</v>
      </c>
      <c r="V766">
        <v>20260925009</v>
      </c>
    </row>
    <row r="767" spans="1:22" x14ac:dyDescent="0.2">
      <c r="A767" s="34" t="s">
        <v>122</v>
      </c>
      <c r="B767" s="28">
        <v>46290</v>
      </c>
      <c r="C767" s="34"/>
      <c r="D767" s="34" t="s">
        <v>339</v>
      </c>
      <c r="E767" s="34" t="s">
        <v>160</v>
      </c>
      <c r="F767" s="34" t="s">
        <v>161</v>
      </c>
      <c r="G767" s="34" t="s">
        <v>162</v>
      </c>
      <c r="H767" s="34" t="s">
        <v>163</v>
      </c>
      <c r="I767">
        <v>15</v>
      </c>
      <c r="J767">
        <v>0</v>
      </c>
      <c r="K767">
        <v>15</v>
      </c>
      <c r="L767">
        <v>0</v>
      </c>
      <c r="O767" s="28">
        <v>46289</v>
      </c>
      <c r="R767">
        <v>-1</v>
      </c>
      <c r="S767">
        <v>10</v>
      </c>
      <c r="T767">
        <v>3</v>
      </c>
      <c r="U767">
        <v>10</v>
      </c>
      <c r="V767">
        <v>20260925010</v>
      </c>
    </row>
    <row r="768" spans="1:22" x14ac:dyDescent="0.2">
      <c r="A768" s="34" t="s">
        <v>122</v>
      </c>
      <c r="B768" s="28">
        <v>46290</v>
      </c>
      <c r="C768" s="34"/>
      <c r="D768" s="34" t="s">
        <v>339</v>
      </c>
      <c r="E768" s="34" t="s">
        <v>164</v>
      </c>
      <c r="F768" s="34" t="s">
        <v>165</v>
      </c>
      <c r="G768" s="34" t="s">
        <v>166</v>
      </c>
      <c r="H768" s="34" t="s">
        <v>167</v>
      </c>
      <c r="I768">
        <v>33</v>
      </c>
      <c r="J768">
        <v>0</v>
      </c>
      <c r="K768">
        <v>32</v>
      </c>
      <c r="L768">
        <v>1</v>
      </c>
      <c r="O768" s="28">
        <v>46289</v>
      </c>
      <c r="R768">
        <v>-1</v>
      </c>
      <c r="S768">
        <v>11</v>
      </c>
      <c r="T768">
        <v>3</v>
      </c>
      <c r="U768">
        <v>11</v>
      </c>
      <c r="V768">
        <v>20260925011</v>
      </c>
    </row>
    <row r="769" spans="1:22" x14ac:dyDescent="0.2">
      <c r="A769" s="34" t="s">
        <v>122</v>
      </c>
      <c r="B769" s="28">
        <v>46290</v>
      </c>
      <c r="C769" s="34"/>
      <c r="D769" s="34" t="s">
        <v>339</v>
      </c>
      <c r="E769" s="34" t="s">
        <v>168</v>
      </c>
      <c r="F769" s="34" t="s">
        <v>169</v>
      </c>
      <c r="G769" s="34" t="s">
        <v>170</v>
      </c>
      <c r="H769" s="34" t="s">
        <v>171</v>
      </c>
      <c r="I769">
        <v>15</v>
      </c>
      <c r="J769">
        <v>0</v>
      </c>
      <c r="K769">
        <v>11</v>
      </c>
      <c r="L769">
        <v>4</v>
      </c>
      <c r="O769" s="28">
        <v>46289</v>
      </c>
      <c r="R769">
        <v>-1</v>
      </c>
      <c r="S769">
        <v>12</v>
      </c>
      <c r="T769">
        <v>3</v>
      </c>
      <c r="U769">
        <v>12</v>
      </c>
      <c r="V769">
        <v>20260925012</v>
      </c>
    </row>
    <row r="770" spans="1:22" x14ac:dyDescent="0.2">
      <c r="A770" s="34" t="s">
        <v>122</v>
      </c>
      <c r="B770" s="28">
        <v>46290</v>
      </c>
      <c r="C770" s="34"/>
      <c r="D770" s="34" t="s">
        <v>339</v>
      </c>
      <c r="E770" s="34" t="s">
        <v>172</v>
      </c>
      <c r="F770" s="34" t="s">
        <v>173</v>
      </c>
      <c r="G770" s="34" t="s">
        <v>174</v>
      </c>
      <c r="H770" s="34" t="s">
        <v>175</v>
      </c>
      <c r="I770">
        <v>12</v>
      </c>
      <c r="J770">
        <v>0</v>
      </c>
      <c r="K770">
        <v>12</v>
      </c>
      <c r="L770">
        <v>0</v>
      </c>
      <c r="O770" s="28">
        <v>46289</v>
      </c>
      <c r="R770">
        <v>-1</v>
      </c>
      <c r="S770">
        <v>13</v>
      </c>
      <c r="T770">
        <v>3</v>
      </c>
      <c r="U770">
        <v>13</v>
      </c>
      <c r="V770">
        <v>20260925013</v>
      </c>
    </row>
    <row r="771" spans="1:22" x14ac:dyDescent="0.2">
      <c r="A771" s="34" t="s">
        <v>122</v>
      </c>
      <c r="B771" s="28">
        <v>46290</v>
      </c>
      <c r="C771" s="34"/>
      <c r="D771" s="34" t="s">
        <v>339</v>
      </c>
      <c r="E771" s="34" t="s">
        <v>176</v>
      </c>
      <c r="F771" s="34" t="s">
        <v>177</v>
      </c>
      <c r="G771" s="34" t="s">
        <v>178</v>
      </c>
      <c r="H771" s="34" t="s">
        <v>179</v>
      </c>
      <c r="I771">
        <v>32</v>
      </c>
      <c r="J771">
        <v>0</v>
      </c>
      <c r="K771">
        <v>24</v>
      </c>
      <c r="L771">
        <v>8</v>
      </c>
      <c r="O771" s="28">
        <v>46289</v>
      </c>
      <c r="R771">
        <v>-1</v>
      </c>
      <c r="S771">
        <v>14</v>
      </c>
      <c r="T771">
        <v>3</v>
      </c>
      <c r="U771">
        <v>14</v>
      </c>
      <c r="V771">
        <v>20260925014</v>
      </c>
    </row>
    <row r="772" spans="1:22" x14ac:dyDescent="0.2">
      <c r="A772" s="34" t="s">
        <v>122</v>
      </c>
      <c r="B772" s="28">
        <v>46290</v>
      </c>
      <c r="C772" s="34"/>
      <c r="D772" s="34" t="s">
        <v>339</v>
      </c>
      <c r="E772" s="34" t="s">
        <v>180</v>
      </c>
      <c r="F772" s="34" t="s">
        <v>181</v>
      </c>
      <c r="G772" s="34" t="s">
        <v>182</v>
      </c>
      <c r="H772" s="34" t="s">
        <v>183</v>
      </c>
      <c r="I772">
        <v>16</v>
      </c>
      <c r="J772">
        <v>0</v>
      </c>
      <c r="K772">
        <v>15</v>
      </c>
      <c r="L772">
        <v>1</v>
      </c>
      <c r="O772" s="28">
        <v>46289</v>
      </c>
      <c r="R772">
        <v>-1</v>
      </c>
      <c r="S772">
        <v>15</v>
      </c>
      <c r="T772">
        <v>3</v>
      </c>
      <c r="U772">
        <v>15</v>
      </c>
      <c r="V772">
        <v>20260925015</v>
      </c>
    </row>
    <row r="773" spans="1:22" x14ac:dyDescent="0.2">
      <c r="A773" s="34" t="s">
        <v>122</v>
      </c>
      <c r="B773" s="28">
        <v>46290</v>
      </c>
      <c r="C773" s="34"/>
      <c r="D773" s="34" t="s">
        <v>339</v>
      </c>
      <c r="E773" s="34" t="s">
        <v>184</v>
      </c>
      <c r="F773" s="34" t="s">
        <v>185</v>
      </c>
      <c r="G773" s="34" t="s">
        <v>186</v>
      </c>
      <c r="H773" s="34" t="s">
        <v>187</v>
      </c>
      <c r="I773">
        <v>10</v>
      </c>
      <c r="J773">
        <v>0</v>
      </c>
      <c r="K773">
        <v>10</v>
      </c>
      <c r="L773">
        <v>0</v>
      </c>
      <c r="O773" s="28">
        <v>46289</v>
      </c>
      <c r="R773">
        <v>-1</v>
      </c>
      <c r="S773">
        <v>16</v>
      </c>
      <c r="T773">
        <v>3</v>
      </c>
      <c r="U773">
        <v>16</v>
      </c>
      <c r="V773">
        <v>20260925016</v>
      </c>
    </row>
    <row r="774" spans="1:22" x14ac:dyDescent="0.2">
      <c r="A774" s="34" t="s">
        <v>122</v>
      </c>
      <c r="B774" s="28">
        <v>46290</v>
      </c>
      <c r="C774" s="34"/>
      <c r="D774" s="34" t="s">
        <v>339</v>
      </c>
      <c r="E774" s="34" t="s">
        <v>344</v>
      </c>
      <c r="F774" s="34" t="s">
        <v>345</v>
      </c>
      <c r="G774" s="34" t="s">
        <v>346</v>
      </c>
      <c r="H774" s="34" t="s">
        <v>346</v>
      </c>
      <c r="J774">
        <v>0</v>
      </c>
      <c r="K774">
        <v>12</v>
      </c>
      <c r="O774" s="28"/>
      <c r="R774">
        <v>-1</v>
      </c>
      <c r="S774">
        <v>17</v>
      </c>
      <c r="T774">
        <v>3</v>
      </c>
      <c r="U774">
        <v>17</v>
      </c>
      <c r="V774">
        <v>20260925017</v>
      </c>
    </row>
    <row r="775" spans="1:22" x14ac:dyDescent="0.2">
      <c r="A775" s="34" t="s">
        <v>122</v>
      </c>
      <c r="B775" s="28">
        <v>46290</v>
      </c>
      <c r="C775" s="34"/>
      <c r="D775" s="34" t="s">
        <v>339</v>
      </c>
      <c r="E775" s="34" t="s">
        <v>347</v>
      </c>
      <c r="F775" s="34" t="s">
        <v>348</v>
      </c>
      <c r="G775" s="34" t="s">
        <v>349</v>
      </c>
      <c r="H775" s="34" t="s">
        <v>349</v>
      </c>
      <c r="J775">
        <v>0</v>
      </c>
      <c r="K775">
        <v>6</v>
      </c>
      <c r="O775" s="28"/>
      <c r="R775">
        <v>-1</v>
      </c>
      <c r="S775">
        <v>18</v>
      </c>
      <c r="T775">
        <v>3</v>
      </c>
      <c r="U775">
        <v>18</v>
      </c>
      <c r="V775">
        <v>20260925018</v>
      </c>
    </row>
    <row r="776" spans="1:22" x14ac:dyDescent="0.2">
      <c r="A776" s="34" t="s">
        <v>122</v>
      </c>
      <c r="B776" s="28">
        <v>46290</v>
      </c>
      <c r="C776" s="34"/>
      <c r="D776" s="34" t="s">
        <v>339</v>
      </c>
      <c r="E776" s="34" t="s">
        <v>350</v>
      </c>
      <c r="F776" s="34" t="s">
        <v>351</v>
      </c>
      <c r="G776" s="34" t="s">
        <v>352</v>
      </c>
      <c r="H776" s="34" t="s">
        <v>352</v>
      </c>
      <c r="J776">
        <v>0</v>
      </c>
      <c r="K776">
        <v>7</v>
      </c>
      <c r="O776" s="28"/>
      <c r="R776">
        <v>-1</v>
      </c>
      <c r="S776">
        <v>19</v>
      </c>
      <c r="T776">
        <v>3</v>
      </c>
      <c r="U776">
        <v>19</v>
      </c>
      <c r="V776">
        <v>20260925019</v>
      </c>
    </row>
    <row r="777" spans="1:22" x14ac:dyDescent="0.2">
      <c r="A777" s="34" t="s">
        <v>122</v>
      </c>
      <c r="B777" s="28">
        <v>46290</v>
      </c>
      <c r="C777" s="34"/>
      <c r="D777" s="34" t="s">
        <v>339</v>
      </c>
      <c r="E777" s="34" t="s">
        <v>353</v>
      </c>
      <c r="F777" s="34" t="s">
        <v>354</v>
      </c>
      <c r="G777" s="34" t="s">
        <v>355</v>
      </c>
      <c r="H777" s="34" t="s">
        <v>356</v>
      </c>
      <c r="J777">
        <v>0</v>
      </c>
      <c r="K777">
        <v>1</v>
      </c>
      <c r="O777" s="28"/>
      <c r="R777">
        <v>-1</v>
      </c>
      <c r="S777">
        <v>20</v>
      </c>
      <c r="T777">
        <v>3</v>
      </c>
      <c r="U777">
        <v>20</v>
      </c>
      <c r="V777">
        <v>20260925020</v>
      </c>
    </row>
    <row r="778" spans="1:22" x14ac:dyDescent="0.2">
      <c r="A778" s="34" t="s">
        <v>122</v>
      </c>
      <c r="B778" s="28">
        <v>46290</v>
      </c>
      <c r="C778" s="34"/>
      <c r="D778" s="34" t="s">
        <v>339</v>
      </c>
      <c r="E778" s="34" t="s">
        <v>188</v>
      </c>
      <c r="F778" s="34" t="s">
        <v>189</v>
      </c>
      <c r="G778" s="34" t="s">
        <v>190</v>
      </c>
      <c r="H778" s="34" t="s">
        <v>191</v>
      </c>
      <c r="I778">
        <v>4</v>
      </c>
      <c r="J778">
        <v>0</v>
      </c>
      <c r="K778">
        <v>4</v>
      </c>
      <c r="L778">
        <v>0</v>
      </c>
      <c r="O778" s="28">
        <v>46289</v>
      </c>
      <c r="R778">
        <v>-1</v>
      </c>
      <c r="S778">
        <v>21</v>
      </c>
      <c r="T778">
        <v>3</v>
      </c>
      <c r="U778">
        <v>21</v>
      </c>
      <c r="V778">
        <v>20260925021</v>
      </c>
    </row>
    <row r="779" spans="1:22" x14ac:dyDescent="0.2">
      <c r="A779" s="34" t="s">
        <v>122</v>
      </c>
      <c r="B779" s="28">
        <v>46290</v>
      </c>
      <c r="C779" s="34"/>
      <c r="D779" s="34" t="s">
        <v>339</v>
      </c>
      <c r="E779" s="34" t="s">
        <v>192</v>
      </c>
      <c r="F779" s="34" t="s">
        <v>193</v>
      </c>
      <c r="G779" s="34" t="s">
        <v>194</v>
      </c>
      <c r="H779" s="34" t="s">
        <v>195</v>
      </c>
      <c r="I779">
        <v>4</v>
      </c>
      <c r="J779">
        <v>0</v>
      </c>
      <c r="K779">
        <v>4</v>
      </c>
      <c r="L779">
        <v>0</v>
      </c>
      <c r="O779" s="28">
        <v>46289</v>
      </c>
      <c r="R779">
        <v>-1</v>
      </c>
      <c r="S779">
        <v>22</v>
      </c>
      <c r="T779">
        <v>3</v>
      </c>
      <c r="U779">
        <v>22</v>
      </c>
      <c r="V779">
        <v>20260925022</v>
      </c>
    </row>
    <row r="780" spans="1:22" x14ac:dyDescent="0.2">
      <c r="A780" s="34" t="s">
        <v>122</v>
      </c>
      <c r="B780" s="28">
        <v>46290</v>
      </c>
      <c r="C780" s="34"/>
      <c r="D780" s="34" t="s">
        <v>339</v>
      </c>
      <c r="E780" s="34" t="s">
        <v>196</v>
      </c>
      <c r="F780" s="34" t="s">
        <v>197</v>
      </c>
      <c r="G780" s="34" t="s">
        <v>198</v>
      </c>
      <c r="H780" s="34" t="s">
        <v>199</v>
      </c>
      <c r="I780">
        <v>11</v>
      </c>
      <c r="J780">
        <v>0</v>
      </c>
      <c r="K780">
        <v>11</v>
      </c>
      <c r="L780">
        <v>0</v>
      </c>
      <c r="O780" s="28">
        <v>46289</v>
      </c>
      <c r="R780">
        <v>-1</v>
      </c>
      <c r="S780">
        <v>23</v>
      </c>
      <c r="T780">
        <v>3</v>
      </c>
      <c r="U780">
        <v>23</v>
      </c>
      <c r="V780">
        <v>20260925023</v>
      </c>
    </row>
    <row r="781" spans="1:22" x14ac:dyDescent="0.2">
      <c r="A781" s="34" t="s">
        <v>122</v>
      </c>
      <c r="B781" s="28">
        <v>46290</v>
      </c>
      <c r="C781" s="34"/>
      <c r="D781" s="34" t="s">
        <v>339</v>
      </c>
      <c r="E781" s="34" t="s">
        <v>200</v>
      </c>
      <c r="F781" s="34" t="s">
        <v>201</v>
      </c>
      <c r="G781" s="34" t="s">
        <v>202</v>
      </c>
      <c r="H781" s="34" t="s">
        <v>203</v>
      </c>
      <c r="I781">
        <v>21</v>
      </c>
      <c r="J781">
        <v>0</v>
      </c>
      <c r="K781">
        <v>24</v>
      </c>
      <c r="L781">
        <v>-3</v>
      </c>
      <c r="O781" s="28">
        <v>46289</v>
      </c>
      <c r="R781">
        <v>-1</v>
      </c>
      <c r="S781">
        <v>24</v>
      </c>
      <c r="T781">
        <v>3</v>
      </c>
      <c r="U781">
        <v>24</v>
      </c>
      <c r="V781">
        <v>20260925024</v>
      </c>
    </row>
    <row r="782" spans="1:22" x14ac:dyDescent="0.2">
      <c r="A782" s="34" t="s">
        <v>122</v>
      </c>
      <c r="B782" s="28">
        <v>46290</v>
      </c>
      <c r="C782" s="34"/>
      <c r="D782" s="34" t="s">
        <v>339</v>
      </c>
      <c r="E782" s="34" t="s">
        <v>204</v>
      </c>
      <c r="F782" s="34" t="s">
        <v>205</v>
      </c>
      <c r="G782" s="34" t="s">
        <v>206</v>
      </c>
      <c r="H782" s="34" t="s">
        <v>207</v>
      </c>
      <c r="I782">
        <v>7</v>
      </c>
      <c r="J782">
        <v>0</v>
      </c>
      <c r="K782">
        <v>11</v>
      </c>
      <c r="L782">
        <v>-4</v>
      </c>
      <c r="O782" s="28">
        <v>46289</v>
      </c>
      <c r="R782">
        <v>-1</v>
      </c>
      <c r="S782">
        <v>25</v>
      </c>
      <c r="T782">
        <v>3</v>
      </c>
      <c r="U782">
        <v>25</v>
      </c>
      <c r="V782">
        <v>20260925025</v>
      </c>
    </row>
    <row r="783" spans="1:22" x14ac:dyDescent="0.2">
      <c r="A783" s="34" t="s">
        <v>122</v>
      </c>
      <c r="B783" s="28">
        <v>46290</v>
      </c>
      <c r="C783" s="34"/>
      <c r="D783" s="34" t="s">
        <v>339</v>
      </c>
      <c r="E783" s="34" t="s">
        <v>208</v>
      </c>
      <c r="F783" s="34" t="s">
        <v>209</v>
      </c>
      <c r="G783" s="34" t="s">
        <v>210</v>
      </c>
      <c r="H783" s="34" t="s">
        <v>211</v>
      </c>
      <c r="I783">
        <v>3</v>
      </c>
      <c r="J783">
        <v>0</v>
      </c>
      <c r="K783">
        <v>3</v>
      </c>
      <c r="L783">
        <v>0</v>
      </c>
      <c r="O783" s="28">
        <v>46289</v>
      </c>
      <c r="R783">
        <v>-1</v>
      </c>
      <c r="S783">
        <v>26</v>
      </c>
      <c r="T783">
        <v>3</v>
      </c>
      <c r="U783">
        <v>26</v>
      </c>
      <c r="V783">
        <v>20260925026</v>
      </c>
    </row>
    <row r="784" spans="1:22" x14ac:dyDescent="0.2">
      <c r="A784" s="34" t="s">
        <v>122</v>
      </c>
      <c r="B784" s="28">
        <v>46290</v>
      </c>
      <c r="C784" s="34"/>
      <c r="D784" s="34" t="s">
        <v>339</v>
      </c>
      <c r="E784" s="34" t="s">
        <v>212</v>
      </c>
      <c r="F784" s="34" t="s">
        <v>213</v>
      </c>
      <c r="G784" s="34" t="s">
        <v>214</v>
      </c>
      <c r="H784" s="34" t="s">
        <v>215</v>
      </c>
      <c r="I784">
        <v>12</v>
      </c>
      <c r="J784">
        <v>0</v>
      </c>
      <c r="K784">
        <v>17</v>
      </c>
      <c r="L784">
        <v>-5</v>
      </c>
      <c r="O784" s="28">
        <v>46289</v>
      </c>
      <c r="R784">
        <v>-1</v>
      </c>
      <c r="S784">
        <v>27</v>
      </c>
      <c r="T784">
        <v>3</v>
      </c>
      <c r="U784">
        <v>27</v>
      </c>
      <c r="V784">
        <v>20260925027</v>
      </c>
    </row>
    <row r="785" spans="1:22" x14ac:dyDescent="0.2">
      <c r="A785" s="34" t="s">
        <v>122</v>
      </c>
      <c r="B785" s="28">
        <v>46290</v>
      </c>
      <c r="C785" s="34"/>
      <c r="D785" s="34" t="s">
        <v>339</v>
      </c>
      <c r="E785" s="34" t="s">
        <v>216</v>
      </c>
      <c r="F785" s="34" t="s">
        <v>217</v>
      </c>
      <c r="G785" s="34" t="s">
        <v>218</v>
      </c>
      <c r="H785" s="34" t="s">
        <v>219</v>
      </c>
      <c r="I785">
        <v>8</v>
      </c>
      <c r="J785">
        <v>0</v>
      </c>
      <c r="K785">
        <v>8</v>
      </c>
      <c r="L785">
        <v>0</v>
      </c>
      <c r="O785" s="28">
        <v>46289</v>
      </c>
      <c r="R785">
        <v>-1</v>
      </c>
      <c r="S785">
        <v>28</v>
      </c>
      <c r="T785">
        <v>3</v>
      </c>
      <c r="U785">
        <v>28</v>
      </c>
      <c r="V785">
        <v>20260925028</v>
      </c>
    </row>
    <row r="786" spans="1:22" x14ac:dyDescent="0.2">
      <c r="A786" s="34" t="s">
        <v>122</v>
      </c>
      <c r="B786" s="28">
        <v>46290</v>
      </c>
      <c r="C786" s="34"/>
      <c r="D786" s="34" t="s">
        <v>339</v>
      </c>
      <c r="E786" s="34" t="s">
        <v>220</v>
      </c>
      <c r="F786" s="34" t="s">
        <v>221</v>
      </c>
      <c r="G786" s="34" t="s">
        <v>222</v>
      </c>
      <c r="H786" s="34" t="s">
        <v>223</v>
      </c>
      <c r="I786">
        <v>7</v>
      </c>
      <c r="J786">
        <v>0</v>
      </c>
      <c r="K786">
        <v>7</v>
      </c>
      <c r="L786">
        <v>0</v>
      </c>
      <c r="O786" s="28">
        <v>46289</v>
      </c>
      <c r="R786">
        <v>-1</v>
      </c>
      <c r="S786">
        <v>29</v>
      </c>
      <c r="T786">
        <v>3</v>
      </c>
      <c r="U786">
        <v>29</v>
      </c>
      <c r="V786">
        <v>20260925029</v>
      </c>
    </row>
    <row r="787" spans="1:22" x14ac:dyDescent="0.2">
      <c r="A787" s="34" t="s">
        <v>122</v>
      </c>
      <c r="B787" s="28">
        <v>46290</v>
      </c>
      <c r="C787" s="34"/>
      <c r="D787" s="34" t="s">
        <v>339</v>
      </c>
      <c r="E787" s="34" t="s">
        <v>224</v>
      </c>
      <c r="F787" s="34" t="s">
        <v>225</v>
      </c>
      <c r="G787" s="34" t="s">
        <v>226</v>
      </c>
      <c r="H787" s="34" t="s">
        <v>227</v>
      </c>
      <c r="I787">
        <v>10</v>
      </c>
      <c r="J787">
        <v>0</v>
      </c>
      <c r="K787">
        <v>10</v>
      </c>
      <c r="L787">
        <v>0</v>
      </c>
      <c r="O787" s="28">
        <v>46289</v>
      </c>
      <c r="R787">
        <v>-1</v>
      </c>
      <c r="S787">
        <v>30</v>
      </c>
      <c r="T787">
        <v>3</v>
      </c>
      <c r="U787">
        <v>30</v>
      </c>
      <c r="V787">
        <v>20260925030</v>
      </c>
    </row>
    <row r="788" spans="1:22" x14ac:dyDescent="0.2">
      <c r="A788" s="34" t="s">
        <v>122</v>
      </c>
      <c r="B788" s="28">
        <v>46290</v>
      </c>
      <c r="C788" s="34"/>
      <c r="D788" s="34" t="s">
        <v>339</v>
      </c>
      <c r="E788" s="34" t="s">
        <v>228</v>
      </c>
      <c r="F788" s="34" t="s">
        <v>229</v>
      </c>
      <c r="G788" s="34" t="s">
        <v>230</v>
      </c>
      <c r="H788" s="34" t="s">
        <v>231</v>
      </c>
      <c r="I788">
        <v>9</v>
      </c>
      <c r="J788">
        <v>0</v>
      </c>
      <c r="K788">
        <v>15</v>
      </c>
      <c r="L788">
        <v>-6</v>
      </c>
      <c r="O788" s="28">
        <v>46289</v>
      </c>
      <c r="R788">
        <v>-1</v>
      </c>
      <c r="S788">
        <v>31</v>
      </c>
      <c r="T788">
        <v>3</v>
      </c>
      <c r="U788">
        <v>31</v>
      </c>
      <c r="V788">
        <v>20260925031</v>
      </c>
    </row>
    <row r="789" spans="1:22" x14ac:dyDescent="0.2">
      <c r="A789" s="34" t="s">
        <v>122</v>
      </c>
      <c r="B789" s="28">
        <v>46290</v>
      </c>
      <c r="C789" s="34"/>
      <c r="D789" s="34" t="s">
        <v>339</v>
      </c>
      <c r="E789" s="34" t="s">
        <v>232</v>
      </c>
      <c r="F789" s="34" t="s">
        <v>233</v>
      </c>
      <c r="G789" s="34" t="s">
        <v>234</v>
      </c>
      <c r="H789" s="34" t="s">
        <v>235</v>
      </c>
      <c r="I789">
        <v>10</v>
      </c>
      <c r="J789">
        <v>0</v>
      </c>
      <c r="K789">
        <v>7</v>
      </c>
      <c r="L789">
        <v>3</v>
      </c>
      <c r="O789" s="28">
        <v>46289</v>
      </c>
      <c r="R789">
        <v>-1</v>
      </c>
      <c r="S789">
        <v>32</v>
      </c>
      <c r="T789">
        <v>3</v>
      </c>
      <c r="U789">
        <v>32</v>
      </c>
      <c r="V789">
        <v>20260925032</v>
      </c>
    </row>
    <row r="790" spans="1:22" x14ac:dyDescent="0.2">
      <c r="A790" s="34" t="s">
        <v>122</v>
      </c>
      <c r="B790" s="28">
        <v>46290</v>
      </c>
      <c r="C790" s="34"/>
      <c r="D790" s="34" t="s">
        <v>339</v>
      </c>
      <c r="E790" s="34" t="s">
        <v>236</v>
      </c>
      <c r="F790" s="34" t="s">
        <v>237</v>
      </c>
      <c r="G790" s="34" t="s">
        <v>238</v>
      </c>
      <c r="H790" s="34" t="s">
        <v>239</v>
      </c>
      <c r="I790">
        <v>10</v>
      </c>
      <c r="J790">
        <v>0</v>
      </c>
      <c r="K790">
        <v>10</v>
      </c>
      <c r="L790">
        <v>0</v>
      </c>
      <c r="O790" s="28">
        <v>46289</v>
      </c>
      <c r="R790">
        <v>-1</v>
      </c>
      <c r="S790">
        <v>33</v>
      </c>
      <c r="T790">
        <v>3</v>
      </c>
      <c r="U790">
        <v>33</v>
      </c>
      <c r="V790">
        <v>20260925033</v>
      </c>
    </row>
    <row r="791" spans="1:22" x14ac:dyDescent="0.2">
      <c r="A791" s="34" t="s">
        <v>122</v>
      </c>
      <c r="B791" s="28">
        <v>46290</v>
      </c>
      <c r="C791" s="34"/>
      <c r="D791" s="34" t="s">
        <v>339</v>
      </c>
      <c r="E791" s="34" t="s">
        <v>240</v>
      </c>
      <c r="F791" s="34" t="s">
        <v>241</v>
      </c>
      <c r="G791" s="34" t="s">
        <v>242</v>
      </c>
      <c r="H791" s="34" t="s">
        <v>243</v>
      </c>
      <c r="I791">
        <v>10</v>
      </c>
      <c r="J791">
        <v>0</v>
      </c>
      <c r="K791">
        <v>3</v>
      </c>
      <c r="L791">
        <v>7</v>
      </c>
      <c r="O791" s="28">
        <v>46289</v>
      </c>
      <c r="R791">
        <v>-1</v>
      </c>
      <c r="S791">
        <v>34</v>
      </c>
      <c r="T791">
        <v>3</v>
      </c>
      <c r="U791">
        <v>34</v>
      </c>
      <c r="V791">
        <v>20260925034</v>
      </c>
    </row>
    <row r="792" spans="1:22" x14ac:dyDescent="0.2">
      <c r="A792" s="34" t="s">
        <v>122</v>
      </c>
      <c r="B792" s="28">
        <v>46290</v>
      </c>
      <c r="C792" s="34"/>
      <c r="D792" s="34" t="s">
        <v>339</v>
      </c>
      <c r="E792" s="34" t="s">
        <v>244</v>
      </c>
      <c r="F792" s="34" t="s">
        <v>245</v>
      </c>
      <c r="G792" s="34" t="s">
        <v>246</v>
      </c>
      <c r="H792" s="34" t="s">
        <v>247</v>
      </c>
      <c r="I792">
        <v>5</v>
      </c>
      <c r="J792">
        <v>0</v>
      </c>
      <c r="K792">
        <v>5</v>
      </c>
      <c r="L792">
        <v>0</v>
      </c>
      <c r="O792" s="28">
        <v>46289</v>
      </c>
      <c r="R792">
        <v>-1</v>
      </c>
      <c r="S792">
        <v>35</v>
      </c>
      <c r="T792">
        <v>3</v>
      </c>
      <c r="U792">
        <v>35</v>
      </c>
      <c r="V792">
        <v>20260925035</v>
      </c>
    </row>
    <row r="793" spans="1:22" x14ac:dyDescent="0.2">
      <c r="A793" s="34" t="s">
        <v>122</v>
      </c>
      <c r="B793" s="28">
        <v>46290</v>
      </c>
      <c r="C793" s="34"/>
      <c r="D793" s="34" t="s">
        <v>339</v>
      </c>
      <c r="E793" s="34" t="s">
        <v>248</v>
      </c>
      <c r="F793" s="34" t="s">
        <v>249</v>
      </c>
      <c r="G793" s="34" t="s">
        <v>250</v>
      </c>
      <c r="H793" s="34" t="s">
        <v>251</v>
      </c>
      <c r="I793">
        <v>5</v>
      </c>
      <c r="J793">
        <v>0</v>
      </c>
      <c r="K793">
        <v>5</v>
      </c>
      <c r="L793">
        <v>0</v>
      </c>
      <c r="O793" s="28">
        <v>46289</v>
      </c>
      <c r="R793">
        <v>-1</v>
      </c>
      <c r="S793">
        <v>36</v>
      </c>
      <c r="T793">
        <v>3</v>
      </c>
      <c r="U793">
        <v>36</v>
      </c>
      <c r="V793">
        <v>20260925036</v>
      </c>
    </row>
    <row r="794" spans="1:22" x14ac:dyDescent="0.2">
      <c r="A794" s="34" t="s">
        <v>122</v>
      </c>
      <c r="B794" s="28">
        <v>46290</v>
      </c>
      <c r="C794" s="34"/>
      <c r="D794" s="34" t="s">
        <v>339</v>
      </c>
      <c r="E794" s="34" t="s">
        <v>252</v>
      </c>
      <c r="F794" s="34" t="s">
        <v>253</v>
      </c>
      <c r="G794" s="34" t="s">
        <v>254</v>
      </c>
      <c r="H794" s="34" t="s">
        <v>255</v>
      </c>
      <c r="I794">
        <v>14</v>
      </c>
      <c r="J794">
        <v>0</v>
      </c>
      <c r="K794">
        <v>8</v>
      </c>
      <c r="L794">
        <v>6</v>
      </c>
      <c r="O794" s="28">
        <v>46289</v>
      </c>
      <c r="R794">
        <v>-1</v>
      </c>
      <c r="S794">
        <v>37</v>
      </c>
      <c r="T794">
        <v>3</v>
      </c>
      <c r="U794">
        <v>37</v>
      </c>
      <c r="V794">
        <v>20260925037</v>
      </c>
    </row>
    <row r="795" spans="1:22" x14ac:dyDescent="0.2">
      <c r="A795" s="34" t="s">
        <v>122</v>
      </c>
      <c r="B795" s="28">
        <v>46290</v>
      </c>
      <c r="C795" s="34"/>
      <c r="D795" s="34" t="s">
        <v>339</v>
      </c>
      <c r="E795" s="34" t="s">
        <v>256</v>
      </c>
      <c r="F795" s="34" t="s">
        <v>257</v>
      </c>
      <c r="G795" s="34" t="s">
        <v>258</v>
      </c>
      <c r="H795" s="34" t="s">
        <v>259</v>
      </c>
      <c r="I795">
        <v>3</v>
      </c>
      <c r="J795">
        <v>0</v>
      </c>
      <c r="K795">
        <v>4</v>
      </c>
      <c r="L795">
        <v>-1</v>
      </c>
      <c r="O795" s="28">
        <v>46289</v>
      </c>
      <c r="R795">
        <v>-1</v>
      </c>
      <c r="S795">
        <v>38</v>
      </c>
      <c r="T795">
        <v>3</v>
      </c>
      <c r="U795">
        <v>38</v>
      </c>
      <c r="V795">
        <v>20260925038</v>
      </c>
    </row>
    <row r="796" spans="1:22" x14ac:dyDescent="0.2">
      <c r="A796" s="34" t="s">
        <v>122</v>
      </c>
      <c r="B796" s="28">
        <v>46290</v>
      </c>
      <c r="C796" s="34"/>
      <c r="D796" s="34" t="s">
        <v>339</v>
      </c>
      <c r="E796" s="34" t="s">
        <v>260</v>
      </c>
      <c r="F796" s="34" t="s">
        <v>261</v>
      </c>
      <c r="G796" s="34" t="s">
        <v>262</v>
      </c>
      <c r="H796" s="34" t="s">
        <v>263</v>
      </c>
      <c r="I796">
        <v>2</v>
      </c>
      <c r="J796">
        <v>0</v>
      </c>
      <c r="K796">
        <v>2</v>
      </c>
      <c r="L796">
        <v>0</v>
      </c>
      <c r="O796" s="28">
        <v>46289</v>
      </c>
      <c r="R796">
        <v>-1</v>
      </c>
      <c r="S796">
        <v>39</v>
      </c>
      <c r="T796">
        <v>3</v>
      </c>
      <c r="U796">
        <v>39</v>
      </c>
      <c r="V796">
        <v>20260925039</v>
      </c>
    </row>
    <row r="797" spans="1:22" x14ac:dyDescent="0.2">
      <c r="A797" s="34" t="s">
        <v>122</v>
      </c>
      <c r="B797" s="28">
        <v>46290</v>
      </c>
      <c r="C797" s="34"/>
      <c r="D797" s="34" t="s">
        <v>339</v>
      </c>
      <c r="E797" s="34" t="s">
        <v>264</v>
      </c>
      <c r="F797" s="34" t="s">
        <v>265</v>
      </c>
      <c r="G797" s="34" t="s">
        <v>266</v>
      </c>
      <c r="H797" s="34" t="s">
        <v>267</v>
      </c>
      <c r="I797">
        <v>3</v>
      </c>
      <c r="J797">
        <v>0</v>
      </c>
      <c r="K797">
        <v>11</v>
      </c>
      <c r="L797">
        <v>-8</v>
      </c>
      <c r="O797" s="28">
        <v>46289</v>
      </c>
      <c r="R797">
        <v>-1</v>
      </c>
      <c r="S797">
        <v>40</v>
      </c>
      <c r="T797">
        <v>3</v>
      </c>
      <c r="U797">
        <v>40</v>
      </c>
      <c r="V797">
        <v>20260925040</v>
      </c>
    </row>
    <row r="798" spans="1:22" x14ac:dyDescent="0.2">
      <c r="A798" s="34" t="s">
        <v>122</v>
      </c>
      <c r="B798" s="28">
        <v>46290</v>
      </c>
      <c r="C798" s="34"/>
      <c r="D798" s="34" t="s">
        <v>339</v>
      </c>
      <c r="E798" s="34" t="s">
        <v>268</v>
      </c>
      <c r="F798" s="34" t="s">
        <v>269</v>
      </c>
      <c r="G798" s="34" t="s">
        <v>270</v>
      </c>
      <c r="H798" s="34" t="s">
        <v>271</v>
      </c>
      <c r="I798">
        <v>6</v>
      </c>
      <c r="J798">
        <v>0</v>
      </c>
      <c r="K798">
        <v>6</v>
      </c>
      <c r="L798">
        <v>0</v>
      </c>
      <c r="O798" s="28">
        <v>46289</v>
      </c>
      <c r="R798">
        <v>-1</v>
      </c>
      <c r="S798">
        <v>41</v>
      </c>
      <c r="T798">
        <v>3</v>
      </c>
      <c r="U798">
        <v>41</v>
      </c>
      <c r="V798">
        <v>20260925041</v>
      </c>
    </row>
    <row r="799" spans="1:22" x14ac:dyDescent="0.2">
      <c r="A799" s="34" t="s">
        <v>122</v>
      </c>
      <c r="B799" s="28">
        <v>46290</v>
      </c>
      <c r="C799" s="34"/>
      <c r="D799" s="34" t="s">
        <v>339</v>
      </c>
      <c r="E799" s="34" t="s">
        <v>272</v>
      </c>
      <c r="F799" s="34" t="s">
        <v>341</v>
      </c>
      <c r="G799" s="34" t="s">
        <v>273</v>
      </c>
      <c r="H799" s="34" t="s">
        <v>274</v>
      </c>
      <c r="I799">
        <v>18</v>
      </c>
      <c r="J799">
        <v>0</v>
      </c>
      <c r="K799">
        <v>10</v>
      </c>
      <c r="L799">
        <v>8</v>
      </c>
      <c r="O799" s="28">
        <v>46289</v>
      </c>
      <c r="R799">
        <v>-1</v>
      </c>
      <c r="S799">
        <v>42</v>
      </c>
      <c r="T799">
        <v>3</v>
      </c>
      <c r="U799">
        <v>42</v>
      </c>
      <c r="V799">
        <v>20260925042</v>
      </c>
    </row>
    <row r="800" spans="1:22" x14ac:dyDescent="0.2">
      <c r="A800" s="34" t="s">
        <v>122</v>
      </c>
      <c r="B800" s="28">
        <v>46290</v>
      </c>
      <c r="C800" s="34"/>
      <c r="D800" s="34" t="s">
        <v>339</v>
      </c>
      <c r="E800" s="34" t="s">
        <v>275</v>
      </c>
      <c r="F800" s="34" t="s">
        <v>276</v>
      </c>
      <c r="G800" s="34" t="s">
        <v>277</v>
      </c>
      <c r="H800" s="34" t="s">
        <v>278</v>
      </c>
      <c r="I800">
        <v>3</v>
      </c>
      <c r="J800">
        <v>0</v>
      </c>
      <c r="K800">
        <v>1</v>
      </c>
      <c r="L800">
        <v>2</v>
      </c>
      <c r="O800" s="28">
        <v>46289</v>
      </c>
      <c r="R800">
        <v>-1</v>
      </c>
      <c r="S800">
        <v>43</v>
      </c>
      <c r="T800">
        <v>3</v>
      </c>
      <c r="U800">
        <v>43</v>
      </c>
      <c r="V800">
        <v>20260925043</v>
      </c>
    </row>
    <row r="801" spans="1:22" x14ac:dyDescent="0.2">
      <c r="A801" s="34" t="s">
        <v>122</v>
      </c>
      <c r="B801" s="28">
        <v>46290</v>
      </c>
      <c r="C801" s="34"/>
      <c r="D801" s="34" t="s">
        <v>339</v>
      </c>
      <c r="E801" s="34" t="s">
        <v>279</v>
      </c>
      <c r="F801" s="34" t="s">
        <v>280</v>
      </c>
      <c r="G801" s="34" t="s">
        <v>281</v>
      </c>
      <c r="H801" s="34" t="s">
        <v>282</v>
      </c>
      <c r="I801">
        <v>5</v>
      </c>
      <c r="J801">
        <v>0</v>
      </c>
      <c r="K801">
        <v>4</v>
      </c>
      <c r="L801">
        <v>1</v>
      </c>
      <c r="O801" s="28">
        <v>46289</v>
      </c>
      <c r="R801">
        <v>-1</v>
      </c>
      <c r="S801">
        <v>44</v>
      </c>
      <c r="T801">
        <v>3</v>
      </c>
      <c r="U801">
        <v>44</v>
      </c>
      <c r="V801">
        <v>20260925044</v>
      </c>
    </row>
    <row r="802" spans="1:22" x14ac:dyDescent="0.2">
      <c r="A802" s="34" t="s">
        <v>122</v>
      </c>
      <c r="B802" s="28">
        <v>46290</v>
      </c>
      <c r="C802" s="34"/>
      <c r="D802" s="34" t="s">
        <v>339</v>
      </c>
      <c r="E802" s="34" t="s">
        <v>283</v>
      </c>
      <c r="F802" s="34" t="s">
        <v>284</v>
      </c>
      <c r="G802" s="34" t="s">
        <v>285</v>
      </c>
      <c r="H802" s="34" t="s">
        <v>286</v>
      </c>
      <c r="I802">
        <v>19</v>
      </c>
      <c r="J802">
        <v>0</v>
      </c>
      <c r="K802">
        <v>19</v>
      </c>
      <c r="L802">
        <v>0</v>
      </c>
      <c r="O802" s="28">
        <v>46289</v>
      </c>
      <c r="R802">
        <v>-1</v>
      </c>
      <c r="S802">
        <v>45</v>
      </c>
      <c r="T802">
        <v>3</v>
      </c>
      <c r="U802">
        <v>45</v>
      </c>
      <c r="V802">
        <v>20260925045</v>
      </c>
    </row>
    <row r="803" spans="1:22" x14ac:dyDescent="0.2">
      <c r="A803" s="34" t="s">
        <v>122</v>
      </c>
      <c r="B803" s="28">
        <v>46290</v>
      </c>
      <c r="C803" s="34"/>
      <c r="D803" s="34" t="s">
        <v>339</v>
      </c>
      <c r="E803" s="34" t="s">
        <v>287</v>
      </c>
      <c r="F803" s="34" t="s">
        <v>288</v>
      </c>
      <c r="G803" s="34" t="s">
        <v>289</v>
      </c>
      <c r="H803" s="34" t="s">
        <v>290</v>
      </c>
      <c r="I803">
        <v>9</v>
      </c>
      <c r="J803">
        <v>0</v>
      </c>
      <c r="K803">
        <v>13</v>
      </c>
      <c r="L803">
        <v>-4</v>
      </c>
      <c r="O803" s="28">
        <v>46289</v>
      </c>
      <c r="R803">
        <v>-1</v>
      </c>
      <c r="S803">
        <v>46</v>
      </c>
      <c r="T803">
        <v>3</v>
      </c>
      <c r="U803">
        <v>46</v>
      </c>
      <c r="V803">
        <v>20260925046</v>
      </c>
    </row>
    <row r="804" spans="1:22" x14ac:dyDescent="0.2">
      <c r="A804" s="34" t="s">
        <v>122</v>
      </c>
      <c r="B804" s="28">
        <v>46290</v>
      </c>
      <c r="C804" s="34"/>
      <c r="D804" s="34" t="s">
        <v>339</v>
      </c>
      <c r="E804" s="34" t="s">
        <v>291</v>
      </c>
      <c r="F804" s="34" t="s">
        <v>342</v>
      </c>
      <c r="G804" s="34" t="s">
        <v>292</v>
      </c>
      <c r="H804" s="34" t="s">
        <v>293</v>
      </c>
      <c r="I804">
        <v>20</v>
      </c>
      <c r="J804">
        <v>0</v>
      </c>
      <c r="K804">
        <v>20</v>
      </c>
      <c r="L804">
        <v>0</v>
      </c>
      <c r="O804" s="28">
        <v>46289</v>
      </c>
      <c r="R804">
        <v>-1</v>
      </c>
      <c r="S804">
        <v>47</v>
      </c>
      <c r="T804">
        <v>3</v>
      </c>
      <c r="U804">
        <v>47</v>
      </c>
      <c r="V804">
        <v>20260925047</v>
      </c>
    </row>
    <row r="805" spans="1:22" x14ac:dyDescent="0.2">
      <c r="A805" s="34" t="s">
        <v>122</v>
      </c>
      <c r="B805" s="28">
        <v>46290</v>
      </c>
      <c r="C805" s="34"/>
      <c r="D805" s="34" t="s">
        <v>339</v>
      </c>
      <c r="E805" s="34" t="s">
        <v>294</v>
      </c>
      <c r="F805" s="34" t="s">
        <v>295</v>
      </c>
      <c r="G805" s="34" t="s">
        <v>296</v>
      </c>
      <c r="H805" s="34" t="s">
        <v>297</v>
      </c>
      <c r="I805">
        <v>16</v>
      </c>
      <c r="J805">
        <v>0</v>
      </c>
      <c r="K805">
        <v>14</v>
      </c>
      <c r="L805">
        <v>2</v>
      </c>
      <c r="O805" s="28">
        <v>46289</v>
      </c>
      <c r="R805">
        <v>-1</v>
      </c>
      <c r="S805">
        <v>48</v>
      </c>
      <c r="T805">
        <v>3</v>
      </c>
      <c r="U805">
        <v>48</v>
      </c>
      <c r="V805">
        <v>20260925048</v>
      </c>
    </row>
    <row r="806" spans="1:22" x14ac:dyDescent="0.2">
      <c r="A806" s="34" t="s">
        <v>122</v>
      </c>
      <c r="B806" s="28">
        <v>46290</v>
      </c>
      <c r="C806" s="34"/>
      <c r="D806" s="34" t="s">
        <v>339</v>
      </c>
      <c r="E806" s="34" t="s">
        <v>298</v>
      </c>
      <c r="F806" s="34" t="s">
        <v>299</v>
      </c>
      <c r="G806" s="34" t="s">
        <v>300</v>
      </c>
      <c r="H806" s="34" t="s">
        <v>301</v>
      </c>
      <c r="I806">
        <v>9</v>
      </c>
      <c r="J806">
        <v>0</v>
      </c>
      <c r="K806">
        <v>6</v>
      </c>
      <c r="L806">
        <v>3</v>
      </c>
      <c r="O806" s="28">
        <v>46289</v>
      </c>
      <c r="R806">
        <v>-1</v>
      </c>
      <c r="S806">
        <v>49</v>
      </c>
      <c r="T806">
        <v>3</v>
      </c>
      <c r="U806">
        <v>49</v>
      </c>
      <c r="V806">
        <v>20260925049</v>
      </c>
    </row>
    <row r="807" spans="1:22" x14ac:dyDescent="0.2">
      <c r="A807" s="34" t="s">
        <v>122</v>
      </c>
      <c r="B807" s="28">
        <v>46290</v>
      </c>
      <c r="C807" s="34"/>
      <c r="D807" s="34" t="s">
        <v>339</v>
      </c>
      <c r="E807" s="34" t="s">
        <v>302</v>
      </c>
      <c r="F807" s="34" t="s">
        <v>303</v>
      </c>
      <c r="G807" s="34" t="s">
        <v>304</v>
      </c>
      <c r="H807" s="34" t="s">
        <v>305</v>
      </c>
      <c r="I807">
        <v>8</v>
      </c>
      <c r="J807">
        <v>0</v>
      </c>
      <c r="K807">
        <v>8</v>
      </c>
      <c r="L807">
        <v>0</v>
      </c>
      <c r="O807" s="28">
        <v>46289</v>
      </c>
      <c r="R807">
        <v>-1</v>
      </c>
      <c r="S807">
        <v>50</v>
      </c>
      <c r="T807">
        <v>3</v>
      </c>
      <c r="U807">
        <v>50</v>
      </c>
      <c r="V807">
        <v>20260925050</v>
      </c>
    </row>
    <row r="808" spans="1:22" x14ac:dyDescent="0.2">
      <c r="A808" s="34" t="s">
        <v>122</v>
      </c>
      <c r="B808" s="28">
        <v>46290</v>
      </c>
      <c r="C808" s="34"/>
      <c r="D808" s="34" t="s">
        <v>339</v>
      </c>
      <c r="E808" s="34" t="s">
        <v>306</v>
      </c>
      <c r="F808" s="34" t="s">
        <v>307</v>
      </c>
      <c r="G808" s="34" t="s">
        <v>308</v>
      </c>
      <c r="H808" s="34" t="s">
        <v>309</v>
      </c>
      <c r="I808">
        <v>8</v>
      </c>
      <c r="J808">
        <v>0</v>
      </c>
      <c r="K808">
        <v>6</v>
      </c>
      <c r="L808">
        <v>2</v>
      </c>
      <c r="O808" s="28">
        <v>46289</v>
      </c>
      <c r="R808">
        <v>-1</v>
      </c>
      <c r="S808">
        <v>51</v>
      </c>
      <c r="T808">
        <v>3</v>
      </c>
      <c r="U808">
        <v>51</v>
      </c>
      <c r="V808">
        <v>20260925051</v>
      </c>
    </row>
    <row r="809" spans="1:22" x14ac:dyDescent="0.2">
      <c r="A809" s="34" t="s">
        <v>122</v>
      </c>
      <c r="B809" s="28">
        <v>46290</v>
      </c>
      <c r="C809" s="34"/>
      <c r="D809" s="34" t="s">
        <v>339</v>
      </c>
      <c r="E809" s="34" t="s">
        <v>310</v>
      </c>
      <c r="F809" s="34" t="s">
        <v>311</v>
      </c>
      <c r="G809" s="34" t="s">
        <v>312</v>
      </c>
      <c r="H809" s="34" t="s">
        <v>313</v>
      </c>
      <c r="I809">
        <v>9</v>
      </c>
      <c r="J809">
        <v>0</v>
      </c>
      <c r="K809">
        <v>9</v>
      </c>
      <c r="L809">
        <v>0</v>
      </c>
      <c r="O809" s="28">
        <v>46289</v>
      </c>
      <c r="R809">
        <v>-1</v>
      </c>
      <c r="S809">
        <v>52</v>
      </c>
      <c r="T809">
        <v>3</v>
      </c>
      <c r="U809">
        <v>52</v>
      </c>
      <c r="V809">
        <v>20260925052</v>
      </c>
    </row>
    <row r="810" spans="1:22" x14ac:dyDescent="0.2">
      <c r="A810" s="34" t="s">
        <v>122</v>
      </c>
      <c r="B810" s="28">
        <v>46290</v>
      </c>
      <c r="C810" s="34"/>
      <c r="D810" s="34" t="s">
        <v>339</v>
      </c>
      <c r="E810" s="34" t="s">
        <v>314</v>
      </c>
      <c r="F810" s="34" t="s">
        <v>315</v>
      </c>
      <c r="G810" s="34" t="s">
        <v>316</v>
      </c>
      <c r="H810" s="34" t="s">
        <v>317</v>
      </c>
      <c r="I810">
        <v>25</v>
      </c>
      <c r="J810">
        <v>0</v>
      </c>
      <c r="K810">
        <v>18</v>
      </c>
      <c r="L810">
        <v>7</v>
      </c>
      <c r="O810" s="28">
        <v>46289</v>
      </c>
      <c r="R810">
        <v>-1</v>
      </c>
      <c r="S810">
        <v>53</v>
      </c>
      <c r="T810">
        <v>3</v>
      </c>
      <c r="U810">
        <v>53</v>
      </c>
      <c r="V810">
        <v>20260925053</v>
      </c>
    </row>
    <row r="811" spans="1:22" x14ac:dyDescent="0.2">
      <c r="A811" s="34" t="s">
        <v>122</v>
      </c>
      <c r="B811" s="28">
        <v>46290</v>
      </c>
      <c r="C811" s="34"/>
      <c r="D811" s="34" t="s">
        <v>339</v>
      </c>
      <c r="E811" s="34" t="s">
        <v>318</v>
      </c>
      <c r="F811" s="34" t="s">
        <v>319</v>
      </c>
      <c r="G811" s="34" t="s">
        <v>320</v>
      </c>
      <c r="H811" s="34" t="s">
        <v>321</v>
      </c>
      <c r="I811">
        <v>2</v>
      </c>
      <c r="J811">
        <v>0</v>
      </c>
      <c r="K811">
        <v>7</v>
      </c>
      <c r="L811">
        <v>-5</v>
      </c>
      <c r="O811" s="28">
        <v>46289</v>
      </c>
      <c r="R811">
        <v>-1</v>
      </c>
      <c r="S811">
        <v>54</v>
      </c>
      <c r="T811">
        <v>3</v>
      </c>
      <c r="U811">
        <v>54</v>
      </c>
      <c r="V811">
        <v>20260925054</v>
      </c>
    </row>
    <row r="812" spans="1:22" x14ac:dyDescent="0.2">
      <c r="A812" s="34" t="s">
        <v>122</v>
      </c>
      <c r="B812" s="28">
        <v>46290</v>
      </c>
      <c r="C812" s="34"/>
      <c r="D812" s="34" t="s">
        <v>339</v>
      </c>
      <c r="E812" s="34" t="s">
        <v>322</v>
      </c>
      <c r="F812" s="34" t="s">
        <v>323</v>
      </c>
      <c r="G812" s="34" t="s">
        <v>324</v>
      </c>
      <c r="H812" s="34" t="s">
        <v>325</v>
      </c>
      <c r="I812">
        <v>6</v>
      </c>
      <c r="J812">
        <v>0</v>
      </c>
      <c r="K812">
        <v>5</v>
      </c>
      <c r="L812">
        <v>1</v>
      </c>
      <c r="O812" s="28">
        <v>46289</v>
      </c>
      <c r="R812">
        <v>-1</v>
      </c>
      <c r="S812">
        <v>55</v>
      </c>
      <c r="T812">
        <v>3</v>
      </c>
      <c r="U812">
        <v>55</v>
      </c>
      <c r="V812">
        <v>20260925055</v>
      </c>
    </row>
    <row r="813" spans="1:22" x14ac:dyDescent="0.2">
      <c r="A813" s="34" t="s">
        <v>122</v>
      </c>
      <c r="B813" s="28">
        <v>46290</v>
      </c>
      <c r="C813" s="34"/>
      <c r="D813" s="34" t="s">
        <v>339</v>
      </c>
      <c r="E813" s="34" t="s">
        <v>357</v>
      </c>
      <c r="F813" s="34" t="s">
        <v>358</v>
      </c>
      <c r="G813" s="34" t="s">
        <v>359</v>
      </c>
      <c r="H813" s="34" t="s">
        <v>359</v>
      </c>
      <c r="J813">
        <v>0</v>
      </c>
      <c r="K813">
        <v>16</v>
      </c>
      <c r="O813" s="28"/>
      <c r="R813">
        <v>-1</v>
      </c>
      <c r="S813">
        <v>56</v>
      </c>
      <c r="T813">
        <v>3</v>
      </c>
      <c r="U813">
        <v>56</v>
      </c>
      <c r="V813">
        <v>20260925056</v>
      </c>
    </row>
    <row r="814" spans="1:22" x14ac:dyDescent="0.2">
      <c r="A814" s="34" t="s">
        <v>122</v>
      </c>
      <c r="B814" s="28">
        <v>46290</v>
      </c>
      <c r="C814" s="34"/>
      <c r="D814" s="34" t="s">
        <v>339</v>
      </c>
      <c r="E814" s="34" t="s">
        <v>360</v>
      </c>
      <c r="F814" s="34" t="s">
        <v>361</v>
      </c>
      <c r="G814" s="34" t="s">
        <v>362</v>
      </c>
      <c r="H814" s="34" t="s">
        <v>362</v>
      </c>
      <c r="J814">
        <v>0</v>
      </c>
      <c r="K814">
        <v>1</v>
      </c>
      <c r="O814" s="28"/>
      <c r="R814">
        <v>-1</v>
      </c>
      <c r="S814">
        <v>57</v>
      </c>
      <c r="T814">
        <v>3</v>
      </c>
      <c r="U814">
        <v>57</v>
      </c>
      <c r="V814">
        <v>20260925057</v>
      </c>
    </row>
    <row r="815" spans="1:22" x14ac:dyDescent="0.2">
      <c r="A815" s="34" t="s">
        <v>122</v>
      </c>
      <c r="B815" s="28">
        <v>46290</v>
      </c>
      <c r="C815" s="34"/>
      <c r="D815" s="34" t="s">
        <v>339</v>
      </c>
      <c r="E815" s="34" t="s">
        <v>363</v>
      </c>
      <c r="F815" s="34" t="s">
        <v>364</v>
      </c>
      <c r="G815" s="34" t="s">
        <v>365</v>
      </c>
      <c r="H815" s="34" t="s">
        <v>366</v>
      </c>
      <c r="J815">
        <v>0</v>
      </c>
      <c r="K815">
        <v>9</v>
      </c>
      <c r="O815" s="28"/>
      <c r="R815">
        <v>-1</v>
      </c>
      <c r="S815">
        <v>58</v>
      </c>
      <c r="T815">
        <v>3</v>
      </c>
      <c r="U815">
        <v>58</v>
      </c>
      <c r="V815">
        <v>20260925058</v>
      </c>
    </row>
    <row r="816" spans="1:22" x14ac:dyDescent="0.2">
      <c r="A816" s="34" t="s">
        <v>122</v>
      </c>
      <c r="B816" s="28">
        <v>46290</v>
      </c>
      <c r="C816" s="34"/>
      <c r="D816" s="34" t="s">
        <v>339</v>
      </c>
      <c r="E816" s="34" t="s">
        <v>367</v>
      </c>
      <c r="F816" s="34" t="s">
        <v>368</v>
      </c>
      <c r="G816" s="34" t="s">
        <v>369</v>
      </c>
      <c r="H816" s="34" t="s">
        <v>370</v>
      </c>
      <c r="J816">
        <v>0</v>
      </c>
      <c r="K816">
        <v>4</v>
      </c>
      <c r="O816" s="28"/>
      <c r="R816">
        <v>-1</v>
      </c>
      <c r="S816">
        <v>59</v>
      </c>
      <c r="T816">
        <v>3</v>
      </c>
      <c r="U816">
        <v>59</v>
      </c>
      <c r="V816">
        <v>20260925059</v>
      </c>
    </row>
    <row r="817" spans="1:22" x14ac:dyDescent="0.2">
      <c r="A817" s="34" t="s">
        <v>122</v>
      </c>
      <c r="B817" s="28">
        <v>46290</v>
      </c>
      <c r="C817" s="34"/>
      <c r="D817" s="34" t="s">
        <v>339</v>
      </c>
      <c r="E817" s="34" t="s">
        <v>371</v>
      </c>
      <c r="F817" s="34" t="s">
        <v>372</v>
      </c>
      <c r="G817" s="34" t="s">
        <v>373</v>
      </c>
      <c r="H817" s="34" t="s">
        <v>373</v>
      </c>
      <c r="J817">
        <v>0</v>
      </c>
      <c r="K817">
        <v>23</v>
      </c>
      <c r="O817" s="28"/>
      <c r="R817">
        <v>-1</v>
      </c>
      <c r="S817">
        <v>60</v>
      </c>
      <c r="T817">
        <v>3</v>
      </c>
      <c r="U817">
        <v>60</v>
      </c>
      <c r="V817">
        <v>20260925060</v>
      </c>
    </row>
    <row r="818" spans="1:22" x14ac:dyDescent="0.2">
      <c r="A818" s="34" t="s">
        <v>122</v>
      </c>
      <c r="B818" s="28">
        <v>46290</v>
      </c>
      <c r="C818" s="34"/>
      <c r="D818" s="34" t="s">
        <v>339</v>
      </c>
      <c r="E818" s="34" t="s">
        <v>374</v>
      </c>
      <c r="F818" s="34" t="s">
        <v>375</v>
      </c>
      <c r="G818" s="34" t="s">
        <v>376</v>
      </c>
      <c r="H818" s="34" t="s">
        <v>376</v>
      </c>
      <c r="J818">
        <v>0</v>
      </c>
      <c r="K818">
        <v>7</v>
      </c>
      <c r="O818" s="28"/>
      <c r="R818">
        <v>-1</v>
      </c>
      <c r="S818">
        <v>61</v>
      </c>
      <c r="T818">
        <v>3</v>
      </c>
      <c r="U818">
        <v>61</v>
      </c>
      <c r="V818">
        <v>20260925061</v>
      </c>
    </row>
    <row r="819" spans="1:22" x14ac:dyDescent="0.2">
      <c r="A819" s="34" t="s">
        <v>122</v>
      </c>
      <c r="B819" s="28">
        <v>46290</v>
      </c>
      <c r="C819" s="34"/>
      <c r="D819" s="34" t="s">
        <v>339</v>
      </c>
      <c r="E819" s="34" t="s">
        <v>377</v>
      </c>
      <c r="F819" s="34" t="s">
        <v>378</v>
      </c>
      <c r="G819" s="34" t="s">
        <v>379</v>
      </c>
      <c r="H819" s="34" t="s">
        <v>380</v>
      </c>
      <c r="J819">
        <v>0</v>
      </c>
      <c r="K819">
        <v>0</v>
      </c>
      <c r="O819" s="28"/>
      <c r="R819">
        <v>-1</v>
      </c>
      <c r="S819">
        <v>62</v>
      </c>
      <c r="T819">
        <v>3</v>
      </c>
      <c r="U819">
        <v>62</v>
      </c>
      <c r="V819">
        <v>20260925062</v>
      </c>
    </row>
    <row r="820" spans="1:22" x14ac:dyDescent="0.2">
      <c r="A820" s="34" t="s">
        <v>122</v>
      </c>
      <c r="B820" s="28">
        <v>46290</v>
      </c>
      <c r="C820" s="34"/>
      <c r="D820" s="34" t="s">
        <v>339</v>
      </c>
      <c r="E820" s="34" t="s">
        <v>381</v>
      </c>
      <c r="F820" s="34" t="s">
        <v>382</v>
      </c>
      <c r="G820" s="34" t="s">
        <v>383</v>
      </c>
      <c r="H820" s="34" t="s">
        <v>384</v>
      </c>
      <c r="J820">
        <v>0</v>
      </c>
      <c r="K820">
        <v>11</v>
      </c>
      <c r="O820" s="28"/>
      <c r="R820">
        <v>-1</v>
      </c>
      <c r="S820">
        <v>63</v>
      </c>
      <c r="T820">
        <v>3</v>
      </c>
      <c r="U820">
        <v>63</v>
      </c>
      <c r="V820">
        <v>20260925063</v>
      </c>
    </row>
    <row r="821" spans="1:22" x14ac:dyDescent="0.2">
      <c r="A821" s="34" t="s">
        <v>122</v>
      </c>
      <c r="B821" s="28">
        <v>46290</v>
      </c>
      <c r="C821" s="34"/>
      <c r="D821" s="34" t="s">
        <v>339</v>
      </c>
      <c r="E821" s="34" t="s">
        <v>385</v>
      </c>
      <c r="F821" s="34" t="s">
        <v>386</v>
      </c>
      <c r="G821" s="34" t="s">
        <v>387</v>
      </c>
      <c r="H821" s="34" t="s">
        <v>388</v>
      </c>
      <c r="J821">
        <v>0</v>
      </c>
      <c r="K821">
        <v>10</v>
      </c>
      <c r="O821" s="28"/>
      <c r="R821">
        <v>-1</v>
      </c>
      <c r="S821">
        <v>64</v>
      </c>
      <c r="T821">
        <v>3</v>
      </c>
      <c r="U821">
        <v>64</v>
      </c>
      <c r="V821">
        <v>20260925064</v>
      </c>
    </row>
    <row r="822" spans="1:22" x14ac:dyDescent="0.2">
      <c r="A822" s="34" t="s">
        <v>122</v>
      </c>
      <c r="B822" s="28">
        <v>46290</v>
      </c>
      <c r="C822" s="34"/>
      <c r="D822" s="34" t="s">
        <v>339</v>
      </c>
      <c r="E822" s="34" t="s">
        <v>389</v>
      </c>
      <c r="F822" s="34" t="s">
        <v>390</v>
      </c>
      <c r="G822" s="34" t="s">
        <v>391</v>
      </c>
      <c r="H822" s="34" t="s">
        <v>391</v>
      </c>
      <c r="J822">
        <v>0</v>
      </c>
      <c r="K822">
        <v>0</v>
      </c>
      <c r="O822" s="28"/>
      <c r="R822">
        <v>-1</v>
      </c>
      <c r="S822">
        <v>65</v>
      </c>
      <c r="T822">
        <v>3</v>
      </c>
      <c r="U822">
        <v>65</v>
      </c>
      <c r="V822">
        <v>20260925065</v>
      </c>
    </row>
    <row r="823" spans="1:22" x14ac:dyDescent="0.2">
      <c r="A823" s="34" t="s">
        <v>122</v>
      </c>
      <c r="B823" s="28">
        <v>46290</v>
      </c>
      <c r="C823" s="34"/>
      <c r="D823" s="34" t="s">
        <v>339</v>
      </c>
      <c r="E823" s="34" t="s">
        <v>392</v>
      </c>
      <c r="F823" s="34" t="s">
        <v>393</v>
      </c>
      <c r="G823" s="34" t="s">
        <v>394</v>
      </c>
      <c r="H823" s="34" t="s">
        <v>395</v>
      </c>
      <c r="J823">
        <v>0</v>
      </c>
      <c r="K823">
        <v>0</v>
      </c>
      <c r="O823" s="28"/>
      <c r="R823">
        <v>-1</v>
      </c>
      <c r="S823">
        <v>66</v>
      </c>
      <c r="T823">
        <v>3</v>
      </c>
      <c r="U823">
        <v>66</v>
      </c>
      <c r="V823">
        <v>20260925066</v>
      </c>
    </row>
    <row r="824" spans="1:22" x14ac:dyDescent="0.2">
      <c r="A824" s="34" t="s">
        <v>122</v>
      </c>
      <c r="B824" s="28">
        <v>46290</v>
      </c>
      <c r="C824" s="34"/>
      <c r="D824" s="34" t="s">
        <v>339</v>
      </c>
      <c r="E824" s="34" t="s">
        <v>396</v>
      </c>
      <c r="F824" s="34" t="s">
        <v>397</v>
      </c>
      <c r="G824" s="34" t="s">
        <v>398</v>
      </c>
      <c r="H824" s="34" t="s">
        <v>399</v>
      </c>
      <c r="J824">
        <v>0</v>
      </c>
      <c r="K824">
        <v>8</v>
      </c>
      <c r="O824" s="28"/>
      <c r="R824">
        <v>-1</v>
      </c>
      <c r="S824">
        <v>67</v>
      </c>
      <c r="T824">
        <v>3</v>
      </c>
      <c r="U824">
        <v>67</v>
      </c>
      <c r="V824">
        <v>20260925067</v>
      </c>
    </row>
    <row r="825" spans="1:22" x14ac:dyDescent="0.2">
      <c r="A825" s="34" t="s">
        <v>122</v>
      </c>
      <c r="B825" s="28">
        <v>46290</v>
      </c>
      <c r="C825" s="34"/>
      <c r="D825" s="34" t="s">
        <v>339</v>
      </c>
      <c r="E825" s="34" t="s">
        <v>400</v>
      </c>
      <c r="F825" s="34" t="s">
        <v>401</v>
      </c>
      <c r="G825" s="34" t="s">
        <v>402</v>
      </c>
      <c r="H825" s="34" t="s">
        <v>403</v>
      </c>
      <c r="J825">
        <v>0</v>
      </c>
      <c r="K825">
        <v>18</v>
      </c>
      <c r="O825" s="28"/>
      <c r="R825">
        <v>-1</v>
      </c>
      <c r="S825">
        <v>68</v>
      </c>
      <c r="T825">
        <v>3</v>
      </c>
      <c r="U825">
        <v>68</v>
      </c>
      <c r="V825">
        <v>20260925068</v>
      </c>
    </row>
    <row r="826" spans="1:22" x14ac:dyDescent="0.2">
      <c r="A826" s="34" t="s">
        <v>122</v>
      </c>
      <c r="B826" s="28">
        <v>46290</v>
      </c>
      <c r="C826" s="34"/>
      <c r="D826" s="34" t="s">
        <v>339</v>
      </c>
      <c r="E826" s="34" t="s">
        <v>404</v>
      </c>
      <c r="F826" s="34" t="s">
        <v>405</v>
      </c>
      <c r="G826" s="34" t="s">
        <v>406</v>
      </c>
      <c r="H826" s="34" t="s">
        <v>406</v>
      </c>
      <c r="J826">
        <v>0</v>
      </c>
      <c r="K826">
        <v>25</v>
      </c>
      <c r="O826" s="28"/>
      <c r="R826">
        <v>-1</v>
      </c>
      <c r="S826">
        <v>69</v>
      </c>
      <c r="T826">
        <v>3</v>
      </c>
      <c r="U826">
        <v>69</v>
      </c>
      <c r="V826">
        <v>20260925069</v>
      </c>
    </row>
    <row r="827" spans="1:22" x14ac:dyDescent="0.2">
      <c r="A827" s="34" t="s">
        <v>122</v>
      </c>
      <c r="B827" s="28">
        <v>46290</v>
      </c>
      <c r="C827" s="34"/>
      <c r="D827" s="34" t="s">
        <v>339</v>
      </c>
      <c r="E827" s="34" t="s">
        <v>407</v>
      </c>
      <c r="F827" s="34" t="s">
        <v>408</v>
      </c>
      <c r="G827" s="34" t="s">
        <v>409</v>
      </c>
      <c r="H827" s="34" t="s">
        <v>410</v>
      </c>
      <c r="J827">
        <v>0</v>
      </c>
      <c r="K827">
        <v>0</v>
      </c>
      <c r="O827" s="28"/>
      <c r="R827">
        <v>-1</v>
      </c>
      <c r="S827">
        <v>70</v>
      </c>
      <c r="T827">
        <v>3</v>
      </c>
      <c r="U827">
        <v>70</v>
      </c>
      <c r="V827">
        <v>20260925070</v>
      </c>
    </row>
    <row r="828" spans="1:22" x14ac:dyDescent="0.2">
      <c r="A828" s="34" t="s">
        <v>122</v>
      </c>
      <c r="B828" s="28">
        <v>46290</v>
      </c>
      <c r="C828" s="34"/>
      <c r="D828" s="34" t="s">
        <v>339</v>
      </c>
      <c r="E828" s="34" t="s">
        <v>411</v>
      </c>
      <c r="F828" s="34" t="s">
        <v>412</v>
      </c>
      <c r="G828" s="34" t="s">
        <v>413</v>
      </c>
      <c r="H828" s="34" t="s">
        <v>413</v>
      </c>
      <c r="J828">
        <v>0</v>
      </c>
      <c r="K828">
        <v>4</v>
      </c>
      <c r="O828" s="28"/>
      <c r="R828">
        <v>-1</v>
      </c>
      <c r="S828">
        <v>71</v>
      </c>
      <c r="T828">
        <v>3</v>
      </c>
      <c r="U828">
        <v>71</v>
      </c>
      <c r="V828">
        <v>20260925071</v>
      </c>
    </row>
    <row r="829" spans="1:22" x14ac:dyDescent="0.2">
      <c r="A829" s="34" t="s">
        <v>122</v>
      </c>
      <c r="B829" s="28">
        <v>46290</v>
      </c>
      <c r="C829" s="34"/>
      <c r="D829" s="34" t="s">
        <v>339</v>
      </c>
      <c r="E829" s="34" t="s">
        <v>414</v>
      </c>
      <c r="F829" s="34" t="s">
        <v>415</v>
      </c>
      <c r="G829" s="34" t="s">
        <v>416</v>
      </c>
      <c r="H829" s="34" t="s">
        <v>417</v>
      </c>
      <c r="J829">
        <v>0</v>
      </c>
      <c r="K829">
        <v>0</v>
      </c>
      <c r="O829" s="28"/>
      <c r="R829">
        <v>-1</v>
      </c>
      <c r="S829">
        <v>72</v>
      </c>
      <c r="T829">
        <v>3</v>
      </c>
      <c r="U829">
        <v>72</v>
      </c>
      <c r="V829">
        <v>20260925072</v>
      </c>
    </row>
    <row r="830" spans="1:22" x14ac:dyDescent="0.2">
      <c r="A830" s="34" t="s">
        <v>122</v>
      </c>
      <c r="B830" s="28">
        <v>46290</v>
      </c>
      <c r="C830" s="34"/>
      <c r="D830" s="34" t="s">
        <v>339</v>
      </c>
      <c r="E830" s="34" t="s">
        <v>326</v>
      </c>
      <c r="F830" s="34" t="s">
        <v>327</v>
      </c>
      <c r="G830" s="34" t="s">
        <v>328</v>
      </c>
      <c r="H830" s="34" t="s">
        <v>329</v>
      </c>
      <c r="I830">
        <v>14</v>
      </c>
      <c r="J830">
        <v>0</v>
      </c>
      <c r="K830">
        <v>13</v>
      </c>
      <c r="L830">
        <v>1</v>
      </c>
      <c r="O830" s="28">
        <v>46289</v>
      </c>
      <c r="R830">
        <v>-1</v>
      </c>
      <c r="S830">
        <v>73</v>
      </c>
      <c r="T830">
        <v>3</v>
      </c>
      <c r="U830">
        <v>73</v>
      </c>
      <c r="V830">
        <v>20260925073</v>
      </c>
    </row>
    <row r="831" spans="1:22" x14ac:dyDescent="0.2">
      <c r="A831" s="34" t="s">
        <v>122</v>
      </c>
      <c r="B831" s="28">
        <v>46290</v>
      </c>
      <c r="C831" s="34"/>
      <c r="D831" s="34" t="s">
        <v>339</v>
      </c>
      <c r="E831" s="34" t="s">
        <v>330</v>
      </c>
      <c r="F831" s="34" t="s">
        <v>331</v>
      </c>
      <c r="G831" s="34" t="s">
        <v>332</v>
      </c>
      <c r="H831" s="34" t="s">
        <v>333</v>
      </c>
      <c r="I831">
        <v>12</v>
      </c>
      <c r="J831">
        <v>0</v>
      </c>
      <c r="K831">
        <v>12</v>
      </c>
      <c r="L831">
        <v>0</v>
      </c>
      <c r="O831" s="28">
        <v>46289</v>
      </c>
      <c r="R831">
        <v>-1</v>
      </c>
      <c r="S831">
        <v>74</v>
      </c>
      <c r="T831">
        <v>3</v>
      </c>
      <c r="U831">
        <v>74</v>
      </c>
      <c r="V831">
        <v>20260925074</v>
      </c>
    </row>
    <row r="832" spans="1:22" x14ac:dyDescent="0.2">
      <c r="A832" s="34" t="s">
        <v>122</v>
      </c>
      <c r="B832" s="28">
        <v>46290</v>
      </c>
      <c r="C832" s="34"/>
      <c r="D832" s="34" t="s">
        <v>339</v>
      </c>
      <c r="E832" s="34" t="s">
        <v>334</v>
      </c>
      <c r="F832" s="34" t="s">
        <v>335</v>
      </c>
      <c r="G832" s="34" t="s">
        <v>336</v>
      </c>
      <c r="H832" s="34" t="s">
        <v>337</v>
      </c>
      <c r="I832">
        <v>19</v>
      </c>
      <c r="J832">
        <v>0</v>
      </c>
      <c r="K832">
        <v>16</v>
      </c>
      <c r="L832">
        <v>3</v>
      </c>
      <c r="O832" s="28">
        <v>46289</v>
      </c>
      <c r="R832">
        <v>-1</v>
      </c>
      <c r="S832">
        <v>75</v>
      </c>
      <c r="T832">
        <v>3</v>
      </c>
      <c r="U832">
        <v>75</v>
      </c>
      <c r="V832">
        <v>20260925075</v>
      </c>
    </row>
    <row r="833" spans="1:22" x14ac:dyDescent="0.2">
      <c r="A833" s="34" t="s">
        <v>122</v>
      </c>
      <c r="B833" s="28">
        <v>46292</v>
      </c>
      <c r="C833" s="34"/>
      <c r="D833" s="34" t="s">
        <v>343</v>
      </c>
      <c r="E833" s="34" t="s">
        <v>124</v>
      </c>
      <c r="F833" s="34" t="s">
        <v>125</v>
      </c>
      <c r="G833" s="34" t="s">
        <v>126</v>
      </c>
      <c r="H833" s="34" t="s">
        <v>127</v>
      </c>
      <c r="I833">
        <v>7</v>
      </c>
      <c r="J833">
        <v>0</v>
      </c>
      <c r="K833">
        <v>7</v>
      </c>
      <c r="L833">
        <v>0</v>
      </c>
      <c r="O833" s="28">
        <v>46290</v>
      </c>
      <c r="R833">
        <v>-1</v>
      </c>
      <c r="S833">
        <v>1</v>
      </c>
      <c r="T833">
        <v>2</v>
      </c>
      <c r="U833">
        <v>1</v>
      </c>
      <c r="V833">
        <v>20260927001</v>
      </c>
    </row>
    <row r="834" spans="1:22" x14ac:dyDescent="0.2">
      <c r="A834" s="34" t="s">
        <v>122</v>
      </c>
      <c r="B834" s="28">
        <v>46292</v>
      </c>
      <c r="C834" s="34"/>
      <c r="D834" s="34" t="s">
        <v>343</v>
      </c>
      <c r="E834" s="34" t="s">
        <v>128</v>
      </c>
      <c r="F834" s="34" t="s">
        <v>129</v>
      </c>
      <c r="G834" s="34" t="s">
        <v>130</v>
      </c>
      <c r="H834" s="34" t="s">
        <v>131</v>
      </c>
      <c r="I834">
        <v>5</v>
      </c>
      <c r="J834">
        <v>0</v>
      </c>
      <c r="K834">
        <v>5</v>
      </c>
      <c r="L834">
        <v>0</v>
      </c>
      <c r="O834" s="28">
        <v>46290</v>
      </c>
      <c r="R834">
        <v>-1</v>
      </c>
      <c r="S834">
        <v>2</v>
      </c>
      <c r="T834">
        <v>2</v>
      </c>
      <c r="U834">
        <v>2</v>
      </c>
      <c r="V834">
        <v>20260927002</v>
      </c>
    </row>
    <row r="835" spans="1:22" x14ac:dyDescent="0.2">
      <c r="A835" s="34" t="s">
        <v>122</v>
      </c>
      <c r="B835" s="28">
        <v>46292</v>
      </c>
      <c r="C835" s="34"/>
      <c r="D835" s="34" t="s">
        <v>343</v>
      </c>
      <c r="E835" s="34" t="s">
        <v>132</v>
      </c>
      <c r="F835" s="34" t="s">
        <v>133</v>
      </c>
      <c r="G835" s="34" t="s">
        <v>134</v>
      </c>
      <c r="H835" s="34" t="s">
        <v>135</v>
      </c>
      <c r="I835">
        <v>4</v>
      </c>
      <c r="J835">
        <v>0</v>
      </c>
      <c r="K835">
        <v>4</v>
      </c>
      <c r="L835">
        <v>0</v>
      </c>
      <c r="O835" s="28">
        <v>46290</v>
      </c>
      <c r="R835">
        <v>-1</v>
      </c>
      <c r="S835">
        <v>3</v>
      </c>
      <c r="T835">
        <v>2</v>
      </c>
      <c r="U835">
        <v>3</v>
      </c>
      <c r="V835">
        <v>20260927003</v>
      </c>
    </row>
    <row r="836" spans="1:22" x14ac:dyDescent="0.2">
      <c r="A836" s="34" t="s">
        <v>122</v>
      </c>
      <c r="B836" s="28">
        <v>46292</v>
      </c>
      <c r="C836" s="34"/>
      <c r="D836" s="34" t="s">
        <v>343</v>
      </c>
      <c r="E836" s="34" t="s">
        <v>136</v>
      </c>
      <c r="F836" s="34" t="s">
        <v>137</v>
      </c>
      <c r="G836" s="34" t="s">
        <v>138</v>
      </c>
      <c r="H836" s="34" t="s">
        <v>139</v>
      </c>
      <c r="I836">
        <v>8</v>
      </c>
      <c r="J836">
        <v>0</v>
      </c>
      <c r="K836">
        <v>2</v>
      </c>
      <c r="L836">
        <v>6</v>
      </c>
      <c r="O836" s="28">
        <v>46290</v>
      </c>
      <c r="R836">
        <v>-1</v>
      </c>
      <c r="S836">
        <v>4</v>
      </c>
      <c r="T836">
        <v>2</v>
      </c>
      <c r="U836">
        <v>4</v>
      </c>
      <c r="V836">
        <v>20260927004</v>
      </c>
    </row>
    <row r="837" spans="1:22" x14ac:dyDescent="0.2">
      <c r="A837" s="34" t="s">
        <v>122</v>
      </c>
      <c r="B837" s="28">
        <v>46292</v>
      </c>
      <c r="C837" s="34"/>
      <c r="D837" s="34" t="s">
        <v>343</v>
      </c>
      <c r="E837" s="34" t="s">
        <v>140</v>
      </c>
      <c r="F837" s="34" t="s">
        <v>141</v>
      </c>
      <c r="G837" s="34" t="s">
        <v>142</v>
      </c>
      <c r="H837" s="34" t="s">
        <v>143</v>
      </c>
      <c r="I837">
        <v>7</v>
      </c>
      <c r="J837">
        <v>0</v>
      </c>
      <c r="K837">
        <v>5</v>
      </c>
      <c r="L837">
        <v>2</v>
      </c>
      <c r="O837" s="28">
        <v>46290</v>
      </c>
      <c r="R837">
        <v>-1</v>
      </c>
      <c r="S837">
        <v>5</v>
      </c>
      <c r="T837">
        <v>2</v>
      </c>
      <c r="U837">
        <v>5</v>
      </c>
      <c r="V837">
        <v>20260927005</v>
      </c>
    </row>
    <row r="838" spans="1:22" x14ac:dyDescent="0.2">
      <c r="A838" s="34" t="s">
        <v>122</v>
      </c>
      <c r="B838" s="28">
        <v>46292</v>
      </c>
      <c r="C838" s="34"/>
      <c r="D838" s="34" t="s">
        <v>343</v>
      </c>
      <c r="E838" s="34" t="s">
        <v>144</v>
      </c>
      <c r="F838" s="34" t="s">
        <v>145</v>
      </c>
      <c r="G838" s="34" t="s">
        <v>146</v>
      </c>
      <c r="H838" s="34" t="s">
        <v>147</v>
      </c>
      <c r="I838">
        <v>12</v>
      </c>
      <c r="J838">
        <v>0</v>
      </c>
      <c r="K838">
        <v>12</v>
      </c>
      <c r="L838">
        <v>0</v>
      </c>
      <c r="O838" s="28">
        <v>46290</v>
      </c>
      <c r="R838">
        <v>-1</v>
      </c>
      <c r="S838">
        <v>6</v>
      </c>
      <c r="T838">
        <v>2</v>
      </c>
      <c r="U838">
        <v>6</v>
      </c>
      <c r="V838">
        <v>20260927006</v>
      </c>
    </row>
    <row r="839" spans="1:22" x14ac:dyDescent="0.2">
      <c r="A839" s="34" t="s">
        <v>122</v>
      </c>
      <c r="B839" s="28">
        <v>46292</v>
      </c>
      <c r="C839" s="34"/>
      <c r="D839" s="34" t="s">
        <v>343</v>
      </c>
      <c r="E839" s="34" t="s">
        <v>148</v>
      </c>
      <c r="F839" s="34" t="s">
        <v>149</v>
      </c>
      <c r="G839" s="34" t="s">
        <v>150</v>
      </c>
      <c r="H839" s="34" t="s">
        <v>151</v>
      </c>
      <c r="I839">
        <v>6</v>
      </c>
      <c r="J839">
        <v>0</v>
      </c>
      <c r="K839">
        <v>6</v>
      </c>
      <c r="L839">
        <v>0</v>
      </c>
      <c r="O839" s="28">
        <v>46290</v>
      </c>
      <c r="R839">
        <v>-1</v>
      </c>
      <c r="S839">
        <v>7</v>
      </c>
      <c r="T839">
        <v>2</v>
      </c>
      <c r="U839">
        <v>7</v>
      </c>
      <c r="V839">
        <v>20260927007</v>
      </c>
    </row>
    <row r="840" spans="1:22" x14ac:dyDescent="0.2">
      <c r="A840" s="34" t="s">
        <v>122</v>
      </c>
      <c r="B840" s="28">
        <v>46292</v>
      </c>
      <c r="C840" s="34"/>
      <c r="D840" s="34" t="s">
        <v>343</v>
      </c>
      <c r="E840" s="34" t="s">
        <v>152</v>
      </c>
      <c r="F840" s="34" t="s">
        <v>153</v>
      </c>
      <c r="G840" s="34" t="s">
        <v>154</v>
      </c>
      <c r="H840" s="34" t="s">
        <v>155</v>
      </c>
      <c r="I840">
        <v>0</v>
      </c>
      <c r="J840">
        <v>0</v>
      </c>
      <c r="K840">
        <v>12</v>
      </c>
      <c r="L840">
        <v>-12</v>
      </c>
      <c r="O840" s="28">
        <v>46290</v>
      </c>
      <c r="R840">
        <v>-1</v>
      </c>
      <c r="S840">
        <v>8</v>
      </c>
      <c r="T840">
        <v>2</v>
      </c>
      <c r="U840">
        <v>8</v>
      </c>
      <c r="V840">
        <v>20260927008</v>
      </c>
    </row>
    <row r="841" spans="1:22" x14ac:dyDescent="0.2">
      <c r="A841" s="34" t="s">
        <v>122</v>
      </c>
      <c r="B841" s="28">
        <v>46292</v>
      </c>
      <c r="C841" s="34"/>
      <c r="D841" s="34" t="s">
        <v>343</v>
      </c>
      <c r="E841" s="34" t="s">
        <v>156</v>
      </c>
      <c r="F841" s="34" t="s">
        <v>157</v>
      </c>
      <c r="G841" s="34" t="s">
        <v>158</v>
      </c>
      <c r="H841" s="34" t="s">
        <v>159</v>
      </c>
      <c r="I841">
        <v>22</v>
      </c>
      <c r="J841">
        <v>10</v>
      </c>
      <c r="K841">
        <v>18</v>
      </c>
      <c r="L841">
        <v>14</v>
      </c>
      <c r="O841" s="28">
        <v>46290</v>
      </c>
      <c r="R841">
        <v>-1</v>
      </c>
      <c r="S841">
        <v>9</v>
      </c>
      <c r="T841">
        <v>2</v>
      </c>
      <c r="U841">
        <v>9</v>
      </c>
      <c r="V841">
        <v>20260927009</v>
      </c>
    </row>
    <row r="842" spans="1:22" x14ac:dyDescent="0.2">
      <c r="A842" s="34" t="s">
        <v>122</v>
      </c>
      <c r="B842" s="28">
        <v>46292</v>
      </c>
      <c r="C842" s="34"/>
      <c r="D842" s="34" t="s">
        <v>343</v>
      </c>
      <c r="E842" s="34" t="s">
        <v>160</v>
      </c>
      <c r="F842" s="34" t="s">
        <v>161</v>
      </c>
      <c r="G842" s="34" t="s">
        <v>162</v>
      </c>
      <c r="H842" s="34" t="s">
        <v>163</v>
      </c>
      <c r="I842">
        <v>15</v>
      </c>
      <c r="J842">
        <v>0</v>
      </c>
      <c r="K842">
        <v>12</v>
      </c>
      <c r="L842">
        <v>3</v>
      </c>
      <c r="O842" s="28">
        <v>46290</v>
      </c>
      <c r="R842">
        <v>-1</v>
      </c>
      <c r="S842">
        <v>10</v>
      </c>
      <c r="T842">
        <v>2</v>
      </c>
      <c r="U842">
        <v>10</v>
      </c>
      <c r="V842">
        <v>20260927010</v>
      </c>
    </row>
    <row r="843" spans="1:22" x14ac:dyDescent="0.2">
      <c r="A843" s="34" t="s">
        <v>122</v>
      </c>
      <c r="B843" s="28">
        <v>46292</v>
      </c>
      <c r="C843" s="34"/>
      <c r="D843" s="34" t="s">
        <v>343</v>
      </c>
      <c r="E843" s="34" t="s">
        <v>164</v>
      </c>
      <c r="F843" s="34" t="s">
        <v>165</v>
      </c>
      <c r="G843" s="34" t="s">
        <v>166</v>
      </c>
      <c r="H843" s="34" t="s">
        <v>167</v>
      </c>
      <c r="I843">
        <v>32</v>
      </c>
      <c r="J843">
        <v>60</v>
      </c>
      <c r="K843">
        <v>0</v>
      </c>
      <c r="L843">
        <v>92</v>
      </c>
      <c r="O843" s="28">
        <v>46290</v>
      </c>
      <c r="R843">
        <v>-1</v>
      </c>
      <c r="S843">
        <v>11</v>
      </c>
      <c r="T843">
        <v>2</v>
      </c>
      <c r="U843">
        <v>11</v>
      </c>
      <c r="V843">
        <v>20260927011</v>
      </c>
    </row>
    <row r="844" spans="1:22" x14ac:dyDescent="0.2">
      <c r="A844" s="34" t="s">
        <v>122</v>
      </c>
      <c r="B844" s="28">
        <v>46292</v>
      </c>
      <c r="C844" s="34"/>
      <c r="D844" s="34" t="s">
        <v>343</v>
      </c>
      <c r="E844" s="34" t="s">
        <v>168</v>
      </c>
      <c r="F844" s="34" t="s">
        <v>169</v>
      </c>
      <c r="G844" s="34" t="s">
        <v>170</v>
      </c>
      <c r="H844" s="34" t="s">
        <v>171</v>
      </c>
      <c r="I844">
        <v>11</v>
      </c>
      <c r="J844">
        <v>0</v>
      </c>
      <c r="K844">
        <v>11</v>
      </c>
      <c r="L844">
        <v>0</v>
      </c>
      <c r="O844" s="28">
        <v>46290</v>
      </c>
      <c r="R844">
        <v>-1</v>
      </c>
      <c r="S844">
        <v>12</v>
      </c>
      <c r="T844">
        <v>2</v>
      </c>
      <c r="U844">
        <v>12</v>
      </c>
      <c r="V844">
        <v>20260927012</v>
      </c>
    </row>
    <row r="845" spans="1:22" x14ac:dyDescent="0.2">
      <c r="A845" s="34" t="s">
        <v>122</v>
      </c>
      <c r="B845" s="28">
        <v>46292</v>
      </c>
      <c r="C845" s="34"/>
      <c r="D845" s="34" t="s">
        <v>343</v>
      </c>
      <c r="E845" s="34" t="s">
        <v>172</v>
      </c>
      <c r="F845" s="34" t="s">
        <v>173</v>
      </c>
      <c r="G845" s="34" t="s">
        <v>174</v>
      </c>
      <c r="H845" s="34" t="s">
        <v>175</v>
      </c>
      <c r="I845">
        <v>12</v>
      </c>
      <c r="J845">
        <v>0</v>
      </c>
      <c r="K845">
        <v>12</v>
      </c>
      <c r="L845">
        <v>0</v>
      </c>
      <c r="O845" s="28">
        <v>46290</v>
      </c>
      <c r="R845">
        <v>-1</v>
      </c>
      <c r="S845">
        <v>13</v>
      </c>
      <c r="T845">
        <v>2</v>
      </c>
      <c r="U845">
        <v>13</v>
      </c>
      <c r="V845">
        <v>20260927013</v>
      </c>
    </row>
    <row r="846" spans="1:22" x14ac:dyDescent="0.2">
      <c r="A846" s="34" t="s">
        <v>122</v>
      </c>
      <c r="B846" s="28">
        <v>46292</v>
      </c>
      <c r="C846" s="34"/>
      <c r="D846" s="34" t="s">
        <v>343</v>
      </c>
      <c r="E846" s="34" t="s">
        <v>176</v>
      </c>
      <c r="F846" s="34" t="s">
        <v>177</v>
      </c>
      <c r="G846" s="34" t="s">
        <v>178</v>
      </c>
      <c r="H846" s="34" t="s">
        <v>179</v>
      </c>
      <c r="I846">
        <v>24</v>
      </c>
      <c r="J846">
        <v>20</v>
      </c>
      <c r="K846">
        <v>7</v>
      </c>
      <c r="L846">
        <v>37</v>
      </c>
      <c r="O846" s="28">
        <v>46290</v>
      </c>
      <c r="R846">
        <v>-1</v>
      </c>
      <c r="S846">
        <v>14</v>
      </c>
      <c r="T846">
        <v>2</v>
      </c>
      <c r="U846">
        <v>14</v>
      </c>
      <c r="V846">
        <v>20260927014</v>
      </c>
    </row>
    <row r="847" spans="1:22" x14ac:dyDescent="0.2">
      <c r="A847" s="34" t="s">
        <v>122</v>
      </c>
      <c r="B847" s="28">
        <v>46292</v>
      </c>
      <c r="C847" s="34"/>
      <c r="D847" s="34" t="s">
        <v>343</v>
      </c>
      <c r="E847" s="34" t="s">
        <v>180</v>
      </c>
      <c r="F847" s="34" t="s">
        <v>181</v>
      </c>
      <c r="G847" s="34" t="s">
        <v>182</v>
      </c>
      <c r="H847" s="34" t="s">
        <v>183</v>
      </c>
      <c r="I847">
        <v>15</v>
      </c>
      <c r="J847">
        <v>0</v>
      </c>
      <c r="K847">
        <v>15</v>
      </c>
      <c r="L847">
        <v>0</v>
      </c>
      <c r="O847" s="28">
        <v>46290</v>
      </c>
      <c r="R847">
        <v>-1</v>
      </c>
      <c r="S847">
        <v>15</v>
      </c>
      <c r="T847">
        <v>2</v>
      </c>
      <c r="U847">
        <v>15</v>
      </c>
      <c r="V847">
        <v>20260927015</v>
      </c>
    </row>
    <row r="848" spans="1:22" x14ac:dyDescent="0.2">
      <c r="A848" s="34" t="s">
        <v>122</v>
      </c>
      <c r="B848" s="28">
        <v>46292</v>
      </c>
      <c r="C848" s="34"/>
      <c r="D848" s="34" t="s">
        <v>343</v>
      </c>
      <c r="E848" s="34" t="s">
        <v>184</v>
      </c>
      <c r="F848" s="34" t="s">
        <v>185</v>
      </c>
      <c r="G848" s="34" t="s">
        <v>186</v>
      </c>
      <c r="H848" s="34" t="s">
        <v>187</v>
      </c>
      <c r="I848">
        <v>10</v>
      </c>
      <c r="J848">
        <v>0</v>
      </c>
      <c r="K848">
        <v>10</v>
      </c>
      <c r="L848">
        <v>0</v>
      </c>
      <c r="O848" s="28">
        <v>46290</v>
      </c>
      <c r="R848">
        <v>-1</v>
      </c>
      <c r="S848">
        <v>16</v>
      </c>
      <c r="T848">
        <v>2</v>
      </c>
      <c r="U848">
        <v>16</v>
      </c>
      <c r="V848">
        <v>20260927016</v>
      </c>
    </row>
    <row r="849" spans="1:22" x14ac:dyDescent="0.2">
      <c r="A849" s="34" t="s">
        <v>122</v>
      </c>
      <c r="B849" s="28">
        <v>46292</v>
      </c>
      <c r="C849" s="34"/>
      <c r="D849" s="34" t="s">
        <v>343</v>
      </c>
      <c r="E849" s="34" t="s">
        <v>344</v>
      </c>
      <c r="F849" s="34" t="s">
        <v>345</v>
      </c>
      <c r="G849" s="34" t="s">
        <v>346</v>
      </c>
      <c r="H849" s="34" t="s">
        <v>346</v>
      </c>
      <c r="I849">
        <v>12</v>
      </c>
      <c r="J849">
        <v>0</v>
      </c>
      <c r="K849">
        <v>12</v>
      </c>
      <c r="L849">
        <v>0</v>
      </c>
      <c r="O849" s="28">
        <v>46290</v>
      </c>
      <c r="R849">
        <v>-1</v>
      </c>
      <c r="S849">
        <v>17</v>
      </c>
      <c r="T849">
        <v>2</v>
      </c>
      <c r="U849">
        <v>17</v>
      </c>
      <c r="V849">
        <v>20260927017</v>
      </c>
    </row>
    <row r="850" spans="1:22" x14ac:dyDescent="0.2">
      <c r="A850" s="34" t="s">
        <v>122</v>
      </c>
      <c r="B850" s="28">
        <v>46292</v>
      </c>
      <c r="C850" s="34"/>
      <c r="D850" s="34" t="s">
        <v>343</v>
      </c>
      <c r="E850" s="34" t="s">
        <v>347</v>
      </c>
      <c r="F850" s="34" t="s">
        <v>348</v>
      </c>
      <c r="G850" s="34" t="s">
        <v>349</v>
      </c>
      <c r="H850" s="34" t="s">
        <v>349</v>
      </c>
      <c r="I850">
        <v>6</v>
      </c>
      <c r="J850">
        <v>0</v>
      </c>
      <c r="K850">
        <v>6</v>
      </c>
      <c r="L850">
        <v>0</v>
      </c>
      <c r="O850" s="28">
        <v>46290</v>
      </c>
      <c r="R850">
        <v>-1</v>
      </c>
      <c r="S850">
        <v>18</v>
      </c>
      <c r="T850">
        <v>2</v>
      </c>
      <c r="U850">
        <v>18</v>
      </c>
      <c r="V850">
        <v>20260927018</v>
      </c>
    </row>
    <row r="851" spans="1:22" x14ac:dyDescent="0.2">
      <c r="A851" s="34" t="s">
        <v>122</v>
      </c>
      <c r="B851" s="28">
        <v>46292</v>
      </c>
      <c r="C851" s="34"/>
      <c r="D851" s="34" t="s">
        <v>343</v>
      </c>
      <c r="E851" s="34" t="s">
        <v>350</v>
      </c>
      <c r="F851" s="34" t="s">
        <v>351</v>
      </c>
      <c r="G851" s="34" t="s">
        <v>352</v>
      </c>
      <c r="H851" s="34" t="s">
        <v>352</v>
      </c>
      <c r="I851">
        <v>7</v>
      </c>
      <c r="J851">
        <v>0</v>
      </c>
      <c r="K851">
        <v>7</v>
      </c>
      <c r="L851">
        <v>0</v>
      </c>
      <c r="O851" s="28">
        <v>46290</v>
      </c>
      <c r="R851">
        <v>-1</v>
      </c>
      <c r="S851">
        <v>19</v>
      </c>
      <c r="T851">
        <v>2</v>
      </c>
      <c r="U851">
        <v>19</v>
      </c>
      <c r="V851">
        <v>20260927019</v>
      </c>
    </row>
    <row r="852" spans="1:22" x14ac:dyDescent="0.2">
      <c r="A852" s="34" t="s">
        <v>122</v>
      </c>
      <c r="B852" s="28">
        <v>46292</v>
      </c>
      <c r="C852" s="34"/>
      <c r="D852" s="34" t="s">
        <v>343</v>
      </c>
      <c r="E852" s="34" t="s">
        <v>353</v>
      </c>
      <c r="F852" s="34" t="s">
        <v>354</v>
      </c>
      <c r="G852" s="34" t="s">
        <v>355</v>
      </c>
      <c r="H852" s="34" t="s">
        <v>356</v>
      </c>
      <c r="I852">
        <v>1</v>
      </c>
      <c r="J852">
        <v>0</v>
      </c>
      <c r="K852">
        <v>1</v>
      </c>
      <c r="L852">
        <v>0</v>
      </c>
      <c r="O852" s="28">
        <v>46290</v>
      </c>
      <c r="R852">
        <v>-1</v>
      </c>
      <c r="S852">
        <v>20</v>
      </c>
      <c r="T852">
        <v>2</v>
      </c>
      <c r="U852">
        <v>20</v>
      </c>
      <c r="V852">
        <v>20260927020</v>
      </c>
    </row>
    <row r="853" spans="1:22" x14ac:dyDescent="0.2">
      <c r="A853" s="34" t="s">
        <v>122</v>
      </c>
      <c r="B853" s="28">
        <v>46292</v>
      </c>
      <c r="C853" s="34"/>
      <c r="D853" s="34" t="s">
        <v>343</v>
      </c>
      <c r="E853" s="34" t="s">
        <v>188</v>
      </c>
      <c r="F853" s="34" t="s">
        <v>189</v>
      </c>
      <c r="G853" s="34" t="s">
        <v>190</v>
      </c>
      <c r="H853" s="34" t="s">
        <v>191</v>
      </c>
      <c r="I853">
        <v>4</v>
      </c>
      <c r="J853">
        <v>0</v>
      </c>
      <c r="K853">
        <v>4</v>
      </c>
      <c r="L853">
        <v>0</v>
      </c>
      <c r="O853" s="28">
        <v>46290</v>
      </c>
      <c r="R853">
        <v>-1</v>
      </c>
      <c r="S853">
        <v>21</v>
      </c>
      <c r="T853">
        <v>2</v>
      </c>
      <c r="U853">
        <v>21</v>
      </c>
      <c r="V853">
        <v>20260927021</v>
      </c>
    </row>
    <row r="854" spans="1:22" x14ac:dyDescent="0.2">
      <c r="A854" s="34" t="s">
        <v>122</v>
      </c>
      <c r="B854" s="28">
        <v>46292</v>
      </c>
      <c r="C854" s="34"/>
      <c r="D854" s="34" t="s">
        <v>343</v>
      </c>
      <c r="E854" s="34" t="s">
        <v>192</v>
      </c>
      <c r="F854" s="34" t="s">
        <v>193</v>
      </c>
      <c r="G854" s="34" t="s">
        <v>194</v>
      </c>
      <c r="H854" s="34" t="s">
        <v>195</v>
      </c>
      <c r="I854">
        <v>4</v>
      </c>
      <c r="J854">
        <v>0</v>
      </c>
      <c r="K854">
        <v>4</v>
      </c>
      <c r="L854">
        <v>0</v>
      </c>
      <c r="O854" s="28">
        <v>46290</v>
      </c>
      <c r="R854">
        <v>-1</v>
      </c>
      <c r="S854">
        <v>22</v>
      </c>
      <c r="T854">
        <v>2</v>
      </c>
      <c r="U854">
        <v>22</v>
      </c>
      <c r="V854">
        <v>20260927022</v>
      </c>
    </row>
    <row r="855" spans="1:22" x14ac:dyDescent="0.2">
      <c r="A855" s="34" t="s">
        <v>122</v>
      </c>
      <c r="B855" s="28">
        <v>46292</v>
      </c>
      <c r="C855" s="34"/>
      <c r="D855" s="34" t="s">
        <v>343</v>
      </c>
      <c r="E855" s="34" t="s">
        <v>196</v>
      </c>
      <c r="F855" s="34" t="s">
        <v>197</v>
      </c>
      <c r="G855" s="34" t="s">
        <v>198</v>
      </c>
      <c r="H855" s="34" t="s">
        <v>199</v>
      </c>
      <c r="I855">
        <v>11</v>
      </c>
      <c r="J855">
        <v>0</v>
      </c>
      <c r="K855">
        <v>9</v>
      </c>
      <c r="L855">
        <v>2</v>
      </c>
      <c r="O855" s="28">
        <v>46290</v>
      </c>
      <c r="R855">
        <v>-1</v>
      </c>
      <c r="S855">
        <v>23</v>
      </c>
      <c r="T855">
        <v>2</v>
      </c>
      <c r="U855">
        <v>23</v>
      </c>
      <c r="V855">
        <v>20260927023</v>
      </c>
    </row>
    <row r="856" spans="1:22" x14ac:dyDescent="0.2">
      <c r="A856" s="34" t="s">
        <v>122</v>
      </c>
      <c r="B856" s="28">
        <v>46292</v>
      </c>
      <c r="C856" s="34"/>
      <c r="D856" s="34" t="s">
        <v>343</v>
      </c>
      <c r="E856" s="34" t="s">
        <v>200</v>
      </c>
      <c r="F856" s="34" t="s">
        <v>201</v>
      </c>
      <c r="G856" s="34" t="s">
        <v>202</v>
      </c>
      <c r="H856" s="34" t="s">
        <v>203</v>
      </c>
      <c r="I856">
        <v>24</v>
      </c>
      <c r="J856">
        <v>20</v>
      </c>
      <c r="K856">
        <v>10</v>
      </c>
      <c r="L856">
        <v>34</v>
      </c>
      <c r="O856" s="28">
        <v>46290</v>
      </c>
      <c r="R856">
        <v>-1</v>
      </c>
      <c r="S856">
        <v>24</v>
      </c>
      <c r="T856">
        <v>2</v>
      </c>
      <c r="U856">
        <v>24</v>
      </c>
      <c r="V856">
        <v>20260927024</v>
      </c>
    </row>
    <row r="857" spans="1:22" x14ac:dyDescent="0.2">
      <c r="A857" s="34" t="s">
        <v>122</v>
      </c>
      <c r="B857" s="28">
        <v>46292</v>
      </c>
      <c r="C857" s="34"/>
      <c r="D857" s="34" t="s">
        <v>343</v>
      </c>
      <c r="E857" s="34" t="s">
        <v>204</v>
      </c>
      <c r="F857" s="34" t="s">
        <v>205</v>
      </c>
      <c r="G857" s="34" t="s">
        <v>206</v>
      </c>
      <c r="H857" s="34" t="s">
        <v>207</v>
      </c>
      <c r="I857">
        <v>11</v>
      </c>
      <c r="J857">
        <v>10</v>
      </c>
      <c r="K857">
        <v>3</v>
      </c>
      <c r="L857">
        <v>18</v>
      </c>
      <c r="O857" s="28">
        <v>46290</v>
      </c>
      <c r="R857">
        <v>-1</v>
      </c>
      <c r="S857">
        <v>25</v>
      </c>
      <c r="T857">
        <v>2</v>
      </c>
      <c r="U857">
        <v>25</v>
      </c>
      <c r="V857">
        <v>20260927025</v>
      </c>
    </row>
    <row r="858" spans="1:22" x14ac:dyDescent="0.2">
      <c r="A858" s="34" t="s">
        <v>122</v>
      </c>
      <c r="B858" s="28">
        <v>46292</v>
      </c>
      <c r="C858" s="34"/>
      <c r="D858" s="34" t="s">
        <v>343</v>
      </c>
      <c r="E858" s="34" t="s">
        <v>208</v>
      </c>
      <c r="F858" s="34" t="s">
        <v>209</v>
      </c>
      <c r="G858" s="34" t="s">
        <v>210</v>
      </c>
      <c r="H858" s="34" t="s">
        <v>211</v>
      </c>
      <c r="I858">
        <v>3</v>
      </c>
      <c r="J858">
        <v>10</v>
      </c>
      <c r="K858">
        <v>3</v>
      </c>
      <c r="L858">
        <v>10</v>
      </c>
      <c r="O858" s="28">
        <v>46290</v>
      </c>
      <c r="R858">
        <v>-1</v>
      </c>
      <c r="S858">
        <v>26</v>
      </c>
      <c r="T858">
        <v>2</v>
      </c>
      <c r="U858">
        <v>26</v>
      </c>
      <c r="V858">
        <v>20260927026</v>
      </c>
    </row>
    <row r="859" spans="1:22" x14ac:dyDescent="0.2">
      <c r="A859" s="34" t="s">
        <v>122</v>
      </c>
      <c r="B859" s="28">
        <v>46292</v>
      </c>
      <c r="C859" s="34"/>
      <c r="D859" s="34" t="s">
        <v>343</v>
      </c>
      <c r="E859" s="34" t="s">
        <v>212</v>
      </c>
      <c r="F859" s="34" t="s">
        <v>213</v>
      </c>
      <c r="G859" s="34" t="s">
        <v>214</v>
      </c>
      <c r="H859" s="34" t="s">
        <v>215</v>
      </c>
      <c r="I859">
        <v>17</v>
      </c>
      <c r="J859">
        <v>0</v>
      </c>
      <c r="K859">
        <v>14</v>
      </c>
      <c r="L859">
        <v>3</v>
      </c>
      <c r="O859" s="28">
        <v>46290</v>
      </c>
      <c r="R859">
        <v>-1</v>
      </c>
      <c r="S859">
        <v>27</v>
      </c>
      <c r="T859">
        <v>2</v>
      </c>
      <c r="U859">
        <v>27</v>
      </c>
      <c r="V859">
        <v>20260927027</v>
      </c>
    </row>
    <row r="860" spans="1:22" x14ac:dyDescent="0.2">
      <c r="A860" s="34" t="s">
        <v>122</v>
      </c>
      <c r="B860" s="28">
        <v>46292</v>
      </c>
      <c r="C860" s="34"/>
      <c r="D860" s="34" t="s">
        <v>343</v>
      </c>
      <c r="E860" s="34" t="s">
        <v>216</v>
      </c>
      <c r="F860" s="34" t="s">
        <v>217</v>
      </c>
      <c r="G860" s="34" t="s">
        <v>218</v>
      </c>
      <c r="H860" s="34" t="s">
        <v>219</v>
      </c>
      <c r="I860">
        <v>8</v>
      </c>
      <c r="J860">
        <v>0</v>
      </c>
      <c r="K860">
        <v>6</v>
      </c>
      <c r="L860">
        <v>2</v>
      </c>
      <c r="O860" s="28">
        <v>46290</v>
      </c>
      <c r="R860">
        <v>-1</v>
      </c>
      <c r="S860">
        <v>28</v>
      </c>
      <c r="T860">
        <v>2</v>
      </c>
      <c r="U860">
        <v>28</v>
      </c>
      <c r="V860">
        <v>20260927028</v>
      </c>
    </row>
    <row r="861" spans="1:22" x14ac:dyDescent="0.2">
      <c r="A861" s="34" t="s">
        <v>122</v>
      </c>
      <c r="B861" s="28">
        <v>46292</v>
      </c>
      <c r="C861" s="34"/>
      <c r="D861" s="34" t="s">
        <v>343</v>
      </c>
      <c r="E861" s="34" t="s">
        <v>220</v>
      </c>
      <c r="F861" s="34" t="s">
        <v>221</v>
      </c>
      <c r="G861" s="34" t="s">
        <v>222</v>
      </c>
      <c r="H861" s="34" t="s">
        <v>223</v>
      </c>
      <c r="I861">
        <v>7</v>
      </c>
      <c r="J861">
        <v>0</v>
      </c>
      <c r="K861">
        <v>7</v>
      </c>
      <c r="L861">
        <v>0</v>
      </c>
      <c r="O861" s="28">
        <v>46290</v>
      </c>
      <c r="R861">
        <v>-1</v>
      </c>
      <c r="S861">
        <v>29</v>
      </c>
      <c r="T861">
        <v>2</v>
      </c>
      <c r="U861">
        <v>29</v>
      </c>
      <c r="V861">
        <v>20260927029</v>
      </c>
    </row>
    <row r="862" spans="1:22" x14ac:dyDescent="0.2">
      <c r="A862" s="34" t="s">
        <v>122</v>
      </c>
      <c r="B862" s="28">
        <v>46292</v>
      </c>
      <c r="C862" s="34"/>
      <c r="D862" s="34" t="s">
        <v>343</v>
      </c>
      <c r="E862" s="34" t="s">
        <v>224</v>
      </c>
      <c r="F862" s="34" t="s">
        <v>225</v>
      </c>
      <c r="G862" s="34" t="s">
        <v>226</v>
      </c>
      <c r="H862" s="34" t="s">
        <v>227</v>
      </c>
      <c r="I862">
        <v>10</v>
      </c>
      <c r="J862">
        <v>0</v>
      </c>
      <c r="K862">
        <v>10</v>
      </c>
      <c r="L862">
        <v>0</v>
      </c>
      <c r="O862" s="28">
        <v>46290</v>
      </c>
      <c r="R862">
        <v>-1</v>
      </c>
      <c r="S862">
        <v>30</v>
      </c>
      <c r="T862">
        <v>2</v>
      </c>
      <c r="U862">
        <v>30</v>
      </c>
      <c r="V862">
        <v>20260927030</v>
      </c>
    </row>
    <row r="863" spans="1:22" x14ac:dyDescent="0.2">
      <c r="A863" s="34" t="s">
        <v>122</v>
      </c>
      <c r="B863" s="28">
        <v>46292</v>
      </c>
      <c r="C863" s="34"/>
      <c r="D863" s="34" t="s">
        <v>343</v>
      </c>
      <c r="E863" s="34" t="s">
        <v>228</v>
      </c>
      <c r="F863" s="34" t="s">
        <v>229</v>
      </c>
      <c r="G863" s="34" t="s">
        <v>230</v>
      </c>
      <c r="H863" s="34" t="s">
        <v>231</v>
      </c>
      <c r="I863">
        <v>15</v>
      </c>
      <c r="J863">
        <v>0</v>
      </c>
      <c r="K863">
        <v>13</v>
      </c>
      <c r="L863">
        <v>2</v>
      </c>
      <c r="O863" s="28">
        <v>46290</v>
      </c>
      <c r="R863">
        <v>-1</v>
      </c>
      <c r="S863">
        <v>31</v>
      </c>
      <c r="T863">
        <v>2</v>
      </c>
      <c r="U863">
        <v>31</v>
      </c>
      <c r="V863">
        <v>20260927031</v>
      </c>
    </row>
    <row r="864" spans="1:22" x14ac:dyDescent="0.2">
      <c r="A864" s="34" t="s">
        <v>122</v>
      </c>
      <c r="B864" s="28">
        <v>46292</v>
      </c>
      <c r="C864" s="34"/>
      <c r="D864" s="34" t="s">
        <v>343</v>
      </c>
      <c r="E864" s="34" t="s">
        <v>232</v>
      </c>
      <c r="F864" s="34" t="s">
        <v>233</v>
      </c>
      <c r="G864" s="34" t="s">
        <v>234</v>
      </c>
      <c r="H864" s="34" t="s">
        <v>235</v>
      </c>
      <c r="I864">
        <v>7</v>
      </c>
      <c r="J864">
        <v>0</v>
      </c>
      <c r="K864">
        <v>18</v>
      </c>
      <c r="L864">
        <v>-11</v>
      </c>
      <c r="O864" s="28">
        <v>46290</v>
      </c>
      <c r="R864">
        <v>-1</v>
      </c>
      <c r="S864">
        <v>32</v>
      </c>
      <c r="T864">
        <v>2</v>
      </c>
      <c r="U864">
        <v>32</v>
      </c>
      <c r="V864">
        <v>20260927032</v>
      </c>
    </row>
    <row r="865" spans="1:22" x14ac:dyDescent="0.2">
      <c r="A865" s="34" t="s">
        <v>122</v>
      </c>
      <c r="B865" s="28">
        <v>46292</v>
      </c>
      <c r="C865" s="34"/>
      <c r="D865" s="34" t="s">
        <v>343</v>
      </c>
      <c r="E865" s="34" t="s">
        <v>236</v>
      </c>
      <c r="F865" s="34" t="s">
        <v>237</v>
      </c>
      <c r="G865" s="34" t="s">
        <v>238</v>
      </c>
      <c r="H865" s="34" t="s">
        <v>239</v>
      </c>
      <c r="I865">
        <v>10</v>
      </c>
      <c r="J865">
        <v>0</v>
      </c>
      <c r="K865">
        <v>9</v>
      </c>
      <c r="L865">
        <v>1</v>
      </c>
      <c r="O865" s="28">
        <v>46290</v>
      </c>
      <c r="R865">
        <v>-1</v>
      </c>
      <c r="S865">
        <v>33</v>
      </c>
      <c r="T865">
        <v>2</v>
      </c>
      <c r="U865">
        <v>33</v>
      </c>
      <c r="V865">
        <v>20260927033</v>
      </c>
    </row>
    <row r="866" spans="1:22" x14ac:dyDescent="0.2">
      <c r="A866" s="34" t="s">
        <v>122</v>
      </c>
      <c r="B866" s="28">
        <v>46292</v>
      </c>
      <c r="C866" s="34"/>
      <c r="D866" s="34" t="s">
        <v>343</v>
      </c>
      <c r="E866" s="34" t="s">
        <v>240</v>
      </c>
      <c r="F866" s="34" t="s">
        <v>241</v>
      </c>
      <c r="G866" s="34" t="s">
        <v>242</v>
      </c>
      <c r="H866" s="34" t="s">
        <v>243</v>
      </c>
      <c r="I866">
        <v>3</v>
      </c>
      <c r="J866">
        <v>0</v>
      </c>
      <c r="K866">
        <v>10</v>
      </c>
      <c r="L866">
        <v>-7</v>
      </c>
      <c r="O866" s="28">
        <v>46290</v>
      </c>
      <c r="R866">
        <v>-1</v>
      </c>
      <c r="S866">
        <v>34</v>
      </c>
      <c r="T866">
        <v>2</v>
      </c>
      <c r="U866">
        <v>34</v>
      </c>
      <c r="V866">
        <v>20260927034</v>
      </c>
    </row>
    <row r="867" spans="1:22" x14ac:dyDescent="0.2">
      <c r="A867" s="34" t="s">
        <v>122</v>
      </c>
      <c r="B867" s="28">
        <v>46292</v>
      </c>
      <c r="C867" s="34"/>
      <c r="D867" s="34" t="s">
        <v>343</v>
      </c>
      <c r="E867" s="34" t="s">
        <v>244</v>
      </c>
      <c r="F867" s="34" t="s">
        <v>245</v>
      </c>
      <c r="G867" s="34" t="s">
        <v>246</v>
      </c>
      <c r="H867" s="34" t="s">
        <v>247</v>
      </c>
      <c r="I867">
        <v>5</v>
      </c>
      <c r="J867">
        <v>0</v>
      </c>
      <c r="K867">
        <v>4</v>
      </c>
      <c r="L867">
        <v>1</v>
      </c>
      <c r="O867" s="28">
        <v>46290</v>
      </c>
      <c r="R867">
        <v>-1</v>
      </c>
      <c r="S867">
        <v>35</v>
      </c>
      <c r="T867">
        <v>2</v>
      </c>
      <c r="U867">
        <v>35</v>
      </c>
      <c r="V867">
        <v>20260927035</v>
      </c>
    </row>
    <row r="868" spans="1:22" x14ac:dyDescent="0.2">
      <c r="A868" s="34" t="s">
        <v>122</v>
      </c>
      <c r="B868" s="28">
        <v>46292</v>
      </c>
      <c r="C868" s="34"/>
      <c r="D868" s="34" t="s">
        <v>343</v>
      </c>
      <c r="E868" s="34" t="s">
        <v>248</v>
      </c>
      <c r="F868" s="34" t="s">
        <v>249</v>
      </c>
      <c r="G868" s="34" t="s">
        <v>250</v>
      </c>
      <c r="H868" s="34" t="s">
        <v>251</v>
      </c>
      <c r="I868">
        <v>5</v>
      </c>
      <c r="J868">
        <v>0</v>
      </c>
      <c r="K868">
        <v>5</v>
      </c>
      <c r="L868">
        <v>0</v>
      </c>
      <c r="O868" s="28">
        <v>46290</v>
      </c>
      <c r="R868">
        <v>-1</v>
      </c>
      <c r="S868">
        <v>36</v>
      </c>
      <c r="T868">
        <v>2</v>
      </c>
      <c r="U868">
        <v>36</v>
      </c>
      <c r="V868">
        <v>20260927036</v>
      </c>
    </row>
    <row r="869" spans="1:22" x14ac:dyDescent="0.2">
      <c r="A869" s="34" t="s">
        <v>122</v>
      </c>
      <c r="B869" s="28">
        <v>46292</v>
      </c>
      <c r="C869" s="34"/>
      <c r="D869" s="34" t="s">
        <v>343</v>
      </c>
      <c r="E869" s="34" t="s">
        <v>252</v>
      </c>
      <c r="F869" s="34" t="s">
        <v>253</v>
      </c>
      <c r="G869" s="34" t="s">
        <v>254</v>
      </c>
      <c r="H869" s="34" t="s">
        <v>255</v>
      </c>
      <c r="I869">
        <v>8</v>
      </c>
      <c r="J869">
        <v>10</v>
      </c>
      <c r="K869">
        <v>15</v>
      </c>
      <c r="L869">
        <v>3</v>
      </c>
      <c r="O869" s="28">
        <v>46290</v>
      </c>
      <c r="R869">
        <v>-1</v>
      </c>
      <c r="S869">
        <v>37</v>
      </c>
      <c r="T869">
        <v>2</v>
      </c>
      <c r="U869">
        <v>37</v>
      </c>
      <c r="V869">
        <v>20260927037</v>
      </c>
    </row>
    <row r="870" spans="1:22" x14ac:dyDescent="0.2">
      <c r="A870" s="34" t="s">
        <v>122</v>
      </c>
      <c r="B870" s="28">
        <v>46292</v>
      </c>
      <c r="C870" s="34"/>
      <c r="D870" s="34" t="s">
        <v>343</v>
      </c>
      <c r="E870" s="34" t="s">
        <v>256</v>
      </c>
      <c r="F870" s="34" t="s">
        <v>257</v>
      </c>
      <c r="G870" s="34" t="s">
        <v>258</v>
      </c>
      <c r="H870" s="34" t="s">
        <v>259</v>
      </c>
      <c r="I870">
        <v>4</v>
      </c>
      <c r="J870">
        <v>0</v>
      </c>
      <c r="K870">
        <v>2</v>
      </c>
      <c r="L870">
        <v>2</v>
      </c>
      <c r="O870" s="28">
        <v>46290</v>
      </c>
      <c r="R870">
        <v>-1</v>
      </c>
      <c r="S870">
        <v>38</v>
      </c>
      <c r="T870">
        <v>2</v>
      </c>
      <c r="U870">
        <v>38</v>
      </c>
      <c r="V870">
        <v>20260927038</v>
      </c>
    </row>
    <row r="871" spans="1:22" x14ac:dyDescent="0.2">
      <c r="A871" s="34" t="s">
        <v>122</v>
      </c>
      <c r="B871" s="28">
        <v>46292</v>
      </c>
      <c r="C871" s="34"/>
      <c r="D871" s="34" t="s">
        <v>343</v>
      </c>
      <c r="E871" s="34" t="s">
        <v>260</v>
      </c>
      <c r="F871" s="34" t="s">
        <v>261</v>
      </c>
      <c r="G871" s="34" t="s">
        <v>262</v>
      </c>
      <c r="H871" s="34" t="s">
        <v>263</v>
      </c>
      <c r="I871">
        <v>2</v>
      </c>
      <c r="J871">
        <v>0</v>
      </c>
      <c r="K871">
        <v>2</v>
      </c>
      <c r="L871">
        <v>0</v>
      </c>
      <c r="O871" s="28">
        <v>46290</v>
      </c>
      <c r="R871">
        <v>-1</v>
      </c>
      <c r="S871">
        <v>39</v>
      </c>
      <c r="T871">
        <v>2</v>
      </c>
      <c r="U871">
        <v>39</v>
      </c>
      <c r="V871">
        <v>20260927039</v>
      </c>
    </row>
    <row r="872" spans="1:22" x14ac:dyDescent="0.2">
      <c r="A872" s="34" t="s">
        <v>122</v>
      </c>
      <c r="B872" s="28">
        <v>46292</v>
      </c>
      <c r="C872" s="34"/>
      <c r="D872" s="34" t="s">
        <v>343</v>
      </c>
      <c r="E872" s="34" t="s">
        <v>264</v>
      </c>
      <c r="F872" s="34" t="s">
        <v>265</v>
      </c>
      <c r="G872" s="34" t="s">
        <v>266</v>
      </c>
      <c r="H872" s="34" t="s">
        <v>267</v>
      </c>
      <c r="I872">
        <v>11</v>
      </c>
      <c r="J872">
        <v>0</v>
      </c>
      <c r="K872">
        <v>6</v>
      </c>
      <c r="L872">
        <v>5</v>
      </c>
      <c r="O872" s="28">
        <v>46290</v>
      </c>
      <c r="R872">
        <v>-1</v>
      </c>
      <c r="S872">
        <v>40</v>
      </c>
      <c r="T872">
        <v>2</v>
      </c>
      <c r="U872">
        <v>40</v>
      </c>
      <c r="V872">
        <v>20260927040</v>
      </c>
    </row>
    <row r="873" spans="1:22" x14ac:dyDescent="0.2">
      <c r="A873" s="34" t="s">
        <v>122</v>
      </c>
      <c r="B873" s="28">
        <v>46292</v>
      </c>
      <c r="C873" s="34"/>
      <c r="D873" s="34" t="s">
        <v>343</v>
      </c>
      <c r="E873" s="34" t="s">
        <v>268</v>
      </c>
      <c r="F873" s="34" t="s">
        <v>269</v>
      </c>
      <c r="G873" s="34" t="s">
        <v>270</v>
      </c>
      <c r="H873" s="34" t="s">
        <v>271</v>
      </c>
      <c r="I873">
        <v>6</v>
      </c>
      <c r="J873">
        <v>0</v>
      </c>
      <c r="K873">
        <v>4</v>
      </c>
      <c r="L873">
        <v>2</v>
      </c>
      <c r="O873" s="28">
        <v>46290</v>
      </c>
      <c r="R873">
        <v>-1</v>
      </c>
      <c r="S873">
        <v>41</v>
      </c>
      <c r="T873">
        <v>2</v>
      </c>
      <c r="U873">
        <v>41</v>
      </c>
      <c r="V873">
        <v>20260927041</v>
      </c>
    </row>
    <row r="874" spans="1:22" x14ac:dyDescent="0.2">
      <c r="A874" s="34" t="s">
        <v>122</v>
      </c>
      <c r="B874" s="28">
        <v>46292</v>
      </c>
      <c r="C874" s="34"/>
      <c r="D874" s="34" t="s">
        <v>343</v>
      </c>
      <c r="E874" s="34" t="s">
        <v>272</v>
      </c>
      <c r="F874" s="34" t="s">
        <v>341</v>
      </c>
      <c r="G874" s="34" t="s">
        <v>273</v>
      </c>
      <c r="H874" s="34" t="s">
        <v>274</v>
      </c>
      <c r="I874">
        <v>10</v>
      </c>
      <c r="J874">
        <v>0</v>
      </c>
      <c r="K874">
        <v>17</v>
      </c>
      <c r="L874">
        <v>-7</v>
      </c>
      <c r="O874" s="28">
        <v>46290</v>
      </c>
      <c r="R874">
        <v>-1</v>
      </c>
      <c r="S874">
        <v>42</v>
      </c>
      <c r="T874">
        <v>2</v>
      </c>
      <c r="U874">
        <v>42</v>
      </c>
      <c r="V874">
        <v>20260927042</v>
      </c>
    </row>
    <row r="875" spans="1:22" x14ac:dyDescent="0.2">
      <c r="A875" s="34" t="s">
        <v>122</v>
      </c>
      <c r="B875" s="28">
        <v>46292</v>
      </c>
      <c r="C875" s="34"/>
      <c r="D875" s="34" t="s">
        <v>343</v>
      </c>
      <c r="E875" s="34" t="s">
        <v>275</v>
      </c>
      <c r="F875" s="34" t="s">
        <v>276</v>
      </c>
      <c r="G875" s="34" t="s">
        <v>277</v>
      </c>
      <c r="H875" s="34" t="s">
        <v>278</v>
      </c>
      <c r="I875">
        <v>1</v>
      </c>
      <c r="J875">
        <v>5</v>
      </c>
      <c r="K875">
        <v>0</v>
      </c>
      <c r="L875">
        <v>6</v>
      </c>
      <c r="O875" s="28">
        <v>46290</v>
      </c>
      <c r="R875">
        <v>-1</v>
      </c>
      <c r="S875">
        <v>43</v>
      </c>
      <c r="T875">
        <v>2</v>
      </c>
      <c r="U875">
        <v>43</v>
      </c>
      <c r="V875">
        <v>20260927043</v>
      </c>
    </row>
    <row r="876" spans="1:22" x14ac:dyDescent="0.2">
      <c r="A876" s="34" t="s">
        <v>122</v>
      </c>
      <c r="B876" s="28">
        <v>46292</v>
      </c>
      <c r="C876" s="34"/>
      <c r="D876" s="34" t="s">
        <v>343</v>
      </c>
      <c r="E876" s="34" t="s">
        <v>279</v>
      </c>
      <c r="F876" s="34" t="s">
        <v>280</v>
      </c>
      <c r="G876" s="34" t="s">
        <v>281</v>
      </c>
      <c r="H876" s="34" t="s">
        <v>282</v>
      </c>
      <c r="I876">
        <v>4</v>
      </c>
      <c r="J876">
        <v>0</v>
      </c>
      <c r="K876">
        <v>5</v>
      </c>
      <c r="L876">
        <v>-1</v>
      </c>
      <c r="O876" s="28">
        <v>46290</v>
      </c>
      <c r="R876">
        <v>-1</v>
      </c>
      <c r="S876">
        <v>44</v>
      </c>
      <c r="T876">
        <v>2</v>
      </c>
      <c r="U876">
        <v>44</v>
      </c>
      <c r="V876">
        <v>20260927044</v>
      </c>
    </row>
    <row r="877" spans="1:22" x14ac:dyDescent="0.2">
      <c r="A877" s="34" t="s">
        <v>122</v>
      </c>
      <c r="B877" s="28">
        <v>46292</v>
      </c>
      <c r="C877" s="34"/>
      <c r="D877" s="34" t="s">
        <v>343</v>
      </c>
      <c r="E877" s="34" t="s">
        <v>283</v>
      </c>
      <c r="F877" s="34" t="s">
        <v>284</v>
      </c>
      <c r="G877" s="34" t="s">
        <v>285</v>
      </c>
      <c r="H877" s="34" t="s">
        <v>286</v>
      </c>
      <c r="I877">
        <v>19</v>
      </c>
      <c r="J877">
        <v>0</v>
      </c>
      <c r="K877">
        <v>18</v>
      </c>
      <c r="L877">
        <v>1</v>
      </c>
      <c r="O877" s="28">
        <v>46290</v>
      </c>
      <c r="R877">
        <v>-1</v>
      </c>
      <c r="S877">
        <v>45</v>
      </c>
      <c r="T877">
        <v>2</v>
      </c>
      <c r="U877">
        <v>45</v>
      </c>
      <c r="V877">
        <v>20260927045</v>
      </c>
    </row>
    <row r="878" spans="1:22" x14ac:dyDescent="0.2">
      <c r="A878" s="34" t="s">
        <v>122</v>
      </c>
      <c r="B878" s="28">
        <v>46292</v>
      </c>
      <c r="C878" s="34"/>
      <c r="D878" s="34" t="s">
        <v>343</v>
      </c>
      <c r="E878" s="34" t="s">
        <v>287</v>
      </c>
      <c r="F878" s="34" t="s">
        <v>288</v>
      </c>
      <c r="G878" s="34" t="s">
        <v>289</v>
      </c>
      <c r="H878" s="34" t="s">
        <v>290</v>
      </c>
      <c r="I878">
        <v>13</v>
      </c>
      <c r="J878">
        <v>10</v>
      </c>
      <c r="K878">
        <v>9</v>
      </c>
      <c r="L878">
        <v>14</v>
      </c>
      <c r="O878" s="28">
        <v>46290</v>
      </c>
      <c r="R878">
        <v>-1</v>
      </c>
      <c r="S878">
        <v>46</v>
      </c>
      <c r="T878">
        <v>2</v>
      </c>
      <c r="U878">
        <v>46</v>
      </c>
      <c r="V878">
        <v>20260927046</v>
      </c>
    </row>
    <row r="879" spans="1:22" x14ac:dyDescent="0.2">
      <c r="A879" s="34" t="s">
        <v>122</v>
      </c>
      <c r="B879" s="28">
        <v>46292</v>
      </c>
      <c r="C879" s="34"/>
      <c r="D879" s="34" t="s">
        <v>343</v>
      </c>
      <c r="E879" s="34" t="s">
        <v>291</v>
      </c>
      <c r="F879" s="34" t="s">
        <v>342</v>
      </c>
      <c r="G879" s="34" t="s">
        <v>292</v>
      </c>
      <c r="H879" s="34" t="s">
        <v>293</v>
      </c>
      <c r="I879">
        <v>20</v>
      </c>
      <c r="J879">
        <v>0</v>
      </c>
      <c r="K879">
        <v>19</v>
      </c>
      <c r="L879">
        <v>1</v>
      </c>
      <c r="O879" s="28">
        <v>46290</v>
      </c>
      <c r="R879">
        <v>-1</v>
      </c>
      <c r="S879">
        <v>47</v>
      </c>
      <c r="T879">
        <v>2</v>
      </c>
      <c r="U879">
        <v>47</v>
      </c>
      <c r="V879">
        <v>20260927047</v>
      </c>
    </row>
    <row r="880" spans="1:22" x14ac:dyDescent="0.2">
      <c r="A880" s="34" t="s">
        <v>122</v>
      </c>
      <c r="B880" s="28">
        <v>46292</v>
      </c>
      <c r="C880" s="34"/>
      <c r="D880" s="34" t="s">
        <v>343</v>
      </c>
      <c r="E880" s="34" t="s">
        <v>294</v>
      </c>
      <c r="F880" s="34" t="s">
        <v>295</v>
      </c>
      <c r="G880" s="34" t="s">
        <v>296</v>
      </c>
      <c r="H880" s="34" t="s">
        <v>297</v>
      </c>
      <c r="I880">
        <v>14</v>
      </c>
      <c r="J880">
        <v>10</v>
      </c>
      <c r="K880">
        <v>13</v>
      </c>
      <c r="L880">
        <v>11</v>
      </c>
      <c r="O880" s="28">
        <v>46290</v>
      </c>
      <c r="R880">
        <v>-1</v>
      </c>
      <c r="S880">
        <v>48</v>
      </c>
      <c r="T880">
        <v>2</v>
      </c>
      <c r="U880">
        <v>48</v>
      </c>
      <c r="V880">
        <v>20260927048</v>
      </c>
    </row>
    <row r="881" spans="1:22" x14ac:dyDescent="0.2">
      <c r="A881" s="34" t="s">
        <v>122</v>
      </c>
      <c r="B881" s="28">
        <v>46292</v>
      </c>
      <c r="C881" s="34"/>
      <c r="D881" s="34" t="s">
        <v>343</v>
      </c>
      <c r="E881" s="34" t="s">
        <v>298</v>
      </c>
      <c r="F881" s="34" t="s">
        <v>299</v>
      </c>
      <c r="G881" s="34" t="s">
        <v>300</v>
      </c>
      <c r="H881" s="34" t="s">
        <v>301</v>
      </c>
      <c r="I881">
        <v>6</v>
      </c>
      <c r="J881">
        <v>10</v>
      </c>
      <c r="K881">
        <v>6</v>
      </c>
      <c r="L881">
        <v>10</v>
      </c>
      <c r="O881" s="28">
        <v>46290</v>
      </c>
      <c r="R881">
        <v>-1</v>
      </c>
      <c r="S881">
        <v>49</v>
      </c>
      <c r="T881">
        <v>2</v>
      </c>
      <c r="U881">
        <v>49</v>
      </c>
      <c r="V881">
        <v>20260927049</v>
      </c>
    </row>
    <row r="882" spans="1:22" x14ac:dyDescent="0.2">
      <c r="A882" s="34" t="s">
        <v>122</v>
      </c>
      <c r="B882" s="28">
        <v>46292</v>
      </c>
      <c r="C882" s="34"/>
      <c r="D882" s="34" t="s">
        <v>343</v>
      </c>
      <c r="E882" s="34" t="s">
        <v>302</v>
      </c>
      <c r="F882" s="34" t="s">
        <v>303</v>
      </c>
      <c r="G882" s="34" t="s">
        <v>304</v>
      </c>
      <c r="H882" s="34" t="s">
        <v>305</v>
      </c>
      <c r="I882">
        <v>8</v>
      </c>
      <c r="J882">
        <v>0</v>
      </c>
      <c r="K882">
        <v>5</v>
      </c>
      <c r="L882">
        <v>3</v>
      </c>
      <c r="O882" s="28">
        <v>46290</v>
      </c>
      <c r="R882">
        <v>-1</v>
      </c>
      <c r="S882">
        <v>50</v>
      </c>
      <c r="T882">
        <v>2</v>
      </c>
      <c r="U882">
        <v>50</v>
      </c>
      <c r="V882">
        <v>20260927050</v>
      </c>
    </row>
    <row r="883" spans="1:22" x14ac:dyDescent="0.2">
      <c r="A883" s="34" t="s">
        <v>122</v>
      </c>
      <c r="B883" s="28">
        <v>46292</v>
      </c>
      <c r="C883" s="34"/>
      <c r="D883" s="34" t="s">
        <v>343</v>
      </c>
      <c r="E883" s="34" t="s">
        <v>306</v>
      </c>
      <c r="F883" s="34" t="s">
        <v>307</v>
      </c>
      <c r="G883" s="34" t="s">
        <v>308</v>
      </c>
      <c r="H883" s="34" t="s">
        <v>309</v>
      </c>
      <c r="I883">
        <v>6</v>
      </c>
      <c r="J883">
        <v>0</v>
      </c>
      <c r="K883">
        <v>6</v>
      </c>
      <c r="L883">
        <v>0</v>
      </c>
      <c r="O883" s="28">
        <v>46290</v>
      </c>
      <c r="R883">
        <v>-1</v>
      </c>
      <c r="S883">
        <v>51</v>
      </c>
      <c r="T883">
        <v>2</v>
      </c>
      <c r="U883">
        <v>51</v>
      </c>
      <c r="V883">
        <v>20260927051</v>
      </c>
    </row>
    <row r="884" spans="1:22" x14ac:dyDescent="0.2">
      <c r="A884" s="34" t="s">
        <v>122</v>
      </c>
      <c r="B884" s="28">
        <v>46292</v>
      </c>
      <c r="C884" s="34"/>
      <c r="D884" s="34" t="s">
        <v>343</v>
      </c>
      <c r="E884" s="34" t="s">
        <v>310</v>
      </c>
      <c r="F884" s="34" t="s">
        <v>311</v>
      </c>
      <c r="G884" s="34" t="s">
        <v>312</v>
      </c>
      <c r="H884" s="34" t="s">
        <v>313</v>
      </c>
      <c r="I884">
        <v>9</v>
      </c>
      <c r="J884">
        <v>0</v>
      </c>
      <c r="K884">
        <v>9</v>
      </c>
      <c r="L884">
        <v>0</v>
      </c>
      <c r="O884" s="28">
        <v>46290</v>
      </c>
      <c r="R884">
        <v>-1</v>
      </c>
      <c r="S884">
        <v>52</v>
      </c>
      <c r="T884">
        <v>2</v>
      </c>
      <c r="U884">
        <v>52</v>
      </c>
      <c r="V884">
        <v>20260927052</v>
      </c>
    </row>
    <row r="885" spans="1:22" x14ac:dyDescent="0.2">
      <c r="A885" s="34" t="s">
        <v>122</v>
      </c>
      <c r="B885" s="28">
        <v>46292</v>
      </c>
      <c r="C885" s="34"/>
      <c r="D885" s="34" t="s">
        <v>343</v>
      </c>
      <c r="E885" s="34" t="s">
        <v>314</v>
      </c>
      <c r="F885" s="34" t="s">
        <v>315</v>
      </c>
      <c r="G885" s="34" t="s">
        <v>316</v>
      </c>
      <c r="H885" s="34" t="s">
        <v>317</v>
      </c>
      <c r="I885">
        <v>18</v>
      </c>
      <c r="J885">
        <v>10</v>
      </c>
      <c r="K885">
        <v>15</v>
      </c>
      <c r="L885">
        <v>13</v>
      </c>
      <c r="O885" s="28">
        <v>46290</v>
      </c>
      <c r="R885">
        <v>-1</v>
      </c>
      <c r="S885">
        <v>53</v>
      </c>
      <c r="T885">
        <v>2</v>
      </c>
      <c r="U885">
        <v>53</v>
      </c>
      <c r="V885">
        <v>20260927053</v>
      </c>
    </row>
    <row r="886" spans="1:22" x14ac:dyDescent="0.2">
      <c r="A886" s="34" t="s">
        <v>122</v>
      </c>
      <c r="B886" s="28">
        <v>46292</v>
      </c>
      <c r="C886" s="34"/>
      <c r="D886" s="34" t="s">
        <v>343</v>
      </c>
      <c r="E886" s="34" t="s">
        <v>318</v>
      </c>
      <c r="F886" s="34" t="s">
        <v>319</v>
      </c>
      <c r="G886" s="34" t="s">
        <v>320</v>
      </c>
      <c r="H886" s="34" t="s">
        <v>321</v>
      </c>
      <c r="I886">
        <v>7</v>
      </c>
      <c r="J886">
        <v>0</v>
      </c>
      <c r="K886">
        <v>7</v>
      </c>
      <c r="L886">
        <v>0</v>
      </c>
      <c r="O886" s="28">
        <v>46290</v>
      </c>
      <c r="R886">
        <v>-1</v>
      </c>
      <c r="S886">
        <v>54</v>
      </c>
      <c r="T886">
        <v>2</v>
      </c>
      <c r="U886">
        <v>54</v>
      </c>
      <c r="V886">
        <v>20260927054</v>
      </c>
    </row>
    <row r="887" spans="1:22" x14ac:dyDescent="0.2">
      <c r="A887" s="34" t="s">
        <v>122</v>
      </c>
      <c r="B887" s="28">
        <v>46292</v>
      </c>
      <c r="C887" s="34"/>
      <c r="D887" s="34" t="s">
        <v>343</v>
      </c>
      <c r="E887" s="34" t="s">
        <v>322</v>
      </c>
      <c r="F887" s="34" t="s">
        <v>323</v>
      </c>
      <c r="G887" s="34" t="s">
        <v>324</v>
      </c>
      <c r="H887" s="34" t="s">
        <v>325</v>
      </c>
      <c r="I887">
        <v>5</v>
      </c>
      <c r="J887">
        <v>0</v>
      </c>
      <c r="K887">
        <v>2</v>
      </c>
      <c r="L887">
        <v>3</v>
      </c>
      <c r="O887" s="28">
        <v>46290</v>
      </c>
      <c r="R887">
        <v>-1</v>
      </c>
      <c r="S887">
        <v>55</v>
      </c>
      <c r="T887">
        <v>2</v>
      </c>
      <c r="U887">
        <v>55</v>
      </c>
      <c r="V887">
        <v>20260927055</v>
      </c>
    </row>
    <row r="888" spans="1:22" x14ac:dyDescent="0.2">
      <c r="A888" s="34" t="s">
        <v>122</v>
      </c>
      <c r="B888" s="28">
        <v>46292</v>
      </c>
      <c r="C888" s="34"/>
      <c r="D888" s="34" t="s">
        <v>343</v>
      </c>
      <c r="E888" s="34" t="s">
        <v>357</v>
      </c>
      <c r="F888" s="34" t="s">
        <v>358</v>
      </c>
      <c r="G888" s="34" t="s">
        <v>359</v>
      </c>
      <c r="H888" s="34" t="s">
        <v>359</v>
      </c>
      <c r="I888">
        <v>16</v>
      </c>
      <c r="J888">
        <v>0</v>
      </c>
      <c r="K888">
        <v>13</v>
      </c>
      <c r="L888">
        <v>3</v>
      </c>
      <c r="O888" s="28">
        <v>46290</v>
      </c>
      <c r="R888">
        <v>-1</v>
      </c>
      <c r="S888">
        <v>56</v>
      </c>
      <c r="T888">
        <v>2</v>
      </c>
      <c r="U888">
        <v>56</v>
      </c>
      <c r="V888">
        <v>20260927056</v>
      </c>
    </row>
    <row r="889" spans="1:22" x14ac:dyDescent="0.2">
      <c r="A889" s="34" t="s">
        <v>122</v>
      </c>
      <c r="B889" s="28">
        <v>46292</v>
      </c>
      <c r="C889" s="34"/>
      <c r="D889" s="34" t="s">
        <v>343</v>
      </c>
      <c r="E889" s="34" t="s">
        <v>360</v>
      </c>
      <c r="F889" s="34" t="s">
        <v>361</v>
      </c>
      <c r="G889" s="34" t="s">
        <v>362</v>
      </c>
      <c r="H889" s="34" t="s">
        <v>362</v>
      </c>
      <c r="I889">
        <v>1</v>
      </c>
      <c r="J889">
        <v>0</v>
      </c>
      <c r="K889">
        <v>0</v>
      </c>
      <c r="L889">
        <v>1</v>
      </c>
      <c r="O889" s="28">
        <v>46290</v>
      </c>
      <c r="R889">
        <v>-1</v>
      </c>
      <c r="S889">
        <v>57</v>
      </c>
      <c r="T889">
        <v>2</v>
      </c>
      <c r="U889">
        <v>57</v>
      </c>
      <c r="V889">
        <v>20260927057</v>
      </c>
    </row>
    <row r="890" spans="1:22" x14ac:dyDescent="0.2">
      <c r="A890" s="34" t="s">
        <v>122</v>
      </c>
      <c r="B890" s="28">
        <v>46292</v>
      </c>
      <c r="C890" s="34"/>
      <c r="D890" s="34" t="s">
        <v>343</v>
      </c>
      <c r="E890" s="34" t="s">
        <v>363</v>
      </c>
      <c r="F890" s="34" t="s">
        <v>364</v>
      </c>
      <c r="G890" s="34" t="s">
        <v>365</v>
      </c>
      <c r="H890" s="34" t="s">
        <v>366</v>
      </c>
      <c r="I890">
        <v>9</v>
      </c>
      <c r="J890">
        <v>0</v>
      </c>
      <c r="K890">
        <v>9</v>
      </c>
      <c r="L890">
        <v>0</v>
      </c>
      <c r="O890" s="28">
        <v>46290</v>
      </c>
      <c r="R890">
        <v>-1</v>
      </c>
      <c r="S890">
        <v>58</v>
      </c>
      <c r="T890">
        <v>2</v>
      </c>
      <c r="U890">
        <v>58</v>
      </c>
      <c r="V890">
        <v>20260927058</v>
      </c>
    </row>
    <row r="891" spans="1:22" x14ac:dyDescent="0.2">
      <c r="A891" s="34" t="s">
        <v>122</v>
      </c>
      <c r="B891" s="28">
        <v>46292</v>
      </c>
      <c r="C891" s="34"/>
      <c r="D891" s="34" t="s">
        <v>343</v>
      </c>
      <c r="E891" s="34" t="s">
        <v>367</v>
      </c>
      <c r="F891" s="34" t="s">
        <v>368</v>
      </c>
      <c r="G891" s="34" t="s">
        <v>369</v>
      </c>
      <c r="H891" s="34" t="s">
        <v>370</v>
      </c>
      <c r="I891">
        <v>4</v>
      </c>
      <c r="J891">
        <v>0</v>
      </c>
      <c r="K891">
        <v>4</v>
      </c>
      <c r="L891">
        <v>0</v>
      </c>
      <c r="O891" s="28">
        <v>46290</v>
      </c>
      <c r="R891">
        <v>-1</v>
      </c>
      <c r="S891">
        <v>59</v>
      </c>
      <c r="T891">
        <v>2</v>
      </c>
      <c r="U891">
        <v>59</v>
      </c>
      <c r="V891">
        <v>20260927059</v>
      </c>
    </row>
    <row r="892" spans="1:22" x14ac:dyDescent="0.2">
      <c r="A892" s="34" t="s">
        <v>122</v>
      </c>
      <c r="B892" s="28">
        <v>46292</v>
      </c>
      <c r="C892" s="34"/>
      <c r="D892" s="34" t="s">
        <v>343</v>
      </c>
      <c r="E892" s="34" t="s">
        <v>371</v>
      </c>
      <c r="F892" s="34" t="s">
        <v>372</v>
      </c>
      <c r="G892" s="34" t="s">
        <v>373</v>
      </c>
      <c r="H892" s="34" t="s">
        <v>373</v>
      </c>
      <c r="I892">
        <v>23</v>
      </c>
      <c r="J892">
        <v>0</v>
      </c>
      <c r="K892">
        <v>20</v>
      </c>
      <c r="L892">
        <v>3</v>
      </c>
      <c r="O892" s="28">
        <v>46290</v>
      </c>
      <c r="R892">
        <v>-1</v>
      </c>
      <c r="S892">
        <v>60</v>
      </c>
      <c r="T892">
        <v>2</v>
      </c>
      <c r="U892">
        <v>60</v>
      </c>
      <c r="V892">
        <v>20260927060</v>
      </c>
    </row>
    <row r="893" spans="1:22" x14ac:dyDescent="0.2">
      <c r="A893" s="34" t="s">
        <v>122</v>
      </c>
      <c r="B893" s="28">
        <v>46292</v>
      </c>
      <c r="C893" s="34"/>
      <c r="D893" s="34" t="s">
        <v>343</v>
      </c>
      <c r="E893" s="34" t="s">
        <v>374</v>
      </c>
      <c r="F893" s="34" t="s">
        <v>375</v>
      </c>
      <c r="G893" s="34" t="s">
        <v>376</v>
      </c>
      <c r="H893" s="34" t="s">
        <v>376</v>
      </c>
      <c r="I893">
        <v>7</v>
      </c>
      <c r="J893">
        <v>0</v>
      </c>
      <c r="K893">
        <v>7</v>
      </c>
      <c r="L893">
        <v>0</v>
      </c>
      <c r="O893" s="28">
        <v>46290</v>
      </c>
      <c r="R893">
        <v>-1</v>
      </c>
      <c r="S893">
        <v>61</v>
      </c>
      <c r="T893">
        <v>2</v>
      </c>
      <c r="U893">
        <v>61</v>
      </c>
      <c r="V893">
        <v>20260927061</v>
      </c>
    </row>
    <row r="894" spans="1:22" x14ac:dyDescent="0.2">
      <c r="A894" s="34" t="s">
        <v>122</v>
      </c>
      <c r="B894" s="28">
        <v>46292</v>
      </c>
      <c r="C894" s="34"/>
      <c r="D894" s="34" t="s">
        <v>343</v>
      </c>
      <c r="E894" s="34" t="s">
        <v>377</v>
      </c>
      <c r="F894" s="34" t="s">
        <v>378</v>
      </c>
      <c r="G894" s="34" t="s">
        <v>379</v>
      </c>
      <c r="H894" s="34" t="s">
        <v>380</v>
      </c>
      <c r="I894">
        <v>0</v>
      </c>
      <c r="J894">
        <v>0</v>
      </c>
      <c r="K894">
        <v>4</v>
      </c>
      <c r="L894">
        <v>-4</v>
      </c>
      <c r="O894" s="28">
        <v>46290</v>
      </c>
      <c r="R894">
        <v>-1</v>
      </c>
      <c r="S894">
        <v>62</v>
      </c>
      <c r="T894">
        <v>2</v>
      </c>
      <c r="U894">
        <v>62</v>
      </c>
      <c r="V894">
        <v>20260927062</v>
      </c>
    </row>
    <row r="895" spans="1:22" x14ac:dyDescent="0.2">
      <c r="A895" s="34" t="s">
        <v>122</v>
      </c>
      <c r="B895" s="28">
        <v>46292</v>
      </c>
      <c r="C895" s="34"/>
      <c r="D895" s="34" t="s">
        <v>343</v>
      </c>
      <c r="E895" s="34" t="s">
        <v>381</v>
      </c>
      <c r="F895" s="34" t="s">
        <v>382</v>
      </c>
      <c r="G895" s="34" t="s">
        <v>383</v>
      </c>
      <c r="H895" s="34" t="s">
        <v>384</v>
      </c>
      <c r="I895">
        <v>11</v>
      </c>
      <c r="J895">
        <v>0</v>
      </c>
      <c r="K895">
        <v>11</v>
      </c>
      <c r="L895">
        <v>0</v>
      </c>
      <c r="O895" s="28">
        <v>46290</v>
      </c>
      <c r="R895">
        <v>-1</v>
      </c>
      <c r="S895">
        <v>63</v>
      </c>
      <c r="T895">
        <v>2</v>
      </c>
      <c r="U895">
        <v>63</v>
      </c>
      <c r="V895">
        <v>20260927063</v>
      </c>
    </row>
    <row r="896" spans="1:22" x14ac:dyDescent="0.2">
      <c r="A896" s="34" t="s">
        <v>122</v>
      </c>
      <c r="B896" s="28">
        <v>46292</v>
      </c>
      <c r="C896" s="34"/>
      <c r="D896" s="34" t="s">
        <v>343</v>
      </c>
      <c r="E896" s="34" t="s">
        <v>385</v>
      </c>
      <c r="F896" s="34" t="s">
        <v>386</v>
      </c>
      <c r="G896" s="34" t="s">
        <v>387</v>
      </c>
      <c r="H896" s="34" t="s">
        <v>388</v>
      </c>
      <c r="I896">
        <v>10</v>
      </c>
      <c r="J896">
        <v>0</v>
      </c>
      <c r="K896">
        <v>10</v>
      </c>
      <c r="L896">
        <v>0</v>
      </c>
      <c r="O896" s="28">
        <v>46290</v>
      </c>
      <c r="R896">
        <v>-1</v>
      </c>
      <c r="S896">
        <v>64</v>
      </c>
      <c r="T896">
        <v>2</v>
      </c>
      <c r="U896">
        <v>64</v>
      </c>
      <c r="V896">
        <v>20260927064</v>
      </c>
    </row>
    <row r="897" spans="1:22" x14ac:dyDescent="0.2">
      <c r="A897" s="34" t="s">
        <v>122</v>
      </c>
      <c r="B897" s="28">
        <v>46292</v>
      </c>
      <c r="C897" s="34"/>
      <c r="D897" s="34" t="s">
        <v>343</v>
      </c>
      <c r="E897" s="34" t="s">
        <v>389</v>
      </c>
      <c r="F897" s="34" t="s">
        <v>390</v>
      </c>
      <c r="G897" s="34" t="s">
        <v>391</v>
      </c>
      <c r="H897" s="34" t="s">
        <v>391</v>
      </c>
      <c r="I897">
        <v>0</v>
      </c>
      <c r="J897">
        <v>0</v>
      </c>
      <c r="K897">
        <v>0</v>
      </c>
      <c r="L897">
        <v>0</v>
      </c>
      <c r="O897" s="28">
        <v>46290</v>
      </c>
      <c r="R897">
        <v>-1</v>
      </c>
      <c r="S897">
        <v>65</v>
      </c>
      <c r="T897">
        <v>2</v>
      </c>
      <c r="U897">
        <v>65</v>
      </c>
      <c r="V897">
        <v>20260927065</v>
      </c>
    </row>
    <row r="898" spans="1:22" x14ac:dyDescent="0.2">
      <c r="A898" s="34" t="s">
        <v>122</v>
      </c>
      <c r="B898" s="28">
        <v>46292</v>
      </c>
      <c r="C898" s="34"/>
      <c r="D898" s="34" t="s">
        <v>343</v>
      </c>
      <c r="E898" s="34" t="s">
        <v>392</v>
      </c>
      <c r="F898" s="34" t="s">
        <v>393</v>
      </c>
      <c r="G898" s="34" t="s">
        <v>394</v>
      </c>
      <c r="H898" s="34" t="s">
        <v>395</v>
      </c>
      <c r="I898">
        <v>0</v>
      </c>
      <c r="J898">
        <v>0</v>
      </c>
      <c r="K898">
        <v>1</v>
      </c>
      <c r="L898">
        <v>-1</v>
      </c>
      <c r="O898" s="28">
        <v>46290</v>
      </c>
      <c r="R898">
        <v>-1</v>
      </c>
      <c r="S898">
        <v>66</v>
      </c>
      <c r="T898">
        <v>2</v>
      </c>
      <c r="U898">
        <v>66</v>
      </c>
      <c r="V898">
        <v>20260927066</v>
      </c>
    </row>
    <row r="899" spans="1:22" x14ac:dyDescent="0.2">
      <c r="A899" s="34" t="s">
        <v>122</v>
      </c>
      <c r="B899" s="28">
        <v>46292</v>
      </c>
      <c r="C899" s="34"/>
      <c r="D899" s="34" t="s">
        <v>343</v>
      </c>
      <c r="E899" s="34" t="s">
        <v>396</v>
      </c>
      <c r="F899" s="34" t="s">
        <v>397</v>
      </c>
      <c r="G899" s="34" t="s">
        <v>398</v>
      </c>
      <c r="H899" s="34" t="s">
        <v>399</v>
      </c>
      <c r="I899">
        <v>8</v>
      </c>
      <c r="J899">
        <v>0</v>
      </c>
      <c r="K899">
        <v>8</v>
      </c>
      <c r="L899">
        <v>0</v>
      </c>
      <c r="O899" s="28">
        <v>46290</v>
      </c>
      <c r="R899">
        <v>-1</v>
      </c>
      <c r="S899">
        <v>67</v>
      </c>
      <c r="T899">
        <v>2</v>
      </c>
      <c r="U899">
        <v>67</v>
      </c>
      <c r="V899">
        <v>20260927067</v>
      </c>
    </row>
    <row r="900" spans="1:22" x14ac:dyDescent="0.2">
      <c r="A900" s="34" t="s">
        <v>122</v>
      </c>
      <c r="B900" s="28">
        <v>46292</v>
      </c>
      <c r="C900" s="34"/>
      <c r="D900" s="34" t="s">
        <v>343</v>
      </c>
      <c r="E900" s="34" t="s">
        <v>400</v>
      </c>
      <c r="F900" s="34" t="s">
        <v>401</v>
      </c>
      <c r="G900" s="34" t="s">
        <v>402</v>
      </c>
      <c r="H900" s="34" t="s">
        <v>403</v>
      </c>
      <c r="I900">
        <v>18</v>
      </c>
      <c r="J900">
        <v>0</v>
      </c>
      <c r="K900">
        <v>18</v>
      </c>
      <c r="L900">
        <v>0</v>
      </c>
      <c r="O900" s="28">
        <v>46290</v>
      </c>
      <c r="R900">
        <v>-1</v>
      </c>
      <c r="S900">
        <v>68</v>
      </c>
      <c r="T900">
        <v>2</v>
      </c>
      <c r="U900">
        <v>68</v>
      </c>
      <c r="V900">
        <v>20260927068</v>
      </c>
    </row>
    <row r="901" spans="1:22" x14ac:dyDescent="0.2">
      <c r="A901" s="34" t="s">
        <v>122</v>
      </c>
      <c r="B901" s="28">
        <v>46292</v>
      </c>
      <c r="C901" s="34"/>
      <c r="D901" s="34" t="s">
        <v>343</v>
      </c>
      <c r="E901" s="34" t="s">
        <v>404</v>
      </c>
      <c r="F901" s="34" t="s">
        <v>405</v>
      </c>
      <c r="G901" s="34" t="s">
        <v>406</v>
      </c>
      <c r="H901" s="34" t="s">
        <v>406</v>
      </c>
      <c r="I901">
        <v>25</v>
      </c>
      <c r="J901">
        <v>0</v>
      </c>
      <c r="K901">
        <v>23</v>
      </c>
      <c r="L901">
        <v>2</v>
      </c>
      <c r="O901" s="28">
        <v>46290</v>
      </c>
      <c r="R901">
        <v>-1</v>
      </c>
      <c r="S901">
        <v>69</v>
      </c>
      <c r="T901">
        <v>2</v>
      </c>
      <c r="U901">
        <v>69</v>
      </c>
      <c r="V901">
        <v>20260927069</v>
      </c>
    </row>
    <row r="902" spans="1:22" x14ac:dyDescent="0.2">
      <c r="A902" s="34" t="s">
        <v>122</v>
      </c>
      <c r="B902" s="28">
        <v>46292</v>
      </c>
      <c r="C902" s="34"/>
      <c r="D902" s="34" t="s">
        <v>343</v>
      </c>
      <c r="E902" s="34" t="s">
        <v>407</v>
      </c>
      <c r="F902" s="34" t="s">
        <v>408</v>
      </c>
      <c r="G902" s="34" t="s">
        <v>409</v>
      </c>
      <c r="H902" s="34" t="s">
        <v>410</v>
      </c>
      <c r="I902">
        <v>0</v>
      </c>
      <c r="J902">
        <v>0</v>
      </c>
      <c r="K902">
        <v>0</v>
      </c>
      <c r="L902">
        <v>0</v>
      </c>
      <c r="O902" s="28">
        <v>46290</v>
      </c>
      <c r="R902">
        <v>-1</v>
      </c>
      <c r="S902">
        <v>70</v>
      </c>
      <c r="T902">
        <v>2</v>
      </c>
      <c r="U902">
        <v>70</v>
      </c>
      <c r="V902">
        <v>20260927070</v>
      </c>
    </row>
    <row r="903" spans="1:22" x14ac:dyDescent="0.2">
      <c r="A903" s="34" t="s">
        <v>122</v>
      </c>
      <c r="B903" s="28">
        <v>46292</v>
      </c>
      <c r="C903" s="34"/>
      <c r="D903" s="34" t="s">
        <v>343</v>
      </c>
      <c r="E903" s="34" t="s">
        <v>411</v>
      </c>
      <c r="F903" s="34" t="s">
        <v>412</v>
      </c>
      <c r="G903" s="34" t="s">
        <v>413</v>
      </c>
      <c r="H903" s="34" t="s">
        <v>413</v>
      </c>
      <c r="I903">
        <v>4</v>
      </c>
      <c r="J903">
        <v>0</v>
      </c>
      <c r="K903">
        <v>3</v>
      </c>
      <c r="L903">
        <v>1</v>
      </c>
      <c r="O903" s="28">
        <v>46290</v>
      </c>
      <c r="R903">
        <v>-1</v>
      </c>
      <c r="S903">
        <v>71</v>
      </c>
      <c r="T903">
        <v>2</v>
      </c>
      <c r="U903">
        <v>71</v>
      </c>
      <c r="V903">
        <v>20260927071</v>
      </c>
    </row>
    <row r="904" spans="1:22" x14ac:dyDescent="0.2">
      <c r="A904" s="34" t="s">
        <v>122</v>
      </c>
      <c r="B904" s="28">
        <v>46292</v>
      </c>
      <c r="C904" s="34"/>
      <c r="D904" s="34" t="s">
        <v>343</v>
      </c>
      <c r="E904" s="34" t="s">
        <v>414</v>
      </c>
      <c r="F904" s="34" t="s">
        <v>415</v>
      </c>
      <c r="G904" s="34" t="s">
        <v>416</v>
      </c>
      <c r="H904" s="34" t="s">
        <v>417</v>
      </c>
      <c r="I904">
        <v>0</v>
      </c>
      <c r="J904">
        <v>0</v>
      </c>
      <c r="K904">
        <v>8</v>
      </c>
      <c r="L904">
        <v>-8</v>
      </c>
      <c r="O904" s="28">
        <v>46290</v>
      </c>
      <c r="R904">
        <v>-1</v>
      </c>
      <c r="S904">
        <v>72</v>
      </c>
      <c r="T904">
        <v>2</v>
      </c>
      <c r="U904">
        <v>72</v>
      </c>
      <c r="V904">
        <v>20260927072</v>
      </c>
    </row>
    <row r="905" spans="1:22" x14ac:dyDescent="0.2">
      <c r="A905" s="34" t="s">
        <v>122</v>
      </c>
      <c r="B905" s="28">
        <v>46292</v>
      </c>
      <c r="C905" s="34"/>
      <c r="D905" s="34" t="s">
        <v>343</v>
      </c>
      <c r="E905" s="34" t="s">
        <v>326</v>
      </c>
      <c r="F905" s="34" t="s">
        <v>327</v>
      </c>
      <c r="G905" s="34" t="s">
        <v>328</v>
      </c>
      <c r="H905" s="34" t="s">
        <v>329</v>
      </c>
      <c r="I905">
        <v>13</v>
      </c>
      <c r="J905">
        <v>10</v>
      </c>
      <c r="K905">
        <v>8</v>
      </c>
      <c r="L905">
        <v>15</v>
      </c>
      <c r="O905" s="28">
        <v>46290</v>
      </c>
      <c r="R905">
        <v>-1</v>
      </c>
      <c r="S905">
        <v>73</v>
      </c>
      <c r="T905">
        <v>2</v>
      </c>
      <c r="U905">
        <v>73</v>
      </c>
      <c r="V905">
        <v>20260927073</v>
      </c>
    </row>
    <row r="906" spans="1:22" x14ac:dyDescent="0.2">
      <c r="A906" s="34" t="s">
        <v>122</v>
      </c>
      <c r="B906" s="28">
        <v>46292</v>
      </c>
      <c r="C906" s="34"/>
      <c r="D906" s="34" t="s">
        <v>343</v>
      </c>
      <c r="E906" s="34" t="s">
        <v>330</v>
      </c>
      <c r="F906" s="34" t="s">
        <v>331</v>
      </c>
      <c r="G906" s="34" t="s">
        <v>332</v>
      </c>
      <c r="H906" s="34" t="s">
        <v>333</v>
      </c>
      <c r="I906">
        <v>12</v>
      </c>
      <c r="J906">
        <v>0</v>
      </c>
      <c r="K906">
        <v>12</v>
      </c>
      <c r="L906">
        <v>0</v>
      </c>
      <c r="O906" s="28">
        <v>46290</v>
      </c>
      <c r="R906">
        <v>-1</v>
      </c>
      <c r="S906">
        <v>74</v>
      </c>
      <c r="T906">
        <v>2</v>
      </c>
      <c r="U906">
        <v>74</v>
      </c>
      <c r="V906">
        <v>20260927074</v>
      </c>
    </row>
    <row r="907" spans="1:22" x14ac:dyDescent="0.2">
      <c r="A907" s="34" t="s">
        <v>122</v>
      </c>
      <c r="B907" s="28">
        <v>46292</v>
      </c>
      <c r="C907" s="34"/>
      <c r="D907" s="34" t="s">
        <v>343</v>
      </c>
      <c r="E907" s="34" t="s">
        <v>334</v>
      </c>
      <c r="F907" s="34" t="s">
        <v>335</v>
      </c>
      <c r="G907" s="34" t="s">
        <v>336</v>
      </c>
      <c r="H907" s="34" t="s">
        <v>337</v>
      </c>
      <c r="I907">
        <v>16</v>
      </c>
      <c r="J907">
        <v>10</v>
      </c>
      <c r="K907">
        <v>12</v>
      </c>
      <c r="L907">
        <v>14</v>
      </c>
      <c r="O907" s="28">
        <v>46290</v>
      </c>
      <c r="R907">
        <v>-1</v>
      </c>
      <c r="S907">
        <v>75</v>
      </c>
      <c r="T907">
        <v>2</v>
      </c>
      <c r="U907">
        <v>75</v>
      </c>
      <c r="V907">
        <v>20260927075</v>
      </c>
    </row>
    <row r="908" spans="1:22" x14ac:dyDescent="0.2">
      <c r="A908" s="34" t="s">
        <v>122</v>
      </c>
      <c r="B908" s="28">
        <v>46293</v>
      </c>
      <c r="C908" s="34"/>
      <c r="D908" s="34" t="s">
        <v>123</v>
      </c>
      <c r="E908" s="34" t="s">
        <v>124</v>
      </c>
      <c r="F908" s="34" t="s">
        <v>125</v>
      </c>
      <c r="G908" s="34" t="s">
        <v>126</v>
      </c>
      <c r="H908" s="34" t="s">
        <v>127</v>
      </c>
      <c r="I908">
        <v>7</v>
      </c>
      <c r="J908">
        <v>0</v>
      </c>
      <c r="K908">
        <v>7</v>
      </c>
      <c r="L908">
        <v>0</v>
      </c>
      <c r="O908" s="28">
        <v>46292</v>
      </c>
      <c r="R908">
        <v>-1</v>
      </c>
      <c r="S908">
        <v>1</v>
      </c>
      <c r="T908">
        <v>1</v>
      </c>
      <c r="U908">
        <v>1</v>
      </c>
      <c r="V908">
        <v>20260928001</v>
      </c>
    </row>
    <row r="909" spans="1:22" x14ac:dyDescent="0.2">
      <c r="A909" s="34" t="s">
        <v>122</v>
      </c>
      <c r="B909" s="28">
        <v>46293</v>
      </c>
      <c r="C909" s="34"/>
      <c r="D909" s="34" t="s">
        <v>123</v>
      </c>
      <c r="E909" s="34" t="s">
        <v>128</v>
      </c>
      <c r="F909" s="34" t="s">
        <v>129</v>
      </c>
      <c r="G909" s="34" t="s">
        <v>130</v>
      </c>
      <c r="H909" s="34" t="s">
        <v>131</v>
      </c>
      <c r="I909">
        <v>5</v>
      </c>
      <c r="J909">
        <v>0</v>
      </c>
      <c r="K909">
        <v>5</v>
      </c>
      <c r="L909">
        <v>0</v>
      </c>
      <c r="O909" s="28">
        <v>46292</v>
      </c>
      <c r="R909">
        <v>-1</v>
      </c>
      <c r="S909">
        <v>2</v>
      </c>
      <c r="T909">
        <v>1</v>
      </c>
      <c r="U909">
        <v>2</v>
      </c>
      <c r="V909">
        <v>20260928002</v>
      </c>
    </row>
    <row r="910" spans="1:22" x14ac:dyDescent="0.2">
      <c r="A910" s="34" t="s">
        <v>122</v>
      </c>
      <c r="B910" s="28">
        <v>46293</v>
      </c>
      <c r="C910" s="34"/>
      <c r="D910" s="34" t="s">
        <v>123</v>
      </c>
      <c r="E910" s="34" t="s">
        <v>132</v>
      </c>
      <c r="F910" s="34" t="s">
        <v>133</v>
      </c>
      <c r="G910" s="34" t="s">
        <v>134</v>
      </c>
      <c r="H910" s="34" t="s">
        <v>135</v>
      </c>
      <c r="I910">
        <v>4</v>
      </c>
      <c r="J910">
        <v>0</v>
      </c>
      <c r="K910">
        <v>2</v>
      </c>
      <c r="L910">
        <v>2</v>
      </c>
      <c r="O910" s="28">
        <v>46292</v>
      </c>
      <c r="R910">
        <v>-1</v>
      </c>
      <c r="S910">
        <v>3</v>
      </c>
      <c r="T910">
        <v>1</v>
      </c>
      <c r="U910">
        <v>3</v>
      </c>
      <c r="V910">
        <v>20260928003</v>
      </c>
    </row>
    <row r="911" spans="1:22" x14ac:dyDescent="0.2">
      <c r="A911" s="34" t="s">
        <v>122</v>
      </c>
      <c r="B911" s="28">
        <v>46293</v>
      </c>
      <c r="C911" s="34"/>
      <c r="D911" s="34" t="s">
        <v>123</v>
      </c>
      <c r="E911" s="34" t="s">
        <v>136</v>
      </c>
      <c r="F911" s="34" t="s">
        <v>137</v>
      </c>
      <c r="G911" s="34" t="s">
        <v>138</v>
      </c>
      <c r="H911" s="34" t="s">
        <v>139</v>
      </c>
      <c r="I911">
        <v>2</v>
      </c>
      <c r="J911">
        <v>0</v>
      </c>
      <c r="K911">
        <v>0</v>
      </c>
      <c r="L911">
        <v>2</v>
      </c>
      <c r="O911" s="28">
        <v>46292</v>
      </c>
      <c r="R911">
        <v>-1</v>
      </c>
      <c r="S911">
        <v>4</v>
      </c>
      <c r="T911">
        <v>1</v>
      </c>
      <c r="U911">
        <v>4</v>
      </c>
      <c r="V911">
        <v>20260928004</v>
      </c>
    </row>
    <row r="912" spans="1:22" x14ac:dyDescent="0.2">
      <c r="A912" s="34" t="s">
        <v>122</v>
      </c>
      <c r="B912" s="28">
        <v>46293</v>
      </c>
      <c r="C912" s="34"/>
      <c r="D912" s="34" t="s">
        <v>123</v>
      </c>
      <c r="E912" s="34" t="s">
        <v>140</v>
      </c>
      <c r="F912" s="34" t="s">
        <v>141</v>
      </c>
      <c r="G912" s="34" t="s">
        <v>142</v>
      </c>
      <c r="H912" s="34" t="s">
        <v>143</v>
      </c>
      <c r="I912">
        <v>5</v>
      </c>
      <c r="J912">
        <v>0</v>
      </c>
      <c r="K912">
        <v>2</v>
      </c>
      <c r="L912">
        <v>3</v>
      </c>
      <c r="O912" s="28">
        <v>46292</v>
      </c>
      <c r="R912">
        <v>-1</v>
      </c>
      <c r="S912">
        <v>5</v>
      </c>
      <c r="T912">
        <v>1</v>
      </c>
      <c r="U912">
        <v>5</v>
      </c>
      <c r="V912">
        <v>20260928005</v>
      </c>
    </row>
    <row r="913" spans="1:22" x14ac:dyDescent="0.2">
      <c r="A913" s="34" t="s">
        <v>122</v>
      </c>
      <c r="B913" s="28">
        <v>46293</v>
      </c>
      <c r="C913" s="34"/>
      <c r="D913" s="34" t="s">
        <v>123</v>
      </c>
      <c r="E913" s="34" t="s">
        <v>144</v>
      </c>
      <c r="F913" s="34" t="s">
        <v>145</v>
      </c>
      <c r="G913" s="34" t="s">
        <v>146</v>
      </c>
      <c r="H913" s="34" t="s">
        <v>147</v>
      </c>
      <c r="I913">
        <v>12</v>
      </c>
      <c r="J913">
        <v>0</v>
      </c>
      <c r="K913">
        <v>11</v>
      </c>
      <c r="L913">
        <v>1</v>
      </c>
      <c r="O913" s="28">
        <v>46292</v>
      </c>
      <c r="R913">
        <v>-1</v>
      </c>
      <c r="S913">
        <v>6</v>
      </c>
      <c r="T913">
        <v>1</v>
      </c>
      <c r="U913">
        <v>6</v>
      </c>
      <c r="V913">
        <v>20260928006</v>
      </c>
    </row>
    <row r="914" spans="1:22" x14ac:dyDescent="0.2">
      <c r="A914" s="34" t="s">
        <v>122</v>
      </c>
      <c r="B914" s="28">
        <v>46293</v>
      </c>
      <c r="C914" s="34"/>
      <c r="D914" s="34" t="s">
        <v>123</v>
      </c>
      <c r="E914" s="34" t="s">
        <v>148</v>
      </c>
      <c r="F914" s="34" t="s">
        <v>149</v>
      </c>
      <c r="G914" s="34" t="s">
        <v>150</v>
      </c>
      <c r="H914" s="34" t="s">
        <v>151</v>
      </c>
      <c r="I914">
        <v>6</v>
      </c>
      <c r="J914">
        <v>0</v>
      </c>
      <c r="K914">
        <v>6</v>
      </c>
      <c r="L914">
        <v>0</v>
      </c>
      <c r="O914" s="28">
        <v>46292</v>
      </c>
      <c r="R914">
        <v>-1</v>
      </c>
      <c r="S914">
        <v>7</v>
      </c>
      <c r="T914">
        <v>1</v>
      </c>
      <c r="U914">
        <v>7</v>
      </c>
      <c r="V914">
        <v>20260928007</v>
      </c>
    </row>
    <row r="915" spans="1:22" x14ac:dyDescent="0.2">
      <c r="A915" s="34" t="s">
        <v>122</v>
      </c>
      <c r="B915" s="28">
        <v>46293</v>
      </c>
      <c r="C915" s="34"/>
      <c r="D915" s="34" t="s">
        <v>123</v>
      </c>
      <c r="E915" s="34" t="s">
        <v>152</v>
      </c>
      <c r="F915" s="34" t="s">
        <v>153</v>
      </c>
      <c r="G915" s="34" t="s">
        <v>154</v>
      </c>
      <c r="H915" s="34" t="s">
        <v>155</v>
      </c>
      <c r="I915">
        <v>12</v>
      </c>
      <c r="J915">
        <v>10</v>
      </c>
      <c r="K915">
        <v>10</v>
      </c>
      <c r="L915">
        <v>12</v>
      </c>
      <c r="O915" s="28">
        <v>46292</v>
      </c>
      <c r="R915">
        <v>-1</v>
      </c>
      <c r="S915">
        <v>8</v>
      </c>
      <c r="T915">
        <v>1</v>
      </c>
      <c r="U915">
        <v>8</v>
      </c>
      <c r="V915">
        <v>20260928008</v>
      </c>
    </row>
    <row r="916" spans="1:22" x14ac:dyDescent="0.2">
      <c r="A916" s="34" t="s">
        <v>122</v>
      </c>
      <c r="B916" s="28">
        <v>46293</v>
      </c>
      <c r="C916" s="34"/>
      <c r="D916" s="34" t="s">
        <v>123</v>
      </c>
      <c r="E916" s="34" t="s">
        <v>156</v>
      </c>
      <c r="F916" s="34" t="s">
        <v>157</v>
      </c>
      <c r="G916" s="34" t="s">
        <v>158</v>
      </c>
      <c r="H916" s="34" t="s">
        <v>159</v>
      </c>
      <c r="I916">
        <v>18</v>
      </c>
      <c r="J916">
        <v>0</v>
      </c>
      <c r="K916">
        <v>25</v>
      </c>
      <c r="L916">
        <v>-7</v>
      </c>
      <c r="O916" s="28">
        <v>46292</v>
      </c>
      <c r="R916">
        <v>-1</v>
      </c>
      <c r="S916">
        <v>9</v>
      </c>
      <c r="T916">
        <v>1</v>
      </c>
      <c r="U916">
        <v>9</v>
      </c>
      <c r="V916">
        <v>20260928009</v>
      </c>
    </row>
    <row r="917" spans="1:22" x14ac:dyDescent="0.2">
      <c r="A917" s="34" t="s">
        <v>122</v>
      </c>
      <c r="B917" s="28">
        <v>46293</v>
      </c>
      <c r="C917" s="34"/>
      <c r="D917" s="34" t="s">
        <v>123</v>
      </c>
      <c r="E917" s="34" t="s">
        <v>160</v>
      </c>
      <c r="F917" s="34" t="s">
        <v>161</v>
      </c>
      <c r="G917" s="34" t="s">
        <v>162</v>
      </c>
      <c r="H917" s="34" t="s">
        <v>163</v>
      </c>
      <c r="I917">
        <v>12</v>
      </c>
      <c r="J917">
        <v>0</v>
      </c>
      <c r="K917">
        <v>12</v>
      </c>
      <c r="L917">
        <v>0</v>
      </c>
      <c r="O917" s="28">
        <v>46292</v>
      </c>
      <c r="R917">
        <v>-1</v>
      </c>
      <c r="S917">
        <v>10</v>
      </c>
      <c r="T917">
        <v>1</v>
      </c>
      <c r="U917">
        <v>10</v>
      </c>
      <c r="V917">
        <v>20260928010</v>
      </c>
    </row>
    <row r="918" spans="1:22" x14ac:dyDescent="0.2">
      <c r="A918" s="34" t="s">
        <v>122</v>
      </c>
      <c r="B918" s="28">
        <v>46293</v>
      </c>
      <c r="C918" s="34"/>
      <c r="D918" s="34" t="s">
        <v>123</v>
      </c>
      <c r="E918" s="34" t="s">
        <v>164</v>
      </c>
      <c r="F918" s="34" t="s">
        <v>165</v>
      </c>
      <c r="G918" s="34" t="s">
        <v>166</v>
      </c>
      <c r="H918" s="34" t="s">
        <v>167</v>
      </c>
      <c r="I918">
        <v>0</v>
      </c>
      <c r="J918">
        <v>20</v>
      </c>
      <c r="K918">
        <v>32</v>
      </c>
      <c r="L918">
        <v>-12</v>
      </c>
      <c r="O918" s="28">
        <v>46292</v>
      </c>
      <c r="R918">
        <v>-1</v>
      </c>
      <c r="S918">
        <v>11</v>
      </c>
      <c r="T918">
        <v>1</v>
      </c>
      <c r="U918">
        <v>11</v>
      </c>
      <c r="V918">
        <v>20260928011</v>
      </c>
    </row>
    <row r="919" spans="1:22" x14ac:dyDescent="0.2">
      <c r="A919" s="34" t="s">
        <v>122</v>
      </c>
      <c r="B919" s="28">
        <v>46293</v>
      </c>
      <c r="C919" s="34"/>
      <c r="D919" s="34" t="s">
        <v>123</v>
      </c>
      <c r="E919" s="34" t="s">
        <v>168</v>
      </c>
      <c r="F919" s="34" t="s">
        <v>169</v>
      </c>
      <c r="G919" s="34" t="s">
        <v>170</v>
      </c>
      <c r="H919" s="34" t="s">
        <v>171</v>
      </c>
      <c r="I919">
        <v>11</v>
      </c>
      <c r="J919">
        <v>0</v>
      </c>
      <c r="K919">
        <v>9</v>
      </c>
      <c r="L919">
        <v>2</v>
      </c>
      <c r="O919" s="28">
        <v>46292</v>
      </c>
      <c r="R919">
        <v>-1</v>
      </c>
      <c r="S919">
        <v>12</v>
      </c>
      <c r="T919">
        <v>1</v>
      </c>
      <c r="U919">
        <v>12</v>
      </c>
      <c r="V919">
        <v>20260928012</v>
      </c>
    </row>
    <row r="920" spans="1:22" x14ac:dyDescent="0.2">
      <c r="A920" s="34" t="s">
        <v>122</v>
      </c>
      <c r="B920" s="28">
        <v>46293</v>
      </c>
      <c r="C920" s="34"/>
      <c r="D920" s="34" t="s">
        <v>123</v>
      </c>
      <c r="E920" s="34" t="s">
        <v>172</v>
      </c>
      <c r="F920" s="34" t="s">
        <v>173</v>
      </c>
      <c r="G920" s="34" t="s">
        <v>174</v>
      </c>
      <c r="H920" s="34" t="s">
        <v>175</v>
      </c>
      <c r="I920">
        <v>12</v>
      </c>
      <c r="J920">
        <v>0</v>
      </c>
      <c r="K920">
        <v>6</v>
      </c>
      <c r="L920">
        <v>6</v>
      </c>
      <c r="O920" s="28">
        <v>46292</v>
      </c>
      <c r="R920">
        <v>-1</v>
      </c>
      <c r="S920">
        <v>13</v>
      </c>
      <c r="T920">
        <v>1</v>
      </c>
      <c r="U920">
        <v>13</v>
      </c>
      <c r="V920">
        <v>20260928013</v>
      </c>
    </row>
    <row r="921" spans="1:22" x14ac:dyDescent="0.2">
      <c r="A921" s="34" t="s">
        <v>122</v>
      </c>
      <c r="B921" s="28">
        <v>46293</v>
      </c>
      <c r="C921" s="34"/>
      <c r="D921" s="34" t="s">
        <v>123</v>
      </c>
      <c r="E921" s="34" t="s">
        <v>176</v>
      </c>
      <c r="F921" s="34" t="s">
        <v>177</v>
      </c>
      <c r="G921" s="34" t="s">
        <v>178</v>
      </c>
      <c r="H921" s="34" t="s">
        <v>179</v>
      </c>
      <c r="I921">
        <v>7</v>
      </c>
      <c r="J921">
        <v>0</v>
      </c>
      <c r="K921">
        <v>16</v>
      </c>
      <c r="L921">
        <v>-9</v>
      </c>
      <c r="O921" s="28">
        <v>46292</v>
      </c>
      <c r="R921">
        <v>-1</v>
      </c>
      <c r="S921">
        <v>14</v>
      </c>
      <c r="T921">
        <v>1</v>
      </c>
      <c r="U921">
        <v>14</v>
      </c>
      <c r="V921">
        <v>20260928014</v>
      </c>
    </row>
    <row r="922" spans="1:22" x14ac:dyDescent="0.2">
      <c r="A922" s="34" t="s">
        <v>122</v>
      </c>
      <c r="B922" s="28">
        <v>46293</v>
      </c>
      <c r="C922" s="34"/>
      <c r="D922" s="34" t="s">
        <v>123</v>
      </c>
      <c r="E922" s="34" t="s">
        <v>180</v>
      </c>
      <c r="F922" s="34" t="s">
        <v>181</v>
      </c>
      <c r="G922" s="34" t="s">
        <v>182</v>
      </c>
      <c r="H922" s="34" t="s">
        <v>183</v>
      </c>
      <c r="I922">
        <v>15</v>
      </c>
      <c r="J922">
        <v>0</v>
      </c>
      <c r="K922">
        <v>14</v>
      </c>
      <c r="L922">
        <v>1</v>
      </c>
      <c r="O922" s="28">
        <v>46292</v>
      </c>
      <c r="R922">
        <v>-1</v>
      </c>
      <c r="S922">
        <v>15</v>
      </c>
      <c r="T922">
        <v>1</v>
      </c>
      <c r="U922">
        <v>15</v>
      </c>
      <c r="V922">
        <v>20260928015</v>
      </c>
    </row>
    <row r="923" spans="1:22" x14ac:dyDescent="0.2">
      <c r="A923" s="34" t="s">
        <v>122</v>
      </c>
      <c r="B923" s="28">
        <v>46293</v>
      </c>
      <c r="C923" s="34"/>
      <c r="D923" s="34" t="s">
        <v>123</v>
      </c>
      <c r="E923" s="34" t="s">
        <v>184</v>
      </c>
      <c r="F923" s="34" t="s">
        <v>185</v>
      </c>
      <c r="G923" s="34" t="s">
        <v>186</v>
      </c>
      <c r="H923" s="34" t="s">
        <v>187</v>
      </c>
      <c r="I923">
        <v>10</v>
      </c>
      <c r="J923">
        <v>0</v>
      </c>
      <c r="K923">
        <v>8</v>
      </c>
      <c r="L923">
        <v>2</v>
      </c>
      <c r="O923" s="28">
        <v>46292</v>
      </c>
      <c r="R923">
        <v>-1</v>
      </c>
      <c r="S923">
        <v>16</v>
      </c>
      <c r="T923">
        <v>1</v>
      </c>
      <c r="U923">
        <v>16</v>
      </c>
      <c r="V923">
        <v>20260928016</v>
      </c>
    </row>
    <row r="924" spans="1:22" x14ac:dyDescent="0.2">
      <c r="A924" s="34" t="s">
        <v>122</v>
      </c>
      <c r="B924" s="28">
        <v>46293</v>
      </c>
      <c r="C924" s="34"/>
      <c r="D924" s="34" t="s">
        <v>123</v>
      </c>
      <c r="E924" s="34" t="s">
        <v>344</v>
      </c>
      <c r="F924" s="34" t="s">
        <v>345</v>
      </c>
      <c r="G924" s="34" t="s">
        <v>346</v>
      </c>
      <c r="H924" s="34" t="s">
        <v>346</v>
      </c>
      <c r="I924">
        <v>12</v>
      </c>
      <c r="J924">
        <v>0</v>
      </c>
      <c r="K924">
        <v>12</v>
      </c>
      <c r="L924">
        <v>0</v>
      </c>
      <c r="O924" s="28">
        <v>46292</v>
      </c>
      <c r="R924">
        <v>-1</v>
      </c>
      <c r="S924">
        <v>17</v>
      </c>
      <c r="T924">
        <v>1</v>
      </c>
      <c r="U924">
        <v>17</v>
      </c>
      <c r="V924">
        <v>20260928017</v>
      </c>
    </row>
    <row r="925" spans="1:22" x14ac:dyDescent="0.2">
      <c r="A925" s="34" t="s">
        <v>122</v>
      </c>
      <c r="B925" s="28">
        <v>46293</v>
      </c>
      <c r="C925" s="34"/>
      <c r="D925" s="34" t="s">
        <v>123</v>
      </c>
      <c r="E925" s="34" t="s">
        <v>347</v>
      </c>
      <c r="F925" s="34" t="s">
        <v>348</v>
      </c>
      <c r="G925" s="34" t="s">
        <v>349</v>
      </c>
      <c r="H925" s="34" t="s">
        <v>349</v>
      </c>
      <c r="I925">
        <v>6</v>
      </c>
      <c r="J925">
        <v>0</v>
      </c>
      <c r="K925">
        <v>6</v>
      </c>
      <c r="L925">
        <v>0</v>
      </c>
      <c r="O925" s="28">
        <v>46292</v>
      </c>
      <c r="R925">
        <v>-1</v>
      </c>
      <c r="S925">
        <v>18</v>
      </c>
      <c r="T925">
        <v>1</v>
      </c>
      <c r="U925">
        <v>18</v>
      </c>
      <c r="V925">
        <v>20260928018</v>
      </c>
    </row>
    <row r="926" spans="1:22" x14ac:dyDescent="0.2">
      <c r="A926" s="34" t="s">
        <v>122</v>
      </c>
      <c r="B926" s="28">
        <v>46293</v>
      </c>
      <c r="C926" s="34"/>
      <c r="D926" s="34" t="s">
        <v>123</v>
      </c>
      <c r="E926" s="34" t="s">
        <v>350</v>
      </c>
      <c r="F926" s="34" t="s">
        <v>351</v>
      </c>
      <c r="G926" s="34" t="s">
        <v>352</v>
      </c>
      <c r="H926" s="34" t="s">
        <v>352</v>
      </c>
      <c r="I926">
        <v>7</v>
      </c>
      <c r="J926">
        <v>0</v>
      </c>
      <c r="K926">
        <v>7</v>
      </c>
      <c r="L926">
        <v>0</v>
      </c>
      <c r="O926" s="28">
        <v>46292</v>
      </c>
      <c r="R926">
        <v>-1</v>
      </c>
      <c r="S926">
        <v>19</v>
      </c>
      <c r="T926">
        <v>1</v>
      </c>
      <c r="U926">
        <v>19</v>
      </c>
      <c r="V926">
        <v>20260928019</v>
      </c>
    </row>
    <row r="927" spans="1:22" x14ac:dyDescent="0.2">
      <c r="A927" s="34" t="s">
        <v>122</v>
      </c>
      <c r="B927" s="28">
        <v>46293</v>
      </c>
      <c r="C927" s="34"/>
      <c r="D927" s="34" t="s">
        <v>123</v>
      </c>
      <c r="E927" s="34" t="s">
        <v>353</v>
      </c>
      <c r="F927" s="34" t="s">
        <v>354</v>
      </c>
      <c r="G927" s="34" t="s">
        <v>355</v>
      </c>
      <c r="H927" s="34" t="s">
        <v>356</v>
      </c>
      <c r="I927">
        <v>1</v>
      </c>
      <c r="J927">
        <v>0</v>
      </c>
      <c r="K927">
        <v>1</v>
      </c>
      <c r="L927">
        <v>0</v>
      </c>
      <c r="O927" s="28">
        <v>46292</v>
      </c>
      <c r="R927">
        <v>-1</v>
      </c>
      <c r="S927">
        <v>20</v>
      </c>
      <c r="T927">
        <v>1</v>
      </c>
      <c r="U927">
        <v>20</v>
      </c>
      <c r="V927">
        <v>20260928020</v>
      </c>
    </row>
    <row r="928" spans="1:22" x14ac:dyDescent="0.2">
      <c r="A928" s="34" t="s">
        <v>122</v>
      </c>
      <c r="B928" s="28">
        <v>46293</v>
      </c>
      <c r="C928" s="34"/>
      <c r="D928" s="34" t="s">
        <v>123</v>
      </c>
      <c r="E928" s="34" t="s">
        <v>188</v>
      </c>
      <c r="F928" s="34" t="s">
        <v>189</v>
      </c>
      <c r="G928" s="34" t="s">
        <v>190</v>
      </c>
      <c r="H928" s="34" t="s">
        <v>191</v>
      </c>
      <c r="I928">
        <v>4</v>
      </c>
      <c r="J928">
        <v>0</v>
      </c>
      <c r="K928">
        <v>3</v>
      </c>
      <c r="L928">
        <v>1</v>
      </c>
      <c r="O928" s="28">
        <v>46292</v>
      </c>
      <c r="R928">
        <v>-1</v>
      </c>
      <c r="S928">
        <v>21</v>
      </c>
      <c r="T928">
        <v>1</v>
      </c>
      <c r="U928">
        <v>21</v>
      </c>
      <c r="V928">
        <v>20260928021</v>
      </c>
    </row>
    <row r="929" spans="1:22" x14ac:dyDescent="0.2">
      <c r="A929" s="34" t="s">
        <v>122</v>
      </c>
      <c r="B929" s="28">
        <v>46293</v>
      </c>
      <c r="C929" s="34"/>
      <c r="D929" s="34" t="s">
        <v>123</v>
      </c>
      <c r="E929" s="34" t="s">
        <v>192</v>
      </c>
      <c r="F929" s="34" t="s">
        <v>193</v>
      </c>
      <c r="G929" s="34" t="s">
        <v>194</v>
      </c>
      <c r="H929" s="34" t="s">
        <v>195</v>
      </c>
      <c r="I929">
        <v>4</v>
      </c>
      <c r="J929">
        <v>0</v>
      </c>
      <c r="K929">
        <v>4</v>
      </c>
      <c r="L929">
        <v>0</v>
      </c>
      <c r="O929" s="28">
        <v>46292</v>
      </c>
      <c r="R929">
        <v>-1</v>
      </c>
      <c r="S929">
        <v>22</v>
      </c>
      <c r="T929">
        <v>1</v>
      </c>
      <c r="U929">
        <v>22</v>
      </c>
      <c r="V929">
        <v>20260928022</v>
      </c>
    </row>
    <row r="930" spans="1:22" x14ac:dyDescent="0.2">
      <c r="A930" s="34" t="s">
        <v>122</v>
      </c>
      <c r="B930" s="28">
        <v>46293</v>
      </c>
      <c r="C930" s="34"/>
      <c r="D930" s="34" t="s">
        <v>123</v>
      </c>
      <c r="E930" s="34" t="s">
        <v>196</v>
      </c>
      <c r="F930" s="34" t="s">
        <v>197</v>
      </c>
      <c r="G930" s="34" t="s">
        <v>198</v>
      </c>
      <c r="H930" s="34" t="s">
        <v>199</v>
      </c>
      <c r="I930">
        <v>9</v>
      </c>
      <c r="J930">
        <v>0</v>
      </c>
      <c r="K930">
        <v>10</v>
      </c>
      <c r="L930">
        <v>-1</v>
      </c>
      <c r="O930" s="28">
        <v>46292</v>
      </c>
      <c r="R930">
        <v>-1</v>
      </c>
      <c r="S930">
        <v>23</v>
      </c>
      <c r="T930">
        <v>1</v>
      </c>
      <c r="U930">
        <v>23</v>
      </c>
      <c r="V930">
        <v>20260928023</v>
      </c>
    </row>
    <row r="931" spans="1:22" x14ac:dyDescent="0.2">
      <c r="A931" s="34" t="s">
        <v>122</v>
      </c>
      <c r="B931" s="28">
        <v>46293</v>
      </c>
      <c r="C931" s="34"/>
      <c r="D931" s="34" t="s">
        <v>123</v>
      </c>
      <c r="E931" s="34" t="s">
        <v>200</v>
      </c>
      <c r="F931" s="34" t="s">
        <v>201</v>
      </c>
      <c r="G931" s="34" t="s">
        <v>202</v>
      </c>
      <c r="H931" s="34" t="s">
        <v>203</v>
      </c>
      <c r="I931">
        <v>10</v>
      </c>
      <c r="J931">
        <v>0</v>
      </c>
      <c r="K931">
        <v>17</v>
      </c>
      <c r="L931">
        <v>-7</v>
      </c>
      <c r="O931" s="28">
        <v>46292</v>
      </c>
      <c r="R931">
        <v>-1</v>
      </c>
      <c r="S931">
        <v>24</v>
      </c>
      <c r="T931">
        <v>1</v>
      </c>
      <c r="U931">
        <v>24</v>
      </c>
      <c r="V931">
        <v>20260928024</v>
      </c>
    </row>
    <row r="932" spans="1:22" x14ac:dyDescent="0.2">
      <c r="A932" s="34" t="s">
        <v>122</v>
      </c>
      <c r="B932" s="28">
        <v>46293</v>
      </c>
      <c r="C932" s="34"/>
      <c r="D932" s="34" t="s">
        <v>123</v>
      </c>
      <c r="E932" s="34" t="s">
        <v>204</v>
      </c>
      <c r="F932" s="34" t="s">
        <v>205</v>
      </c>
      <c r="G932" s="34" t="s">
        <v>206</v>
      </c>
      <c r="H932" s="34" t="s">
        <v>207</v>
      </c>
      <c r="I932">
        <v>3</v>
      </c>
      <c r="J932">
        <v>0</v>
      </c>
      <c r="K932">
        <v>11</v>
      </c>
      <c r="L932">
        <v>-8</v>
      </c>
      <c r="O932" s="28">
        <v>46292</v>
      </c>
      <c r="R932">
        <v>-1</v>
      </c>
      <c r="S932">
        <v>25</v>
      </c>
      <c r="T932">
        <v>1</v>
      </c>
      <c r="U932">
        <v>25</v>
      </c>
      <c r="V932">
        <v>20260928025</v>
      </c>
    </row>
    <row r="933" spans="1:22" x14ac:dyDescent="0.2">
      <c r="A933" s="34" t="s">
        <v>122</v>
      </c>
      <c r="B933" s="28">
        <v>46293</v>
      </c>
      <c r="C933" s="34"/>
      <c r="D933" s="34" t="s">
        <v>123</v>
      </c>
      <c r="E933" s="34" t="s">
        <v>208</v>
      </c>
      <c r="F933" s="34" t="s">
        <v>209</v>
      </c>
      <c r="G933" s="34" t="s">
        <v>210</v>
      </c>
      <c r="H933" s="34" t="s">
        <v>211</v>
      </c>
      <c r="I933">
        <v>3</v>
      </c>
      <c r="J933">
        <v>0</v>
      </c>
      <c r="K933">
        <v>9</v>
      </c>
      <c r="L933">
        <v>-6</v>
      </c>
      <c r="O933" s="28">
        <v>46292</v>
      </c>
      <c r="R933">
        <v>-1</v>
      </c>
      <c r="S933">
        <v>26</v>
      </c>
      <c r="T933">
        <v>1</v>
      </c>
      <c r="U933">
        <v>26</v>
      </c>
      <c r="V933">
        <v>20260928026</v>
      </c>
    </row>
    <row r="934" spans="1:22" x14ac:dyDescent="0.2">
      <c r="A934" s="34" t="s">
        <v>122</v>
      </c>
      <c r="B934" s="28">
        <v>46293</v>
      </c>
      <c r="C934" s="34"/>
      <c r="D934" s="34" t="s">
        <v>123</v>
      </c>
      <c r="E934" s="34" t="s">
        <v>212</v>
      </c>
      <c r="F934" s="34" t="s">
        <v>213</v>
      </c>
      <c r="G934" s="34" t="s">
        <v>214</v>
      </c>
      <c r="H934" s="34" t="s">
        <v>215</v>
      </c>
      <c r="I934">
        <v>14</v>
      </c>
      <c r="J934">
        <v>20</v>
      </c>
      <c r="K934">
        <v>17</v>
      </c>
      <c r="L934">
        <v>17</v>
      </c>
      <c r="O934" s="28">
        <v>46292</v>
      </c>
      <c r="R934">
        <v>-1</v>
      </c>
      <c r="S934">
        <v>27</v>
      </c>
      <c r="T934">
        <v>1</v>
      </c>
      <c r="U934">
        <v>27</v>
      </c>
      <c r="V934">
        <v>20260928027</v>
      </c>
    </row>
    <row r="935" spans="1:22" x14ac:dyDescent="0.2">
      <c r="A935" s="34" t="s">
        <v>122</v>
      </c>
      <c r="B935" s="28">
        <v>46293</v>
      </c>
      <c r="C935" s="34"/>
      <c r="D935" s="34" t="s">
        <v>123</v>
      </c>
      <c r="E935" s="34" t="s">
        <v>216</v>
      </c>
      <c r="F935" s="34" t="s">
        <v>217</v>
      </c>
      <c r="G935" s="34" t="s">
        <v>218</v>
      </c>
      <c r="H935" s="34" t="s">
        <v>219</v>
      </c>
      <c r="I935">
        <v>6</v>
      </c>
      <c r="J935">
        <v>0</v>
      </c>
      <c r="K935">
        <v>3</v>
      </c>
      <c r="L935">
        <v>3</v>
      </c>
      <c r="O935" s="28">
        <v>46292</v>
      </c>
      <c r="R935">
        <v>-1</v>
      </c>
      <c r="S935">
        <v>28</v>
      </c>
      <c r="T935">
        <v>1</v>
      </c>
      <c r="U935">
        <v>28</v>
      </c>
      <c r="V935">
        <v>20260928028</v>
      </c>
    </row>
    <row r="936" spans="1:22" x14ac:dyDescent="0.2">
      <c r="A936" s="34" t="s">
        <v>122</v>
      </c>
      <c r="B936" s="28">
        <v>46293</v>
      </c>
      <c r="C936" s="34"/>
      <c r="D936" s="34" t="s">
        <v>123</v>
      </c>
      <c r="E936" s="34" t="s">
        <v>220</v>
      </c>
      <c r="F936" s="34" t="s">
        <v>221</v>
      </c>
      <c r="G936" s="34" t="s">
        <v>222</v>
      </c>
      <c r="H936" s="34" t="s">
        <v>223</v>
      </c>
      <c r="I936">
        <v>7</v>
      </c>
      <c r="J936">
        <v>0</v>
      </c>
      <c r="K936">
        <v>7</v>
      </c>
      <c r="L936">
        <v>0</v>
      </c>
      <c r="O936" s="28">
        <v>46292</v>
      </c>
      <c r="R936">
        <v>-1</v>
      </c>
      <c r="S936">
        <v>29</v>
      </c>
      <c r="T936">
        <v>1</v>
      </c>
      <c r="U936">
        <v>29</v>
      </c>
      <c r="V936">
        <v>20260928029</v>
      </c>
    </row>
    <row r="937" spans="1:22" x14ac:dyDescent="0.2">
      <c r="A937" s="34" t="s">
        <v>122</v>
      </c>
      <c r="B937" s="28">
        <v>46293</v>
      </c>
      <c r="C937" s="34"/>
      <c r="D937" s="34" t="s">
        <v>123</v>
      </c>
      <c r="E937" s="34" t="s">
        <v>224</v>
      </c>
      <c r="F937" s="34" t="s">
        <v>225</v>
      </c>
      <c r="G937" s="34" t="s">
        <v>226</v>
      </c>
      <c r="H937" s="34" t="s">
        <v>227</v>
      </c>
      <c r="I937">
        <v>10</v>
      </c>
      <c r="J937">
        <v>0</v>
      </c>
      <c r="K937">
        <v>10</v>
      </c>
      <c r="L937">
        <v>0</v>
      </c>
      <c r="O937" s="28">
        <v>46292</v>
      </c>
      <c r="R937">
        <v>-1</v>
      </c>
      <c r="S937">
        <v>30</v>
      </c>
      <c r="T937">
        <v>1</v>
      </c>
      <c r="U937">
        <v>30</v>
      </c>
      <c r="V937">
        <v>20260928030</v>
      </c>
    </row>
    <row r="938" spans="1:22" x14ac:dyDescent="0.2">
      <c r="A938" s="34" t="s">
        <v>122</v>
      </c>
      <c r="B938" s="28">
        <v>46293</v>
      </c>
      <c r="C938" s="34"/>
      <c r="D938" s="34" t="s">
        <v>123</v>
      </c>
      <c r="E938" s="34" t="s">
        <v>228</v>
      </c>
      <c r="F938" s="34" t="s">
        <v>229</v>
      </c>
      <c r="G938" s="34" t="s">
        <v>230</v>
      </c>
      <c r="H938" s="34" t="s">
        <v>231</v>
      </c>
      <c r="I938">
        <v>13</v>
      </c>
      <c r="J938">
        <v>0</v>
      </c>
      <c r="K938">
        <v>0</v>
      </c>
      <c r="L938">
        <v>13</v>
      </c>
      <c r="O938" s="28">
        <v>46292</v>
      </c>
      <c r="R938">
        <v>-1</v>
      </c>
      <c r="S938">
        <v>31</v>
      </c>
      <c r="T938">
        <v>1</v>
      </c>
      <c r="U938">
        <v>31</v>
      </c>
      <c r="V938">
        <v>20260928031</v>
      </c>
    </row>
    <row r="939" spans="1:22" x14ac:dyDescent="0.2">
      <c r="A939" s="34" t="s">
        <v>122</v>
      </c>
      <c r="B939" s="28">
        <v>46293</v>
      </c>
      <c r="C939" s="34"/>
      <c r="D939" s="34" t="s">
        <v>123</v>
      </c>
      <c r="E939" s="34" t="s">
        <v>232</v>
      </c>
      <c r="F939" s="34" t="s">
        <v>233</v>
      </c>
      <c r="G939" s="34" t="s">
        <v>234</v>
      </c>
      <c r="H939" s="34" t="s">
        <v>235</v>
      </c>
      <c r="I939">
        <v>18</v>
      </c>
      <c r="J939">
        <v>0</v>
      </c>
      <c r="K939">
        <v>17</v>
      </c>
      <c r="L939">
        <v>1</v>
      </c>
      <c r="O939" s="28">
        <v>46292</v>
      </c>
      <c r="R939">
        <v>-1</v>
      </c>
      <c r="S939">
        <v>32</v>
      </c>
      <c r="T939">
        <v>1</v>
      </c>
      <c r="U939">
        <v>32</v>
      </c>
      <c r="V939">
        <v>20260928032</v>
      </c>
    </row>
    <row r="940" spans="1:22" x14ac:dyDescent="0.2">
      <c r="A940" s="34" t="s">
        <v>122</v>
      </c>
      <c r="B940" s="28">
        <v>46293</v>
      </c>
      <c r="C940" s="34"/>
      <c r="D940" s="34" t="s">
        <v>123</v>
      </c>
      <c r="E940" s="34" t="s">
        <v>236</v>
      </c>
      <c r="F940" s="34" t="s">
        <v>237</v>
      </c>
      <c r="G940" s="34" t="s">
        <v>238</v>
      </c>
      <c r="H940" s="34" t="s">
        <v>239</v>
      </c>
      <c r="I940">
        <v>9</v>
      </c>
      <c r="J940">
        <v>0</v>
      </c>
      <c r="K940">
        <v>9</v>
      </c>
      <c r="L940">
        <v>0</v>
      </c>
      <c r="O940" s="28">
        <v>46292</v>
      </c>
      <c r="R940">
        <v>-1</v>
      </c>
      <c r="S940">
        <v>33</v>
      </c>
      <c r="T940">
        <v>1</v>
      </c>
      <c r="U940">
        <v>33</v>
      </c>
      <c r="V940">
        <v>20260928033</v>
      </c>
    </row>
    <row r="941" spans="1:22" x14ac:dyDescent="0.2">
      <c r="A941" s="34" t="s">
        <v>122</v>
      </c>
      <c r="B941" s="28">
        <v>46293</v>
      </c>
      <c r="C941" s="34"/>
      <c r="D941" s="34" t="s">
        <v>123</v>
      </c>
      <c r="E941" s="34" t="s">
        <v>240</v>
      </c>
      <c r="F941" s="34" t="s">
        <v>241</v>
      </c>
      <c r="G941" s="34" t="s">
        <v>242</v>
      </c>
      <c r="H941" s="34" t="s">
        <v>243</v>
      </c>
      <c r="I941">
        <v>10</v>
      </c>
      <c r="J941">
        <v>0</v>
      </c>
      <c r="K941">
        <v>9</v>
      </c>
      <c r="L941">
        <v>1</v>
      </c>
      <c r="O941" s="28">
        <v>46292</v>
      </c>
      <c r="R941">
        <v>-1</v>
      </c>
      <c r="S941">
        <v>34</v>
      </c>
      <c r="T941">
        <v>1</v>
      </c>
      <c r="U941">
        <v>34</v>
      </c>
      <c r="V941">
        <v>20260928034</v>
      </c>
    </row>
    <row r="942" spans="1:22" x14ac:dyDescent="0.2">
      <c r="A942" s="34" t="s">
        <v>122</v>
      </c>
      <c r="B942" s="28">
        <v>46293</v>
      </c>
      <c r="C942" s="34"/>
      <c r="D942" s="34" t="s">
        <v>123</v>
      </c>
      <c r="E942" s="34" t="s">
        <v>244</v>
      </c>
      <c r="F942" s="34" t="s">
        <v>245</v>
      </c>
      <c r="G942" s="34" t="s">
        <v>246</v>
      </c>
      <c r="H942" s="34" t="s">
        <v>247</v>
      </c>
      <c r="I942">
        <v>4</v>
      </c>
      <c r="J942">
        <v>0</v>
      </c>
      <c r="K942">
        <v>4</v>
      </c>
      <c r="L942">
        <v>0</v>
      </c>
      <c r="O942" s="28">
        <v>46292</v>
      </c>
      <c r="R942">
        <v>-1</v>
      </c>
      <c r="S942">
        <v>35</v>
      </c>
      <c r="T942">
        <v>1</v>
      </c>
      <c r="U942">
        <v>35</v>
      </c>
      <c r="V942">
        <v>20260928035</v>
      </c>
    </row>
    <row r="943" spans="1:22" x14ac:dyDescent="0.2">
      <c r="A943" s="34" t="s">
        <v>122</v>
      </c>
      <c r="B943" s="28">
        <v>46293</v>
      </c>
      <c r="C943" s="34"/>
      <c r="D943" s="34" t="s">
        <v>123</v>
      </c>
      <c r="E943" s="34" t="s">
        <v>248</v>
      </c>
      <c r="F943" s="34" t="s">
        <v>249</v>
      </c>
      <c r="G943" s="34" t="s">
        <v>250</v>
      </c>
      <c r="H943" s="34" t="s">
        <v>251</v>
      </c>
      <c r="I943">
        <v>5</v>
      </c>
      <c r="J943">
        <v>0</v>
      </c>
      <c r="K943">
        <v>5</v>
      </c>
      <c r="L943">
        <v>0</v>
      </c>
      <c r="O943" s="28">
        <v>46292</v>
      </c>
      <c r="R943">
        <v>-1</v>
      </c>
      <c r="S943">
        <v>36</v>
      </c>
      <c r="T943">
        <v>1</v>
      </c>
      <c r="U943">
        <v>36</v>
      </c>
      <c r="V943">
        <v>20260928036</v>
      </c>
    </row>
    <row r="944" spans="1:22" x14ac:dyDescent="0.2">
      <c r="A944" s="34" t="s">
        <v>122</v>
      </c>
      <c r="B944" s="28">
        <v>46293</v>
      </c>
      <c r="C944" s="34"/>
      <c r="D944" s="34" t="s">
        <v>123</v>
      </c>
      <c r="E944" s="34" t="s">
        <v>252</v>
      </c>
      <c r="F944" s="34" t="s">
        <v>253</v>
      </c>
      <c r="G944" s="34" t="s">
        <v>254</v>
      </c>
      <c r="H944" s="34" t="s">
        <v>255</v>
      </c>
      <c r="I944">
        <v>15</v>
      </c>
      <c r="J944">
        <v>0</v>
      </c>
      <c r="K944">
        <v>19</v>
      </c>
      <c r="L944">
        <v>-4</v>
      </c>
      <c r="O944" s="28">
        <v>46292</v>
      </c>
      <c r="R944">
        <v>-1</v>
      </c>
      <c r="S944">
        <v>37</v>
      </c>
      <c r="T944">
        <v>1</v>
      </c>
      <c r="U944">
        <v>37</v>
      </c>
      <c r="V944">
        <v>20260928037</v>
      </c>
    </row>
    <row r="945" spans="1:22" x14ac:dyDescent="0.2">
      <c r="A945" s="34" t="s">
        <v>122</v>
      </c>
      <c r="B945" s="28">
        <v>46293</v>
      </c>
      <c r="C945" s="34"/>
      <c r="D945" s="34" t="s">
        <v>123</v>
      </c>
      <c r="E945" s="34" t="s">
        <v>256</v>
      </c>
      <c r="F945" s="34" t="s">
        <v>257</v>
      </c>
      <c r="G945" s="34" t="s">
        <v>258</v>
      </c>
      <c r="H945" s="34" t="s">
        <v>259</v>
      </c>
      <c r="I945">
        <v>2</v>
      </c>
      <c r="J945">
        <v>0</v>
      </c>
      <c r="K945">
        <v>2</v>
      </c>
      <c r="L945">
        <v>0</v>
      </c>
      <c r="O945" s="28">
        <v>46292</v>
      </c>
      <c r="R945">
        <v>-1</v>
      </c>
      <c r="S945">
        <v>38</v>
      </c>
      <c r="T945">
        <v>1</v>
      </c>
      <c r="U945">
        <v>38</v>
      </c>
      <c r="V945">
        <v>20260928038</v>
      </c>
    </row>
    <row r="946" spans="1:22" x14ac:dyDescent="0.2">
      <c r="A946" s="34" t="s">
        <v>122</v>
      </c>
      <c r="B946" s="28">
        <v>46293</v>
      </c>
      <c r="C946" s="34"/>
      <c r="D946" s="34" t="s">
        <v>123</v>
      </c>
      <c r="E946" s="34" t="s">
        <v>260</v>
      </c>
      <c r="F946" s="34" t="s">
        <v>261</v>
      </c>
      <c r="G946" s="34" t="s">
        <v>262</v>
      </c>
      <c r="H946" s="34" t="s">
        <v>263</v>
      </c>
      <c r="I946">
        <v>2</v>
      </c>
      <c r="J946">
        <v>0</v>
      </c>
      <c r="K946">
        <v>1</v>
      </c>
      <c r="L946">
        <v>1</v>
      </c>
      <c r="O946" s="28">
        <v>46292</v>
      </c>
      <c r="R946">
        <v>-1</v>
      </c>
      <c r="S946">
        <v>39</v>
      </c>
      <c r="T946">
        <v>1</v>
      </c>
      <c r="U946">
        <v>39</v>
      </c>
      <c r="V946">
        <v>20260928039</v>
      </c>
    </row>
    <row r="947" spans="1:22" x14ac:dyDescent="0.2">
      <c r="A947" s="34" t="s">
        <v>122</v>
      </c>
      <c r="B947" s="28">
        <v>46293</v>
      </c>
      <c r="C947" s="34"/>
      <c r="D947" s="34" t="s">
        <v>123</v>
      </c>
      <c r="E947" s="34" t="s">
        <v>264</v>
      </c>
      <c r="F947" s="34" t="s">
        <v>265</v>
      </c>
      <c r="G947" s="34" t="s">
        <v>266</v>
      </c>
      <c r="H947" s="34" t="s">
        <v>267</v>
      </c>
      <c r="I947">
        <v>6</v>
      </c>
      <c r="J947">
        <v>0</v>
      </c>
      <c r="K947">
        <v>0</v>
      </c>
      <c r="L947">
        <v>6</v>
      </c>
      <c r="O947" s="28">
        <v>46292</v>
      </c>
      <c r="R947">
        <v>-1</v>
      </c>
      <c r="S947">
        <v>40</v>
      </c>
      <c r="T947">
        <v>1</v>
      </c>
      <c r="U947">
        <v>40</v>
      </c>
      <c r="V947">
        <v>20260928040</v>
      </c>
    </row>
    <row r="948" spans="1:22" x14ac:dyDescent="0.2">
      <c r="A948" s="34" t="s">
        <v>122</v>
      </c>
      <c r="B948" s="28">
        <v>46293</v>
      </c>
      <c r="C948" s="34"/>
      <c r="D948" s="34" t="s">
        <v>123</v>
      </c>
      <c r="E948" s="34" t="s">
        <v>268</v>
      </c>
      <c r="F948" s="34" t="s">
        <v>269</v>
      </c>
      <c r="G948" s="34" t="s">
        <v>270</v>
      </c>
      <c r="H948" s="34" t="s">
        <v>271</v>
      </c>
      <c r="I948">
        <v>4</v>
      </c>
      <c r="J948">
        <v>0</v>
      </c>
      <c r="K948">
        <v>4</v>
      </c>
      <c r="L948">
        <v>0</v>
      </c>
      <c r="O948" s="28">
        <v>46292</v>
      </c>
      <c r="R948">
        <v>-1</v>
      </c>
      <c r="S948">
        <v>41</v>
      </c>
      <c r="T948">
        <v>1</v>
      </c>
      <c r="U948">
        <v>41</v>
      </c>
      <c r="V948">
        <v>20260928041</v>
      </c>
    </row>
    <row r="949" spans="1:22" x14ac:dyDescent="0.2">
      <c r="A949" s="34" t="s">
        <v>122</v>
      </c>
      <c r="B949" s="28">
        <v>46293</v>
      </c>
      <c r="C949" s="34"/>
      <c r="D949" s="34" t="s">
        <v>123</v>
      </c>
      <c r="E949" s="34" t="s">
        <v>272</v>
      </c>
      <c r="F949" s="34" t="s">
        <v>341</v>
      </c>
      <c r="G949" s="34" t="s">
        <v>273</v>
      </c>
      <c r="H949" s="34" t="s">
        <v>274</v>
      </c>
      <c r="I949">
        <v>17</v>
      </c>
      <c r="J949">
        <v>0</v>
      </c>
      <c r="K949">
        <v>13</v>
      </c>
      <c r="L949">
        <v>4</v>
      </c>
      <c r="O949" s="28">
        <v>46292</v>
      </c>
      <c r="R949">
        <v>-1</v>
      </c>
      <c r="S949">
        <v>42</v>
      </c>
      <c r="T949">
        <v>1</v>
      </c>
      <c r="U949">
        <v>42</v>
      </c>
      <c r="V949">
        <v>20260928042</v>
      </c>
    </row>
    <row r="950" spans="1:22" x14ac:dyDescent="0.2">
      <c r="A950" s="34" t="s">
        <v>122</v>
      </c>
      <c r="B950" s="28">
        <v>46293</v>
      </c>
      <c r="C950" s="34"/>
      <c r="D950" s="34" t="s">
        <v>123</v>
      </c>
      <c r="E950" s="34" t="s">
        <v>275</v>
      </c>
      <c r="F950" s="34" t="s">
        <v>276</v>
      </c>
      <c r="G950" s="34" t="s">
        <v>277</v>
      </c>
      <c r="H950" s="34" t="s">
        <v>278</v>
      </c>
      <c r="I950">
        <v>0</v>
      </c>
      <c r="J950">
        <v>0</v>
      </c>
      <c r="K950">
        <v>4</v>
      </c>
      <c r="L950">
        <v>-4</v>
      </c>
      <c r="O950" s="28">
        <v>46292</v>
      </c>
      <c r="R950">
        <v>-1</v>
      </c>
      <c r="S950">
        <v>43</v>
      </c>
      <c r="T950">
        <v>1</v>
      </c>
      <c r="U950">
        <v>43</v>
      </c>
      <c r="V950">
        <v>20260928043</v>
      </c>
    </row>
    <row r="951" spans="1:22" x14ac:dyDescent="0.2">
      <c r="A951" s="34" t="s">
        <v>122</v>
      </c>
      <c r="B951" s="28">
        <v>46293</v>
      </c>
      <c r="C951" s="34"/>
      <c r="D951" s="34" t="s">
        <v>123</v>
      </c>
      <c r="E951" s="34" t="s">
        <v>279</v>
      </c>
      <c r="F951" s="34" t="s">
        <v>280</v>
      </c>
      <c r="G951" s="34" t="s">
        <v>281</v>
      </c>
      <c r="H951" s="34" t="s">
        <v>282</v>
      </c>
      <c r="I951">
        <v>5</v>
      </c>
      <c r="J951">
        <v>0</v>
      </c>
      <c r="K951">
        <v>4</v>
      </c>
      <c r="L951">
        <v>1</v>
      </c>
      <c r="O951" s="28">
        <v>46292</v>
      </c>
      <c r="R951">
        <v>-1</v>
      </c>
      <c r="S951">
        <v>44</v>
      </c>
      <c r="T951">
        <v>1</v>
      </c>
      <c r="U951">
        <v>44</v>
      </c>
      <c r="V951">
        <v>20260928044</v>
      </c>
    </row>
    <row r="952" spans="1:22" x14ac:dyDescent="0.2">
      <c r="A952" s="34" t="s">
        <v>122</v>
      </c>
      <c r="B952" s="28">
        <v>46293</v>
      </c>
      <c r="C952" s="34"/>
      <c r="D952" s="34" t="s">
        <v>123</v>
      </c>
      <c r="E952" s="34" t="s">
        <v>283</v>
      </c>
      <c r="F952" s="34" t="s">
        <v>284</v>
      </c>
      <c r="G952" s="34" t="s">
        <v>285</v>
      </c>
      <c r="H952" s="34" t="s">
        <v>286</v>
      </c>
      <c r="I952">
        <v>18</v>
      </c>
      <c r="J952">
        <v>0</v>
      </c>
      <c r="K952">
        <v>17</v>
      </c>
      <c r="L952">
        <v>1</v>
      </c>
      <c r="O952" s="28">
        <v>46292</v>
      </c>
      <c r="R952">
        <v>-1</v>
      </c>
      <c r="S952">
        <v>45</v>
      </c>
      <c r="T952">
        <v>1</v>
      </c>
      <c r="U952">
        <v>45</v>
      </c>
      <c r="V952">
        <v>20260928045</v>
      </c>
    </row>
    <row r="953" spans="1:22" x14ac:dyDescent="0.2">
      <c r="A953" s="34" t="s">
        <v>122</v>
      </c>
      <c r="B953" s="28">
        <v>46293</v>
      </c>
      <c r="C953" s="34"/>
      <c r="D953" s="34" t="s">
        <v>123</v>
      </c>
      <c r="E953" s="34" t="s">
        <v>287</v>
      </c>
      <c r="F953" s="34" t="s">
        <v>288</v>
      </c>
      <c r="G953" s="34" t="s">
        <v>289</v>
      </c>
      <c r="H953" s="34" t="s">
        <v>290</v>
      </c>
      <c r="I953">
        <v>9</v>
      </c>
      <c r="J953">
        <v>0</v>
      </c>
      <c r="K953">
        <v>13</v>
      </c>
      <c r="L953">
        <v>-4</v>
      </c>
      <c r="O953" s="28">
        <v>46292</v>
      </c>
      <c r="R953">
        <v>-1</v>
      </c>
      <c r="S953">
        <v>46</v>
      </c>
      <c r="T953">
        <v>1</v>
      </c>
      <c r="U953">
        <v>46</v>
      </c>
      <c r="V953">
        <v>20260928046</v>
      </c>
    </row>
    <row r="954" spans="1:22" x14ac:dyDescent="0.2">
      <c r="A954" s="34" t="s">
        <v>122</v>
      </c>
      <c r="B954" s="28">
        <v>46293</v>
      </c>
      <c r="C954" s="34"/>
      <c r="D954" s="34" t="s">
        <v>123</v>
      </c>
      <c r="E954" s="34" t="s">
        <v>291</v>
      </c>
      <c r="F954" s="34" t="s">
        <v>342</v>
      </c>
      <c r="G954" s="34" t="s">
        <v>292</v>
      </c>
      <c r="H954" s="34" t="s">
        <v>293</v>
      </c>
      <c r="I954">
        <v>19</v>
      </c>
      <c r="J954">
        <v>0</v>
      </c>
      <c r="K954">
        <v>19</v>
      </c>
      <c r="L954">
        <v>0</v>
      </c>
      <c r="O954" s="28">
        <v>46292</v>
      </c>
      <c r="R954">
        <v>-1</v>
      </c>
      <c r="S954">
        <v>47</v>
      </c>
      <c r="T954">
        <v>1</v>
      </c>
      <c r="U954">
        <v>47</v>
      </c>
      <c r="V954">
        <v>20260928047</v>
      </c>
    </row>
    <row r="955" spans="1:22" x14ac:dyDescent="0.2">
      <c r="A955" s="34" t="s">
        <v>122</v>
      </c>
      <c r="B955" s="28">
        <v>46293</v>
      </c>
      <c r="C955" s="34"/>
      <c r="D955" s="34" t="s">
        <v>123</v>
      </c>
      <c r="E955" s="34" t="s">
        <v>294</v>
      </c>
      <c r="F955" s="34" t="s">
        <v>295</v>
      </c>
      <c r="G955" s="34" t="s">
        <v>296</v>
      </c>
      <c r="H955" s="34" t="s">
        <v>297</v>
      </c>
      <c r="I955">
        <v>13</v>
      </c>
      <c r="J955">
        <v>0</v>
      </c>
      <c r="K955">
        <v>19</v>
      </c>
      <c r="L955">
        <v>-6</v>
      </c>
      <c r="O955" s="28">
        <v>46292</v>
      </c>
      <c r="R955">
        <v>-1</v>
      </c>
      <c r="S955">
        <v>48</v>
      </c>
      <c r="T955">
        <v>1</v>
      </c>
      <c r="U955">
        <v>48</v>
      </c>
      <c r="V955">
        <v>20260928048</v>
      </c>
    </row>
    <row r="956" spans="1:22" x14ac:dyDescent="0.2">
      <c r="A956" s="34" t="s">
        <v>122</v>
      </c>
      <c r="B956" s="28">
        <v>46293</v>
      </c>
      <c r="C956" s="34"/>
      <c r="D956" s="34" t="s">
        <v>123</v>
      </c>
      <c r="E956" s="34" t="s">
        <v>298</v>
      </c>
      <c r="F956" s="34" t="s">
        <v>299</v>
      </c>
      <c r="G956" s="34" t="s">
        <v>300</v>
      </c>
      <c r="H956" s="34" t="s">
        <v>301</v>
      </c>
      <c r="I956">
        <v>6</v>
      </c>
      <c r="J956">
        <v>0</v>
      </c>
      <c r="K956">
        <v>14</v>
      </c>
      <c r="L956">
        <v>-8</v>
      </c>
      <c r="O956" s="28">
        <v>46292</v>
      </c>
      <c r="R956">
        <v>-1</v>
      </c>
      <c r="S956">
        <v>49</v>
      </c>
      <c r="T956">
        <v>1</v>
      </c>
      <c r="U956">
        <v>49</v>
      </c>
      <c r="V956">
        <v>20260928049</v>
      </c>
    </row>
    <row r="957" spans="1:22" x14ac:dyDescent="0.2">
      <c r="A957" s="34" t="s">
        <v>122</v>
      </c>
      <c r="B957" s="28">
        <v>46293</v>
      </c>
      <c r="C957" s="34"/>
      <c r="D957" s="34" t="s">
        <v>123</v>
      </c>
      <c r="E957" s="34" t="s">
        <v>302</v>
      </c>
      <c r="F957" s="34" t="s">
        <v>303</v>
      </c>
      <c r="G957" s="34" t="s">
        <v>304</v>
      </c>
      <c r="H957" s="34" t="s">
        <v>305</v>
      </c>
      <c r="I957">
        <v>5</v>
      </c>
      <c r="J957">
        <v>0</v>
      </c>
      <c r="K957">
        <v>6</v>
      </c>
      <c r="L957">
        <v>-1</v>
      </c>
      <c r="O957" s="28">
        <v>46292</v>
      </c>
      <c r="R957">
        <v>-1</v>
      </c>
      <c r="S957">
        <v>50</v>
      </c>
      <c r="T957">
        <v>1</v>
      </c>
      <c r="U957">
        <v>50</v>
      </c>
      <c r="V957">
        <v>20260928050</v>
      </c>
    </row>
    <row r="958" spans="1:22" x14ac:dyDescent="0.2">
      <c r="A958" s="34" t="s">
        <v>122</v>
      </c>
      <c r="B958" s="28">
        <v>46293</v>
      </c>
      <c r="C958" s="34"/>
      <c r="D958" s="34" t="s">
        <v>123</v>
      </c>
      <c r="E958" s="34" t="s">
        <v>306</v>
      </c>
      <c r="F958" s="34" t="s">
        <v>307</v>
      </c>
      <c r="G958" s="34" t="s">
        <v>308</v>
      </c>
      <c r="H958" s="34" t="s">
        <v>309</v>
      </c>
      <c r="I958">
        <v>6</v>
      </c>
      <c r="J958">
        <v>0</v>
      </c>
      <c r="K958">
        <v>4</v>
      </c>
      <c r="L958">
        <v>2</v>
      </c>
      <c r="O958" s="28">
        <v>46292</v>
      </c>
      <c r="R958">
        <v>-1</v>
      </c>
      <c r="S958">
        <v>51</v>
      </c>
      <c r="T958">
        <v>1</v>
      </c>
      <c r="U958">
        <v>51</v>
      </c>
      <c r="V958">
        <v>20260928051</v>
      </c>
    </row>
    <row r="959" spans="1:22" x14ac:dyDescent="0.2">
      <c r="A959" s="34" t="s">
        <v>122</v>
      </c>
      <c r="B959" s="28">
        <v>46293</v>
      </c>
      <c r="C959" s="34"/>
      <c r="D959" s="34" t="s">
        <v>123</v>
      </c>
      <c r="E959" s="34" t="s">
        <v>310</v>
      </c>
      <c r="F959" s="34" t="s">
        <v>311</v>
      </c>
      <c r="G959" s="34" t="s">
        <v>312</v>
      </c>
      <c r="H959" s="34" t="s">
        <v>313</v>
      </c>
      <c r="I959">
        <v>9</v>
      </c>
      <c r="J959">
        <v>0</v>
      </c>
      <c r="K959">
        <v>5</v>
      </c>
      <c r="L959">
        <v>4</v>
      </c>
      <c r="O959" s="28">
        <v>46292</v>
      </c>
      <c r="R959">
        <v>-1</v>
      </c>
      <c r="S959">
        <v>52</v>
      </c>
      <c r="T959">
        <v>1</v>
      </c>
      <c r="U959">
        <v>52</v>
      </c>
      <c r="V959">
        <v>20260928052</v>
      </c>
    </row>
    <row r="960" spans="1:22" x14ac:dyDescent="0.2">
      <c r="A960" s="34" t="s">
        <v>122</v>
      </c>
      <c r="B960" s="28">
        <v>46293</v>
      </c>
      <c r="C960" s="34"/>
      <c r="D960" s="34" t="s">
        <v>123</v>
      </c>
      <c r="E960" s="34" t="s">
        <v>314</v>
      </c>
      <c r="F960" s="34" t="s">
        <v>315</v>
      </c>
      <c r="G960" s="34" t="s">
        <v>316</v>
      </c>
      <c r="H960" s="34" t="s">
        <v>317</v>
      </c>
      <c r="I960">
        <v>15</v>
      </c>
      <c r="J960">
        <v>0</v>
      </c>
      <c r="K960">
        <v>10</v>
      </c>
      <c r="L960">
        <v>5</v>
      </c>
      <c r="O960" s="28">
        <v>46292</v>
      </c>
      <c r="R960">
        <v>-1</v>
      </c>
      <c r="S960">
        <v>53</v>
      </c>
      <c r="T960">
        <v>1</v>
      </c>
      <c r="U960">
        <v>53</v>
      </c>
      <c r="V960">
        <v>20260928053</v>
      </c>
    </row>
    <row r="961" spans="1:22" x14ac:dyDescent="0.2">
      <c r="A961" s="34" t="s">
        <v>122</v>
      </c>
      <c r="B961" s="28">
        <v>46293</v>
      </c>
      <c r="C961" s="34"/>
      <c r="D961" s="34" t="s">
        <v>123</v>
      </c>
      <c r="E961" s="34" t="s">
        <v>318</v>
      </c>
      <c r="F961" s="34" t="s">
        <v>319</v>
      </c>
      <c r="G961" s="34" t="s">
        <v>320</v>
      </c>
      <c r="H961" s="34" t="s">
        <v>321</v>
      </c>
      <c r="I961">
        <v>7</v>
      </c>
      <c r="J961">
        <v>0</v>
      </c>
      <c r="K961">
        <v>7</v>
      </c>
      <c r="L961">
        <v>0</v>
      </c>
      <c r="O961" s="28">
        <v>46292</v>
      </c>
      <c r="R961">
        <v>-1</v>
      </c>
      <c r="S961">
        <v>54</v>
      </c>
      <c r="T961">
        <v>1</v>
      </c>
      <c r="U961">
        <v>54</v>
      </c>
      <c r="V961">
        <v>20260928054</v>
      </c>
    </row>
    <row r="962" spans="1:22" x14ac:dyDescent="0.2">
      <c r="A962" s="34" t="s">
        <v>122</v>
      </c>
      <c r="B962" s="28">
        <v>46293</v>
      </c>
      <c r="C962" s="34"/>
      <c r="D962" s="34" t="s">
        <v>123</v>
      </c>
      <c r="E962" s="34" t="s">
        <v>322</v>
      </c>
      <c r="F962" s="34" t="s">
        <v>323</v>
      </c>
      <c r="G962" s="34" t="s">
        <v>324</v>
      </c>
      <c r="H962" s="34" t="s">
        <v>325</v>
      </c>
      <c r="I962">
        <v>2</v>
      </c>
      <c r="J962">
        <v>0</v>
      </c>
      <c r="K962">
        <v>2</v>
      </c>
      <c r="L962">
        <v>0</v>
      </c>
      <c r="O962" s="28">
        <v>46292</v>
      </c>
      <c r="R962">
        <v>-1</v>
      </c>
      <c r="S962">
        <v>55</v>
      </c>
      <c r="T962">
        <v>1</v>
      </c>
      <c r="U962">
        <v>55</v>
      </c>
      <c r="V962">
        <v>20260928055</v>
      </c>
    </row>
    <row r="963" spans="1:22" x14ac:dyDescent="0.2">
      <c r="A963" s="34" t="s">
        <v>122</v>
      </c>
      <c r="B963" s="28">
        <v>46293</v>
      </c>
      <c r="C963" s="34"/>
      <c r="D963" s="34" t="s">
        <v>123</v>
      </c>
      <c r="E963" s="34" t="s">
        <v>357</v>
      </c>
      <c r="F963" s="34" t="s">
        <v>358</v>
      </c>
      <c r="G963" s="34" t="s">
        <v>359</v>
      </c>
      <c r="H963" s="34" t="s">
        <v>359</v>
      </c>
      <c r="I963">
        <v>13</v>
      </c>
      <c r="J963">
        <v>10</v>
      </c>
      <c r="K963">
        <v>11</v>
      </c>
      <c r="L963">
        <v>12</v>
      </c>
      <c r="O963" s="28">
        <v>46292</v>
      </c>
      <c r="R963">
        <v>-1</v>
      </c>
      <c r="S963">
        <v>56</v>
      </c>
      <c r="T963">
        <v>1</v>
      </c>
      <c r="U963">
        <v>56</v>
      </c>
      <c r="V963">
        <v>20260928056</v>
      </c>
    </row>
    <row r="964" spans="1:22" x14ac:dyDescent="0.2">
      <c r="A964" s="34" t="s">
        <v>122</v>
      </c>
      <c r="B964" s="28">
        <v>46293</v>
      </c>
      <c r="C964" s="34"/>
      <c r="D964" s="34" t="s">
        <v>123</v>
      </c>
      <c r="E964" s="34" t="s">
        <v>360</v>
      </c>
      <c r="F964" s="34" t="s">
        <v>361</v>
      </c>
      <c r="G964" s="34" t="s">
        <v>362</v>
      </c>
      <c r="H964" s="34" t="s">
        <v>362</v>
      </c>
      <c r="I964">
        <v>0</v>
      </c>
      <c r="J964">
        <v>0</v>
      </c>
      <c r="K964">
        <v>0</v>
      </c>
      <c r="L964">
        <v>0</v>
      </c>
      <c r="O964" s="28">
        <v>46292</v>
      </c>
      <c r="R964">
        <v>-1</v>
      </c>
      <c r="S964">
        <v>57</v>
      </c>
      <c r="T964">
        <v>1</v>
      </c>
      <c r="U964">
        <v>57</v>
      </c>
      <c r="V964">
        <v>20260928057</v>
      </c>
    </row>
    <row r="965" spans="1:22" x14ac:dyDescent="0.2">
      <c r="A965" s="34" t="s">
        <v>122</v>
      </c>
      <c r="B965" s="28">
        <v>46293</v>
      </c>
      <c r="C965" s="34"/>
      <c r="D965" s="34" t="s">
        <v>123</v>
      </c>
      <c r="E965" s="34" t="s">
        <v>363</v>
      </c>
      <c r="F965" s="34" t="s">
        <v>364</v>
      </c>
      <c r="G965" s="34" t="s">
        <v>365</v>
      </c>
      <c r="H965" s="34" t="s">
        <v>366</v>
      </c>
      <c r="I965">
        <v>9</v>
      </c>
      <c r="J965">
        <v>0</v>
      </c>
      <c r="K965">
        <v>6</v>
      </c>
      <c r="L965">
        <v>3</v>
      </c>
      <c r="O965" s="28">
        <v>46292</v>
      </c>
      <c r="R965">
        <v>-1</v>
      </c>
      <c r="S965">
        <v>58</v>
      </c>
      <c r="T965">
        <v>1</v>
      </c>
      <c r="U965">
        <v>58</v>
      </c>
      <c r="V965">
        <v>20260928058</v>
      </c>
    </row>
    <row r="966" spans="1:22" x14ac:dyDescent="0.2">
      <c r="A966" s="34" t="s">
        <v>122</v>
      </c>
      <c r="B966" s="28">
        <v>46293</v>
      </c>
      <c r="C966" s="34"/>
      <c r="D966" s="34" t="s">
        <v>123</v>
      </c>
      <c r="E966" s="34" t="s">
        <v>367</v>
      </c>
      <c r="F966" s="34" t="s">
        <v>368</v>
      </c>
      <c r="G966" s="34" t="s">
        <v>369</v>
      </c>
      <c r="H966" s="34" t="s">
        <v>370</v>
      </c>
      <c r="I966">
        <v>4</v>
      </c>
      <c r="J966">
        <v>10</v>
      </c>
      <c r="K966">
        <v>10</v>
      </c>
      <c r="L966">
        <v>4</v>
      </c>
      <c r="O966" s="28">
        <v>46292</v>
      </c>
      <c r="R966">
        <v>-1</v>
      </c>
      <c r="S966">
        <v>59</v>
      </c>
      <c r="T966">
        <v>1</v>
      </c>
      <c r="U966">
        <v>59</v>
      </c>
      <c r="V966">
        <v>20260928059</v>
      </c>
    </row>
    <row r="967" spans="1:22" x14ac:dyDescent="0.2">
      <c r="A967" s="34" t="s">
        <v>122</v>
      </c>
      <c r="B967" s="28">
        <v>46293</v>
      </c>
      <c r="C967" s="34"/>
      <c r="D967" s="34" t="s">
        <v>123</v>
      </c>
      <c r="E967" s="34" t="s">
        <v>371</v>
      </c>
      <c r="F967" s="34" t="s">
        <v>372</v>
      </c>
      <c r="G967" s="34" t="s">
        <v>373</v>
      </c>
      <c r="H967" s="34" t="s">
        <v>373</v>
      </c>
      <c r="I967">
        <v>20</v>
      </c>
      <c r="J967">
        <v>0</v>
      </c>
      <c r="K967">
        <v>11</v>
      </c>
      <c r="L967">
        <v>9</v>
      </c>
      <c r="O967" s="28">
        <v>46292</v>
      </c>
      <c r="R967">
        <v>-1</v>
      </c>
      <c r="S967">
        <v>60</v>
      </c>
      <c r="T967">
        <v>1</v>
      </c>
      <c r="U967">
        <v>60</v>
      </c>
      <c r="V967">
        <v>20260928060</v>
      </c>
    </row>
    <row r="968" spans="1:22" x14ac:dyDescent="0.2">
      <c r="A968" s="34" t="s">
        <v>122</v>
      </c>
      <c r="B968" s="28">
        <v>46293</v>
      </c>
      <c r="C968" s="34"/>
      <c r="D968" s="34" t="s">
        <v>123</v>
      </c>
      <c r="E968" s="34" t="s">
        <v>374</v>
      </c>
      <c r="F968" s="34" t="s">
        <v>375</v>
      </c>
      <c r="G968" s="34" t="s">
        <v>376</v>
      </c>
      <c r="H968" s="34" t="s">
        <v>376</v>
      </c>
      <c r="I968">
        <v>7</v>
      </c>
      <c r="J968">
        <v>0</v>
      </c>
      <c r="K968">
        <v>0</v>
      </c>
      <c r="L968">
        <v>7</v>
      </c>
      <c r="O968" s="28">
        <v>46292</v>
      </c>
      <c r="R968">
        <v>-1</v>
      </c>
      <c r="S968">
        <v>61</v>
      </c>
      <c r="T968">
        <v>1</v>
      </c>
      <c r="U968">
        <v>61</v>
      </c>
      <c r="V968">
        <v>20260928061</v>
      </c>
    </row>
    <row r="969" spans="1:22" x14ac:dyDescent="0.2">
      <c r="A969" s="34" t="s">
        <v>122</v>
      </c>
      <c r="B969" s="28">
        <v>46293</v>
      </c>
      <c r="C969" s="34"/>
      <c r="D969" s="34" t="s">
        <v>123</v>
      </c>
      <c r="E969" s="34" t="s">
        <v>377</v>
      </c>
      <c r="F969" s="34" t="s">
        <v>378</v>
      </c>
      <c r="G969" s="34" t="s">
        <v>379</v>
      </c>
      <c r="H969" s="34" t="s">
        <v>380</v>
      </c>
      <c r="I969">
        <v>4</v>
      </c>
      <c r="J969">
        <v>0</v>
      </c>
      <c r="K969">
        <v>4</v>
      </c>
      <c r="L969">
        <v>0</v>
      </c>
      <c r="O969" s="28">
        <v>46292</v>
      </c>
      <c r="R969">
        <v>-1</v>
      </c>
      <c r="S969">
        <v>62</v>
      </c>
      <c r="T969">
        <v>1</v>
      </c>
      <c r="U969">
        <v>62</v>
      </c>
      <c r="V969">
        <v>20260928062</v>
      </c>
    </row>
    <row r="970" spans="1:22" x14ac:dyDescent="0.2">
      <c r="A970" s="34" t="s">
        <v>122</v>
      </c>
      <c r="B970" s="28">
        <v>46293</v>
      </c>
      <c r="C970" s="34"/>
      <c r="D970" s="34" t="s">
        <v>123</v>
      </c>
      <c r="E970" s="34" t="s">
        <v>381</v>
      </c>
      <c r="F970" s="34" t="s">
        <v>382</v>
      </c>
      <c r="G970" s="34" t="s">
        <v>383</v>
      </c>
      <c r="H970" s="34" t="s">
        <v>384</v>
      </c>
      <c r="I970">
        <v>11</v>
      </c>
      <c r="J970">
        <v>0</v>
      </c>
      <c r="K970">
        <v>11</v>
      </c>
      <c r="L970">
        <v>0</v>
      </c>
      <c r="O970" s="28">
        <v>46292</v>
      </c>
      <c r="R970">
        <v>-1</v>
      </c>
      <c r="S970">
        <v>63</v>
      </c>
      <c r="T970">
        <v>1</v>
      </c>
      <c r="U970">
        <v>63</v>
      </c>
      <c r="V970">
        <v>20260928063</v>
      </c>
    </row>
    <row r="971" spans="1:22" x14ac:dyDescent="0.2">
      <c r="A971" s="34" t="s">
        <v>122</v>
      </c>
      <c r="B971" s="28">
        <v>46293</v>
      </c>
      <c r="C971" s="34"/>
      <c r="D971" s="34" t="s">
        <v>123</v>
      </c>
      <c r="E971" s="34" t="s">
        <v>385</v>
      </c>
      <c r="F971" s="34" t="s">
        <v>386</v>
      </c>
      <c r="G971" s="34" t="s">
        <v>387</v>
      </c>
      <c r="H971" s="34" t="s">
        <v>388</v>
      </c>
      <c r="I971">
        <v>10</v>
      </c>
      <c r="J971">
        <v>0</v>
      </c>
      <c r="K971">
        <v>10</v>
      </c>
      <c r="L971">
        <v>0</v>
      </c>
      <c r="O971" s="28">
        <v>46292</v>
      </c>
      <c r="R971">
        <v>-1</v>
      </c>
      <c r="S971">
        <v>64</v>
      </c>
      <c r="T971">
        <v>1</v>
      </c>
      <c r="U971">
        <v>64</v>
      </c>
      <c r="V971">
        <v>20260928064</v>
      </c>
    </row>
    <row r="972" spans="1:22" x14ac:dyDescent="0.2">
      <c r="A972" s="34" t="s">
        <v>122</v>
      </c>
      <c r="B972" s="28">
        <v>46293</v>
      </c>
      <c r="C972" s="34"/>
      <c r="D972" s="34" t="s">
        <v>123</v>
      </c>
      <c r="E972" s="34" t="s">
        <v>389</v>
      </c>
      <c r="F972" s="34" t="s">
        <v>390</v>
      </c>
      <c r="G972" s="34" t="s">
        <v>391</v>
      </c>
      <c r="H972" s="34" t="s">
        <v>391</v>
      </c>
      <c r="I972">
        <v>0</v>
      </c>
      <c r="J972">
        <v>0</v>
      </c>
      <c r="K972">
        <v>0</v>
      </c>
      <c r="L972">
        <v>0</v>
      </c>
      <c r="O972" s="28">
        <v>46292</v>
      </c>
      <c r="R972">
        <v>-1</v>
      </c>
      <c r="S972">
        <v>65</v>
      </c>
      <c r="T972">
        <v>1</v>
      </c>
      <c r="U972">
        <v>65</v>
      </c>
      <c r="V972">
        <v>20260928065</v>
      </c>
    </row>
    <row r="973" spans="1:22" x14ac:dyDescent="0.2">
      <c r="A973" s="34" t="s">
        <v>122</v>
      </c>
      <c r="B973" s="28">
        <v>46293</v>
      </c>
      <c r="C973" s="34"/>
      <c r="D973" s="34" t="s">
        <v>123</v>
      </c>
      <c r="E973" s="34" t="s">
        <v>392</v>
      </c>
      <c r="F973" s="34" t="s">
        <v>393</v>
      </c>
      <c r="G973" s="34" t="s">
        <v>394</v>
      </c>
      <c r="H973" s="34" t="s">
        <v>395</v>
      </c>
      <c r="I973">
        <v>1</v>
      </c>
      <c r="J973">
        <v>0</v>
      </c>
      <c r="K973">
        <v>0</v>
      </c>
      <c r="L973">
        <v>1</v>
      </c>
      <c r="O973" s="28">
        <v>46292</v>
      </c>
      <c r="R973">
        <v>-1</v>
      </c>
      <c r="S973">
        <v>66</v>
      </c>
      <c r="T973">
        <v>1</v>
      </c>
      <c r="U973">
        <v>66</v>
      </c>
      <c r="V973">
        <v>20260928066</v>
      </c>
    </row>
    <row r="974" spans="1:22" x14ac:dyDescent="0.2">
      <c r="A974" s="34" t="s">
        <v>122</v>
      </c>
      <c r="B974" s="28">
        <v>46293</v>
      </c>
      <c r="C974" s="34"/>
      <c r="D974" s="34" t="s">
        <v>123</v>
      </c>
      <c r="E974" s="34" t="s">
        <v>396</v>
      </c>
      <c r="F974" s="34" t="s">
        <v>397</v>
      </c>
      <c r="G974" s="34" t="s">
        <v>398</v>
      </c>
      <c r="H974" s="34" t="s">
        <v>399</v>
      </c>
      <c r="I974">
        <v>8</v>
      </c>
      <c r="J974">
        <v>0</v>
      </c>
      <c r="K974">
        <v>8</v>
      </c>
      <c r="L974">
        <v>0</v>
      </c>
      <c r="O974" s="28">
        <v>46292</v>
      </c>
      <c r="R974">
        <v>-1</v>
      </c>
      <c r="S974">
        <v>67</v>
      </c>
      <c r="T974">
        <v>1</v>
      </c>
      <c r="U974">
        <v>67</v>
      </c>
      <c r="V974">
        <v>20260928067</v>
      </c>
    </row>
    <row r="975" spans="1:22" x14ac:dyDescent="0.2">
      <c r="A975" s="34" t="s">
        <v>122</v>
      </c>
      <c r="B975" s="28">
        <v>46293</v>
      </c>
      <c r="C975" s="34"/>
      <c r="D975" s="34" t="s">
        <v>123</v>
      </c>
      <c r="E975" s="34" t="s">
        <v>400</v>
      </c>
      <c r="F975" s="34" t="s">
        <v>401</v>
      </c>
      <c r="G975" s="34" t="s">
        <v>402</v>
      </c>
      <c r="H975" s="34" t="s">
        <v>403</v>
      </c>
      <c r="I975">
        <v>18</v>
      </c>
      <c r="J975">
        <v>0</v>
      </c>
      <c r="K975">
        <v>15</v>
      </c>
      <c r="L975">
        <v>3</v>
      </c>
      <c r="O975" s="28">
        <v>46292</v>
      </c>
      <c r="R975">
        <v>-1</v>
      </c>
      <c r="S975">
        <v>68</v>
      </c>
      <c r="T975">
        <v>1</v>
      </c>
      <c r="U975">
        <v>68</v>
      </c>
      <c r="V975">
        <v>20260928068</v>
      </c>
    </row>
    <row r="976" spans="1:22" x14ac:dyDescent="0.2">
      <c r="A976" s="34" t="s">
        <v>122</v>
      </c>
      <c r="B976" s="28">
        <v>46293</v>
      </c>
      <c r="C976" s="34"/>
      <c r="D976" s="34" t="s">
        <v>123</v>
      </c>
      <c r="E976" s="34" t="s">
        <v>404</v>
      </c>
      <c r="F976" s="34" t="s">
        <v>405</v>
      </c>
      <c r="G976" s="34" t="s">
        <v>406</v>
      </c>
      <c r="H976" s="34" t="s">
        <v>406</v>
      </c>
      <c r="I976">
        <v>23</v>
      </c>
      <c r="J976">
        <v>0</v>
      </c>
      <c r="K976">
        <v>21</v>
      </c>
      <c r="L976">
        <v>2</v>
      </c>
      <c r="O976" s="28">
        <v>46292</v>
      </c>
      <c r="R976">
        <v>-1</v>
      </c>
      <c r="S976">
        <v>69</v>
      </c>
      <c r="T976">
        <v>1</v>
      </c>
      <c r="U976">
        <v>69</v>
      </c>
      <c r="V976">
        <v>20260928069</v>
      </c>
    </row>
    <row r="977" spans="1:22" x14ac:dyDescent="0.2">
      <c r="A977" s="34" t="s">
        <v>122</v>
      </c>
      <c r="B977" s="28">
        <v>46293</v>
      </c>
      <c r="C977" s="34"/>
      <c r="D977" s="34" t="s">
        <v>123</v>
      </c>
      <c r="E977" s="34" t="s">
        <v>407</v>
      </c>
      <c r="F977" s="34" t="s">
        <v>408</v>
      </c>
      <c r="G977" s="34" t="s">
        <v>409</v>
      </c>
      <c r="H977" s="34" t="s">
        <v>410</v>
      </c>
      <c r="I977">
        <v>0</v>
      </c>
      <c r="J977">
        <v>0</v>
      </c>
      <c r="K977">
        <v>0</v>
      </c>
      <c r="L977">
        <v>0</v>
      </c>
      <c r="O977" s="28">
        <v>46292</v>
      </c>
      <c r="R977">
        <v>-1</v>
      </c>
      <c r="S977">
        <v>70</v>
      </c>
      <c r="T977">
        <v>1</v>
      </c>
      <c r="U977">
        <v>70</v>
      </c>
      <c r="V977">
        <v>20260928070</v>
      </c>
    </row>
    <row r="978" spans="1:22" x14ac:dyDescent="0.2">
      <c r="A978" s="34" t="s">
        <v>122</v>
      </c>
      <c r="B978" s="28">
        <v>46293</v>
      </c>
      <c r="C978" s="34"/>
      <c r="D978" s="34" t="s">
        <v>123</v>
      </c>
      <c r="E978" s="34" t="s">
        <v>411</v>
      </c>
      <c r="F978" s="34" t="s">
        <v>412</v>
      </c>
      <c r="G978" s="34" t="s">
        <v>413</v>
      </c>
      <c r="H978" s="34" t="s">
        <v>413</v>
      </c>
      <c r="I978">
        <v>3</v>
      </c>
      <c r="J978">
        <v>0</v>
      </c>
      <c r="K978">
        <v>0</v>
      </c>
      <c r="L978">
        <v>3</v>
      </c>
      <c r="O978" s="28">
        <v>46292</v>
      </c>
      <c r="R978">
        <v>-1</v>
      </c>
      <c r="S978">
        <v>71</v>
      </c>
      <c r="T978">
        <v>1</v>
      </c>
      <c r="U978">
        <v>71</v>
      </c>
      <c r="V978">
        <v>20260928071</v>
      </c>
    </row>
    <row r="979" spans="1:22" x14ac:dyDescent="0.2">
      <c r="A979" s="34" t="s">
        <v>122</v>
      </c>
      <c r="B979" s="28">
        <v>46293</v>
      </c>
      <c r="C979" s="34"/>
      <c r="D979" s="34" t="s">
        <v>123</v>
      </c>
      <c r="E979" s="34" t="s">
        <v>414</v>
      </c>
      <c r="F979" s="34" t="s">
        <v>415</v>
      </c>
      <c r="G979" s="34" t="s">
        <v>416</v>
      </c>
      <c r="H979" s="34" t="s">
        <v>417</v>
      </c>
      <c r="I979">
        <v>8</v>
      </c>
      <c r="J979">
        <v>0</v>
      </c>
      <c r="K979">
        <v>7</v>
      </c>
      <c r="L979">
        <v>1</v>
      </c>
      <c r="O979" s="28">
        <v>46292</v>
      </c>
      <c r="R979">
        <v>-1</v>
      </c>
      <c r="S979">
        <v>72</v>
      </c>
      <c r="T979">
        <v>1</v>
      </c>
      <c r="U979">
        <v>72</v>
      </c>
      <c r="V979">
        <v>20260928072</v>
      </c>
    </row>
    <row r="980" spans="1:22" x14ac:dyDescent="0.2">
      <c r="A980" s="34" t="s">
        <v>122</v>
      </c>
      <c r="B980" s="28">
        <v>46293</v>
      </c>
      <c r="C980" s="34"/>
      <c r="D980" s="34" t="s">
        <v>123</v>
      </c>
      <c r="E980" s="34" t="s">
        <v>326</v>
      </c>
      <c r="F980" s="34" t="s">
        <v>327</v>
      </c>
      <c r="G980" s="34" t="s">
        <v>328</v>
      </c>
      <c r="H980" s="34" t="s">
        <v>329</v>
      </c>
      <c r="I980">
        <v>8</v>
      </c>
      <c r="J980">
        <v>0</v>
      </c>
      <c r="K980">
        <v>15</v>
      </c>
      <c r="L980">
        <v>-7</v>
      </c>
      <c r="O980" s="28">
        <v>46292</v>
      </c>
      <c r="R980">
        <v>-1</v>
      </c>
      <c r="S980">
        <v>73</v>
      </c>
      <c r="T980">
        <v>1</v>
      </c>
      <c r="U980">
        <v>73</v>
      </c>
      <c r="V980">
        <v>20260928073</v>
      </c>
    </row>
    <row r="981" spans="1:22" x14ac:dyDescent="0.2">
      <c r="A981" s="34" t="s">
        <v>122</v>
      </c>
      <c r="B981" s="28">
        <v>46293</v>
      </c>
      <c r="C981" s="34"/>
      <c r="D981" s="34" t="s">
        <v>123</v>
      </c>
      <c r="E981" s="34" t="s">
        <v>330</v>
      </c>
      <c r="F981" s="34" t="s">
        <v>331</v>
      </c>
      <c r="G981" s="34" t="s">
        <v>332</v>
      </c>
      <c r="H981" s="34" t="s">
        <v>333</v>
      </c>
      <c r="I981">
        <v>12</v>
      </c>
      <c r="J981">
        <v>0</v>
      </c>
      <c r="K981">
        <v>10</v>
      </c>
      <c r="L981">
        <v>2</v>
      </c>
      <c r="O981" s="28">
        <v>46292</v>
      </c>
      <c r="R981">
        <v>-1</v>
      </c>
      <c r="S981">
        <v>74</v>
      </c>
      <c r="T981">
        <v>1</v>
      </c>
      <c r="U981">
        <v>74</v>
      </c>
      <c r="V981">
        <v>20260928074</v>
      </c>
    </row>
    <row r="982" spans="1:22" x14ac:dyDescent="0.2">
      <c r="A982" s="34" t="s">
        <v>122</v>
      </c>
      <c r="B982" s="28">
        <v>46293</v>
      </c>
      <c r="C982" s="34"/>
      <c r="D982" s="34" t="s">
        <v>123</v>
      </c>
      <c r="E982" s="34" t="s">
        <v>334</v>
      </c>
      <c r="F982" s="34" t="s">
        <v>335</v>
      </c>
      <c r="G982" s="34" t="s">
        <v>336</v>
      </c>
      <c r="H982" s="34" t="s">
        <v>337</v>
      </c>
      <c r="I982">
        <v>12</v>
      </c>
      <c r="J982">
        <v>0</v>
      </c>
      <c r="K982">
        <v>9</v>
      </c>
      <c r="L982">
        <v>3</v>
      </c>
      <c r="O982" s="28">
        <v>46292</v>
      </c>
      <c r="R982">
        <v>-1</v>
      </c>
      <c r="S982">
        <v>75</v>
      </c>
      <c r="T982">
        <v>1</v>
      </c>
      <c r="U982">
        <v>75</v>
      </c>
      <c r="V982">
        <v>20260928075</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7780B0B-E249-AB49-BFB6-3C6B9AB3961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4</vt:i4>
      </vt:variant>
    </vt:vector>
  </HeadingPairs>
  <TitlesOfParts>
    <vt:vector size="11" baseType="lpstr">
      <vt:lpstr>Daily</vt:lpstr>
      <vt:lpstr>Trends</vt:lpstr>
      <vt:lpstr>Notes</vt:lpstr>
      <vt:lpstr>Counts</vt:lpstr>
      <vt:lpstr>Setup</vt:lpstr>
      <vt:lpstr>Calc</vt:lpstr>
      <vt:lpstr>Data</vt:lpstr>
      <vt:lpstr>Daily!Print_Area</vt:lpstr>
      <vt:lpstr>Trends!Print_Area</vt:lpstr>
      <vt:lpstr>Daily!Print_Titles</vt:lpstr>
      <vt:lpstr>Trends!Print_Titles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BIN AFFRIE SHAH, ANIEQ (UG)</cp:lastModifiedBy>
  <dcterms:created xsi:type="dcterms:W3CDTF">2026-09-14T06:10:34Z</dcterms:created>
  <dcterms:modified xsi:type="dcterms:W3CDTF">2026-09-29T02:39:19Z</dcterms:modified>
</cp:coreProperties>
</file>