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sheetId="1" state="visible" r:id="rId1"/>
    <sheet name="Trends" sheetId="2" state="visible" r:id="rId2"/>
    <sheet name="Notes" sheetId="3" state="visible" r:id="rId3"/>
    <sheet name="Data" sheetId="4" state="hidden" r:id="rId4"/>
  </sheets>
  <definedNames>
    <definedName name="_xlnm.Print_Titles" localSheetId="0">'Daily'!$9:$9</definedName>
    <definedName name="_xlnm.Print_Area" localSheetId="0">'Daily'!$A$1:$I$63</definedName>
    <definedName name="_xlnm.Print_Titles" localSheetId="1">'Trends'!$4:$4</definedName>
    <definedName name="_xlnm.Print_Area" localSheetId="1">'Trends'!$A$1:$G$58</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6">
    <font>
      <name val="Calibri"/>
      <family val="2"/>
      <color theme="1"/>
      <sz val="11"/>
      <scheme val="minor"/>
    </font>
    <font>
      <name val="Calibri"/>
      <b val="1"/>
      <color rgb="001F2A44"/>
      <sz val="18"/>
    </font>
    <font>
      <name val="Calibri"/>
      <b val="1"/>
      <color rgb="008A94A6"/>
      <sz val="11"/>
    </font>
    <font>
      <name val="Calibri"/>
      <b val="1"/>
      <color rgb="008A94A6"/>
      <sz val="9"/>
    </font>
    <font>
      <name val="Calibri"/>
      <b val="1"/>
      <color rgb="001F4E79"/>
      <sz val="14"/>
    </font>
    <font>
      <name val="Calibri"/>
      <b val="1"/>
      <color rgb="001F2A44"/>
      <sz val="10"/>
    </font>
    <font>
      <name val="Calibri"/>
      <b val="1"/>
      <color rgb="001F2A44"/>
      <sz val="11"/>
    </font>
    <font>
      <name val="Calibri"/>
      <b val="1"/>
      <color rgb="001F2A44"/>
      <sz val="14"/>
    </font>
    <font>
      <name val="Calibri"/>
      <b val="1"/>
      <color rgb="009A6500"/>
      <sz val="10"/>
    </font>
    <font>
      <name val="Calibri"/>
      <b val="1"/>
      <color rgb="00FFFFFF"/>
      <sz val="10"/>
    </font>
    <font>
      <name val="Calibri"/>
      <color rgb="001F2A44"/>
      <sz val="10"/>
    </font>
    <font>
      <name val="Consolas"/>
      <color rgb="008A94A6"/>
      <sz val="9"/>
    </font>
    <font>
      <name val="Calibri"/>
      <b val="1"/>
      <color rgb="001F2A44"/>
      <sz val="16"/>
    </font>
    <font>
      <name val="Calibri"/>
      <i val="1"/>
      <color rgb="008A94A6"/>
      <sz val="9"/>
    </font>
    <font>
      <name val="Calibri"/>
      <color rgb="008A94A6"/>
      <sz val="10"/>
    </font>
    <font>
      <name val="Calibri"/>
      <b val="1"/>
      <color rgb="001F4E79"/>
      <sz val="12"/>
    </font>
  </fonts>
  <fills count="6">
    <fill>
      <patternFill/>
    </fill>
    <fill>
      <patternFill patternType="gray125"/>
    </fill>
    <fill>
      <patternFill patternType="solid">
        <fgColor rgb="00EAF1FB"/>
      </patternFill>
    </fill>
    <fill>
      <patternFill patternType="solid">
        <fgColor rgb="00FEF5E7"/>
      </patternFill>
    </fill>
    <fill>
      <patternFill patternType="solid">
        <fgColor rgb="000F1B3D"/>
      </patternFill>
    </fill>
    <fill>
      <patternFill patternType="solid">
        <fgColor rgb="00F4F6FA"/>
      </patternFill>
    </fill>
  </fills>
  <borders count="3">
    <border>
      <left/>
      <right/>
      <top/>
      <bottom/>
      <diagonal/>
    </border>
    <border>
      <left style="thin">
        <color rgb="00D6DBE4"/>
      </left>
      <right style="thin">
        <color rgb="00D6DBE4"/>
      </right>
      <top style="thin">
        <color rgb="00D6DBE4"/>
      </top>
      <bottom style="thin">
        <color rgb="00D6DBE4"/>
      </bottom>
    </border>
    <border>
      <bottom style="thin">
        <color rgb="00D6DBE4"/>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horizontal="right"/>
    </xf>
    <xf numFmtId="0" fontId="3" fillId="0" borderId="0" applyAlignment="1" pivotButton="0" quotePrefix="0" xfId="0">
      <alignment horizontal="left" vertical="bottom"/>
    </xf>
    <xf numFmtId="0" fontId="5" fillId="0" borderId="0" applyAlignment="1" pivotButton="0" quotePrefix="0" xfId="0">
      <alignment horizontal="left" vertical="center"/>
    </xf>
    <xf numFmtId="165" fontId="4" fillId="2" borderId="1" applyAlignment="1" pivotButton="0" quotePrefix="0" xfId="0">
      <alignment horizontal="left" vertical="center"/>
    </xf>
    <xf numFmtId="165" fontId="6" fillId="0" borderId="0" applyAlignment="1" pivotButton="0" quotePrefix="0" xfId="0">
      <alignment horizontal="left" vertical="center"/>
    </xf>
    <xf numFmtId="0" fontId="6" fillId="0" borderId="0" applyAlignment="1" pivotButton="0" quotePrefix="0" xfId="0">
      <alignment horizontal="left" vertical="center"/>
    </xf>
    <xf numFmtId="3" fontId="6" fillId="0" borderId="0" applyAlignment="1" pivotButton="0" quotePrefix="0" xfId="0">
      <alignment horizontal="left" vertical="center"/>
    </xf>
    <xf numFmtId="3" fontId="7" fillId="0" borderId="0" applyAlignment="1" pivotButton="0" quotePrefix="0" xfId="0">
      <alignment horizontal="left" vertical="center"/>
    </xf>
    <xf numFmtId="4" fontId="7" fillId="0" borderId="0" applyAlignment="1" pivotButton="0" quotePrefix="0" xfId="0">
      <alignment horizontal="left" vertical="center"/>
    </xf>
    <xf numFmtId="0" fontId="8" fillId="3" borderId="0" applyAlignment="1" pivotButton="0" quotePrefix="0" xfId="0">
      <alignment horizontal="left" vertical="center" wrapText="1"/>
    </xf>
    <xf numFmtId="0" fontId="9" fillId="4" borderId="1" applyAlignment="1" pivotButton="0" quotePrefix="0" xfId="0">
      <alignment horizontal="left" vertical="center" wrapText="1"/>
    </xf>
    <xf numFmtId="0" fontId="9" fillId="4" borderId="1" applyAlignment="1" pivotButton="0" quotePrefix="0" xfId="0">
      <alignment horizontal="right" vertical="center" wrapText="1"/>
    </xf>
    <xf numFmtId="0" fontId="10" fillId="5" borderId="1" applyAlignment="1" pivotButton="0" quotePrefix="0" xfId="0">
      <alignment horizontal="left" vertical="center"/>
    </xf>
    <xf numFmtId="3" fontId="10" fillId="5" borderId="1" applyAlignment="1" pivotButton="0" quotePrefix="0" xfId="0">
      <alignment horizontal="right" vertical="center"/>
    </xf>
    <xf numFmtId="3" fontId="5" fillId="5" borderId="1" applyAlignment="1" pivotButton="0" quotePrefix="0" xfId="0">
      <alignment horizontal="right" vertical="center"/>
    </xf>
    <xf numFmtId="4" fontId="10" fillId="5" borderId="1" applyAlignment="1" pivotButton="0" quotePrefix="0" xfId="0">
      <alignment horizontal="right" vertical="center"/>
    </xf>
    <xf numFmtId="0" fontId="11" fillId="5" borderId="1" applyAlignment="1" pivotButton="0" quotePrefix="0" xfId="0">
      <alignment horizontal="left" vertical="center"/>
    </xf>
    <xf numFmtId="0" fontId="10" fillId="0" borderId="1" applyAlignment="1" pivotButton="0" quotePrefix="0" xfId="0">
      <alignment horizontal="left" vertical="center"/>
    </xf>
    <xf numFmtId="3" fontId="10" fillId="0" borderId="1" applyAlignment="1" pivotButton="0" quotePrefix="0" xfId="0">
      <alignment horizontal="right" vertical="center"/>
    </xf>
    <xf numFmtId="3" fontId="5" fillId="0" borderId="1" applyAlignment="1" pivotButton="0" quotePrefix="0" xfId="0">
      <alignment horizontal="right" vertical="center"/>
    </xf>
    <xf numFmtId="4" fontId="10" fillId="0" borderId="1" applyAlignment="1" pivotButton="0" quotePrefix="0" xfId="0">
      <alignment horizontal="right" vertical="center"/>
    </xf>
    <xf numFmtId="0" fontId="11" fillId="0" borderId="1" applyAlignment="1" pivotButton="0" quotePrefix="0" xfId="0">
      <alignment horizontal="left" vertical="center"/>
    </xf>
    <xf numFmtId="0" fontId="12" fillId="0" borderId="0" pivotButton="0" quotePrefix="0" xfId="0"/>
    <xf numFmtId="0" fontId="13" fillId="0" borderId="0" pivotButton="0" quotePrefix="0" xfId="0"/>
    <xf numFmtId="0" fontId="9" fillId="4" borderId="1" applyAlignment="1" pivotButton="0" quotePrefix="0" xfId="0">
      <alignment horizontal="center" vertical="center" wrapText="1"/>
    </xf>
    <xf numFmtId="3" fontId="14" fillId="0" borderId="1" applyAlignment="1" pivotButton="0" quotePrefix="0" xfId="0">
      <alignment horizontal="right" vertical="center"/>
    </xf>
    <xf numFmtId="3" fontId="14" fillId="5" borderId="1" applyAlignment="1" pivotButton="0" quotePrefix="0" xfId="0">
      <alignment horizontal="right" vertical="center"/>
    </xf>
    <xf numFmtId="0" fontId="10" fillId="0" borderId="0" applyAlignment="1" pivotButton="0" quotePrefix="0" xfId="0">
      <alignment vertical="top" wrapText="1"/>
    </xf>
    <xf numFmtId="0" fontId="15" fillId="0" borderId="2" pivotButton="0" quotePrefix="0" xfId="0"/>
    <xf numFmtId="165" fontId="0" fillId="0" borderId="0" pivotButton="0" quotePrefix="0" xfId="0"/>
  </cellXfs>
  <cellStyles count="1">
    <cellStyle name="Normal" xfId="0" builtinId="0" hidden="0"/>
  </cellStyles>
  <dxfs count="4">
    <dxf>
      <font>
        <name val="Calibri"/>
        <color rgb="008A94A6"/>
        <sz val="10"/>
      </font>
    </dxf>
    <dxf>
      <font>
        <name val="Calibri"/>
        <b val="1"/>
        <color rgb="00FFFFFF"/>
        <sz val="10"/>
      </font>
      <fill>
        <patternFill patternType="solid">
          <fgColor rgb="00922B21"/>
        </patternFill>
      </fill>
    </dxf>
    <dxf>
      <font>
        <name val="Calibri"/>
        <b val="1"/>
        <color rgb="0096281B"/>
        <sz val="10"/>
      </font>
      <fill>
        <patternFill patternType="solid">
          <fgColor rgb="00FDEDEC"/>
        </patternFill>
      </fill>
    </dxf>
    <dxf>
      <font>
        <name val="Calibri"/>
        <b val="1"/>
        <color rgb="00C0392B"/>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Counts" displayName="Counts" ref="A1:U163" headerRowCount="1">
  <autoFilter ref="A1:U163"/>
  <tableColumns count="21">
    <tableColumn id="1" name="rowkey"/>
    <tableColumn id="2" name="date_key"/>
    <tableColumn id="3" name="count_date"/>
    <tableColumn id="4" name="opening_date"/>
    <tableColumn id="5" name="staff_name"/>
    <tableColumn id="6" name="short_name"/>
    <tableColumn id="7" name="opening_packs"/>
    <tableColumn id="8" name="closing_packs"/>
    <tableColumn id="9" name="sold_physical"/>
    <tableColumn id="10" name="sold_pos"/>
    <tableColumn id="11" name="variance_packs"/>
    <tableColumn id="12" name="variance_rm"/>
    <tableColumn id="13" name="unit_price_used"/>
    <tableColumn id="14" name="abs_variance"/>
    <tableColumn id="15" name="rank"/>
    <tableColumn id="16" name="product_id"/>
    <tableColumn id="17" name="plu"/>
    <tableColumn id="18" name="branch_id"/>
    <tableColumn id="19" name="shift"/>
    <tableColumn id="20" name="pos_description"/>
    <tableColumn id="21" name="add_in"/>
  </tableColumns>
  <tableStyleInfo name="TableStyleLight8"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L63"/>
  <sheetViews>
    <sheetView workbookViewId="0">
      <pane ySplit="9" topLeftCell="A10" activePane="bottomLeft" state="frozen"/>
      <selection pane="bottomLeft" activeCell="A1" sqref="A1"/>
    </sheetView>
  </sheetViews>
  <sheetFormatPr baseColWidth="8" defaultRowHeight="15"/>
  <cols>
    <col width="30" customWidth="1" min="1" max="1"/>
    <col width="11" customWidth="1" min="2" max="2"/>
    <col width="11" customWidth="1" min="3" max="3"/>
    <col width="15" customWidth="1" min="4" max="4"/>
    <col width="13" customWidth="1" min="5" max="5"/>
    <col width="11" customWidth="1" min="6" max="6"/>
    <col width="13" customWidth="1" min="7" max="7"/>
    <col width="10" customWidth="1" min="8" max="8"/>
    <col width="15" customWidth="1" min="9" max="9"/>
    <col hidden="1" width="13" customWidth="1" min="12" max="12"/>
  </cols>
  <sheetData>
    <row r="1">
      <c r="A1" s="1" t="inlineStr">
        <is>
          <t>Cigarette reconciliation</t>
        </is>
      </c>
      <c r="F1" s="2" t="inlineStr">
        <is>
          <t>Safari</t>
        </is>
      </c>
      <c r="L1">
        <f>IFERROR(MATCH($B$3,Data!$W$2:$W$4,0),"")</f>
        <v/>
      </c>
    </row>
    <row r="2">
      <c r="A2" s="3" t="inlineStr">
        <is>
          <t>TRADING DAY (CLOSING)</t>
        </is>
      </c>
      <c r="D2" s="3" t="inlineStr">
        <is>
          <t>OPENING FROM</t>
        </is>
      </c>
      <c r="F2" s="3" t="inlineStr">
        <is>
          <t>COUNTED BY</t>
        </is>
      </c>
      <c r="H2" s="3" t="inlineStr">
        <is>
          <t>PRODUCTS</t>
        </is>
      </c>
    </row>
    <row r="3">
      <c r="A3" s="4" t="inlineStr">
        <is>
          <t>Show:</t>
        </is>
      </c>
      <c r="B3" s="5" t="n">
        <v>46276</v>
      </c>
      <c r="D3" s="6">
        <f>IF($L$1="","—",IF(INDEX(Data!$Y$2:$Y$4,$L$1)="","—",INDEX(Data!$Y$2:$Y$4,$L$1)))</f>
        <v/>
      </c>
      <c r="F3" s="7">
        <f>IF($L$1="","—",IF(INDEX(Data!$Z$2:$Z$4,$L$1)="","—",INDEX(Data!$Z$2:$Z$4,$L$1)))</f>
        <v/>
      </c>
      <c r="H3" s="8">
        <f>IF($L$1="","—",IF(INDEX(Data!$AA$2:$AA$4,$L$1)="","—",INDEX(Data!$AA$2:$AA$4,$L$1)))</f>
        <v/>
      </c>
    </row>
    <row r="5">
      <c r="A5" s="3" t="inlineStr">
        <is>
          <t>PRODUCTS WITH VARIANCE</t>
        </is>
      </c>
      <c r="D5" s="3" t="inlineStr">
        <is>
          <t>TOTAL VARIANCE (PACKS)</t>
        </is>
      </c>
      <c r="F5" s="3" t="inlineStr">
        <is>
          <t>TOTAL VARIANCE (RM)</t>
        </is>
      </c>
      <c r="H5" s="3" t="inlineStr">
        <is>
          <t>POS SALES</t>
        </is>
      </c>
    </row>
    <row r="6">
      <c r="A6" s="9">
        <f>IF($L$1="","—",IF(INDEX(Data!$AB$2:$AB$4,$L$1)="","—",INDEX(Data!$AB$2:$AB$4,$L$1)))</f>
        <v/>
      </c>
      <c r="D6" s="9">
        <f>IF($L$1="","—",IF(INDEX(Data!$AC$2:$AC$4,$L$1)="","—",INDEX(Data!$AC$2:$AC$4,$L$1)))</f>
        <v/>
      </c>
      <c r="F6" s="10">
        <f>IF($L$1="","—",IF(INDEX(Data!$AD$2:$AD$4,$L$1)="","—",INDEX(Data!$AD$2:$AD$4,$L$1)))</f>
        <v/>
      </c>
      <c r="H6" s="7">
        <f>IF($L$1="","—",IF(INDEX(Data!$AE$2:$AE$4,$L$1)="","—",INDEX(Data!$AE$2:$AE$4,$L$1)))</f>
        <v/>
      </c>
    </row>
    <row r="7" ht="32" customHeight="1">
      <c r="A7" s="11">
        <f>IF($L$1="","—",IF(INDEX(Data!$AF$2:$AF$4,$L$1)="","—",INDEX(Data!$AF$2:$AF$4,$L$1)))</f>
        <v/>
      </c>
    </row>
    <row r="9" ht="28" customHeight="1">
      <c r="A9" s="12" t="inlineStr">
        <is>
          <t>Product</t>
        </is>
      </c>
      <c r="B9" s="13" t="inlineStr">
        <is>
          <t>Opening</t>
        </is>
      </c>
      <c r="C9" s="13" t="inlineStr">
        <is>
          <t>Closing</t>
        </is>
      </c>
      <c r="D9" s="13" t="inlineStr">
        <is>
          <t>Sold (counted)</t>
        </is>
      </c>
      <c r="E9" s="13" t="inlineStr">
        <is>
          <t>Sold (POS)</t>
        </is>
      </c>
      <c r="F9" s="13" t="inlineStr">
        <is>
          <t>Variance</t>
        </is>
      </c>
      <c r="G9" s="13" t="inlineStr">
        <is>
          <t>Variance RM</t>
        </is>
      </c>
      <c r="H9" s="12" t="inlineStr">
        <is>
          <t>Item ID</t>
        </is>
      </c>
      <c r="I9" s="12" t="inlineStr">
        <is>
          <t>PLU</t>
        </is>
      </c>
    </row>
    <row r="10">
      <c r="A10" s="14">
        <f>IF(AND(ISNUMBER($L10),$L10&lt;&gt;""),INDEX(Data!$F$2:$F$163,$L10),"")</f>
        <v/>
      </c>
      <c r="B10" s="15">
        <f>IF(AND(ISNUMBER($L10),$L10&lt;&gt;""),IF(INDEX(Data!$G$2:$G$163,$L10)="","—",INDEX(Data!$G$2:$G$163,$L10)),"")</f>
        <v/>
      </c>
      <c r="C10" s="15">
        <f>IF(AND(ISNUMBER($L10),$L10&lt;&gt;""),INDEX(Data!$H$2:$H$163,$L10),"")</f>
        <v/>
      </c>
      <c r="D10" s="15">
        <f>IF(AND(ISNUMBER($L10),$L10&lt;&gt;""),IF(INDEX(Data!$I$2:$I$163,$L10)="","—",INDEX(Data!$I$2:$I$163,$L10)),"")</f>
        <v/>
      </c>
      <c r="E10" s="15">
        <f>IF(AND(ISNUMBER($L10),$L10&lt;&gt;""),IF(INDEX(Data!$J$2:$J$163,$L10)="","—",INDEX(Data!$J$2:$J$163,$L10)),"")</f>
        <v/>
      </c>
      <c r="F10" s="16">
        <f>IF(AND(ISNUMBER($L10),$L10&lt;&gt;""),IF(INDEX(Data!$K$2:$K$163,$L10)="","—",INDEX(Data!$K$2:$K$163,$L10)),"")</f>
        <v/>
      </c>
      <c r="G10" s="17">
        <f>IF(AND(ISNUMBER($L10),$L10&lt;&gt;""),IF(INDEX(Data!$L$2:$L$163,$L10)="","—",INDEX(Data!$L$2:$L$163,$L10)),"")</f>
        <v/>
      </c>
      <c r="H10" s="18">
        <f>IF(AND(ISNUMBER($L10),$L10&lt;&gt;""),INDEX(Data!$P$2:$P$163,$L10),"")</f>
        <v/>
      </c>
      <c r="I10" s="18">
        <f>IF(AND(ISNUMBER($L10),$L10&lt;&gt;""),INDEX(Data!$Q$2:$Q$163,$L10),"")</f>
        <v/>
      </c>
      <c r="L10">
        <f>IFERROR(MATCH($B$3&amp;"|"&amp;1,Data!$A$2:$A$163,0),"")</f>
        <v/>
      </c>
    </row>
    <row r="11">
      <c r="A11" s="19">
        <f>IF(AND(ISNUMBER($L11),$L11&lt;&gt;""),INDEX(Data!$F$2:$F$163,$L11),"")</f>
        <v/>
      </c>
      <c r="B11" s="20">
        <f>IF(AND(ISNUMBER($L11),$L11&lt;&gt;""),IF(INDEX(Data!$G$2:$G$163,$L11)="","—",INDEX(Data!$G$2:$G$163,$L11)),"")</f>
        <v/>
      </c>
      <c r="C11" s="20">
        <f>IF(AND(ISNUMBER($L11),$L11&lt;&gt;""),INDEX(Data!$H$2:$H$163,$L11),"")</f>
        <v/>
      </c>
      <c r="D11" s="20">
        <f>IF(AND(ISNUMBER($L11),$L11&lt;&gt;""),IF(INDEX(Data!$I$2:$I$163,$L11)="","—",INDEX(Data!$I$2:$I$163,$L11)),"")</f>
        <v/>
      </c>
      <c r="E11" s="20">
        <f>IF(AND(ISNUMBER($L11),$L11&lt;&gt;""),IF(INDEX(Data!$J$2:$J$163,$L11)="","—",INDEX(Data!$J$2:$J$163,$L11)),"")</f>
        <v/>
      </c>
      <c r="F11" s="21">
        <f>IF(AND(ISNUMBER($L11),$L11&lt;&gt;""),IF(INDEX(Data!$K$2:$K$163,$L11)="","—",INDEX(Data!$K$2:$K$163,$L11)),"")</f>
        <v/>
      </c>
      <c r="G11" s="22">
        <f>IF(AND(ISNUMBER($L11),$L11&lt;&gt;""),IF(INDEX(Data!$L$2:$L$163,$L11)="","—",INDEX(Data!$L$2:$L$163,$L11)),"")</f>
        <v/>
      </c>
      <c r="H11" s="23">
        <f>IF(AND(ISNUMBER($L11),$L11&lt;&gt;""),INDEX(Data!$P$2:$P$163,$L11),"")</f>
        <v/>
      </c>
      <c r="I11" s="23">
        <f>IF(AND(ISNUMBER($L11),$L11&lt;&gt;""),INDEX(Data!$Q$2:$Q$163,$L11),"")</f>
        <v/>
      </c>
      <c r="L11">
        <f>IFERROR(MATCH($B$3&amp;"|"&amp;2,Data!$A$2:$A$163,0),"")</f>
        <v/>
      </c>
    </row>
    <row r="12">
      <c r="A12" s="14">
        <f>IF(AND(ISNUMBER($L12),$L12&lt;&gt;""),INDEX(Data!$F$2:$F$163,$L12),"")</f>
        <v/>
      </c>
      <c r="B12" s="15">
        <f>IF(AND(ISNUMBER($L12),$L12&lt;&gt;""),IF(INDEX(Data!$G$2:$G$163,$L12)="","—",INDEX(Data!$G$2:$G$163,$L12)),"")</f>
        <v/>
      </c>
      <c r="C12" s="15">
        <f>IF(AND(ISNUMBER($L12),$L12&lt;&gt;""),INDEX(Data!$H$2:$H$163,$L12),"")</f>
        <v/>
      </c>
      <c r="D12" s="15">
        <f>IF(AND(ISNUMBER($L12),$L12&lt;&gt;""),IF(INDEX(Data!$I$2:$I$163,$L12)="","—",INDEX(Data!$I$2:$I$163,$L12)),"")</f>
        <v/>
      </c>
      <c r="E12" s="15">
        <f>IF(AND(ISNUMBER($L12),$L12&lt;&gt;""),IF(INDEX(Data!$J$2:$J$163,$L12)="","—",INDEX(Data!$J$2:$J$163,$L12)),"")</f>
        <v/>
      </c>
      <c r="F12" s="16">
        <f>IF(AND(ISNUMBER($L12),$L12&lt;&gt;""),IF(INDEX(Data!$K$2:$K$163,$L12)="","—",INDEX(Data!$K$2:$K$163,$L12)),"")</f>
        <v/>
      </c>
      <c r="G12" s="17">
        <f>IF(AND(ISNUMBER($L12),$L12&lt;&gt;""),IF(INDEX(Data!$L$2:$L$163,$L12)="","—",INDEX(Data!$L$2:$L$163,$L12)),"")</f>
        <v/>
      </c>
      <c r="H12" s="18">
        <f>IF(AND(ISNUMBER($L12),$L12&lt;&gt;""),INDEX(Data!$P$2:$P$163,$L12),"")</f>
        <v/>
      </c>
      <c r="I12" s="18">
        <f>IF(AND(ISNUMBER($L12),$L12&lt;&gt;""),INDEX(Data!$Q$2:$Q$163,$L12),"")</f>
        <v/>
      </c>
      <c r="L12">
        <f>IFERROR(MATCH($B$3&amp;"|"&amp;3,Data!$A$2:$A$163,0),"")</f>
        <v/>
      </c>
    </row>
    <row r="13">
      <c r="A13" s="19">
        <f>IF(AND(ISNUMBER($L13),$L13&lt;&gt;""),INDEX(Data!$F$2:$F$163,$L13),"")</f>
        <v/>
      </c>
      <c r="B13" s="20">
        <f>IF(AND(ISNUMBER($L13),$L13&lt;&gt;""),IF(INDEX(Data!$G$2:$G$163,$L13)="","—",INDEX(Data!$G$2:$G$163,$L13)),"")</f>
        <v/>
      </c>
      <c r="C13" s="20">
        <f>IF(AND(ISNUMBER($L13),$L13&lt;&gt;""),INDEX(Data!$H$2:$H$163,$L13),"")</f>
        <v/>
      </c>
      <c r="D13" s="20">
        <f>IF(AND(ISNUMBER($L13),$L13&lt;&gt;""),IF(INDEX(Data!$I$2:$I$163,$L13)="","—",INDEX(Data!$I$2:$I$163,$L13)),"")</f>
        <v/>
      </c>
      <c r="E13" s="20">
        <f>IF(AND(ISNUMBER($L13),$L13&lt;&gt;""),IF(INDEX(Data!$J$2:$J$163,$L13)="","—",INDEX(Data!$J$2:$J$163,$L13)),"")</f>
        <v/>
      </c>
      <c r="F13" s="21">
        <f>IF(AND(ISNUMBER($L13),$L13&lt;&gt;""),IF(INDEX(Data!$K$2:$K$163,$L13)="","—",INDEX(Data!$K$2:$K$163,$L13)),"")</f>
        <v/>
      </c>
      <c r="G13" s="22">
        <f>IF(AND(ISNUMBER($L13),$L13&lt;&gt;""),IF(INDEX(Data!$L$2:$L$163,$L13)="","—",INDEX(Data!$L$2:$L$163,$L13)),"")</f>
        <v/>
      </c>
      <c r="H13" s="23">
        <f>IF(AND(ISNUMBER($L13),$L13&lt;&gt;""),INDEX(Data!$P$2:$P$163,$L13),"")</f>
        <v/>
      </c>
      <c r="I13" s="23">
        <f>IF(AND(ISNUMBER($L13),$L13&lt;&gt;""),INDEX(Data!$Q$2:$Q$163,$L13),"")</f>
        <v/>
      </c>
      <c r="L13">
        <f>IFERROR(MATCH($B$3&amp;"|"&amp;4,Data!$A$2:$A$163,0),"")</f>
        <v/>
      </c>
    </row>
    <row r="14">
      <c r="A14" s="14">
        <f>IF(AND(ISNUMBER($L14),$L14&lt;&gt;""),INDEX(Data!$F$2:$F$163,$L14),"")</f>
        <v/>
      </c>
      <c r="B14" s="15">
        <f>IF(AND(ISNUMBER($L14),$L14&lt;&gt;""),IF(INDEX(Data!$G$2:$G$163,$L14)="","—",INDEX(Data!$G$2:$G$163,$L14)),"")</f>
        <v/>
      </c>
      <c r="C14" s="15">
        <f>IF(AND(ISNUMBER($L14),$L14&lt;&gt;""),INDEX(Data!$H$2:$H$163,$L14),"")</f>
        <v/>
      </c>
      <c r="D14" s="15">
        <f>IF(AND(ISNUMBER($L14),$L14&lt;&gt;""),IF(INDEX(Data!$I$2:$I$163,$L14)="","—",INDEX(Data!$I$2:$I$163,$L14)),"")</f>
        <v/>
      </c>
      <c r="E14" s="15">
        <f>IF(AND(ISNUMBER($L14),$L14&lt;&gt;""),IF(INDEX(Data!$J$2:$J$163,$L14)="","—",INDEX(Data!$J$2:$J$163,$L14)),"")</f>
        <v/>
      </c>
      <c r="F14" s="16">
        <f>IF(AND(ISNUMBER($L14),$L14&lt;&gt;""),IF(INDEX(Data!$K$2:$K$163,$L14)="","—",INDEX(Data!$K$2:$K$163,$L14)),"")</f>
        <v/>
      </c>
      <c r="G14" s="17">
        <f>IF(AND(ISNUMBER($L14),$L14&lt;&gt;""),IF(INDEX(Data!$L$2:$L$163,$L14)="","—",INDEX(Data!$L$2:$L$163,$L14)),"")</f>
        <v/>
      </c>
      <c r="H14" s="18">
        <f>IF(AND(ISNUMBER($L14),$L14&lt;&gt;""),INDEX(Data!$P$2:$P$163,$L14),"")</f>
        <v/>
      </c>
      <c r="I14" s="18">
        <f>IF(AND(ISNUMBER($L14),$L14&lt;&gt;""),INDEX(Data!$Q$2:$Q$163,$L14),"")</f>
        <v/>
      </c>
      <c r="L14">
        <f>IFERROR(MATCH($B$3&amp;"|"&amp;5,Data!$A$2:$A$163,0),"")</f>
        <v/>
      </c>
    </row>
    <row r="15">
      <c r="A15" s="19">
        <f>IF(AND(ISNUMBER($L15),$L15&lt;&gt;""),INDEX(Data!$F$2:$F$163,$L15),"")</f>
        <v/>
      </c>
      <c r="B15" s="20">
        <f>IF(AND(ISNUMBER($L15),$L15&lt;&gt;""),IF(INDEX(Data!$G$2:$G$163,$L15)="","—",INDEX(Data!$G$2:$G$163,$L15)),"")</f>
        <v/>
      </c>
      <c r="C15" s="20">
        <f>IF(AND(ISNUMBER($L15),$L15&lt;&gt;""),INDEX(Data!$H$2:$H$163,$L15),"")</f>
        <v/>
      </c>
      <c r="D15" s="20">
        <f>IF(AND(ISNUMBER($L15),$L15&lt;&gt;""),IF(INDEX(Data!$I$2:$I$163,$L15)="","—",INDEX(Data!$I$2:$I$163,$L15)),"")</f>
        <v/>
      </c>
      <c r="E15" s="20">
        <f>IF(AND(ISNUMBER($L15),$L15&lt;&gt;""),IF(INDEX(Data!$J$2:$J$163,$L15)="","—",INDEX(Data!$J$2:$J$163,$L15)),"")</f>
        <v/>
      </c>
      <c r="F15" s="21">
        <f>IF(AND(ISNUMBER($L15),$L15&lt;&gt;""),IF(INDEX(Data!$K$2:$K$163,$L15)="","—",INDEX(Data!$K$2:$K$163,$L15)),"")</f>
        <v/>
      </c>
      <c r="G15" s="22">
        <f>IF(AND(ISNUMBER($L15),$L15&lt;&gt;""),IF(INDEX(Data!$L$2:$L$163,$L15)="","—",INDEX(Data!$L$2:$L$163,$L15)),"")</f>
        <v/>
      </c>
      <c r="H15" s="23">
        <f>IF(AND(ISNUMBER($L15),$L15&lt;&gt;""),INDEX(Data!$P$2:$P$163,$L15),"")</f>
        <v/>
      </c>
      <c r="I15" s="23">
        <f>IF(AND(ISNUMBER($L15),$L15&lt;&gt;""),INDEX(Data!$Q$2:$Q$163,$L15),"")</f>
        <v/>
      </c>
      <c r="L15">
        <f>IFERROR(MATCH($B$3&amp;"|"&amp;6,Data!$A$2:$A$163,0),"")</f>
        <v/>
      </c>
    </row>
    <row r="16">
      <c r="A16" s="14">
        <f>IF(AND(ISNUMBER($L16),$L16&lt;&gt;""),INDEX(Data!$F$2:$F$163,$L16),"")</f>
        <v/>
      </c>
      <c r="B16" s="15">
        <f>IF(AND(ISNUMBER($L16),$L16&lt;&gt;""),IF(INDEX(Data!$G$2:$G$163,$L16)="","—",INDEX(Data!$G$2:$G$163,$L16)),"")</f>
        <v/>
      </c>
      <c r="C16" s="15">
        <f>IF(AND(ISNUMBER($L16),$L16&lt;&gt;""),INDEX(Data!$H$2:$H$163,$L16),"")</f>
        <v/>
      </c>
      <c r="D16" s="15">
        <f>IF(AND(ISNUMBER($L16),$L16&lt;&gt;""),IF(INDEX(Data!$I$2:$I$163,$L16)="","—",INDEX(Data!$I$2:$I$163,$L16)),"")</f>
        <v/>
      </c>
      <c r="E16" s="15">
        <f>IF(AND(ISNUMBER($L16),$L16&lt;&gt;""),IF(INDEX(Data!$J$2:$J$163,$L16)="","—",INDEX(Data!$J$2:$J$163,$L16)),"")</f>
        <v/>
      </c>
      <c r="F16" s="16">
        <f>IF(AND(ISNUMBER($L16),$L16&lt;&gt;""),IF(INDEX(Data!$K$2:$K$163,$L16)="","—",INDEX(Data!$K$2:$K$163,$L16)),"")</f>
        <v/>
      </c>
      <c r="G16" s="17">
        <f>IF(AND(ISNUMBER($L16),$L16&lt;&gt;""),IF(INDEX(Data!$L$2:$L$163,$L16)="","—",INDEX(Data!$L$2:$L$163,$L16)),"")</f>
        <v/>
      </c>
      <c r="H16" s="18">
        <f>IF(AND(ISNUMBER($L16),$L16&lt;&gt;""),INDEX(Data!$P$2:$P$163,$L16),"")</f>
        <v/>
      </c>
      <c r="I16" s="18">
        <f>IF(AND(ISNUMBER($L16),$L16&lt;&gt;""),INDEX(Data!$Q$2:$Q$163,$L16),"")</f>
        <v/>
      </c>
      <c r="L16">
        <f>IFERROR(MATCH($B$3&amp;"|"&amp;7,Data!$A$2:$A$163,0),"")</f>
        <v/>
      </c>
    </row>
    <row r="17">
      <c r="A17" s="19">
        <f>IF(AND(ISNUMBER($L17),$L17&lt;&gt;""),INDEX(Data!$F$2:$F$163,$L17),"")</f>
        <v/>
      </c>
      <c r="B17" s="20">
        <f>IF(AND(ISNUMBER($L17),$L17&lt;&gt;""),IF(INDEX(Data!$G$2:$G$163,$L17)="","—",INDEX(Data!$G$2:$G$163,$L17)),"")</f>
        <v/>
      </c>
      <c r="C17" s="20">
        <f>IF(AND(ISNUMBER($L17),$L17&lt;&gt;""),INDEX(Data!$H$2:$H$163,$L17),"")</f>
        <v/>
      </c>
      <c r="D17" s="20">
        <f>IF(AND(ISNUMBER($L17),$L17&lt;&gt;""),IF(INDEX(Data!$I$2:$I$163,$L17)="","—",INDEX(Data!$I$2:$I$163,$L17)),"")</f>
        <v/>
      </c>
      <c r="E17" s="20">
        <f>IF(AND(ISNUMBER($L17),$L17&lt;&gt;""),IF(INDEX(Data!$J$2:$J$163,$L17)="","—",INDEX(Data!$J$2:$J$163,$L17)),"")</f>
        <v/>
      </c>
      <c r="F17" s="21">
        <f>IF(AND(ISNUMBER($L17),$L17&lt;&gt;""),IF(INDEX(Data!$K$2:$K$163,$L17)="","—",INDEX(Data!$K$2:$K$163,$L17)),"")</f>
        <v/>
      </c>
      <c r="G17" s="22">
        <f>IF(AND(ISNUMBER($L17),$L17&lt;&gt;""),IF(INDEX(Data!$L$2:$L$163,$L17)="","—",INDEX(Data!$L$2:$L$163,$L17)),"")</f>
        <v/>
      </c>
      <c r="H17" s="23">
        <f>IF(AND(ISNUMBER($L17),$L17&lt;&gt;""),INDEX(Data!$P$2:$P$163,$L17),"")</f>
        <v/>
      </c>
      <c r="I17" s="23">
        <f>IF(AND(ISNUMBER($L17),$L17&lt;&gt;""),INDEX(Data!$Q$2:$Q$163,$L17),"")</f>
        <v/>
      </c>
      <c r="L17">
        <f>IFERROR(MATCH($B$3&amp;"|"&amp;8,Data!$A$2:$A$163,0),"")</f>
        <v/>
      </c>
    </row>
    <row r="18">
      <c r="A18" s="14">
        <f>IF(AND(ISNUMBER($L18),$L18&lt;&gt;""),INDEX(Data!$F$2:$F$163,$L18),"")</f>
        <v/>
      </c>
      <c r="B18" s="15">
        <f>IF(AND(ISNUMBER($L18),$L18&lt;&gt;""),IF(INDEX(Data!$G$2:$G$163,$L18)="","—",INDEX(Data!$G$2:$G$163,$L18)),"")</f>
        <v/>
      </c>
      <c r="C18" s="15">
        <f>IF(AND(ISNUMBER($L18),$L18&lt;&gt;""),INDEX(Data!$H$2:$H$163,$L18),"")</f>
        <v/>
      </c>
      <c r="D18" s="15">
        <f>IF(AND(ISNUMBER($L18),$L18&lt;&gt;""),IF(INDEX(Data!$I$2:$I$163,$L18)="","—",INDEX(Data!$I$2:$I$163,$L18)),"")</f>
        <v/>
      </c>
      <c r="E18" s="15">
        <f>IF(AND(ISNUMBER($L18),$L18&lt;&gt;""),IF(INDEX(Data!$J$2:$J$163,$L18)="","—",INDEX(Data!$J$2:$J$163,$L18)),"")</f>
        <v/>
      </c>
      <c r="F18" s="16">
        <f>IF(AND(ISNUMBER($L18),$L18&lt;&gt;""),IF(INDEX(Data!$K$2:$K$163,$L18)="","—",INDEX(Data!$K$2:$K$163,$L18)),"")</f>
        <v/>
      </c>
      <c r="G18" s="17">
        <f>IF(AND(ISNUMBER($L18),$L18&lt;&gt;""),IF(INDEX(Data!$L$2:$L$163,$L18)="","—",INDEX(Data!$L$2:$L$163,$L18)),"")</f>
        <v/>
      </c>
      <c r="H18" s="18">
        <f>IF(AND(ISNUMBER($L18),$L18&lt;&gt;""),INDEX(Data!$P$2:$P$163,$L18),"")</f>
        <v/>
      </c>
      <c r="I18" s="18">
        <f>IF(AND(ISNUMBER($L18),$L18&lt;&gt;""),INDEX(Data!$Q$2:$Q$163,$L18),"")</f>
        <v/>
      </c>
      <c r="L18">
        <f>IFERROR(MATCH($B$3&amp;"|"&amp;9,Data!$A$2:$A$163,0),"")</f>
        <v/>
      </c>
    </row>
    <row r="19">
      <c r="A19" s="19">
        <f>IF(AND(ISNUMBER($L19),$L19&lt;&gt;""),INDEX(Data!$F$2:$F$163,$L19),"")</f>
        <v/>
      </c>
      <c r="B19" s="20">
        <f>IF(AND(ISNUMBER($L19),$L19&lt;&gt;""),IF(INDEX(Data!$G$2:$G$163,$L19)="","—",INDEX(Data!$G$2:$G$163,$L19)),"")</f>
        <v/>
      </c>
      <c r="C19" s="20">
        <f>IF(AND(ISNUMBER($L19),$L19&lt;&gt;""),INDEX(Data!$H$2:$H$163,$L19),"")</f>
        <v/>
      </c>
      <c r="D19" s="20">
        <f>IF(AND(ISNUMBER($L19),$L19&lt;&gt;""),IF(INDEX(Data!$I$2:$I$163,$L19)="","—",INDEX(Data!$I$2:$I$163,$L19)),"")</f>
        <v/>
      </c>
      <c r="E19" s="20">
        <f>IF(AND(ISNUMBER($L19),$L19&lt;&gt;""),IF(INDEX(Data!$J$2:$J$163,$L19)="","—",INDEX(Data!$J$2:$J$163,$L19)),"")</f>
        <v/>
      </c>
      <c r="F19" s="21">
        <f>IF(AND(ISNUMBER($L19),$L19&lt;&gt;""),IF(INDEX(Data!$K$2:$K$163,$L19)="","—",INDEX(Data!$K$2:$K$163,$L19)),"")</f>
        <v/>
      </c>
      <c r="G19" s="22">
        <f>IF(AND(ISNUMBER($L19),$L19&lt;&gt;""),IF(INDEX(Data!$L$2:$L$163,$L19)="","—",INDEX(Data!$L$2:$L$163,$L19)),"")</f>
        <v/>
      </c>
      <c r="H19" s="23">
        <f>IF(AND(ISNUMBER($L19),$L19&lt;&gt;""),INDEX(Data!$P$2:$P$163,$L19),"")</f>
        <v/>
      </c>
      <c r="I19" s="23">
        <f>IF(AND(ISNUMBER($L19),$L19&lt;&gt;""),INDEX(Data!$Q$2:$Q$163,$L19),"")</f>
        <v/>
      </c>
      <c r="L19">
        <f>IFERROR(MATCH($B$3&amp;"|"&amp;10,Data!$A$2:$A$163,0),"")</f>
        <v/>
      </c>
    </row>
    <row r="20">
      <c r="A20" s="14">
        <f>IF(AND(ISNUMBER($L20),$L20&lt;&gt;""),INDEX(Data!$F$2:$F$163,$L20),"")</f>
        <v/>
      </c>
      <c r="B20" s="15">
        <f>IF(AND(ISNUMBER($L20),$L20&lt;&gt;""),IF(INDEX(Data!$G$2:$G$163,$L20)="","—",INDEX(Data!$G$2:$G$163,$L20)),"")</f>
        <v/>
      </c>
      <c r="C20" s="15">
        <f>IF(AND(ISNUMBER($L20),$L20&lt;&gt;""),INDEX(Data!$H$2:$H$163,$L20),"")</f>
        <v/>
      </c>
      <c r="D20" s="15">
        <f>IF(AND(ISNUMBER($L20),$L20&lt;&gt;""),IF(INDEX(Data!$I$2:$I$163,$L20)="","—",INDEX(Data!$I$2:$I$163,$L20)),"")</f>
        <v/>
      </c>
      <c r="E20" s="15">
        <f>IF(AND(ISNUMBER($L20),$L20&lt;&gt;""),IF(INDEX(Data!$J$2:$J$163,$L20)="","—",INDEX(Data!$J$2:$J$163,$L20)),"")</f>
        <v/>
      </c>
      <c r="F20" s="16">
        <f>IF(AND(ISNUMBER($L20),$L20&lt;&gt;""),IF(INDEX(Data!$K$2:$K$163,$L20)="","—",INDEX(Data!$K$2:$K$163,$L20)),"")</f>
        <v/>
      </c>
      <c r="G20" s="17">
        <f>IF(AND(ISNUMBER($L20),$L20&lt;&gt;""),IF(INDEX(Data!$L$2:$L$163,$L20)="","—",INDEX(Data!$L$2:$L$163,$L20)),"")</f>
        <v/>
      </c>
      <c r="H20" s="18">
        <f>IF(AND(ISNUMBER($L20),$L20&lt;&gt;""),INDEX(Data!$P$2:$P$163,$L20),"")</f>
        <v/>
      </c>
      <c r="I20" s="18">
        <f>IF(AND(ISNUMBER($L20),$L20&lt;&gt;""),INDEX(Data!$Q$2:$Q$163,$L20),"")</f>
        <v/>
      </c>
      <c r="L20">
        <f>IFERROR(MATCH($B$3&amp;"|"&amp;11,Data!$A$2:$A$163,0),"")</f>
        <v/>
      </c>
    </row>
    <row r="21">
      <c r="A21" s="19">
        <f>IF(AND(ISNUMBER($L21),$L21&lt;&gt;""),INDEX(Data!$F$2:$F$163,$L21),"")</f>
        <v/>
      </c>
      <c r="B21" s="20">
        <f>IF(AND(ISNUMBER($L21),$L21&lt;&gt;""),IF(INDEX(Data!$G$2:$G$163,$L21)="","—",INDEX(Data!$G$2:$G$163,$L21)),"")</f>
        <v/>
      </c>
      <c r="C21" s="20">
        <f>IF(AND(ISNUMBER($L21),$L21&lt;&gt;""),INDEX(Data!$H$2:$H$163,$L21),"")</f>
        <v/>
      </c>
      <c r="D21" s="20">
        <f>IF(AND(ISNUMBER($L21),$L21&lt;&gt;""),IF(INDEX(Data!$I$2:$I$163,$L21)="","—",INDEX(Data!$I$2:$I$163,$L21)),"")</f>
        <v/>
      </c>
      <c r="E21" s="20">
        <f>IF(AND(ISNUMBER($L21),$L21&lt;&gt;""),IF(INDEX(Data!$J$2:$J$163,$L21)="","—",INDEX(Data!$J$2:$J$163,$L21)),"")</f>
        <v/>
      </c>
      <c r="F21" s="21">
        <f>IF(AND(ISNUMBER($L21),$L21&lt;&gt;""),IF(INDEX(Data!$K$2:$K$163,$L21)="","—",INDEX(Data!$K$2:$K$163,$L21)),"")</f>
        <v/>
      </c>
      <c r="G21" s="22">
        <f>IF(AND(ISNUMBER($L21),$L21&lt;&gt;""),IF(INDEX(Data!$L$2:$L$163,$L21)="","—",INDEX(Data!$L$2:$L$163,$L21)),"")</f>
        <v/>
      </c>
      <c r="H21" s="23">
        <f>IF(AND(ISNUMBER($L21),$L21&lt;&gt;""),INDEX(Data!$P$2:$P$163,$L21),"")</f>
        <v/>
      </c>
      <c r="I21" s="23">
        <f>IF(AND(ISNUMBER($L21),$L21&lt;&gt;""),INDEX(Data!$Q$2:$Q$163,$L21),"")</f>
        <v/>
      </c>
      <c r="L21">
        <f>IFERROR(MATCH($B$3&amp;"|"&amp;12,Data!$A$2:$A$163,0),"")</f>
        <v/>
      </c>
    </row>
    <row r="22">
      <c r="A22" s="14">
        <f>IF(AND(ISNUMBER($L22),$L22&lt;&gt;""),INDEX(Data!$F$2:$F$163,$L22),"")</f>
        <v/>
      </c>
      <c r="B22" s="15">
        <f>IF(AND(ISNUMBER($L22),$L22&lt;&gt;""),IF(INDEX(Data!$G$2:$G$163,$L22)="","—",INDEX(Data!$G$2:$G$163,$L22)),"")</f>
        <v/>
      </c>
      <c r="C22" s="15">
        <f>IF(AND(ISNUMBER($L22),$L22&lt;&gt;""),INDEX(Data!$H$2:$H$163,$L22),"")</f>
        <v/>
      </c>
      <c r="D22" s="15">
        <f>IF(AND(ISNUMBER($L22),$L22&lt;&gt;""),IF(INDEX(Data!$I$2:$I$163,$L22)="","—",INDEX(Data!$I$2:$I$163,$L22)),"")</f>
        <v/>
      </c>
      <c r="E22" s="15">
        <f>IF(AND(ISNUMBER($L22),$L22&lt;&gt;""),IF(INDEX(Data!$J$2:$J$163,$L22)="","—",INDEX(Data!$J$2:$J$163,$L22)),"")</f>
        <v/>
      </c>
      <c r="F22" s="16">
        <f>IF(AND(ISNUMBER($L22),$L22&lt;&gt;""),IF(INDEX(Data!$K$2:$K$163,$L22)="","—",INDEX(Data!$K$2:$K$163,$L22)),"")</f>
        <v/>
      </c>
      <c r="G22" s="17">
        <f>IF(AND(ISNUMBER($L22),$L22&lt;&gt;""),IF(INDEX(Data!$L$2:$L$163,$L22)="","—",INDEX(Data!$L$2:$L$163,$L22)),"")</f>
        <v/>
      </c>
      <c r="H22" s="18">
        <f>IF(AND(ISNUMBER($L22),$L22&lt;&gt;""),INDEX(Data!$P$2:$P$163,$L22),"")</f>
        <v/>
      </c>
      <c r="I22" s="18">
        <f>IF(AND(ISNUMBER($L22),$L22&lt;&gt;""),INDEX(Data!$Q$2:$Q$163,$L22),"")</f>
        <v/>
      </c>
      <c r="L22">
        <f>IFERROR(MATCH($B$3&amp;"|"&amp;13,Data!$A$2:$A$163,0),"")</f>
        <v/>
      </c>
    </row>
    <row r="23">
      <c r="A23" s="19">
        <f>IF(AND(ISNUMBER($L23),$L23&lt;&gt;""),INDEX(Data!$F$2:$F$163,$L23),"")</f>
        <v/>
      </c>
      <c r="B23" s="20">
        <f>IF(AND(ISNUMBER($L23),$L23&lt;&gt;""),IF(INDEX(Data!$G$2:$G$163,$L23)="","—",INDEX(Data!$G$2:$G$163,$L23)),"")</f>
        <v/>
      </c>
      <c r="C23" s="20">
        <f>IF(AND(ISNUMBER($L23),$L23&lt;&gt;""),INDEX(Data!$H$2:$H$163,$L23),"")</f>
        <v/>
      </c>
      <c r="D23" s="20">
        <f>IF(AND(ISNUMBER($L23),$L23&lt;&gt;""),IF(INDEX(Data!$I$2:$I$163,$L23)="","—",INDEX(Data!$I$2:$I$163,$L23)),"")</f>
        <v/>
      </c>
      <c r="E23" s="20">
        <f>IF(AND(ISNUMBER($L23),$L23&lt;&gt;""),IF(INDEX(Data!$J$2:$J$163,$L23)="","—",INDEX(Data!$J$2:$J$163,$L23)),"")</f>
        <v/>
      </c>
      <c r="F23" s="21">
        <f>IF(AND(ISNUMBER($L23),$L23&lt;&gt;""),IF(INDEX(Data!$K$2:$K$163,$L23)="","—",INDEX(Data!$K$2:$K$163,$L23)),"")</f>
        <v/>
      </c>
      <c r="G23" s="22">
        <f>IF(AND(ISNUMBER($L23),$L23&lt;&gt;""),IF(INDEX(Data!$L$2:$L$163,$L23)="","—",INDEX(Data!$L$2:$L$163,$L23)),"")</f>
        <v/>
      </c>
      <c r="H23" s="23">
        <f>IF(AND(ISNUMBER($L23),$L23&lt;&gt;""),INDEX(Data!$P$2:$P$163,$L23),"")</f>
        <v/>
      </c>
      <c r="I23" s="23">
        <f>IF(AND(ISNUMBER($L23),$L23&lt;&gt;""),INDEX(Data!$Q$2:$Q$163,$L23),"")</f>
        <v/>
      </c>
      <c r="L23">
        <f>IFERROR(MATCH($B$3&amp;"|"&amp;14,Data!$A$2:$A$163,0),"")</f>
        <v/>
      </c>
    </row>
    <row r="24">
      <c r="A24" s="14">
        <f>IF(AND(ISNUMBER($L24),$L24&lt;&gt;""),INDEX(Data!$F$2:$F$163,$L24),"")</f>
        <v/>
      </c>
      <c r="B24" s="15">
        <f>IF(AND(ISNUMBER($L24),$L24&lt;&gt;""),IF(INDEX(Data!$G$2:$G$163,$L24)="","—",INDEX(Data!$G$2:$G$163,$L24)),"")</f>
        <v/>
      </c>
      <c r="C24" s="15">
        <f>IF(AND(ISNUMBER($L24),$L24&lt;&gt;""),INDEX(Data!$H$2:$H$163,$L24),"")</f>
        <v/>
      </c>
      <c r="D24" s="15">
        <f>IF(AND(ISNUMBER($L24),$L24&lt;&gt;""),IF(INDEX(Data!$I$2:$I$163,$L24)="","—",INDEX(Data!$I$2:$I$163,$L24)),"")</f>
        <v/>
      </c>
      <c r="E24" s="15">
        <f>IF(AND(ISNUMBER($L24),$L24&lt;&gt;""),IF(INDEX(Data!$J$2:$J$163,$L24)="","—",INDEX(Data!$J$2:$J$163,$L24)),"")</f>
        <v/>
      </c>
      <c r="F24" s="16">
        <f>IF(AND(ISNUMBER($L24),$L24&lt;&gt;""),IF(INDEX(Data!$K$2:$K$163,$L24)="","—",INDEX(Data!$K$2:$K$163,$L24)),"")</f>
        <v/>
      </c>
      <c r="G24" s="17">
        <f>IF(AND(ISNUMBER($L24),$L24&lt;&gt;""),IF(INDEX(Data!$L$2:$L$163,$L24)="","—",INDEX(Data!$L$2:$L$163,$L24)),"")</f>
        <v/>
      </c>
      <c r="H24" s="18">
        <f>IF(AND(ISNUMBER($L24),$L24&lt;&gt;""),INDEX(Data!$P$2:$P$163,$L24),"")</f>
        <v/>
      </c>
      <c r="I24" s="18">
        <f>IF(AND(ISNUMBER($L24),$L24&lt;&gt;""),INDEX(Data!$Q$2:$Q$163,$L24),"")</f>
        <v/>
      </c>
      <c r="L24">
        <f>IFERROR(MATCH($B$3&amp;"|"&amp;15,Data!$A$2:$A$163,0),"")</f>
        <v/>
      </c>
    </row>
    <row r="25">
      <c r="A25" s="19">
        <f>IF(AND(ISNUMBER($L25),$L25&lt;&gt;""),INDEX(Data!$F$2:$F$163,$L25),"")</f>
        <v/>
      </c>
      <c r="B25" s="20">
        <f>IF(AND(ISNUMBER($L25),$L25&lt;&gt;""),IF(INDEX(Data!$G$2:$G$163,$L25)="","—",INDEX(Data!$G$2:$G$163,$L25)),"")</f>
        <v/>
      </c>
      <c r="C25" s="20">
        <f>IF(AND(ISNUMBER($L25),$L25&lt;&gt;""),INDEX(Data!$H$2:$H$163,$L25),"")</f>
        <v/>
      </c>
      <c r="D25" s="20">
        <f>IF(AND(ISNUMBER($L25),$L25&lt;&gt;""),IF(INDEX(Data!$I$2:$I$163,$L25)="","—",INDEX(Data!$I$2:$I$163,$L25)),"")</f>
        <v/>
      </c>
      <c r="E25" s="20">
        <f>IF(AND(ISNUMBER($L25),$L25&lt;&gt;""),IF(INDEX(Data!$J$2:$J$163,$L25)="","—",INDEX(Data!$J$2:$J$163,$L25)),"")</f>
        <v/>
      </c>
      <c r="F25" s="21">
        <f>IF(AND(ISNUMBER($L25),$L25&lt;&gt;""),IF(INDEX(Data!$K$2:$K$163,$L25)="","—",INDEX(Data!$K$2:$K$163,$L25)),"")</f>
        <v/>
      </c>
      <c r="G25" s="22">
        <f>IF(AND(ISNUMBER($L25),$L25&lt;&gt;""),IF(INDEX(Data!$L$2:$L$163,$L25)="","—",INDEX(Data!$L$2:$L$163,$L25)),"")</f>
        <v/>
      </c>
      <c r="H25" s="23">
        <f>IF(AND(ISNUMBER($L25),$L25&lt;&gt;""),INDEX(Data!$P$2:$P$163,$L25),"")</f>
        <v/>
      </c>
      <c r="I25" s="23">
        <f>IF(AND(ISNUMBER($L25),$L25&lt;&gt;""),INDEX(Data!$Q$2:$Q$163,$L25),"")</f>
        <v/>
      </c>
      <c r="L25">
        <f>IFERROR(MATCH($B$3&amp;"|"&amp;16,Data!$A$2:$A$163,0),"")</f>
        <v/>
      </c>
    </row>
    <row r="26">
      <c r="A26" s="14">
        <f>IF(AND(ISNUMBER($L26),$L26&lt;&gt;""),INDEX(Data!$F$2:$F$163,$L26),"")</f>
        <v/>
      </c>
      <c r="B26" s="15">
        <f>IF(AND(ISNUMBER($L26),$L26&lt;&gt;""),IF(INDEX(Data!$G$2:$G$163,$L26)="","—",INDEX(Data!$G$2:$G$163,$L26)),"")</f>
        <v/>
      </c>
      <c r="C26" s="15">
        <f>IF(AND(ISNUMBER($L26),$L26&lt;&gt;""),INDEX(Data!$H$2:$H$163,$L26),"")</f>
        <v/>
      </c>
      <c r="D26" s="15">
        <f>IF(AND(ISNUMBER($L26),$L26&lt;&gt;""),IF(INDEX(Data!$I$2:$I$163,$L26)="","—",INDEX(Data!$I$2:$I$163,$L26)),"")</f>
        <v/>
      </c>
      <c r="E26" s="15">
        <f>IF(AND(ISNUMBER($L26),$L26&lt;&gt;""),IF(INDEX(Data!$J$2:$J$163,$L26)="","—",INDEX(Data!$J$2:$J$163,$L26)),"")</f>
        <v/>
      </c>
      <c r="F26" s="16">
        <f>IF(AND(ISNUMBER($L26),$L26&lt;&gt;""),IF(INDEX(Data!$K$2:$K$163,$L26)="","—",INDEX(Data!$K$2:$K$163,$L26)),"")</f>
        <v/>
      </c>
      <c r="G26" s="17">
        <f>IF(AND(ISNUMBER($L26),$L26&lt;&gt;""),IF(INDEX(Data!$L$2:$L$163,$L26)="","—",INDEX(Data!$L$2:$L$163,$L26)),"")</f>
        <v/>
      </c>
      <c r="H26" s="18">
        <f>IF(AND(ISNUMBER($L26),$L26&lt;&gt;""),INDEX(Data!$P$2:$P$163,$L26),"")</f>
        <v/>
      </c>
      <c r="I26" s="18">
        <f>IF(AND(ISNUMBER($L26),$L26&lt;&gt;""),INDEX(Data!$Q$2:$Q$163,$L26),"")</f>
        <v/>
      </c>
      <c r="L26">
        <f>IFERROR(MATCH($B$3&amp;"|"&amp;17,Data!$A$2:$A$163,0),"")</f>
        <v/>
      </c>
    </row>
    <row r="27">
      <c r="A27" s="19">
        <f>IF(AND(ISNUMBER($L27),$L27&lt;&gt;""),INDEX(Data!$F$2:$F$163,$L27),"")</f>
        <v/>
      </c>
      <c r="B27" s="20">
        <f>IF(AND(ISNUMBER($L27),$L27&lt;&gt;""),IF(INDEX(Data!$G$2:$G$163,$L27)="","—",INDEX(Data!$G$2:$G$163,$L27)),"")</f>
        <v/>
      </c>
      <c r="C27" s="20">
        <f>IF(AND(ISNUMBER($L27),$L27&lt;&gt;""),INDEX(Data!$H$2:$H$163,$L27),"")</f>
        <v/>
      </c>
      <c r="D27" s="20">
        <f>IF(AND(ISNUMBER($L27),$L27&lt;&gt;""),IF(INDEX(Data!$I$2:$I$163,$L27)="","—",INDEX(Data!$I$2:$I$163,$L27)),"")</f>
        <v/>
      </c>
      <c r="E27" s="20">
        <f>IF(AND(ISNUMBER($L27),$L27&lt;&gt;""),IF(INDEX(Data!$J$2:$J$163,$L27)="","—",INDEX(Data!$J$2:$J$163,$L27)),"")</f>
        <v/>
      </c>
      <c r="F27" s="21">
        <f>IF(AND(ISNUMBER($L27),$L27&lt;&gt;""),IF(INDEX(Data!$K$2:$K$163,$L27)="","—",INDEX(Data!$K$2:$K$163,$L27)),"")</f>
        <v/>
      </c>
      <c r="G27" s="22">
        <f>IF(AND(ISNUMBER($L27),$L27&lt;&gt;""),IF(INDEX(Data!$L$2:$L$163,$L27)="","—",INDEX(Data!$L$2:$L$163,$L27)),"")</f>
        <v/>
      </c>
      <c r="H27" s="23">
        <f>IF(AND(ISNUMBER($L27),$L27&lt;&gt;""),INDEX(Data!$P$2:$P$163,$L27),"")</f>
        <v/>
      </c>
      <c r="I27" s="23">
        <f>IF(AND(ISNUMBER($L27),$L27&lt;&gt;""),INDEX(Data!$Q$2:$Q$163,$L27),"")</f>
        <v/>
      </c>
      <c r="L27">
        <f>IFERROR(MATCH($B$3&amp;"|"&amp;18,Data!$A$2:$A$163,0),"")</f>
        <v/>
      </c>
    </row>
    <row r="28">
      <c r="A28" s="14">
        <f>IF(AND(ISNUMBER($L28),$L28&lt;&gt;""),INDEX(Data!$F$2:$F$163,$L28),"")</f>
        <v/>
      </c>
      <c r="B28" s="15">
        <f>IF(AND(ISNUMBER($L28),$L28&lt;&gt;""),IF(INDEX(Data!$G$2:$G$163,$L28)="","—",INDEX(Data!$G$2:$G$163,$L28)),"")</f>
        <v/>
      </c>
      <c r="C28" s="15">
        <f>IF(AND(ISNUMBER($L28),$L28&lt;&gt;""),INDEX(Data!$H$2:$H$163,$L28),"")</f>
        <v/>
      </c>
      <c r="D28" s="15">
        <f>IF(AND(ISNUMBER($L28),$L28&lt;&gt;""),IF(INDEX(Data!$I$2:$I$163,$L28)="","—",INDEX(Data!$I$2:$I$163,$L28)),"")</f>
        <v/>
      </c>
      <c r="E28" s="15">
        <f>IF(AND(ISNUMBER($L28),$L28&lt;&gt;""),IF(INDEX(Data!$J$2:$J$163,$L28)="","—",INDEX(Data!$J$2:$J$163,$L28)),"")</f>
        <v/>
      </c>
      <c r="F28" s="16">
        <f>IF(AND(ISNUMBER($L28),$L28&lt;&gt;""),IF(INDEX(Data!$K$2:$K$163,$L28)="","—",INDEX(Data!$K$2:$K$163,$L28)),"")</f>
        <v/>
      </c>
      <c r="G28" s="17">
        <f>IF(AND(ISNUMBER($L28),$L28&lt;&gt;""),IF(INDEX(Data!$L$2:$L$163,$L28)="","—",INDEX(Data!$L$2:$L$163,$L28)),"")</f>
        <v/>
      </c>
      <c r="H28" s="18">
        <f>IF(AND(ISNUMBER($L28),$L28&lt;&gt;""),INDEX(Data!$P$2:$P$163,$L28),"")</f>
        <v/>
      </c>
      <c r="I28" s="18">
        <f>IF(AND(ISNUMBER($L28),$L28&lt;&gt;""),INDEX(Data!$Q$2:$Q$163,$L28),"")</f>
        <v/>
      </c>
      <c r="L28">
        <f>IFERROR(MATCH($B$3&amp;"|"&amp;19,Data!$A$2:$A$163,0),"")</f>
        <v/>
      </c>
    </row>
    <row r="29">
      <c r="A29" s="19">
        <f>IF(AND(ISNUMBER($L29),$L29&lt;&gt;""),INDEX(Data!$F$2:$F$163,$L29),"")</f>
        <v/>
      </c>
      <c r="B29" s="20">
        <f>IF(AND(ISNUMBER($L29),$L29&lt;&gt;""),IF(INDEX(Data!$G$2:$G$163,$L29)="","—",INDEX(Data!$G$2:$G$163,$L29)),"")</f>
        <v/>
      </c>
      <c r="C29" s="20">
        <f>IF(AND(ISNUMBER($L29),$L29&lt;&gt;""),INDEX(Data!$H$2:$H$163,$L29),"")</f>
        <v/>
      </c>
      <c r="D29" s="20">
        <f>IF(AND(ISNUMBER($L29),$L29&lt;&gt;""),IF(INDEX(Data!$I$2:$I$163,$L29)="","—",INDEX(Data!$I$2:$I$163,$L29)),"")</f>
        <v/>
      </c>
      <c r="E29" s="20">
        <f>IF(AND(ISNUMBER($L29),$L29&lt;&gt;""),IF(INDEX(Data!$J$2:$J$163,$L29)="","—",INDEX(Data!$J$2:$J$163,$L29)),"")</f>
        <v/>
      </c>
      <c r="F29" s="21">
        <f>IF(AND(ISNUMBER($L29),$L29&lt;&gt;""),IF(INDEX(Data!$K$2:$K$163,$L29)="","—",INDEX(Data!$K$2:$K$163,$L29)),"")</f>
        <v/>
      </c>
      <c r="G29" s="22">
        <f>IF(AND(ISNUMBER($L29),$L29&lt;&gt;""),IF(INDEX(Data!$L$2:$L$163,$L29)="","—",INDEX(Data!$L$2:$L$163,$L29)),"")</f>
        <v/>
      </c>
      <c r="H29" s="23">
        <f>IF(AND(ISNUMBER($L29),$L29&lt;&gt;""),INDEX(Data!$P$2:$P$163,$L29),"")</f>
        <v/>
      </c>
      <c r="I29" s="23">
        <f>IF(AND(ISNUMBER($L29),$L29&lt;&gt;""),INDEX(Data!$Q$2:$Q$163,$L29),"")</f>
        <v/>
      </c>
      <c r="L29">
        <f>IFERROR(MATCH($B$3&amp;"|"&amp;20,Data!$A$2:$A$163,0),"")</f>
        <v/>
      </c>
    </row>
    <row r="30">
      <c r="A30" s="14">
        <f>IF(AND(ISNUMBER($L30),$L30&lt;&gt;""),INDEX(Data!$F$2:$F$163,$L30),"")</f>
        <v/>
      </c>
      <c r="B30" s="15">
        <f>IF(AND(ISNUMBER($L30),$L30&lt;&gt;""),IF(INDEX(Data!$G$2:$G$163,$L30)="","—",INDEX(Data!$G$2:$G$163,$L30)),"")</f>
        <v/>
      </c>
      <c r="C30" s="15">
        <f>IF(AND(ISNUMBER($L30),$L30&lt;&gt;""),INDEX(Data!$H$2:$H$163,$L30),"")</f>
        <v/>
      </c>
      <c r="D30" s="15">
        <f>IF(AND(ISNUMBER($L30),$L30&lt;&gt;""),IF(INDEX(Data!$I$2:$I$163,$L30)="","—",INDEX(Data!$I$2:$I$163,$L30)),"")</f>
        <v/>
      </c>
      <c r="E30" s="15">
        <f>IF(AND(ISNUMBER($L30),$L30&lt;&gt;""),IF(INDEX(Data!$J$2:$J$163,$L30)="","—",INDEX(Data!$J$2:$J$163,$L30)),"")</f>
        <v/>
      </c>
      <c r="F30" s="16">
        <f>IF(AND(ISNUMBER($L30),$L30&lt;&gt;""),IF(INDEX(Data!$K$2:$K$163,$L30)="","—",INDEX(Data!$K$2:$K$163,$L30)),"")</f>
        <v/>
      </c>
      <c r="G30" s="17">
        <f>IF(AND(ISNUMBER($L30),$L30&lt;&gt;""),IF(INDEX(Data!$L$2:$L$163,$L30)="","—",INDEX(Data!$L$2:$L$163,$L30)),"")</f>
        <v/>
      </c>
      <c r="H30" s="18">
        <f>IF(AND(ISNUMBER($L30),$L30&lt;&gt;""),INDEX(Data!$P$2:$P$163,$L30),"")</f>
        <v/>
      </c>
      <c r="I30" s="18">
        <f>IF(AND(ISNUMBER($L30),$L30&lt;&gt;""),INDEX(Data!$Q$2:$Q$163,$L30),"")</f>
        <v/>
      </c>
      <c r="L30">
        <f>IFERROR(MATCH($B$3&amp;"|"&amp;21,Data!$A$2:$A$163,0),"")</f>
        <v/>
      </c>
    </row>
    <row r="31">
      <c r="A31" s="19">
        <f>IF(AND(ISNUMBER($L31),$L31&lt;&gt;""),INDEX(Data!$F$2:$F$163,$L31),"")</f>
        <v/>
      </c>
      <c r="B31" s="20">
        <f>IF(AND(ISNUMBER($L31),$L31&lt;&gt;""),IF(INDEX(Data!$G$2:$G$163,$L31)="","—",INDEX(Data!$G$2:$G$163,$L31)),"")</f>
        <v/>
      </c>
      <c r="C31" s="20">
        <f>IF(AND(ISNUMBER($L31),$L31&lt;&gt;""),INDEX(Data!$H$2:$H$163,$L31),"")</f>
        <v/>
      </c>
      <c r="D31" s="20">
        <f>IF(AND(ISNUMBER($L31),$L31&lt;&gt;""),IF(INDEX(Data!$I$2:$I$163,$L31)="","—",INDEX(Data!$I$2:$I$163,$L31)),"")</f>
        <v/>
      </c>
      <c r="E31" s="20">
        <f>IF(AND(ISNUMBER($L31),$L31&lt;&gt;""),IF(INDEX(Data!$J$2:$J$163,$L31)="","—",INDEX(Data!$J$2:$J$163,$L31)),"")</f>
        <v/>
      </c>
      <c r="F31" s="21">
        <f>IF(AND(ISNUMBER($L31),$L31&lt;&gt;""),IF(INDEX(Data!$K$2:$K$163,$L31)="","—",INDEX(Data!$K$2:$K$163,$L31)),"")</f>
        <v/>
      </c>
      <c r="G31" s="22">
        <f>IF(AND(ISNUMBER($L31),$L31&lt;&gt;""),IF(INDEX(Data!$L$2:$L$163,$L31)="","—",INDEX(Data!$L$2:$L$163,$L31)),"")</f>
        <v/>
      </c>
      <c r="H31" s="23">
        <f>IF(AND(ISNUMBER($L31),$L31&lt;&gt;""),INDEX(Data!$P$2:$P$163,$L31),"")</f>
        <v/>
      </c>
      <c r="I31" s="23">
        <f>IF(AND(ISNUMBER($L31),$L31&lt;&gt;""),INDEX(Data!$Q$2:$Q$163,$L31),"")</f>
        <v/>
      </c>
      <c r="L31">
        <f>IFERROR(MATCH($B$3&amp;"|"&amp;22,Data!$A$2:$A$163,0),"")</f>
        <v/>
      </c>
    </row>
    <row r="32">
      <c r="A32" s="14">
        <f>IF(AND(ISNUMBER($L32),$L32&lt;&gt;""),INDEX(Data!$F$2:$F$163,$L32),"")</f>
        <v/>
      </c>
      <c r="B32" s="15">
        <f>IF(AND(ISNUMBER($L32),$L32&lt;&gt;""),IF(INDEX(Data!$G$2:$G$163,$L32)="","—",INDEX(Data!$G$2:$G$163,$L32)),"")</f>
        <v/>
      </c>
      <c r="C32" s="15">
        <f>IF(AND(ISNUMBER($L32),$L32&lt;&gt;""),INDEX(Data!$H$2:$H$163,$L32),"")</f>
        <v/>
      </c>
      <c r="D32" s="15">
        <f>IF(AND(ISNUMBER($L32),$L32&lt;&gt;""),IF(INDEX(Data!$I$2:$I$163,$L32)="","—",INDEX(Data!$I$2:$I$163,$L32)),"")</f>
        <v/>
      </c>
      <c r="E32" s="15">
        <f>IF(AND(ISNUMBER($L32),$L32&lt;&gt;""),IF(INDEX(Data!$J$2:$J$163,$L32)="","—",INDEX(Data!$J$2:$J$163,$L32)),"")</f>
        <v/>
      </c>
      <c r="F32" s="16">
        <f>IF(AND(ISNUMBER($L32),$L32&lt;&gt;""),IF(INDEX(Data!$K$2:$K$163,$L32)="","—",INDEX(Data!$K$2:$K$163,$L32)),"")</f>
        <v/>
      </c>
      <c r="G32" s="17">
        <f>IF(AND(ISNUMBER($L32),$L32&lt;&gt;""),IF(INDEX(Data!$L$2:$L$163,$L32)="","—",INDEX(Data!$L$2:$L$163,$L32)),"")</f>
        <v/>
      </c>
      <c r="H32" s="18">
        <f>IF(AND(ISNUMBER($L32),$L32&lt;&gt;""),INDEX(Data!$P$2:$P$163,$L32),"")</f>
        <v/>
      </c>
      <c r="I32" s="18">
        <f>IF(AND(ISNUMBER($L32),$L32&lt;&gt;""),INDEX(Data!$Q$2:$Q$163,$L32),"")</f>
        <v/>
      </c>
      <c r="L32">
        <f>IFERROR(MATCH($B$3&amp;"|"&amp;23,Data!$A$2:$A$163,0),"")</f>
        <v/>
      </c>
    </row>
    <row r="33">
      <c r="A33" s="19">
        <f>IF(AND(ISNUMBER($L33),$L33&lt;&gt;""),INDEX(Data!$F$2:$F$163,$L33),"")</f>
        <v/>
      </c>
      <c r="B33" s="20">
        <f>IF(AND(ISNUMBER($L33),$L33&lt;&gt;""),IF(INDEX(Data!$G$2:$G$163,$L33)="","—",INDEX(Data!$G$2:$G$163,$L33)),"")</f>
        <v/>
      </c>
      <c r="C33" s="20">
        <f>IF(AND(ISNUMBER($L33),$L33&lt;&gt;""),INDEX(Data!$H$2:$H$163,$L33),"")</f>
        <v/>
      </c>
      <c r="D33" s="20">
        <f>IF(AND(ISNUMBER($L33),$L33&lt;&gt;""),IF(INDEX(Data!$I$2:$I$163,$L33)="","—",INDEX(Data!$I$2:$I$163,$L33)),"")</f>
        <v/>
      </c>
      <c r="E33" s="20">
        <f>IF(AND(ISNUMBER($L33),$L33&lt;&gt;""),IF(INDEX(Data!$J$2:$J$163,$L33)="","—",INDEX(Data!$J$2:$J$163,$L33)),"")</f>
        <v/>
      </c>
      <c r="F33" s="21">
        <f>IF(AND(ISNUMBER($L33),$L33&lt;&gt;""),IF(INDEX(Data!$K$2:$K$163,$L33)="","—",INDEX(Data!$K$2:$K$163,$L33)),"")</f>
        <v/>
      </c>
      <c r="G33" s="22">
        <f>IF(AND(ISNUMBER($L33),$L33&lt;&gt;""),IF(INDEX(Data!$L$2:$L$163,$L33)="","—",INDEX(Data!$L$2:$L$163,$L33)),"")</f>
        <v/>
      </c>
      <c r="H33" s="23">
        <f>IF(AND(ISNUMBER($L33),$L33&lt;&gt;""),INDEX(Data!$P$2:$P$163,$L33),"")</f>
        <v/>
      </c>
      <c r="I33" s="23">
        <f>IF(AND(ISNUMBER($L33),$L33&lt;&gt;""),INDEX(Data!$Q$2:$Q$163,$L33),"")</f>
        <v/>
      </c>
      <c r="L33">
        <f>IFERROR(MATCH($B$3&amp;"|"&amp;24,Data!$A$2:$A$163,0),"")</f>
        <v/>
      </c>
    </row>
    <row r="34">
      <c r="A34" s="14">
        <f>IF(AND(ISNUMBER($L34),$L34&lt;&gt;""),INDEX(Data!$F$2:$F$163,$L34),"")</f>
        <v/>
      </c>
      <c r="B34" s="15">
        <f>IF(AND(ISNUMBER($L34),$L34&lt;&gt;""),IF(INDEX(Data!$G$2:$G$163,$L34)="","—",INDEX(Data!$G$2:$G$163,$L34)),"")</f>
        <v/>
      </c>
      <c r="C34" s="15">
        <f>IF(AND(ISNUMBER($L34),$L34&lt;&gt;""),INDEX(Data!$H$2:$H$163,$L34),"")</f>
        <v/>
      </c>
      <c r="D34" s="15">
        <f>IF(AND(ISNUMBER($L34),$L34&lt;&gt;""),IF(INDEX(Data!$I$2:$I$163,$L34)="","—",INDEX(Data!$I$2:$I$163,$L34)),"")</f>
        <v/>
      </c>
      <c r="E34" s="15">
        <f>IF(AND(ISNUMBER($L34),$L34&lt;&gt;""),IF(INDEX(Data!$J$2:$J$163,$L34)="","—",INDEX(Data!$J$2:$J$163,$L34)),"")</f>
        <v/>
      </c>
      <c r="F34" s="16">
        <f>IF(AND(ISNUMBER($L34),$L34&lt;&gt;""),IF(INDEX(Data!$K$2:$K$163,$L34)="","—",INDEX(Data!$K$2:$K$163,$L34)),"")</f>
        <v/>
      </c>
      <c r="G34" s="17">
        <f>IF(AND(ISNUMBER($L34),$L34&lt;&gt;""),IF(INDEX(Data!$L$2:$L$163,$L34)="","—",INDEX(Data!$L$2:$L$163,$L34)),"")</f>
        <v/>
      </c>
      <c r="H34" s="18">
        <f>IF(AND(ISNUMBER($L34),$L34&lt;&gt;""),INDEX(Data!$P$2:$P$163,$L34),"")</f>
        <v/>
      </c>
      <c r="I34" s="18">
        <f>IF(AND(ISNUMBER($L34),$L34&lt;&gt;""),INDEX(Data!$Q$2:$Q$163,$L34),"")</f>
        <v/>
      </c>
      <c r="L34">
        <f>IFERROR(MATCH($B$3&amp;"|"&amp;25,Data!$A$2:$A$163,0),"")</f>
        <v/>
      </c>
    </row>
    <row r="35">
      <c r="A35" s="19">
        <f>IF(AND(ISNUMBER($L35),$L35&lt;&gt;""),INDEX(Data!$F$2:$F$163,$L35),"")</f>
        <v/>
      </c>
      <c r="B35" s="20">
        <f>IF(AND(ISNUMBER($L35),$L35&lt;&gt;""),IF(INDEX(Data!$G$2:$G$163,$L35)="","—",INDEX(Data!$G$2:$G$163,$L35)),"")</f>
        <v/>
      </c>
      <c r="C35" s="20">
        <f>IF(AND(ISNUMBER($L35),$L35&lt;&gt;""),INDEX(Data!$H$2:$H$163,$L35),"")</f>
        <v/>
      </c>
      <c r="D35" s="20">
        <f>IF(AND(ISNUMBER($L35),$L35&lt;&gt;""),IF(INDEX(Data!$I$2:$I$163,$L35)="","—",INDEX(Data!$I$2:$I$163,$L35)),"")</f>
        <v/>
      </c>
      <c r="E35" s="20">
        <f>IF(AND(ISNUMBER($L35),$L35&lt;&gt;""),IF(INDEX(Data!$J$2:$J$163,$L35)="","—",INDEX(Data!$J$2:$J$163,$L35)),"")</f>
        <v/>
      </c>
      <c r="F35" s="21">
        <f>IF(AND(ISNUMBER($L35),$L35&lt;&gt;""),IF(INDEX(Data!$K$2:$K$163,$L35)="","—",INDEX(Data!$K$2:$K$163,$L35)),"")</f>
        <v/>
      </c>
      <c r="G35" s="22">
        <f>IF(AND(ISNUMBER($L35),$L35&lt;&gt;""),IF(INDEX(Data!$L$2:$L$163,$L35)="","—",INDEX(Data!$L$2:$L$163,$L35)),"")</f>
        <v/>
      </c>
      <c r="H35" s="23">
        <f>IF(AND(ISNUMBER($L35),$L35&lt;&gt;""),INDEX(Data!$P$2:$P$163,$L35),"")</f>
        <v/>
      </c>
      <c r="I35" s="23">
        <f>IF(AND(ISNUMBER($L35),$L35&lt;&gt;""),INDEX(Data!$Q$2:$Q$163,$L35),"")</f>
        <v/>
      </c>
      <c r="L35">
        <f>IFERROR(MATCH($B$3&amp;"|"&amp;26,Data!$A$2:$A$163,0),"")</f>
        <v/>
      </c>
    </row>
    <row r="36">
      <c r="A36" s="14">
        <f>IF(AND(ISNUMBER($L36),$L36&lt;&gt;""),INDEX(Data!$F$2:$F$163,$L36),"")</f>
        <v/>
      </c>
      <c r="B36" s="15">
        <f>IF(AND(ISNUMBER($L36),$L36&lt;&gt;""),IF(INDEX(Data!$G$2:$G$163,$L36)="","—",INDEX(Data!$G$2:$G$163,$L36)),"")</f>
        <v/>
      </c>
      <c r="C36" s="15">
        <f>IF(AND(ISNUMBER($L36),$L36&lt;&gt;""),INDEX(Data!$H$2:$H$163,$L36),"")</f>
        <v/>
      </c>
      <c r="D36" s="15">
        <f>IF(AND(ISNUMBER($L36),$L36&lt;&gt;""),IF(INDEX(Data!$I$2:$I$163,$L36)="","—",INDEX(Data!$I$2:$I$163,$L36)),"")</f>
        <v/>
      </c>
      <c r="E36" s="15">
        <f>IF(AND(ISNUMBER($L36),$L36&lt;&gt;""),IF(INDEX(Data!$J$2:$J$163,$L36)="","—",INDEX(Data!$J$2:$J$163,$L36)),"")</f>
        <v/>
      </c>
      <c r="F36" s="16">
        <f>IF(AND(ISNUMBER($L36),$L36&lt;&gt;""),IF(INDEX(Data!$K$2:$K$163,$L36)="","—",INDEX(Data!$K$2:$K$163,$L36)),"")</f>
        <v/>
      </c>
      <c r="G36" s="17">
        <f>IF(AND(ISNUMBER($L36),$L36&lt;&gt;""),IF(INDEX(Data!$L$2:$L$163,$L36)="","—",INDEX(Data!$L$2:$L$163,$L36)),"")</f>
        <v/>
      </c>
      <c r="H36" s="18">
        <f>IF(AND(ISNUMBER($L36),$L36&lt;&gt;""),INDEX(Data!$P$2:$P$163,$L36),"")</f>
        <v/>
      </c>
      <c r="I36" s="18">
        <f>IF(AND(ISNUMBER($L36),$L36&lt;&gt;""),INDEX(Data!$Q$2:$Q$163,$L36),"")</f>
        <v/>
      </c>
      <c r="L36">
        <f>IFERROR(MATCH($B$3&amp;"|"&amp;27,Data!$A$2:$A$163,0),"")</f>
        <v/>
      </c>
    </row>
    <row r="37">
      <c r="A37" s="19">
        <f>IF(AND(ISNUMBER($L37),$L37&lt;&gt;""),INDEX(Data!$F$2:$F$163,$L37),"")</f>
        <v/>
      </c>
      <c r="B37" s="20">
        <f>IF(AND(ISNUMBER($L37),$L37&lt;&gt;""),IF(INDEX(Data!$G$2:$G$163,$L37)="","—",INDEX(Data!$G$2:$G$163,$L37)),"")</f>
        <v/>
      </c>
      <c r="C37" s="20">
        <f>IF(AND(ISNUMBER($L37),$L37&lt;&gt;""),INDEX(Data!$H$2:$H$163,$L37),"")</f>
        <v/>
      </c>
      <c r="D37" s="20">
        <f>IF(AND(ISNUMBER($L37),$L37&lt;&gt;""),IF(INDEX(Data!$I$2:$I$163,$L37)="","—",INDEX(Data!$I$2:$I$163,$L37)),"")</f>
        <v/>
      </c>
      <c r="E37" s="20">
        <f>IF(AND(ISNUMBER($L37),$L37&lt;&gt;""),IF(INDEX(Data!$J$2:$J$163,$L37)="","—",INDEX(Data!$J$2:$J$163,$L37)),"")</f>
        <v/>
      </c>
      <c r="F37" s="21">
        <f>IF(AND(ISNUMBER($L37),$L37&lt;&gt;""),IF(INDEX(Data!$K$2:$K$163,$L37)="","—",INDEX(Data!$K$2:$K$163,$L37)),"")</f>
        <v/>
      </c>
      <c r="G37" s="22">
        <f>IF(AND(ISNUMBER($L37),$L37&lt;&gt;""),IF(INDEX(Data!$L$2:$L$163,$L37)="","—",INDEX(Data!$L$2:$L$163,$L37)),"")</f>
        <v/>
      </c>
      <c r="H37" s="23">
        <f>IF(AND(ISNUMBER($L37),$L37&lt;&gt;""),INDEX(Data!$P$2:$P$163,$L37),"")</f>
        <v/>
      </c>
      <c r="I37" s="23">
        <f>IF(AND(ISNUMBER($L37),$L37&lt;&gt;""),INDEX(Data!$Q$2:$Q$163,$L37),"")</f>
        <v/>
      </c>
      <c r="L37">
        <f>IFERROR(MATCH($B$3&amp;"|"&amp;28,Data!$A$2:$A$163,0),"")</f>
        <v/>
      </c>
    </row>
    <row r="38">
      <c r="A38" s="14">
        <f>IF(AND(ISNUMBER($L38),$L38&lt;&gt;""),INDEX(Data!$F$2:$F$163,$L38),"")</f>
        <v/>
      </c>
      <c r="B38" s="15">
        <f>IF(AND(ISNUMBER($L38),$L38&lt;&gt;""),IF(INDEX(Data!$G$2:$G$163,$L38)="","—",INDEX(Data!$G$2:$G$163,$L38)),"")</f>
        <v/>
      </c>
      <c r="C38" s="15">
        <f>IF(AND(ISNUMBER($L38),$L38&lt;&gt;""),INDEX(Data!$H$2:$H$163,$L38),"")</f>
        <v/>
      </c>
      <c r="D38" s="15">
        <f>IF(AND(ISNUMBER($L38),$L38&lt;&gt;""),IF(INDEX(Data!$I$2:$I$163,$L38)="","—",INDEX(Data!$I$2:$I$163,$L38)),"")</f>
        <v/>
      </c>
      <c r="E38" s="15">
        <f>IF(AND(ISNUMBER($L38),$L38&lt;&gt;""),IF(INDEX(Data!$J$2:$J$163,$L38)="","—",INDEX(Data!$J$2:$J$163,$L38)),"")</f>
        <v/>
      </c>
      <c r="F38" s="16">
        <f>IF(AND(ISNUMBER($L38),$L38&lt;&gt;""),IF(INDEX(Data!$K$2:$K$163,$L38)="","—",INDEX(Data!$K$2:$K$163,$L38)),"")</f>
        <v/>
      </c>
      <c r="G38" s="17">
        <f>IF(AND(ISNUMBER($L38),$L38&lt;&gt;""),IF(INDEX(Data!$L$2:$L$163,$L38)="","—",INDEX(Data!$L$2:$L$163,$L38)),"")</f>
        <v/>
      </c>
      <c r="H38" s="18">
        <f>IF(AND(ISNUMBER($L38),$L38&lt;&gt;""),INDEX(Data!$P$2:$P$163,$L38),"")</f>
        <v/>
      </c>
      <c r="I38" s="18">
        <f>IF(AND(ISNUMBER($L38),$L38&lt;&gt;""),INDEX(Data!$Q$2:$Q$163,$L38),"")</f>
        <v/>
      </c>
      <c r="L38">
        <f>IFERROR(MATCH($B$3&amp;"|"&amp;29,Data!$A$2:$A$163,0),"")</f>
        <v/>
      </c>
    </row>
    <row r="39">
      <c r="A39" s="19">
        <f>IF(AND(ISNUMBER($L39),$L39&lt;&gt;""),INDEX(Data!$F$2:$F$163,$L39),"")</f>
        <v/>
      </c>
      <c r="B39" s="20">
        <f>IF(AND(ISNUMBER($L39),$L39&lt;&gt;""),IF(INDEX(Data!$G$2:$G$163,$L39)="","—",INDEX(Data!$G$2:$G$163,$L39)),"")</f>
        <v/>
      </c>
      <c r="C39" s="20">
        <f>IF(AND(ISNUMBER($L39),$L39&lt;&gt;""),INDEX(Data!$H$2:$H$163,$L39),"")</f>
        <v/>
      </c>
      <c r="D39" s="20">
        <f>IF(AND(ISNUMBER($L39),$L39&lt;&gt;""),IF(INDEX(Data!$I$2:$I$163,$L39)="","—",INDEX(Data!$I$2:$I$163,$L39)),"")</f>
        <v/>
      </c>
      <c r="E39" s="20">
        <f>IF(AND(ISNUMBER($L39),$L39&lt;&gt;""),IF(INDEX(Data!$J$2:$J$163,$L39)="","—",INDEX(Data!$J$2:$J$163,$L39)),"")</f>
        <v/>
      </c>
      <c r="F39" s="21">
        <f>IF(AND(ISNUMBER($L39),$L39&lt;&gt;""),IF(INDEX(Data!$K$2:$K$163,$L39)="","—",INDEX(Data!$K$2:$K$163,$L39)),"")</f>
        <v/>
      </c>
      <c r="G39" s="22">
        <f>IF(AND(ISNUMBER($L39),$L39&lt;&gt;""),IF(INDEX(Data!$L$2:$L$163,$L39)="","—",INDEX(Data!$L$2:$L$163,$L39)),"")</f>
        <v/>
      </c>
      <c r="H39" s="23">
        <f>IF(AND(ISNUMBER($L39),$L39&lt;&gt;""),INDEX(Data!$P$2:$P$163,$L39),"")</f>
        <v/>
      </c>
      <c r="I39" s="23">
        <f>IF(AND(ISNUMBER($L39),$L39&lt;&gt;""),INDEX(Data!$Q$2:$Q$163,$L39),"")</f>
        <v/>
      </c>
      <c r="L39">
        <f>IFERROR(MATCH($B$3&amp;"|"&amp;30,Data!$A$2:$A$163,0),"")</f>
        <v/>
      </c>
    </row>
    <row r="40">
      <c r="A40" s="14">
        <f>IF(AND(ISNUMBER($L40),$L40&lt;&gt;""),INDEX(Data!$F$2:$F$163,$L40),"")</f>
        <v/>
      </c>
      <c r="B40" s="15">
        <f>IF(AND(ISNUMBER($L40),$L40&lt;&gt;""),IF(INDEX(Data!$G$2:$G$163,$L40)="","—",INDEX(Data!$G$2:$G$163,$L40)),"")</f>
        <v/>
      </c>
      <c r="C40" s="15">
        <f>IF(AND(ISNUMBER($L40),$L40&lt;&gt;""),INDEX(Data!$H$2:$H$163,$L40),"")</f>
        <v/>
      </c>
      <c r="D40" s="15">
        <f>IF(AND(ISNUMBER($L40),$L40&lt;&gt;""),IF(INDEX(Data!$I$2:$I$163,$L40)="","—",INDEX(Data!$I$2:$I$163,$L40)),"")</f>
        <v/>
      </c>
      <c r="E40" s="15">
        <f>IF(AND(ISNUMBER($L40),$L40&lt;&gt;""),IF(INDEX(Data!$J$2:$J$163,$L40)="","—",INDEX(Data!$J$2:$J$163,$L40)),"")</f>
        <v/>
      </c>
      <c r="F40" s="16">
        <f>IF(AND(ISNUMBER($L40),$L40&lt;&gt;""),IF(INDEX(Data!$K$2:$K$163,$L40)="","—",INDEX(Data!$K$2:$K$163,$L40)),"")</f>
        <v/>
      </c>
      <c r="G40" s="17">
        <f>IF(AND(ISNUMBER($L40),$L40&lt;&gt;""),IF(INDEX(Data!$L$2:$L$163,$L40)="","—",INDEX(Data!$L$2:$L$163,$L40)),"")</f>
        <v/>
      </c>
      <c r="H40" s="18">
        <f>IF(AND(ISNUMBER($L40),$L40&lt;&gt;""),INDEX(Data!$P$2:$P$163,$L40),"")</f>
        <v/>
      </c>
      <c r="I40" s="18">
        <f>IF(AND(ISNUMBER($L40),$L40&lt;&gt;""),INDEX(Data!$Q$2:$Q$163,$L40),"")</f>
        <v/>
      </c>
      <c r="L40">
        <f>IFERROR(MATCH($B$3&amp;"|"&amp;31,Data!$A$2:$A$163,0),"")</f>
        <v/>
      </c>
    </row>
    <row r="41">
      <c r="A41" s="19">
        <f>IF(AND(ISNUMBER($L41),$L41&lt;&gt;""),INDEX(Data!$F$2:$F$163,$L41),"")</f>
        <v/>
      </c>
      <c r="B41" s="20">
        <f>IF(AND(ISNUMBER($L41),$L41&lt;&gt;""),IF(INDEX(Data!$G$2:$G$163,$L41)="","—",INDEX(Data!$G$2:$G$163,$L41)),"")</f>
        <v/>
      </c>
      <c r="C41" s="20">
        <f>IF(AND(ISNUMBER($L41),$L41&lt;&gt;""),INDEX(Data!$H$2:$H$163,$L41),"")</f>
        <v/>
      </c>
      <c r="D41" s="20">
        <f>IF(AND(ISNUMBER($L41),$L41&lt;&gt;""),IF(INDEX(Data!$I$2:$I$163,$L41)="","—",INDEX(Data!$I$2:$I$163,$L41)),"")</f>
        <v/>
      </c>
      <c r="E41" s="20">
        <f>IF(AND(ISNUMBER($L41),$L41&lt;&gt;""),IF(INDEX(Data!$J$2:$J$163,$L41)="","—",INDEX(Data!$J$2:$J$163,$L41)),"")</f>
        <v/>
      </c>
      <c r="F41" s="21">
        <f>IF(AND(ISNUMBER($L41),$L41&lt;&gt;""),IF(INDEX(Data!$K$2:$K$163,$L41)="","—",INDEX(Data!$K$2:$K$163,$L41)),"")</f>
        <v/>
      </c>
      <c r="G41" s="22">
        <f>IF(AND(ISNUMBER($L41),$L41&lt;&gt;""),IF(INDEX(Data!$L$2:$L$163,$L41)="","—",INDEX(Data!$L$2:$L$163,$L41)),"")</f>
        <v/>
      </c>
      <c r="H41" s="23">
        <f>IF(AND(ISNUMBER($L41),$L41&lt;&gt;""),INDEX(Data!$P$2:$P$163,$L41),"")</f>
        <v/>
      </c>
      <c r="I41" s="23">
        <f>IF(AND(ISNUMBER($L41),$L41&lt;&gt;""),INDEX(Data!$Q$2:$Q$163,$L41),"")</f>
        <v/>
      </c>
      <c r="L41">
        <f>IFERROR(MATCH($B$3&amp;"|"&amp;32,Data!$A$2:$A$163,0),"")</f>
        <v/>
      </c>
    </row>
    <row r="42">
      <c r="A42" s="14">
        <f>IF(AND(ISNUMBER($L42),$L42&lt;&gt;""),INDEX(Data!$F$2:$F$163,$L42),"")</f>
        <v/>
      </c>
      <c r="B42" s="15">
        <f>IF(AND(ISNUMBER($L42),$L42&lt;&gt;""),IF(INDEX(Data!$G$2:$G$163,$L42)="","—",INDEX(Data!$G$2:$G$163,$L42)),"")</f>
        <v/>
      </c>
      <c r="C42" s="15">
        <f>IF(AND(ISNUMBER($L42),$L42&lt;&gt;""),INDEX(Data!$H$2:$H$163,$L42),"")</f>
        <v/>
      </c>
      <c r="D42" s="15">
        <f>IF(AND(ISNUMBER($L42),$L42&lt;&gt;""),IF(INDEX(Data!$I$2:$I$163,$L42)="","—",INDEX(Data!$I$2:$I$163,$L42)),"")</f>
        <v/>
      </c>
      <c r="E42" s="15">
        <f>IF(AND(ISNUMBER($L42),$L42&lt;&gt;""),IF(INDEX(Data!$J$2:$J$163,$L42)="","—",INDEX(Data!$J$2:$J$163,$L42)),"")</f>
        <v/>
      </c>
      <c r="F42" s="16">
        <f>IF(AND(ISNUMBER($L42),$L42&lt;&gt;""),IF(INDEX(Data!$K$2:$K$163,$L42)="","—",INDEX(Data!$K$2:$K$163,$L42)),"")</f>
        <v/>
      </c>
      <c r="G42" s="17">
        <f>IF(AND(ISNUMBER($L42),$L42&lt;&gt;""),IF(INDEX(Data!$L$2:$L$163,$L42)="","—",INDEX(Data!$L$2:$L$163,$L42)),"")</f>
        <v/>
      </c>
      <c r="H42" s="18">
        <f>IF(AND(ISNUMBER($L42),$L42&lt;&gt;""),INDEX(Data!$P$2:$P$163,$L42),"")</f>
        <v/>
      </c>
      <c r="I42" s="18">
        <f>IF(AND(ISNUMBER($L42),$L42&lt;&gt;""),INDEX(Data!$Q$2:$Q$163,$L42),"")</f>
        <v/>
      </c>
      <c r="L42">
        <f>IFERROR(MATCH($B$3&amp;"|"&amp;33,Data!$A$2:$A$163,0),"")</f>
        <v/>
      </c>
    </row>
    <row r="43">
      <c r="A43" s="19">
        <f>IF(AND(ISNUMBER($L43),$L43&lt;&gt;""),INDEX(Data!$F$2:$F$163,$L43),"")</f>
        <v/>
      </c>
      <c r="B43" s="20">
        <f>IF(AND(ISNUMBER($L43),$L43&lt;&gt;""),IF(INDEX(Data!$G$2:$G$163,$L43)="","—",INDEX(Data!$G$2:$G$163,$L43)),"")</f>
        <v/>
      </c>
      <c r="C43" s="20">
        <f>IF(AND(ISNUMBER($L43),$L43&lt;&gt;""),INDEX(Data!$H$2:$H$163,$L43),"")</f>
        <v/>
      </c>
      <c r="D43" s="20">
        <f>IF(AND(ISNUMBER($L43),$L43&lt;&gt;""),IF(INDEX(Data!$I$2:$I$163,$L43)="","—",INDEX(Data!$I$2:$I$163,$L43)),"")</f>
        <v/>
      </c>
      <c r="E43" s="20">
        <f>IF(AND(ISNUMBER($L43),$L43&lt;&gt;""),IF(INDEX(Data!$J$2:$J$163,$L43)="","—",INDEX(Data!$J$2:$J$163,$L43)),"")</f>
        <v/>
      </c>
      <c r="F43" s="21">
        <f>IF(AND(ISNUMBER($L43),$L43&lt;&gt;""),IF(INDEX(Data!$K$2:$K$163,$L43)="","—",INDEX(Data!$K$2:$K$163,$L43)),"")</f>
        <v/>
      </c>
      <c r="G43" s="22">
        <f>IF(AND(ISNUMBER($L43),$L43&lt;&gt;""),IF(INDEX(Data!$L$2:$L$163,$L43)="","—",INDEX(Data!$L$2:$L$163,$L43)),"")</f>
        <v/>
      </c>
      <c r="H43" s="23">
        <f>IF(AND(ISNUMBER($L43),$L43&lt;&gt;""),INDEX(Data!$P$2:$P$163,$L43),"")</f>
        <v/>
      </c>
      <c r="I43" s="23">
        <f>IF(AND(ISNUMBER($L43),$L43&lt;&gt;""),INDEX(Data!$Q$2:$Q$163,$L43),"")</f>
        <v/>
      </c>
      <c r="L43">
        <f>IFERROR(MATCH($B$3&amp;"|"&amp;34,Data!$A$2:$A$163,0),"")</f>
        <v/>
      </c>
    </row>
    <row r="44">
      <c r="A44" s="14">
        <f>IF(AND(ISNUMBER($L44),$L44&lt;&gt;""),INDEX(Data!$F$2:$F$163,$L44),"")</f>
        <v/>
      </c>
      <c r="B44" s="15">
        <f>IF(AND(ISNUMBER($L44),$L44&lt;&gt;""),IF(INDEX(Data!$G$2:$G$163,$L44)="","—",INDEX(Data!$G$2:$G$163,$L44)),"")</f>
        <v/>
      </c>
      <c r="C44" s="15">
        <f>IF(AND(ISNUMBER($L44),$L44&lt;&gt;""),INDEX(Data!$H$2:$H$163,$L44),"")</f>
        <v/>
      </c>
      <c r="D44" s="15">
        <f>IF(AND(ISNUMBER($L44),$L44&lt;&gt;""),IF(INDEX(Data!$I$2:$I$163,$L44)="","—",INDEX(Data!$I$2:$I$163,$L44)),"")</f>
        <v/>
      </c>
      <c r="E44" s="15">
        <f>IF(AND(ISNUMBER($L44),$L44&lt;&gt;""),IF(INDEX(Data!$J$2:$J$163,$L44)="","—",INDEX(Data!$J$2:$J$163,$L44)),"")</f>
        <v/>
      </c>
      <c r="F44" s="16">
        <f>IF(AND(ISNUMBER($L44),$L44&lt;&gt;""),IF(INDEX(Data!$K$2:$K$163,$L44)="","—",INDEX(Data!$K$2:$K$163,$L44)),"")</f>
        <v/>
      </c>
      <c r="G44" s="17">
        <f>IF(AND(ISNUMBER($L44),$L44&lt;&gt;""),IF(INDEX(Data!$L$2:$L$163,$L44)="","—",INDEX(Data!$L$2:$L$163,$L44)),"")</f>
        <v/>
      </c>
      <c r="H44" s="18">
        <f>IF(AND(ISNUMBER($L44),$L44&lt;&gt;""),INDEX(Data!$P$2:$P$163,$L44),"")</f>
        <v/>
      </c>
      <c r="I44" s="18">
        <f>IF(AND(ISNUMBER($L44),$L44&lt;&gt;""),INDEX(Data!$Q$2:$Q$163,$L44),"")</f>
        <v/>
      </c>
      <c r="L44">
        <f>IFERROR(MATCH($B$3&amp;"|"&amp;35,Data!$A$2:$A$163,0),"")</f>
        <v/>
      </c>
    </row>
    <row r="45">
      <c r="A45" s="19">
        <f>IF(AND(ISNUMBER($L45),$L45&lt;&gt;""),INDEX(Data!$F$2:$F$163,$L45),"")</f>
        <v/>
      </c>
      <c r="B45" s="20">
        <f>IF(AND(ISNUMBER($L45),$L45&lt;&gt;""),IF(INDEX(Data!$G$2:$G$163,$L45)="","—",INDEX(Data!$G$2:$G$163,$L45)),"")</f>
        <v/>
      </c>
      <c r="C45" s="20">
        <f>IF(AND(ISNUMBER($L45),$L45&lt;&gt;""),INDEX(Data!$H$2:$H$163,$L45),"")</f>
        <v/>
      </c>
      <c r="D45" s="20">
        <f>IF(AND(ISNUMBER($L45),$L45&lt;&gt;""),IF(INDEX(Data!$I$2:$I$163,$L45)="","—",INDEX(Data!$I$2:$I$163,$L45)),"")</f>
        <v/>
      </c>
      <c r="E45" s="20">
        <f>IF(AND(ISNUMBER($L45),$L45&lt;&gt;""),IF(INDEX(Data!$J$2:$J$163,$L45)="","—",INDEX(Data!$J$2:$J$163,$L45)),"")</f>
        <v/>
      </c>
      <c r="F45" s="21">
        <f>IF(AND(ISNUMBER($L45),$L45&lt;&gt;""),IF(INDEX(Data!$K$2:$K$163,$L45)="","—",INDEX(Data!$K$2:$K$163,$L45)),"")</f>
        <v/>
      </c>
      <c r="G45" s="22">
        <f>IF(AND(ISNUMBER($L45),$L45&lt;&gt;""),IF(INDEX(Data!$L$2:$L$163,$L45)="","—",INDEX(Data!$L$2:$L$163,$L45)),"")</f>
        <v/>
      </c>
      <c r="H45" s="23">
        <f>IF(AND(ISNUMBER($L45),$L45&lt;&gt;""),INDEX(Data!$P$2:$P$163,$L45),"")</f>
        <v/>
      </c>
      <c r="I45" s="23">
        <f>IF(AND(ISNUMBER($L45),$L45&lt;&gt;""),INDEX(Data!$Q$2:$Q$163,$L45),"")</f>
        <v/>
      </c>
      <c r="L45">
        <f>IFERROR(MATCH($B$3&amp;"|"&amp;36,Data!$A$2:$A$163,0),"")</f>
        <v/>
      </c>
    </row>
    <row r="46">
      <c r="A46" s="14">
        <f>IF(AND(ISNUMBER($L46),$L46&lt;&gt;""),INDEX(Data!$F$2:$F$163,$L46),"")</f>
        <v/>
      </c>
      <c r="B46" s="15">
        <f>IF(AND(ISNUMBER($L46),$L46&lt;&gt;""),IF(INDEX(Data!$G$2:$G$163,$L46)="","—",INDEX(Data!$G$2:$G$163,$L46)),"")</f>
        <v/>
      </c>
      <c r="C46" s="15">
        <f>IF(AND(ISNUMBER($L46),$L46&lt;&gt;""),INDEX(Data!$H$2:$H$163,$L46),"")</f>
        <v/>
      </c>
      <c r="D46" s="15">
        <f>IF(AND(ISNUMBER($L46),$L46&lt;&gt;""),IF(INDEX(Data!$I$2:$I$163,$L46)="","—",INDEX(Data!$I$2:$I$163,$L46)),"")</f>
        <v/>
      </c>
      <c r="E46" s="15">
        <f>IF(AND(ISNUMBER($L46),$L46&lt;&gt;""),IF(INDEX(Data!$J$2:$J$163,$L46)="","—",INDEX(Data!$J$2:$J$163,$L46)),"")</f>
        <v/>
      </c>
      <c r="F46" s="16">
        <f>IF(AND(ISNUMBER($L46),$L46&lt;&gt;""),IF(INDEX(Data!$K$2:$K$163,$L46)="","—",INDEX(Data!$K$2:$K$163,$L46)),"")</f>
        <v/>
      </c>
      <c r="G46" s="17">
        <f>IF(AND(ISNUMBER($L46),$L46&lt;&gt;""),IF(INDEX(Data!$L$2:$L$163,$L46)="","—",INDEX(Data!$L$2:$L$163,$L46)),"")</f>
        <v/>
      </c>
      <c r="H46" s="18">
        <f>IF(AND(ISNUMBER($L46),$L46&lt;&gt;""),INDEX(Data!$P$2:$P$163,$L46),"")</f>
        <v/>
      </c>
      <c r="I46" s="18">
        <f>IF(AND(ISNUMBER($L46),$L46&lt;&gt;""),INDEX(Data!$Q$2:$Q$163,$L46),"")</f>
        <v/>
      </c>
      <c r="L46">
        <f>IFERROR(MATCH($B$3&amp;"|"&amp;37,Data!$A$2:$A$163,0),"")</f>
        <v/>
      </c>
    </row>
    <row r="47">
      <c r="A47" s="19">
        <f>IF(AND(ISNUMBER($L47),$L47&lt;&gt;""),INDEX(Data!$F$2:$F$163,$L47),"")</f>
        <v/>
      </c>
      <c r="B47" s="20">
        <f>IF(AND(ISNUMBER($L47),$L47&lt;&gt;""),IF(INDEX(Data!$G$2:$G$163,$L47)="","—",INDEX(Data!$G$2:$G$163,$L47)),"")</f>
        <v/>
      </c>
      <c r="C47" s="20">
        <f>IF(AND(ISNUMBER($L47),$L47&lt;&gt;""),INDEX(Data!$H$2:$H$163,$L47),"")</f>
        <v/>
      </c>
      <c r="D47" s="20">
        <f>IF(AND(ISNUMBER($L47),$L47&lt;&gt;""),IF(INDEX(Data!$I$2:$I$163,$L47)="","—",INDEX(Data!$I$2:$I$163,$L47)),"")</f>
        <v/>
      </c>
      <c r="E47" s="20">
        <f>IF(AND(ISNUMBER($L47),$L47&lt;&gt;""),IF(INDEX(Data!$J$2:$J$163,$L47)="","—",INDEX(Data!$J$2:$J$163,$L47)),"")</f>
        <v/>
      </c>
      <c r="F47" s="21">
        <f>IF(AND(ISNUMBER($L47),$L47&lt;&gt;""),IF(INDEX(Data!$K$2:$K$163,$L47)="","—",INDEX(Data!$K$2:$K$163,$L47)),"")</f>
        <v/>
      </c>
      <c r="G47" s="22">
        <f>IF(AND(ISNUMBER($L47),$L47&lt;&gt;""),IF(INDEX(Data!$L$2:$L$163,$L47)="","—",INDEX(Data!$L$2:$L$163,$L47)),"")</f>
        <v/>
      </c>
      <c r="H47" s="23">
        <f>IF(AND(ISNUMBER($L47),$L47&lt;&gt;""),INDEX(Data!$P$2:$P$163,$L47),"")</f>
        <v/>
      </c>
      <c r="I47" s="23">
        <f>IF(AND(ISNUMBER($L47),$L47&lt;&gt;""),INDEX(Data!$Q$2:$Q$163,$L47),"")</f>
        <v/>
      </c>
      <c r="L47">
        <f>IFERROR(MATCH($B$3&amp;"|"&amp;38,Data!$A$2:$A$163,0),"")</f>
        <v/>
      </c>
    </row>
    <row r="48">
      <c r="A48" s="14">
        <f>IF(AND(ISNUMBER($L48),$L48&lt;&gt;""),INDEX(Data!$F$2:$F$163,$L48),"")</f>
        <v/>
      </c>
      <c r="B48" s="15">
        <f>IF(AND(ISNUMBER($L48),$L48&lt;&gt;""),IF(INDEX(Data!$G$2:$G$163,$L48)="","—",INDEX(Data!$G$2:$G$163,$L48)),"")</f>
        <v/>
      </c>
      <c r="C48" s="15">
        <f>IF(AND(ISNUMBER($L48),$L48&lt;&gt;""),INDEX(Data!$H$2:$H$163,$L48),"")</f>
        <v/>
      </c>
      <c r="D48" s="15">
        <f>IF(AND(ISNUMBER($L48),$L48&lt;&gt;""),IF(INDEX(Data!$I$2:$I$163,$L48)="","—",INDEX(Data!$I$2:$I$163,$L48)),"")</f>
        <v/>
      </c>
      <c r="E48" s="15">
        <f>IF(AND(ISNUMBER($L48),$L48&lt;&gt;""),IF(INDEX(Data!$J$2:$J$163,$L48)="","—",INDEX(Data!$J$2:$J$163,$L48)),"")</f>
        <v/>
      </c>
      <c r="F48" s="16">
        <f>IF(AND(ISNUMBER($L48),$L48&lt;&gt;""),IF(INDEX(Data!$K$2:$K$163,$L48)="","—",INDEX(Data!$K$2:$K$163,$L48)),"")</f>
        <v/>
      </c>
      <c r="G48" s="17">
        <f>IF(AND(ISNUMBER($L48),$L48&lt;&gt;""),IF(INDEX(Data!$L$2:$L$163,$L48)="","—",INDEX(Data!$L$2:$L$163,$L48)),"")</f>
        <v/>
      </c>
      <c r="H48" s="18">
        <f>IF(AND(ISNUMBER($L48),$L48&lt;&gt;""),INDEX(Data!$P$2:$P$163,$L48),"")</f>
        <v/>
      </c>
      <c r="I48" s="18">
        <f>IF(AND(ISNUMBER($L48),$L48&lt;&gt;""),INDEX(Data!$Q$2:$Q$163,$L48),"")</f>
        <v/>
      </c>
      <c r="L48">
        <f>IFERROR(MATCH($B$3&amp;"|"&amp;39,Data!$A$2:$A$163,0),"")</f>
        <v/>
      </c>
    </row>
    <row r="49">
      <c r="A49" s="19">
        <f>IF(AND(ISNUMBER($L49),$L49&lt;&gt;""),INDEX(Data!$F$2:$F$163,$L49),"")</f>
        <v/>
      </c>
      <c r="B49" s="20">
        <f>IF(AND(ISNUMBER($L49),$L49&lt;&gt;""),IF(INDEX(Data!$G$2:$G$163,$L49)="","—",INDEX(Data!$G$2:$G$163,$L49)),"")</f>
        <v/>
      </c>
      <c r="C49" s="20">
        <f>IF(AND(ISNUMBER($L49),$L49&lt;&gt;""),INDEX(Data!$H$2:$H$163,$L49),"")</f>
        <v/>
      </c>
      <c r="D49" s="20">
        <f>IF(AND(ISNUMBER($L49),$L49&lt;&gt;""),IF(INDEX(Data!$I$2:$I$163,$L49)="","—",INDEX(Data!$I$2:$I$163,$L49)),"")</f>
        <v/>
      </c>
      <c r="E49" s="20">
        <f>IF(AND(ISNUMBER($L49),$L49&lt;&gt;""),IF(INDEX(Data!$J$2:$J$163,$L49)="","—",INDEX(Data!$J$2:$J$163,$L49)),"")</f>
        <v/>
      </c>
      <c r="F49" s="21">
        <f>IF(AND(ISNUMBER($L49),$L49&lt;&gt;""),IF(INDEX(Data!$K$2:$K$163,$L49)="","—",INDEX(Data!$K$2:$K$163,$L49)),"")</f>
        <v/>
      </c>
      <c r="G49" s="22">
        <f>IF(AND(ISNUMBER($L49),$L49&lt;&gt;""),IF(INDEX(Data!$L$2:$L$163,$L49)="","—",INDEX(Data!$L$2:$L$163,$L49)),"")</f>
        <v/>
      </c>
      <c r="H49" s="23">
        <f>IF(AND(ISNUMBER($L49),$L49&lt;&gt;""),INDEX(Data!$P$2:$P$163,$L49),"")</f>
        <v/>
      </c>
      <c r="I49" s="23">
        <f>IF(AND(ISNUMBER($L49),$L49&lt;&gt;""),INDEX(Data!$Q$2:$Q$163,$L49),"")</f>
        <v/>
      </c>
      <c r="L49">
        <f>IFERROR(MATCH($B$3&amp;"|"&amp;40,Data!$A$2:$A$163,0),"")</f>
        <v/>
      </c>
    </row>
    <row r="50">
      <c r="A50" s="14">
        <f>IF(AND(ISNUMBER($L50),$L50&lt;&gt;""),INDEX(Data!$F$2:$F$163,$L50),"")</f>
        <v/>
      </c>
      <c r="B50" s="15">
        <f>IF(AND(ISNUMBER($L50),$L50&lt;&gt;""),IF(INDEX(Data!$G$2:$G$163,$L50)="","—",INDEX(Data!$G$2:$G$163,$L50)),"")</f>
        <v/>
      </c>
      <c r="C50" s="15">
        <f>IF(AND(ISNUMBER($L50),$L50&lt;&gt;""),INDEX(Data!$H$2:$H$163,$L50),"")</f>
        <v/>
      </c>
      <c r="D50" s="15">
        <f>IF(AND(ISNUMBER($L50),$L50&lt;&gt;""),IF(INDEX(Data!$I$2:$I$163,$L50)="","—",INDEX(Data!$I$2:$I$163,$L50)),"")</f>
        <v/>
      </c>
      <c r="E50" s="15">
        <f>IF(AND(ISNUMBER($L50),$L50&lt;&gt;""),IF(INDEX(Data!$J$2:$J$163,$L50)="","—",INDEX(Data!$J$2:$J$163,$L50)),"")</f>
        <v/>
      </c>
      <c r="F50" s="16">
        <f>IF(AND(ISNUMBER($L50),$L50&lt;&gt;""),IF(INDEX(Data!$K$2:$K$163,$L50)="","—",INDEX(Data!$K$2:$K$163,$L50)),"")</f>
        <v/>
      </c>
      <c r="G50" s="17">
        <f>IF(AND(ISNUMBER($L50),$L50&lt;&gt;""),IF(INDEX(Data!$L$2:$L$163,$L50)="","—",INDEX(Data!$L$2:$L$163,$L50)),"")</f>
        <v/>
      </c>
      <c r="H50" s="18">
        <f>IF(AND(ISNUMBER($L50),$L50&lt;&gt;""),INDEX(Data!$P$2:$P$163,$L50),"")</f>
        <v/>
      </c>
      <c r="I50" s="18">
        <f>IF(AND(ISNUMBER($L50),$L50&lt;&gt;""),INDEX(Data!$Q$2:$Q$163,$L50),"")</f>
        <v/>
      </c>
      <c r="L50">
        <f>IFERROR(MATCH($B$3&amp;"|"&amp;41,Data!$A$2:$A$163,0),"")</f>
        <v/>
      </c>
    </row>
    <row r="51">
      <c r="A51" s="19">
        <f>IF(AND(ISNUMBER($L51),$L51&lt;&gt;""),INDEX(Data!$F$2:$F$163,$L51),"")</f>
        <v/>
      </c>
      <c r="B51" s="20">
        <f>IF(AND(ISNUMBER($L51),$L51&lt;&gt;""),IF(INDEX(Data!$G$2:$G$163,$L51)="","—",INDEX(Data!$G$2:$G$163,$L51)),"")</f>
        <v/>
      </c>
      <c r="C51" s="20">
        <f>IF(AND(ISNUMBER($L51),$L51&lt;&gt;""),INDEX(Data!$H$2:$H$163,$L51),"")</f>
        <v/>
      </c>
      <c r="D51" s="20">
        <f>IF(AND(ISNUMBER($L51),$L51&lt;&gt;""),IF(INDEX(Data!$I$2:$I$163,$L51)="","—",INDEX(Data!$I$2:$I$163,$L51)),"")</f>
        <v/>
      </c>
      <c r="E51" s="20">
        <f>IF(AND(ISNUMBER($L51),$L51&lt;&gt;""),IF(INDEX(Data!$J$2:$J$163,$L51)="","—",INDEX(Data!$J$2:$J$163,$L51)),"")</f>
        <v/>
      </c>
      <c r="F51" s="21">
        <f>IF(AND(ISNUMBER($L51),$L51&lt;&gt;""),IF(INDEX(Data!$K$2:$K$163,$L51)="","—",INDEX(Data!$K$2:$K$163,$L51)),"")</f>
        <v/>
      </c>
      <c r="G51" s="22">
        <f>IF(AND(ISNUMBER($L51),$L51&lt;&gt;""),IF(INDEX(Data!$L$2:$L$163,$L51)="","—",INDEX(Data!$L$2:$L$163,$L51)),"")</f>
        <v/>
      </c>
      <c r="H51" s="23">
        <f>IF(AND(ISNUMBER($L51),$L51&lt;&gt;""),INDEX(Data!$P$2:$P$163,$L51),"")</f>
        <v/>
      </c>
      <c r="I51" s="23">
        <f>IF(AND(ISNUMBER($L51),$L51&lt;&gt;""),INDEX(Data!$Q$2:$Q$163,$L51),"")</f>
        <v/>
      </c>
      <c r="L51">
        <f>IFERROR(MATCH($B$3&amp;"|"&amp;42,Data!$A$2:$A$163,0),"")</f>
        <v/>
      </c>
    </row>
    <row r="52">
      <c r="A52" s="14">
        <f>IF(AND(ISNUMBER($L52),$L52&lt;&gt;""),INDEX(Data!$F$2:$F$163,$L52),"")</f>
        <v/>
      </c>
      <c r="B52" s="15">
        <f>IF(AND(ISNUMBER($L52),$L52&lt;&gt;""),IF(INDEX(Data!$G$2:$G$163,$L52)="","—",INDEX(Data!$G$2:$G$163,$L52)),"")</f>
        <v/>
      </c>
      <c r="C52" s="15">
        <f>IF(AND(ISNUMBER($L52),$L52&lt;&gt;""),INDEX(Data!$H$2:$H$163,$L52),"")</f>
        <v/>
      </c>
      <c r="D52" s="15">
        <f>IF(AND(ISNUMBER($L52),$L52&lt;&gt;""),IF(INDEX(Data!$I$2:$I$163,$L52)="","—",INDEX(Data!$I$2:$I$163,$L52)),"")</f>
        <v/>
      </c>
      <c r="E52" s="15">
        <f>IF(AND(ISNUMBER($L52),$L52&lt;&gt;""),IF(INDEX(Data!$J$2:$J$163,$L52)="","—",INDEX(Data!$J$2:$J$163,$L52)),"")</f>
        <v/>
      </c>
      <c r="F52" s="16">
        <f>IF(AND(ISNUMBER($L52),$L52&lt;&gt;""),IF(INDEX(Data!$K$2:$K$163,$L52)="","—",INDEX(Data!$K$2:$K$163,$L52)),"")</f>
        <v/>
      </c>
      <c r="G52" s="17">
        <f>IF(AND(ISNUMBER($L52),$L52&lt;&gt;""),IF(INDEX(Data!$L$2:$L$163,$L52)="","—",INDEX(Data!$L$2:$L$163,$L52)),"")</f>
        <v/>
      </c>
      <c r="H52" s="18">
        <f>IF(AND(ISNUMBER($L52),$L52&lt;&gt;""),INDEX(Data!$P$2:$P$163,$L52),"")</f>
        <v/>
      </c>
      <c r="I52" s="18">
        <f>IF(AND(ISNUMBER($L52),$L52&lt;&gt;""),INDEX(Data!$Q$2:$Q$163,$L52),"")</f>
        <v/>
      </c>
      <c r="L52">
        <f>IFERROR(MATCH($B$3&amp;"|"&amp;43,Data!$A$2:$A$163,0),"")</f>
        <v/>
      </c>
    </row>
    <row r="53">
      <c r="A53" s="19">
        <f>IF(AND(ISNUMBER($L53),$L53&lt;&gt;""),INDEX(Data!$F$2:$F$163,$L53),"")</f>
        <v/>
      </c>
      <c r="B53" s="20">
        <f>IF(AND(ISNUMBER($L53),$L53&lt;&gt;""),IF(INDEX(Data!$G$2:$G$163,$L53)="","—",INDEX(Data!$G$2:$G$163,$L53)),"")</f>
        <v/>
      </c>
      <c r="C53" s="20">
        <f>IF(AND(ISNUMBER($L53),$L53&lt;&gt;""),INDEX(Data!$H$2:$H$163,$L53),"")</f>
        <v/>
      </c>
      <c r="D53" s="20">
        <f>IF(AND(ISNUMBER($L53),$L53&lt;&gt;""),IF(INDEX(Data!$I$2:$I$163,$L53)="","—",INDEX(Data!$I$2:$I$163,$L53)),"")</f>
        <v/>
      </c>
      <c r="E53" s="20">
        <f>IF(AND(ISNUMBER($L53),$L53&lt;&gt;""),IF(INDEX(Data!$J$2:$J$163,$L53)="","—",INDEX(Data!$J$2:$J$163,$L53)),"")</f>
        <v/>
      </c>
      <c r="F53" s="21">
        <f>IF(AND(ISNUMBER($L53),$L53&lt;&gt;""),IF(INDEX(Data!$K$2:$K$163,$L53)="","—",INDEX(Data!$K$2:$K$163,$L53)),"")</f>
        <v/>
      </c>
      <c r="G53" s="22">
        <f>IF(AND(ISNUMBER($L53),$L53&lt;&gt;""),IF(INDEX(Data!$L$2:$L$163,$L53)="","—",INDEX(Data!$L$2:$L$163,$L53)),"")</f>
        <v/>
      </c>
      <c r="H53" s="23">
        <f>IF(AND(ISNUMBER($L53),$L53&lt;&gt;""),INDEX(Data!$P$2:$P$163,$L53),"")</f>
        <v/>
      </c>
      <c r="I53" s="23">
        <f>IF(AND(ISNUMBER($L53),$L53&lt;&gt;""),INDEX(Data!$Q$2:$Q$163,$L53),"")</f>
        <v/>
      </c>
      <c r="L53">
        <f>IFERROR(MATCH($B$3&amp;"|"&amp;44,Data!$A$2:$A$163,0),"")</f>
        <v/>
      </c>
    </row>
    <row r="54">
      <c r="A54" s="14">
        <f>IF(AND(ISNUMBER($L54),$L54&lt;&gt;""),INDEX(Data!$F$2:$F$163,$L54),"")</f>
        <v/>
      </c>
      <c r="B54" s="15">
        <f>IF(AND(ISNUMBER($L54),$L54&lt;&gt;""),IF(INDEX(Data!$G$2:$G$163,$L54)="","—",INDEX(Data!$G$2:$G$163,$L54)),"")</f>
        <v/>
      </c>
      <c r="C54" s="15">
        <f>IF(AND(ISNUMBER($L54),$L54&lt;&gt;""),INDEX(Data!$H$2:$H$163,$L54),"")</f>
        <v/>
      </c>
      <c r="D54" s="15">
        <f>IF(AND(ISNUMBER($L54),$L54&lt;&gt;""),IF(INDEX(Data!$I$2:$I$163,$L54)="","—",INDEX(Data!$I$2:$I$163,$L54)),"")</f>
        <v/>
      </c>
      <c r="E54" s="15">
        <f>IF(AND(ISNUMBER($L54),$L54&lt;&gt;""),IF(INDEX(Data!$J$2:$J$163,$L54)="","—",INDEX(Data!$J$2:$J$163,$L54)),"")</f>
        <v/>
      </c>
      <c r="F54" s="16">
        <f>IF(AND(ISNUMBER($L54),$L54&lt;&gt;""),IF(INDEX(Data!$K$2:$K$163,$L54)="","—",INDEX(Data!$K$2:$K$163,$L54)),"")</f>
        <v/>
      </c>
      <c r="G54" s="17">
        <f>IF(AND(ISNUMBER($L54),$L54&lt;&gt;""),IF(INDEX(Data!$L$2:$L$163,$L54)="","—",INDEX(Data!$L$2:$L$163,$L54)),"")</f>
        <v/>
      </c>
      <c r="H54" s="18">
        <f>IF(AND(ISNUMBER($L54),$L54&lt;&gt;""),INDEX(Data!$P$2:$P$163,$L54),"")</f>
        <v/>
      </c>
      <c r="I54" s="18">
        <f>IF(AND(ISNUMBER($L54),$L54&lt;&gt;""),INDEX(Data!$Q$2:$Q$163,$L54),"")</f>
        <v/>
      </c>
      <c r="L54">
        <f>IFERROR(MATCH($B$3&amp;"|"&amp;45,Data!$A$2:$A$163,0),"")</f>
        <v/>
      </c>
    </row>
    <row r="55">
      <c r="A55" s="19">
        <f>IF(AND(ISNUMBER($L55),$L55&lt;&gt;""),INDEX(Data!$F$2:$F$163,$L55),"")</f>
        <v/>
      </c>
      <c r="B55" s="20">
        <f>IF(AND(ISNUMBER($L55),$L55&lt;&gt;""),IF(INDEX(Data!$G$2:$G$163,$L55)="","—",INDEX(Data!$G$2:$G$163,$L55)),"")</f>
        <v/>
      </c>
      <c r="C55" s="20">
        <f>IF(AND(ISNUMBER($L55),$L55&lt;&gt;""),INDEX(Data!$H$2:$H$163,$L55),"")</f>
        <v/>
      </c>
      <c r="D55" s="20">
        <f>IF(AND(ISNUMBER($L55),$L55&lt;&gt;""),IF(INDEX(Data!$I$2:$I$163,$L55)="","—",INDEX(Data!$I$2:$I$163,$L55)),"")</f>
        <v/>
      </c>
      <c r="E55" s="20">
        <f>IF(AND(ISNUMBER($L55),$L55&lt;&gt;""),IF(INDEX(Data!$J$2:$J$163,$L55)="","—",INDEX(Data!$J$2:$J$163,$L55)),"")</f>
        <v/>
      </c>
      <c r="F55" s="21">
        <f>IF(AND(ISNUMBER($L55),$L55&lt;&gt;""),IF(INDEX(Data!$K$2:$K$163,$L55)="","—",INDEX(Data!$K$2:$K$163,$L55)),"")</f>
        <v/>
      </c>
      <c r="G55" s="22">
        <f>IF(AND(ISNUMBER($L55),$L55&lt;&gt;""),IF(INDEX(Data!$L$2:$L$163,$L55)="","—",INDEX(Data!$L$2:$L$163,$L55)),"")</f>
        <v/>
      </c>
      <c r="H55" s="23">
        <f>IF(AND(ISNUMBER($L55),$L55&lt;&gt;""),INDEX(Data!$P$2:$P$163,$L55),"")</f>
        <v/>
      </c>
      <c r="I55" s="23">
        <f>IF(AND(ISNUMBER($L55),$L55&lt;&gt;""),INDEX(Data!$Q$2:$Q$163,$L55),"")</f>
        <v/>
      </c>
      <c r="L55">
        <f>IFERROR(MATCH($B$3&amp;"|"&amp;46,Data!$A$2:$A$163,0),"")</f>
        <v/>
      </c>
    </row>
    <row r="56">
      <c r="A56" s="14">
        <f>IF(AND(ISNUMBER($L56),$L56&lt;&gt;""),INDEX(Data!$F$2:$F$163,$L56),"")</f>
        <v/>
      </c>
      <c r="B56" s="15">
        <f>IF(AND(ISNUMBER($L56),$L56&lt;&gt;""),IF(INDEX(Data!$G$2:$G$163,$L56)="","—",INDEX(Data!$G$2:$G$163,$L56)),"")</f>
        <v/>
      </c>
      <c r="C56" s="15">
        <f>IF(AND(ISNUMBER($L56),$L56&lt;&gt;""),INDEX(Data!$H$2:$H$163,$L56),"")</f>
        <v/>
      </c>
      <c r="D56" s="15">
        <f>IF(AND(ISNUMBER($L56),$L56&lt;&gt;""),IF(INDEX(Data!$I$2:$I$163,$L56)="","—",INDEX(Data!$I$2:$I$163,$L56)),"")</f>
        <v/>
      </c>
      <c r="E56" s="15">
        <f>IF(AND(ISNUMBER($L56),$L56&lt;&gt;""),IF(INDEX(Data!$J$2:$J$163,$L56)="","—",INDEX(Data!$J$2:$J$163,$L56)),"")</f>
        <v/>
      </c>
      <c r="F56" s="16">
        <f>IF(AND(ISNUMBER($L56),$L56&lt;&gt;""),IF(INDEX(Data!$K$2:$K$163,$L56)="","—",INDEX(Data!$K$2:$K$163,$L56)),"")</f>
        <v/>
      </c>
      <c r="G56" s="17">
        <f>IF(AND(ISNUMBER($L56),$L56&lt;&gt;""),IF(INDEX(Data!$L$2:$L$163,$L56)="","—",INDEX(Data!$L$2:$L$163,$L56)),"")</f>
        <v/>
      </c>
      <c r="H56" s="18">
        <f>IF(AND(ISNUMBER($L56),$L56&lt;&gt;""),INDEX(Data!$P$2:$P$163,$L56),"")</f>
        <v/>
      </c>
      <c r="I56" s="18">
        <f>IF(AND(ISNUMBER($L56),$L56&lt;&gt;""),INDEX(Data!$Q$2:$Q$163,$L56),"")</f>
        <v/>
      </c>
      <c r="L56">
        <f>IFERROR(MATCH($B$3&amp;"|"&amp;47,Data!$A$2:$A$163,0),"")</f>
        <v/>
      </c>
    </row>
    <row r="57">
      <c r="A57" s="19">
        <f>IF(AND(ISNUMBER($L57),$L57&lt;&gt;""),INDEX(Data!$F$2:$F$163,$L57),"")</f>
        <v/>
      </c>
      <c r="B57" s="20">
        <f>IF(AND(ISNUMBER($L57),$L57&lt;&gt;""),IF(INDEX(Data!$G$2:$G$163,$L57)="","—",INDEX(Data!$G$2:$G$163,$L57)),"")</f>
        <v/>
      </c>
      <c r="C57" s="20">
        <f>IF(AND(ISNUMBER($L57),$L57&lt;&gt;""),INDEX(Data!$H$2:$H$163,$L57),"")</f>
        <v/>
      </c>
      <c r="D57" s="20">
        <f>IF(AND(ISNUMBER($L57),$L57&lt;&gt;""),IF(INDEX(Data!$I$2:$I$163,$L57)="","—",INDEX(Data!$I$2:$I$163,$L57)),"")</f>
        <v/>
      </c>
      <c r="E57" s="20">
        <f>IF(AND(ISNUMBER($L57),$L57&lt;&gt;""),IF(INDEX(Data!$J$2:$J$163,$L57)="","—",INDEX(Data!$J$2:$J$163,$L57)),"")</f>
        <v/>
      </c>
      <c r="F57" s="21">
        <f>IF(AND(ISNUMBER($L57),$L57&lt;&gt;""),IF(INDEX(Data!$K$2:$K$163,$L57)="","—",INDEX(Data!$K$2:$K$163,$L57)),"")</f>
        <v/>
      </c>
      <c r="G57" s="22">
        <f>IF(AND(ISNUMBER($L57),$L57&lt;&gt;""),IF(INDEX(Data!$L$2:$L$163,$L57)="","—",INDEX(Data!$L$2:$L$163,$L57)),"")</f>
        <v/>
      </c>
      <c r="H57" s="23">
        <f>IF(AND(ISNUMBER($L57),$L57&lt;&gt;""),INDEX(Data!$P$2:$P$163,$L57),"")</f>
        <v/>
      </c>
      <c r="I57" s="23">
        <f>IF(AND(ISNUMBER($L57),$L57&lt;&gt;""),INDEX(Data!$Q$2:$Q$163,$L57),"")</f>
        <v/>
      </c>
      <c r="L57">
        <f>IFERROR(MATCH($B$3&amp;"|"&amp;48,Data!$A$2:$A$163,0),"")</f>
        <v/>
      </c>
    </row>
    <row r="58">
      <c r="A58" s="14">
        <f>IF(AND(ISNUMBER($L58),$L58&lt;&gt;""),INDEX(Data!$F$2:$F$163,$L58),"")</f>
        <v/>
      </c>
      <c r="B58" s="15">
        <f>IF(AND(ISNUMBER($L58),$L58&lt;&gt;""),IF(INDEX(Data!$G$2:$G$163,$L58)="","—",INDEX(Data!$G$2:$G$163,$L58)),"")</f>
        <v/>
      </c>
      <c r="C58" s="15">
        <f>IF(AND(ISNUMBER($L58),$L58&lt;&gt;""),INDEX(Data!$H$2:$H$163,$L58),"")</f>
        <v/>
      </c>
      <c r="D58" s="15">
        <f>IF(AND(ISNUMBER($L58),$L58&lt;&gt;""),IF(INDEX(Data!$I$2:$I$163,$L58)="","—",INDEX(Data!$I$2:$I$163,$L58)),"")</f>
        <v/>
      </c>
      <c r="E58" s="15">
        <f>IF(AND(ISNUMBER($L58),$L58&lt;&gt;""),IF(INDEX(Data!$J$2:$J$163,$L58)="","—",INDEX(Data!$J$2:$J$163,$L58)),"")</f>
        <v/>
      </c>
      <c r="F58" s="16">
        <f>IF(AND(ISNUMBER($L58),$L58&lt;&gt;""),IF(INDEX(Data!$K$2:$K$163,$L58)="","—",INDEX(Data!$K$2:$K$163,$L58)),"")</f>
        <v/>
      </c>
      <c r="G58" s="17">
        <f>IF(AND(ISNUMBER($L58),$L58&lt;&gt;""),IF(INDEX(Data!$L$2:$L$163,$L58)="","—",INDEX(Data!$L$2:$L$163,$L58)),"")</f>
        <v/>
      </c>
      <c r="H58" s="18">
        <f>IF(AND(ISNUMBER($L58),$L58&lt;&gt;""),INDEX(Data!$P$2:$P$163,$L58),"")</f>
        <v/>
      </c>
      <c r="I58" s="18">
        <f>IF(AND(ISNUMBER($L58),$L58&lt;&gt;""),INDEX(Data!$Q$2:$Q$163,$L58),"")</f>
        <v/>
      </c>
      <c r="L58">
        <f>IFERROR(MATCH($B$3&amp;"|"&amp;49,Data!$A$2:$A$163,0),"")</f>
        <v/>
      </c>
    </row>
    <row r="59">
      <c r="A59" s="19">
        <f>IF(AND(ISNUMBER($L59),$L59&lt;&gt;""),INDEX(Data!$F$2:$F$163,$L59),"")</f>
        <v/>
      </c>
      <c r="B59" s="20">
        <f>IF(AND(ISNUMBER($L59),$L59&lt;&gt;""),IF(INDEX(Data!$G$2:$G$163,$L59)="","—",INDEX(Data!$G$2:$G$163,$L59)),"")</f>
        <v/>
      </c>
      <c r="C59" s="20">
        <f>IF(AND(ISNUMBER($L59),$L59&lt;&gt;""),INDEX(Data!$H$2:$H$163,$L59),"")</f>
        <v/>
      </c>
      <c r="D59" s="20">
        <f>IF(AND(ISNUMBER($L59),$L59&lt;&gt;""),IF(INDEX(Data!$I$2:$I$163,$L59)="","—",INDEX(Data!$I$2:$I$163,$L59)),"")</f>
        <v/>
      </c>
      <c r="E59" s="20">
        <f>IF(AND(ISNUMBER($L59),$L59&lt;&gt;""),IF(INDEX(Data!$J$2:$J$163,$L59)="","—",INDEX(Data!$J$2:$J$163,$L59)),"")</f>
        <v/>
      </c>
      <c r="F59" s="21">
        <f>IF(AND(ISNUMBER($L59),$L59&lt;&gt;""),IF(INDEX(Data!$K$2:$K$163,$L59)="","—",INDEX(Data!$K$2:$K$163,$L59)),"")</f>
        <v/>
      </c>
      <c r="G59" s="22">
        <f>IF(AND(ISNUMBER($L59),$L59&lt;&gt;""),IF(INDEX(Data!$L$2:$L$163,$L59)="","—",INDEX(Data!$L$2:$L$163,$L59)),"")</f>
        <v/>
      </c>
      <c r="H59" s="23">
        <f>IF(AND(ISNUMBER($L59),$L59&lt;&gt;""),INDEX(Data!$P$2:$P$163,$L59),"")</f>
        <v/>
      </c>
      <c r="I59" s="23">
        <f>IF(AND(ISNUMBER($L59),$L59&lt;&gt;""),INDEX(Data!$Q$2:$Q$163,$L59),"")</f>
        <v/>
      </c>
      <c r="L59">
        <f>IFERROR(MATCH($B$3&amp;"|"&amp;50,Data!$A$2:$A$163,0),"")</f>
        <v/>
      </c>
    </row>
    <row r="60">
      <c r="A60" s="14">
        <f>IF(AND(ISNUMBER($L60),$L60&lt;&gt;""),INDEX(Data!$F$2:$F$163,$L60),"")</f>
        <v/>
      </c>
      <c r="B60" s="15">
        <f>IF(AND(ISNUMBER($L60),$L60&lt;&gt;""),IF(INDEX(Data!$G$2:$G$163,$L60)="","—",INDEX(Data!$G$2:$G$163,$L60)),"")</f>
        <v/>
      </c>
      <c r="C60" s="15">
        <f>IF(AND(ISNUMBER($L60),$L60&lt;&gt;""),INDEX(Data!$H$2:$H$163,$L60),"")</f>
        <v/>
      </c>
      <c r="D60" s="15">
        <f>IF(AND(ISNUMBER($L60),$L60&lt;&gt;""),IF(INDEX(Data!$I$2:$I$163,$L60)="","—",INDEX(Data!$I$2:$I$163,$L60)),"")</f>
        <v/>
      </c>
      <c r="E60" s="15">
        <f>IF(AND(ISNUMBER($L60),$L60&lt;&gt;""),IF(INDEX(Data!$J$2:$J$163,$L60)="","—",INDEX(Data!$J$2:$J$163,$L60)),"")</f>
        <v/>
      </c>
      <c r="F60" s="16">
        <f>IF(AND(ISNUMBER($L60),$L60&lt;&gt;""),IF(INDEX(Data!$K$2:$K$163,$L60)="","—",INDEX(Data!$K$2:$K$163,$L60)),"")</f>
        <v/>
      </c>
      <c r="G60" s="17">
        <f>IF(AND(ISNUMBER($L60),$L60&lt;&gt;""),IF(INDEX(Data!$L$2:$L$163,$L60)="","—",INDEX(Data!$L$2:$L$163,$L60)),"")</f>
        <v/>
      </c>
      <c r="H60" s="18">
        <f>IF(AND(ISNUMBER($L60),$L60&lt;&gt;""),INDEX(Data!$P$2:$P$163,$L60),"")</f>
        <v/>
      </c>
      <c r="I60" s="18">
        <f>IF(AND(ISNUMBER($L60),$L60&lt;&gt;""),INDEX(Data!$Q$2:$Q$163,$L60),"")</f>
        <v/>
      </c>
      <c r="L60">
        <f>IFERROR(MATCH($B$3&amp;"|"&amp;51,Data!$A$2:$A$163,0),"")</f>
        <v/>
      </c>
    </row>
    <row r="61">
      <c r="A61" s="19">
        <f>IF(AND(ISNUMBER($L61),$L61&lt;&gt;""),INDEX(Data!$F$2:$F$163,$L61),"")</f>
        <v/>
      </c>
      <c r="B61" s="20">
        <f>IF(AND(ISNUMBER($L61),$L61&lt;&gt;""),IF(INDEX(Data!$G$2:$G$163,$L61)="","—",INDEX(Data!$G$2:$G$163,$L61)),"")</f>
        <v/>
      </c>
      <c r="C61" s="20">
        <f>IF(AND(ISNUMBER($L61),$L61&lt;&gt;""),INDEX(Data!$H$2:$H$163,$L61),"")</f>
        <v/>
      </c>
      <c r="D61" s="20">
        <f>IF(AND(ISNUMBER($L61),$L61&lt;&gt;""),IF(INDEX(Data!$I$2:$I$163,$L61)="","—",INDEX(Data!$I$2:$I$163,$L61)),"")</f>
        <v/>
      </c>
      <c r="E61" s="20">
        <f>IF(AND(ISNUMBER($L61),$L61&lt;&gt;""),IF(INDEX(Data!$J$2:$J$163,$L61)="","—",INDEX(Data!$J$2:$J$163,$L61)),"")</f>
        <v/>
      </c>
      <c r="F61" s="21">
        <f>IF(AND(ISNUMBER($L61),$L61&lt;&gt;""),IF(INDEX(Data!$K$2:$K$163,$L61)="","—",INDEX(Data!$K$2:$K$163,$L61)),"")</f>
        <v/>
      </c>
      <c r="G61" s="22">
        <f>IF(AND(ISNUMBER($L61),$L61&lt;&gt;""),IF(INDEX(Data!$L$2:$L$163,$L61)="","—",INDEX(Data!$L$2:$L$163,$L61)),"")</f>
        <v/>
      </c>
      <c r="H61" s="23">
        <f>IF(AND(ISNUMBER($L61),$L61&lt;&gt;""),INDEX(Data!$P$2:$P$163,$L61),"")</f>
        <v/>
      </c>
      <c r="I61" s="23">
        <f>IF(AND(ISNUMBER($L61),$L61&lt;&gt;""),INDEX(Data!$Q$2:$Q$163,$L61),"")</f>
        <v/>
      </c>
      <c r="L61">
        <f>IFERROR(MATCH($B$3&amp;"|"&amp;52,Data!$A$2:$A$163,0),"")</f>
        <v/>
      </c>
    </row>
    <row r="62">
      <c r="A62" s="14">
        <f>IF(AND(ISNUMBER($L62),$L62&lt;&gt;""),INDEX(Data!$F$2:$F$163,$L62),"")</f>
        <v/>
      </c>
      <c r="B62" s="15">
        <f>IF(AND(ISNUMBER($L62),$L62&lt;&gt;""),IF(INDEX(Data!$G$2:$G$163,$L62)="","—",INDEX(Data!$G$2:$G$163,$L62)),"")</f>
        <v/>
      </c>
      <c r="C62" s="15">
        <f>IF(AND(ISNUMBER($L62),$L62&lt;&gt;""),INDEX(Data!$H$2:$H$163,$L62),"")</f>
        <v/>
      </c>
      <c r="D62" s="15">
        <f>IF(AND(ISNUMBER($L62),$L62&lt;&gt;""),IF(INDEX(Data!$I$2:$I$163,$L62)="","—",INDEX(Data!$I$2:$I$163,$L62)),"")</f>
        <v/>
      </c>
      <c r="E62" s="15">
        <f>IF(AND(ISNUMBER($L62),$L62&lt;&gt;""),IF(INDEX(Data!$J$2:$J$163,$L62)="","—",INDEX(Data!$J$2:$J$163,$L62)),"")</f>
        <v/>
      </c>
      <c r="F62" s="16">
        <f>IF(AND(ISNUMBER($L62),$L62&lt;&gt;""),IF(INDEX(Data!$K$2:$K$163,$L62)="","—",INDEX(Data!$K$2:$K$163,$L62)),"")</f>
        <v/>
      </c>
      <c r="G62" s="17">
        <f>IF(AND(ISNUMBER($L62),$L62&lt;&gt;""),IF(INDEX(Data!$L$2:$L$163,$L62)="","—",INDEX(Data!$L$2:$L$163,$L62)),"")</f>
        <v/>
      </c>
      <c r="H62" s="18">
        <f>IF(AND(ISNUMBER($L62),$L62&lt;&gt;""),INDEX(Data!$P$2:$P$163,$L62),"")</f>
        <v/>
      </c>
      <c r="I62" s="18">
        <f>IF(AND(ISNUMBER($L62),$L62&lt;&gt;""),INDEX(Data!$Q$2:$Q$163,$L62),"")</f>
        <v/>
      </c>
      <c r="L62">
        <f>IFERROR(MATCH($B$3&amp;"|"&amp;53,Data!$A$2:$A$163,0),"")</f>
        <v/>
      </c>
    </row>
    <row r="63">
      <c r="A63" s="19">
        <f>IF(AND(ISNUMBER($L63),$L63&lt;&gt;""),INDEX(Data!$F$2:$F$163,$L63),"")</f>
        <v/>
      </c>
      <c r="B63" s="20">
        <f>IF(AND(ISNUMBER($L63),$L63&lt;&gt;""),IF(INDEX(Data!$G$2:$G$163,$L63)="","—",INDEX(Data!$G$2:$G$163,$L63)),"")</f>
        <v/>
      </c>
      <c r="C63" s="20">
        <f>IF(AND(ISNUMBER($L63),$L63&lt;&gt;""),INDEX(Data!$H$2:$H$163,$L63),"")</f>
        <v/>
      </c>
      <c r="D63" s="20">
        <f>IF(AND(ISNUMBER($L63),$L63&lt;&gt;""),IF(INDEX(Data!$I$2:$I$163,$L63)="","—",INDEX(Data!$I$2:$I$163,$L63)),"")</f>
        <v/>
      </c>
      <c r="E63" s="20">
        <f>IF(AND(ISNUMBER($L63),$L63&lt;&gt;""),IF(INDEX(Data!$J$2:$J$163,$L63)="","—",INDEX(Data!$J$2:$J$163,$L63)),"")</f>
        <v/>
      </c>
      <c r="F63" s="21">
        <f>IF(AND(ISNUMBER($L63),$L63&lt;&gt;""),IF(INDEX(Data!$K$2:$K$163,$L63)="","—",INDEX(Data!$K$2:$K$163,$L63)),"")</f>
        <v/>
      </c>
      <c r="G63" s="22">
        <f>IF(AND(ISNUMBER($L63),$L63&lt;&gt;""),IF(INDEX(Data!$L$2:$L$163,$L63)="","—",INDEX(Data!$L$2:$L$163,$L63)),"")</f>
        <v/>
      </c>
      <c r="H63" s="23">
        <f>IF(AND(ISNUMBER($L63),$L63&lt;&gt;""),INDEX(Data!$P$2:$P$163,$L63),"")</f>
        <v/>
      </c>
      <c r="I63" s="23">
        <f>IF(AND(ISNUMBER($L63),$L63&lt;&gt;""),INDEX(Data!$Q$2:$Q$163,$L63),"")</f>
        <v/>
      </c>
      <c r="L63">
        <f>IFERROR(MATCH($B$3&amp;"|"&amp;54,Data!$A$2:$A$163,0),"")</f>
        <v/>
      </c>
    </row>
  </sheetData>
  <mergeCells count="3">
    <mergeCell ref="A1:D1"/>
    <mergeCell ref="A7:I7"/>
    <mergeCell ref="F1:I1"/>
  </mergeCells>
  <conditionalFormatting sqref="F10:G63">
    <cfRule type="expression" priority="1" dxfId="0" stopIfTrue="1">
      <formula>AND(ISNUMBER($F10),$F10=0)</formula>
    </cfRule>
    <cfRule type="expression" priority="2" dxfId="1" stopIfTrue="1">
      <formula>AND(ISNUMBER($F10),ABS($F10)&gt;=10)</formula>
    </cfRule>
    <cfRule type="expression" priority="3" dxfId="2" stopIfTrue="1">
      <formula>AND(ISNUMBER($F10),ABS($F10)&gt;=5)</formula>
    </cfRule>
    <cfRule type="expression" priority="4" dxfId="3" stopIfTrue="1">
      <formula>AND(ISNUMBER($F10),ABS($F10)&gt;=1)</formula>
    </cfRule>
  </conditionalFormatting>
  <dataValidations count="1">
    <dataValidation sqref="B3" showDropDown="0" showInputMessage="0" showErrorMessage="1" allowBlank="0" errorTitle="Not a counted day" error="Pick a trading day from the dropdown. Only days with a submitted count are in the list." type="list">
      <formula1>=Data!$AH$2:$AH$4</formula1>
    </dataValidation>
  </dataValidations>
  <printOptions horizontalCentered="1"/>
  <pageMargins left="0.4" right="0.4" top="0.5" bottom="0.5" header="0.5" footer="0.5"/>
  <pageSetup orientation="portrait" fitToHeight="1" fitToWidth="1"/>
  <headerFooter>
    <oddHeader/>
    <oddFooter>&amp;LCigarette reconciliation — &amp;A&amp;RPage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G5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s>
  <sheetData>
    <row r="1">
      <c r="A1" s="24" t="inlineStr">
        <is>
          <t>Variance by product, across days</t>
        </is>
      </c>
    </row>
    <row r="2">
      <c r="A2" s="25" t="inlineStr">
        <is>
          <t>Sorted by how many days the product disagreed with the POS, then by total. A product off a little every night sits above one that was off a lot once. Blank means no POS sales were loaded for that day.</t>
        </is>
      </c>
    </row>
    <row r="4" ht="26" customHeight="1">
      <c r="A4" s="12" t="inlineStr">
        <is>
          <t>Product</t>
        </is>
      </c>
      <c r="B4" s="26" t="inlineStr">
        <is>
          <t>09 Sep</t>
        </is>
      </c>
      <c r="C4" s="26" t="inlineStr">
        <is>
          <t>10 Sep</t>
        </is>
      </c>
      <c r="D4" s="26" t="inlineStr">
        <is>
          <t>11 Sep</t>
        </is>
      </c>
      <c r="E4" s="26" t="inlineStr">
        <is>
          <t>Days off</t>
        </is>
      </c>
      <c r="F4" s="26" t="inlineStr">
        <is>
          <t>Total</t>
        </is>
      </c>
      <c r="G4" s="26" t="inlineStr">
        <is>
          <t>Worst</t>
        </is>
      </c>
    </row>
    <row r="5">
      <c r="A5" s="19" t="inlineStr">
        <is>
          <t>Benson &amp; Hedges</t>
        </is>
      </c>
      <c r="B5" s="27" t="inlineStr">
        <is>
          <t>—</t>
        </is>
      </c>
      <c r="C5" s="27" t="inlineStr">
        <is>
          <t>—</t>
        </is>
      </c>
      <c r="D5" s="27" t="inlineStr">
        <is>
          <t>—</t>
        </is>
      </c>
      <c r="E5" s="21" t="inlineStr">
        <is>
          <t>—</t>
        </is>
      </c>
      <c r="F5" s="21" t="inlineStr">
        <is>
          <t>—</t>
        </is>
      </c>
      <c r="G5" s="20" t="inlineStr">
        <is>
          <t>—</t>
        </is>
      </c>
    </row>
    <row r="6">
      <c r="A6" s="14" t="inlineStr">
        <is>
          <t>Bond Light</t>
        </is>
      </c>
      <c r="B6" s="28" t="inlineStr">
        <is>
          <t>—</t>
        </is>
      </c>
      <c r="C6" s="28" t="inlineStr">
        <is>
          <t>—</t>
        </is>
      </c>
      <c r="D6" s="28" t="inlineStr">
        <is>
          <t>—</t>
        </is>
      </c>
      <c r="E6" s="16" t="inlineStr">
        <is>
          <t>—</t>
        </is>
      </c>
      <c r="F6" s="16" t="inlineStr">
        <is>
          <t>—</t>
        </is>
      </c>
      <c r="G6" s="15" t="inlineStr">
        <is>
          <t>—</t>
        </is>
      </c>
    </row>
    <row r="7">
      <c r="A7" s="19" t="inlineStr">
        <is>
          <t>Bond Red</t>
        </is>
      </c>
      <c r="B7" s="27" t="inlineStr">
        <is>
          <t>—</t>
        </is>
      </c>
      <c r="C7" s="27" t="inlineStr">
        <is>
          <t>—</t>
        </is>
      </c>
      <c r="D7" s="27" t="inlineStr">
        <is>
          <t>—</t>
        </is>
      </c>
      <c r="E7" s="21" t="inlineStr">
        <is>
          <t>—</t>
        </is>
      </c>
      <c r="F7" s="21" t="inlineStr">
        <is>
          <t>—</t>
        </is>
      </c>
      <c r="G7" s="20" t="inlineStr">
        <is>
          <t>—</t>
        </is>
      </c>
    </row>
    <row r="8">
      <c r="A8" s="14" t="inlineStr">
        <is>
          <t>Chesterfield Blue</t>
        </is>
      </c>
      <c r="B8" s="28" t="inlineStr">
        <is>
          <t>—</t>
        </is>
      </c>
      <c r="C8" s="28" t="inlineStr">
        <is>
          <t>—</t>
        </is>
      </c>
      <c r="D8" s="28" t="inlineStr">
        <is>
          <t>—</t>
        </is>
      </c>
      <c r="E8" s="16" t="inlineStr">
        <is>
          <t>—</t>
        </is>
      </c>
      <c r="F8" s="16" t="inlineStr">
        <is>
          <t>—</t>
        </is>
      </c>
      <c r="G8" s="15" t="inlineStr">
        <is>
          <t>—</t>
        </is>
      </c>
    </row>
    <row r="9">
      <c r="A9" s="19" t="inlineStr">
        <is>
          <t>Chesterfield Charcoal</t>
        </is>
      </c>
      <c r="B9" s="27" t="inlineStr">
        <is>
          <t>—</t>
        </is>
      </c>
      <c r="C9" s="27" t="inlineStr">
        <is>
          <t>—</t>
        </is>
      </c>
      <c r="D9" s="27" t="inlineStr">
        <is>
          <t>—</t>
        </is>
      </c>
      <c r="E9" s="21" t="inlineStr">
        <is>
          <t>—</t>
        </is>
      </c>
      <c r="F9" s="21" t="inlineStr">
        <is>
          <t>—</t>
        </is>
      </c>
      <c r="G9" s="20" t="inlineStr">
        <is>
          <t>—</t>
        </is>
      </c>
    </row>
    <row r="10">
      <c r="A10" s="14" t="inlineStr">
        <is>
          <t>Chesterfield Menthol</t>
        </is>
      </c>
      <c r="B10" s="28" t="inlineStr">
        <is>
          <t>—</t>
        </is>
      </c>
      <c r="C10" s="28" t="inlineStr">
        <is>
          <t>—</t>
        </is>
      </c>
      <c r="D10" s="28" t="inlineStr">
        <is>
          <t>—</t>
        </is>
      </c>
      <c r="E10" s="16" t="inlineStr">
        <is>
          <t>—</t>
        </is>
      </c>
      <c r="F10" s="16" t="inlineStr">
        <is>
          <t>—</t>
        </is>
      </c>
      <c r="G10" s="15" t="inlineStr">
        <is>
          <t>—</t>
        </is>
      </c>
    </row>
    <row r="11">
      <c r="A11" s="19" t="inlineStr">
        <is>
          <t>Chesterfield Purple</t>
        </is>
      </c>
      <c r="B11" s="27" t="inlineStr">
        <is>
          <t>—</t>
        </is>
      </c>
      <c r="C11" s="27" t="inlineStr">
        <is>
          <t>—</t>
        </is>
      </c>
      <c r="D11" s="27" t="inlineStr">
        <is>
          <t>—</t>
        </is>
      </c>
      <c r="E11" s="21" t="inlineStr">
        <is>
          <t>—</t>
        </is>
      </c>
      <c r="F11" s="21" t="inlineStr">
        <is>
          <t>—</t>
        </is>
      </c>
      <c r="G11" s="20" t="inlineStr">
        <is>
          <t>—</t>
        </is>
      </c>
    </row>
    <row r="12">
      <c r="A12" s="14" t="inlineStr">
        <is>
          <t>Chesterfield Red</t>
        </is>
      </c>
      <c r="B12" s="28" t="inlineStr">
        <is>
          <t>—</t>
        </is>
      </c>
      <c r="C12" s="28" t="inlineStr">
        <is>
          <t>—</t>
        </is>
      </c>
      <c r="D12" s="28" t="inlineStr">
        <is>
          <t>—</t>
        </is>
      </c>
      <c r="E12" s="16" t="inlineStr">
        <is>
          <t>—</t>
        </is>
      </c>
      <c r="F12" s="16" t="inlineStr">
        <is>
          <t>—</t>
        </is>
      </c>
      <c r="G12" s="15" t="inlineStr">
        <is>
          <t>—</t>
        </is>
      </c>
    </row>
    <row r="13">
      <c r="A13" s="19" t="inlineStr">
        <is>
          <t>Dunhill Blue</t>
        </is>
      </c>
      <c r="B13" s="27" t="inlineStr">
        <is>
          <t>—</t>
        </is>
      </c>
      <c r="C13" s="27" t="inlineStr">
        <is>
          <t>—</t>
        </is>
      </c>
      <c r="D13" s="27" t="inlineStr">
        <is>
          <t>—</t>
        </is>
      </c>
      <c r="E13" s="21" t="inlineStr">
        <is>
          <t>—</t>
        </is>
      </c>
      <c r="F13" s="21" t="inlineStr">
        <is>
          <t>—</t>
        </is>
      </c>
      <c r="G13" s="20" t="inlineStr">
        <is>
          <t>—</t>
        </is>
      </c>
    </row>
    <row r="14">
      <c r="A14" s="14" t="inlineStr">
        <is>
          <t>Dunhill Boost</t>
        </is>
      </c>
      <c r="B14" s="28" t="inlineStr">
        <is>
          <t>—</t>
        </is>
      </c>
      <c r="C14" s="28" t="inlineStr">
        <is>
          <t>—</t>
        </is>
      </c>
      <c r="D14" s="28" t="inlineStr">
        <is>
          <t>—</t>
        </is>
      </c>
      <c r="E14" s="16" t="inlineStr">
        <is>
          <t>—</t>
        </is>
      </c>
      <c r="F14" s="16" t="inlineStr">
        <is>
          <t>—</t>
        </is>
      </c>
      <c r="G14" s="15" t="inlineStr">
        <is>
          <t>—</t>
        </is>
      </c>
    </row>
    <row r="15">
      <c r="A15" s="19" t="inlineStr">
        <is>
          <t>Dunhill Classic</t>
        </is>
      </c>
      <c r="B15" s="27" t="inlineStr">
        <is>
          <t>—</t>
        </is>
      </c>
      <c r="C15" s="27" t="inlineStr">
        <is>
          <t>—</t>
        </is>
      </c>
      <c r="D15" s="27" t="inlineStr">
        <is>
          <t>—</t>
        </is>
      </c>
      <c r="E15" s="21" t="inlineStr">
        <is>
          <t>—</t>
        </is>
      </c>
      <c r="F15" s="21" t="inlineStr">
        <is>
          <t>—</t>
        </is>
      </c>
      <c r="G15" s="20" t="inlineStr">
        <is>
          <t>—</t>
        </is>
      </c>
    </row>
    <row r="16">
      <c r="A16" s="14" t="inlineStr">
        <is>
          <t>Dunhill Menthol</t>
        </is>
      </c>
      <c r="B16" s="28" t="inlineStr">
        <is>
          <t>—</t>
        </is>
      </c>
      <c r="C16" s="28" t="inlineStr">
        <is>
          <t>—</t>
        </is>
      </c>
      <c r="D16" s="28" t="inlineStr">
        <is>
          <t>—</t>
        </is>
      </c>
      <c r="E16" s="16" t="inlineStr">
        <is>
          <t>—</t>
        </is>
      </c>
      <c r="F16" s="16" t="inlineStr">
        <is>
          <t>—</t>
        </is>
      </c>
      <c r="G16" s="15" t="inlineStr">
        <is>
          <t>—</t>
        </is>
      </c>
    </row>
    <row r="17">
      <c r="A17" s="19" t="inlineStr">
        <is>
          <t>Dunhill Mix</t>
        </is>
      </c>
      <c r="B17" s="27" t="inlineStr">
        <is>
          <t>—</t>
        </is>
      </c>
      <c r="C17" s="27" t="inlineStr">
        <is>
          <t>—</t>
        </is>
      </c>
      <c r="D17" s="27" t="inlineStr">
        <is>
          <t>—</t>
        </is>
      </c>
      <c r="E17" s="21" t="inlineStr">
        <is>
          <t>—</t>
        </is>
      </c>
      <c r="F17" s="21" t="inlineStr">
        <is>
          <t>—</t>
        </is>
      </c>
      <c r="G17" s="20" t="inlineStr">
        <is>
          <t>—</t>
        </is>
      </c>
    </row>
    <row r="18">
      <c r="A18" s="14" t="inlineStr">
        <is>
          <t>Dunhill Red</t>
        </is>
      </c>
      <c r="B18" s="28" t="inlineStr">
        <is>
          <t>—</t>
        </is>
      </c>
      <c r="C18" s="28" t="inlineStr">
        <is>
          <t>—</t>
        </is>
      </c>
      <c r="D18" s="28" t="inlineStr">
        <is>
          <t>—</t>
        </is>
      </c>
      <c r="E18" s="16" t="inlineStr">
        <is>
          <t>—</t>
        </is>
      </c>
      <c r="F18" s="16" t="inlineStr">
        <is>
          <t>—</t>
        </is>
      </c>
      <c r="G18" s="15" t="inlineStr">
        <is>
          <t>—</t>
        </is>
      </c>
    </row>
    <row r="19">
      <c r="A19" s="19" t="inlineStr">
        <is>
          <t>Dunhill Switch</t>
        </is>
      </c>
      <c r="B19" s="27" t="inlineStr">
        <is>
          <t>—</t>
        </is>
      </c>
      <c r="C19" s="27" t="inlineStr">
        <is>
          <t>—</t>
        </is>
      </c>
      <c r="D19" s="27" t="inlineStr">
        <is>
          <t>—</t>
        </is>
      </c>
      <c r="E19" s="21" t="inlineStr">
        <is>
          <t>—</t>
        </is>
      </c>
      <c r="F19" s="21" t="inlineStr">
        <is>
          <t>—</t>
        </is>
      </c>
      <c r="G19" s="20" t="inlineStr">
        <is>
          <t>—</t>
        </is>
      </c>
    </row>
    <row r="20">
      <c r="A20" s="14" t="inlineStr">
        <is>
          <t>Dunhill Zest</t>
        </is>
      </c>
      <c r="B20" s="28" t="inlineStr">
        <is>
          <t>—</t>
        </is>
      </c>
      <c r="C20" s="28" t="inlineStr">
        <is>
          <t>—</t>
        </is>
      </c>
      <c r="D20" s="28" t="inlineStr">
        <is>
          <t>—</t>
        </is>
      </c>
      <c r="E20" s="16" t="inlineStr">
        <is>
          <t>—</t>
        </is>
      </c>
      <c r="F20" s="16" t="inlineStr">
        <is>
          <t>—</t>
        </is>
      </c>
      <c r="G20" s="15" t="inlineStr">
        <is>
          <t>—</t>
        </is>
      </c>
    </row>
    <row r="21">
      <c r="A21" s="19" t="inlineStr">
        <is>
          <t>Kyo Original</t>
        </is>
      </c>
      <c r="B21" s="27" t="inlineStr">
        <is>
          <t>—</t>
        </is>
      </c>
      <c r="C21" s="27" t="inlineStr">
        <is>
          <t>—</t>
        </is>
      </c>
      <c r="D21" s="27" t="inlineStr">
        <is>
          <t>—</t>
        </is>
      </c>
      <c r="E21" s="21" t="inlineStr">
        <is>
          <t>—</t>
        </is>
      </c>
      <c r="F21" s="21" t="inlineStr">
        <is>
          <t>—</t>
        </is>
      </c>
      <c r="G21" s="20" t="inlineStr">
        <is>
          <t>—</t>
        </is>
      </c>
    </row>
    <row r="22">
      <c r="A22" s="14" t="inlineStr">
        <is>
          <t>Kyo Silver</t>
        </is>
      </c>
      <c r="B22" s="28" t="inlineStr">
        <is>
          <t>—</t>
        </is>
      </c>
      <c r="C22" s="28" t="inlineStr">
        <is>
          <t>—</t>
        </is>
      </c>
      <c r="D22" s="28" t="inlineStr">
        <is>
          <t>—</t>
        </is>
      </c>
      <c r="E22" s="16" t="inlineStr">
        <is>
          <t>—</t>
        </is>
      </c>
      <c r="F22" s="16" t="inlineStr">
        <is>
          <t>—</t>
        </is>
      </c>
      <c r="G22" s="15" t="inlineStr">
        <is>
          <t>—</t>
        </is>
      </c>
    </row>
    <row r="23">
      <c r="A23" s="19" t="inlineStr">
        <is>
          <t>LD 100 Red</t>
        </is>
      </c>
      <c r="B23" s="27" t="inlineStr">
        <is>
          <t>—</t>
        </is>
      </c>
      <c r="C23" s="27" t="inlineStr">
        <is>
          <t>—</t>
        </is>
      </c>
      <c r="D23" s="27" t="inlineStr">
        <is>
          <t>—</t>
        </is>
      </c>
      <c r="E23" s="21" t="inlineStr">
        <is>
          <t>—</t>
        </is>
      </c>
      <c r="F23" s="21" t="inlineStr">
        <is>
          <t>—</t>
        </is>
      </c>
      <c r="G23" s="20" t="inlineStr">
        <is>
          <t>—</t>
        </is>
      </c>
    </row>
    <row r="24">
      <c r="A24" s="14" t="inlineStr">
        <is>
          <t>LD Blue</t>
        </is>
      </c>
      <c r="B24" s="28" t="inlineStr">
        <is>
          <t>—</t>
        </is>
      </c>
      <c r="C24" s="28" t="inlineStr">
        <is>
          <t>—</t>
        </is>
      </c>
      <c r="D24" s="28" t="inlineStr">
        <is>
          <t>—</t>
        </is>
      </c>
      <c r="E24" s="16" t="inlineStr">
        <is>
          <t>—</t>
        </is>
      </c>
      <c r="F24" s="16" t="inlineStr">
        <is>
          <t>—</t>
        </is>
      </c>
      <c r="G24" s="15" t="inlineStr">
        <is>
          <t>—</t>
        </is>
      </c>
    </row>
    <row r="25">
      <c r="A25" s="19" t="inlineStr">
        <is>
          <t>LD Menthol</t>
        </is>
      </c>
      <c r="B25" s="27" t="inlineStr">
        <is>
          <t>—</t>
        </is>
      </c>
      <c r="C25" s="27" t="inlineStr">
        <is>
          <t>—</t>
        </is>
      </c>
      <c r="D25" s="27" t="inlineStr">
        <is>
          <t>—</t>
        </is>
      </c>
      <c r="E25" s="21" t="inlineStr">
        <is>
          <t>—</t>
        </is>
      </c>
      <c r="F25" s="21" t="inlineStr">
        <is>
          <t>—</t>
        </is>
      </c>
      <c r="G25" s="20" t="inlineStr">
        <is>
          <t>—</t>
        </is>
      </c>
    </row>
    <row r="26">
      <c r="A26" s="14" t="inlineStr">
        <is>
          <t>LD Purple</t>
        </is>
      </c>
      <c r="B26" s="28" t="inlineStr">
        <is>
          <t>—</t>
        </is>
      </c>
      <c r="C26" s="28" t="inlineStr">
        <is>
          <t>—</t>
        </is>
      </c>
      <c r="D26" s="28" t="inlineStr">
        <is>
          <t>—</t>
        </is>
      </c>
      <c r="E26" s="16" t="inlineStr">
        <is>
          <t>—</t>
        </is>
      </c>
      <c r="F26" s="16" t="inlineStr">
        <is>
          <t>—</t>
        </is>
      </c>
      <c r="G26" s="15" t="inlineStr">
        <is>
          <t>—</t>
        </is>
      </c>
    </row>
    <row r="27">
      <c r="A27" s="19" t="inlineStr">
        <is>
          <t>LD Red</t>
        </is>
      </c>
      <c r="B27" s="27" t="inlineStr">
        <is>
          <t>—</t>
        </is>
      </c>
      <c r="C27" s="27" t="inlineStr">
        <is>
          <t>—</t>
        </is>
      </c>
      <c r="D27" s="27" t="inlineStr">
        <is>
          <t>—</t>
        </is>
      </c>
      <c r="E27" s="21" t="inlineStr">
        <is>
          <t>—</t>
        </is>
      </c>
      <c r="F27" s="21" t="inlineStr">
        <is>
          <t>—</t>
        </is>
      </c>
      <c r="G27" s="20" t="inlineStr">
        <is>
          <t>—</t>
        </is>
      </c>
    </row>
    <row r="28">
      <c r="A28" s="14" t="inlineStr">
        <is>
          <t>LD Zoom</t>
        </is>
      </c>
      <c r="B28" s="28" t="inlineStr">
        <is>
          <t>—</t>
        </is>
      </c>
      <c r="C28" s="28" t="inlineStr">
        <is>
          <t>—</t>
        </is>
      </c>
      <c r="D28" s="28" t="inlineStr">
        <is>
          <t>—</t>
        </is>
      </c>
      <c r="E28" s="16" t="inlineStr">
        <is>
          <t>—</t>
        </is>
      </c>
      <c r="F28" s="16" t="inlineStr">
        <is>
          <t>—</t>
        </is>
      </c>
      <c r="G28" s="15" t="inlineStr">
        <is>
          <t>—</t>
        </is>
      </c>
    </row>
    <row r="29">
      <c r="A29" s="19" t="inlineStr">
        <is>
          <t>Marlboro Black</t>
        </is>
      </c>
      <c r="B29" s="27" t="inlineStr">
        <is>
          <t>—</t>
        </is>
      </c>
      <c r="C29" s="27" t="inlineStr">
        <is>
          <t>—</t>
        </is>
      </c>
      <c r="D29" s="27" t="inlineStr">
        <is>
          <t>—</t>
        </is>
      </c>
      <c r="E29" s="21" t="inlineStr">
        <is>
          <t>—</t>
        </is>
      </c>
      <c r="F29" s="21" t="inlineStr">
        <is>
          <t>—</t>
        </is>
      </c>
      <c r="G29" s="20" t="inlineStr">
        <is>
          <t>—</t>
        </is>
      </c>
    </row>
    <row r="30">
      <c r="A30" s="14" t="inlineStr">
        <is>
          <t>Marlboro Double Burst</t>
        </is>
      </c>
      <c r="B30" s="28" t="inlineStr">
        <is>
          <t>—</t>
        </is>
      </c>
      <c r="C30" s="28" t="inlineStr">
        <is>
          <t>—</t>
        </is>
      </c>
      <c r="D30" s="28" t="inlineStr">
        <is>
          <t>—</t>
        </is>
      </c>
      <c r="E30" s="16" t="inlineStr">
        <is>
          <t>—</t>
        </is>
      </c>
      <c r="F30" s="16" t="inlineStr">
        <is>
          <t>—</t>
        </is>
      </c>
      <c r="G30" s="15" t="inlineStr">
        <is>
          <t>—</t>
        </is>
      </c>
    </row>
    <row r="31">
      <c r="A31" s="19" t="inlineStr">
        <is>
          <t>Marlboro Gold</t>
        </is>
      </c>
      <c r="B31" s="27" t="inlineStr">
        <is>
          <t>—</t>
        </is>
      </c>
      <c r="C31" s="27" t="inlineStr">
        <is>
          <t>—</t>
        </is>
      </c>
      <c r="D31" s="27" t="inlineStr">
        <is>
          <t>—</t>
        </is>
      </c>
      <c r="E31" s="21" t="inlineStr">
        <is>
          <t>—</t>
        </is>
      </c>
      <c r="F31" s="21" t="inlineStr">
        <is>
          <t>—</t>
        </is>
      </c>
      <c r="G31" s="20" t="inlineStr">
        <is>
          <t>—</t>
        </is>
      </c>
    </row>
    <row r="32">
      <c r="A32" s="14" t="inlineStr">
        <is>
          <t>Marlboro Ice</t>
        </is>
      </c>
      <c r="B32" s="28" t="inlineStr">
        <is>
          <t>—</t>
        </is>
      </c>
      <c r="C32" s="28" t="inlineStr">
        <is>
          <t>—</t>
        </is>
      </c>
      <c r="D32" s="28" t="inlineStr">
        <is>
          <t>—</t>
        </is>
      </c>
      <c r="E32" s="16" t="inlineStr">
        <is>
          <t>—</t>
        </is>
      </c>
      <c r="F32" s="16" t="inlineStr">
        <is>
          <t>—</t>
        </is>
      </c>
      <c r="G32" s="15" t="inlineStr">
        <is>
          <t>—</t>
        </is>
      </c>
    </row>
    <row r="33">
      <c r="A33" s="19" t="inlineStr">
        <is>
          <t>Marlboro Menthol</t>
        </is>
      </c>
      <c r="B33" s="27" t="inlineStr">
        <is>
          <t>—</t>
        </is>
      </c>
      <c r="C33" s="27" t="inlineStr">
        <is>
          <t>—</t>
        </is>
      </c>
      <c r="D33" s="27" t="inlineStr">
        <is>
          <t>—</t>
        </is>
      </c>
      <c r="E33" s="21" t="inlineStr">
        <is>
          <t>—</t>
        </is>
      </c>
      <c r="F33" s="21" t="inlineStr">
        <is>
          <t>—</t>
        </is>
      </c>
      <c r="G33" s="20" t="inlineStr">
        <is>
          <t>—</t>
        </is>
      </c>
    </row>
    <row r="34">
      <c r="A34" s="14" t="inlineStr">
        <is>
          <t>Marlboro Red</t>
        </is>
      </c>
      <c r="B34" s="28" t="inlineStr">
        <is>
          <t>—</t>
        </is>
      </c>
      <c r="C34" s="28" t="inlineStr">
        <is>
          <t>—</t>
        </is>
      </c>
      <c r="D34" s="28" t="inlineStr">
        <is>
          <t>—</t>
        </is>
      </c>
      <c r="E34" s="16" t="inlineStr">
        <is>
          <t>—</t>
        </is>
      </c>
      <c r="F34" s="16" t="inlineStr">
        <is>
          <t>—</t>
        </is>
      </c>
      <c r="G34" s="15" t="inlineStr">
        <is>
          <t>—</t>
        </is>
      </c>
    </row>
    <row r="35">
      <c r="A35" s="19" t="inlineStr">
        <is>
          <t>Marlboro Summer</t>
        </is>
      </c>
      <c r="B35" s="27" t="inlineStr">
        <is>
          <t>—</t>
        </is>
      </c>
      <c r="C35" s="27" t="inlineStr">
        <is>
          <t>—</t>
        </is>
      </c>
      <c r="D35" s="27" t="inlineStr">
        <is>
          <t>—</t>
        </is>
      </c>
      <c r="E35" s="21" t="inlineStr">
        <is>
          <t>—</t>
        </is>
      </c>
      <c r="F35" s="21" t="inlineStr">
        <is>
          <t>—</t>
        </is>
      </c>
      <c r="G35" s="20" t="inlineStr">
        <is>
          <t>—</t>
        </is>
      </c>
    </row>
    <row r="36">
      <c r="A36" s="14" t="inlineStr">
        <is>
          <t>Marlboro Tropical</t>
        </is>
      </c>
      <c r="B36" s="28" t="inlineStr">
        <is>
          <t>—</t>
        </is>
      </c>
      <c r="C36" s="28" t="inlineStr">
        <is>
          <t>—</t>
        </is>
      </c>
      <c r="D36" s="28" t="inlineStr">
        <is>
          <t>—</t>
        </is>
      </c>
      <c r="E36" s="16" t="inlineStr">
        <is>
          <t>—</t>
        </is>
      </c>
      <c r="F36" s="16" t="inlineStr">
        <is>
          <t>—</t>
        </is>
      </c>
      <c r="G36" s="15" t="inlineStr">
        <is>
          <t>—</t>
        </is>
      </c>
    </row>
    <row r="37">
      <c r="A37" s="19" t="inlineStr">
        <is>
          <t>Mevius Blue</t>
        </is>
      </c>
      <c r="B37" s="27" t="inlineStr">
        <is>
          <t>—</t>
        </is>
      </c>
      <c r="C37" s="27" t="inlineStr">
        <is>
          <t>—</t>
        </is>
      </c>
      <c r="D37" s="27" t="inlineStr">
        <is>
          <t>—</t>
        </is>
      </c>
      <c r="E37" s="21" t="inlineStr">
        <is>
          <t>—</t>
        </is>
      </c>
      <c r="F37" s="21" t="inlineStr">
        <is>
          <t>—</t>
        </is>
      </c>
      <c r="G37" s="20" t="inlineStr">
        <is>
          <t>—</t>
        </is>
      </c>
    </row>
    <row r="38">
      <c r="A38" s="14" t="inlineStr">
        <is>
          <t>Mevius Duo</t>
        </is>
      </c>
      <c r="B38" s="28" t="inlineStr">
        <is>
          <t>—</t>
        </is>
      </c>
      <c r="C38" s="28" t="inlineStr">
        <is>
          <t>—</t>
        </is>
      </c>
      <c r="D38" s="28" t="inlineStr">
        <is>
          <t>—</t>
        </is>
      </c>
      <c r="E38" s="16" t="inlineStr">
        <is>
          <t>—</t>
        </is>
      </c>
      <c r="F38" s="16" t="inlineStr">
        <is>
          <t>—</t>
        </is>
      </c>
      <c r="G38" s="15" t="inlineStr">
        <is>
          <t>—</t>
        </is>
      </c>
    </row>
    <row r="39">
      <c r="A39" s="19" t="inlineStr">
        <is>
          <t>Mevius Kiwami</t>
        </is>
      </c>
      <c r="B39" s="27" t="inlineStr">
        <is>
          <t>—</t>
        </is>
      </c>
      <c r="C39" s="27" t="inlineStr">
        <is>
          <t>—</t>
        </is>
      </c>
      <c r="D39" s="27" t="inlineStr">
        <is>
          <t>—</t>
        </is>
      </c>
      <c r="E39" s="21" t="inlineStr">
        <is>
          <t>—</t>
        </is>
      </c>
      <c r="F39" s="21" t="inlineStr">
        <is>
          <t>—</t>
        </is>
      </c>
      <c r="G39" s="20" t="inlineStr">
        <is>
          <t>—</t>
        </is>
      </c>
    </row>
    <row r="40">
      <c r="A40" s="14" t="inlineStr">
        <is>
          <t>Mevius Menthol</t>
        </is>
      </c>
      <c r="B40" s="28" t="inlineStr">
        <is>
          <t>—</t>
        </is>
      </c>
      <c r="C40" s="28" t="inlineStr">
        <is>
          <t>—</t>
        </is>
      </c>
      <c r="D40" s="28" t="inlineStr">
        <is>
          <t>—</t>
        </is>
      </c>
      <c r="E40" s="16" t="inlineStr">
        <is>
          <t>—</t>
        </is>
      </c>
      <c r="F40" s="16" t="inlineStr">
        <is>
          <t>—</t>
        </is>
      </c>
      <c r="G40" s="15" t="inlineStr">
        <is>
          <t>—</t>
        </is>
      </c>
    </row>
    <row r="41">
      <c r="A41" s="19" t="inlineStr">
        <is>
          <t>Mevius Menthol White</t>
        </is>
      </c>
      <c r="B41" s="27" t="inlineStr">
        <is>
          <t>—</t>
        </is>
      </c>
      <c r="C41" s="27" t="inlineStr">
        <is>
          <t>—</t>
        </is>
      </c>
      <c r="D41" s="27" t="inlineStr">
        <is>
          <t>—</t>
        </is>
      </c>
      <c r="E41" s="21" t="inlineStr">
        <is>
          <t>—</t>
        </is>
      </c>
      <c r="F41" s="21" t="inlineStr">
        <is>
          <t>—</t>
        </is>
      </c>
      <c r="G41" s="20" t="inlineStr">
        <is>
          <t>—</t>
        </is>
      </c>
    </row>
    <row r="42">
      <c r="A42" s="14" t="inlineStr">
        <is>
          <t>Mevius Sky Blue</t>
        </is>
      </c>
      <c r="B42" s="28" t="inlineStr">
        <is>
          <t>—</t>
        </is>
      </c>
      <c r="C42" s="28" t="inlineStr">
        <is>
          <t>—</t>
        </is>
      </c>
      <c r="D42" s="28" t="inlineStr">
        <is>
          <t>—</t>
        </is>
      </c>
      <c r="E42" s="16" t="inlineStr">
        <is>
          <t>—</t>
        </is>
      </c>
      <c r="F42" s="16" t="inlineStr">
        <is>
          <t>—</t>
        </is>
      </c>
      <c r="G42" s="15" t="inlineStr">
        <is>
          <t>—</t>
        </is>
      </c>
    </row>
    <row r="43">
      <c r="A43" s="19" t="inlineStr">
        <is>
          <t>Mevius Wind Blue</t>
        </is>
      </c>
      <c r="B43" s="27" t="inlineStr">
        <is>
          <t>—</t>
        </is>
      </c>
      <c r="C43" s="27" t="inlineStr">
        <is>
          <t>—</t>
        </is>
      </c>
      <c r="D43" s="27" t="inlineStr">
        <is>
          <t>—</t>
        </is>
      </c>
      <c r="E43" s="21" t="inlineStr">
        <is>
          <t>—</t>
        </is>
      </c>
      <c r="F43" s="21" t="inlineStr">
        <is>
          <t>—</t>
        </is>
      </c>
      <c r="G43" s="20" t="inlineStr">
        <is>
          <t>—</t>
        </is>
      </c>
    </row>
    <row r="44">
      <c r="A44" s="14" t="inlineStr">
        <is>
          <t>Mevius Yellow</t>
        </is>
      </c>
      <c r="B44" s="28" t="inlineStr">
        <is>
          <t>—</t>
        </is>
      </c>
      <c r="C44" s="28" t="inlineStr">
        <is>
          <t>—</t>
        </is>
      </c>
      <c r="D44" s="28" t="inlineStr">
        <is>
          <t>—</t>
        </is>
      </c>
      <c r="E44" s="16" t="inlineStr">
        <is>
          <t>—</t>
        </is>
      </c>
      <c r="F44" s="16" t="inlineStr">
        <is>
          <t>—</t>
        </is>
      </c>
      <c r="G44" s="15" t="inlineStr">
        <is>
          <t>—</t>
        </is>
      </c>
    </row>
    <row r="45">
      <c r="A45" s="19" t="inlineStr">
        <is>
          <t>Peter Stuyvesant Blue</t>
        </is>
      </c>
      <c r="B45" s="27" t="inlineStr">
        <is>
          <t>—</t>
        </is>
      </c>
      <c r="C45" s="27" t="inlineStr">
        <is>
          <t>—</t>
        </is>
      </c>
      <c r="D45" s="27" t="inlineStr">
        <is>
          <t>—</t>
        </is>
      </c>
      <c r="E45" s="21" t="inlineStr">
        <is>
          <t>—</t>
        </is>
      </c>
      <c r="F45" s="21" t="inlineStr">
        <is>
          <t>—</t>
        </is>
      </c>
      <c r="G45" s="20" t="inlineStr">
        <is>
          <t>—</t>
        </is>
      </c>
    </row>
    <row r="46">
      <c r="A46" s="14" t="inlineStr">
        <is>
          <t>Peter Stuyvesant Red</t>
        </is>
      </c>
      <c r="B46" s="28" t="inlineStr">
        <is>
          <t>—</t>
        </is>
      </c>
      <c r="C46" s="28" t="inlineStr">
        <is>
          <t>—</t>
        </is>
      </c>
      <c r="D46" s="28" t="inlineStr">
        <is>
          <t>—</t>
        </is>
      </c>
      <c r="E46" s="16" t="inlineStr">
        <is>
          <t>—</t>
        </is>
      </c>
      <c r="F46" s="16" t="inlineStr">
        <is>
          <t>—</t>
        </is>
      </c>
      <c r="G46" s="15" t="inlineStr">
        <is>
          <t>—</t>
        </is>
      </c>
    </row>
    <row r="47">
      <c r="A47" s="19" t="inlineStr">
        <is>
          <t>Peter Stuyvesant Remix</t>
        </is>
      </c>
      <c r="B47" s="27" t="inlineStr">
        <is>
          <t>—</t>
        </is>
      </c>
      <c r="C47" s="27" t="inlineStr">
        <is>
          <t>—</t>
        </is>
      </c>
      <c r="D47" s="27" t="inlineStr">
        <is>
          <t>—</t>
        </is>
      </c>
      <c r="E47" s="21" t="inlineStr">
        <is>
          <t>—</t>
        </is>
      </c>
      <c r="F47" s="21" t="inlineStr">
        <is>
          <t>—</t>
        </is>
      </c>
      <c r="G47" s="20" t="inlineStr">
        <is>
          <t>—</t>
        </is>
      </c>
    </row>
    <row r="48">
      <c r="A48" s="14" t="inlineStr">
        <is>
          <t>Rothmans Blue</t>
        </is>
      </c>
      <c r="B48" s="28" t="inlineStr">
        <is>
          <t>—</t>
        </is>
      </c>
      <c r="C48" s="28" t="inlineStr">
        <is>
          <t>—</t>
        </is>
      </c>
      <c r="D48" s="28" t="inlineStr">
        <is>
          <t>—</t>
        </is>
      </c>
      <c r="E48" s="16" t="inlineStr">
        <is>
          <t>—</t>
        </is>
      </c>
      <c r="F48" s="16" t="inlineStr">
        <is>
          <t>—</t>
        </is>
      </c>
      <c r="G48" s="15" t="inlineStr">
        <is>
          <t>—</t>
        </is>
      </c>
    </row>
    <row r="49">
      <c r="A49" s="19" t="inlineStr">
        <is>
          <t>Rothmans Charcoal</t>
        </is>
      </c>
      <c r="B49" s="27" t="inlineStr">
        <is>
          <t>—</t>
        </is>
      </c>
      <c r="C49" s="27" t="inlineStr">
        <is>
          <t>—</t>
        </is>
      </c>
      <c r="D49" s="27" t="inlineStr">
        <is>
          <t>—</t>
        </is>
      </c>
      <c r="E49" s="21" t="inlineStr">
        <is>
          <t>—</t>
        </is>
      </c>
      <c r="F49" s="21" t="inlineStr">
        <is>
          <t>—</t>
        </is>
      </c>
      <c r="G49" s="20" t="inlineStr">
        <is>
          <t>—</t>
        </is>
      </c>
    </row>
    <row r="50">
      <c r="A50" s="14" t="inlineStr">
        <is>
          <t>Rothmans Kool Hokkaido Mint</t>
        </is>
      </c>
      <c r="B50" s="28" t="inlineStr">
        <is>
          <t>—</t>
        </is>
      </c>
      <c r="C50" s="28" t="inlineStr">
        <is>
          <t>—</t>
        </is>
      </c>
      <c r="D50" s="28" t="inlineStr">
        <is>
          <t>—</t>
        </is>
      </c>
      <c r="E50" s="16" t="inlineStr">
        <is>
          <t>—</t>
        </is>
      </c>
      <c r="F50" s="16" t="inlineStr">
        <is>
          <t>—</t>
        </is>
      </c>
      <c r="G50" s="15" t="inlineStr">
        <is>
          <t>—</t>
        </is>
      </c>
    </row>
    <row r="51">
      <c r="A51" s="19" t="inlineStr">
        <is>
          <t>Rothmans Menthol</t>
        </is>
      </c>
      <c r="B51" s="27" t="inlineStr">
        <is>
          <t>—</t>
        </is>
      </c>
      <c r="C51" s="27" t="inlineStr">
        <is>
          <t>—</t>
        </is>
      </c>
      <c r="D51" s="27" t="inlineStr">
        <is>
          <t>—</t>
        </is>
      </c>
      <c r="E51" s="21" t="inlineStr">
        <is>
          <t>—</t>
        </is>
      </c>
      <c r="F51" s="21" t="inlineStr">
        <is>
          <t>—</t>
        </is>
      </c>
      <c r="G51" s="20" t="inlineStr">
        <is>
          <t>—</t>
        </is>
      </c>
    </row>
    <row r="52">
      <c r="A52" s="14" t="inlineStr">
        <is>
          <t>Rothmans Purple</t>
        </is>
      </c>
      <c r="B52" s="28" t="inlineStr">
        <is>
          <t>—</t>
        </is>
      </c>
      <c r="C52" s="28" t="inlineStr">
        <is>
          <t>—</t>
        </is>
      </c>
      <c r="D52" s="28" t="inlineStr">
        <is>
          <t>—</t>
        </is>
      </c>
      <c r="E52" s="16" t="inlineStr">
        <is>
          <t>—</t>
        </is>
      </c>
      <c r="F52" s="16" t="inlineStr">
        <is>
          <t>—</t>
        </is>
      </c>
      <c r="G52" s="15" t="inlineStr">
        <is>
          <t>—</t>
        </is>
      </c>
    </row>
    <row r="53">
      <c r="A53" s="19" t="inlineStr">
        <is>
          <t>Rothmans Red</t>
        </is>
      </c>
      <c r="B53" s="27" t="inlineStr">
        <is>
          <t>—</t>
        </is>
      </c>
      <c r="C53" s="27" t="inlineStr">
        <is>
          <t>—</t>
        </is>
      </c>
      <c r="D53" s="27" t="inlineStr">
        <is>
          <t>—</t>
        </is>
      </c>
      <c r="E53" s="21" t="inlineStr">
        <is>
          <t>—</t>
        </is>
      </c>
      <c r="F53" s="21" t="inlineStr">
        <is>
          <t>—</t>
        </is>
      </c>
      <c r="G53" s="20" t="inlineStr">
        <is>
          <t>—</t>
        </is>
      </c>
    </row>
    <row r="54">
      <c r="A54" s="14" t="inlineStr">
        <is>
          <t>Sampoerna Menthol</t>
        </is>
      </c>
      <c r="B54" s="28" t="inlineStr">
        <is>
          <t>—</t>
        </is>
      </c>
      <c r="C54" s="28" t="inlineStr">
        <is>
          <t>—</t>
        </is>
      </c>
      <c r="D54" s="28" t="inlineStr">
        <is>
          <t>—</t>
        </is>
      </c>
      <c r="E54" s="16" t="inlineStr">
        <is>
          <t>—</t>
        </is>
      </c>
      <c r="F54" s="16" t="inlineStr">
        <is>
          <t>—</t>
        </is>
      </c>
      <c r="G54" s="15" t="inlineStr">
        <is>
          <t>—</t>
        </is>
      </c>
    </row>
    <row r="55">
      <c r="A55" s="19" t="inlineStr">
        <is>
          <t>Sampoerna Red</t>
        </is>
      </c>
      <c r="B55" s="27" t="inlineStr">
        <is>
          <t>—</t>
        </is>
      </c>
      <c r="C55" s="27" t="inlineStr">
        <is>
          <t>—</t>
        </is>
      </c>
      <c r="D55" s="27" t="inlineStr">
        <is>
          <t>—</t>
        </is>
      </c>
      <c r="E55" s="21" t="inlineStr">
        <is>
          <t>—</t>
        </is>
      </c>
      <c r="F55" s="21" t="inlineStr">
        <is>
          <t>—</t>
        </is>
      </c>
      <c r="G55" s="20" t="inlineStr">
        <is>
          <t>—</t>
        </is>
      </c>
    </row>
    <row r="56">
      <c r="A56" s="14" t="inlineStr">
        <is>
          <t>Winston Blue</t>
        </is>
      </c>
      <c r="B56" s="28" t="inlineStr">
        <is>
          <t>—</t>
        </is>
      </c>
      <c r="C56" s="28" t="inlineStr">
        <is>
          <t>—</t>
        </is>
      </c>
      <c r="D56" s="28" t="inlineStr">
        <is>
          <t>—</t>
        </is>
      </c>
      <c r="E56" s="16" t="inlineStr">
        <is>
          <t>—</t>
        </is>
      </c>
      <c r="F56" s="16" t="inlineStr">
        <is>
          <t>—</t>
        </is>
      </c>
      <c r="G56" s="15" t="inlineStr">
        <is>
          <t>—</t>
        </is>
      </c>
    </row>
    <row r="57">
      <c r="A57" s="19" t="inlineStr">
        <is>
          <t>Winston Duo Berry</t>
        </is>
      </c>
      <c r="B57" s="27" t="inlineStr">
        <is>
          <t>—</t>
        </is>
      </c>
      <c r="C57" s="27" t="inlineStr">
        <is>
          <t>—</t>
        </is>
      </c>
      <c r="D57" s="27" t="inlineStr">
        <is>
          <t>—</t>
        </is>
      </c>
      <c r="E57" s="21" t="inlineStr">
        <is>
          <t>—</t>
        </is>
      </c>
      <c r="F57" s="21" t="inlineStr">
        <is>
          <t>—</t>
        </is>
      </c>
      <c r="G57" s="20" t="inlineStr">
        <is>
          <t>—</t>
        </is>
      </c>
    </row>
    <row r="58">
      <c r="A58" s="14" t="inlineStr">
        <is>
          <t>Winston Red</t>
        </is>
      </c>
      <c r="B58" s="28" t="inlineStr">
        <is>
          <t>—</t>
        </is>
      </c>
      <c r="C58" s="28" t="inlineStr">
        <is>
          <t>—</t>
        </is>
      </c>
      <c r="D58" s="28" t="inlineStr">
        <is>
          <t>—</t>
        </is>
      </c>
      <c r="E58" s="16" t="inlineStr">
        <is>
          <t>—</t>
        </is>
      </c>
      <c r="F58" s="16" t="inlineStr">
        <is>
          <t>—</t>
        </is>
      </c>
      <c r="G58" s="15" t="inlineStr">
        <is>
          <t>—</t>
        </is>
      </c>
    </row>
  </sheetData>
  <mergeCells count="1">
    <mergeCell ref="A2:G2"/>
  </mergeCells>
  <conditionalFormatting sqref="B5:D58">
    <cfRule type="expression" priority="1" dxfId="0" stopIfTrue="1">
      <formula>AND(ISNUMBER(B5),B5=0)</formula>
    </cfRule>
    <cfRule type="expression" priority="2" dxfId="1" stopIfTrue="1">
      <formula>AND(ISNUMBER(B5),ABS(B5)&gt;=10)</formula>
    </cfRule>
    <cfRule type="expression" priority="3" dxfId="2" stopIfTrue="1">
      <formula>AND(ISNUMBER(B5),ABS(B5)&gt;=5)</formula>
    </cfRule>
    <cfRule type="expression" priority="4" dxfId="3" stopIfTrue="1">
      <formula>AND(ISNUMBER(B5),ABS(B5)&gt;=1)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12" customWidth="1" min="1" max="1"/>
  </cols>
  <sheetData>
    <row r="1">
      <c r="A1" s="24" t="inlineStr">
        <is>
          <t>Cigarette reconciliation — how to read this</t>
        </is>
      </c>
    </row>
    <row r="2">
      <c r="A2" s="29" t="inlineStr"/>
    </row>
    <row r="3">
      <c r="A3" s="30" t="inlineStr">
        <is>
          <t>Daily</t>
        </is>
      </c>
    </row>
    <row r="4">
      <c r="A4" s="29" t="inlineStr">
        <is>
          <t>Pick a trading day from the dropdown at the top. Everything below it, and every figure in the summary, follows that one choice — one table, one set of formatting. Rows are ordered by how far the variance is from zero, so whatever needs attention is at the top rather than wherever the alphabet put it.</t>
        </is>
      </c>
    </row>
    <row r="5">
      <c r="A5" s="29" t="inlineStr">
        <is>
          <t>Ctrl+P prints exactly the day on screen, on one page, with the header row repeated.</t>
        </is>
      </c>
    </row>
    <row r="6">
      <c r="A6" s="29" t="inlineStr"/>
    </row>
    <row r="7">
      <c r="A7" s="30" t="inlineStr">
        <is>
          <t>What the columns mean</t>
        </is>
      </c>
    </row>
    <row r="8">
      <c r="A8" s="29" t="inlineStr">
        <is>
          <t>Opening — what the previous submitted count left on the shelf. "Opening from" in the summary is the day that count was taken. If it is not the day before, a day was skipped, and two days of sales are folded into one figure.</t>
        </is>
      </c>
    </row>
    <row r="9">
      <c r="A9" s="29" t="inlineStr">
        <is>
          <t>Closing — what was counted on the trading day named at the top.</t>
        </is>
      </c>
    </row>
    <row r="10">
      <c r="A10" s="29" t="inlineStr">
        <is>
          <t>Sold (counted) — Opening minus Closing. What the shelf says went out.</t>
        </is>
      </c>
    </row>
    <row r="11">
      <c r="A11" s="29" t="inlineStr">
        <is>
          <t>Sold (POS) — what the till says it sold, from the imported sales report.</t>
        </is>
      </c>
    </row>
    <row r="12">
      <c r="A12" s="29" t="inlineStr">
        <is>
          <t>Variance — Sold (counted) minus Sold (POS), straight from the database view. It is not recalculated here, so it cannot drift from what the system believes.</t>
        </is>
      </c>
    </row>
    <row r="13">
      <c r="A13" s="29" t="inlineStr">
        <is>
          <t xml:space="preserve">  positive — more left the shelf than the till sold: shrinkage, a miscount, or stock put out and not recorded.</t>
        </is>
      </c>
    </row>
    <row r="14">
      <c r="A14" s="29" t="inlineStr">
        <is>
          <t xml:space="preserve">  negative — the till sold more than the shelf lost: usually a delivery.</t>
        </is>
      </c>
    </row>
    <row r="15">
      <c r="A15" s="29" t="inlineStr">
        <is>
          <t xml:space="preserve">  an em dash — not known, not zero. No POS sales are loaded for that day.</t>
        </is>
      </c>
    </row>
    <row r="16">
      <c r="A16" s="29" t="inlineStr">
        <is>
          <t>Variance RM — the variance valued at the price that day's report printed, falling back to the product list price. Blank means neither is known.</t>
        </is>
      </c>
    </row>
    <row r="17">
      <c r="A17" s="29" t="inlineStr"/>
    </row>
    <row r="18">
      <c r="A18" s="30" t="inlineStr">
        <is>
          <t>Trends</t>
        </is>
      </c>
    </row>
    <row r="19">
      <c r="A19" s="29" t="inlineStr">
        <is>
          <t>Variance by product across every counted day, sorted by how many days each product was off before how large the gap was. That ordering is the point: five nights of one pack is a leak worth chasing, one night of five packs is an event. The first sits at the top.</t>
        </is>
      </c>
    </row>
    <row r="20">
      <c r="A20" s="29" t="inlineStr"/>
    </row>
    <row r="21">
      <c r="A21" s="30" t="inlineStr">
        <is>
          <t>Two things that will skew variance</t>
        </is>
      </c>
    </row>
    <row r="22">
      <c r="A22" s="29" t="inlineStr">
        <is>
          <t>Deliveries are not recorded. The count screen collects one number per product and no longer captures stock added during the day, so add_in is always zero. On any day stock went onto the shelf, Sold (counted) understates what was sold and the day reads as negative variance. That column is deliberately not shown here — it would be a column of zeros implying something was checked.</t>
        </is>
      </c>
    </row>
    <row r="23">
      <c r="A23" s="29" t="inlineStr">
        <is>
          <t>Counts must be consecutive. Opening is the previous submitted count's closing, whatever date that was. Check "Opening from" before believing a large variance.</t>
        </is>
      </c>
    </row>
    <row r="24">
      <c r="A24" s="29" t="inlineStr"/>
    </row>
    <row r="25">
      <c r="A25" s="30" t="inlineStr">
        <is>
          <t>Refreshing</t>
        </is>
      </c>
    </row>
    <row r="26">
      <c r="A26" s="29" t="inlineStr">
        <is>
          <t>This workbook is generated. Re-run build_workbook.py and it is rebuilt from the database as it stands — so do not hand-edit it, because the next run will not keep the change. Anything that should be different belongs in the script.</t>
        </is>
      </c>
    </row>
    <row r="27">
      <c r="A27" s="29" t="inlineStr">
        <is>
          <t>The Data sheet is hidden and holds the view exactly as it came back, including the columns this report does not show. Right-click a sheet tab and choose Unhide to see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63"/>
  <sheetViews>
    <sheetView workbookViewId="0">
      <selection activeCell="A1" sqref="A1"/>
    </sheetView>
  </sheetViews>
  <sheetFormatPr baseColWidth="8" defaultRowHeight="15"/>
  <sheetData>
    <row r="1">
      <c r="A1" t="inlineStr">
        <is>
          <t>rowkey</t>
        </is>
      </c>
      <c r="B1" t="inlineStr">
        <is>
          <t>date_key</t>
        </is>
      </c>
      <c r="C1" t="inlineStr">
        <is>
          <t>count_date</t>
        </is>
      </c>
      <c r="D1" t="inlineStr">
        <is>
          <t>opening_date</t>
        </is>
      </c>
      <c r="E1" t="inlineStr">
        <is>
          <t>staff_name</t>
        </is>
      </c>
      <c r="F1" t="inlineStr">
        <is>
          <t>short_name</t>
        </is>
      </c>
      <c r="G1" t="inlineStr">
        <is>
          <t>opening_packs</t>
        </is>
      </c>
      <c r="H1" t="inlineStr">
        <is>
          <t>closing_packs</t>
        </is>
      </c>
      <c r="I1" t="inlineStr">
        <is>
          <t>sold_physical</t>
        </is>
      </c>
      <c r="J1" t="inlineStr">
        <is>
          <t>sold_pos</t>
        </is>
      </c>
      <c r="K1" t="inlineStr">
        <is>
          <t>variance_packs</t>
        </is>
      </c>
      <c r="L1" t="inlineStr">
        <is>
          <t>variance_rm</t>
        </is>
      </c>
      <c r="M1" t="inlineStr">
        <is>
          <t>unit_price_used</t>
        </is>
      </c>
      <c r="N1" t="inlineStr">
        <is>
          <t>abs_variance</t>
        </is>
      </c>
      <c r="O1" t="inlineStr">
        <is>
          <t>rank</t>
        </is>
      </c>
      <c r="P1" t="inlineStr">
        <is>
          <t>product_id</t>
        </is>
      </c>
      <c r="Q1" t="inlineStr">
        <is>
          <t>plu</t>
        </is>
      </c>
      <c r="R1" t="inlineStr">
        <is>
          <t>branch_id</t>
        </is>
      </c>
      <c r="S1" t="inlineStr">
        <is>
          <t>shift</t>
        </is>
      </c>
      <c r="T1" t="inlineStr">
        <is>
          <t>pos_description</t>
        </is>
      </c>
      <c r="U1" t="inlineStr">
        <is>
          <t>add_in</t>
        </is>
      </c>
      <c r="W1" t="inlineStr">
        <is>
          <t>count_date</t>
        </is>
      </c>
      <c r="X1" t="inlineStr">
        <is>
          <t>date_key</t>
        </is>
      </c>
      <c r="Y1" t="inlineStr">
        <is>
          <t>opening_date</t>
        </is>
      </c>
      <c r="Z1" t="inlineStr">
        <is>
          <t>staff_name</t>
        </is>
      </c>
      <c r="AA1" t="inlineStr">
        <is>
          <t>products</t>
        </is>
      </c>
      <c r="AB1" t="inlineStr">
        <is>
          <t>with_variance</t>
        </is>
      </c>
      <c r="AC1" t="inlineStr">
        <is>
          <t>total_packs</t>
        </is>
      </c>
      <c r="AD1" t="inlineStr">
        <is>
          <t>total_rm</t>
        </is>
      </c>
      <c r="AE1" t="inlineStr">
        <is>
          <t>pos_state</t>
        </is>
      </c>
      <c r="AF1" t="inlineStr">
        <is>
          <t>message</t>
        </is>
      </c>
      <c r="AH1" t="inlineStr">
        <is>
          <t>dates</t>
        </is>
      </c>
    </row>
    <row r="2">
      <c r="A2" t="inlineStr">
        <is>
          <t>46274|1</t>
        </is>
      </c>
      <c r="B2" t="inlineStr">
        <is>
          <t>2026-09-09</t>
        </is>
      </c>
      <c r="C2" s="31" t="n">
        <v>46274</v>
      </c>
      <c r="D2" s="31" t="n"/>
      <c r="E2" t="inlineStr">
        <is>
          <t>Luqman</t>
        </is>
      </c>
      <c r="F2" t="inlineStr">
        <is>
          <t>Benson &amp; Hedges</t>
        </is>
      </c>
      <c r="H2" t="n">
        <v>0</v>
      </c>
      <c r="J2" t="n">
        <v>1</v>
      </c>
      <c r="N2" t="n">
        <v>-1</v>
      </c>
      <c r="O2" t="n">
        <v>1</v>
      </c>
      <c r="P2" t="inlineStr">
        <is>
          <t>100144</t>
        </is>
      </c>
      <c r="Q2" t="inlineStr">
        <is>
          <t>95502397</t>
        </is>
      </c>
      <c r="R2" t="inlineStr">
        <is>
          <t>SAFARI</t>
        </is>
      </c>
      <c r="S2" t="inlineStr"/>
      <c r="T2" t="inlineStr">
        <is>
          <t>BENSON &amp; HEDGES</t>
        </is>
      </c>
      <c r="U2" t="n">
        <v>0</v>
      </c>
      <c r="W2" s="31" t="n">
        <v>46274</v>
      </c>
      <c r="X2" t="inlineStr">
        <is>
          <t>2026-09-09</t>
        </is>
      </c>
      <c r="Y2" t="inlineStr">
        <is>
          <t>run migration 10</t>
        </is>
      </c>
      <c r="Z2" t="inlineStr">
        <is>
          <t>Luqman</t>
        </is>
      </c>
      <c r="AA2" t="n">
        <v>54</v>
      </c>
      <c r="AE2" t="inlineStr">
        <is>
          <t>loaded</t>
        </is>
      </c>
      <c r="AF2" t="inlineStr">
        <is>
          <t>This is the first count of these products, so there is no opening figure to sell down from. Variance starts from the next count.</t>
        </is>
      </c>
      <c r="AH2" s="31" t="n">
        <v>46274</v>
      </c>
    </row>
    <row r="3">
      <c r="A3" t="inlineStr">
        <is>
          <t>46274|2</t>
        </is>
      </c>
      <c r="B3" t="inlineStr">
        <is>
          <t>2026-09-09</t>
        </is>
      </c>
      <c r="C3" s="31" t="n">
        <v>46274</v>
      </c>
      <c r="D3" s="31" t="n"/>
      <c r="E3" t="inlineStr">
        <is>
          <t>Luqman</t>
        </is>
      </c>
      <c r="F3" t="inlineStr">
        <is>
          <t>Bond Light</t>
        </is>
      </c>
      <c r="H3" t="n">
        <v>0</v>
      </c>
      <c r="J3" t="n">
        <v>0</v>
      </c>
      <c r="N3" t="n">
        <v>-1</v>
      </c>
      <c r="O3" t="n">
        <v>2</v>
      </c>
      <c r="P3" t="inlineStr">
        <is>
          <t>105159</t>
        </is>
      </c>
      <c r="Q3" t="inlineStr">
        <is>
          <t>9555277316275</t>
        </is>
      </c>
      <c r="R3" t="inlineStr">
        <is>
          <t>SAFARI</t>
        </is>
      </c>
      <c r="S3" t="inlineStr"/>
      <c r="T3" t="inlineStr">
        <is>
          <t>BOND STREET BLUE 20S</t>
        </is>
      </c>
      <c r="U3" t="n">
        <v>0</v>
      </c>
      <c r="W3" s="31" t="n">
        <v>46275</v>
      </c>
      <c r="X3" t="inlineStr">
        <is>
          <t>2026-09-10</t>
        </is>
      </c>
      <c r="Y3" t="inlineStr">
        <is>
          <t>run migration 10</t>
        </is>
      </c>
      <c r="Z3" t="inlineStr">
        <is>
          <t>Luqman</t>
        </is>
      </c>
      <c r="AA3" t="n">
        <v>54</v>
      </c>
      <c r="AE3" t="inlineStr">
        <is>
          <t>not loaded</t>
        </is>
      </c>
      <c r="AF3" t="inlineStr">
        <is>
          <t>No POS sales have been loaded for this date, so variance cannot be worked out. Import the sales report for this day and it fills in.</t>
        </is>
      </c>
      <c r="AH3" s="31" t="n">
        <v>46275</v>
      </c>
    </row>
    <row r="4">
      <c r="A4" t="inlineStr">
        <is>
          <t>46274|3</t>
        </is>
      </c>
      <c r="B4" t="inlineStr">
        <is>
          <t>2026-09-09</t>
        </is>
      </c>
      <c r="C4" s="31" t="n">
        <v>46274</v>
      </c>
      <c r="D4" s="31" t="n"/>
      <c r="E4" t="inlineStr">
        <is>
          <t>Luqman</t>
        </is>
      </c>
      <c r="F4" t="inlineStr">
        <is>
          <t>Bond Red</t>
        </is>
      </c>
      <c r="H4" t="n">
        <v>0</v>
      </c>
      <c r="J4" t="n">
        <v>0</v>
      </c>
      <c r="N4" t="n">
        <v>-1</v>
      </c>
      <c r="O4" t="n">
        <v>3</v>
      </c>
      <c r="P4" t="inlineStr">
        <is>
          <t>105158</t>
        </is>
      </c>
      <c r="Q4" t="inlineStr">
        <is>
          <t>9555277316251</t>
        </is>
      </c>
      <c r="R4" t="inlineStr">
        <is>
          <t>SAFARI</t>
        </is>
      </c>
      <c r="S4" t="inlineStr"/>
      <c r="T4" t="inlineStr">
        <is>
          <t>BOND STREET RED 20S</t>
        </is>
      </c>
      <c r="U4" t="n">
        <v>0</v>
      </c>
      <c r="W4" s="31" t="n">
        <v>46276</v>
      </c>
      <c r="X4" t="inlineStr">
        <is>
          <t>2026-09-11</t>
        </is>
      </c>
      <c r="Y4" t="inlineStr">
        <is>
          <t>run migration 10</t>
        </is>
      </c>
      <c r="Z4" t="inlineStr">
        <is>
          <t>Aktar</t>
        </is>
      </c>
      <c r="AA4" t="n">
        <v>54</v>
      </c>
      <c r="AE4" t="inlineStr">
        <is>
          <t>not loaded</t>
        </is>
      </c>
      <c r="AF4" t="inlineStr">
        <is>
          <t>No POS sales have been loaded for this date, so variance cannot be worked out. Import the sales report for this day and it fills in.</t>
        </is>
      </c>
      <c r="AH4" s="31" t="n">
        <v>46276</v>
      </c>
    </row>
    <row r="5">
      <c r="A5" t="inlineStr">
        <is>
          <t>46274|4</t>
        </is>
      </c>
      <c r="B5" t="inlineStr">
        <is>
          <t>2026-09-09</t>
        </is>
      </c>
      <c r="C5" s="31" t="n">
        <v>46274</v>
      </c>
      <c r="D5" s="31" t="n"/>
      <c r="E5" t="inlineStr">
        <is>
          <t>Luqman</t>
        </is>
      </c>
      <c r="F5" t="inlineStr">
        <is>
          <t>Chesterfield Blue</t>
        </is>
      </c>
      <c r="H5" t="n">
        <v>0</v>
      </c>
      <c r="J5" t="n">
        <v>7</v>
      </c>
      <c r="N5" t="n">
        <v>-1</v>
      </c>
      <c r="O5" t="n">
        <v>4</v>
      </c>
      <c r="P5" t="inlineStr">
        <is>
          <t>100642</t>
        </is>
      </c>
      <c r="Q5" t="inlineStr">
        <is>
          <t>88823393</t>
        </is>
      </c>
      <c r="R5" t="inlineStr">
        <is>
          <t>SAFARI</t>
        </is>
      </c>
      <c r="S5" t="inlineStr"/>
      <c r="T5" t="inlineStr">
        <is>
          <t>CHESTERFIELD BLUE 20S</t>
        </is>
      </c>
      <c r="U5" t="n">
        <v>0</v>
      </c>
    </row>
    <row r="6">
      <c r="A6" t="inlineStr">
        <is>
          <t>46274|5</t>
        </is>
      </c>
      <c r="B6" t="inlineStr">
        <is>
          <t>2026-09-09</t>
        </is>
      </c>
      <c r="C6" s="31" t="n">
        <v>46274</v>
      </c>
      <c r="D6" s="31" t="n"/>
      <c r="E6" t="inlineStr">
        <is>
          <t>Luqman</t>
        </is>
      </c>
      <c r="F6" t="inlineStr">
        <is>
          <t>Chesterfield Charcoal</t>
        </is>
      </c>
      <c r="H6" t="n">
        <v>0</v>
      </c>
      <c r="J6" t="n">
        <v>0</v>
      </c>
      <c r="N6" t="n">
        <v>-1</v>
      </c>
      <c r="O6" t="n">
        <v>5</v>
      </c>
      <c r="P6" t="inlineStr">
        <is>
          <t>103361</t>
        </is>
      </c>
      <c r="Q6" t="inlineStr">
        <is>
          <t>9555277315254</t>
        </is>
      </c>
      <c r="R6" t="inlineStr">
        <is>
          <t>SAFARI</t>
        </is>
      </c>
      <c r="S6" t="inlineStr"/>
      <c r="T6" t="inlineStr">
        <is>
          <t>CHESTERFIELD CHARCOAL FILTER 20S</t>
        </is>
      </c>
      <c r="U6" t="n">
        <v>0</v>
      </c>
    </row>
    <row r="7">
      <c r="A7" t="inlineStr">
        <is>
          <t>46274|6</t>
        </is>
      </c>
      <c r="B7" t="inlineStr">
        <is>
          <t>2026-09-09</t>
        </is>
      </c>
      <c r="C7" s="31" t="n">
        <v>46274</v>
      </c>
      <c r="D7" s="31" t="n"/>
      <c r="E7" t="inlineStr">
        <is>
          <t>Luqman</t>
        </is>
      </c>
      <c r="F7" t="inlineStr">
        <is>
          <t>Chesterfield Menthol</t>
        </is>
      </c>
      <c r="H7" t="n">
        <v>0</v>
      </c>
      <c r="J7" t="n">
        <v>8</v>
      </c>
      <c r="N7" t="n">
        <v>-1</v>
      </c>
      <c r="O7" t="n">
        <v>6</v>
      </c>
      <c r="P7" t="inlineStr">
        <is>
          <t>100638</t>
        </is>
      </c>
      <c r="Q7" t="inlineStr">
        <is>
          <t>95510354</t>
        </is>
      </c>
      <c r="R7" t="inlineStr">
        <is>
          <t>SAFARI</t>
        </is>
      </c>
      <c r="S7" t="inlineStr"/>
      <c r="T7" t="inlineStr">
        <is>
          <t>CHESTERFIELD MENTHOL 20S</t>
        </is>
      </c>
      <c r="U7" t="n">
        <v>0</v>
      </c>
    </row>
    <row r="8">
      <c r="A8" t="inlineStr">
        <is>
          <t>46274|7</t>
        </is>
      </c>
      <c r="B8" t="inlineStr">
        <is>
          <t>2026-09-09</t>
        </is>
      </c>
      <c r="C8" s="31" t="n">
        <v>46274</v>
      </c>
      <c r="D8" s="31" t="n"/>
      <c r="E8" t="inlineStr">
        <is>
          <t>Luqman</t>
        </is>
      </c>
      <c r="F8" t="inlineStr">
        <is>
          <t>Chesterfield Purple</t>
        </is>
      </c>
      <c r="H8" t="n">
        <v>0</v>
      </c>
      <c r="J8" t="n">
        <v>1</v>
      </c>
      <c r="N8" t="n">
        <v>-1</v>
      </c>
      <c r="O8" t="n">
        <v>7</v>
      </c>
      <c r="P8" t="inlineStr">
        <is>
          <t>103526</t>
        </is>
      </c>
      <c r="Q8" t="inlineStr">
        <is>
          <t>9555277315094</t>
        </is>
      </c>
      <c r="R8" t="inlineStr">
        <is>
          <t>SAFARI</t>
        </is>
      </c>
      <c r="S8" t="inlineStr"/>
      <c r="T8" t="inlineStr">
        <is>
          <t>CHESTERFIELD PURPLE 20S</t>
        </is>
      </c>
      <c r="U8" t="n">
        <v>0</v>
      </c>
    </row>
    <row r="9">
      <c r="A9" t="inlineStr">
        <is>
          <t>46274|8</t>
        </is>
      </c>
      <c r="B9" t="inlineStr">
        <is>
          <t>2026-09-09</t>
        </is>
      </c>
      <c r="C9" s="31" t="n">
        <v>46274</v>
      </c>
      <c r="D9" s="31" t="n"/>
      <c r="E9" t="inlineStr">
        <is>
          <t>Luqman</t>
        </is>
      </c>
      <c r="F9" t="inlineStr">
        <is>
          <t>Chesterfield Red</t>
        </is>
      </c>
      <c r="H9" t="n">
        <v>0</v>
      </c>
      <c r="J9" t="n">
        <v>8</v>
      </c>
      <c r="N9" t="n">
        <v>-1</v>
      </c>
      <c r="O9" t="n">
        <v>8</v>
      </c>
      <c r="P9" t="inlineStr">
        <is>
          <t>100640</t>
        </is>
      </c>
      <c r="Q9" t="inlineStr">
        <is>
          <t>88823386</t>
        </is>
      </c>
      <c r="R9" t="inlineStr">
        <is>
          <t>SAFARI</t>
        </is>
      </c>
      <c r="S9" t="inlineStr"/>
      <c r="T9" t="inlineStr">
        <is>
          <t>CHESTERFIELD RED 20S</t>
        </is>
      </c>
      <c r="U9" t="n">
        <v>0</v>
      </c>
    </row>
    <row r="10">
      <c r="A10" t="inlineStr">
        <is>
          <t>46274|9</t>
        </is>
      </c>
      <c r="B10" t="inlineStr">
        <is>
          <t>2026-09-09</t>
        </is>
      </c>
      <c r="C10" s="31" t="n">
        <v>46274</v>
      </c>
      <c r="D10" s="31" t="n"/>
      <c r="E10" t="inlineStr">
        <is>
          <t>Luqman</t>
        </is>
      </c>
      <c r="F10" t="inlineStr">
        <is>
          <t>Dunhill Blue</t>
        </is>
      </c>
      <c r="H10" t="n">
        <v>0</v>
      </c>
      <c r="J10" t="n">
        <v>8</v>
      </c>
      <c r="N10" t="n">
        <v>-1</v>
      </c>
      <c r="O10" t="n">
        <v>9</v>
      </c>
      <c r="P10" t="inlineStr">
        <is>
          <t>104923</t>
        </is>
      </c>
      <c r="Q10" t="inlineStr">
        <is>
          <t>9556109109386</t>
        </is>
      </c>
      <c r="R10" t="inlineStr">
        <is>
          <t>SAFARI</t>
        </is>
      </c>
      <c r="S10" t="inlineStr"/>
      <c r="T10" t="inlineStr">
        <is>
          <t>DUNHILL BLUE</t>
        </is>
      </c>
      <c r="U10" t="n">
        <v>0</v>
      </c>
    </row>
    <row r="11">
      <c r="A11" t="inlineStr">
        <is>
          <t>46274|10</t>
        </is>
      </c>
      <c r="B11" t="inlineStr">
        <is>
          <t>2026-09-09</t>
        </is>
      </c>
      <c r="C11" s="31" t="n">
        <v>46274</v>
      </c>
      <c r="D11" s="31" t="n"/>
      <c r="E11" t="inlineStr">
        <is>
          <t>Luqman</t>
        </is>
      </c>
      <c r="F11" t="inlineStr">
        <is>
          <t>Dunhill Boost</t>
        </is>
      </c>
      <c r="H11" t="n">
        <v>0</v>
      </c>
      <c r="J11" t="n">
        <v>0</v>
      </c>
      <c r="N11" t="n">
        <v>-1</v>
      </c>
      <c r="O11" t="n">
        <v>10</v>
      </c>
      <c r="P11" t="inlineStr">
        <is>
          <t>105169</t>
        </is>
      </c>
      <c r="Q11" t="inlineStr">
        <is>
          <t>9556109109416</t>
        </is>
      </c>
      <c r="R11" t="inlineStr">
        <is>
          <t>SAFARI</t>
        </is>
      </c>
      <c r="S11" t="inlineStr"/>
      <c r="T11" t="inlineStr">
        <is>
          <t>DUNHILL BOOST</t>
        </is>
      </c>
      <c r="U11" t="n">
        <v>0</v>
      </c>
    </row>
    <row r="12">
      <c r="A12" t="inlineStr">
        <is>
          <t>46274|11</t>
        </is>
      </c>
      <c r="B12" t="inlineStr">
        <is>
          <t>2026-09-09</t>
        </is>
      </c>
      <c r="C12" s="31" t="n">
        <v>46274</v>
      </c>
      <c r="D12" s="31" t="n"/>
      <c r="E12" t="inlineStr">
        <is>
          <t>Luqman</t>
        </is>
      </c>
      <c r="F12" t="inlineStr">
        <is>
          <t>Dunhill Classic</t>
        </is>
      </c>
      <c r="H12" t="n">
        <v>0</v>
      </c>
      <c r="J12" t="n">
        <v>32</v>
      </c>
      <c r="N12" t="n">
        <v>-1</v>
      </c>
      <c r="O12" t="n">
        <v>11</v>
      </c>
      <c r="P12" t="inlineStr">
        <is>
          <t>103732</t>
        </is>
      </c>
      <c r="Q12" t="inlineStr">
        <is>
          <t>9556109106958</t>
        </is>
      </c>
      <c r="R12" t="inlineStr">
        <is>
          <t>SAFARI</t>
        </is>
      </c>
      <c r="S12" t="inlineStr"/>
      <c r="T12" t="inlineStr">
        <is>
          <t>DUNHILL CLASSIC</t>
        </is>
      </c>
      <c r="U12" t="n">
        <v>0</v>
      </c>
    </row>
    <row r="13">
      <c r="A13" t="inlineStr">
        <is>
          <t>46274|12</t>
        </is>
      </c>
      <c r="B13" t="inlineStr">
        <is>
          <t>2026-09-09</t>
        </is>
      </c>
      <c r="C13" s="31" t="n">
        <v>46274</v>
      </c>
      <c r="D13" s="31" t="n"/>
      <c r="E13" t="inlineStr">
        <is>
          <t>Luqman</t>
        </is>
      </c>
      <c r="F13" t="inlineStr">
        <is>
          <t>Dunhill Menthol</t>
        </is>
      </c>
      <c r="H13" t="n">
        <v>0</v>
      </c>
      <c r="J13" t="n">
        <v>0</v>
      </c>
      <c r="N13" t="n">
        <v>-1</v>
      </c>
      <c r="O13" t="n">
        <v>12</v>
      </c>
      <c r="P13" t="inlineStr">
        <is>
          <t>104924</t>
        </is>
      </c>
      <c r="Q13" t="inlineStr">
        <is>
          <t>9556109109393</t>
        </is>
      </c>
      <c r="R13" t="inlineStr">
        <is>
          <t>SAFARI</t>
        </is>
      </c>
      <c r="S13" t="inlineStr"/>
      <c r="T13" t="inlineStr">
        <is>
          <t>DUNHILL MENTHOL</t>
        </is>
      </c>
      <c r="U13" t="n">
        <v>0</v>
      </c>
    </row>
    <row r="14">
      <c r="A14" t="inlineStr">
        <is>
          <t>46274|13</t>
        </is>
      </c>
      <c r="B14" t="inlineStr">
        <is>
          <t>2026-09-09</t>
        </is>
      </c>
      <c r="C14" s="31" t="n">
        <v>46274</v>
      </c>
      <c r="D14" s="31" t="n"/>
      <c r="E14" t="inlineStr">
        <is>
          <t>Luqman</t>
        </is>
      </c>
      <c r="F14" t="inlineStr">
        <is>
          <t>Dunhill Mix</t>
        </is>
      </c>
      <c r="H14" t="n">
        <v>0</v>
      </c>
      <c r="J14" t="n">
        <v>1</v>
      </c>
      <c r="N14" t="n">
        <v>-1</v>
      </c>
      <c r="O14" t="n">
        <v>13</v>
      </c>
      <c r="P14" t="inlineStr">
        <is>
          <t>105170</t>
        </is>
      </c>
      <c r="Q14" t="inlineStr">
        <is>
          <t>9556109109423</t>
        </is>
      </c>
      <c r="R14" t="inlineStr">
        <is>
          <t>SAFARI</t>
        </is>
      </c>
      <c r="S14" t="inlineStr"/>
      <c r="T14" t="inlineStr">
        <is>
          <t>DUNHILL MIX</t>
        </is>
      </c>
      <c r="U14" t="n">
        <v>0</v>
      </c>
    </row>
    <row r="15">
      <c r="A15" t="inlineStr">
        <is>
          <t>46274|14</t>
        </is>
      </c>
      <c r="B15" t="inlineStr">
        <is>
          <t>2026-09-09</t>
        </is>
      </c>
      <c r="C15" s="31" t="n">
        <v>46274</v>
      </c>
      <c r="D15" s="31" t="n"/>
      <c r="E15" t="inlineStr">
        <is>
          <t>Luqman</t>
        </is>
      </c>
      <c r="F15" t="inlineStr">
        <is>
          <t>Dunhill Red</t>
        </is>
      </c>
      <c r="H15" t="n">
        <v>0</v>
      </c>
      <c r="J15" t="n">
        <v>14</v>
      </c>
      <c r="N15" t="n">
        <v>-1</v>
      </c>
      <c r="O15" t="n">
        <v>14</v>
      </c>
      <c r="P15" t="inlineStr">
        <is>
          <t>104922</t>
        </is>
      </c>
      <c r="Q15" t="inlineStr">
        <is>
          <t>9556109109171</t>
        </is>
      </c>
      <c r="R15" t="inlineStr">
        <is>
          <t>SAFARI</t>
        </is>
      </c>
      <c r="S15" t="inlineStr"/>
      <c r="T15" t="inlineStr">
        <is>
          <t>DUNHILL RED</t>
        </is>
      </c>
      <c r="U15" t="n">
        <v>0</v>
      </c>
    </row>
    <row r="16">
      <c r="A16" t="inlineStr">
        <is>
          <t>46274|15</t>
        </is>
      </c>
      <c r="B16" t="inlineStr">
        <is>
          <t>2026-09-09</t>
        </is>
      </c>
      <c r="C16" s="31" t="n">
        <v>46274</v>
      </c>
      <c r="D16" s="31" t="n"/>
      <c r="E16" t="inlineStr">
        <is>
          <t>Luqman</t>
        </is>
      </c>
      <c r="F16" t="inlineStr">
        <is>
          <t>Dunhill Switch</t>
        </is>
      </c>
      <c r="H16" t="n">
        <v>0</v>
      </c>
      <c r="J16" t="n">
        <v>0</v>
      </c>
      <c r="N16" t="n">
        <v>-1</v>
      </c>
      <c r="O16" t="n">
        <v>15</v>
      </c>
      <c r="P16" t="inlineStr">
        <is>
          <t>105168</t>
        </is>
      </c>
      <c r="Q16" t="inlineStr">
        <is>
          <t>9556109109409</t>
        </is>
      </c>
      <c r="R16" t="inlineStr">
        <is>
          <t>SAFARI</t>
        </is>
      </c>
      <c r="S16" t="inlineStr"/>
      <c r="T16" t="inlineStr">
        <is>
          <t>DUNHILL SWITCH</t>
        </is>
      </c>
      <c r="U16" t="n">
        <v>0</v>
      </c>
    </row>
    <row r="17">
      <c r="A17" t="inlineStr">
        <is>
          <t>46274|16</t>
        </is>
      </c>
      <c r="B17" t="inlineStr">
        <is>
          <t>2026-09-09</t>
        </is>
      </c>
      <c r="C17" s="31" t="n">
        <v>46274</v>
      </c>
      <c r="D17" s="31" t="n"/>
      <c r="E17" t="inlineStr">
        <is>
          <t>Luqman</t>
        </is>
      </c>
      <c r="F17" t="inlineStr">
        <is>
          <t>Dunhill Zest</t>
        </is>
      </c>
      <c r="H17" t="n">
        <v>0</v>
      </c>
      <c r="J17" t="n">
        <v>0</v>
      </c>
      <c r="N17" t="n">
        <v>-1</v>
      </c>
      <c r="O17" t="n">
        <v>16</v>
      </c>
      <c r="P17" t="inlineStr">
        <is>
          <t>105171</t>
        </is>
      </c>
      <c r="Q17" t="inlineStr">
        <is>
          <t>9556109109430</t>
        </is>
      </c>
      <c r="R17" t="inlineStr">
        <is>
          <t>SAFARI</t>
        </is>
      </c>
      <c r="S17" t="inlineStr"/>
      <c r="T17" t="inlineStr">
        <is>
          <t>DUNHILL ZEST</t>
        </is>
      </c>
      <c r="U17" t="n">
        <v>0</v>
      </c>
    </row>
    <row r="18">
      <c r="A18" t="inlineStr">
        <is>
          <t>46274|17</t>
        </is>
      </c>
      <c r="B18" t="inlineStr">
        <is>
          <t>2026-09-09</t>
        </is>
      </c>
      <c r="C18" s="31" t="n">
        <v>46274</v>
      </c>
      <c r="D18" s="31" t="n"/>
      <c r="E18" t="inlineStr">
        <is>
          <t>Luqman</t>
        </is>
      </c>
      <c r="F18" t="inlineStr">
        <is>
          <t>Kyo Original</t>
        </is>
      </c>
      <c r="H18" t="n">
        <v>0</v>
      </c>
      <c r="J18" t="n">
        <v>0</v>
      </c>
      <c r="N18" t="n">
        <v>-1</v>
      </c>
      <c r="O18" t="n">
        <v>17</v>
      </c>
      <c r="P18" t="inlineStr">
        <is>
          <t>104726</t>
        </is>
      </c>
      <c r="Q18" t="inlineStr">
        <is>
          <t>9556109109355</t>
        </is>
      </c>
      <c r="R18" t="inlineStr">
        <is>
          <t>SAFARI</t>
        </is>
      </c>
      <c r="S18" t="inlineStr"/>
      <c r="T18" t="inlineStr">
        <is>
          <t>KYO ORIGINAL BLUE</t>
        </is>
      </c>
      <c r="U18" t="n">
        <v>0</v>
      </c>
    </row>
    <row r="19">
      <c r="A19" t="inlineStr">
        <is>
          <t>46274|18</t>
        </is>
      </c>
      <c r="B19" t="inlineStr">
        <is>
          <t>2026-09-09</t>
        </is>
      </c>
      <c r="C19" s="31" t="n">
        <v>46274</v>
      </c>
      <c r="D19" s="31" t="n"/>
      <c r="E19" t="inlineStr">
        <is>
          <t>Luqman</t>
        </is>
      </c>
      <c r="F19" t="inlineStr">
        <is>
          <t>Kyo Silver</t>
        </is>
      </c>
      <c r="H19" t="n">
        <v>0</v>
      </c>
      <c r="J19" t="n">
        <v>0</v>
      </c>
      <c r="N19" t="n">
        <v>-1</v>
      </c>
      <c r="O19" t="n">
        <v>18</v>
      </c>
      <c r="P19" t="inlineStr">
        <is>
          <t>104727</t>
        </is>
      </c>
      <c r="Q19" t="inlineStr">
        <is>
          <t>9556109109362</t>
        </is>
      </c>
      <c r="R19" t="inlineStr">
        <is>
          <t>SAFARI</t>
        </is>
      </c>
      <c r="S19" t="inlineStr"/>
      <c r="T19" t="inlineStr">
        <is>
          <t>KYO SILVER</t>
        </is>
      </c>
      <c r="U19" t="n">
        <v>0</v>
      </c>
    </row>
    <row r="20">
      <c r="A20" t="inlineStr">
        <is>
          <t>46274|19</t>
        </is>
      </c>
      <c r="B20" t="inlineStr">
        <is>
          <t>2026-09-09</t>
        </is>
      </c>
      <c r="C20" s="31" t="n">
        <v>46274</v>
      </c>
      <c r="D20" s="31" t="n"/>
      <c r="E20" t="inlineStr">
        <is>
          <t>Luqman</t>
        </is>
      </c>
      <c r="F20" t="inlineStr">
        <is>
          <t>LD 100 Red</t>
        </is>
      </c>
      <c r="H20" t="n">
        <v>7</v>
      </c>
      <c r="J20" t="n">
        <v>0</v>
      </c>
      <c r="N20" t="n">
        <v>-1</v>
      </c>
      <c r="O20" t="n">
        <v>19</v>
      </c>
      <c r="P20" t="inlineStr">
        <is>
          <t>107628</t>
        </is>
      </c>
      <c r="Q20" t="inlineStr">
        <is>
          <t>9555900301227</t>
        </is>
      </c>
      <c r="R20" t="inlineStr">
        <is>
          <t>SAFARI</t>
        </is>
      </c>
      <c r="S20" t="inlineStr"/>
      <c r="T20" t="inlineStr">
        <is>
          <t>LD 100 RED</t>
        </is>
      </c>
      <c r="U20" t="n">
        <v>0</v>
      </c>
    </row>
    <row r="21">
      <c r="A21" t="inlineStr">
        <is>
          <t>46274|20</t>
        </is>
      </c>
      <c r="B21" t="inlineStr">
        <is>
          <t>2026-09-09</t>
        </is>
      </c>
      <c r="C21" s="31" t="n">
        <v>46274</v>
      </c>
      <c r="D21" s="31" t="n"/>
      <c r="E21" t="inlineStr">
        <is>
          <t>Luqman</t>
        </is>
      </c>
      <c r="F21" t="inlineStr">
        <is>
          <t>LD Blue</t>
        </is>
      </c>
      <c r="H21" t="n">
        <v>0</v>
      </c>
      <c r="J21" t="n">
        <v>6</v>
      </c>
      <c r="N21" t="n">
        <v>-1</v>
      </c>
      <c r="O21" t="n">
        <v>20</v>
      </c>
      <c r="P21" t="inlineStr">
        <is>
          <t>100758</t>
        </is>
      </c>
      <c r="Q21" t="inlineStr">
        <is>
          <t>8885004830028</t>
        </is>
      </c>
      <c r="R21" t="inlineStr">
        <is>
          <t>SAFARI</t>
        </is>
      </c>
      <c r="S21" t="inlineStr"/>
      <c r="T21" t="inlineStr">
        <is>
          <t>LD BLUE 20S</t>
        </is>
      </c>
      <c r="U21" t="n">
        <v>0</v>
      </c>
    </row>
    <row r="22">
      <c r="A22" t="inlineStr">
        <is>
          <t>46274|21</t>
        </is>
      </c>
      <c r="B22" t="inlineStr">
        <is>
          <t>2026-09-09</t>
        </is>
      </c>
      <c r="C22" s="31" t="n">
        <v>46274</v>
      </c>
      <c r="D22" s="31" t="n"/>
      <c r="E22" t="inlineStr">
        <is>
          <t>Luqman</t>
        </is>
      </c>
      <c r="F22" t="inlineStr">
        <is>
          <t>LD Menthol</t>
        </is>
      </c>
      <c r="H22" t="n">
        <v>0</v>
      </c>
      <c r="J22" t="n">
        <v>4</v>
      </c>
      <c r="N22" t="n">
        <v>-1</v>
      </c>
      <c r="O22" t="n">
        <v>21</v>
      </c>
      <c r="P22" t="inlineStr">
        <is>
          <t>100760</t>
        </is>
      </c>
      <c r="Q22" t="inlineStr">
        <is>
          <t>8885004830042</t>
        </is>
      </c>
      <c r="R22" t="inlineStr">
        <is>
          <t>SAFARI</t>
        </is>
      </c>
      <c r="S22" t="inlineStr"/>
      <c r="T22" t="inlineStr">
        <is>
          <t>LD MENTHOL 20S</t>
        </is>
      </c>
      <c r="U22" t="n">
        <v>0</v>
      </c>
    </row>
    <row r="23">
      <c r="A23" t="inlineStr">
        <is>
          <t>46274|22</t>
        </is>
      </c>
      <c r="B23" t="inlineStr">
        <is>
          <t>2026-09-09</t>
        </is>
      </c>
      <c r="C23" s="31" t="n">
        <v>46274</v>
      </c>
      <c r="D23" s="31" t="n"/>
      <c r="E23" t="inlineStr">
        <is>
          <t>Luqman</t>
        </is>
      </c>
      <c r="F23" t="inlineStr">
        <is>
          <t>LD Purple</t>
        </is>
      </c>
      <c r="H23" t="n">
        <v>0</v>
      </c>
      <c r="J23" t="n">
        <v>0</v>
      </c>
      <c r="N23" t="n">
        <v>-1</v>
      </c>
      <c r="O23" t="n">
        <v>22</v>
      </c>
      <c r="P23" t="inlineStr">
        <is>
          <t>104330</t>
        </is>
      </c>
      <c r="Q23" t="inlineStr">
        <is>
          <t>9555900300565</t>
        </is>
      </c>
      <c r="R23" t="inlineStr">
        <is>
          <t>SAFARI</t>
        </is>
      </c>
      <c r="S23" t="inlineStr"/>
      <c r="T23" t="inlineStr">
        <is>
          <t>LD PURPLE 20S</t>
        </is>
      </c>
      <c r="U23" t="n">
        <v>0</v>
      </c>
    </row>
    <row r="24">
      <c r="A24" t="inlineStr">
        <is>
          <t>46274|23</t>
        </is>
      </c>
      <c r="B24" t="inlineStr">
        <is>
          <t>2026-09-09</t>
        </is>
      </c>
      <c r="C24" s="31" t="n">
        <v>46274</v>
      </c>
      <c r="D24" s="31" t="n"/>
      <c r="E24" t="inlineStr">
        <is>
          <t>Luqman</t>
        </is>
      </c>
      <c r="F24" t="inlineStr">
        <is>
          <t>LD Red</t>
        </is>
      </c>
      <c r="H24" t="n">
        <v>0</v>
      </c>
      <c r="J24" t="n">
        <v>5</v>
      </c>
      <c r="N24" t="n">
        <v>-1</v>
      </c>
      <c r="O24" t="n">
        <v>23</v>
      </c>
      <c r="P24" t="inlineStr">
        <is>
          <t>100756</t>
        </is>
      </c>
      <c r="Q24" t="inlineStr">
        <is>
          <t>8885004830004</t>
        </is>
      </c>
      <c r="R24" t="inlineStr">
        <is>
          <t>SAFARI</t>
        </is>
      </c>
      <c r="S24" t="inlineStr"/>
      <c r="T24" t="inlineStr">
        <is>
          <t>LD RED 20S</t>
        </is>
      </c>
      <c r="U24" t="n">
        <v>0</v>
      </c>
    </row>
    <row r="25">
      <c r="A25" t="inlineStr">
        <is>
          <t>46274|24</t>
        </is>
      </c>
      <c r="B25" t="inlineStr">
        <is>
          <t>2026-09-09</t>
        </is>
      </c>
      <c r="C25" s="31" t="n">
        <v>46274</v>
      </c>
      <c r="D25" s="31" t="n"/>
      <c r="E25" t="inlineStr">
        <is>
          <t>Luqman</t>
        </is>
      </c>
      <c r="F25" t="inlineStr">
        <is>
          <t>LD Zoom</t>
        </is>
      </c>
      <c r="H25" t="n">
        <v>0</v>
      </c>
      <c r="J25" t="n">
        <v>4</v>
      </c>
      <c r="N25" t="n">
        <v>-1</v>
      </c>
      <c r="O25" t="n">
        <v>24</v>
      </c>
      <c r="P25" t="inlineStr">
        <is>
          <t>100762</t>
        </is>
      </c>
      <c r="Q25" t="inlineStr">
        <is>
          <t>9555900300121</t>
        </is>
      </c>
      <c r="R25" t="inlineStr">
        <is>
          <t>SAFARI</t>
        </is>
      </c>
      <c r="S25" t="inlineStr"/>
      <c r="T25" t="inlineStr">
        <is>
          <t>LD ZOOM 20S</t>
        </is>
      </c>
      <c r="U25" t="n">
        <v>0</v>
      </c>
    </row>
    <row r="26">
      <c r="A26" t="inlineStr">
        <is>
          <t>46274|25</t>
        </is>
      </c>
      <c r="B26" t="inlineStr">
        <is>
          <t>2026-09-09</t>
        </is>
      </c>
      <c r="C26" s="31" t="n">
        <v>46274</v>
      </c>
      <c r="D26" s="31" t="n"/>
      <c r="E26" t="inlineStr">
        <is>
          <t>Luqman</t>
        </is>
      </c>
      <c r="F26" t="inlineStr">
        <is>
          <t>Marlboro Black</t>
        </is>
      </c>
      <c r="H26" t="n">
        <v>0</v>
      </c>
      <c r="J26" t="n">
        <v>1</v>
      </c>
      <c r="N26" t="n">
        <v>-1</v>
      </c>
      <c r="O26" t="n">
        <v>25</v>
      </c>
      <c r="P26" t="inlineStr">
        <is>
          <t>100626</t>
        </is>
      </c>
      <c r="Q26" t="inlineStr">
        <is>
          <t>95508788</t>
        </is>
      </c>
      <c r="R26" t="inlineStr">
        <is>
          <t>SAFARI</t>
        </is>
      </c>
      <c r="S26" t="inlineStr"/>
      <c r="T26" t="inlineStr">
        <is>
          <t>MARLBORO BLACK MENTHOL 20S</t>
        </is>
      </c>
      <c r="U26" t="n">
        <v>0</v>
      </c>
    </row>
    <row r="27">
      <c r="A27" t="inlineStr">
        <is>
          <t>46274|26</t>
        </is>
      </c>
      <c r="B27" t="inlineStr">
        <is>
          <t>2026-09-09</t>
        </is>
      </c>
      <c r="C27" s="31" t="n">
        <v>46274</v>
      </c>
      <c r="D27" s="31" t="n"/>
      <c r="E27" t="inlineStr">
        <is>
          <t>Luqman</t>
        </is>
      </c>
      <c r="F27" t="inlineStr">
        <is>
          <t>Marlboro Double Burst</t>
        </is>
      </c>
      <c r="H27" t="n">
        <v>0</v>
      </c>
      <c r="J27" t="n">
        <v>0</v>
      </c>
      <c r="N27" t="n">
        <v>-1</v>
      </c>
      <c r="O27" t="n">
        <v>26</v>
      </c>
      <c r="P27" t="inlineStr">
        <is>
          <t>100630</t>
        </is>
      </c>
      <c r="Q27" t="inlineStr">
        <is>
          <t>45163012</t>
        </is>
      </c>
      <c r="R27" t="inlineStr">
        <is>
          <t>SAFARI</t>
        </is>
      </c>
      <c r="S27" t="inlineStr"/>
      <c r="T27" t="inlineStr">
        <is>
          <t>MARLBORO DOUBLE BURST 20S</t>
        </is>
      </c>
      <c r="U27" t="n">
        <v>0</v>
      </c>
    </row>
    <row r="28">
      <c r="A28" t="inlineStr">
        <is>
          <t>46274|27</t>
        </is>
      </c>
      <c r="B28" t="inlineStr">
        <is>
          <t>2026-09-09</t>
        </is>
      </c>
      <c r="C28" s="31" t="n">
        <v>46274</v>
      </c>
      <c r="D28" s="31" t="n"/>
      <c r="E28" t="inlineStr">
        <is>
          <t>Luqman</t>
        </is>
      </c>
      <c r="F28" t="inlineStr">
        <is>
          <t>Marlboro Gold</t>
        </is>
      </c>
      <c r="H28" t="n">
        <v>0</v>
      </c>
      <c r="J28" t="n">
        <v>4</v>
      </c>
      <c r="N28" t="n">
        <v>-1</v>
      </c>
      <c r="O28" t="n">
        <v>27</v>
      </c>
      <c r="P28" t="inlineStr">
        <is>
          <t>100628</t>
        </is>
      </c>
      <c r="Q28" t="inlineStr">
        <is>
          <t>76239878</t>
        </is>
      </c>
      <c r="R28" t="inlineStr">
        <is>
          <t>SAFARI</t>
        </is>
      </c>
      <c r="S28" t="inlineStr"/>
      <c r="T28" t="inlineStr">
        <is>
          <t>MARLBORO GOLD 20S</t>
        </is>
      </c>
      <c r="U28" t="n">
        <v>0</v>
      </c>
    </row>
    <row r="29">
      <c r="A29" t="inlineStr">
        <is>
          <t>46274|28</t>
        </is>
      </c>
      <c r="B29" t="inlineStr">
        <is>
          <t>2026-09-09</t>
        </is>
      </c>
      <c r="C29" s="31" t="n">
        <v>46274</v>
      </c>
      <c r="D29" s="31" t="n"/>
      <c r="E29" t="inlineStr">
        <is>
          <t>Luqman</t>
        </is>
      </c>
      <c r="F29" t="inlineStr">
        <is>
          <t>Marlboro Ice</t>
        </is>
      </c>
      <c r="H29" t="n">
        <v>0</v>
      </c>
      <c r="J29" t="n">
        <v>3</v>
      </c>
      <c r="N29" t="n">
        <v>-1</v>
      </c>
      <c r="O29" t="n">
        <v>28</v>
      </c>
      <c r="P29" t="inlineStr">
        <is>
          <t>100624</t>
        </is>
      </c>
      <c r="Q29" t="inlineStr">
        <is>
          <t>95509839</t>
        </is>
      </c>
      <c r="R29" t="inlineStr">
        <is>
          <t>SAFARI</t>
        </is>
      </c>
      <c r="S29" t="inlineStr"/>
      <c r="T29" t="inlineStr">
        <is>
          <t>MARLBORO ICE BLAST 20S</t>
        </is>
      </c>
      <c r="U29" t="n">
        <v>0</v>
      </c>
    </row>
    <row r="30">
      <c r="A30" t="inlineStr">
        <is>
          <t>46274|29</t>
        </is>
      </c>
      <c r="B30" t="inlineStr">
        <is>
          <t>2026-09-09</t>
        </is>
      </c>
      <c r="C30" s="31" t="n">
        <v>46274</v>
      </c>
      <c r="D30" s="31" t="n"/>
      <c r="E30" t="inlineStr">
        <is>
          <t>Luqman</t>
        </is>
      </c>
      <c r="F30" t="inlineStr">
        <is>
          <t>Marlboro Menthol</t>
        </is>
      </c>
      <c r="H30" t="n">
        <v>0</v>
      </c>
      <c r="J30" t="n">
        <v>2</v>
      </c>
      <c r="N30" t="n">
        <v>-1</v>
      </c>
      <c r="O30" t="n">
        <v>29</v>
      </c>
      <c r="P30" t="inlineStr">
        <is>
          <t>100632</t>
        </is>
      </c>
      <c r="Q30" t="inlineStr">
        <is>
          <t>76239427</t>
        </is>
      </c>
      <c r="R30" t="inlineStr">
        <is>
          <t>SAFARI</t>
        </is>
      </c>
      <c r="S30" t="inlineStr"/>
      <c r="T30" t="inlineStr">
        <is>
          <t>MARLBORO MENTHOL 20S</t>
        </is>
      </c>
      <c r="U30" t="n">
        <v>0</v>
      </c>
    </row>
    <row r="31">
      <c r="A31" t="inlineStr">
        <is>
          <t>46274|30</t>
        </is>
      </c>
      <c r="B31" t="inlineStr">
        <is>
          <t>2026-09-09</t>
        </is>
      </c>
      <c r="C31" s="31" t="n">
        <v>46274</v>
      </c>
      <c r="D31" s="31" t="n"/>
      <c r="E31" t="inlineStr">
        <is>
          <t>Luqman</t>
        </is>
      </c>
      <c r="F31" t="inlineStr">
        <is>
          <t>Marlboro Red</t>
        </is>
      </c>
      <c r="H31" t="n">
        <v>0</v>
      </c>
      <c r="J31" t="n">
        <v>1</v>
      </c>
      <c r="N31" t="n">
        <v>-1</v>
      </c>
      <c r="O31" t="n">
        <v>30</v>
      </c>
      <c r="P31" t="inlineStr">
        <is>
          <t>100634</t>
        </is>
      </c>
      <c r="Q31" t="inlineStr">
        <is>
          <t>76164217</t>
        </is>
      </c>
      <c r="R31" t="inlineStr">
        <is>
          <t>SAFARI</t>
        </is>
      </c>
      <c r="S31" t="inlineStr"/>
      <c r="T31" t="inlineStr">
        <is>
          <t>MARLBORO RED 20S</t>
        </is>
      </c>
      <c r="U31" t="n">
        <v>0</v>
      </c>
    </row>
    <row r="32">
      <c r="A32" t="inlineStr">
        <is>
          <t>46274|31</t>
        </is>
      </c>
      <c r="B32" t="inlineStr">
        <is>
          <t>2026-09-09</t>
        </is>
      </c>
      <c r="C32" s="31" t="n">
        <v>46274</v>
      </c>
      <c r="D32" s="31" t="n"/>
      <c r="E32" t="inlineStr">
        <is>
          <t>Luqman</t>
        </is>
      </c>
      <c r="F32" t="inlineStr">
        <is>
          <t>Marlboro Summer</t>
        </is>
      </c>
      <c r="H32" t="n">
        <v>0</v>
      </c>
      <c r="J32" t="n">
        <v>0</v>
      </c>
      <c r="N32" t="n">
        <v>-1</v>
      </c>
      <c r="O32" t="n">
        <v>31</v>
      </c>
      <c r="P32" t="inlineStr">
        <is>
          <t>106880</t>
        </is>
      </c>
      <c r="Q32" t="inlineStr">
        <is>
          <t>7622100700364</t>
        </is>
      </c>
      <c r="R32" t="inlineStr">
        <is>
          <t>SAFARI</t>
        </is>
      </c>
      <c r="S32" t="inlineStr"/>
      <c r="T32" t="inlineStr">
        <is>
          <t>MARLBORO SUMMER SPLASH</t>
        </is>
      </c>
      <c r="U32" t="n">
        <v>0</v>
      </c>
    </row>
    <row r="33">
      <c r="A33" t="inlineStr">
        <is>
          <t>46274|32</t>
        </is>
      </c>
      <c r="B33" t="inlineStr">
        <is>
          <t>2026-09-09</t>
        </is>
      </c>
      <c r="C33" s="31" t="n">
        <v>46274</v>
      </c>
      <c r="D33" s="31" t="n"/>
      <c r="E33" t="inlineStr">
        <is>
          <t>Luqman</t>
        </is>
      </c>
      <c r="F33" t="inlineStr">
        <is>
          <t>Marlboro Tropical</t>
        </is>
      </c>
      <c r="H33" t="n">
        <v>0</v>
      </c>
      <c r="J33" t="n">
        <v>0</v>
      </c>
      <c r="N33" t="n">
        <v>-1</v>
      </c>
      <c r="O33" t="n">
        <v>32</v>
      </c>
      <c r="P33" t="inlineStr">
        <is>
          <t>106879</t>
        </is>
      </c>
      <c r="Q33" t="inlineStr">
        <is>
          <t>7622100698937</t>
        </is>
      </c>
      <c r="R33" t="inlineStr">
        <is>
          <t>SAFARI</t>
        </is>
      </c>
      <c r="S33" t="inlineStr"/>
      <c r="T33" t="inlineStr">
        <is>
          <t>MARLBORO TROPICAL SPLASH</t>
        </is>
      </c>
      <c r="U33" t="n">
        <v>0</v>
      </c>
    </row>
    <row r="34">
      <c r="A34" t="inlineStr">
        <is>
          <t>46274|33</t>
        </is>
      </c>
      <c r="B34" t="inlineStr">
        <is>
          <t>2026-09-09</t>
        </is>
      </c>
      <c r="C34" s="31" t="n">
        <v>46274</v>
      </c>
      <c r="D34" s="31" t="n"/>
      <c r="E34" t="inlineStr">
        <is>
          <t>Luqman</t>
        </is>
      </c>
      <c r="F34" t="inlineStr">
        <is>
          <t>Mevius Blue</t>
        </is>
      </c>
      <c r="H34" t="n">
        <v>0</v>
      </c>
      <c r="J34" t="n">
        <v>6</v>
      </c>
      <c r="N34" t="n">
        <v>-1</v>
      </c>
      <c r="O34" t="n">
        <v>33</v>
      </c>
      <c r="P34" t="inlineStr">
        <is>
          <t>100730</t>
        </is>
      </c>
      <c r="Q34" t="inlineStr">
        <is>
          <t>49401196</t>
        </is>
      </c>
      <c r="R34" t="inlineStr">
        <is>
          <t>SAFARI</t>
        </is>
      </c>
      <c r="S34" t="inlineStr"/>
      <c r="T34" t="inlineStr">
        <is>
          <t>MEVIUS ORIGINAL BLUE 20S</t>
        </is>
      </c>
      <c r="U34" t="n">
        <v>0</v>
      </c>
    </row>
    <row r="35">
      <c r="A35" t="inlineStr">
        <is>
          <t>46274|34</t>
        </is>
      </c>
      <c r="B35" t="inlineStr">
        <is>
          <t>2026-09-09</t>
        </is>
      </c>
      <c r="C35" s="31" t="n">
        <v>46274</v>
      </c>
      <c r="D35" s="31" t="n"/>
      <c r="E35" t="inlineStr">
        <is>
          <t>Luqman</t>
        </is>
      </c>
      <c r="F35" t="inlineStr">
        <is>
          <t>Mevius Duo</t>
        </is>
      </c>
      <c r="H35" t="n">
        <v>0</v>
      </c>
      <c r="J35" t="n">
        <v>1</v>
      </c>
      <c r="N35" t="n">
        <v>-1</v>
      </c>
      <c r="O35" t="n">
        <v>34</v>
      </c>
      <c r="P35" t="inlineStr">
        <is>
          <t>100732</t>
        </is>
      </c>
      <c r="Q35" t="inlineStr">
        <is>
          <t>4033100054556</t>
        </is>
      </c>
      <c r="R35" t="inlineStr">
        <is>
          <t>SAFARI</t>
        </is>
      </c>
      <c r="S35" t="inlineStr"/>
      <c r="T35" t="inlineStr">
        <is>
          <t>MEVIUS MENTHOL DUO 20S</t>
        </is>
      </c>
      <c r="U35" t="n">
        <v>0</v>
      </c>
    </row>
    <row r="36">
      <c r="A36" t="inlineStr">
        <is>
          <t>46274|35</t>
        </is>
      </c>
      <c r="B36" t="inlineStr">
        <is>
          <t>2026-09-09</t>
        </is>
      </c>
      <c r="C36" s="31" t="n">
        <v>46274</v>
      </c>
      <c r="D36" s="31" t="n"/>
      <c r="E36" t="inlineStr">
        <is>
          <t>Luqman</t>
        </is>
      </c>
      <c r="F36" t="inlineStr">
        <is>
          <t>Mevius Kiwami</t>
        </is>
      </c>
      <c r="H36" t="n">
        <v>0</v>
      </c>
      <c r="J36" t="n">
        <v>1</v>
      </c>
      <c r="N36" t="n">
        <v>-1</v>
      </c>
      <c r="O36" t="n">
        <v>35</v>
      </c>
      <c r="P36" t="inlineStr">
        <is>
          <t>106489</t>
        </is>
      </c>
      <c r="Q36" t="inlineStr">
        <is>
          <t>9555900301326</t>
        </is>
      </c>
      <c r="R36" t="inlineStr">
        <is>
          <t>SAFARI</t>
        </is>
      </c>
      <c r="S36" t="inlineStr"/>
      <c r="T36" t="inlineStr">
        <is>
          <t>MEVIUS KIWAMI</t>
        </is>
      </c>
      <c r="U36" t="n">
        <v>0</v>
      </c>
    </row>
    <row r="37">
      <c r="A37" t="inlineStr">
        <is>
          <t>46274|36</t>
        </is>
      </c>
      <c r="B37" t="inlineStr">
        <is>
          <t>2026-09-09</t>
        </is>
      </c>
      <c r="C37" s="31" t="n">
        <v>46274</v>
      </c>
      <c r="D37" s="31" t="n"/>
      <c r="E37" t="inlineStr">
        <is>
          <t>Luqman</t>
        </is>
      </c>
      <c r="F37" t="inlineStr">
        <is>
          <t>Mevius Menthol</t>
        </is>
      </c>
      <c r="H37" t="n">
        <v>0</v>
      </c>
      <c r="J37" t="n">
        <v>5</v>
      </c>
      <c r="N37" t="n">
        <v>-1</v>
      </c>
      <c r="O37" t="n">
        <v>36</v>
      </c>
      <c r="P37" t="inlineStr">
        <is>
          <t>100726</t>
        </is>
      </c>
      <c r="Q37" t="inlineStr">
        <is>
          <t>01232135</t>
        </is>
      </c>
      <c r="R37" t="inlineStr">
        <is>
          <t>SAFARI</t>
        </is>
      </c>
      <c r="S37" t="inlineStr"/>
      <c r="T37" t="inlineStr">
        <is>
          <t>MEVIUS MENTHOL 20S</t>
        </is>
      </c>
      <c r="U37" t="n">
        <v>0</v>
      </c>
    </row>
    <row r="38">
      <c r="A38" t="inlineStr">
        <is>
          <t>46274|37</t>
        </is>
      </c>
      <c r="B38" t="inlineStr">
        <is>
          <t>2026-09-09</t>
        </is>
      </c>
      <c r="C38" s="31" t="n">
        <v>46274</v>
      </c>
      <c r="D38" s="31" t="n"/>
      <c r="E38" t="inlineStr">
        <is>
          <t>Luqman</t>
        </is>
      </c>
      <c r="F38" t="inlineStr">
        <is>
          <t>Mevius Menthol White</t>
        </is>
      </c>
      <c r="H38" t="n">
        <v>0</v>
      </c>
      <c r="J38" t="n">
        <v>0</v>
      </c>
      <c r="N38" t="n">
        <v>-1</v>
      </c>
      <c r="O38" t="n">
        <v>37</v>
      </c>
      <c r="P38" t="inlineStr">
        <is>
          <t>100724</t>
        </is>
      </c>
      <c r="Q38" t="inlineStr">
        <is>
          <t>01239730</t>
        </is>
      </c>
      <c r="R38" t="inlineStr">
        <is>
          <t>SAFARI</t>
        </is>
      </c>
      <c r="S38" t="inlineStr"/>
      <c r="T38" t="inlineStr">
        <is>
          <t>MEVIUS MENTHOL WHITE 20S</t>
        </is>
      </c>
      <c r="U38" t="n">
        <v>0</v>
      </c>
    </row>
    <row r="39">
      <c r="A39" t="inlineStr">
        <is>
          <t>46274|38</t>
        </is>
      </c>
      <c r="B39" t="inlineStr">
        <is>
          <t>2026-09-09</t>
        </is>
      </c>
      <c r="C39" s="31" t="n">
        <v>46274</v>
      </c>
      <c r="D39" s="31" t="n"/>
      <c r="E39" t="inlineStr">
        <is>
          <t>Luqman</t>
        </is>
      </c>
      <c r="F39" t="inlineStr">
        <is>
          <t>Mevius Sky Blue</t>
        </is>
      </c>
      <c r="H39" t="n">
        <v>0</v>
      </c>
      <c r="J39" t="n">
        <v>2</v>
      </c>
      <c r="N39" t="n">
        <v>-1</v>
      </c>
      <c r="O39" t="n">
        <v>38</v>
      </c>
      <c r="P39" t="inlineStr">
        <is>
          <t>100734</t>
        </is>
      </c>
      <c r="Q39" t="inlineStr">
        <is>
          <t>490221200804</t>
        </is>
      </c>
      <c r="R39" t="inlineStr">
        <is>
          <t>SAFARI</t>
        </is>
      </c>
      <c r="S39" t="inlineStr"/>
      <c r="T39" t="inlineStr">
        <is>
          <t>MEVIUS SKY BLUE 20S</t>
        </is>
      </c>
      <c r="U39" t="n">
        <v>0</v>
      </c>
    </row>
    <row r="40">
      <c r="A40" t="inlineStr">
        <is>
          <t>46274|39</t>
        </is>
      </c>
      <c r="B40" t="inlineStr">
        <is>
          <t>2026-09-09</t>
        </is>
      </c>
      <c r="C40" s="31" t="n">
        <v>46274</v>
      </c>
      <c r="D40" s="31" t="n"/>
      <c r="E40" t="inlineStr">
        <is>
          <t>Luqman</t>
        </is>
      </c>
      <c r="F40" t="inlineStr">
        <is>
          <t>Mevius Wind Blue</t>
        </is>
      </c>
      <c r="H40" t="n">
        <v>0</v>
      </c>
      <c r="J40" t="n">
        <v>0</v>
      </c>
      <c r="N40" t="n">
        <v>-1</v>
      </c>
      <c r="O40" t="n">
        <v>39</v>
      </c>
      <c r="P40" t="inlineStr">
        <is>
          <t>100736</t>
        </is>
      </c>
      <c r="Q40" t="inlineStr">
        <is>
          <t>40329383</t>
        </is>
      </c>
      <c r="R40" t="inlineStr">
        <is>
          <t>SAFARI</t>
        </is>
      </c>
      <c r="S40" t="inlineStr"/>
      <c r="T40" t="inlineStr">
        <is>
          <t>MEVIUS WIND BLUE 20S</t>
        </is>
      </c>
      <c r="U40" t="n">
        <v>0</v>
      </c>
    </row>
    <row r="41">
      <c r="A41" t="inlineStr">
        <is>
          <t>46274|40</t>
        </is>
      </c>
      <c r="B41" t="inlineStr">
        <is>
          <t>2026-09-09</t>
        </is>
      </c>
      <c r="C41" s="31" t="n">
        <v>46274</v>
      </c>
      <c r="D41" s="31" t="n"/>
      <c r="E41" t="inlineStr">
        <is>
          <t>Luqman</t>
        </is>
      </c>
      <c r="F41" t="inlineStr">
        <is>
          <t>Mevius Yellow</t>
        </is>
      </c>
      <c r="H41" t="n">
        <v>0</v>
      </c>
      <c r="J41" t="n">
        <v>1</v>
      </c>
      <c r="N41" t="n">
        <v>-1</v>
      </c>
      <c r="O41" t="n">
        <v>40</v>
      </c>
      <c r="P41" t="inlineStr">
        <is>
          <t>107114</t>
        </is>
      </c>
      <c r="Q41" t="inlineStr">
        <is>
          <t>95510569</t>
        </is>
      </c>
      <c r="R41" t="inlineStr">
        <is>
          <t>SAFARI</t>
        </is>
      </c>
      <c r="S41" t="inlineStr"/>
      <c r="T41" t="inlineStr">
        <is>
          <t>MEVIUS LBS YELLOW</t>
        </is>
      </c>
      <c r="U41" t="n">
        <v>0</v>
      </c>
    </row>
    <row r="42">
      <c r="A42" t="inlineStr">
        <is>
          <t>46274|41</t>
        </is>
      </c>
      <c r="B42" t="inlineStr">
        <is>
          <t>2026-09-09</t>
        </is>
      </c>
      <c r="C42" s="31" t="n">
        <v>46274</v>
      </c>
      <c r="D42" s="31" t="n"/>
      <c r="E42" t="inlineStr">
        <is>
          <t>Luqman</t>
        </is>
      </c>
      <c r="F42" t="inlineStr">
        <is>
          <t>Peter Stuyvesant Blue</t>
        </is>
      </c>
      <c r="H42" t="n">
        <v>0</v>
      </c>
      <c r="J42" t="n">
        <v>0</v>
      </c>
      <c r="N42" t="n">
        <v>-1</v>
      </c>
      <c r="O42" t="n">
        <v>41</v>
      </c>
      <c r="P42" t="inlineStr">
        <is>
          <t>100127</t>
        </is>
      </c>
      <c r="Q42" t="inlineStr">
        <is>
          <t>9556109105722</t>
        </is>
      </c>
      <c r="R42" t="inlineStr">
        <is>
          <t>SAFARI</t>
        </is>
      </c>
      <c r="S42" t="inlineStr"/>
      <c r="T42" t="inlineStr">
        <is>
          <t>PETER STUYVESANT BLUE</t>
        </is>
      </c>
      <c r="U42" t="n">
        <v>0</v>
      </c>
    </row>
    <row r="43">
      <c r="A43" t="inlineStr">
        <is>
          <t>46274|42</t>
        </is>
      </c>
      <c r="B43" t="inlineStr">
        <is>
          <t>2026-09-09</t>
        </is>
      </c>
      <c r="C43" s="31" t="n">
        <v>46274</v>
      </c>
      <c r="D43" s="31" t="n"/>
      <c r="E43" t="inlineStr">
        <is>
          <t>Luqman</t>
        </is>
      </c>
      <c r="F43" t="inlineStr">
        <is>
          <t>Peter Stuyvesant Red</t>
        </is>
      </c>
      <c r="H43" t="n">
        <v>0</v>
      </c>
      <c r="J43" t="n">
        <v>4</v>
      </c>
      <c r="N43" t="n">
        <v>-1</v>
      </c>
      <c r="O43" t="n">
        <v>42</v>
      </c>
      <c r="P43" t="inlineStr">
        <is>
          <t>100128</t>
        </is>
      </c>
      <c r="Q43" t="inlineStr">
        <is>
          <t>9556109105715</t>
        </is>
      </c>
      <c r="R43" t="inlineStr">
        <is>
          <t>SAFARI</t>
        </is>
      </c>
      <c r="S43" t="inlineStr"/>
      <c r="T43" t="inlineStr">
        <is>
          <t>PETER STUYVESANT RED</t>
        </is>
      </c>
      <c r="U43" t="n">
        <v>0</v>
      </c>
    </row>
    <row r="44">
      <c r="A44" t="inlineStr">
        <is>
          <t>46274|43</t>
        </is>
      </c>
      <c r="B44" t="inlineStr">
        <is>
          <t>2026-09-09</t>
        </is>
      </c>
      <c r="C44" s="31" t="n">
        <v>46274</v>
      </c>
      <c r="D44" s="31" t="n"/>
      <c r="E44" t="inlineStr">
        <is>
          <t>Luqman</t>
        </is>
      </c>
      <c r="F44" t="inlineStr">
        <is>
          <t>Peter Stuyvesant Remix</t>
        </is>
      </c>
      <c r="H44" t="n">
        <v>0</v>
      </c>
      <c r="J44" t="n">
        <v>0</v>
      </c>
      <c r="N44" t="n">
        <v>-1</v>
      </c>
      <c r="O44" t="n">
        <v>43</v>
      </c>
      <c r="P44" t="inlineStr">
        <is>
          <t>100125</t>
        </is>
      </c>
      <c r="Q44" t="inlineStr">
        <is>
          <t>9556109106675</t>
        </is>
      </c>
      <c r="R44" t="inlineStr">
        <is>
          <t>SAFARI</t>
        </is>
      </c>
      <c r="S44" t="inlineStr"/>
      <c r="T44" t="inlineStr">
        <is>
          <t>PETER STUYVESANT REMIX 20S</t>
        </is>
      </c>
      <c r="U44" t="n">
        <v>0</v>
      </c>
    </row>
    <row r="45">
      <c r="A45" t="inlineStr">
        <is>
          <t>46274|44</t>
        </is>
      </c>
      <c r="B45" t="inlineStr">
        <is>
          <t>2026-09-09</t>
        </is>
      </c>
      <c r="C45" s="31" t="n">
        <v>46274</v>
      </c>
      <c r="D45" s="31" t="n"/>
      <c r="E45" t="inlineStr">
        <is>
          <t>Luqman</t>
        </is>
      </c>
      <c r="F45" t="inlineStr">
        <is>
          <t>Rothmans Blue</t>
        </is>
      </c>
      <c r="H45" t="n">
        <v>0</v>
      </c>
      <c r="J45" t="n">
        <v>12</v>
      </c>
      <c r="N45" t="n">
        <v>-1</v>
      </c>
      <c r="O45" t="n">
        <v>44</v>
      </c>
      <c r="P45" t="inlineStr">
        <is>
          <t>100156</t>
        </is>
      </c>
      <c r="Q45" t="inlineStr">
        <is>
          <t>9556109106712</t>
        </is>
      </c>
      <c r="R45" t="inlineStr">
        <is>
          <t>SAFARI</t>
        </is>
      </c>
      <c r="S45" t="inlineStr"/>
      <c r="T45" t="inlineStr">
        <is>
          <t>ROTHMANS BLUE</t>
        </is>
      </c>
      <c r="U45" t="n">
        <v>0</v>
      </c>
    </row>
    <row r="46">
      <c r="A46" t="inlineStr">
        <is>
          <t>46274|45</t>
        </is>
      </c>
      <c r="B46" t="inlineStr">
        <is>
          <t>2026-09-09</t>
        </is>
      </c>
      <c r="C46" s="31" t="n">
        <v>46274</v>
      </c>
      <c r="D46" s="31" t="n"/>
      <c r="E46" t="inlineStr">
        <is>
          <t>Luqman</t>
        </is>
      </c>
      <c r="F46" t="inlineStr">
        <is>
          <t>Rothmans Charcoal</t>
        </is>
      </c>
      <c r="H46" t="n">
        <v>0</v>
      </c>
      <c r="J46" t="n">
        <v>0</v>
      </c>
      <c r="N46" t="n">
        <v>-1</v>
      </c>
      <c r="O46" t="n">
        <v>45</v>
      </c>
      <c r="P46" t="inlineStr">
        <is>
          <t>104385</t>
        </is>
      </c>
      <c r="Q46" t="inlineStr">
        <is>
          <t>9556109108006</t>
        </is>
      </c>
      <c r="R46" t="inlineStr">
        <is>
          <t>SAFARI</t>
        </is>
      </c>
      <c r="S46" t="inlineStr"/>
      <c r="T46" t="inlineStr">
        <is>
          <t>ROTHMANS CHARCOAL</t>
        </is>
      </c>
      <c r="U46" t="n">
        <v>0</v>
      </c>
    </row>
    <row r="47">
      <c r="A47" t="inlineStr">
        <is>
          <t>46274|46</t>
        </is>
      </c>
      <c r="B47" t="inlineStr">
        <is>
          <t>2026-09-09</t>
        </is>
      </c>
      <c r="C47" s="31" t="n">
        <v>46274</v>
      </c>
      <c r="D47" s="31" t="n"/>
      <c r="E47" t="inlineStr">
        <is>
          <t>Luqman</t>
        </is>
      </c>
      <c r="F47" t="inlineStr">
        <is>
          <t>Rothmans Kool Hokkaido Mint</t>
        </is>
      </c>
      <c r="H47" t="n">
        <v>0</v>
      </c>
      <c r="J47" t="n">
        <v>0</v>
      </c>
      <c r="N47" t="n">
        <v>-1</v>
      </c>
      <c r="O47" t="n">
        <v>46</v>
      </c>
      <c r="P47" t="inlineStr">
        <is>
          <t>104555</t>
        </is>
      </c>
      <c r="Q47" t="inlineStr">
        <is>
          <t>9556109108358</t>
        </is>
      </c>
      <c r="R47" t="inlineStr">
        <is>
          <t>SAFARI</t>
        </is>
      </c>
      <c r="S47" t="inlineStr"/>
      <c r="T47" t="inlineStr">
        <is>
          <t>ROTHMANS BOOST</t>
        </is>
      </c>
      <c r="U47" t="n">
        <v>0</v>
      </c>
    </row>
    <row r="48">
      <c r="A48" t="inlineStr">
        <is>
          <t>46274|47</t>
        </is>
      </c>
      <c r="B48" t="inlineStr">
        <is>
          <t>2026-09-09</t>
        </is>
      </c>
      <c r="C48" s="31" t="n">
        <v>46274</v>
      </c>
      <c r="D48" s="31" t="n"/>
      <c r="E48" t="inlineStr">
        <is>
          <t>Luqman</t>
        </is>
      </c>
      <c r="F48" t="inlineStr">
        <is>
          <t>Rothmans Menthol</t>
        </is>
      </c>
      <c r="H48" t="n">
        <v>0</v>
      </c>
      <c r="J48" t="n">
        <v>0</v>
      </c>
      <c r="N48" t="n">
        <v>-1</v>
      </c>
      <c r="O48" t="n">
        <v>47</v>
      </c>
      <c r="P48" t="inlineStr">
        <is>
          <t>104429</t>
        </is>
      </c>
      <c r="Q48" t="inlineStr">
        <is>
          <t>9556109108334</t>
        </is>
      </c>
      <c r="R48" t="inlineStr">
        <is>
          <t>SAFARI</t>
        </is>
      </c>
      <c r="S48" t="inlineStr"/>
      <c r="T48" t="inlineStr">
        <is>
          <t>ROTHMANS GREEN</t>
        </is>
      </c>
      <c r="U48" t="n">
        <v>0</v>
      </c>
    </row>
    <row r="49">
      <c r="A49" t="inlineStr">
        <is>
          <t>46274|48</t>
        </is>
      </c>
      <c r="B49" t="inlineStr">
        <is>
          <t>2026-09-09</t>
        </is>
      </c>
      <c r="C49" s="31" t="n">
        <v>46274</v>
      </c>
      <c r="D49" s="31" t="n"/>
      <c r="E49" t="inlineStr">
        <is>
          <t>Luqman</t>
        </is>
      </c>
      <c r="F49" t="inlineStr">
        <is>
          <t>Rothmans Purple</t>
        </is>
      </c>
      <c r="H49" t="n">
        <v>0</v>
      </c>
      <c r="J49" t="n">
        <v>1</v>
      </c>
      <c r="N49" t="n">
        <v>-1</v>
      </c>
      <c r="O49" t="n">
        <v>48</v>
      </c>
      <c r="P49" t="inlineStr">
        <is>
          <t>103630</t>
        </is>
      </c>
      <c r="Q49" t="inlineStr">
        <is>
          <t>9556109108310</t>
        </is>
      </c>
      <c r="R49" t="inlineStr">
        <is>
          <t>SAFARI</t>
        </is>
      </c>
      <c r="S49" t="inlineStr"/>
      <c r="T49" t="inlineStr">
        <is>
          <t>ROTHMANS PURPLE</t>
        </is>
      </c>
      <c r="U49" t="n">
        <v>0</v>
      </c>
    </row>
    <row r="50">
      <c r="A50" t="inlineStr">
        <is>
          <t>46274|49</t>
        </is>
      </c>
      <c r="B50" t="inlineStr">
        <is>
          <t>2026-09-09</t>
        </is>
      </c>
      <c r="C50" s="31" t="n">
        <v>46274</v>
      </c>
      <c r="D50" s="31" t="n"/>
      <c r="E50" t="inlineStr">
        <is>
          <t>Luqman</t>
        </is>
      </c>
      <c r="F50" t="inlineStr">
        <is>
          <t>Rothmans Red</t>
        </is>
      </c>
      <c r="H50" t="n">
        <v>0</v>
      </c>
      <c r="J50" t="n">
        <v>2</v>
      </c>
      <c r="N50" t="n">
        <v>-1</v>
      </c>
      <c r="O50" t="n">
        <v>49</v>
      </c>
      <c r="P50" t="inlineStr">
        <is>
          <t>100155</t>
        </is>
      </c>
      <c r="Q50" t="inlineStr">
        <is>
          <t>9556109106330</t>
        </is>
      </c>
      <c r="R50" t="inlineStr">
        <is>
          <t>SAFARI</t>
        </is>
      </c>
      <c r="S50" t="inlineStr"/>
      <c r="T50" t="inlineStr">
        <is>
          <t>ROTHMANS RED</t>
        </is>
      </c>
      <c r="U50" t="n">
        <v>0</v>
      </c>
    </row>
    <row r="51">
      <c r="A51" t="inlineStr">
        <is>
          <t>46274|50</t>
        </is>
      </c>
      <c r="B51" t="inlineStr">
        <is>
          <t>2026-09-09</t>
        </is>
      </c>
      <c r="C51" s="31" t="n">
        <v>46274</v>
      </c>
      <c r="D51" s="31" t="n"/>
      <c r="E51" t="inlineStr">
        <is>
          <t>Luqman</t>
        </is>
      </c>
      <c r="F51" t="inlineStr">
        <is>
          <t>Sampoerna Menthol</t>
        </is>
      </c>
      <c r="H51" t="n">
        <v>0</v>
      </c>
      <c r="J51" t="n">
        <v>0</v>
      </c>
      <c r="N51" t="n">
        <v>-1</v>
      </c>
      <c r="O51" t="n">
        <v>50</v>
      </c>
      <c r="P51" t="inlineStr">
        <is>
          <t>100646</t>
        </is>
      </c>
      <c r="Q51" t="inlineStr">
        <is>
          <t>89990469</t>
        </is>
      </c>
      <c r="R51" t="inlineStr">
        <is>
          <t>SAFARI</t>
        </is>
      </c>
      <c r="S51" t="inlineStr"/>
      <c r="T51" t="inlineStr">
        <is>
          <t>SAMPOERNA A MENTHOL BOX PACK 20'S</t>
        </is>
      </c>
      <c r="U51" t="n">
        <v>0</v>
      </c>
    </row>
    <row r="52">
      <c r="A52" t="inlineStr">
        <is>
          <t>46274|51</t>
        </is>
      </c>
      <c r="B52" t="inlineStr">
        <is>
          <t>2026-09-09</t>
        </is>
      </c>
      <c r="C52" s="31" t="n">
        <v>46274</v>
      </c>
      <c r="D52" s="31" t="n"/>
      <c r="E52" t="inlineStr">
        <is>
          <t>Luqman</t>
        </is>
      </c>
      <c r="F52" t="inlineStr">
        <is>
          <t>Sampoerna Red</t>
        </is>
      </c>
      <c r="H52" t="n">
        <v>0</v>
      </c>
      <c r="J52" t="n">
        <v>0</v>
      </c>
      <c r="N52" t="n">
        <v>-1</v>
      </c>
      <c r="O52" t="n">
        <v>51</v>
      </c>
      <c r="P52" t="inlineStr">
        <is>
          <t>100648</t>
        </is>
      </c>
      <c r="Q52" t="inlineStr">
        <is>
          <t>89990568</t>
        </is>
      </c>
      <c r="R52" t="inlineStr">
        <is>
          <t>SAFARI</t>
        </is>
      </c>
      <c r="S52" t="inlineStr"/>
      <c r="T52" t="inlineStr">
        <is>
          <t>SAMPOERNA A RED BOX PACK 20'S</t>
        </is>
      </c>
      <c r="U52" t="n">
        <v>0</v>
      </c>
    </row>
    <row r="53">
      <c r="A53" t="inlineStr">
        <is>
          <t>46274|52</t>
        </is>
      </c>
      <c r="B53" t="inlineStr">
        <is>
          <t>2026-09-09</t>
        </is>
      </c>
      <c r="C53" s="31" t="n">
        <v>46274</v>
      </c>
      <c r="D53" s="31" t="n"/>
      <c r="E53" t="inlineStr">
        <is>
          <t>Luqman</t>
        </is>
      </c>
      <c r="F53" t="inlineStr">
        <is>
          <t>Winston Blue</t>
        </is>
      </c>
      <c r="H53" t="n">
        <v>0</v>
      </c>
      <c r="J53" t="n">
        <v>3</v>
      </c>
      <c r="N53" t="n">
        <v>-1</v>
      </c>
      <c r="O53" t="n">
        <v>52</v>
      </c>
      <c r="P53" t="inlineStr">
        <is>
          <t>100738</t>
        </is>
      </c>
      <c r="Q53" t="inlineStr">
        <is>
          <t>01231932</t>
        </is>
      </c>
      <c r="R53" t="inlineStr">
        <is>
          <t>SAFARI</t>
        </is>
      </c>
      <c r="S53" t="inlineStr"/>
      <c r="T53" t="inlineStr">
        <is>
          <t>WINSTON BLUE 20S</t>
        </is>
      </c>
      <c r="U53" t="n">
        <v>0</v>
      </c>
    </row>
    <row r="54">
      <c r="A54" t="inlineStr">
        <is>
          <t>46274|53</t>
        </is>
      </c>
      <c r="B54" t="inlineStr">
        <is>
          <t>2026-09-09</t>
        </is>
      </c>
      <c r="C54" s="31" t="n">
        <v>46274</v>
      </c>
      <c r="D54" s="31" t="n"/>
      <c r="E54" t="inlineStr">
        <is>
          <t>Luqman</t>
        </is>
      </c>
      <c r="F54" t="inlineStr">
        <is>
          <t>Winston Duo Berry</t>
        </is>
      </c>
      <c r="H54" t="n">
        <v>0</v>
      </c>
      <c r="J54" t="n">
        <v>0</v>
      </c>
      <c r="N54" t="n">
        <v>-1</v>
      </c>
      <c r="O54" t="n">
        <v>53</v>
      </c>
      <c r="P54" t="inlineStr">
        <is>
          <t>100750</t>
        </is>
      </c>
      <c r="Q54" t="inlineStr">
        <is>
          <t>403310034268</t>
        </is>
      </c>
      <c r="R54" t="inlineStr">
        <is>
          <t>SAFARI</t>
        </is>
      </c>
      <c r="S54" t="inlineStr"/>
      <c r="T54" t="inlineStr">
        <is>
          <t>WINSTON DUO BERRY 20S</t>
        </is>
      </c>
      <c r="U54" t="n">
        <v>0</v>
      </c>
    </row>
    <row r="55">
      <c r="A55" t="inlineStr">
        <is>
          <t>46274|54</t>
        </is>
      </c>
      <c r="B55" t="inlineStr">
        <is>
          <t>2026-09-09</t>
        </is>
      </c>
      <c r="C55" s="31" t="n">
        <v>46274</v>
      </c>
      <c r="D55" s="31" t="n"/>
      <c r="E55" t="inlineStr">
        <is>
          <t>Luqman</t>
        </is>
      </c>
      <c r="F55" t="inlineStr">
        <is>
          <t>Winston Red</t>
        </is>
      </c>
      <c r="H55" t="n">
        <v>0</v>
      </c>
      <c r="J55" t="n">
        <v>3</v>
      </c>
      <c r="N55" t="n">
        <v>-1</v>
      </c>
      <c r="O55" t="n">
        <v>54</v>
      </c>
      <c r="P55" t="inlineStr">
        <is>
          <t>100740</t>
        </is>
      </c>
      <c r="Q55" t="inlineStr">
        <is>
          <t>01231233</t>
        </is>
      </c>
      <c r="R55" t="inlineStr">
        <is>
          <t>SAFARI</t>
        </is>
      </c>
      <c r="S55" t="inlineStr"/>
      <c r="T55" t="inlineStr">
        <is>
          <t>WINSTON RED 20S</t>
        </is>
      </c>
      <c r="U55" t="n">
        <v>0</v>
      </c>
    </row>
    <row r="56">
      <c r="A56" t="inlineStr">
        <is>
          <t>46275|1</t>
        </is>
      </c>
      <c r="B56" t="inlineStr">
        <is>
          <t>2026-09-10</t>
        </is>
      </c>
      <c r="C56" s="31" t="n">
        <v>46275</v>
      </c>
      <c r="D56" s="31" t="n"/>
      <c r="E56" t="inlineStr">
        <is>
          <t>Luqman</t>
        </is>
      </c>
      <c r="F56" t="inlineStr">
        <is>
          <t>Benson &amp; Hedges</t>
        </is>
      </c>
      <c r="G56" t="n">
        <v>0</v>
      </c>
      <c r="H56" t="n">
        <v>1</v>
      </c>
      <c r="I56" t="n">
        <v>-1</v>
      </c>
      <c r="N56" t="n">
        <v>-1</v>
      </c>
      <c r="O56" t="n">
        <v>1</v>
      </c>
      <c r="P56" t="inlineStr">
        <is>
          <t>100144</t>
        </is>
      </c>
      <c r="Q56" t="inlineStr">
        <is>
          <t>95502397</t>
        </is>
      </c>
      <c r="R56" t="inlineStr">
        <is>
          <t>SAFARI</t>
        </is>
      </c>
      <c r="S56" t="inlineStr"/>
      <c r="T56" t="inlineStr">
        <is>
          <t>BENSON &amp; HEDGES</t>
        </is>
      </c>
      <c r="U56" t="n">
        <v>0</v>
      </c>
    </row>
    <row r="57">
      <c r="A57" t="inlineStr">
        <is>
          <t>46275|2</t>
        </is>
      </c>
      <c r="B57" t="inlineStr">
        <is>
          <t>2026-09-10</t>
        </is>
      </c>
      <c r="C57" s="31" t="n">
        <v>46275</v>
      </c>
      <c r="D57" s="31" t="n"/>
      <c r="E57" t="inlineStr">
        <is>
          <t>Luqman</t>
        </is>
      </c>
      <c r="F57" t="inlineStr">
        <is>
          <t>Bond Light</t>
        </is>
      </c>
      <c r="G57" t="n">
        <v>0</v>
      </c>
      <c r="H57" t="n">
        <v>1</v>
      </c>
      <c r="I57" t="n">
        <v>-1</v>
      </c>
      <c r="N57" t="n">
        <v>-1</v>
      </c>
      <c r="O57" t="n">
        <v>2</v>
      </c>
      <c r="P57" t="inlineStr">
        <is>
          <t>105159</t>
        </is>
      </c>
      <c r="Q57" t="inlineStr">
        <is>
          <t>9555277316275</t>
        </is>
      </c>
      <c r="R57" t="inlineStr">
        <is>
          <t>SAFARI</t>
        </is>
      </c>
      <c r="S57" t="inlineStr"/>
      <c r="T57" t="inlineStr">
        <is>
          <t>BOND STREET BLUE 20S</t>
        </is>
      </c>
      <c r="U57" t="n">
        <v>0</v>
      </c>
    </row>
    <row r="58">
      <c r="A58" t="inlineStr">
        <is>
          <t>46275|3</t>
        </is>
      </c>
      <c r="B58" t="inlineStr">
        <is>
          <t>2026-09-10</t>
        </is>
      </c>
      <c r="C58" s="31" t="n">
        <v>46275</v>
      </c>
      <c r="D58" s="31" t="n"/>
      <c r="E58" t="inlineStr">
        <is>
          <t>Luqman</t>
        </is>
      </c>
      <c r="F58" t="inlineStr">
        <is>
          <t>Bond Red</t>
        </is>
      </c>
      <c r="G58" t="n">
        <v>0</v>
      </c>
      <c r="H58" t="n">
        <v>1</v>
      </c>
      <c r="I58" t="n">
        <v>-1</v>
      </c>
      <c r="N58" t="n">
        <v>-1</v>
      </c>
      <c r="O58" t="n">
        <v>3</v>
      </c>
      <c r="P58" t="inlineStr">
        <is>
          <t>105158</t>
        </is>
      </c>
      <c r="Q58" t="inlineStr">
        <is>
          <t>9555277316251</t>
        </is>
      </c>
      <c r="R58" t="inlineStr">
        <is>
          <t>SAFARI</t>
        </is>
      </c>
      <c r="S58" t="inlineStr"/>
      <c r="T58" t="inlineStr">
        <is>
          <t>BOND STREET RED 20S</t>
        </is>
      </c>
      <c r="U58" t="n">
        <v>0</v>
      </c>
    </row>
    <row r="59">
      <c r="A59" t="inlineStr">
        <is>
          <t>46275|4</t>
        </is>
      </c>
      <c r="B59" t="inlineStr">
        <is>
          <t>2026-09-10</t>
        </is>
      </c>
      <c r="C59" s="31" t="n">
        <v>46275</v>
      </c>
      <c r="D59" s="31" t="n"/>
      <c r="E59" t="inlineStr">
        <is>
          <t>Luqman</t>
        </is>
      </c>
      <c r="F59" t="inlineStr">
        <is>
          <t>Chesterfield Blue</t>
        </is>
      </c>
      <c r="G59" t="n">
        <v>0</v>
      </c>
      <c r="H59" t="n">
        <v>1</v>
      </c>
      <c r="I59" t="n">
        <v>-1</v>
      </c>
      <c r="N59" t="n">
        <v>-1</v>
      </c>
      <c r="O59" t="n">
        <v>4</v>
      </c>
      <c r="P59" t="inlineStr">
        <is>
          <t>100642</t>
        </is>
      </c>
      <c r="Q59" t="inlineStr">
        <is>
          <t>88823393</t>
        </is>
      </c>
      <c r="R59" t="inlineStr">
        <is>
          <t>SAFARI</t>
        </is>
      </c>
      <c r="S59" t="inlineStr"/>
      <c r="T59" t="inlineStr">
        <is>
          <t>CHESTERFIELD BLUE 20S</t>
        </is>
      </c>
      <c r="U59" t="n">
        <v>0</v>
      </c>
    </row>
    <row r="60">
      <c r="A60" t="inlineStr">
        <is>
          <t>46275|5</t>
        </is>
      </c>
      <c r="B60" t="inlineStr">
        <is>
          <t>2026-09-10</t>
        </is>
      </c>
      <c r="C60" s="31" t="n">
        <v>46275</v>
      </c>
      <c r="D60" s="31" t="n"/>
      <c r="E60" t="inlineStr">
        <is>
          <t>Luqman</t>
        </is>
      </c>
      <c r="F60" t="inlineStr">
        <is>
          <t>Chesterfield Charcoal</t>
        </is>
      </c>
      <c r="G60" t="n">
        <v>0</v>
      </c>
      <c r="H60" t="n">
        <v>1</v>
      </c>
      <c r="I60" t="n">
        <v>-1</v>
      </c>
      <c r="N60" t="n">
        <v>-1</v>
      </c>
      <c r="O60" t="n">
        <v>5</v>
      </c>
      <c r="P60" t="inlineStr">
        <is>
          <t>103361</t>
        </is>
      </c>
      <c r="Q60" t="inlineStr">
        <is>
          <t>9555277315254</t>
        </is>
      </c>
      <c r="R60" t="inlineStr">
        <is>
          <t>SAFARI</t>
        </is>
      </c>
      <c r="S60" t="inlineStr"/>
      <c r="T60" t="inlineStr">
        <is>
          <t>CHESTERFIELD CHARCOAL FILTER 20S</t>
        </is>
      </c>
      <c r="U60" t="n">
        <v>0</v>
      </c>
    </row>
    <row r="61">
      <c r="A61" t="inlineStr">
        <is>
          <t>46275|6</t>
        </is>
      </c>
      <c r="B61" t="inlineStr">
        <is>
          <t>2026-09-10</t>
        </is>
      </c>
      <c r="C61" s="31" t="n">
        <v>46275</v>
      </c>
      <c r="D61" s="31" t="n"/>
      <c r="E61" t="inlineStr">
        <is>
          <t>Luqman</t>
        </is>
      </c>
      <c r="F61" t="inlineStr">
        <is>
          <t>Chesterfield Menthol</t>
        </is>
      </c>
      <c r="G61" t="n">
        <v>0</v>
      </c>
      <c r="H61" t="n">
        <v>1</v>
      </c>
      <c r="I61" t="n">
        <v>-1</v>
      </c>
      <c r="N61" t="n">
        <v>-1</v>
      </c>
      <c r="O61" t="n">
        <v>6</v>
      </c>
      <c r="P61" t="inlineStr">
        <is>
          <t>100638</t>
        </is>
      </c>
      <c r="Q61" t="inlineStr">
        <is>
          <t>95510354</t>
        </is>
      </c>
      <c r="R61" t="inlineStr">
        <is>
          <t>SAFARI</t>
        </is>
      </c>
      <c r="S61" t="inlineStr"/>
      <c r="T61" t="inlineStr">
        <is>
          <t>CHESTERFIELD MENTHOL 20S</t>
        </is>
      </c>
      <c r="U61" t="n">
        <v>0</v>
      </c>
    </row>
    <row r="62">
      <c r="A62" t="inlineStr">
        <is>
          <t>46275|7</t>
        </is>
      </c>
      <c r="B62" t="inlineStr">
        <is>
          <t>2026-09-10</t>
        </is>
      </c>
      <c r="C62" s="31" t="n">
        <v>46275</v>
      </c>
      <c r="D62" s="31" t="n"/>
      <c r="E62" t="inlineStr">
        <is>
          <t>Luqman</t>
        </is>
      </c>
      <c r="F62" t="inlineStr">
        <is>
          <t>Chesterfield Purple</t>
        </is>
      </c>
      <c r="G62" t="n">
        <v>0</v>
      </c>
      <c r="H62" t="n">
        <v>3</v>
      </c>
      <c r="I62" t="n">
        <v>-3</v>
      </c>
      <c r="N62" t="n">
        <v>-1</v>
      </c>
      <c r="O62" t="n">
        <v>7</v>
      </c>
      <c r="P62" t="inlineStr">
        <is>
          <t>103526</t>
        </is>
      </c>
      <c r="Q62" t="inlineStr">
        <is>
          <t>9555277315094</t>
        </is>
      </c>
      <c r="R62" t="inlineStr">
        <is>
          <t>SAFARI</t>
        </is>
      </c>
      <c r="S62" t="inlineStr"/>
      <c r="T62" t="inlineStr">
        <is>
          <t>CHESTERFIELD PURPLE 20S</t>
        </is>
      </c>
      <c r="U62" t="n">
        <v>0</v>
      </c>
    </row>
    <row r="63">
      <c r="A63" t="inlineStr">
        <is>
          <t>46275|8</t>
        </is>
      </c>
      <c r="B63" t="inlineStr">
        <is>
          <t>2026-09-10</t>
        </is>
      </c>
      <c r="C63" s="31" t="n">
        <v>46275</v>
      </c>
      <c r="D63" s="31" t="n"/>
      <c r="E63" t="inlineStr">
        <is>
          <t>Luqman</t>
        </is>
      </c>
      <c r="F63" t="inlineStr">
        <is>
          <t>Chesterfield Red</t>
        </is>
      </c>
      <c r="G63" t="n">
        <v>0</v>
      </c>
      <c r="H63" t="n">
        <v>1</v>
      </c>
      <c r="I63" t="n">
        <v>-1</v>
      </c>
      <c r="N63" t="n">
        <v>-1</v>
      </c>
      <c r="O63" t="n">
        <v>8</v>
      </c>
      <c r="P63" t="inlineStr">
        <is>
          <t>100640</t>
        </is>
      </c>
      <c r="Q63" t="inlineStr">
        <is>
          <t>88823386</t>
        </is>
      </c>
      <c r="R63" t="inlineStr">
        <is>
          <t>SAFARI</t>
        </is>
      </c>
      <c r="S63" t="inlineStr"/>
      <c r="T63" t="inlineStr">
        <is>
          <t>CHESTERFIELD RED 20S</t>
        </is>
      </c>
      <c r="U63" t="n">
        <v>0</v>
      </c>
    </row>
    <row r="64">
      <c r="A64" t="inlineStr">
        <is>
          <t>46275|9</t>
        </is>
      </c>
      <c r="B64" t="inlineStr">
        <is>
          <t>2026-09-10</t>
        </is>
      </c>
      <c r="C64" s="31" t="n">
        <v>46275</v>
      </c>
      <c r="D64" s="31" t="n"/>
      <c r="E64" t="inlineStr">
        <is>
          <t>Luqman</t>
        </is>
      </c>
      <c r="F64" t="inlineStr">
        <is>
          <t>Dunhill Blue</t>
        </is>
      </c>
      <c r="G64" t="n">
        <v>0</v>
      </c>
      <c r="H64" t="n">
        <v>3</v>
      </c>
      <c r="I64" t="n">
        <v>-3</v>
      </c>
      <c r="N64" t="n">
        <v>-1</v>
      </c>
      <c r="O64" t="n">
        <v>9</v>
      </c>
      <c r="P64" t="inlineStr">
        <is>
          <t>104923</t>
        </is>
      </c>
      <c r="Q64" t="inlineStr">
        <is>
          <t>9556109109386</t>
        </is>
      </c>
      <c r="R64" t="inlineStr">
        <is>
          <t>SAFARI</t>
        </is>
      </c>
      <c r="S64" t="inlineStr"/>
      <c r="T64" t="inlineStr">
        <is>
          <t>DUNHILL BLUE</t>
        </is>
      </c>
      <c r="U64" t="n">
        <v>0</v>
      </c>
    </row>
    <row r="65">
      <c r="A65" t="inlineStr">
        <is>
          <t>46275|10</t>
        </is>
      </c>
      <c r="B65" t="inlineStr">
        <is>
          <t>2026-09-10</t>
        </is>
      </c>
      <c r="C65" s="31" t="n">
        <v>46275</v>
      </c>
      <c r="D65" s="31" t="n"/>
      <c r="E65" t="inlineStr">
        <is>
          <t>Luqman</t>
        </is>
      </c>
      <c r="F65" t="inlineStr">
        <is>
          <t>Dunhill Boost</t>
        </is>
      </c>
      <c r="G65" t="n">
        <v>0</v>
      </c>
      <c r="H65" t="n">
        <v>1</v>
      </c>
      <c r="I65" t="n">
        <v>-1</v>
      </c>
      <c r="N65" t="n">
        <v>-1</v>
      </c>
      <c r="O65" t="n">
        <v>10</v>
      </c>
      <c r="P65" t="inlineStr">
        <is>
          <t>105169</t>
        </is>
      </c>
      <c r="Q65" t="inlineStr">
        <is>
          <t>9556109109416</t>
        </is>
      </c>
      <c r="R65" t="inlineStr">
        <is>
          <t>SAFARI</t>
        </is>
      </c>
      <c r="S65" t="inlineStr"/>
      <c r="T65" t="inlineStr">
        <is>
          <t>DUNHILL BOOST</t>
        </is>
      </c>
      <c r="U65" t="n">
        <v>0</v>
      </c>
    </row>
    <row r="66">
      <c r="A66" t="inlineStr">
        <is>
          <t>46275|11</t>
        </is>
      </c>
      <c r="B66" t="inlineStr">
        <is>
          <t>2026-09-10</t>
        </is>
      </c>
      <c r="C66" s="31" t="n">
        <v>46275</v>
      </c>
      <c r="D66" s="31" t="n"/>
      <c r="E66" t="inlineStr">
        <is>
          <t>Luqman</t>
        </is>
      </c>
      <c r="F66" t="inlineStr">
        <is>
          <t>Dunhill Classic</t>
        </is>
      </c>
      <c r="G66" t="n">
        <v>0</v>
      </c>
      <c r="H66" t="n">
        <v>2</v>
      </c>
      <c r="I66" t="n">
        <v>-2</v>
      </c>
      <c r="N66" t="n">
        <v>-1</v>
      </c>
      <c r="O66" t="n">
        <v>11</v>
      </c>
      <c r="P66" t="inlineStr">
        <is>
          <t>103732</t>
        </is>
      </c>
      <c r="Q66" t="inlineStr">
        <is>
          <t>9556109106958</t>
        </is>
      </c>
      <c r="R66" t="inlineStr">
        <is>
          <t>SAFARI</t>
        </is>
      </c>
      <c r="S66" t="inlineStr"/>
      <c r="T66" t="inlineStr">
        <is>
          <t>DUNHILL CLASSIC</t>
        </is>
      </c>
      <c r="U66" t="n">
        <v>0</v>
      </c>
    </row>
    <row r="67">
      <c r="A67" t="inlineStr">
        <is>
          <t>46275|12</t>
        </is>
      </c>
      <c r="B67" t="inlineStr">
        <is>
          <t>2026-09-10</t>
        </is>
      </c>
      <c r="C67" s="31" t="n">
        <v>46275</v>
      </c>
      <c r="D67" s="31" t="n"/>
      <c r="E67" t="inlineStr">
        <is>
          <t>Luqman</t>
        </is>
      </c>
      <c r="F67" t="inlineStr">
        <is>
          <t>Dunhill Menthol</t>
        </is>
      </c>
      <c r="G67" t="n">
        <v>0</v>
      </c>
      <c r="H67" t="n">
        <v>3</v>
      </c>
      <c r="I67" t="n">
        <v>-3</v>
      </c>
      <c r="N67" t="n">
        <v>-1</v>
      </c>
      <c r="O67" t="n">
        <v>12</v>
      </c>
      <c r="P67" t="inlineStr">
        <is>
          <t>104924</t>
        </is>
      </c>
      <c r="Q67" t="inlineStr">
        <is>
          <t>9556109109393</t>
        </is>
      </c>
      <c r="R67" t="inlineStr">
        <is>
          <t>SAFARI</t>
        </is>
      </c>
      <c r="S67" t="inlineStr"/>
      <c r="T67" t="inlineStr">
        <is>
          <t>DUNHILL MENTHOL</t>
        </is>
      </c>
      <c r="U67" t="n">
        <v>0</v>
      </c>
    </row>
    <row r="68">
      <c r="A68" t="inlineStr">
        <is>
          <t>46275|13</t>
        </is>
      </c>
      <c r="B68" t="inlineStr">
        <is>
          <t>2026-09-10</t>
        </is>
      </c>
      <c r="C68" s="31" t="n">
        <v>46275</v>
      </c>
      <c r="D68" s="31" t="n"/>
      <c r="E68" t="inlineStr">
        <is>
          <t>Luqman</t>
        </is>
      </c>
      <c r="F68" t="inlineStr">
        <is>
          <t>Dunhill Mix</t>
        </is>
      </c>
      <c r="G68" t="n">
        <v>0</v>
      </c>
      <c r="H68" t="n">
        <v>1</v>
      </c>
      <c r="I68" t="n">
        <v>-1</v>
      </c>
      <c r="N68" t="n">
        <v>-1</v>
      </c>
      <c r="O68" t="n">
        <v>13</v>
      </c>
      <c r="P68" t="inlineStr">
        <is>
          <t>105170</t>
        </is>
      </c>
      <c r="Q68" t="inlineStr">
        <is>
          <t>9556109109423</t>
        </is>
      </c>
      <c r="R68" t="inlineStr">
        <is>
          <t>SAFARI</t>
        </is>
      </c>
      <c r="S68" t="inlineStr"/>
      <c r="T68" t="inlineStr">
        <is>
          <t>DUNHILL MIX</t>
        </is>
      </c>
      <c r="U68" t="n">
        <v>0</v>
      </c>
    </row>
    <row r="69">
      <c r="A69" t="inlineStr">
        <is>
          <t>46275|14</t>
        </is>
      </c>
      <c r="B69" t="inlineStr">
        <is>
          <t>2026-09-10</t>
        </is>
      </c>
      <c r="C69" s="31" t="n">
        <v>46275</v>
      </c>
      <c r="D69" s="31" t="n"/>
      <c r="E69" t="inlineStr">
        <is>
          <t>Luqman</t>
        </is>
      </c>
      <c r="F69" t="inlineStr">
        <is>
          <t>Dunhill Red</t>
        </is>
      </c>
      <c r="G69" t="n">
        <v>0</v>
      </c>
      <c r="H69" t="n">
        <v>1</v>
      </c>
      <c r="I69" t="n">
        <v>-1</v>
      </c>
      <c r="N69" t="n">
        <v>-1</v>
      </c>
      <c r="O69" t="n">
        <v>14</v>
      </c>
      <c r="P69" t="inlineStr">
        <is>
          <t>104922</t>
        </is>
      </c>
      <c r="Q69" t="inlineStr">
        <is>
          <t>9556109109171</t>
        </is>
      </c>
      <c r="R69" t="inlineStr">
        <is>
          <t>SAFARI</t>
        </is>
      </c>
      <c r="S69" t="inlineStr"/>
      <c r="T69" t="inlineStr">
        <is>
          <t>DUNHILL RED</t>
        </is>
      </c>
      <c r="U69" t="n">
        <v>0</v>
      </c>
    </row>
    <row r="70">
      <c r="A70" t="inlineStr">
        <is>
          <t>46275|15</t>
        </is>
      </c>
      <c r="B70" t="inlineStr">
        <is>
          <t>2026-09-10</t>
        </is>
      </c>
      <c r="C70" s="31" t="n">
        <v>46275</v>
      </c>
      <c r="D70" s="31" t="n"/>
      <c r="E70" t="inlineStr">
        <is>
          <t>Luqman</t>
        </is>
      </c>
      <c r="F70" t="inlineStr">
        <is>
          <t>Dunhill Switch</t>
        </is>
      </c>
      <c r="G70" t="n">
        <v>0</v>
      </c>
      <c r="H70" t="n">
        <v>2</v>
      </c>
      <c r="I70" t="n">
        <v>-2</v>
      </c>
      <c r="N70" t="n">
        <v>-1</v>
      </c>
      <c r="O70" t="n">
        <v>15</v>
      </c>
      <c r="P70" t="inlineStr">
        <is>
          <t>105168</t>
        </is>
      </c>
      <c r="Q70" t="inlineStr">
        <is>
          <t>9556109109409</t>
        </is>
      </c>
      <c r="R70" t="inlineStr">
        <is>
          <t>SAFARI</t>
        </is>
      </c>
      <c r="S70" t="inlineStr"/>
      <c r="T70" t="inlineStr">
        <is>
          <t>DUNHILL SWITCH</t>
        </is>
      </c>
      <c r="U70" t="n">
        <v>0</v>
      </c>
    </row>
    <row r="71">
      <c r="A71" t="inlineStr">
        <is>
          <t>46275|16</t>
        </is>
      </c>
      <c r="B71" t="inlineStr">
        <is>
          <t>2026-09-10</t>
        </is>
      </c>
      <c r="C71" s="31" t="n">
        <v>46275</v>
      </c>
      <c r="D71" s="31" t="n"/>
      <c r="E71" t="inlineStr">
        <is>
          <t>Luqman</t>
        </is>
      </c>
      <c r="F71" t="inlineStr">
        <is>
          <t>Dunhill Zest</t>
        </is>
      </c>
      <c r="G71" t="n">
        <v>0</v>
      </c>
      <c r="H71" t="n">
        <v>1</v>
      </c>
      <c r="I71" t="n">
        <v>-1</v>
      </c>
      <c r="N71" t="n">
        <v>-1</v>
      </c>
      <c r="O71" t="n">
        <v>16</v>
      </c>
      <c r="P71" t="inlineStr">
        <is>
          <t>105171</t>
        </is>
      </c>
      <c r="Q71" t="inlineStr">
        <is>
          <t>9556109109430</t>
        </is>
      </c>
      <c r="R71" t="inlineStr">
        <is>
          <t>SAFARI</t>
        </is>
      </c>
      <c r="S71" t="inlineStr"/>
      <c r="T71" t="inlineStr">
        <is>
          <t>DUNHILL ZEST</t>
        </is>
      </c>
      <c r="U71" t="n">
        <v>0</v>
      </c>
    </row>
    <row r="72">
      <c r="A72" t="inlineStr">
        <is>
          <t>46275|17</t>
        </is>
      </c>
      <c r="B72" t="inlineStr">
        <is>
          <t>2026-09-10</t>
        </is>
      </c>
      <c r="C72" s="31" t="n">
        <v>46275</v>
      </c>
      <c r="D72" s="31" t="n"/>
      <c r="E72" t="inlineStr">
        <is>
          <t>Luqman</t>
        </is>
      </c>
      <c r="F72" t="inlineStr">
        <is>
          <t>Kyo Original</t>
        </is>
      </c>
      <c r="G72" t="n">
        <v>0</v>
      </c>
      <c r="H72" t="n">
        <v>1</v>
      </c>
      <c r="I72" t="n">
        <v>-1</v>
      </c>
      <c r="N72" t="n">
        <v>-1</v>
      </c>
      <c r="O72" t="n">
        <v>17</v>
      </c>
      <c r="P72" t="inlineStr">
        <is>
          <t>104726</t>
        </is>
      </c>
      <c r="Q72" t="inlineStr">
        <is>
          <t>9556109109355</t>
        </is>
      </c>
      <c r="R72" t="inlineStr">
        <is>
          <t>SAFARI</t>
        </is>
      </c>
      <c r="S72" t="inlineStr"/>
      <c r="T72" t="inlineStr">
        <is>
          <t>KYO ORIGINAL BLUE</t>
        </is>
      </c>
      <c r="U72" t="n">
        <v>0</v>
      </c>
    </row>
    <row r="73">
      <c r="A73" t="inlineStr">
        <is>
          <t>46275|18</t>
        </is>
      </c>
      <c r="B73" t="inlineStr">
        <is>
          <t>2026-09-10</t>
        </is>
      </c>
      <c r="C73" s="31" t="n">
        <v>46275</v>
      </c>
      <c r="D73" s="31" t="n"/>
      <c r="E73" t="inlineStr">
        <is>
          <t>Luqman</t>
        </is>
      </c>
      <c r="F73" t="inlineStr">
        <is>
          <t>Kyo Silver</t>
        </is>
      </c>
      <c r="G73" t="n">
        <v>0</v>
      </c>
      <c r="H73" t="n">
        <v>1</v>
      </c>
      <c r="I73" t="n">
        <v>-1</v>
      </c>
      <c r="N73" t="n">
        <v>-1</v>
      </c>
      <c r="O73" t="n">
        <v>18</v>
      </c>
      <c r="P73" t="inlineStr">
        <is>
          <t>104727</t>
        </is>
      </c>
      <c r="Q73" t="inlineStr">
        <is>
          <t>9556109109362</t>
        </is>
      </c>
      <c r="R73" t="inlineStr">
        <is>
          <t>SAFARI</t>
        </is>
      </c>
      <c r="S73" t="inlineStr"/>
      <c r="T73" t="inlineStr">
        <is>
          <t>KYO SILVER</t>
        </is>
      </c>
      <c r="U73" t="n">
        <v>0</v>
      </c>
    </row>
    <row r="74">
      <c r="A74" t="inlineStr">
        <is>
          <t>46275|19</t>
        </is>
      </c>
      <c r="B74" t="inlineStr">
        <is>
          <t>2026-09-10</t>
        </is>
      </c>
      <c r="C74" s="31" t="n">
        <v>46275</v>
      </c>
      <c r="D74" s="31" t="n"/>
      <c r="E74" t="inlineStr">
        <is>
          <t>Luqman</t>
        </is>
      </c>
      <c r="F74" t="inlineStr">
        <is>
          <t>LD 100 Red</t>
        </is>
      </c>
      <c r="G74" t="n">
        <v>7</v>
      </c>
      <c r="H74" t="n">
        <v>11</v>
      </c>
      <c r="I74" t="n">
        <v>-4</v>
      </c>
      <c r="N74" t="n">
        <v>-1</v>
      </c>
      <c r="O74" t="n">
        <v>19</v>
      </c>
      <c r="P74" t="inlineStr">
        <is>
          <t>107628</t>
        </is>
      </c>
      <c r="Q74" t="inlineStr">
        <is>
          <t>9555900301227</t>
        </is>
      </c>
      <c r="R74" t="inlineStr">
        <is>
          <t>SAFARI</t>
        </is>
      </c>
      <c r="S74" t="inlineStr"/>
      <c r="T74" t="inlineStr">
        <is>
          <t>LD 100 RED</t>
        </is>
      </c>
      <c r="U74" t="n">
        <v>0</v>
      </c>
    </row>
    <row r="75">
      <c r="A75" t="inlineStr">
        <is>
          <t>46275|20</t>
        </is>
      </c>
      <c r="B75" t="inlineStr">
        <is>
          <t>2026-09-10</t>
        </is>
      </c>
      <c r="C75" s="31" t="n">
        <v>46275</v>
      </c>
      <c r="D75" s="31" t="n"/>
      <c r="E75" t="inlineStr">
        <is>
          <t>Luqman</t>
        </is>
      </c>
      <c r="F75" t="inlineStr">
        <is>
          <t>LD Blue</t>
        </is>
      </c>
      <c r="G75" t="n">
        <v>0</v>
      </c>
      <c r="H75" t="n">
        <v>1</v>
      </c>
      <c r="I75" t="n">
        <v>-1</v>
      </c>
      <c r="N75" t="n">
        <v>-1</v>
      </c>
      <c r="O75" t="n">
        <v>20</v>
      </c>
      <c r="P75" t="inlineStr">
        <is>
          <t>100758</t>
        </is>
      </c>
      <c r="Q75" t="inlineStr">
        <is>
          <t>8885004830028</t>
        </is>
      </c>
      <c r="R75" t="inlineStr">
        <is>
          <t>SAFARI</t>
        </is>
      </c>
      <c r="S75" t="inlineStr"/>
      <c r="T75" t="inlineStr">
        <is>
          <t>LD BLUE 20S</t>
        </is>
      </c>
      <c r="U75" t="n">
        <v>0</v>
      </c>
    </row>
    <row r="76">
      <c r="A76" t="inlineStr">
        <is>
          <t>46275|21</t>
        </is>
      </c>
      <c r="B76" t="inlineStr">
        <is>
          <t>2026-09-10</t>
        </is>
      </c>
      <c r="C76" s="31" t="n">
        <v>46275</v>
      </c>
      <c r="D76" s="31" t="n"/>
      <c r="E76" t="inlineStr">
        <is>
          <t>Luqman</t>
        </is>
      </c>
      <c r="F76" t="inlineStr">
        <is>
          <t>LD Menthol</t>
        </is>
      </c>
      <c r="G76" t="n">
        <v>0</v>
      </c>
      <c r="H76" t="n">
        <v>1</v>
      </c>
      <c r="I76" t="n">
        <v>-1</v>
      </c>
      <c r="N76" t="n">
        <v>-1</v>
      </c>
      <c r="O76" t="n">
        <v>21</v>
      </c>
      <c r="P76" t="inlineStr">
        <is>
          <t>100760</t>
        </is>
      </c>
      <c r="Q76" t="inlineStr">
        <is>
          <t>8885004830042</t>
        </is>
      </c>
      <c r="R76" t="inlineStr">
        <is>
          <t>SAFARI</t>
        </is>
      </c>
      <c r="S76" t="inlineStr"/>
      <c r="T76" t="inlineStr">
        <is>
          <t>LD MENTHOL 20S</t>
        </is>
      </c>
      <c r="U76" t="n">
        <v>0</v>
      </c>
    </row>
    <row r="77">
      <c r="A77" t="inlineStr">
        <is>
          <t>46275|22</t>
        </is>
      </c>
      <c r="B77" t="inlineStr">
        <is>
          <t>2026-09-10</t>
        </is>
      </c>
      <c r="C77" s="31" t="n">
        <v>46275</v>
      </c>
      <c r="D77" s="31" t="n"/>
      <c r="E77" t="inlineStr">
        <is>
          <t>Luqman</t>
        </is>
      </c>
      <c r="F77" t="inlineStr">
        <is>
          <t>LD Purple</t>
        </is>
      </c>
      <c r="G77" t="n">
        <v>0</v>
      </c>
      <c r="H77" t="n">
        <v>1</v>
      </c>
      <c r="I77" t="n">
        <v>-1</v>
      </c>
      <c r="N77" t="n">
        <v>-1</v>
      </c>
      <c r="O77" t="n">
        <v>22</v>
      </c>
      <c r="P77" t="inlineStr">
        <is>
          <t>104330</t>
        </is>
      </c>
      <c r="Q77" t="inlineStr">
        <is>
          <t>9555900300565</t>
        </is>
      </c>
      <c r="R77" t="inlineStr">
        <is>
          <t>SAFARI</t>
        </is>
      </c>
      <c r="S77" t="inlineStr"/>
      <c r="T77" t="inlineStr">
        <is>
          <t>LD PURPLE 20S</t>
        </is>
      </c>
      <c r="U77" t="n">
        <v>0</v>
      </c>
    </row>
    <row r="78">
      <c r="A78" t="inlineStr">
        <is>
          <t>46275|23</t>
        </is>
      </c>
      <c r="B78" t="inlineStr">
        <is>
          <t>2026-09-10</t>
        </is>
      </c>
      <c r="C78" s="31" t="n">
        <v>46275</v>
      </c>
      <c r="D78" s="31" t="n"/>
      <c r="E78" t="inlineStr">
        <is>
          <t>Luqman</t>
        </is>
      </c>
      <c r="F78" t="inlineStr">
        <is>
          <t>LD Red</t>
        </is>
      </c>
      <c r="G78" t="n">
        <v>0</v>
      </c>
      <c r="H78" t="n">
        <v>11</v>
      </c>
      <c r="I78" t="n">
        <v>-11</v>
      </c>
      <c r="N78" t="n">
        <v>-1</v>
      </c>
      <c r="O78" t="n">
        <v>23</v>
      </c>
      <c r="P78" t="inlineStr">
        <is>
          <t>100756</t>
        </is>
      </c>
      <c r="Q78" t="inlineStr">
        <is>
          <t>8885004830004</t>
        </is>
      </c>
      <c r="R78" t="inlineStr">
        <is>
          <t>SAFARI</t>
        </is>
      </c>
      <c r="S78" t="inlineStr"/>
      <c r="T78" t="inlineStr">
        <is>
          <t>LD RED 20S</t>
        </is>
      </c>
      <c r="U78" t="n">
        <v>0</v>
      </c>
    </row>
    <row r="79">
      <c r="A79" t="inlineStr">
        <is>
          <t>46275|24</t>
        </is>
      </c>
      <c r="B79" t="inlineStr">
        <is>
          <t>2026-09-10</t>
        </is>
      </c>
      <c r="C79" s="31" t="n">
        <v>46275</v>
      </c>
      <c r="D79" s="31" t="n"/>
      <c r="E79" t="inlineStr">
        <is>
          <t>Luqman</t>
        </is>
      </c>
      <c r="F79" t="inlineStr">
        <is>
          <t>LD Zoom</t>
        </is>
      </c>
      <c r="G79" t="n">
        <v>0</v>
      </c>
      <c r="H79" t="n">
        <v>1</v>
      </c>
      <c r="I79" t="n">
        <v>-1</v>
      </c>
      <c r="N79" t="n">
        <v>-1</v>
      </c>
      <c r="O79" t="n">
        <v>24</v>
      </c>
      <c r="P79" t="inlineStr">
        <is>
          <t>100762</t>
        </is>
      </c>
      <c r="Q79" t="inlineStr">
        <is>
          <t>9555900300121</t>
        </is>
      </c>
      <c r="R79" t="inlineStr">
        <is>
          <t>SAFARI</t>
        </is>
      </c>
      <c r="S79" t="inlineStr"/>
      <c r="T79" t="inlineStr">
        <is>
          <t>LD ZOOM 20S</t>
        </is>
      </c>
      <c r="U79" t="n">
        <v>0</v>
      </c>
    </row>
    <row r="80">
      <c r="A80" t="inlineStr">
        <is>
          <t>46275|25</t>
        </is>
      </c>
      <c r="B80" t="inlineStr">
        <is>
          <t>2026-09-10</t>
        </is>
      </c>
      <c r="C80" s="31" t="n">
        <v>46275</v>
      </c>
      <c r="D80" s="31" t="n"/>
      <c r="E80" t="inlineStr">
        <is>
          <t>Luqman</t>
        </is>
      </c>
      <c r="F80" t="inlineStr">
        <is>
          <t>Marlboro Black</t>
        </is>
      </c>
      <c r="G80" t="n">
        <v>0</v>
      </c>
      <c r="H80" t="n">
        <v>11</v>
      </c>
      <c r="I80" t="n">
        <v>-11</v>
      </c>
      <c r="N80" t="n">
        <v>-1</v>
      </c>
      <c r="O80" t="n">
        <v>25</v>
      </c>
      <c r="P80" t="inlineStr">
        <is>
          <t>100626</t>
        </is>
      </c>
      <c r="Q80" t="inlineStr">
        <is>
          <t>95508788</t>
        </is>
      </c>
      <c r="R80" t="inlineStr">
        <is>
          <t>SAFARI</t>
        </is>
      </c>
      <c r="S80" t="inlineStr"/>
      <c r="T80" t="inlineStr">
        <is>
          <t>MARLBORO BLACK MENTHOL 20S</t>
        </is>
      </c>
      <c r="U80" t="n">
        <v>0</v>
      </c>
    </row>
    <row r="81">
      <c r="A81" t="inlineStr">
        <is>
          <t>46275|26</t>
        </is>
      </c>
      <c r="B81" t="inlineStr">
        <is>
          <t>2026-09-10</t>
        </is>
      </c>
      <c r="C81" s="31" t="n">
        <v>46275</v>
      </c>
      <c r="D81" s="31" t="n"/>
      <c r="E81" t="inlineStr">
        <is>
          <t>Luqman</t>
        </is>
      </c>
      <c r="F81" t="inlineStr">
        <is>
          <t>Marlboro Double Burst</t>
        </is>
      </c>
      <c r="G81" t="n">
        <v>0</v>
      </c>
      <c r="H81" t="n">
        <v>1</v>
      </c>
      <c r="I81" t="n">
        <v>-1</v>
      </c>
      <c r="N81" t="n">
        <v>-1</v>
      </c>
      <c r="O81" t="n">
        <v>26</v>
      </c>
      <c r="P81" t="inlineStr">
        <is>
          <t>100630</t>
        </is>
      </c>
      <c r="Q81" t="inlineStr">
        <is>
          <t>45163012</t>
        </is>
      </c>
      <c r="R81" t="inlineStr">
        <is>
          <t>SAFARI</t>
        </is>
      </c>
      <c r="S81" t="inlineStr"/>
      <c r="T81" t="inlineStr">
        <is>
          <t>MARLBORO DOUBLE BURST 20S</t>
        </is>
      </c>
      <c r="U81" t="n">
        <v>0</v>
      </c>
    </row>
    <row r="82">
      <c r="A82" t="inlineStr">
        <is>
          <t>46275|27</t>
        </is>
      </c>
      <c r="B82" t="inlineStr">
        <is>
          <t>2026-09-10</t>
        </is>
      </c>
      <c r="C82" s="31" t="n">
        <v>46275</v>
      </c>
      <c r="D82" s="31" t="n"/>
      <c r="E82" t="inlineStr">
        <is>
          <t>Luqman</t>
        </is>
      </c>
      <c r="F82" t="inlineStr">
        <is>
          <t>Marlboro Gold</t>
        </is>
      </c>
      <c r="G82" t="n">
        <v>0</v>
      </c>
      <c r="H82" t="n">
        <v>1</v>
      </c>
      <c r="I82" t="n">
        <v>-1</v>
      </c>
      <c r="N82" t="n">
        <v>-1</v>
      </c>
      <c r="O82" t="n">
        <v>27</v>
      </c>
      <c r="P82" t="inlineStr">
        <is>
          <t>100628</t>
        </is>
      </c>
      <c r="Q82" t="inlineStr">
        <is>
          <t>76239878</t>
        </is>
      </c>
      <c r="R82" t="inlineStr">
        <is>
          <t>SAFARI</t>
        </is>
      </c>
      <c r="S82" t="inlineStr"/>
      <c r="T82" t="inlineStr">
        <is>
          <t>MARLBORO GOLD 20S</t>
        </is>
      </c>
      <c r="U82" t="n">
        <v>0</v>
      </c>
    </row>
    <row r="83">
      <c r="A83" t="inlineStr">
        <is>
          <t>46275|28</t>
        </is>
      </c>
      <c r="B83" t="inlineStr">
        <is>
          <t>2026-09-10</t>
        </is>
      </c>
      <c r="C83" s="31" t="n">
        <v>46275</v>
      </c>
      <c r="D83" s="31" t="n"/>
      <c r="E83" t="inlineStr">
        <is>
          <t>Luqman</t>
        </is>
      </c>
      <c r="F83" t="inlineStr">
        <is>
          <t>Marlboro Ice</t>
        </is>
      </c>
      <c r="G83" t="n">
        <v>0</v>
      </c>
      <c r="H83" t="n">
        <v>1</v>
      </c>
      <c r="I83" t="n">
        <v>-1</v>
      </c>
      <c r="N83" t="n">
        <v>-1</v>
      </c>
      <c r="O83" t="n">
        <v>28</v>
      </c>
      <c r="P83" t="inlineStr">
        <is>
          <t>100624</t>
        </is>
      </c>
      <c r="Q83" t="inlineStr">
        <is>
          <t>95509839</t>
        </is>
      </c>
      <c r="R83" t="inlineStr">
        <is>
          <t>SAFARI</t>
        </is>
      </c>
      <c r="S83" t="inlineStr"/>
      <c r="T83" t="inlineStr">
        <is>
          <t>MARLBORO ICE BLAST 20S</t>
        </is>
      </c>
      <c r="U83" t="n">
        <v>0</v>
      </c>
    </row>
    <row r="84">
      <c r="A84" t="inlineStr">
        <is>
          <t>46275|29</t>
        </is>
      </c>
      <c r="B84" t="inlineStr">
        <is>
          <t>2026-09-10</t>
        </is>
      </c>
      <c r="C84" s="31" t="n">
        <v>46275</v>
      </c>
      <c r="D84" s="31" t="n"/>
      <c r="E84" t="inlineStr">
        <is>
          <t>Luqman</t>
        </is>
      </c>
      <c r="F84" t="inlineStr">
        <is>
          <t>Marlboro Menthol</t>
        </is>
      </c>
      <c r="G84" t="n">
        <v>0</v>
      </c>
      <c r="H84" t="n">
        <v>1</v>
      </c>
      <c r="I84" t="n">
        <v>-1</v>
      </c>
      <c r="N84" t="n">
        <v>-1</v>
      </c>
      <c r="O84" t="n">
        <v>29</v>
      </c>
      <c r="P84" t="inlineStr">
        <is>
          <t>100632</t>
        </is>
      </c>
      <c r="Q84" t="inlineStr">
        <is>
          <t>76239427</t>
        </is>
      </c>
      <c r="R84" t="inlineStr">
        <is>
          <t>SAFARI</t>
        </is>
      </c>
      <c r="S84" t="inlineStr"/>
      <c r="T84" t="inlineStr">
        <is>
          <t>MARLBORO MENTHOL 20S</t>
        </is>
      </c>
      <c r="U84" t="n">
        <v>0</v>
      </c>
    </row>
    <row r="85">
      <c r="A85" t="inlineStr">
        <is>
          <t>46275|30</t>
        </is>
      </c>
      <c r="B85" t="inlineStr">
        <is>
          <t>2026-09-10</t>
        </is>
      </c>
      <c r="C85" s="31" t="n">
        <v>46275</v>
      </c>
      <c r="D85" s="31" t="n"/>
      <c r="E85" t="inlineStr">
        <is>
          <t>Luqman</t>
        </is>
      </c>
      <c r="F85" t="inlineStr">
        <is>
          <t>Marlboro Red</t>
        </is>
      </c>
      <c r="G85" t="n">
        <v>0</v>
      </c>
      <c r="H85" t="n">
        <v>1</v>
      </c>
      <c r="I85" t="n">
        <v>-1</v>
      </c>
      <c r="N85" t="n">
        <v>-1</v>
      </c>
      <c r="O85" t="n">
        <v>30</v>
      </c>
      <c r="P85" t="inlineStr">
        <is>
          <t>100634</t>
        </is>
      </c>
      <c r="Q85" t="inlineStr">
        <is>
          <t>76164217</t>
        </is>
      </c>
      <c r="R85" t="inlineStr">
        <is>
          <t>SAFARI</t>
        </is>
      </c>
      <c r="S85" t="inlineStr"/>
      <c r="T85" t="inlineStr">
        <is>
          <t>MARLBORO RED 20S</t>
        </is>
      </c>
      <c r="U85" t="n">
        <v>0</v>
      </c>
    </row>
    <row r="86">
      <c r="A86" t="inlineStr">
        <is>
          <t>46275|31</t>
        </is>
      </c>
      <c r="B86" t="inlineStr">
        <is>
          <t>2026-09-10</t>
        </is>
      </c>
      <c r="C86" s="31" t="n">
        <v>46275</v>
      </c>
      <c r="D86" s="31" t="n"/>
      <c r="E86" t="inlineStr">
        <is>
          <t>Luqman</t>
        </is>
      </c>
      <c r="F86" t="inlineStr">
        <is>
          <t>Marlboro Summer</t>
        </is>
      </c>
      <c r="G86" t="n">
        <v>0</v>
      </c>
      <c r="H86" t="n">
        <v>1</v>
      </c>
      <c r="I86" t="n">
        <v>-1</v>
      </c>
      <c r="N86" t="n">
        <v>-1</v>
      </c>
      <c r="O86" t="n">
        <v>31</v>
      </c>
      <c r="P86" t="inlineStr">
        <is>
          <t>106880</t>
        </is>
      </c>
      <c r="Q86" t="inlineStr">
        <is>
          <t>7622100700364</t>
        </is>
      </c>
      <c r="R86" t="inlineStr">
        <is>
          <t>SAFARI</t>
        </is>
      </c>
      <c r="S86" t="inlineStr"/>
      <c r="T86" t="inlineStr">
        <is>
          <t>MARLBORO SUMMER SPLASH</t>
        </is>
      </c>
      <c r="U86" t="n">
        <v>0</v>
      </c>
    </row>
    <row r="87">
      <c r="A87" t="inlineStr">
        <is>
          <t>46275|32</t>
        </is>
      </c>
      <c r="B87" t="inlineStr">
        <is>
          <t>2026-09-10</t>
        </is>
      </c>
      <c r="C87" s="31" t="n">
        <v>46275</v>
      </c>
      <c r="D87" s="31" t="n"/>
      <c r="E87" t="inlineStr">
        <is>
          <t>Luqman</t>
        </is>
      </c>
      <c r="F87" t="inlineStr">
        <is>
          <t>Marlboro Tropical</t>
        </is>
      </c>
      <c r="G87" t="n">
        <v>0</v>
      </c>
      <c r="H87" t="n">
        <v>1</v>
      </c>
      <c r="I87" t="n">
        <v>-1</v>
      </c>
      <c r="N87" t="n">
        <v>-1</v>
      </c>
      <c r="O87" t="n">
        <v>32</v>
      </c>
      <c r="P87" t="inlineStr">
        <is>
          <t>106879</t>
        </is>
      </c>
      <c r="Q87" t="inlineStr">
        <is>
          <t>7622100698937</t>
        </is>
      </c>
      <c r="R87" t="inlineStr">
        <is>
          <t>SAFARI</t>
        </is>
      </c>
      <c r="S87" t="inlineStr"/>
      <c r="T87" t="inlineStr">
        <is>
          <t>MARLBORO TROPICAL SPLASH</t>
        </is>
      </c>
      <c r="U87" t="n">
        <v>0</v>
      </c>
    </row>
    <row r="88">
      <c r="A88" t="inlineStr">
        <is>
          <t>46275|33</t>
        </is>
      </c>
      <c r="B88" t="inlineStr">
        <is>
          <t>2026-09-10</t>
        </is>
      </c>
      <c r="C88" s="31" t="n">
        <v>46275</v>
      </c>
      <c r="D88" s="31" t="n"/>
      <c r="E88" t="inlineStr">
        <is>
          <t>Luqman</t>
        </is>
      </c>
      <c r="F88" t="inlineStr">
        <is>
          <t>Mevius Blue</t>
        </is>
      </c>
      <c r="G88" t="n">
        <v>0</v>
      </c>
      <c r="H88" t="n">
        <v>1</v>
      </c>
      <c r="I88" t="n">
        <v>-1</v>
      </c>
      <c r="N88" t="n">
        <v>-1</v>
      </c>
      <c r="O88" t="n">
        <v>33</v>
      </c>
      <c r="P88" t="inlineStr">
        <is>
          <t>100730</t>
        </is>
      </c>
      <c r="Q88" t="inlineStr">
        <is>
          <t>49401196</t>
        </is>
      </c>
      <c r="R88" t="inlineStr">
        <is>
          <t>SAFARI</t>
        </is>
      </c>
      <c r="S88" t="inlineStr"/>
      <c r="T88" t="inlineStr">
        <is>
          <t>MEVIUS ORIGINAL BLUE 20S</t>
        </is>
      </c>
      <c r="U88" t="n">
        <v>0</v>
      </c>
    </row>
    <row r="89">
      <c r="A89" t="inlineStr">
        <is>
          <t>46275|34</t>
        </is>
      </c>
      <c r="B89" t="inlineStr">
        <is>
          <t>2026-09-10</t>
        </is>
      </c>
      <c r="C89" s="31" t="n">
        <v>46275</v>
      </c>
      <c r="D89" s="31" t="n"/>
      <c r="E89" t="inlineStr">
        <is>
          <t>Luqman</t>
        </is>
      </c>
      <c r="F89" t="inlineStr">
        <is>
          <t>Mevius Duo</t>
        </is>
      </c>
      <c r="G89" t="n">
        <v>0</v>
      </c>
      <c r="H89" t="n">
        <v>4</v>
      </c>
      <c r="I89" t="n">
        <v>-4</v>
      </c>
      <c r="N89" t="n">
        <v>-1</v>
      </c>
      <c r="O89" t="n">
        <v>34</v>
      </c>
      <c r="P89" t="inlineStr">
        <is>
          <t>100732</t>
        </is>
      </c>
      <c r="Q89" t="inlineStr">
        <is>
          <t>4033100054556</t>
        </is>
      </c>
      <c r="R89" t="inlineStr">
        <is>
          <t>SAFARI</t>
        </is>
      </c>
      <c r="S89" t="inlineStr"/>
      <c r="T89" t="inlineStr">
        <is>
          <t>MEVIUS MENTHOL DUO 20S</t>
        </is>
      </c>
      <c r="U89" t="n">
        <v>0</v>
      </c>
    </row>
    <row r="90">
      <c r="A90" t="inlineStr">
        <is>
          <t>46275|35</t>
        </is>
      </c>
      <c r="B90" t="inlineStr">
        <is>
          <t>2026-09-10</t>
        </is>
      </c>
      <c r="C90" s="31" t="n">
        <v>46275</v>
      </c>
      <c r="D90" s="31" t="n"/>
      <c r="E90" t="inlineStr">
        <is>
          <t>Luqman</t>
        </is>
      </c>
      <c r="F90" t="inlineStr">
        <is>
          <t>Mevius Kiwami</t>
        </is>
      </c>
      <c r="G90" t="n">
        <v>0</v>
      </c>
      <c r="H90" t="n">
        <v>4</v>
      </c>
      <c r="I90" t="n">
        <v>-4</v>
      </c>
      <c r="N90" t="n">
        <v>-1</v>
      </c>
      <c r="O90" t="n">
        <v>35</v>
      </c>
      <c r="P90" t="inlineStr">
        <is>
          <t>106489</t>
        </is>
      </c>
      <c r="Q90" t="inlineStr">
        <is>
          <t>9555900301326</t>
        </is>
      </c>
      <c r="R90" t="inlineStr">
        <is>
          <t>SAFARI</t>
        </is>
      </c>
      <c r="S90" t="inlineStr"/>
      <c r="T90" t="inlineStr">
        <is>
          <t>MEVIUS KIWAMI</t>
        </is>
      </c>
      <c r="U90" t="n">
        <v>0</v>
      </c>
    </row>
    <row r="91">
      <c r="A91" t="inlineStr">
        <is>
          <t>46275|36</t>
        </is>
      </c>
      <c r="B91" t="inlineStr">
        <is>
          <t>2026-09-10</t>
        </is>
      </c>
      <c r="C91" s="31" t="n">
        <v>46275</v>
      </c>
      <c r="D91" s="31" t="n"/>
      <c r="E91" t="inlineStr">
        <is>
          <t>Luqman</t>
        </is>
      </c>
      <c r="F91" t="inlineStr">
        <is>
          <t>Mevius Menthol</t>
        </is>
      </c>
      <c r="G91" t="n">
        <v>0</v>
      </c>
      <c r="H91" t="n">
        <v>4</v>
      </c>
      <c r="I91" t="n">
        <v>-4</v>
      </c>
      <c r="N91" t="n">
        <v>-1</v>
      </c>
      <c r="O91" t="n">
        <v>36</v>
      </c>
      <c r="P91" t="inlineStr">
        <is>
          <t>100726</t>
        </is>
      </c>
      <c r="Q91" t="inlineStr">
        <is>
          <t>01232135</t>
        </is>
      </c>
      <c r="R91" t="inlineStr">
        <is>
          <t>SAFARI</t>
        </is>
      </c>
      <c r="S91" t="inlineStr"/>
      <c r="T91" t="inlineStr">
        <is>
          <t>MEVIUS MENTHOL 20S</t>
        </is>
      </c>
      <c r="U91" t="n">
        <v>0</v>
      </c>
    </row>
    <row r="92">
      <c r="A92" t="inlineStr">
        <is>
          <t>46275|37</t>
        </is>
      </c>
      <c r="B92" t="inlineStr">
        <is>
          <t>2026-09-10</t>
        </is>
      </c>
      <c r="C92" s="31" t="n">
        <v>46275</v>
      </c>
      <c r="D92" s="31" t="n"/>
      <c r="E92" t="inlineStr">
        <is>
          <t>Luqman</t>
        </is>
      </c>
      <c r="F92" t="inlineStr">
        <is>
          <t>Mevius Menthol White</t>
        </is>
      </c>
      <c r="G92" t="n">
        <v>0</v>
      </c>
      <c r="H92" t="n">
        <v>1</v>
      </c>
      <c r="I92" t="n">
        <v>-1</v>
      </c>
      <c r="N92" t="n">
        <v>-1</v>
      </c>
      <c r="O92" t="n">
        <v>37</v>
      </c>
      <c r="P92" t="inlineStr">
        <is>
          <t>100724</t>
        </is>
      </c>
      <c r="Q92" t="inlineStr">
        <is>
          <t>01239730</t>
        </is>
      </c>
      <c r="R92" t="inlineStr">
        <is>
          <t>SAFARI</t>
        </is>
      </c>
      <c r="S92" t="inlineStr"/>
      <c r="T92" t="inlineStr">
        <is>
          <t>MEVIUS MENTHOL WHITE 20S</t>
        </is>
      </c>
      <c r="U92" t="n">
        <v>0</v>
      </c>
    </row>
    <row r="93">
      <c r="A93" t="inlineStr">
        <is>
          <t>46275|38</t>
        </is>
      </c>
      <c r="B93" t="inlineStr">
        <is>
          <t>2026-09-10</t>
        </is>
      </c>
      <c r="C93" s="31" t="n">
        <v>46275</v>
      </c>
      <c r="D93" s="31" t="n"/>
      <c r="E93" t="inlineStr">
        <is>
          <t>Luqman</t>
        </is>
      </c>
      <c r="F93" t="inlineStr">
        <is>
          <t>Mevius Sky Blue</t>
        </is>
      </c>
      <c r="G93" t="n">
        <v>0</v>
      </c>
      <c r="H93" t="n">
        <v>1</v>
      </c>
      <c r="I93" t="n">
        <v>-1</v>
      </c>
      <c r="N93" t="n">
        <v>-1</v>
      </c>
      <c r="O93" t="n">
        <v>38</v>
      </c>
      <c r="P93" t="inlineStr">
        <is>
          <t>100734</t>
        </is>
      </c>
      <c r="Q93" t="inlineStr">
        <is>
          <t>490221200804</t>
        </is>
      </c>
      <c r="R93" t="inlineStr">
        <is>
          <t>SAFARI</t>
        </is>
      </c>
      <c r="S93" t="inlineStr"/>
      <c r="T93" t="inlineStr">
        <is>
          <t>MEVIUS SKY BLUE 20S</t>
        </is>
      </c>
      <c r="U93" t="n">
        <v>0</v>
      </c>
    </row>
    <row r="94">
      <c r="A94" t="inlineStr">
        <is>
          <t>46275|39</t>
        </is>
      </c>
      <c r="B94" t="inlineStr">
        <is>
          <t>2026-09-10</t>
        </is>
      </c>
      <c r="C94" s="31" t="n">
        <v>46275</v>
      </c>
      <c r="D94" s="31" t="n"/>
      <c r="E94" t="inlineStr">
        <is>
          <t>Luqman</t>
        </is>
      </c>
      <c r="F94" t="inlineStr">
        <is>
          <t>Mevius Wind Blue</t>
        </is>
      </c>
      <c r="G94" t="n">
        <v>0</v>
      </c>
      <c r="H94" t="n">
        <v>1</v>
      </c>
      <c r="I94" t="n">
        <v>-1</v>
      </c>
      <c r="N94" t="n">
        <v>-1</v>
      </c>
      <c r="O94" t="n">
        <v>39</v>
      </c>
      <c r="P94" t="inlineStr">
        <is>
          <t>100736</t>
        </is>
      </c>
      <c r="Q94" t="inlineStr">
        <is>
          <t>40329383</t>
        </is>
      </c>
      <c r="R94" t="inlineStr">
        <is>
          <t>SAFARI</t>
        </is>
      </c>
      <c r="S94" t="inlineStr"/>
      <c r="T94" t="inlineStr">
        <is>
          <t>MEVIUS WIND BLUE 20S</t>
        </is>
      </c>
      <c r="U94" t="n">
        <v>0</v>
      </c>
    </row>
    <row r="95">
      <c r="A95" t="inlineStr">
        <is>
          <t>46275|40</t>
        </is>
      </c>
      <c r="B95" t="inlineStr">
        <is>
          <t>2026-09-10</t>
        </is>
      </c>
      <c r="C95" s="31" t="n">
        <v>46275</v>
      </c>
      <c r="D95" s="31" t="n"/>
      <c r="E95" t="inlineStr">
        <is>
          <t>Luqman</t>
        </is>
      </c>
      <c r="F95" t="inlineStr">
        <is>
          <t>Mevius Yellow</t>
        </is>
      </c>
      <c r="G95" t="n">
        <v>0</v>
      </c>
      <c r="H95" t="n">
        <v>1</v>
      </c>
      <c r="I95" t="n">
        <v>-1</v>
      </c>
      <c r="N95" t="n">
        <v>-1</v>
      </c>
      <c r="O95" t="n">
        <v>40</v>
      </c>
      <c r="P95" t="inlineStr">
        <is>
          <t>107114</t>
        </is>
      </c>
      <c r="Q95" t="inlineStr">
        <is>
          <t>95510569</t>
        </is>
      </c>
      <c r="R95" t="inlineStr">
        <is>
          <t>SAFARI</t>
        </is>
      </c>
      <c r="S95" t="inlineStr"/>
      <c r="T95" t="inlineStr">
        <is>
          <t>MEVIUS LBS YELLOW</t>
        </is>
      </c>
      <c r="U95" t="n">
        <v>0</v>
      </c>
    </row>
    <row r="96">
      <c r="A96" t="inlineStr">
        <is>
          <t>46275|41</t>
        </is>
      </c>
      <c r="B96" t="inlineStr">
        <is>
          <t>2026-09-10</t>
        </is>
      </c>
      <c r="C96" s="31" t="n">
        <v>46275</v>
      </c>
      <c r="D96" s="31" t="n"/>
      <c r="E96" t="inlineStr">
        <is>
          <t>Luqman</t>
        </is>
      </c>
      <c r="F96" t="inlineStr">
        <is>
          <t>Peter Stuyvesant Blue</t>
        </is>
      </c>
      <c r="G96" t="n">
        <v>0</v>
      </c>
      <c r="H96" t="n">
        <v>1</v>
      </c>
      <c r="I96" t="n">
        <v>-1</v>
      </c>
      <c r="N96" t="n">
        <v>-1</v>
      </c>
      <c r="O96" t="n">
        <v>41</v>
      </c>
      <c r="P96" t="inlineStr">
        <is>
          <t>100127</t>
        </is>
      </c>
      <c r="Q96" t="inlineStr">
        <is>
          <t>9556109105722</t>
        </is>
      </c>
      <c r="R96" t="inlineStr">
        <is>
          <t>SAFARI</t>
        </is>
      </c>
      <c r="S96" t="inlineStr"/>
      <c r="T96" t="inlineStr">
        <is>
          <t>PETER STUYVESANT BLUE</t>
        </is>
      </c>
      <c r="U96" t="n">
        <v>0</v>
      </c>
    </row>
    <row r="97">
      <c r="A97" t="inlineStr">
        <is>
          <t>46275|42</t>
        </is>
      </c>
      <c r="B97" t="inlineStr">
        <is>
          <t>2026-09-10</t>
        </is>
      </c>
      <c r="C97" s="31" t="n">
        <v>46275</v>
      </c>
      <c r="D97" s="31" t="n"/>
      <c r="E97" t="inlineStr">
        <is>
          <t>Luqman</t>
        </is>
      </c>
      <c r="F97" t="inlineStr">
        <is>
          <t>Peter Stuyvesant Red</t>
        </is>
      </c>
      <c r="G97" t="n">
        <v>0</v>
      </c>
      <c r="H97" t="n">
        <v>1</v>
      </c>
      <c r="I97" t="n">
        <v>-1</v>
      </c>
      <c r="N97" t="n">
        <v>-1</v>
      </c>
      <c r="O97" t="n">
        <v>42</v>
      </c>
      <c r="P97" t="inlineStr">
        <is>
          <t>100128</t>
        </is>
      </c>
      <c r="Q97" t="inlineStr">
        <is>
          <t>9556109105715</t>
        </is>
      </c>
      <c r="R97" t="inlineStr">
        <is>
          <t>SAFARI</t>
        </is>
      </c>
      <c r="S97" t="inlineStr"/>
      <c r="T97" t="inlineStr">
        <is>
          <t>PETER STUYVESANT RED</t>
        </is>
      </c>
      <c r="U97" t="n">
        <v>0</v>
      </c>
    </row>
    <row r="98">
      <c r="A98" t="inlineStr">
        <is>
          <t>46275|43</t>
        </is>
      </c>
      <c r="B98" t="inlineStr">
        <is>
          <t>2026-09-10</t>
        </is>
      </c>
      <c r="C98" s="31" t="n">
        <v>46275</v>
      </c>
      <c r="D98" s="31" t="n"/>
      <c r="E98" t="inlineStr">
        <is>
          <t>Luqman</t>
        </is>
      </c>
      <c r="F98" t="inlineStr">
        <is>
          <t>Peter Stuyvesant Remix</t>
        </is>
      </c>
      <c r="G98" t="n">
        <v>0</v>
      </c>
      <c r="H98" t="n">
        <v>1</v>
      </c>
      <c r="I98" t="n">
        <v>-1</v>
      </c>
      <c r="N98" t="n">
        <v>-1</v>
      </c>
      <c r="O98" t="n">
        <v>43</v>
      </c>
      <c r="P98" t="inlineStr">
        <is>
          <t>100125</t>
        </is>
      </c>
      <c r="Q98" t="inlineStr">
        <is>
          <t>9556109106675</t>
        </is>
      </c>
      <c r="R98" t="inlineStr">
        <is>
          <t>SAFARI</t>
        </is>
      </c>
      <c r="S98" t="inlineStr"/>
      <c r="T98" t="inlineStr">
        <is>
          <t>PETER STUYVESANT REMIX 20S</t>
        </is>
      </c>
      <c r="U98" t="n">
        <v>0</v>
      </c>
    </row>
    <row r="99">
      <c r="A99" t="inlineStr">
        <is>
          <t>46275|44</t>
        </is>
      </c>
      <c r="B99" t="inlineStr">
        <is>
          <t>2026-09-10</t>
        </is>
      </c>
      <c r="C99" s="31" t="n">
        <v>46275</v>
      </c>
      <c r="D99" s="31" t="n"/>
      <c r="E99" t="inlineStr">
        <is>
          <t>Luqman</t>
        </is>
      </c>
      <c r="F99" t="inlineStr">
        <is>
          <t>Rothmans Blue</t>
        </is>
      </c>
      <c r="G99" t="n">
        <v>0</v>
      </c>
      <c r="H99" t="n">
        <v>1</v>
      </c>
      <c r="I99" t="n">
        <v>-1</v>
      </c>
      <c r="N99" t="n">
        <v>-1</v>
      </c>
      <c r="O99" t="n">
        <v>44</v>
      </c>
      <c r="P99" t="inlineStr">
        <is>
          <t>100156</t>
        </is>
      </c>
      <c r="Q99" t="inlineStr">
        <is>
          <t>9556109106712</t>
        </is>
      </c>
      <c r="R99" t="inlineStr">
        <is>
          <t>SAFARI</t>
        </is>
      </c>
      <c r="S99" t="inlineStr"/>
      <c r="T99" t="inlineStr">
        <is>
          <t>ROTHMANS BLUE</t>
        </is>
      </c>
      <c r="U99" t="n">
        <v>0</v>
      </c>
    </row>
    <row r="100">
      <c r="A100" t="inlineStr">
        <is>
          <t>46275|45</t>
        </is>
      </c>
      <c r="B100" t="inlineStr">
        <is>
          <t>2026-09-10</t>
        </is>
      </c>
      <c r="C100" s="31" t="n">
        <v>46275</v>
      </c>
      <c r="D100" s="31" t="n"/>
      <c r="E100" t="inlineStr">
        <is>
          <t>Luqman</t>
        </is>
      </c>
      <c r="F100" t="inlineStr">
        <is>
          <t>Rothmans Charcoal</t>
        </is>
      </c>
      <c r="G100" t="n">
        <v>0</v>
      </c>
      <c r="H100" t="n">
        <v>1</v>
      </c>
      <c r="I100" t="n">
        <v>-1</v>
      </c>
      <c r="N100" t="n">
        <v>-1</v>
      </c>
      <c r="O100" t="n">
        <v>45</v>
      </c>
      <c r="P100" t="inlineStr">
        <is>
          <t>104385</t>
        </is>
      </c>
      <c r="Q100" t="inlineStr">
        <is>
          <t>9556109108006</t>
        </is>
      </c>
      <c r="R100" t="inlineStr">
        <is>
          <t>SAFARI</t>
        </is>
      </c>
      <c r="S100" t="inlineStr"/>
      <c r="T100" t="inlineStr">
        <is>
          <t>ROTHMANS CHARCOAL</t>
        </is>
      </c>
      <c r="U100" t="n">
        <v>0</v>
      </c>
    </row>
    <row r="101">
      <c r="A101" t="inlineStr">
        <is>
          <t>46275|46</t>
        </is>
      </c>
      <c r="B101" t="inlineStr">
        <is>
          <t>2026-09-10</t>
        </is>
      </c>
      <c r="C101" s="31" t="n">
        <v>46275</v>
      </c>
      <c r="D101" s="31" t="n"/>
      <c r="E101" t="inlineStr">
        <is>
          <t>Luqman</t>
        </is>
      </c>
      <c r="F101" t="inlineStr">
        <is>
          <t>Rothmans Kool Hokkaido Mint</t>
        </is>
      </c>
      <c r="G101" t="n">
        <v>0</v>
      </c>
      <c r="H101" t="n">
        <v>1</v>
      </c>
      <c r="I101" t="n">
        <v>-1</v>
      </c>
      <c r="N101" t="n">
        <v>-1</v>
      </c>
      <c r="O101" t="n">
        <v>46</v>
      </c>
      <c r="P101" t="inlineStr">
        <is>
          <t>104555</t>
        </is>
      </c>
      <c r="Q101" t="inlineStr">
        <is>
          <t>9556109108358</t>
        </is>
      </c>
      <c r="R101" t="inlineStr">
        <is>
          <t>SAFARI</t>
        </is>
      </c>
      <c r="S101" t="inlineStr"/>
      <c r="T101" t="inlineStr">
        <is>
          <t>ROTHMANS BOOST</t>
        </is>
      </c>
      <c r="U101" t="n">
        <v>0</v>
      </c>
    </row>
    <row r="102">
      <c r="A102" t="inlineStr">
        <is>
          <t>46275|47</t>
        </is>
      </c>
      <c r="B102" t="inlineStr">
        <is>
          <t>2026-09-10</t>
        </is>
      </c>
      <c r="C102" s="31" t="n">
        <v>46275</v>
      </c>
      <c r="D102" s="31" t="n"/>
      <c r="E102" t="inlineStr">
        <is>
          <t>Luqman</t>
        </is>
      </c>
      <c r="F102" t="inlineStr">
        <is>
          <t>Rothmans Menthol</t>
        </is>
      </c>
      <c r="G102" t="n">
        <v>0</v>
      </c>
      <c r="H102" t="n">
        <v>1</v>
      </c>
      <c r="I102" t="n">
        <v>-1</v>
      </c>
      <c r="N102" t="n">
        <v>-1</v>
      </c>
      <c r="O102" t="n">
        <v>47</v>
      </c>
      <c r="P102" t="inlineStr">
        <is>
          <t>104429</t>
        </is>
      </c>
      <c r="Q102" t="inlineStr">
        <is>
          <t>9556109108334</t>
        </is>
      </c>
      <c r="R102" t="inlineStr">
        <is>
          <t>SAFARI</t>
        </is>
      </c>
      <c r="S102" t="inlineStr"/>
      <c r="T102" t="inlineStr">
        <is>
          <t>ROTHMANS GREEN</t>
        </is>
      </c>
      <c r="U102" t="n">
        <v>0</v>
      </c>
    </row>
    <row r="103">
      <c r="A103" t="inlineStr">
        <is>
          <t>46275|48</t>
        </is>
      </c>
      <c r="B103" t="inlineStr">
        <is>
          <t>2026-09-10</t>
        </is>
      </c>
      <c r="C103" s="31" t="n">
        <v>46275</v>
      </c>
      <c r="D103" s="31" t="n"/>
      <c r="E103" t="inlineStr">
        <is>
          <t>Luqman</t>
        </is>
      </c>
      <c r="F103" t="inlineStr">
        <is>
          <t>Rothmans Purple</t>
        </is>
      </c>
      <c r="G103" t="n">
        <v>0</v>
      </c>
      <c r="H103" t="n">
        <v>1</v>
      </c>
      <c r="I103" t="n">
        <v>-1</v>
      </c>
      <c r="N103" t="n">
        <v>-1</v>
      </c>
      <c r="O103" t="n">
        <v>48</v>
      </c>
      <c r="P103" t="inlineStr">
        <is>
          <t>103630</t>
        </is>
      </c>
      <c r="Q103" t="inlineStr">
        <is>
          <t>9556109108310</t>
        </is>
      </c>
      <c r="R103" t="inlineStr">
        <is>
          <t>SAFARI</t>
        </is>
      </c>
      <c r="S103" t="inlineStr"/>
      <c r="T103" t="inlineStr">
        <is>
          <t>ROTHMANS PURPLE</t>
        </is>
      </c>
      <c r="U103" t="n">
        <v>0</v>
      </c>
    </row>
    <row r="104">
      <c r="A104" t="inlineStr">
        <is>
          <t>46275|49</t>
        </is>
      </c>
      <c r="B104" t="inlineStr">
        <is>
          <t>2026-09-10</t>
        </is>
      </c>
      <c r="C104" s="31" t="n">
        <v>46275</v>
      </c>
      <c r="D104" s="31" t="n"/>
      <c r="E104" t="inlineStr">
        <is>
          <t>Luqman</t>
        </is>
      </c>
      <c r="F104" t="inlineStr">
        <is>
          <t>Rothmans Red</t>
        </is>
      </c>
      <c r="G104" t="n">
        <v>0</v>
      </c>
      <c r="H104" t="n">
        <v>1</v>
      </c>
      <c r="I104" t="n">
        <v>-1</v>
      </c>
      <c r="N104" t="n">
        <v>-1</v>
      </c>
      <c r="O104" t="n">
        <v>49</v>
      </c>
      <c r="P104" t="inlineStr">
        <is>
          <t>100155</t>
        </is>
      </c>
      <c r="Q104" t="inlineStr">
        <is>
          <t>9556109106330</t>
        </is>
      </c>
      <c r="R104" t="inlineStr">
        <is>
          <t>SAFARI</t>
        </is>
      </c>
      <c r="S104" t="inlineStr"/>
      <c r="T104" t="inlineStr">
        <is>
          <t>ROTHMANS RED</t>
        </is>
      </c>
      <c r="U104" t="n">
        <v>0</v>
      </c>
    </row>
    <row r="105">
      <c r="A105" t="inlineStr">
        <is>
          <t>46275|50</t>
        </is>
      </c>
      <c r="B105" t="inlineStr">
        <is>
          <t>2026-09-10</t>
        </is>
      </c>
      <c r="C105" s="31" t="n">
        <v>46275</v>
      </c>
      <c r="D105" s="31" t="n"/>
      <c r="E105" t="inlineStr">
        <is>
          <t>Luqman</t>
        </is>
      </c>
      <c r="F105" t="inlineStr">
        <is>
          <t>Sampoerna Menthol</t>
        </is>
      </c>
      <c r="G105" t="n">
        <v>0</v>
      </c>
      <c r="H105" t="n">
        <v>1</v>
      </c>
      <c r="I105" t="n">
        <v>-1</v>
      </c>
      <c r="N105" t="n">
        <v>-1</v>
      </c>
      <c r="O105" t="n">
        <v>50</v>
      </c>
      <c r="P105" t="inlineStr">
        <is>
          <t>100646</t>
        </is>
      </c>
      <c r="Q105" t="inlineStr">
        <is>
          <t>89990469</t>
        </is>
      </c>
      <c r="R105" t="inlineStr">
        <is>
          <t>SAFARI</t>
        </is>
      </c>
      <c r="S105" t="inlineStr"/>
      <c r="T105" t="inlineStr">
        <is>
          <t>SAMPOERNA A MENTHOL BOX PACK 20'S</t>
        </is>
      </c>
      <c r="U105" t="n">
        <v>0</v>
      </c>
    </row>
    <row r="106">
      <c r="A106" t="inlineStr">
        <is>
          <t>46275|51</t>
        </is>
      </c>
      <c r="B106" t="inlineStr">
        <is>
          <t>2026-09-10</t>
        </is>
      </c>
      <c r="C106" s="31" t="n">
        <v>46275</v>
      </c>
      <c r="D106" s="31" t="n"/>
      <c r="E106" t="inlineStr">
        <is>
          <t>Luqman</t>
        </is>
      </c>
      <c r="F106" t="inlineStr">
        <is>
          <t>Sampoerna Red</t>
        </is>
      </c>
      <c r="G106" t="n">
        <v>0</v>
      </c>
      <c r="H106" t="n">
        <v>1</v>
      </c>
      <c r="I106" t="n">
        <v>-1</v>
      </c>
      <c r="N106" t="n">
        <v>-1</v>
      </c>
      <c r="O106" t="n">
        <v>51</v>
      </c>
      <c r="P106" t="inlineStr">
        <is>
          <t>100648</t>
        </is>
      </c>
      <c r="Q106" t="inlineStr">
        <is>
          <t>89990568</t>
        </is>
      </c>
      <c r="R106" t="inlineStr">
        <is>
          <t>SAFARI</t>
        </is>
      </c>
      <c r="S106" t="inlineStr"/>
      <c r="T106" t="inlineStr">
        <is>
          <t>SAMPOERNA A RED BOX PACK 20'S</t>
        </is>
      </c>
      <c r="U106" t="n">
        <v>0</v>
      </c>
    </row>
    <row r="107">
      <c r="A107" t="inlineStr">
        <is>
          <t>46275|52</t>
        </is>
      </c>
      <c r="B107" t="inlineStr">
        <is>
          <t>2026-09-10</t>
        </is>
      </c>
      <c r="C107" s="31" t="n">
        <v>46275</v>
      </c>
      <c r="D107" s="31" t="n"/>
      <c r="E107" t="inlineStr">
        <is>
          <t>Luqman</t>
        </is>
      </c>
      <c r="F107" t="inlineStr">
        <is>
          <t>Winston Blue</t>
        </is>
      </c>
      <c r="G107" t="n">
        <v>0</v>
      </c>
      <c r="H107" t="n">
        <v>1</v>
      </c>
      <c r="I107" t="n">
        <v>-1</v>
      </c>
      <c r="N107" t="n">
        <v>-1</v>
      </c>
      <c r="O107" t="n">
        <v>52</v>
      </c>
      <c r="P107" t="inlineStr">
        <is>
          <t>100738</t>
        </is>
      </c>
      <c r="Q107" t="inlineStr">
        <is>
          <t>01231932</t>
        </is>
      </c>
      <c r="R107" t="inlineStr">
        <is>
          <t>SAFARI</t>
        </is>
      </c>
      <c r="S107" t="inlineStr"/>
      <c r="T107" t="inlineStr">
        <is>
          <t>WINSTON BLUE 20S</t>
        </is>
      </c>
      <c r="U107" t="n">
        <v>0</v>
      </c>
    </row>
    <row r="108">
      <c r="A108" t="inlineStr">
        <is>
          <t>46275|53</t>
        </is>
      </c>
      <c r="B108" t="inlineStr">
        <is>
          <t>2026-09-10</t>
        </is>
      </c>
      <c r="C108" s="31" t="n">
        <v>46275</v>
      </c>
      <c r="D108" s="31" t="n"/>
      <c r="E108" t="inlineStr">
        <is>
          <t>Luqman</t>
        </is>
      </c>
      <c r="F108" t="inlineStr">
        <is>
          <t>Winston Duo Berry</t>
        </is>
      </c>
      <c r="G108" t="n">
        <v>0</v>
      </c>
      <c r="H108" t="n">
        <v>1</v>
      </c>
      <c r="I108" t="n">
        <v>-1</v>
      </c>
      <c r="N108" t="n">
        <v>-1</v>
      </c>
      <c r="O108" t="n">
        <v>53</v>
      </c>
      <c r="P108" t="inlineStr">
        <is>
          <t>100750</t>
        </is>
      </c>
      <c r="Q108" t="inlineStr">
        <is>
          <t>403310034268</t>
        </is>
      </c>
      <c r="R108" t="inlineStr">
        <is>
          <t>SAFARI</t>
        </is>
      </c>
      <c r="S108" t="inlineStr"/>
      <c r="T108" t="inlineStr">
        <is>
          <t>WINSTON DUO BERRY 20S</t>
        </is>
      </c>
      <c r="U108" t="n">
        <v>0</v>
      </c>
    </row>
    <row r="109">
      <c r="A109" t="inlineStr">
        <is>
          <t>46275|54</t>
        </is>
      </c>
      <c r="B109" t="inlineStr">
        <is>
          <t>2026-09-10</t>
        </is>
      </c>
      <c r="C109" s="31" t="n">
        <v>46275</v>
      </c>
      <c r="D109" s="31" t="n"/>
      <c r="E109" t="inlineStr">
        <is>
          <t>Luqman</t>
        </is>
      </c>
      <c r="F109" t="inlineStr">
        <is>
          <t>Winston Red</t>
        </is>
      </c>
      <c r="G109" t="n">
        <v>0</v>
      </c>
      <c r="H109" t="n">
        <v>1</v>
      </c>
      <c r="I109" t="n">
        <v>-1</v>
      </c>
      <c r="N109" t="n">
        <v>-1</v>
      </c>
      <c r="O109" t="n">
        <v>54</v>
      </c>
      <c r="P109" t="inlineStr">
        <is>
          <t>100740</t>
        </is>
      </c>
      <c r="Q109" t="inlineStr">
        <is>
          <t>01231233</t>
        </is>
      </c>
      <c r="R109" t="inlineStr">
        <is>
          <t>SAFARI</t>
        </is>
      </c>
      <c r="S109" t="inlineStr"/>
      <c r="T109" t="inlineStr">
        <is>
          <t>WINSTON RED 20S</t>
        </is>
      </c>
      <c r="U109" t="n">
        <v>0</v>
      </c>
    </row>
    <row r="110">
      <c r="A110" t="inlineStr">
        <is>
          <t>46276|1</t>
        </is>
      </c>
      <c r="B110" t="inlineStr">
        <is>
          <t>2026-09-11</t>
        </is>
      </c>
      <c r="C110" s="31" t="n">
        <v>46276</v>
      </c>
      <c r="D110" s="31" t="n"/>
      <c r="E110" t="inlineStr">
        <is>
          <t>Aktar</t>
        </is>
      </c>
      <c r="F110" t="inlineStr">
        <is>
          <t>Benson &amp; Hedges</t>
        </is>
      </c>
      <c r="G110" t="n">
        <v>1</v>
      </c>
      <c r="H110" t="n">
        <v>7</v>
      </c>
      <c r="I110" t="n">
        <v>-6</v>
      </c>
      <c r="N110" t="n">
        <v>-1</v>
      </c>
      <c r="O110" t="n">
        <v>1</v>
      </c>
      <c r="P110" t="inlineStr">
        <is>
          <t>100144</t>
        </is>
      </c>
      <c r="Q110" t="inlineStr">
        <is>
          <t>95502397</t>
        </is>
      </c>
      <c r="R110" t="inlineStr">
        <is>
          <t>SAFARI</t>
        </is>
      </c>
      <c r="S110" t="inlineStr"/>
      <c r="T110" t="inlineStr">
        <is>
          <t>BENSON &amp; HEDGES</t>
        </is>
      </c>
      <c r="U110" t="n">
        <v>0</v>
      </c>
    </row>
    <row r="111">
      <c r="A111" t="inlineStr">
        <is>
          <t>46276|2</t>
        </is>
      </c>
      <c r="B111" t="inlineStr">
        <is>
          <t>2026-09-11</t>
        </is>
      </c>
      <c r="C111" s="31" t="n">
        <v>46276</v>
      </c>
      <c r="D111" s="31" t="n"/>
      <c r="E111" t="inlineStr">
        <is>
          <t>Aktar</t>
        </is>
      </c>
      <c r="F111" t="inlineStr">
        <is>
          <t>Bond Light</t>
        </is>
      </c>
      <c r="G111" t="n">
        <v>1</v>
      </c>
      <c r="H111" t="n">
        <v>5</v>
      </c>
      <c r="I111" t="n">
        <v>-4</v>
      </c>
      <c r="N111" t="n">
        <v>-1</v>
      </c>
      <c r="O111" t="n">
        <v>2</v>
      </c>
      <c r="P111" t="inlineStr">
        <is>
          <t>105159</t>
        </is>
      </c>
      <c r="Q111" t="inlineStr">
        <is>
          <t>9555277316275</t>
        </is>
      </c>
      <c r="R111" t="inlineStr">
        <is>
          <t>SAFARI</t>
        </is>
      </c>
      <c r="S111" t="inlineStr"/>
      <c r="T111" t="inlineStr">
        <is>
          <t>BOND STREET BLUE 20S</t>
        </is>
      </c>
      <c r="U111" t="n">
        <v>0</v>
      </c>
    </row>
    <row r="112">
      <c r="A112" t="inlineStr">
        <is>
          <t>46276|3</t>
        </is>
      </c>
      <c r="B112" t="inlineStr">
        <is>
          <t>2026-09-11</t>
        </is>
      </c>
      <c r="C112" s="31" t="n">
        <v>46276</v>
      </c>
      <c r="D112" s="31" t="n"/>
      <c r="E112" t="inlineStr">
        <is>
          <t>Aktar</t>
        </is>
      </c>
      <c r="F112" t="inlineStr">
        <is>
          <t>Bond Red</t>
        </is>
      </c>
      <c r="G112" t="n">
        <v>1</v>
      </c>
      <c r="H112" t="n">
        <v>4</v>
      </c>
      <c r="I112" t="n">
        <v>-3</v>
      </c>
      <c r="N112" t="n">
        <v>-1</v>
      </c>
      <c r="O112" t="n">
        <v>3</v>
      </c>
      <c r="P112" t="inlineStr">
        <is>
          <t>105158</t>
        </is>
      </c>
      <c r="Q112" t="inlineStr">
        <is>
          <t>9555277316251</t>
        </is>
      </c>
      <c r="R112" t="inlineStr">
        <is>
          <t>SAFARI</t>
        </is>
      </c>
      <c r="S112" t="inlineStr"/>
      <c r="T112" t="inlineStr">
        <is>
          <t>BOND STREET RED 20S</t>
        </is>
      </c>
      <c r="U112" t="n">
        <v>0</v>
      </c>
    </row>
    <row r="113">
      <c r="A113" t="inlineStr">
        <is>
          <t>46276|4</t>
        </is>
      </c>
      <c r="B113" t="inlineStr">
        <is>
          <t>2026-09-11</t>
        </is>
      </c>
      <c r="C113" s="31" t="n">
        <v>46276</v>
      </c>
      <c r="D113" s="31" t="n"/>
      <c r="E113" t="inlineStr">
        <is>
          <t>Aktar</t>
        </is>
      </c>
      <c r="F113" t="inlineStr">
        <is>
          <t>Chesterfield Blue</t>
        </is>
      </c>
      <c r="G113" t="n">
        <v>1</v>
      </c>
      <c r="H113" t="n">
        <v>8</v>
      </c>
      <c r="I113" t="n">
        <v>-7</v>
      </c>
      <c r="N113" t="n">
        <v>-1</v>
      </c>
      <c r="O113" t="n">
        <v>4</v>
      </c>
      <c r="P113" t="inlineStr">
        <is>
          <t>100642</t>
        </is>
      </c>
      <c r="Q113" t="inlineStr">
        <is>
          <t>88823393</t>
        </is>
      </c>
      <c r="R113" t="inlineStr">
        <is>
          <t>SAFARI</t>
        </is>
      </c>
      <c r="S113" t="inlineStr"/>
      <c r="T113" t="inlineStr">
        <is>
          <t>CHESTERFIELD BLUE 20S</t>
        </is>
      </c>
      <c r="U113" t="n">
        <v>0</v>
      </c>
    </row>
    <row r="114">
      <c r="A114" t="inlineStr">
        <is>
          <t>46276|5</t>
        </is>
      </c>
      <c r="B114" t="inlineStr">
        <is>
          <t>2026-09-11</t>
        </is>
      </c>
      <c r="C114" s="31" t="n">
        <v>46276</v>
      </c>
      <c r="D114" s="31" t="n"/>
      <c r="E114" t="inlineStr">
        <is>
          <t>Aktar</t>
        </is>
      </c>
      <c r="F114" t="inlineStr">
        <is>
          <t>Chesterfield Charcoal</t>
        </is>
      </c>
      <c r="G114" t="n">
        <v>1</v>
      </c>
      <c r="H114" t="n">
        <v>5</v>
      </c>
      <c r="I114" t="n">
        <v>-4</v>
      </c>
      <c r="N114" t="n">
        <v>-1</v>
      </c>
      <c r="O114" t="n">
        <v>5</v>
      </c>
      <c r="P114" t="inlineStr">
        <is>
          <t>103361</t>
        </is>
      </c>
      <c r="Q114" t="inlineStr">
        <is>
          <t>9555277315254</t>
        </is>
      </c>
      <c r="R114" t="inlineStr">
        <is>
          <t>SAFARI</t>
        </is>
      </c>
      <c r="S114" t="inlineStr"/>
      <c r="T114" t="inlineStr">
        <is>
          <t>CHESTERFIELD CHARCOAL FILTER 20S</t>
        </is>
      </c>
      <c r="U114" t="n">
        <v>0</v>
      </c>
    </row>
    <row r="115">
      <c r="A115" t="inlineStr">
        <is>
          <t>46276|6</t>
        </is>
      </c>
      <c r="B115" t="inlineStr">
        <is>
          <t>2026-09-11</t>
        </is>
      </c>
      <c r="C115" s="31" t="n">
        <v>46276</v>
      </c>
      <c r="D115" s="31" t="n"/>
      <c r="E115" t="inlineStr">
        <is>
          <t>Aktar</t>
        </is>
      </c>
      <c r="F115" t="inlineStr">
        <is>
          <t>Chesterfield Menthol</t>
        </is>
      </c>
      <c r="G115" t="n">
        <v>1</v>
      </c>
      <c r="H115" t="n">
        <v>10</v>
      </c>
      <c r="I115" t="n">
        <v>-9</v>
      </c>
      <c r="N115" t="n">
        <v>-1</v>
      </c>
      <c r="O115" t="n">
        <v>6</v>
      </c>
      <c r="P115" t="inlineStr">
        <is>
          <t>100638</t>
        </is>
      </c>
      <c r="Q115" t="inlineStr">
        <is>
          <t>95510354</t>
        </is>
      </c>
      <c r="R115" t="inlineStr">
        <is>
          <t>SAFARI</t>
        </is>
      </c>
      <c r="S115" t="inlineStr"/>
      <c r="T115" t="inlineStr">
        <is>
          <t>CHESTERFIELD MENTHOL 20S</t>
        </is>
      </c>
      <c r="U115" t="n">
        <v>0</v>
      </c>
    </row>
    <row r="116">
      <c r="A116" t="inlineStr">
        <is>
          <t>46276|7</t>
        </is>
      </c>
      <c r="B116" t="inlineStr">
        <is>
          <t>2026-09-11</t>
        </is>
      </c>
      <c r="C116" s="31" t="n">
        <v>46276</v>
      </c>
      <c r="D116" s="31" t="n"/>
      <c r="E116" t="inlineStr">
        <is>
          <t>Aktar</t>
        </is>
      </c>
      <c r="F116" t="inlineStr">
        <is>
          <t>Chesterfield Purple</t>
        </is>
      </c>
      <c r="G116" t="n">
        <v>3</v>
      </c>
      <c r="H116" t="n">
        <v>4</v>
      </c>
      <c r="I116" t="n">
        <v>-1</v>
      </c>
      <c r="N116" t="n">
        <v>-1</v>
      </c>
      <c r="O116" t="n">
        <v>7</v>
      </c>
      <c r="P116" t="inlineStr">
        <is>
          <t>103526</t>
        </is>
      </c>
      <c r="Q116" t="inlineStr">
        <is>
          <t>9555277315094</t>
        </is>
      </c>
      <c r="R116" t="inlineStr">
        <is>
          <t>SAFARI</t>
        </is>
      </c>
      <c r="S116" t="inlineStr"/>
      <c r="T116" t="inlineStr">
        <is>
          <t>CHESTERFIELD PURPLE 20S</t>
        </is>
      </c>
      <c r="U116" t="n">
        <v>0</v>
      </c>
    </row>
    <row r="117">
      <c r="A117" t="inlineStr">
        <is>
          <t>46276|8</t>
        </is>
      </c>
      <c r="B117" t="inlineStr">
        <is>
          <t>2026-09-11</t>
        </is>
      </c>
      <c r="C117" s="31" t="n">
        <v>46276</v>
      </c>
      <c r="D117" s="31" t="n"/>
      <c r="E117" t="inlineStr">
        <is>
          <t>Aktar</t>
        </is>
      </c>
      <c r="F117" t="inlineStr">
        <is>
          <t>Chesterfield Red</t>
        </is>
      </c>
      <c r="G117" t="n">
        <v>1</v>
      </c>
      <c r="H117" t="n">
        <v>6</v>
      </c>
      <c r="I117" t="n">
        <v>-5</v>
      </c>
      <c r="N117" t="n">
        <v>-1</v>
      </c>
      <c r="O117" t="n">
        <v>8</v>
      </c>
      <c r="P117" t="inlineStr">
        <is>
          <t>100640</t>
        </is>
      </c>
      <c r="Q117" t="inlineStr">
        <is>
          <t>88823386</t>
        </is>
      </c>
      <c r="R117" t="inlineStr">
        <is>
          <t>SAFARI</t>
        </is>
      </c>
      <c r="S117" t="inlineStr"/>
      <c r="T117" t="inlineStr">
        <is>
          <t>CHESTERFIELD RED 20S</t>
        </is>
      </c>
      <c r="U117" t="n">
        <v>0</v>
      </c>
    </row>
    <row r="118">
      <c r="A118" t="inlineStr">
        <is>
          <t>46276|9</t>
        </is>
      </c>
      <c r="B118" t="inlineStr">
        <is>
          <t>2026-09-11</t>
        </is>
      </c>
      <c r="C118" s="31" t="n">
        <v>46276</v>
      </c>
      <c r="D118" s="31" t="n"/>
      <c r="E118" t="inlineStr">
        <is>
          <t>Aktar</t>
        </is>
      </c>
      <c r="F118" t="inlineStr">
        <is>
          <t>Dunhill Blue</t>
        </is>
      </c>
      <c r="G118" t="n">
        <v>3</v>
      </c>
      <c r="H118" t="n">
        <v>12</v>
      </c>
      <c r="I118" t="n">
        <v>-9</v>
      </c>
      <c r="N118" t="n">
        <v>-1</v>
      </c>
      <c r="O118" t="n">
        <v>9</v>
      </c>
      <c r="P118" t="inlineStr">
        <is>
          <t>104923</t>
        </is>
      </c>
      <c r="Q118" t="inlineStr">
        <is>
          <t>9556109109386</t>
        </is>
      </c>
      <c r="R118" t="inlineStr">
        <is>
          <t>SAFARI</t>
        </is>
      </c>
      <c r="S118" t="inlineStr"/>
      <c r="T118" t="inlineStr">
        <is>
          <t>DUNHILL BLUE</t>
        </is>
      </c>
      <c r="U118" t="n">
        <v>0</v>
      </c>
    </row>
    <row r="119">
      <c r="A119" t="inlineStr">
        <is>
          <t>46276|10</t>
        </is>
      </c>
      <c r="B119" t="inlineStr">
        <is>
          <t>2026-09-11</t>
        </is>
      </c>
      <c r="C119" s="31" t="n">
        <v>46276</v>
      </c>
      <c r="D119" s="31" t="n"/>
      <c r="E119" t="inlineStr">
        <is>
          <t>Aktar</t>
        </is>
      </c>
      <c r="F119" t="inlineStr">
        <is>
          <t>Dunhill Boost</t>
        </is>
      </c>
      <c r="G119" t="n">
        <v>1</v>
      </c>
      <c r="H119" t="n">
        <v>8</v>
      </c>
      <c r="I119" t="n">
        <v>-7</v>
      </c>
      <c r="N119" t="n">
        <v>-1</v>
      </c>
      <c r="O119" t="n">
        <v>10</v>
      </c>
      <c r="P119" t="inlineStr">
        <is>
          <t>105169</t>
        </is>
      </c>
      <c r="Q119" t="inlineStr">
        <is>
          <t>9556109109416</t>
        </is>
      </c>
      <c r="R119" t="inlineStr">
        <is>
          <t>SAFARI</t>
        </is>
      </c>
      <c r="S119" t="inlineStr"/>
      <c r="T119" t="inlineStr">
        <is>
          <t>DUNHILL BOOST</t>
        </is>
      </c>
      <c r="U119" t="n">
        <v>0</v>
      </c>
    </row>
    <row r="120">
      <c r="A120" t="inlineStr">
        <is>
          <t>46276|11</t>
        </is>
      </c>
      <c r="B120" t="inlineStr">
        <is>
          <t>2026-09-11</t>
        </is>
      </c>
      <c r="C120" s="31" t="n">
        <v>46276</v>
      </c>
      <c r="D120" s="31" t="n"/>
      <c r="E120" t="inlineStr">
        <is>
          <t>Aktar</t>
        </is>
      </c>
      <c r="F120" t="inlineStr">
        <is>
          <t>Dunhill Classic</t>
        </is>
      </c>
      <c r="G120" t="n">
        <v>2</v>
      </c>
      <c r="H120" t="n">
        <v>34</v>
      </c>
      <c r="I120" t="n">
        <v>-32</v>
      </c>
      <c r="N120" t="n">
        <v>-1</v>
      </c>
      <c r="O120" t="n">
        <v>11</v>
      </c>
      <c r="P120" t="inlineStr">
        <is>
          <t>103732</t>
        </is>
      </c>
      <c r="Q120" t="inlineStr">
        <is>
          <t>9556109106958</t>
        </is>
      </c>
      <c r="R120" t="inlineStr">
        <is>
          <t>SAFARI</t>
        </is>
      </c>
      <c r="S120" t="inlineStr"/>
      <c r="T120" t="inlineStr">
        <is>
          <t>DUNHILL CLASSIC</t>
        </is>
      </c>
      <c r="U120" t="n">
        <v>0</v>
      </c>
    </row>
    <row r="121">
      <c r="A121" t="inlineStr">
        <is>
          <t>46276|12</t>
        </is>
      </c>
      <c r="B121" t="inlineStr">
        <is>
          <t>2026-09-11</t>
        </is>
      </c>
      <c r="C121" s="31" t="n">
        <v>46276</v>
      </c>
      <c r="D121" s="31" t="n"/>
      <c r="E121" t="inlineStr">
        <is>
          <t>Aktar</t>
        </is>
      </c>
      <c r="F121" t="inlineStr">
        <is>
          <t>Dunhill Menthol</t>
        </is>
      </c>
      <c r="G121" t="n">
        <v>3</v>
      </c>
      <c r="H121" t="n">
        <v>15</v>
      </c>
      <c r="I121" t="n">
        <v>-12</v>
      </c>
      <c r="N121" t="n">
        <v>-1</v>
      </c>
      <c r="O121" t="n">
        <v>12</v>
      </c>
      <c r="P121" t="inlineStr">
        <is>
          <t>104924</t>
        </is>
      </c>
      <c r="Q121" t="inlineStr">
        <is>
          <t>9556109109393</t>
        </is>
      </c>
      <c r="R121" t="inlineStr">
        <is>
          <t>SAFARI</t>
        </is>
      </c>
      <c r="S121" t="inlineStr"/>
      <c r="T121" t="inlineStr">
        <is>
          <t>DUNHILL MENTHOL</t>
        </is>
      </c>
      <c r="U121" t="n">
        <v>0</v>
      </c>
    </row>
    <row r="122">
      <c r="A122" t="inlineStr">
        <is>
          <t>46276|13</t>
        </is>
      </c>
      <c r="B122" t="inlineStr">
        <is>
          <t>2026-09-11</t>
        </is>
      </c>
      <c r="C122" s="31" t="n">
        <v>46276</v>
      </c>
      <c r="D122" s="31" t="n"/>
      <c r="E122" t="inlineStr">
        <is>
          <t>Aktar</t>
        </is>
      </c>
      <c r="F122" t="inlineStr">
        <is>
          <t>Dunhill Mix</t>
        </is>
      </c>
      <c r="G122" t="n">
        <v>1</v>
      </c>
      <c r="H122" t="n">
        <v>18</v>
      </c>
      <c r="I122" t="n">
        <v>-17</v>
      </c>
      <c r="N122" t="n">
        <v>-1</v>
      </c>
      <c r="O122" t="n">
        <v>13</v>
      </c>
      <c r="P122" t="inlineStr">
        <is>
          <t>105170</t>
        </is>
      </c>
      <c r="Q122" t="inlineStr">
        <is>
          <t>9556109109423</t>
        </is>
      </c>
      <c r="R122" t="inlineStr">
        <is>
          <t>SAFARI</t>
        </is>
      </c>
      <c r="S122" t="inlineStr"/>
      <c r="T122" t="inlineStr">
        <is>
          <t>DUNHILL MIX</t>
        </is>
      </c>
      <c r="U122" t="n">
        <v>0</v>
      </c>
    </row>
    <row r="123">
      <c r="A123" t="inlineStr">
        <is>
          <t>46276|14</t>
        </is>
      </c>
      <c r="B123" t="inlineStr">
        <is>
          <t>2026-09-11</t>
        </is>
      </c>
      <c r="C123" s="31" t="n">
        <v>46276</v>
      </c>
      <c r="D123" s="31" t="n"/>
      <c r="E123" t="inlineStr">
        <is>
          <t>Aktar</t>
        </is>
      </c>
      <c r="F123" t="inlineStr">
        <is>
          <t>Dunhill Red</t>
        </is>
      </c>
      <c r="G123" t="n">
        <v>1</v>
      </c>
      <c r="H123" t="n">
        <v>8</v>
      </c>
      <c r="I123" t="n">
        <v>-7</v>
      </c>
      <c r="N123" t="n">
        <v>-1</v>
      </c>
      <c r="O123" t="n">
        <v>14</v>
      </c>
      <c r="P123" t="inlineStr">
        <is>
          <t>104922</t>
        </is>
      </c>
      <c r="Q123" t="inlineStr">
        <is>
          <t>9556109109171</t>
        </is>
      </c>
      <c r="R123" t="inlineStr">
        <is>
          <t>SAFARI</t>
        </is>
      </c>
      <c r="S123" t="inlineStr"/>
      <c r="T123" t="inlineStr">
        <is>
          <t>DUNHILL RED</t>
        </is>
      </c>
      <c r="U123" t="n">
        <v>0</v>
      </c>
    </row>
    <row r="124">
      <c r="A124" t="inlineStr">
        <is>
          <t>46276|15</t>
        </is>
      </c>
      <c r="B124" t="inlineStr">
        <is>
          <t>2026-09-11</t>
        </is>
      </c>
      <c r="C124" s="31" t="n">
        <v>46276</v>
      </c>
      <c r="D124" s="31" t="n"/>
      <c r="E124" t="inlineStr">
        <is>
          <t>Aktar</t>
        </is>
      </c>
      <c r="F124" t="inlineStr">
        <is>
          <t>Dunhill Switch</t>
        </is>
      </c>
      <c r="G124" t="n">
        <v>2</v>
      </c>
      <c r="H124" t="n">
        <v>12</v>
      </c>
      <c r="I124" t="n">
        <v>-10</v>
      </c>
      <c r="N124" t="n">
        <v>-1</v>
      </c>
      <c r="O124" t="n">
        <v>15</v>
      </c>
      <c r="P124" t="inlineStr">
        <is>
          <t>105168</t>
        </is>
      </c>
      <c r="Q124" t="inlineStr">
        <is>
          <t>9556109109409</t>
        </is>
      </c>
      <c r="R124" t="inlineStr">
        <is>
          <t>SAFARI</t>
        </is>
      </c>
      <c r="S124" t="inlineStr"/>
      <c r="T124" t="inlineStr">
        <is>
          <t>DUNHILL SWITCH</t>
        </is>
      </c>
      <c r="U124" t="n">
        <v>0</v>
      </c>
    </row>
    <row r="125">
      <c r="A125" t="inlineStr">
        <is>
          <t>46276|16</t>
        </is>
      </c>
      <c r="B125" t="inlineStr">
        <is>
          <t>2026-09-11</t>
        </is>
      </c>
      <c r="C125" s="31" t="n">
        <v>46276</v>
      </c>
      <c r="D125" s="31" t="n"/>
      <c r="E125" t="inlineStr">
        <is>
          <t>Aktar</t>
        </is>
      </c>
      <c r="F125" t="inlineStr">
        <is>
          <t>Dunhill Zest</t>
        </is>
      </c>
      <c r="G125" t="n">
        <v>1</v>
      </c>
      <c r="H125" t="n">
        <v>15</v>
      </c>
      <c r="I125" t="n">
        <v>-14</v>
      </c>
      <c r="N125" t="n">
        <v>-1</v>
      </c>
      <c r="O125" t="n">
        <v>16</v>
      </c>
      <c r="P125" t="inlineStr">
        <is>
          <t>105171</t>
        </is>
      </c>
      <c r="Q125" t="inlineStr">
        <is>
          <t>9556109109430</t>
        </is>
      </c>
      <c r="R125" t="inlineStr">
        <is>
          <t>SAFARI</t>
        </is>
      </c>
      <c r="S125" t="inlineStr"/>
      <c r="T125" t="inlineStr">
        <is>
          <t>DUNHILL ZEST</t>
        </is>
      </c>
      <c r="U125" t="n">
        <v>0</v>
      </c>
    </row>
    <row r="126">
      <c r="A126" t="inlineStr">
        <is>
          <t>46276|17</t>
        </is>
      </c>
      <c r="B126" t="inlineStr">
        <is>
          <t>2026-09-11</t>
        </is>
      </c>
      <c r="C126" s="31" t="n">
        <v>46276</v>
      </c>
      <c r="D126" s="31" t="n"/>
      <c r="E126" t="inlineStr">
        <is>
          <t>Aktar</t>
        </is>
      </c>
      <c r="F126" t="inlineStr">
        <is>
          <t>Kyo Original</t>
        </is>
      </c>
      <c r="G126" t="n">
        <v>1</v>
      </c>
      <c r="H126" t="n">
        <v>8</v>
      </c>
      <c r="I126" t="n">
        <v>-7</v>
      </c>
      <c r="N126" t="n">
        <v>-1</v>
      </c>
      <c r="O126" t="n">
        <v>17</v>
      </c>
      <c r="P126" t="inlineStr">
        <is>
          <t>104726</t>
        </is>
      </c>
      <c r="Q126" t="inlineStr">
        <is>
          <t>9556109109355</t>
        </is>
      </c>
      <c r="R126" t="inlineStr">
        <is>
          <t>SAFARI</t>
        </is>
      </c>
      <c r="S126" t="inlineStr"/>
      <c r="T126" t="inlineStr">
        <is>
          <t>KYO ORIGINAL BLUE</t>
        </is>
      </c>
      <c r="U126" t="n">
        <v>0</v>
      </c>
    </row>
    <row r="127">
      <c r="A127" t="inlineStr">
        <is>
          <t>46276|18</t>
        </is>
      </c>
      <c r="B127" t="inlineStr">
        <is>
          <t>2026-09-11</t>
        </is>
      </c>
      <c r="C127" s="31" t="n">
        <v>46276</v>
      </c>
      <c r="D127" s="31" t="n"/>
      <c r="E127" t="inlineStr">
        <is>
          <t>Aktar</t>
        </is>
      </c>
      <c r="F127" t="inlineStr">
        <is>
          <t>Kyo Silver</t>
        </is>
      </c>
      <c r="G127" t="n">
        <v>1</v>
      </c>
      <c r="H127" t="n">
        <v>4</v>
      </c>
      <c r="I127" t="n">
        <v>-3</v>
      </c>
      <c r="N127" t="n">
        <v>-1</v>
      </c>
      <c r="O127" t="n">
        <v>18</v>
      </c>
      <c r="P127" t="inlineStr">
        <is>
          <t>104727</t>
        </is>
      </c>
      <c r="Q127" t="inlineStr">
        <is>
          <t>9556109109362</t>
        </is>
      </c>
      <c r="R127" t="inlineStr">
        <is>
          <t>SAFARI</t>
        </is>
      </c>
      <c r="S127" t="inlineStr"/>
      <c r="T127" t="inlineStr">
        <is>
          <t>KYO SILVER</t>
        </is>
      </c>
      <c r="U127" t="n">
        <v>0</v>
      </c>
    </row>
    <row r="128">
      <c r="A128" t="inlineStr">
        <is>
          <t>46276|19</t>
        </is>
      </c>
      <c r="B128" t="inlineStr">
        <is>
          <t>2026-09-11</t>
        </is>
      </c>
      <c r="C128" s="31" t="n">
        <v>46276</v>
      </c>
      <c r="D128" s="31" t="n"/>
      <c r="E128" t="inlineStr">
        <is>
          <t>Aktar</t>
        </is>
      </c>
      <c r="F128" t="inlineStr">
        <is>
          <t>LD 100 Red</t>
        </is>
      </c>
      <c r="G128" t="n">
        <v>11</v>
      </c>
      <c r="H128" t="n">
        <v>6</v>
      </c>
      <c r="I128" t="n">
        <v>5</v>
      </c>
      <c r="N128" t="n">
        <v>-1</v>
      </c>
      <c r="O128" t="n">
        <v>19</v>
      </c>
      <c r="P128" t="inlineStr">
        <is>
          <t>107628</t>
        </is>
      </c>
      <c r="Q128" t="inlineStr">
        <is>
          <t>9555900301227</t>
        </is>
      </c>
      <c r="R128" t="inlineStr">
        <is>
          <t>SAFARI</t>
        </is>
      </c>
      <c r="S128" t="inlineStr"/>
      <c r="T128" t="inlineStr">
        <is>
          <t>LD 100 RED</t>
        </is>
      </c>
      <c r="U128" t="n">
        <v>0</v>
      </c>
    </row>
    <row r="129">
      <c r="A129" t="inlineStr">
        <is>
          <t>46276|20</t>
        </is>
      </c>
      <c r="B129" t="inlineStr">
        <is>
          <t>2026-09-11</t>
        </is>
      </c>
      <c r="C129" s="31" t="n">
        <v>46276</v>
      </c>
      <c r="D129" s="31" t="n"/>
      <c r="E129" t="inlineStr">
        <is>
          <t>Aktar</t>
        </is>
      </c>
      <c r="F129" t="inlineStr">
        <is>
          <t>LD Blue</t>
        </is>
      </c>
      <c r="G129" t="n">
        <v>1</v>
      </c>
      <c r="H129" t="n">
        <v>11</v>
      </c>
      <c r="I129" t="n">
        <v>-10</v>
      </c>
      <c r="N129" t="n">
        <v>-1</v>
      </c>
      <c r="O129" t="n">
        <v>20</v>
      </c>
      <c r="P129" t="inlineStr">
        <is>
          <t>100758</t>
        </is>
      </c>
      <c r="Q129" t="inlineStr">
        <is>
          <t>8885004830028</t>
        </is>
      </c>
      <c r="R129" t="inlineStr">
        <is>
          <t>SAFARI</t>
        </is>
      </c>
      <c r="S129" t="inlineStr"/>
      <c r="T129" t="inlineStr">
        <is>
          <t>LD BLUE 20S</t>
        </is>
      </c>
      <c r="U129" t="n">
        <v>0</v>
      </c>
    </row>
    <row r="130">
      <c r="A130" t="inlineStr">
        <is>
          <t>46276|21</t>
        </is>
      </c>
      <c r="B130" t="inlineStr">
        <is>
          <t>2026-09-11</t>
        </is>
      </c>
      <c r="C130" s="31" t="n">
        <v>46276</v>
      </c>
      <c r="D130" s="31" t="n"/>
      <c r="E130" t="inlineStr">
        <is>
          <t>Aktar</t>
        </is>
      </c>
      <c r="F130" t="inlineStr">
        <is>
          <t>LD Menthol</t>
        </is>
      </c>
      <c r="G130" t="n">
        <v>1</v>
      </c>
      <c r="H130" t="n">
        <v>4</v>
      </c>
      <c r="I130" t="n">
        <v>-3</v>
      </c>
      <c r="N130" t="n">
        <v>-1</v>
      </c>
      <c r="O130" t="n">
        <v>21</v>
      </c>
      <c r="P130" t="inlineStr">
        <is>
          <t>100760</t>
        </is>
      </c>
      <c r="Q130" t="inlineStr">
        <is>
          <t>8885004830042</t>
        </is>
      </c>
      <c r="R130" t="inlineStr">
        <is>
          <t>SAFARI</t>
        </is>
      </c>
      <c r="S130" t="inlineStr"/>
      <c r="T130" t="inlineStr">
        <is>
          <t>LD MENTHOL 20S</t>
        </is>
      </c>
      <c r="U130" t="n">
        <v>0</v>
      </c>
    </row>
    <row r="131">
      <c r="A131" t="inlineStr">
        <is>
          <t>46276|22</t>
        </is>
      </c>
      <c r="B131" t="inlineStr">
        <is>
          <t>2026-09-11</t>
        </is>
      </c>
      <c r="C131" s="31" t="n">
        <v>46276</v>
      </c>
      <c r="D131" s="31" t="n"/>
      <c r="E131" t="inlineStr">
        <is>
          <t>Aktar</t>
        </is>
      </c>
      <c r="F131" t="inlineStr">
        <is>
          <t>LD Purple</t>
        </is>
      </c>
      <c r="G131" t="n">
        <v>1</v>
      </c>
      <c r="H131" t="n">
        <v>2</v>
      </c>
      <c r="I131" t="n">
        <v>-1</v>
      </c>
      <c r="N131" t="n">
        <v>-1</v>
      </c>
      <c r="O131" t="n">
        <v>22</v>
      </c>
      <c r="P131" t="inlineStr">
        <is>
          <t>104330</t>
        </is>
      </c>
      <c r="Q131" t="inlineStr">
        <is>
          <t>9555900300565</t>
        </is>
      </c>
      <c r="R131" t="inlineStr">
        <is>
          <t>SAFARI</t>
        </is>
      </c>
      <c r="S131" t="inlineStr"/>
      <c r="T131" t="inlineStr">
        <is>
          <t>LD PURPLE 20S</t>
        </is>
      </c>
      <c r="U131" t="n">
        <v>0</v>
      </c>
    </row>
    <row r="132">
      <c r="A132" t="inlineStr">
        <is>
          <t>46276|23</t>
        </is>
      </c>
      <c r="B132" t="inlineStr">
        <is>
          <t>2026-09-11</t>
        </is>
      </c>
      <c r="C132" s="31" t="n">
        <v>46276</v>
      </c>
      <c r="D132" s="31" t="n"/>
      <c r="E132" t="inlineStr">
        <is>
          <t>Aktar</t>
        </is>
      </c>
      <c r="F132" t="inlineStr">
        <is>
          <t>LD Red</t>
        </is>
      </c>
      <c r="G132" t="n">
        <v>11</v>
      </c>
      <c r="H132" t="n">
        <v>7</v>
      </c>
      <c r="I132" t="n">
        <v>4</v>
      </c>
      <c r="N132" t="n">
        <v>-1</v>
      </c>
      <c r="O132" t="n">
        <v>23</v>
      </c>
      <c r="P132" t="inlineStr">
        <is>
          <t>100756</t>
        </is>
      </c>
      <c r="Q132" t="inlineStr">
        <is>
          <t>8885004830004</t>
        </is>
      </c>
      <c r="R132" t="inlineStr">
        <is>
          <t>SAFARI</t>
        </is>
      </c>
      <c r="S132" t="inlineStr"/>
      <c r="T132" t="inlineStr">
        <is>
          <t>LD RED 20S</t>
        </is>
      </c>
      <c r="U132" t="n">
        <v>0</v>
      </c>
    </row>
    <row r="133">
      <c r="A133" t="inlineStr">
        <is>
          <t>46276|24</t>
        </is>
      </c>
      <c r="B133" t="inlineStr">
        <is>
          <t>2026-09-11</t>
        </is>
      </c>
      <c r="C133" s="31" t="n">
        <v>46276</v>
      </c>
      <c r="D133" s="31" t="n"/>
      <c r="E133" t="inlineStr">
        <is>
          <t>Aktar</t>
        </is>
      </c>
      <c r="F133" t="inlineStr">
        <is>
          <t>LD Zoom</t>
        </is>
      </c>
      <c r="G133" t="n">
        <v>1</v>
      </c>
      <c r="H133" t="n">
        <v>11</v>
      </c>
      <c r="I133" t="n">
        <v>-10</v>
      </c>
      <c r="N133" t="n">
        <v>-1</v>
      </c>
      <c r="O133" t="n">
        <v>24</v>
      </c>
      <c r="P133" t="inlineStr">
        <is>
          <t>100762</t>
        </is>
      </c>
      <c r="Q133" t="inlineStr">
        <is>
          <t>9555900300121</t>
        </is>
      </c>
      <c r="R133" t="inlineStr">
        <is>
          <t>SAFARI</t>
        </is>
      </c>
      <c r="S133" t="inlineStr"/>
      <c r="T133" t="inlineStr">
        <is>
          <t>LD ZOOM 20S</t>
        </is>
      </c>
      <c r="U133" t="n">
        <v>0</v>
      </c>
    </row>
    <row r="134">
      <c r="A134" t="inlineStr">
        <is>
          <t>46276|25</t>
        </is>
      </c>
      <c r="B134" t="inlineStr">
        <is>
          <t>2026-09-11</t>
        </is>
      </c>
      <c r="C134" s="31" t="n">
        <v>46276</v>
      </c>
      <c r="D134" s="31" t="n"/>
      <c r="E134" t="inlineStr">
        <is>
          <t>Aktar</t>
        </is>
      </c>
      <c r="F134" t="inlineStr">
        <is>
          <t>Marlboro Black</t>
        </is>
      </c>
      <c r="G134" t="n">
        <v>11</v>
      </c>
      <c r="H134" t="n">
        <v>13</v>
      </c>
      <c r="I134" t="n">
        <v>-2</v>
      </c>
      <c r="N134" t="n">
        <v>-1</v>
      </c>
      <c r="O134" t="n">
        <v>25</v>
      </c>
      <c r="P134" t="inlineStr">
        <is>
          <t>100626</t>
        </is>
      </c>
      <c r="Q134" t="inlineStr">
        <is>
          <t>95508788</t>
        </is>
      </c>
      <c r="R134" t="inlineStr">
        <is>
          <t>SAFARI</t>
        </is>
      </c>
      <c r="S134" t="inlineStr"/>
      <c r="T134" t="inlineStr">
        <is>
          <t>MARLBORO BLACK MENTHOL 20S</t>
        </is>
      </c>
      <c r="U134" t="n">
        <v>0</v>
      </c>
    </row>
    <row r="135">
      <c r="A135" t="inlineStr">
        <is>
          <t>46276|26</t>
        </is>
      </c>
      <c r="B135" t="inlineStr">
        <is>
          <t>2026-09-11</t>
        </is>
      </c>
      <c r="C135" s="31" t="n">
        <v>46276</v>
      </c>
      <c r="D135" s="31" t="n"/>
      <c r="E135" t="inlineStr">
        <is>
          <t>Aktar</t>
        </is>
      </c>
      <c r="F135" t="inlineStr">
        <is>
          <t>Marlboro Double Burst</t>
        </is>
      </c>
      <c r="G135" t="n">
        <v>1</v>
      </c>
      <c r="H135" t="n">
        <v>7</v>
      </c>
      <c r="I135" t="n">
        <v>-6</v>
      </c>
      <c r="N135" t="n">
        <v>-1</v>
      </c>
      <c r="O135" t="n">
        <v>26</v>
      </c>
      <c r="P135" t="inlineStr">
        <is>
          <t>100630</t>
        </is>
      </c>
      <c r="Q135" t="inlineStr">
        <is>
          <t>45163012</t>
        </is>
      </c>
      <c r="R135" t="inlineStr">
        <is>
          <t>SAFARI</t>
        </is>
      </c>
      <c r="S135" t="inlineStr"/>
      <c r="T135" t="inlineStr">
        <is>
          <t>MARLBORO DOUBLE BURST 20S</t>
        </is>
      </c>
      <c r="U135" t="n">
        <v>0</v>
      </c>
    </row>
    <row r="136">
      <c r="A136" t="inlineStr">
        <is>
          <t>46276|27</t>
        </is>
      </c>
      <c r="B136" t="inlineStr">
        <is>
          <t>2026-09-11</t>
        </is>
      </c>
      <c r="C136" s="31" t="n">
        <v>46276</v>
      </c>
      <c r="D136" s="31" t="n"/>
      <c r="E136" t="inlineStr">
        <is>
          <t>Aktar</t>
        </is>
      </c>
      <c r="F136" t="inlineStr">
        <is>
          <t>Marlboro Gold</t>
        </is>
      </c>
      <c r="G136" t="n">
        <v>1</v>
      </c>
      <c r="H136" t="n">
        <v>4</v>
      </c>
      <c r="I136" t="n">
        <v>-3</v>
      </c>
      <c r="N136" t="n">
        <v>-1</v>
      </c>
      <c r="O136" t="n">
        <v>27</v>
      </c>
      <c r="P136" t="inlineStr">
        <is>
          <t>100628</t>
        </is>
      </c>
      <c r="Q136" t="inlineStr">
        <is>
          <t>76239878</t>
        </is>
      </c>
      <c r="R136" t="inlineStr">
        <is>
          <t>SAFARI</t>
        </is>
      </c>
      <c r="S136" t="inlineStr"/>
      <c r="T136" t="inlineStr">
        <is>
          <t>MARLBORO GOLD 20S</t>
        </is>
      </c>
      <c r="U136" t="n">
        <v>0</v>
      </c>
    </row>
    <row r="137">
      <c r="A137" t="inlineStr">
        <is>
          <t>46276|28</t>
        </is>
      </c>
      <c r="B137" t="inlineStr">
        <is>
          <t>2026-09-11</t>
        </is>
      </c>
      <c r="C137" s="31" t="n">
        <v>46276</v>
      </c>
      <c r="D137" s="31" t="n"/>
      <c r="E137" t="inlineStr">
        <is>
          <t>Aktar</t>
        </is>
      </c>
      <c r="F137" t="inlineStr">
        <is>
          <t>Marlboro Ice</t>
        </is>
      </c>
      <c r="G137" t="n">
        <v>1</v>
      </c>
      <c r="H137" t="n">
        <v>7</v>
      </c>
      <c r="I137" t="n">
        <v>-6</v>
      </c>
      <c r="N137" t="n">
        <v>-1</v>
      </c>
      <c r="O137" t="n">
        <v>28</v>
      </c>
      <c r="P137" t="inlineStr">
        <is>
          <t>100624</t>
        </is>
      </c>
      <c r="Q137" t="inlineStr">
        <is>
          <t>95509839</t>
        </is>
      </c>
      <c r="R137" t="inlineStr">
        <is>
          <t>SAFARI</t>
        </is>
      </c>
      <c r="S137" t="inlineStr"/>
      <c r="T137" t="inlineStr">
        <is>
          <t>MARLBORO ICE BLAST 20S</t>
        </is>
      </c>
      <c r="U137" t="n">
        <v>0</v>
      </c>
    </row>
    <row r="138">
      <c r="A138" t="inlineStr">
        <is>
          <t>46276|29</t>
        </is>
      </c>
      <c r="B138" t="inlineStr">
        <is>
          <t>2026-09-11</t>
        </is>
      </c>
      <c r="C138" s="31" t="n">
        <v>46276</v>
      </c>
      <c r="D138" s="31" t="n"/>
      <c r="E138" t="inlineStr">
        <is>
          <t>Aktar</t>
        </is>
      </c>
      <c r="F138" t="inlineStr">
        <is>
          <t>Marlboro Menthol</t>
        </is>
      </c>
      <c r="G138" t="n">
        <v>1</v>
      </c>
      <c r="H138" t="n">
        <v>4</v>
      </c>
      <c r="I138" t="n">
        <v>-3</v>
      </c>
      <c r="N138" t="n">
        <v>-1</v>
      </c>
      <c r="O138" t="n">
        <v>29</v>
      </c>
      <c r="P138" t="inlineStr">
        <is>
          <t>100632</t>
        </is>
      </c>
      <c r="Q138" t="inlineStr">
        <is>
          <t>76239427</t>
        </is>
      </c>
      <c r="R138" t="inlineStr">
        <is>
          <t>SAFARI</t>
        </is>
      </c>
      <c r="S138" t="inlineStr"/>
      <c r="T138" t="inlineStr">
        <is>
          <t>MARLBORO MENTHOL 20S</t>
        </is>
      </c>
      <c r="U138" t="n">
        <v>0</v>
      </c>
    </row>
    <row r="139">
      <c r="A139" t="inlineStr">
        <is>
          <t>46276|30</t>
        </is>
      </c>
      <c r="B139" t="inlineStr">
        <is>
          <t>2026-09-11</t>
        </is>
      </c>
      <c r="C139" s="31" t="n">
        <v>46276</v>
      </c>
      <c r="D139" s="31" t="n"/>
      <c r="E139" t="inlineStr">
        <is>
          <t>Aktar</t>
        </is>
      </c>
      <c r="F139" t="inlineStr">
        <is>
          <t>Marlboro Red</t>
        </is>
      </c>
      <c r="G139" t="n">
        <v>1</v>
      </c>
      <c r="H139" t="n">
        <v>10</v>
      </c>
      <c r="I139" t="n">
        <v>-9</v>
      </c>
      <c r="N139" t="n">
        <v>-1</v>
      </c>
      <c r="O139" t="n">
        <v>30</v>
      </c>
      <c r="P139" t="inlineStr">
        <is>
          <t>100634</t>
        </is>
      </c>
      <c r="Q139" t="inlineStr">
        <is>
          <t>76164217</t>
        </is>
      </c>
      <c r="R139" t="inlineStr">
        <is>
          <t>SAFARI</t>
        </is>
      </c>
      <c r="S139" t="inlineStr"/>
      <c r="T139" t="inlineStr">
        <is>
          <t>MARLBORO RED 20S</t>
        </is>
      </c>
      <c r="U139" t="n">
        <v>0</v>
      </c>
    </row>
    <row r="140">
      <c r="A140" t="inlineStr">
        <is>
          <t>46276|31</t>
        </is>
      </c>
      <c r="B140" t="inlineStr">
        <is>
          <t>2026-09-11</t>
        </is>
      </c>
      <c r="C140" s="31" t="n">
        <v>46276</v>
      </c>
      <c r="D140" s="31" t="n"/>
      <c r="E140" t="inlineStr">
        <is>
          <t>Aktar</t>
        </is>
      </c>
      <c r="F140" t="inlineStr">
        <is>
          <t>Marlboro Summer</t>
        </is>
      </c>
      <c r="G140" t="n">
        <v>1</v>
      </c>
      <c r="H140" t="n">
        <v>5</v>
      </c>
      <c r="I140" t="n">
        <v>-4</v>
      </c>
      <c r="N140" t="n">
        <v>-1</v>
      </c>
      <c r="O140" t="n">
        <v>31</v>
      </c>
      <c r="P140" t="inlineStr">
        <is>
          <t>106880</t>
        </is>
      </c>
      <c r="Q140" t="inlineStr">
        <is>
          <t>7622100700364</t>
        </is>
      </c>
      <c r="R140" t="inlineStr">
        <is>
          <t>SAFARI</t>
        </is>
      </c>
      <c r="S140" t="inlineStr"/>
      <c r="T140" t="inlineStr">
        <is>
          <t>MARLBORO SUMMER SPLASH</t>
        </is>
      </c>
      <c r="U140" t="n">
        <v>0</v>
      </c>
    </row>
    <row r="141">
      <c r="A141" t="inlineStr">
        <is>
          <t>46276|32</t>
        </is>
      </c>
      <c r="B141" t="inlineStr">
        <is>
          <t>2026-09-11</t>
        </is>
      </c>
      <c r="C141" s="31" t="n">
        <v>46276</v>
      </c>
      <c r="D141" s="31" t="n"/>
      <c r="E141" t="inlineStr">
        <is>
          <t>Aktar</t>
        </is>
      </c>
      <c r="F141" t="inlineStr">
        <is>
          <t>Marlboro Tropical</t>
        </is>
      </c>
      <c r="G141" t="n">
        <v>1</v>
      </c>
      <c r="H141" t="n">
        <v>4</v>
      </c>
      <c r="I141" t="n">
        <v>-3</v>
      </c>
      <c r="N141" t="n">
        <v>-1</v>
      </c>
      <c r="O141" t="n">
        <v>32</v>
      </c>
      <c r="P141" t="inlineStr">
        <is>
          <t>106879</t>
        </is>
      </c>
      <c r="Q141" t="inlineStr">
        <is>
          <t>7622100698937</t>
        </is>
      </c>
      <c r="R141" t="inlineStr">
        <is>
          <t>SAFARI</t>
        </is>
      </c>
      <c r="S141" t="inlineStr"/>
      <c r="T141" t="inlineStr">
        <is>
          <t>MARLBORO TROPICAL SPLASH</t>
        </is>
      </c>
      <c r="U141" t="n">
        <v>0</v>
      </c>
    </row>
    <row r="142">
      <c r="A142" t="inlineStr">
        <is>
          <t>46276|33</t>
        </is>
      </c>
      <c r="B142" t="inlineStr">
        <is>
          <t>2026-09-11</t>
        </is>
      </c>
      <c r="C142" s="31" t="n">
        <v>46276</v>
      </c>
      <c r="D142" s="31" t="n"/>
      <c r="E142" t="inlineStr">
        <is>
          <t>Aktar</t>
        </is>
      </c>
      <c r="F142" t="inlineStr">
        <is>
          <t>Mevius Blue</t>
        </is>
      </c>
      <c r="G142" t="n">
        <v>1</v>
      </c>
      <c r="H142" t="n">
        <v>4</v>
      </c>
      <c r="I142" t="n">
        <v>-3</v>
      </c>
      <c r="N142" t="n">
        <v>-1</v>
      </c>
      <c r="O142" t="n">
        <v>33</v>
      </c>
      <c r="P142" t="inlineStr">
        <is>
          <t>100730</t>
        </is>
      </c>
      <c r="Q142" t="inlineStr">
        <is>
          <t>49401196</t>
        </is>
      </c>
      <c r="R142" t="inlineStr">
        <is>
          <t>SAFARI</t>
        </is>
      </c>
      <c r="S142" t="inlineStr"/>
      <c r="T142" t="inlineStr">
        <is>
          <t>MEVIUS ORIGINAL BLUE 20S</t>
        </is>
      </c>
      <c r="U142" t="n">
        <v>0</v>
      </c>
    </row>
    <row r="143">
      <c r="A143" t="inlineStr">
        <is>
          <t>46276|34</t>
        </is>
      </c>
      <c r="B143" t="inlineStr">
        <is>
          <t>2026-09-11</t>
        </is>
      </c>
      <c r="C143" s="31" t="n">
        <v>46276</v>
      </c>
      <c r="D143" s="31" t="n"/>
      <c r="E143" t="inlineStr">
        <is>
          <t>Aktar</t>
        </is>
      </c>
      <c r="F143" t="inlineStr">
        <is>
          <t>Mevius Duo</t>
        </is>
      </c>
      <c r="G143" t="n">
        <v>4</v>
      </c>
      <c r="H143" t="n">
        <v>4</v>
      </c>
      <c r="I143" t="n">
        <v>0</v>
      </c>
      <c r="N143" t="n">
        <v>-1</v>
      </c>
      <c r="O143" t="n">
        <v>34</v>
      </c>
      <c r="P143" t="inlineStr">
        <is>
          <t>100732</t>
        </is>
      </c>
      <c r="Q143" t="inlineStr">
        <is>
          <t>4033100054556</t>
        </is>
      </c>
      <c r="R143" t="inlineStr">
        <is>
          <t>SAFARI</t>
        </is>
      </c>
      <c r="S143" t="inlineStr"/>
      <c r="T143" t="inlineStr">
        <is>
          <t>MEVIUS MENTHOL DUO 20S</t>
        </is>
      </c>
      <c r="U143" t="n">
        <v>0</v>
      </c>
    </row>
    <row r="144">
      <c r="A144" t="inlineStr">
        <is>
          <t>46276|35</t>
        </is>
      </c>
      <c r="B144" t="inlineStr">
        <is>
          <t>2026-09-11</t>
        </is>
      </c>
      <c r="C144" s="31" t="n">
        <v>46276</v>
      </c>
      <c r="D144" s="31" t="n"/>
      <c r="E144" t="inlineStr">
        <is>
          <t>Aktar</t>
        </is>
      </c>
      <c r="F144" t="inlineStr">
        <is>
          <t>Mevius Kiwami</t>
        </is>
      </c>
      <c r="G144" t="n">
        <v>4</v>
      </c>
      <c r="H144" t="n">
        <v>6</v>
      </c>
      <c r="I144" t="n">
        <v>-2</v>
      </c>
      <c r="N144" t="n">
        <v>-1</v>
      </c>
      <c r="O144" t="n">
        <v>35</v>
      </c>
      <c r="P144" t="inlineStr">
        <is>
          <t>106489</t>
        </is>
      </c>
      <c r="Q144" t="inlineStr">
        <is>
          <t>9555900301326</t>
        </is>
      </c>
      <c r="R144" t="inlineStr">
        <is>
          <t>SAFARI</t>
        </is>
      </c>
      <c r="S144" t="inlineStr"/>
      <c r="T144" t="inlineStr">
        <is>
          <t>MEVIUS KIWAMI</t>
        </is>
      </c>
      <c r="U144" t="n">
        <v>0</v>
      </c>
    </row>
    <row r="145">
      <c r="A145" t="inlineStr">
        <is>
          <t>46276|36</t>
        </is>
      </c>
      <c r="B145" t="inlineStr">
        <is>
          <t>2026-09-11</t>
        </is>
      </c>
      <c r="C145" s="31" t="n">
        <v>46276</v>
      </c>
      <c r="D145" s="31" t="n"/>
      <c r="E145" t="inlineStr">
        <is>
          <t>Aktar</t>
        </is>
      </c>
      <c r="F145" t="inlineStr">
        <is>
          <t>Mevius Menthol</t>
        </is>
      </c>
      <c r="G145" t="n">
        <v>4</v>
      </c>
      <c r="H145" t="n">
        <v>8</v>
      </c>
      <c r="I145" t="n">
        <v>-4</v>
      </c>
      <c r="N145" t="n">
        <v>-1</v>
      </c>
      <c r="O145" t="n">
        <v>36</v>
      </c>
      <c r="P145" t="inlineStr">
        <is>
          <t>100726</t>
        </is>
      </c>
      <c r="Q145" t="inlineStr">
        <is>
          <t>01232135</t>
        </is>
      </c>
      <c r="R145" t="inlineStr">
        <is>
          <t>SAFARI</t>
        </is>
      </c>
      <c r="S145" t="inlineStr"/>
      <c r="T145" t="inlineStr">
        <is>
          <t>MEVIUS MENTHOL 20S</t>
        </is>
      </c>
      <c r="U145" t="n">
        <v>0</v>
      </c>
    </row>
    <row r="146">
      <c r="A146" t="inlineStr">
        <is>
          <t>46276|37</t>
        </is>
      </c>
      <c r="B146" t="inlineStr">
        <is>
          <t>2026-09-11</t>
        </is>
      </c>
      <c r="C146" s="31" t="n">
        <v>46276</v>
      </c>
      <c r="D146" s="31" t="n"/>
      <c r="E146" t="inlineStr">
        <is>
          <t>Aktar</t>
        </is>
      </c>
      <c r="F146" t="inlineStr">
        <is>
          <t>Mevius Menthol White</t>
        </is>
      </c>
      <c r="G146" t="n">
        <v>1</v>
      </c>
      <c r="H146" t="n">
        <v>6</v>
      </c>
      <c r="I146" t="n">
        <v>-5</v>
      </c>
      <c r="N146" t="n">
        <v>-1</v>
      </c>
      <c r="O146" t="n">
        <v>37</v>
      </c>
      <c r="P146" t="inlineStr">
        <is>
          <t>100724</t>
        </is>
      </c>
      <c r="Q146" t="inlineStr">
        <is>
          <t>01239730</t>
        </is>
      </c>
      <c r="R146" t="inlineStr">
        <is>
          <t>SAFARI</t>
        </is>
      </c>
      <c r="S146" t="inlineStr"/>
      <c r="T146" t="inlineStr">
        <is>
          <t>MEVIUS MENTHOL WHITE 20S</t>
        </is>
      </c>
      <c r="U146" t="n">
        <v>0</v>
      </c>
    </row>
    <row r="147">
      <c r="A147" t="inlineStr">
        <is>
          <t>46276|38</t>
        </is>
      </c>
      <c r="B147" t="inlineStr">
        <is>
          <t>2026-09-11</t>
        </is>
      </c>
      <c r="C147" s="31" t="n">
        <v>46276</v>
      </c>
      <c r="D147" s="31" t="n"/>
      <c r="E147" t="inlineStr">
        <is>
          <t>Aktar</t>
        </is>
      </c>
      <c r="F147" t="inlineStr">
        <is>
          <t>Mevius Sky Blue</t>
        </is>
      </c>
      <c r="G147" t="n">
        <v>1</v>
      </c>
      <c r="H147" t="n">
        <v>5</v>
      </c>
      <c r="I147" t="n">
        <v>-4</v>
      </c>
      <c r="N147" t="n">
        <v>-1</v>
      </c>
      <c r="O147" t="n">
        <v>38</v>
      </c>
      <c r="P147" t="inlineStr">
        <is>
          <t>100734</t>
        </is>
      </c>
      <c r="Q147" t="inlineStr">
        <is>
          <t>490221200804</t>
        </is>
      </c>
      <c r="R147" t="inlineStr">
        <is>
          <t>SAFARI</t>
        </is>
      </c>
      <c r="S147" t="inlineStr"/>
      <c r="T147" t="inlineStr">
        <is>
          <t>MEVIUS SKY BLUE 20S</t>
        </is>
      </c>
      <c r="U147" t="n">
        <v>0</v>
      </c>
    </row>
    <row r="148">
      <c r="A148" t="inlineStr">
        <is>
          <t>46276|39</t>
        </is>
      </c>
      <c r="B148" t="inlineStr">
        <is>
          <t>2026-09-11</t>
        </is>
      </c>
      <c r="C148" s="31" t="n">
        <v>46276</v>
      </c>
      <c r="D148" s="31" t="n"/>
      <c r="E148" t="inlineStr">
        <is>
          <t>Aktar</t>
        </is>
      </c>
      <c r="F148" t="inlineStr">
        <is>
          <t>Mevius Wind Blue</t>
        </is>
      </c>
      <c r="G148" t="n">
        <v>1</v>
      </c>
      <c r="H148" t="n">
        <v>6</v>
      </c>
      <c r="I148" t="n">
        <v>-5</v>
      </c>
      <c r="N148" t="n">
        <v>-1</v>
      </c>
      <c r="O148" t="n">
        <v>39</v>
      </c>
      <c r="P148" t="inlineStr">
        <is>
          <t>100736</t>
        </is>
      </c>
      <c r="Q148" t="inlineStr">
        <is>
          <t>40329383</t>
        </is>
      </c>
      <c r="R148" t="inlineStr">
        <is>
          <t>SAFARI</t>
        </is>
      </c>
      <c r="S148" t="inlineStr"/>
      <c r="T148" t="inlineStr">
        <is>
          <t>MEVIUS WIND BLUE 20S</t>
        </is>
      </c>
      <c r="U148" t="n">
        <v>0</v>
      </c>
    </row>
    <row r="149">
      <c r="A149" t="inlineStr">
        <is>
          <t>46276|40</t>
        </is>
      </c>
      <c r="B149" t="inlineStr">
        <is>
          <t>2026-09-11</t>
        </is>
      </c>
      <c r="C149" s="31" t="n">
        <v>46276</v>
      </c>
      <c r="D149" s="31" t="n"/>
      <c r="E149" t="inlineStr">
        <is>
          <t>Aktar</t>
        </is>
      </c>
      <c r="F149" t="inlineStr">
        <is>
          <t>Mevius Yellow</t>
        </is>
      </c>
      <c r="G149" t="n">
        <v>1</v>
      </c>
      <c r="H149" t="n">
        <v>6</v>
      </c>
      <c r="I149" t="n">
        <v>-5</v>
      </c>
      <c r="N149" t="n">
        <v>-1</v>
      </c>
      <c r="O149" t="n">
        <v>40</v>
      </c>
      <c r="P149" t="inlineStr">
        <is>
          <t>107114</t>
        </is>
      </c>
      <c r="Q149" t="inlineStr">
        <is>
          <t>95510569</t>
        </is>
      </c>
      <c r="R149" t="inlineStr">
        <is>
          <t>SAFARI</t>
        </is>
      </c>
      <c r="S149" t="inlineStr"/>
      <c r="T149" t="inlineStr">
        <is>
          <t>MEVIUS LBS YELLOW</t>
        </is>
      </c>
      <c r="U149" t="n">
        <v>0</v>
      </c>
    </row>
    <row r="150">
      <c r="A150" t="inlineStr">
        <is>
          <t>46276|41</t>
        </is>
      </c>
      <c r="B150" t="inlineStr">
        <is>
          <t>2026-09-11</t>
        </is>
      </c>
      <c r="C150" s="31" t="n">
        <v>46276</v>
      </c>
      <c r="D150" s="31" t="n"/>
      <c r="E150" t="inlineStr">
        <is>
          <t>Aktar</t>
        </is>
      </c>
      <c r="F150" t="inlineStr">
        <is>
          <t>Peter Stuyvesant Blue</t>
        </is>
      </c>
      <c r="G150" t="n">
        <v>1</v>
      </c>
      <c r="H150" t="n">
        <v>17</v>
      </c>
      <c r="I150" t="n">
        <v>-16</v>
      </c>
      <c r="N150" t="n">
        <v>-1</v>
      </c>
      <c r="O150" t="n">
        <v>41</v>
      </c>
      <c r="P150" t="inlineStr">
        <is>
          <t>100127</t>
        </is>
      </c>
      <c r="Q150" t="inlineStr">
        <is>
          <t>9556109105722</t>
        </is>
      </c>
      <c r="R150" t="inlineStr">
        <is>
          <t>SAFARI</t>
        </is>
      </c>
      <c r="S150" t="inlineStr"/>
      <c r="T150" t="inlineStr">
        <is>
          <t>PETER STUYVESANT BLUE</t>
        </is>
      </c>
      <c r="U150" t="n">
        <v>0</v>
      </c>
    </row>
    <row r="151">
      <c r="A151" t="inlineStr">
        <is>
          <t>46276|42</t>
        </is>
      </c>
      <c r="B151" t="inlineStr">
        <is>
          <t>2026-09-11</t>
        </is>
      </c>
      <c r="C151" s="31" t="n">
        <v>46276</v>
      </c>
      <c r="D151" s="31" t="n"/>
      <c r="E151" t="inlineStr">
        <is>
          <t>Aktar</t>
        </is>
      </c>
      <c r="F151" t="inlineStr">
        <is>
          <t>Peter Stuyvesant Red</t>
        </is>
      </c>
      <c r="G151" t="n">
        <v>1</v>
      </c>
      <c r="H151" t="n">
        <v>36</v>
      </c>
      <c r="I151" t="n">
        <v>-35</v>
      </c>
      <c r="N151" t="n">
        <v>-1</v>
      </c>
      <c r="O151" t="n">
        <v>42</v>
      </c>
      <c r="P151" t="inlineStr">
        <is>
          <t>100128</t>
        </is>
      </c>
      <c r="Q151" t="inlineStr">
        <is>
          <t>9556109105715</t>
        </is>
      </c>
      <c r="R151" t="inlineStr">
        <is>
          <t>SAFARI</t>
        </is>
      </c>
      <c r="S151" t="inlineStr"/>
      <c r="T151" t="inlineStr">
        <is>
          <t>PETER STUYVESANT RED</t>
        </is>
      </c>
      <c r="U151" t="n">
        <v>0</v>
      </c>
    </row>
    <row r="152">
      <c r="A152" t="inlineStr">
        <is>
          <t>46276|43</t>
        </is>
      </c>
      <c r="B152" t="inlineStr">
        <is>
          <t>2026-09-11</t>
        </is>
      </c>
      <c r="C152" s="31" t="n">
        <v>46276</v>
      </c>
      <c r="D152" s="31" t="n"/>
      <c r="E152" t="inlineStr">
        <is>
          <t>Aktar</t>
        </is>
      </c>
      <c r="F152" t="inlineStr">
        <is>
          <t>Peter Stuyvesant Remix</t>
        </is>
      </c>
      <c r="G152" t="n">
        <v>1</v>
      </c>
      <c r="H152" t="n">
        <v>23</v>
      </c>
      <c r="I152" t="n">
        <v>-22</v>
      </c>
      <c r="N152" t="n">
        <v>-1</v>
      </c>
      <c r="O152" t="n">
        <v>43</v>
      </c>
      <c r="P152" t="inlineStr">
        <is>
          <t>100125</t>
        </is>
      </c>
      <c r="Q152" t="inlineStr">
        <is>
          <t>9556109106675</t>
        </is>
      </c>
      <c r="R152" t="inlineStr">
        <is>
          <t>SAFARI</t>
        </is>
      </c>
      <c r="S152" t="inlineStr"/>
      <c r="T152" t="inlineStr">
        <is>
          <t>PETER STUYVESANT REMIX 20S</t>
        </is>
      </c>
      <c r="U152" t="n">
        <v>0</v>
      </c>
    </row>
    <row r="153">
      <c r="A153" t="inlineStr">
        <is>
          <t>46276|44</t>
        </is>
      </c>
      <c r="B153" t="inlineStr">
        <is>
          <t>2026-09-11</t>
        </is>
      </c>
      <c r="C153" s="31" t="n">
        <v>46276</v>
      </c>
      <c r="D153" s="31" t="n"/>
      <c r="E153" t="inlineStr">
        <is>
          <t>Aktar</t>
        </is>
      </c>
      <c r="F153" t="inlineStr">
        <is>
          <t>Rothmans Blue</t>
        </is>
      </c>
      <c r="G153" t="n">
        <v>1</v>
      </c>
      <c r="H153" t="n">
        <v>13</v>
      </c>
      <c r="I153" t="n">
        <v>-12</v>
      </c>
      <c r="N153" t="n">
        <v>-1</v>
      </c>
      <c r="O153" t="n">
        <v>44</v>
      </c>
      <c r="P153" t="inlineStr">
        <is>
          <t>100156</t>
        </is>
      </c>
      <c r="Q153" t="inlineStr">
        <is>
          <t>9556109106712</t>
        </is>
      </c>
      <c r="R153" t="inlineStr">
        <is>
          <t>SAFARI</t>
        </is>
      </c>
      <c r="S153" t="inlineStr"/>
      <c r="T153" t="inlineStr">
        <is>
          <t>ROTHMANS BLUE</t>
        </is>
      </c>
      <c r="U153" t="n">
        <v>0</v>
      </c>
    </row>
    <row r="154">
      <c r="A154" t="inlineStr">
        <is>
          <t>46276|45</t>
        </is>
      </c>
      <c r="B154" t="inlineStr">
        <is>
          <t>2026-09-11</t>
        </is>
      </c>
      <c r="C154" s="31" t="n">
        <v>46276</v>
      </c>
      <c r="D154" s="31" t="n"/>
      <c r="E154" t="inlineStr">
        <is>
          <t>Aktar</t>
        </is>
      </c>
      <c r="F154" t="inlineStr">
        <is>
          <t>Rothmans Charcoal</t>
        </is>
      </c>
      <c r="G154" t="n">
        <v>1</v>
      </c>
      <c r="H154" t="n">
        <v>14</v>
      </c>
      <c r="I154" t="n">
        <v>-13</v>
      </c>
      <c r="N154" t="n">
        <v>-1</v>
      </c>
      <c r="O154" t="n">
        <v>45</v>
      </c>
      <c r="P154" t="inlineStr">
        <is>
          <t>104385</t>
        </is>
      </c>
      <c r="Q154" t="inlineStr">
        <is>
          <t>9556109108006</t>
        </is>
      </c>
      <c r="R154" t="inlineStr">
        <is>
          <t>SAFARI</t>
        </is>
      </c>
      <c r="S154" t="inlineStr"/>
      <c r="T154" t="inlineStr">
        <is>
          <t>ROTHMANS CHARCOAL</t>
        </is>
      </c>
      <c r="U154" t="n">
        <v>0</v>
      </c>
    </row>
    <row r="155">
      <c r="A155" t="inlineStr">
        <is>
          <t>46276|46</t>
        </is>
      </c>
      <c r="B155" t="inlineStr">
        <is>
          <t>2026-09-11</t>
        </is>
      </c>
      <c r="C155" s="31" t="n">
        <v>46276</v>
      </c>
      <c r="D155" s="31" t="n"/>
      <c r="E155" t="inlineStr">
        <is>
          <t>Aktar</t>
        </is>
      </c>
      <c r="F155" t="inlineStr">
        <is>
          <t>Rothmans Kool Hokkaido Mint</t>
        </is>
      </c>
      <c r="G155" t="n">
        <v>1</v>
      </c>
      <c r="H155" t="n">
        <v>9</v>
      </c>
      <c r="I155" t="n">
        <v>-8</v>
      </c>
      <c r="N155" t="n">
        <v>-1</v>
      </c>
      <c r="O155" t="n">
        <v>46</v>
      </c>
      <c r="P155" t="inlineStr">
        <is>
          <t>104555</t>
        </is>
      </c>
      <c r="Q155" t="inlineStr">
        <is>
          <t>9556109108358</t>
        </is>
      </c>
      <c r="R155" t="inlineStr">
        <is>
          <t>SAFARI</t>
        </is>
      </c>
      <c r="S155" t="inlineStr"/>
      <c r="T155" t="inlineStr">
        <is>
          <t>ROTHMANS BOOST</t>
        </is>
      </c>
      <c r="U155" t="n">
        <v>0</v>
      </c>
    </row>
    <row r="156">
      <c r="A156" t="inlineStr">
        <is>
          <t>46276|47</t>
        </is>
      </c>
      <c r="B156" t="inlineStr">
        <is>
          <t>2026-09-11</t>
        </is>
      </c>
      <c r="C156" s="31" t="n">
        <v>46276</v>
      </c>
      <c r="D156" s="31" t="n"/>
      <c r="E156" t="inlineStr">
        <is>
          <t>Aktar</t>
        </is>
      </c>
      <c r="F156" t="inlineStr">
        <is>
          <t>Rothmans Menthol</t>
        </is>
      </c>
      <c r="G156" t="n">
        <v>1</v>
      </c>
      <c r="H156" t="n">
        <v>11</v>
      </c>
      <c r="I156" t="n">
        <v>-10</v>
      </c>
      <c r="N156" t="n">
        <v>-1</v>
      </c>
      <c r="O156" t="n">
        <v>47</v>
      </c>
      <c r="P156" t="inlineStr">
        <is>
          <t>104429</t>
        </is>
      </c>
      <c r="Q156" t="inlineStr">
        <is>
          <t>9556109108334</t>
        </is>
      </c>
      <c r="R156" t="inlineStr">
        <is>
          <t>SAFARI</t>
        </is>
      </c>
      <c r="S156" t="inlineStr"/>
      <c r="T156" t="inlineStr">
        <is>
          <t>ROTHMANS GREEN</t>
        </is>
      </c>
      <c r="U156" t="n">
        <v>0</v>
      </c>
    </row>
    <row r="157">
      <c r="A157" t="inlineStr">
        <is>
          <t>46276|48</t>
        </is>
      </c>
      <c r="B157" t="inlineStr">
        <is>
          <t>2026-09-11</t>
        </is>
      </c>
      <c r="C157" s="31" t="n">
        <v>46276</v>
      </c>
      <c r="D157" s="31" t="n"/>
      <c r="E157" t="inlineStr">
        <is>
          <t>Aktar</t>
        </is>
      </c>
      <c r="F157" t="inlineStr">
        <is>
          <t>Rothmans Purple</t>
        </is>
      </c>
      <c r="G157" t="n">
        <v>1</v>
      </c>
      <c r="H157" t="n">
        <v>7</v>
      </c>
      <c r="I157" t="n">
        <v>-6</v>
      </c>
      <c r="N157" t="n">
        <v>-1</v>
      </c>
      <c r="O157" t="n">
        <v>48</v>
      </c>
      <c r="P157" t="inlineStr">
        <is>
          <t>103630</t>
        </is>
      </c>
      <c r="Q157" t="inlineStr">
        <is>
          <t>9556109108310</t>
        </is>
      </c>
      <c r="R157" t="inlineStr">
        <is>
          <t>SAFARI</t>
        </is>
      </c>
      <c r="S157" t="inlineStr"/>
      <c r="T157" t="inlineStr">
        <is>
          <t>ROTHMANS PURPLE</t>
        </is>
      </c>
      <c r="U157" t="n">
        <v>0</v>
      </c>
    </row>
    <row r="158">
      <c r="A158" t="inlineStr">
        <is>
          <t>46276|49</t>
        </is>
      </c>
      <c r="B158" t="inlineStr">
        <is>
          <t>2026-09-11</t>
        </is>
      </c>
      <c r="C158" s="31" t="n">
        <v>46276</v>
      </c>
      <c r="D158" s="31" t="n"/>
      <c r="E158" t="inlineStr">
        <is>
          <t>Aktar</t>
        </is>
      </c>
      <c r="F158" t="inlineStr">
        <is>
          <t>Rothmans Red</t>
        </is>
      </c>
      <c r="G158" t="n">
        <v>1</v>
      </c>
      <c r="H158" t="n">
        <v>15</v>
      </c>
      <c r="I158" t="n">
        <v>-14</v>
      </c>
      <c r="N158" t="n">
        <v>-1</v>
      </c>
      <c r="O158" t="n">
        <v>49</v>
      </c>
      <c r="P158" t="inlineStr">
        <is>
          <t>100155</t>
        </is>
      </c>
      <c r="Q158" t="inlineStr">
        <is>
          <t>9556109106330</t>
        </is>
      </c>
      <c r="R158" t="inlineStr">
        <is>
          <t>SAFARI</t>
        </is>
      </c>
      <c r="S158" t="inlineStr"/>
      <c r="T158" t="inlineStr">
        <is>
          <t>ROTHMANS RED</t>
        </is>
      </c>
      <c r="U158" t="n">
        <v>0</v>
      </c>
    </row>
    <row r="159">
      <c r="A159" t="inlineStr">
        <is>
          <t>46276|50</t>
        </is>
      </c>
      <c r="B159" t="inlineStr">
        <is>
          <t>2026-09-11</t>
        </is>
      </c>
      <c r="C159" s="31" t="n">
        <v>46276</v>
      </c>
      <c r="D159" s="31" t="n"/>
      <c r="E159" t="inlineStr">
        <is>
          <t>Aktar</t>
        </is>
      </c>
      <c r="F159" t="inlineStr">
        <is>
          <t>Sampoerna Menthol</t>
        </is>
      </c>
      <c r="G159" t="n">
        <v>1</v>
      </c>
      <c r="H159" t="n">
        <v>8</v>
      </c>
      <c r="I159" t="n">
        <v>-7</v>
      </c>
      <c r="N159" t="n">
        <v>-1</v>
      </c>
      <c r="O159" t="n">
        <v>50</v>
      </c>
      <c r="P159" t="inlineStr">
        <is>
          <t>100646</t>
        </is>
      </c>
      <c r="Q159" t="inlineStr">
        <is>
          <t>89990469</t>
        </is>
      </c>
      <c r="R159" t="inlineStr">
        <is>
          <t>SAFARI</t>
        </is>
      </c>
      <c r="S159" t="inlineStr"/>
      <c r="T159" t="inlineStr">
        <is>
          <t>SAMPOERNA A MENTHOL BOX PACK 20'S</t>
        </is>
      </c>
      <c r="U159" t="n">
        <v>0</v>
      </c>
    </row>
    <row r="160">
      <c r="A160" t="inlineStr">
        <is>
          <t>46276|51</t>
        </is>
      </c>
      <c r="B160" t="inlineStr">
        <is>
          <t>2026-09-11</t>
        </is>
      </c>
      <c r="C160" s="31" t="n">
        <v>46276</v>
      </c>
      <c r="D160" s="31" t="n"/>
      <c r="E160" t="inlineStr">
        <is>
          <t>Aktar</t>
        </is>
      </c>
      <c r="F160" t="inlineStr">
        <is>
          <t>Sampoerna Red</t>
        </is>
      </c>
      <c r="G160" t="n">
        <v>1</v>
      </c>
      <c r="H160" t="n">
        <v>8</v>
      </c>
      <c r="I160" t="n">
        <v>-7</v>
      </c>
      <c r="N160" t="n">
        <v>-1</v>
      </c>
      <c r="O160" t="n">
        <v>51</v>
      </c>
      <c r="P160" t="inlineStr">
        <is>
          <t>100648</t>
        </is>
      </c>
      <c r="Q160" t="inlineStr">
        <is>
          <t>89990568</t>
        </is>
      </c>
      <c r="R160" t="inlineStr">
        <is>
          <t>SAFARI</t>
        </is>
      </c>
      <c r="S160" t="inlineStr"/>
      <c r="T160" t="inlineStr">
        <is>
          <t>SAMPOERNA A RED BOX PACK 20'S</t>
        </is>
      </c>
      <c r="U160" t="n">
        <v>0</v>
      </c>
    </row>
    <row r="161">
      <c r="A161" t="inlineStr">
        <is>
          <t>46276|52</t>
        </is>
      </c>
      <c r="B161" t="inlineStr">
        <is>
          <t>2026-09-11</t>
        </is>
      </c>
      <c r="C161" s="31" t="n">
        <v>46276</v>
      </c>
      <c r="D161" s="31" t="n"/>
      <c r="E161" t="inlineStr">
        <is>
          <t>Aktar</t>
        </is>
      </c>
      <c r="F161" t="inlineStr">
        <is>
          <t>Winston Blue</t>
        </is>
      </c>
      <c r="G161" t="n">
        <v>1</v>
      </c>
      <c r="H161" t="n">
        <v>5</v>
      </c>
      <c r="I161" t="n">
        <v>-4</v>
      </c>
      <c r="N161" t="n">
        <v>-1</v>
      </c>
      <c r="O161" t="n">
        <v>52</v>
      </c>
      <c r="P161" t="inlineStr">
        <is>
          <t>100738</t>
        </is>
      </c>
      <c r="Q161" t="inlineStr">
        <is>
          <t>01231932</t>
        </is>
      </c>
      <c r="R161" t="inlineStr">
        <is>
          <t>SAFARI</t>
        </is>
      </c>
      <c r="S161" t="inlineStr"/>
      <c r="T161" t="inlineStr">
        <is>
          <t>WINSTON BLUE 20S</t>
        </is>
      </c>
      <c r="U161" t="n">
        <v>0</v>
      </c>
    </row>
    <row r="162">
      <c r="A162" t="inlineStr">
        <is>
          <t>46276|53</t>
        </is>
      </c>
      <c r="B162" t="inlineStr">
        <is>
          <t>2026-09-11</t>
        </is>
      </c>
      <c r="C162" s="31" t="n">
        <v>46276</v>
      </c>
      <c r="D162" s="31" t="n"/>
      <c r="E162" t="inlineStr">
        <is>
          <t>Aktar</t>
        </is>
      </c>
      <c r="F162" t="inlineStr">
        <is>
          <t>Winston Duo Berry</t>
        </is>
      </c>
      <c r="G162" t="n">
        <v>1</v>
      </c>
      <c r="H162" t="n">
        <v>5</v>
      </c>
      <c r="I162" t="n">
        <v>-4</v>
      </c>
      <c r="N162" t="n">
        <v>-1</v>
      </c>
      <c r="O162" t="n">
        <v>53</v>
      </c>
      <c r="P162" t="inlineStr">
        <is>
          <t>100750</t>
        </is>
      </c>
      <c r="Q162" t="inlineStr">
        <is>
          <t>403310034268</t>
        </is>
      </c>
      <c r="R162" t="inlineStr">
        <is>
          <t>SAFARI</t>
        </is>
      </c>
      <c r="S162" t="inlineStr"/>
      <c r="T162" t="inlineStr">
        <is>
          <t>WINSTON DUO BERRY 20S</t>
        </is>
      </c>
      <c r="U162" t="n">
        <v>0</v>
      </c>
    </row>
    <row r="163">
      <c r="A163" t="inlineStr">
        <is>
          <t>46276|54</t>
        </is>
      </c>
      <c r="B163" t="inlineStr">
        <is>
          <t>2026-09-11</t>
        </is>
      </c>
      <c r="C163" s="31" t="n">
        <v>46276</v>
      </c>
      <c r="D163" s="31" t="n"/>
      <c r="E163" t="inlineStr">
        <is>
          <t>Aktar</t>
        </is>
      </c>
      <c r="F163" t="inlineStr">
        <is>
          <t>Winston Red</t>
        </is>
      </c>
      <c r="G163" t="n">
        <v>1</v>
      </c>
      <c r="H163" t="n">
        <v>15</v>
      </c>
      <c r="I163" t="n">
        <v>-14</v>
      </c>
      <c r="N163" t="n">
        <v>-1</v>
      </c>
      <c r="O163" t="n">
        <v>54</v>
      </c>
      <c r="P163" t="inlineStr">
        <is>
          <t>100740</t>
        </is>
      </c>
      <c r="Q163" t="inlineStr">
        <is>
          <t>01231233</t>
        </is>
      </c>
      <c r="R163" t="inlineStr">
        <is>
          <t>SAFARI</t>
        </is>
      </c>
      <c r="S163" t="inlineStr"/>
      <c r="T163" t="inlineStr">
        <is>
          <t>WINSTON RED 20S</t>
        </is>
      </c>
      <c r="U163" t="n">
        <v>0</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2026-09-12T14:16:55Z</dcterms:created>
  <dcterms:modified xsi:type="dcterms:W3CDTF">2026-09-12T14:16:55Z</dcterms:modified>
</cp:coreProperties>
</file>