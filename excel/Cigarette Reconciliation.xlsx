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sheetId="1" state="visible" r:id="rId1"/>
    <sheet name="Trends" sheetId="2" state="visible" r:id="rId2"/>
    <sheet name="Lubes Daily" sheetId="3" state="visible" r:id="rId3"/>
    <sheet name="Lubes Trends" sheetId="4" state="visible" r:id="rId4"/>
    <sheet name="Iluma Daily" sheetId="5" state="visible" r:id="rId5"/>
    <sheet name="Iluma Trends" sheetId="6" state="visible" r:id="rId6"/>
    <sheet name="Notes" sheetId="7" state="visible" r:id="rId7"/>
    <sheet name="Setup" sheetId="8" state="visible" r:id="rId8"/>
    <sheet name="Calc" sheetId="9" state="hidden" r:id="rId9"/>
    <sheet name="Data" sheetId="10" state="hidden" r:id="rId10"/>
    <sheet name="LubesCalc" sheetId="11" state="hidden" r:id="rId11"/>
    <sheet name="LubesData" sheetId="12" state="hidden" r:id="rId12"/>
    <sheet name="IlumaCalc" sheetId="13" state="hidden" r:id="rId13"/>
    <sheet name="IlumaData" sheetId="14" state="hidden" r:id="rId14"/>
  </sheets>
  <definedNames>
    <definedName name="_xlnm.Print_Titles" localSheetId="0">'Daily'!$9:$9</definedName>
    <definedName name="_xlnm.Print_Area" localSheetId="0">'Daily'!$A$1:$J$79</definedName>
    <definedName name="_xlnm.Print_Titles" localSheetId="1">'Trends'!$4:$4</definedName>
    <definedName name="_xlnm.Print_Area" localSheetId="1">'Trends'!$A$1:$R$124</definedName>
    <definedName name="_xlnm.Print_Titles" localSheetId="2">'Lubes Daily'!$9:$9</definedName>
    <definedName name="_xlnm.Print_Area" localSheetId="2">'Lubes Daily'!$A$1:$J$79</definedName>
    <definedName name="_xlnm.Print_Titles" localSheetId="3">'Lubes Trends'!$4:$4</definedName>
    <definedName name="_xlnm.Print_Area" localSheetId="3">'Lubes Trends'!$A$1:$R$124</definedName>
    <definedName name="_xlnm.Print_Titles" localSheetId="4">'Iluma Daily'!$9:$9</definedName>
    <definedName name="_xlnm.Print_Area" localSheetId="4">'Iluma Daily'!$A$1:$J$79</definedName>
    <definedName name="_xlnm.Print_Titles" localSheetId="5">'Iluma Trends'!$4:$4</definedName>
    <definedName name="_xlnm.Print_Area" localSheetId="5">'Iluma Trends'!$A$1:$R$124</definedName>
  </definedNames>
  <calcPr calcId="124519" fullCalcOnLoad="1"/>
</workbook>
</file>

<file path=xl/styles.xml><?xml version="1.0" encoding="utf-8"?>
<styleSheet xmlns="http://schemas.openxmlformats.org/spreadsheetml/2006/main">
  <numFmts count="1">
    <numFmt numFmtId="164" formatCode="dd mmm yyyy"/>
  </numFmts>
  <fonts count="18">
    <font>
      <name val="Calibri"/>
      <family val="2"/>
      <color theme="1"/>
      <sz val="11"/>
      <scheme val="minor"/>
    </font>
    <font>
      <name val="Calibri"/>
      <b val="1"/>
      <color rgb="FF1F2A44"/>
      <sz val="16"/>
    </font>
    <font>
      <name val="Calibri"/>
      <color rgb="FF1F2A44"/>
      <sz val="10"/>
    </font>
    <font>
      <name val="Calibri"/>
      <b val="1"/>
      <color rgb="FF1F4E79"/>
      <sz val="12"/>
    </font>
    <font>
      <name val="Calibri"/>
      <b val="1"/>
      <sz val="10"/>
    </font>
    <font>
      <b val="1"/>
    </font>
    <font>
      <b val="1"/>
      <color rgb="FF8A94A6"/>
      <sz val="9"/>
    </font>
    <font>
      <name val="Calibri"/>
      <b val="1"/>
      <color rgb="FF1F2A44"/>
      <sz val="18"/>
    </font>
    <font>
      <name val="Calibri"/>
      <b val="1"/>
      <color rgb="FF8A94A6"/>
      <sz val="10"/>
    </font>
    <font>
      <name val="Calibri"/>
      <b val="1"/>
      <color rgb="FF8A94A6"/>
      <sz val="9"/>
    </font>
    <font>
      <name val="Calibri"/>
      <b val="1"/>
      <color rgb="FF1F2A44"/>
      <sz val="10"/>
    </font>
    <font>
      <name val="Calibri"/>
      <b val="1"/>
      <color rgb="FF1F4E79"/>
      <sz val="14"/>
    </font>
    <font>
      <name val="Calibri"/>
      <b val="1"/>
      <color rgb="FF1F2A44"/>
      <sz val="11"/>
    </font>
    <font>
      <name val="Calibri"/>
      <b val="1"/>
      <color rgb="FF1F2A44"/>
      <sz val="14"/>
    </font>
    <font>
      <name val="Calibri"/>
      <b val="1"/>
      <color rgb="FF9A6500"/>
      <sz val="10"/>
    </font>
    <font>
      <name val="Calibri"/>
      <b val="1"/>
      <color rgb="FFFFFFFF"/>
      <sz val="10"/>
    </font>
    <font>
      <name val="Consolas"/>
      <color rgb="FF8A94A6"/>
      <sz val="9"/>
    </font>
    <font>
      <name val="Calibri"/>
      <i val="1"/>
      <color rgb="FF8A94A6"/>
      <sz val="9"/>
    </font>
  </fonts>
  <fills count="6">
    <fill>
      <patternFill/>
    </fill>
    <fill>
      <patternFill patternType="gray125"/>
    </fill>
    <fill>
      <patternFill patternType="solid">
        <fgColor rgb="FFEAF1FB"/>
      </patternFill>
    </fill>
    <fill>
      <patternFill patternType="solid">
        <fgColor rgb="FFFEF5E7"/>
      </patternFill>
    </fill>
    <fill>
      <patternFill patternType="solid">
        <fgColor rgb="FF0F1B3D"/>
      </patternFill>
    </fill>
    <fill>
      <patternFill patternType="solid">
        <fgColor rgb="FFF4F6FA"/>
      </patternFill>
    </fill>
  </fills>
  <borders count="3">
    <border>
      <left/>
      <right/>
      <top/>
      <bottom/>
      <diagonal/>
    </border>
    <border>
      <bottom style="thin">
        <color rgb="FFD6DBE4"/>
      </bottom>
    </border>
    <border>
      <left style="thin">
        <color rgb="FFD6DBE4"/>
      </left>
      <right style="thin">
        <color rgb="FFD6DBE4"/>
      </right>
      <top style="thin">
        <color rgb="FFD6DBE4"/>
      </top>
      <bottom style="thin">
        <color rgb="FFD6DBE4"/>
      </bottom>
    </border>
  </borders>
  <cellStyleXfs count="1">
    <xf numFmtId="0" fontId="0" fillId="0" borderId="0"/>
  </cellStyleXfs>
  <cellXfs count="33">
    <xf numFmtId="0" fontId="0" fillId="0" borderId="0" pivotButton="0" quotePrefix="0" xfId="0"/>
    <xf numFmtId="0" fontId="7" fillId="0" borderId="0" pivotButton="0" quotePrefix="0" xfId="0"/>
    <xf numFmtId="0" fontId="8" fillId="0" borderId="0" applyAlignment="1" pivotButton="0" quotePrefix="0" xfId="0">
      <alignment horizontal="right"/>
    </xf>
    <xf numFmtId="0" fontId="9" fillId="0" borderId="0" applyAlignment="1" pivotButton="0" quotePrefix="0" xfId="0">
      <alignment horizontal="left" vertical="bottom"/>
    </xf>
    <xf numFmtId="0" fontId="10" fillId="0" borderId="0" applyAlignment="1" pivotButton="0" quotePrefix="0" xfId="0">
      <alignment horizontal="left" vertical="center"/>
    </xf>
    <xf numFmtId="164" fontId="11" fillId="2" borderId="2" applyAlignment="1" pivotButton="0" quotePrefix="0" xfId="0">
      <alignment horizontal="left" vertical="center"/>
    </xf>
    <xf numFmtId="164" fontId="12" fillId="0" borderId="0" applyAlignment="1" pivotButton="0" quotePrefix="0" xfId="0">
      <alignment horizontal="left" vertical="center"/>
    </xf>
    <xf numFmtId="0" fontId="12" fillId="0" borderId="0" applyAlignment="1" pivotButton="0" quotePrefix="0" xfId="0">
      <alignment horizontal="left" vertical="center"/>
    </xf>
    <xf numFmtId="3" fontId="12" fillId="0" borderId="0" applyAlignment="1" pivotButton="0" quotePrefix="0" xfId="0">
      <alignment horizontal="left" vertical="center"/>
    </xf>
    <xf numFmtId="3" fontId="13" fillId="0" borderId="0" applyAlignment="1" pivotButton="0" quotePrefix="0" xfId="0">
      <alignment horizontal="left" vertical="center"/>
    </xf>
    <xf numFmtId="4" fontId="13" fillId="0" borderId="0" applyAlignment="1" pivotButton="0" quotePrefix="0" xfId="0">
      <alignment horizontal="left" vertical="center"/>
    </xf>
    <xf numFmtId="0" fontId="14" fillId="3" borderId="0" applyAlignment="1" pivotButton="0" quotePrefix="0" xfId="0">
      <alignment horizontal="left" vertical="center" wrapText="1"/>
    </xf>
    <xf numFmtId="0" fontId="15" fillId="4" borderId="2" applyAlignment="1" pivotButton="0" quotePrefix="0" xfId="0">
      <alignment horizontal="left" vertical="center" wrapText="1"/>
    </xf>
    <xf numFmtId="0" fontId="15" fillId="4" borderId="2" applyAlignment="1" pivotButton="0" quotePrefix="0" xfId="0">
      <alignment horizontal="right" vertical="center" wrapText="1"/>
    </xf>
    <xf numFmtId="0" fontId="2" fillId="5" borderId="2" applyAlignment="1" pivotButton="0" quotePrefix="0" xfId="0">
      <alignment horizontal="left" vertical="center"/>
    </xf>
    <xf numFmtId="3" fontId="2" fillId="5" borderId="2" applyAlignment="1" pivotButton="0" quotePrefix="0" xfId="0">
      <alignment horizontal="right" vertical="center"/>
    </xf>
    <xf numFmtId="3" fontId="10" fillId="5" borderId="2" applyAlignment="1" pivotButton="0" quotePrefix="0" xfId="0">
      <alignment horizontal="right" vertical="center"/>
    </xf>
    <xf numFmtId="4" fontId="2" fillId="5" borderId="2" applyAlignment="1" pivotButton="0" quotePrefix="0" xfId="0">
      <alignment horizontal="right" vertical="center"/>
    </xf>
    <xf numFmtId="0" fontId="16" fillId="5" borderId="2" applyAlignment="1" pivotButton="0" quotePrefix="0" xfId="0">
      <alignment horizontal="left" vertical="center"/>
    </xf>
    <xf numFmtId="0" fontId="2" fillId="0" borderId="2" applyAlignment="1" pivotButton="0" quotePrefix="0" xfId="0">
      <alignment horizontal="left" vertical="center"/>
    </xf>
    <xf numFmtId="3" fontId="2" fillId="0" borderId="2" applyAlignment="1" pivotButton="0" quotePrefix="0" xfId="0">
      <alignment horizontal="right" vertical="center"/>
    </xf>
    <xf numFmtId="3" fontId="10" fillId="0" borderId="2" applyAlignment="1" pivotButton="0" quotePrefix="0" xfId="0">
      <alignment horizontal="right" vertical="center"/>
    </xf>
    <xf numFmtId="4" fontId="2" fillId="0" borderId="2" applyAlignment="1" pivotButton="0" quotePrefix="0" xfId="0">
      <alignment horizontal="right" vertical="center"/>
    </xf>
    <xf numFmtId="0" fontId="16" fillId="0" borderId="2" applyAlignment="1" pivotButton="0" quotePrefix="0" xfId="0">
      <alignment horizontal="left" vertical="center"/>
    </xf>
    <xf numFmtId="0" fontId="1" fillId="0" borderId="0" pivotButton="0" quotePrefix="0" xfId="0"/>
    <xf numFmtId="0" fontId="17" fillId="0" borderId="0" pivotButton="0" quotePrefix="0" xfId="0"/>
    <xf numFmtId="0" fontId="15" fillId="4" borderId="2" applyAlignment="1" pivotButton="0" quotePrefix="0" xfId="0">
      <alignment horizontal="center" vertical="center" wrapText="1"/>
    </xf>
    <xf numFmtId="0" fontId="2" fillId="0" borderId="0" applyAlignment="1" pivotButton="0" quotePrefix="0" xfId="0">
      <alignment vertical="top" wrapText="1"/>
    </xf>
    <xf numFmtId="0" fontId="3" fillId="0" borderId="1" pivotButton="0" quotePrefix="0" xfId="0"/>
    <xf numFmtId="0" fontId="5" fillId="0" borderId="0" pivotButton="0" quotePrefix="0" xfId="0"/>
    <xf numFmtId="0" fontId="6" fillId="0" borderId="0" pivotButton="0" quotePrefix="0" xfId="0"/>
    <xf numFmtId="164" fontId="0" fillId="0" borderId="0" pivotButton="0" quotePrefix="0" xfId="0"/>
    <xf numFmtId="0" fontId="4" fillId="0" borderId="0" pivotButton="0" quotePrefix="0" xfId="0"/>
  </cellXfs>
  <cellStyles count="1">
    <cellStyle name="Normal" xfId="0" builtinId="0" hidden="0"/>
  </cellStyles>
  <dxfs count="4">
    <dxf>
      <font>
        <name val="Calibri"/>
        <color rgb="FF8A94A6"/>
        <sz val="10"/>
      </font>
    </dxf>
    <dxf>
      <font>
        <name val="Calibri"/>
        <b val="1"/>
        <color rgb="FF7B241C"/>
        <sz val="10"/>
      </font>
      <fill>
        <patternFill patternType="solid">
          <fgColor rgb="FFF5B7B1"/>
          <bgColor rgb="FFF5B7B1"/>
        </patternFill>
      </fill>
    </dxf>
    <dxf>
      <font>
        <name val="Calibri"/>
        <b val="1"/>
        <color rgb="FF96281B"/>
        <sz val="10"/>
      </font>
      <fill>
        <patternFill patternType="solid">
          <fgColor rgb="FFFDEDEC"/>
          <bgColor rgb="FFFDEDEC"/>
        </patternFill>
      </fill>
    </dxf>
    <dxf>
      <font>
        <name val="Calibri"/>
        <b val="1"/>
        <color rgb="FFC0392B"/>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79"/>
  <sheetViews>
    <sheetView workbookViewId="0">
      <pane ySplit="9" topLeftCell="A10" activePane="bottomLeft" state="frozen"/>
      <selection pane="bottomLeft" activeCell="A1" sqref="A1"/>
    </sheetView>
  </sheetViews>
  <sheetFormatPr baseColWidth="8" defaultRowHeight="15"/>
  <cols>
    <col width="30" customWidth="1" min="1" max="1"/>
    <col width="11" customWidth="1" min="2" max="2"/>
    <col width="10" customWidth="1" min="3" max="3"/>
    <col width="11" customWidth="1" min="4" max="4"/>
    <col width="15" customWidth="1" min="5" max="5"/>
    <col width="13" customWidth="1" min="6" max="6"/>
    <col width="11" customWidth="1" min="7" max="7"/>
    <col width="13" customWidth="1" min="8" max="8"/>
    <col width="10" customWidth="1" min="9" max="9"/>
    <col width="15" customWidth="1" min="10" max="10"/>
    <col hidden="1" width="13" customWidth="1" min="12" max="12"/>
  </cols>
  <sheetData>
    <row r="1">
      <c r="A1" s="1" t="inlineStr">
        <is>
          <t>Cigarette reconciliation</t>
        </is>
      </c>
      <c r="F1" s="2">
        <f>IF(COUNT(Data!$U:$U)=0,"No rows yet — no submitted cigarettes count, or the Counts query is not attached",IF(COUNTIFS(Data!$R$2:$R$1048576,"&lt;&gt;",Data!$R$2:$R$1048576,"&lt;&gt;CIGARETTES")&gt;0,"WRONG QUERY: this sheet has rows that are not CIGARETTES — reattach Counts","Safari · "&amp;COUNT(Calc!$B$3:$B$62)&amp;" days loaded, latest "&amp;TEXT(MAX(Data!$B:$B),"dd mmm yyyy")))</f>
        <v/>
      </c>
      <c r="L1">
        <f>IFERROR(MATCH($B$3,Calc!$B$3:$B$62,0),"")</f>
        <v/>
      </c>
    </row>
    <row r="2">
      <c r="A2" s="3" t="inlineStr">
        <is>
          <t>TRADING DAY (CLOSING)</t>
        </is>
      </c>
      <c r="D2" s="3" t="inlineStr">
        <is>
          <t>OPENING FROM</t>
        </is>
      </c>
      <c r="F2" s="3" t="inlineStr">
        <is>
          <t>COUNTED BY</t>
        </is>
      </c>
      <c r="H2" s="3" t="inlineStr">
        <is>
          <t>PRODUCTS</t>
        </is>
      </c>
    </row>
    <row r="3">
      <c r="A3" s="4" t="inlineStr">
        <is>
          <t>Show:</t>
        </is>
      </c>
      <c r="B3" s="5">
        <f>IFERROR(INDEX(Data!$B:$B,MATCH(1,Data!$U:$U,0)),"")</f>
        <v/>
      </c>
      <c r="D3" s="6">
        <f>IF($L$1="","—",IF(INDEX(Calc!$D$3:$D$62,$L$1)="","—",INDEX(Calc!$D$3:$D$62,$L$1)))</f>
        <v/>
      </c>
      <c r="F3" s="7">
        <f>IF($L$1="","—",IF(INDEX(Calc!$C$3:$C$62,$L$1)="","—",INDEX(Calc!$C$3:$C$62,$L$1)))</f>
        <v/>
      </c>
      <c r="H3" s="8">
        <f>IF($L$1="","—",IF(INDEX(Calc!$E$3:$E$62,$L$1)="","—",INDEX(Calc!$E$3:$E$62,$L$1)))</f>
        <v/>
      </c>
    </row>
    <row r="5">
      <c r="A5" s="3" t="inlineStr">
        <is>
          <t>PRODUCTS WITH VARIANCE</t>
        </is>
      </c>
      <c r="D5" s="3" t="inlineStr">
        <is>
          <t>TOTAL VARIANCE (PACKS)</t>
        </is>
      </c>
      <c r="F5" s="3" t="inlineStr">
        <is>
          <t>TOTAL VARIANCE (RM)</t>
        </is>
      </c>
      <c r="H5" s="3" t="inlineStr">
        <is>
          <t>POS SALES</t>
        </is>
      </c>
    </row>
    <row r="6">
      <c r="A6" s="9">
        <f>IF($L$1="","—",IF(INDEX(Calc!$H$3:$H$62,$L$1)="","—",INDEX(Calc!$H$3:$H$62,$L$1)))</f>
        <v/>
      </c>
      <c r="D6" s="9">
        <f>IF($L$1="","—",IF(INDEX(Calc!$I$3:$I$62,$L$1)="","—",INDEX(Calc!$I$3:$I$62,$L$1)))</f>
        <v/>
      </c>
      <c r="F6" s="10">
        <f>IF($L$1="","—",IF(INDEX(Calc!$K$3:$K$62,$L$1)="","—",INDEX(Calc!$K$3:$K$62,$L$1)))</f>
        <v/>
      </c>
      <c r="H6" s="7">
        <f>IF($L$1="","—",IF(INDEX(Calc!$M$3:$M$62,$L$1)="","—",INDEX(Calc!$M$3:$M$62,$L$1)))</f>
        <v/>
      </c>
    </row>
    <row r="7" ht="32" customHeight="1">
      <c r="A7" s="11">
        <f>IF(COUNT(Data!$U:$U)=0,"Nothing to show yet. Either no cigarettes count has been submitted, or the Counts query is not attached — see the Setup sheet.",IF($L$1="","—",IF(INDEX(Calc!$O$3:$O$62,$L$1)="","—",INDEX(Calc!$O$3:$O$62,$L$1))))</f>
        <v/>
      </c>
    </row>
    <row r="9" ht="28" customHeight="1">
      <c r="A9" s="12" t="inlineStr">
        <is>
          <t>Product</t>
        </is>
      </c>
      <c r="B9" s="13" t="inlineStr">
        <is>
          <t>Opening</t>
        </is>
      </c>
      <c r="C9" s="13" t="inlineStr">
        <is>
          <t>Added</t>
        </is>
      </c>
      <c r="D9" s="13" t="inlineStr">
        <is>
          <t>Closing</t>
        </is>
      </c>
      <c r="E9" s="13" t="inlineStr">
        <is>
          <t>Sold (counted)</t>
        </is>
      </c>
      <c r="F9" s="13" t="inlineStr">
        <is>
          <t>Sold (POS)</t>
        </is>
      </c>
      <c r="G9" s="13" t="inlineStr">
        <is>
          <t>Variance</t>
        </is>
      </c>
      <c r="H9" s="13" t="inlineStr">
        <is>
          <t>Variance RM</t>
        </is>
      </c>
      <c r="I9" s="12" t="inlineStr">
        <is>
          <t>Item ID</t>
        </is>
      </c>
      <c r="J9" s="12" t="inlineStr">
        <is>
          <t>PLU</t>
        </is>
      </c>
    </row>
    <row r="10">
      <c r="A10" s="14">
        <f>IF(AND(ISNUMBER($L10),$L10&lt;&gt;""),INDEX(Data!$G:$G,$L10),"")</f>
        <v/>
      </c>
      <c r="B10" s="15">
        <f>IF(AND(ISNUMBER($L10),$L10&lt;&gt;""),IF(INDEX(Data!$I:$I,$L10)="","—",INDEX(Data!$I:$I,$L10)),"")</f>
        <v/>
      </c>
      <c r="C10" s="15">
        <f>IF(AND(ISNUMBER($L10),$L10&lt;&gt;""),INDEX(Data!$J:$J,$L10),"")</f>
        <v/>
      </c>
      <c r="D10" s="15">
        <f>IF(AND(ISNUMBER($L10),$L10&lt;&gt;""),INDEX(Data!$K:$K,$L10),"")</f>
        <v/>
      </c>
      <c r="E10" s="15">
        <f>IF(AND(ISNUMBER($L10),$L10&lt;&gt;""),IF(INDEX(Data!$L:$L,$L10)="","—",INDEX(Data!$L:$L,$L10)),"")</f>
        <v/>
      </c>
      <c r="F10" s="15">
        <f>IF(AND(ISNUMBER($L10),$L10&lt;&gt;""),IF(INDEX(Data!$M:$M,$L10)="","—",INDEX(Data!$M:$M,$L10)),"")</f>
        <v/>
      </c>
      <c r="G10" s="16">
        <f>IF(AND(ISNUMBER($L10),$L10&lt;&gt;""),IF(INDEX(Data!$N:$N,$L10)="","—",INDEX(Data!$N:$N,$L10)),"")</f>
        <v/>
      </c>
      <c r="H10" s="17">
        <f>IF(AND(ISNUMBER($L10),$L10&lt;&gt;""),IF(INDEX(Data!$Q:$Q,$L10)="","—",INDEX(Data!$Q:$Q,$L10)),"")</f>
        <v/>
      </c>
      <c r="I10" s="18">
        <f>IF(AND(ISNUMBER($L10),$L10&lt;&gt;""),INDEX(Data!$E:$E,$L10),"")</f>
        <v/>
      </c>
      <c r="J10" s="18">
        <f>IF(AND(ISNUMBER($L10),$L10&lt;&gt;""),INDEX(Data!$F:$F,$L10),"")</f>
        <v/>
      </c>
      <c r="L10">
        <f>IFERROR(MATCH((YEAR($B$3)*10000+MONTH($B$3)*100+DAY($B$3))*1000+1,Data!$W:$W,0),"")</f>
        <v/>
      </c>
    </row>
    <row r="11">
      <c r="A11" s="19">
        <f>IF(AND(ISNUMBER($L11),$L11&lt;&gt;""),INDEX(Data!$G:$G,$L11),"")</f>
        <v/>
      </c>
      <c r="B11" s="20">
        <f>IF(AND(ISNUMBER($L11),$L11&lt;&gt;""),IF(INDEX(Data!$I:$I,$L11)="","—",INDEX(Data!$I:$I,$L11)),"")</f>
        <v/>
      </c>
      <c r="C11" s="20">
        <f>IF(AND(ISNUMBER($L11),$L11&lt;&gt;""),INDEX(Data!$J:$J,$L11),"")</f>
        <v/>
      </c>
      <c r="D11" s="20">
        <f>IF(AND(ISNUMBER($L11),$L11&lt;&gt;""),INDEX(Data!$K:$K,$L11),"")</f>
        <v/>
      </c>
      <c r="E11" s="20">
        <f>IF(AND(ISNUMBER($L11),$L11&lt;&gt;""),IF(INDEX(Data!$L:$L,$L11)="","—",INDEX(Data!$L:$L,$L11)),"")</f>
        <v/>
      </c>
      <c r="F11" s="20">
        <f>IF(AND(ISNUMBER($L11),$L11&lt;&gt;""),IF(INDEX(Data!$M:$M,$L11)="","—",INDEX(Data!$M:$M,$L11)),"")</f>
        <v/>
      </c>
      <c r="G11" s="21">
        <f>IF(AND(ISNUMBER($L11),$L11&lt;&gt;""),IF(INDEX(Data!$N:$N,$L11)="","—",INDEX(Data!$N:$N,$L11)),"")</f>
        <v/>
      </c>
      <c r="H11" s="22">
        <f>IF(AND(ISNUMBER($L11),$L11&lt;&gt;""),IF(INDEX(Data!$Q:$Q,$L11)="","—",INDEX(Data!$Q:$Q,$L11)),"")</f>
        <v/>
      </c>
      <c r="I11" s="23">
        <f>IF(AND(ISNUMBER($L11),$L11&lt;&gt;""),INDEX(Data!$E:$E,$L11),"")</f>
        <v/>
      </c>
      <c r="J11" s="23">
        <f>IF(AND(ISNUMBER($L11),$L11&lt;&gt;""),INDEX(Data!$F:$F,$L11),"")</f>
        <v/>
      </c>
      <c r="L11">
        <f>IFERROR(MATCH((YEAR($B$3)*10000+MONTH($B$3)*100+DAY($B$3))*1000+2,Data!$W:$W,0),"")</f>
        <v/>
      </c>
    </row>
    <row r="12">
      <c r="A12" s="14">
        <f>IF(AND(ISNUMBER($L12),$L12&lt;&gt;""),INDEX(Data!$G:$G,$L12),"")</f>
        <v/>
      </c>
      <c r="B12" s="15">
        <f>IF(AND(ISNUMBER($L12),$L12&lt;&gt;""),IF(INDEX(Data!$I:$I,$L12)="","—",INDEX(Data!$I:$I,$L12)),"")</f>
        <v/>
      </c>
      <c r="C12" s="15">
        <f>IF(AND(ISNUMBER($L12),$L12&lt;&gt;""),INDEX(Data!$J:$J,$L12),"")</f>
        <v/>
      </c>
      <c r="D12" s="15">
        <f>IF(AND(ISNUMBER($L12),$L12&lt;&gt;""),INDEX(Data!$K:$K,$L12),"")</f>
        <v/>
      </c>
      <c r="E12" s="15">
        <f>IF(AND(ISNUMBER($L12),$L12&lt;&gt;""),IF(INDEX(Data!$L:$L,$L12)="","—",INDEX(Data!$L:$L,$L12)),"")</f>
        <v/>
      </c>
      <c r="F12" s="15">
        <f>IF(AND(ISNUMBER($L12),$L12&lt;&gt;""),IF(INDEX(Data!$M:$M,$L12)="","—",INDEX(Data!$M:$M,$L12)),"")</f>
        <v/>
      </c>
      <c r="G12" s="16">
        <f>IF(AND(ISNUMBER($L12),$L12&lt;&gt;""),IF(INDEX(Data!$N:$N,$L12)="","—",INDEX(Data!$N:$N,$L12)),"")</f>
        <v/>
      </c>
      <c r="H12" s="17">
        <f>IF(AND(ISNUMBER($L12),$L12&lt;&gt;""),IF(INDEX(Data!$Q:$Q,$L12)="","—",INDEX(Data!$Q:$Q,$L12)),"")</f>
        <v/>
      </c>
      <c r="I12" s="18">
        <f>IF(AND(ISNUMBER($L12),$L12&lt;&gt;""),INDEX(Data!$E:$E,$L12),"")</f>
        <v/>
      </c>
      <c r="J12" s="18">
        <f>IF(AND(ISNUMBER($L12),$L12&lt;&gt;""),INDEX(Data!$F:$F,$L12),"")</f>
        <v/>
      </c>
      <c r="L12">
        <f>IFERROR(MATCH((YEAR($B$3)*10000+MONTH($B$3)*100+DAY($B$3))*1000+3,Data!$W:$W,0),"")</f>
        <v/>
      </c>
    </row>
    <row r="13">
      <c r="A13" s="19">
        <f>IF(AND(ISNUMBER($L13),$L13&lt;&gt;""),INDEX(Data!$G:$G,$L13),"")</f>
        <v/>
      </c>
      <c r="B13" s="20">
        <f>IF(AND(ISNUMBER($L13),$L13&lt;&gt;""),IF(INDEX(Data!$I:$I,$L13)="","—",INDEX(Data!$I:$I,$L13)),"")</f>
        <v/>
      </c>
      <c r="C13" s="20">
        <f>IF(AND(ISNUMBER($L13),$L13&lt;&gt;""),INDEX(Data!$J:$J,$L13),"")</f>
        <v/>
      </c>
      <c r="D13" s="20">
        <f>IF(AND(ISNUMBER($L13),$L13&lt;&gt;""),INDEX(Data!$K:$K,$L13),"")</f>
        <v/>
      </c>
      <c r="E13" s="20">
        <f>IF(AND(ISNUMBER($L13),$L13&lt;&gt;""),IF(INDEX(Data!$L:$L,$L13)="","—",INDEX(Data!$L:$L,$L13)),"")</f>
        <v/>
      </c>
      <c r="F13" s="20">
        <f>IF(AND(ISNUMBER($L13),$L13&lt;&gt;""),IF(INDEX(Data!$M:$M,$L13)="","—",INDEX(Data!$M:$M,$L13)),"")</f>
        <v/>
      </c>
      <c r="G13" s="21">
        <f>IF(AND(ISNUMBER($L13),$L13&lt;&gt;""),IF(INDEX(Data!$N:$N,$L13)="","—",INDEX(Data!$N:$N,$L13)),"")</f>
        <v/>
      </c>
      <c r="H13" s="22">
        <f>IF(AND(ISNUMBER($L13),$L13&lt;&gt;""),IF(INDEX(Data!$Q:$Q,$L13)="","—",INDEX(Data!$Q:$Q,$L13)),"")</f>
        <v/>
      </c>
      <c r="I13" s="23">
        <f>IF(AND(ISNUMBER($L13),$L13&lt;&gt;""),INDEX(Data!$E:$E,$L13),"")</f>
        <v/>
      </c>
      <c r="J13" s="23">
        <f>IF(AND(ISNUMBER($L13),$L13&lt;&gt;""),INDEX(Data!$F:$F,$L13),"")</f>
        <v/>
      </c>
      <c r="L13">
        <f>IFERROR(MATCH((YEAR($B$3)*10000+MONTH($B$3)*100+DAY($B$3))*1000+4,Data!$W:$W,0),"")</f>
        <v/>
      </c>
    </row>
    <row r="14">
      <c r="A14" s="14">
        <f>IF(AND(ISNUMBER($L14),$L14&lt;&gt;""),INDEX(Data!$G:$G,$L14),"")</f>
        <v/>
      </c>
      <c r="B14" s="15">
        <f>IF(AND(ISNUMBER($L14),$L14&lt;&gt;""),IF(INDEX(Data!$I:$I,$L14)="","—",INDEX(Data!$I:$I,$L14)),"")</f>
        <v/>
      </c>
      <c r="C14" s="15">
        <f>IF(AND(ISNUMBER($L14),$L14&lt;&gt;""),INDEX(Data!$J:$J,$L14),"")</f>
        <v/>
      </c>
      <c r="D14" s="15">
        <f>IF(AND(ISNUMBER($L14),$L14&lt;&gt;""),INDEX(Data!$K:$K,$L14),"")</f>
        <v/>
      </c>
      <c r="E14" s="15">
        <f>IF(AND(ISNUMBER($L14),$L14&lt;&gt;""),IF(INDEX(Data!$L:$L,$L14)="","—",INDEX(Data!$L:$L,$L14)),"")</f>
        <v/>
      </c>
      <c r="F14" s="15">
        <f>IF(AND(ISNUMBER($L14),$L14&lt;&gt;""),IF(INDEX(Data!$M:$M,$L14)="","—",INDEX(Data!$M:$M,$L14)),"")</f>
        <v/>
      </c>
      <c r="G14" s="16">
        <f>IF(AND(ISNUMBER($L14),$L14&lt;&gt;""),IF(INDEX(Data!$N:$N,$L14)="","—",INDEX(Data!$N:$N,$L14)),"")</f>
        <v/>
      </c>
      <c r="H14" s="17">
        <f>IF(AND(ISNUMBER($L14),$L14&lt;&gt;""),IF(INDEX(Data!$Q:$Q,$L14)="","—",INDEX(Data!$Q:$Q,$L14)),"")</f>
        <v/>
      </c>
      <c r="I14" s="18">
        <f>IF(AND(ISNUMBER($L14),$L14&lt;&gt;""),INDEX(Data!$E:$E,$L14),"")</f>
        <v/>
      </c>
      <c r="J14" s="18">
        <f>IF(AND(ISNUMBER($L14),$L14&lt;&gt;""),INDEX(Data!$F:$F,$L14),"")</f>
        <v/>
      </c>
      <c r="L14">
        <f>IFERROR(MATCH((YEAR($B$3)*10000+MONTH($B$3)*100+DAY($B$3))*1000+5,Data!$W:$W,0),"")</f>
        <v/>
      </c>
    </row>
    <row r="15">
      <c r="A15" s="19">
        <f>IF(AND(ISNUMBER($L15),$L15&lt;&gt;""),INDEX(Data!$G:$G,$L15),"")</f>
        <v/>
      </c>
      <c r="B15" s="20">
        <f>IF(AND(ISNUMBER($L15),$L15&lt;&gt;""),IF(INDEX(Data!$I:$I,$L15)="","—",INDEX(Data!$I:$I,$L15)),"")</f>
        <v/>
      </c>
      <c r="C15" s="20">
        <f>IF(AND(ISNUMBER($L15),$L15&lt;&gt;""),INDEX(Data!$J:$J,$L15),"")</f>
        <v/>
      </c>
      <c r="D15" s="20">
        <f>IF(AND(ISNUMBER($L15),$L15&lt;&gt;""),INDEX(Data!$K:$K,$L15),"")</f>
        <v/>
      </c>
      <c r="E15" s="20">
        <f>IF(AND(ISNUMBER($L15),$L15&lt;&gt;""),IF(INDEX(Data!$L:$L,$L15)="","—",INDEX(Data!$L:$L,$L15)),"")</f>
        <v/>
      </c>
      <c r="F15" s="20">
        <f>IF(AND(ISNUMBER($L15),$L15&lt;&gt;""),IF(INDEX(Data!$M:$M,$L15)="","—",INDEX(Data!$M:$M,$L15)),"")</f>
        <v/>
      </c>
      <c r="G15" s="21">
        <f>IF(AND(ISNUMBER($L15),$L15&lt;&gt;""),IF(INDEX(Data!$N:$N,$L15)="","—",INDEX(Data!$N:$N,$L15)),"")</f>
        <v/>
      </c>
      <c r="H15" s="22">
        <f>IF(AND(ISNUMBER($L15),$L15&lt;&gt;""),IF(INDEX(Data!$Q:$Q,$L15)="","—",INDEX(Data!$Q:$Q,$L15)),"")</f>
        <v/>
      </c>
      <c r="I15" s="23">
        <f>IF(AND(ISNUMBER($L15),$L15&lt;&gt;""),INDEX(Data!$E:$E,$L15),"")</f>
        <v/>
      </c>
      <c r="J15" s="23">
        <f>IF(AND(ISNUMBER($L15),$L15&lt;&gt;""),INDEX(Data!$F:$F,$L15),"")</f>
        <v/>
      </c>
      <c r="L15">
        <f>IFERROR(MATCH((YEAR($B$3)*10000+MONTH($B$3)*100+DAY($B$3))*1000+6,Data!$W:$W,0),"")</f>
        <v/>
      </c>
    </row>
    <row r="16">
      <c r="A16" s="14">
        <f>IF(AND(ISNUMBER($L16),$L16&lt;&gt;""),INDEX(Data!$G:$G,$L16),"")</f>
        <v/>
      </c>
      <c r="B16" s="15">
        <f>IF(AND(ISNUMBER($L16),$L16&lt;&gt;""),IF(INDEX(Data!$I:$I,$L16)="","—",INDEX(Data!$I:$I,$L16)),"")</f>
        <v/>
      </c>
      <c r="C16" s="15">
        <f>IF(AND(ISNUMBER($L16),$L16&lt;&gt;""),INDEX(Data!$J:$J,$L16),"")</f>
        <v/>
      </c>
      <c r="D16" s="15">
        <f>IF(AND(ISNUMBER($L16),$L16&lt;&gt;""),INDEX(Data!$K:$K,$L16),"")</f>
        <v/>
      </c>
      <c r="E16" s="15">
        <f>IF(AND(ISNUMBER($L16),$L16&lt;&gt;""),IF(INDEX(Data!$L:$L,$L16)="","—",INDEX(Data!$L:$L,$L16)),"")</f>
        <v/>
      </c>
      <c r="F16" s="15">
        <f>IF(AND(ISNUMBER($L16),$L16&lt;&gt;""),IF(INDEX(Data!$M:$M,$L16)="","—",INDEX(Data!$M:$M,$L16)),"")</f>
        <v/>
      </c>
      <c r="G16" s="16">
        <f>IF(AND(ISNUMBER($L16),$L16&lt;&gt;""),IF(INDEX(Data!$N:$N,$L16)="","—",INDEX(Data!$N:$N,$L16)),"")</f>
        <v/>
      </c>
      <c r="H16" s="17">
        <f>IF(AND(ISNUMBER($L16),$L16&lt;&gt;""),IF(INDEX(Data!$Q:$Q,$L16)="","—",INDEX(Data!$Q:$Q,$L16)),"")</f>
        <v/>
      </c>
      <c r="I16" s="18">
        <f>IF(AND(ISNUMBER($L16),$L16&lt;&gt;""),INDEX(Data!$E:$E,$L16),"")</f>
        <v/>
      </c>
      <c r="J16" s="18">
        <f>IF(AND(ISNUMBER($L16),$L16&lt;&gt;""),INDEX(Data!$F:$F,$L16),"")</f>
        <v/>
      </c>
      <c r="L16">
        <f>IFERROR(MATCH((YEAR($B$3)*10000+MONTH($B$3)*100+DAY($B$3))*1000+7,Data!$W:$W,0),"")</f>
        <v/>
      </c>
    </row>
    <row r="17">
      <c r="A17" s="19">
        <f>IF(AND(ISNUMBER($L17),$L17&lt;&gt;""),INDEX(Data!$G:$G,$L17),"")</f>
        <v/>
      </c>
      <c r="B17" s="20">
        <f>IF(AND(ISNUMBER($L17),$L17&lt;&gt;""),IF(INDEX(Data!$I:$I,$L17)="","—",INDEX(Data!$I:$I,$L17)),"")</f>
        <v/>
      </c>
      <c r="C17" s="20">
        <f>IF(AND(ISNUMBER($L17),$L17&lt;&gt;""),INDEX(Data!$J:$J,$L17),"")</f>
        <v/>
      </c>
      <c r="D17" s="20">
        <f>IF(AND(ISNUMBER($L17),$L17&lt;&gt;""),INDEX(Data!$K:$K,$L17),"")</f>
        <v/>
      </c>
      <c r="E17" s="20">
        <f>IF(AND(ISNUMBER($L17),$L17&lt;&gt;""),IF(INDEX(Data!$L:$L,$L17)="","—",INDEX(Data!$L:$L,$L17)),"")</f>
        <v/>
      </c>
      <c r="F17" s="20">
        <f>IF(AND(ISNUMBER($L17),$L17&lt;&gt;""),IF(INDEX(Data!$M:$M,$L17)="","—",INDEX(Data!$M:$M,$L17)),"")</f>
        <v/>
      </c>
      <c r="G17" s="21">
        <f>IF(AND(ISNUMBER($L17),$L17&lt;&gt;""),IF(INDEX(Data!$N:$N,$L17)="","—",INDEX(Data!$N:$N,$L17)),"")</f>
        <v/>
      </c>
      <c r="H17" s="22">
        <f>IF(AND(ISNUMBER($L17),$L17&lt;&gt;""),IF(INDEX(Data!$Q:$Q,$L17)="","—",INDEX(Data!$Q:$Q,$L17)),"")</f>
        <v/>
      </c>
      <c r="I17" s="23">
        <f>IF(AND(ISNUMBER($L17),$L17&lt;&gt;""),INDEX(Data!$E:$E,$L17),"")</f>
        <v/>
      </c>
      <c r="J17" s="23">
        <f>IF(AND(ISNUMBER($L17),$L17&lt;&gt;""),INDEX(Data!$F:$F,$L17),"")</f>
        <v/>
      </c>
      <c r="L17">
        <f>IFERROR(MATCH((YEAR($B$3)*10000+MONTH($B$3)*100+DAY($B$3))*1000+8,Data!$W:$W,0),"")</f>
        <v/>
      </c>
    </row>
    <row r="18">
      <c r="A18" s="14">
        <f>IF(AND(ISNUMBER($L18),$L18&lt;&gt;""),INDEX(Data!$G:$G,$L18),"")</f>
        <v/>
      </c>
      <c r="B18" s="15">
        <f>IF(AND(ISNUMBER($L18),$L18&lt;&gt;""),IF(INDEX(Data!$I:$I,$L18)="","—",INDEX(Data!$I:$I,$L18)),"")</f>
        <v/>
      </c>
      <c r="C18" s="15">
        <f>IF(AND(ISNUMBER($L18),$L18&lt;&gt;""),INDEX(Data!$J:$J,$L18),"")</f>
        <v/>
      </c>
      <c r="D18" s="15">
        <f>IF(AND(ISNUMBER($L18),$L18&lt;&gt;""),INDEX(Data!$K:$K,$L18),"")</f>
        <v/>
      </c>
      <c r="E18" s="15">
        <f>IF(AND(ISNUMBER($L18),$L18&lt;&gt;""),IF(INDEX(Data!$L:$L,$L18)="","—",INDEX(Data!$L:$L,$L18)),"")</f>
        <v/>
      </c>
      <c r="F18" s="15">
        <f>IF(AND(ISNUMBER($L18),$L18&lt;&gt;""),IF(INDEX(Data!$M:$M,$L18)="","—",INDEX(Data!$M:$M,$L18)),"")</f>
        <v/>
      </c>
      <c r="G18" s="16">
        <f>IF(AND(ISNUMBER($L18),$L18&lt;&gt;""),IF(INDEX(Data!$N:$N,$L18)="","—",INDEX(Data!$N:$N,$L18)),"")</f>
        <v/>
      </c>
      <c r="H18" s="17">
        <f>IF(AND(ISNUMBER($L18),$L18&lt;&gt;""),IF(INDEX(Data!$Q:$Q,$L18)="","—",INDEX(Data!$Q:$Q,$L18)),"")</f>
        <v/>
      </c>
      <c r="I18" s="18">
        <f>IF(AND(ISNUMBER($L18),$L18&lt;&gt;""),INDEX(Data!$E:$E,$L18),"")</f>
        <v/>
      </c>
      <c r="J18" s="18">
        <f>IF(AND(ISNUMBER($L18),$L18&lt;&gt;""),INDEX(Data!$F:$F,$L18),"")</f>
        <v/>
      </c>
      <c r="L18">
        <f>IFERROR(MATCH((YEAR($B$3)*10000+MONTH($B$3)*100+DAY($B$3))*1000+9,Data!$W:$W,0),"")</f>
        <v/>
      </c>
    </row>
    <row r="19">
      <c r="A19" s="19">
        <f>IF(AND(ISNUMBER($L19),$L19&lt;&gt;""),INDEX(Data!$G:$G,$L19),"")</f>
        <v/>
      </c>
      <c r="B19" s="20">
        <f>IF(AND(ISNUMBER($L19),$L19&lt;&gt;""),IF(INDEX(Data!$I:$I,$L19)="","—",INDEX(Data!$I:$I,$L19)),"")</f>
        <v/>
      </c>
      <c r="C19" s="20">
        <f>IF(AND(ISNUMBER($L19),$L19&lt;&gt;""),INDEX(Data!$J:$J,$L19),"")</f>
        <v/>
      </c>
      <c r="D19" s="20">
        <f>IF(AND(ISNUMBER($L19),$L19&lt;&gt;""),INDEX(Data!$K:$K,$L19),"")</f>
        <v/>
      </c>
      <c r="E19" s="20">
        <f>IF(AND(ISNUMBER($L19),$L19&lt;&gt;""),IF(INDEX(Data!$L:$L,$L19)="","—",INDEX(Data!$L:$L,$L19)),"")</f>
        <v/>
      </c>
      <c r="F19" s="20">
        <f>IF(AND(ISNUMBER($L19),$L19&lt;&gt;""),IF(INDEX(Data!$M:$M,$L19)="","—",INDEX(Data!$M:$M,$L19)),"")</f>
        <v/>
      </c>
      <c r="G19" s="21">
        <f>IF(AND(ISNUMBER($L19),$L19&lt;&gt;""),IF(INDEX(Data!$N:$N,$L19)="","—",INDEX(Data!$N:$N,$L19)),"")</f>
        <v/>
      </c>
      <c r="H19" s="22">
        <f>IF(AND(ISNUMBER($L19),$L19&lt;&gt;""),IF(INDEX(Data!$Q:$Q,$L19)="","—",INDEX(Data!$Q:$Q,$L19)),"")</f>
        <v/>
      </c>
      <c r="I19" s="23">
        <f>IF(AND(ISNUMBER($L19),$L19&lt;&gt;""),INDEX(Data!$E:$E,$L19),"")</f>
        <v/>
      </c>
      <c r="J19" s="23">
        <f>IF(AND(ISNUMBER($L19),$L19&lt;&gt;""),INDEX(Data!$F:$F,$L19),"")</f>
        <v/>
      </c>
      <c r="L19">
        <f>IFERROR(MATCH((YEAR($B$3)*10000+MONTH($B$3)*100+DAY($B$3))*1000+10,Data!$W:$W,0),"")</f>
        <v/>
      </c>
    </row>
    <row r="20">
      <c r="A20" s="14">
        <f>IF(AND(ISNUMBER($L20),$L20&lt;&gt;""),INDEX(Data!$G:$G,$L20),"")</f>
        <v/>
      </c>
      <c r="B20" s="15">
        <f>IF(AND(ISNUMBER($L20),$L20&lt;&gt;""),IF(INDEX(Data!$I:$I,$L20)="","—",INDEX(Data!$I:$I,$L20)),"")</f>
        <v/>
      </c>
      <c r="C20" s="15">
        <f>IF(AND(ISNUMBER($L20),$L20&lt;&gt;""),INDEX(Data!$J:$J,$L20),"")</f>
        <v/>
      </c>
      <c r="D20" s="15">
        <f>IF(AND(ISNUMBER($L20),$L20&lt;&gt;""),INDEX(Data!$K:$K,$L20),"")</f>
        <v/>
      </c>
      <c r="E20" s="15">
        <f>IF(AND(ISNUMBER($L20),$L20&lt;&gt;""),IF(INDEX(Data!$L:$L,$L20)="","—",INDEX(Data!$L:$L,$L20)),"")</f>
        <v/>
      </c>
      <c r="F20" s="15">
        <f>IF(AND(ISNUMBER($L20),$L20&lt;&gt;""),IF(INDEX(Data!$M:$M,$L20)="","—",INDEX(Data!$M:$M,$L20)),"")</f>
        <v/>
      </c>
      <c r="G20" s="16">
        <f>IF(AND(ISNUMBER($L20),$L20&lt;&gt;""),IF(INDEX(Data!$N:$N,$L20)="","—",INDEX(Data!$N:$N,$L20)),"")</f>
        <v/>
      </c>
      <c r="H20" s="17">
        <f>IF(AND(ISNUMBER($L20),$L20&lt;&gt;""),IF(INDEX(Data!$Q:$Q,$L20)="","—",INDEX(Data!$Q:$Q,$L20)),"")</f>
        <v/>
      </c>
      <c r="I20" s="18">
        <f>IF(AND(ISNUMBER($L20),$L20&lt;&gt;""),INDEX(Data!$E:$E,$L20),"")</f>
        <v/>
      </c>
      <c r="J20" s="18">
        <f>IF(AND(ISNUMBER($L20),$L20&lt;&gt;""),INDEX(Data!$F:$F,$L20),"")</f>
        <v/>
      </c>
      <c r="L20">
        <f>IFERROR(MATCH((YEAR($B$3)*10000+MONTH($B$3)*100+DAY($B$3))*1000+11,Data!$W:$W,0),"")</f>
        <v/>
      </c>
    </row>
    <row r="21">
      <c r="A21" s="19">
        <f>IF(AND(ISNUMBER($L21),$L21&lt;&gt;""),INDEX(Data!$G:$G,$L21),"")</f>
        <v/>
      </c>
      <c r="B21" s="20">
        <f>IF(AND(ISNUMBER($L21),$L21&lt;&gt;""),IF(INDEX(Data!$I:$I,$L21)="","—",INDEX(Data!$I:$I,$L21)),"")</f>
        <v/>
      </c>
      <c r="C21" s="20">
        <f>IF(AND(ISNUMBER($L21),$L21&lt;&gt;""),INDEX(Data!$J:$J,$L21),"")</f>
        <v/>
      </c>
      <c r="D21" s="20">
        <f>IF(AND(ISNUMBER($L21),$L21&lt;&gt;""),INDEX(Data!$K:$K,$L21),"")</f>
        <v/>
      </c>
      <c r="E21" s="20">
        <f>IF(AND(ISNUMBER($L21),$L21&lt;&gt;""),IF(INDEX(Data!$L:$L,$L21)="","—",INDEX(Data!$L:$L,$L21)),"")</f>
        <v/>
      </c>
      <c r="F21" s="20">
        <f>IF(AND(ISNUMBER($L21),$L21&lt;&gt;""),IF(INDEX(Data!$M:$M,$L21)="","—",INDEX(Data!$M:$M,$L21)),"")</f>
        <v/>
      </c>
      <c r="G21" s="21">
        <f>IF(AND(ISNUMBER($L21),$L21&lt;&gt;""),IF(INDEX(Data!$N:$N,$L21)="","—",INDEX(Data!$N:$N,$L21)),"")</f>
        <v/>
      </c>
      <c r="H21" s="22">
        <f>IF(AND(ISNUMBER($L21),$L21&lt;&gt;""),IF(INDEX(Data!$Q:$Q,$L21)="","—",INDEX(Data!$Q:$Q,$L21)),"")</f>
        <v/>
      </c>
      <c r="I21" s="23">
        <f>IF(AND(ISNUMBER($L21),$L21&lt;&gt;""),INDEX(Data!$E:$E,$L21),"")</f>
        <v/>
      </c>
      <c r="J21" s="23">
        <f>IF(AND(ISNUMBER($L21),$L21&lt;&gt;""),INDEX(Data!$F:$F,$L21),"")</f>
        <v/>
      </c>
      <c r="L21">
        <f>IFERROR(MATCH((YEAR($B$3)*10000+MONTH($B$3)*100+DAY($B$3))*1000+12,Data!$W:$W,0),"")</f>
        <v/>
      </c>
    </row>
    <row r="22">
      <c r="A22" s="14">
        <f>IF(AND(ISNUMBER($L22),$L22&lt;&gt;""),INDEX(Data!$G:$G,$L22),"")</f>
        <v/>
      </c>
      <c r="B22" s="15">
        <f>IF(AND(ISNUMBER($L22),$L22&lt;&gt;""),IF(INDEX(Data!$I:$I,$L22)="","—",INDEX(Data!$I:$I,$L22)),"")</f>
        <v/>
      </c>
      <c r="C22" s="15">
        <f>IF(AND(ISNUMBER($L22),$L22&lt;&gt;""),INDEX(Data!$J:$J,$L22),"")</f>
        <v/>
      </c>
      <c r="D22" s="15">
        <f>IF(AND(ISNUMBER($L22),$L22&lt;&gt;""),INDEX(Data!$K:$K,$L22),"")</f>
        <v/>
      </c>
      <c r="E22" s="15">
        <f>IF(AND(ISNUMBER($L22),$L22&lt;&gt;""),IF(INDEX(Data!$L:$L,$L22)="","—",INDEX(Data!$L:$L,$L22)),"")</f>
        <v/>
      </c>
      <c r="F22" s="15">
        <f>IF(AND(ISNUMBER($L22),$L22&lt;&gt;""),IF(INDEX(Data!$M:$M,$L22)="","—",INDEX(Data!$M:$M,$L22)),"")</f>
        <v/>
      </c>
      <c r="G22" s="16">
        <f>IF(AND(ISNUMBER($L22),$L22&lt;&gt;""),IF(INDEX(Data!$N:$N,$L22)="","—",INDEX(Data!$N:$N,$L22)),"")</f>
        <v/>
      </c>
      <c r="H22" s="17">
        <f>IF(AND(ISNUMBER($L22),$L22&lt;&gt;""),IF(INDEX(Data!$Q:$Q,$L22)="","—",INDEX(Data!$Q:$Q,$L22)),"")</f>
        <v/>
      </c>
      <c r="I22" s="18">
        <f>IF(AND(ISNUMBER($L22),$L22&lt;&gt;""),INDEX(Data!$E:$E,$L22),"")</f>
        <v/>
      </c>
      <c r="J22" s="18">
        <f>IF(AND(ISNUMBER($L22),$L22&lt;&gt;""),INDEX(Data!$F:$F,$L22),"")</f>
        <v/>
      </c>
      <c r="L22">
        <f>IFERROR(MATCH((YEAR($B$3)*10000+MONTH($B$3)*100+DAY($B$3))*1000+13,Data!$W:$W,0),"")</f>
        <v/>
      </c>
    </row>
    <row r="23">
      <c r="A23" s="19">
        <f>IF(AND(ISNUMBER($L23),$L23&lt;&gt;""),INDEX(Data!$G:$G,$L23),"")</f>
        <v/>
      </c>
      <c r="B23" s="20">
        <f>IF(AND(ISNUMBER($L23),$L23&lt;&gt;""),IF(INDEX(Data!$I:$I,$L23)="","—",INDEX(Data!$I:$I,$L23)),"")</f>
        <v/>
      </c>
      <c r="C23" s="20">
        <f>IF(AND(ISNUMBER($L23),$L23&lt;&gt;""),INDEX(Data!$J:$J,$L23),"")</f>
        <v/>
      </c>
      <c r="D23" s="20">
        <f>IF(AND(ISNUMBER($L23),$L23&lt;&gt;""),INDEX(Data!$K:$K,$L23),"")</f>
        <v/>
      </c>
      <c r="E23" s="20">
        <f>IF(AND(ISNUMBER($L23),$L23&lt;&gt;""),IF(INDEX(Data!$L:$L,$L23)="","—",INDEX(Data!$L:$L,$L23)),"")</f>
        <v/>
      </c>
      <c r="F23" s="20">
        <f>IF(AND(ISNUMBER($L23),$L23&lt;&gt;""),IF(INDEX(Data!$M:$M,$L23)="","—",INDEX(Data!$M:$M,$L23)),"")</f>
        <v/>
      </c>
      <c r="G23" s="21">
        <f>IF(AND(ISNUMBER($L23),$L23&lt;&gt;""),IF(INDEX(Data!$N:$N,$L23)="","—",INDEX(Data!$N:$N,$L23)),"")</f>
        <v/>
      </c>
      <c r="H23" s="22">
        <f>IF(AND(ISNUMBER($L23),$L23&lt;&gt;""),IF(INDEX(Data!$Q:$Q,$L23)="","—",INDEX(Data!$Q:$Q,$L23)),"")</f>
        <v/>
      </c>
      <c r="I23" s="23">
        <f>IF(AND(ISNUMBER($L23),$L23&lt;&gt;""),INDEX(Data!$E:$E,$L23),"")</f>
        <v/>
      </c>
      <c r="J23" s="23">
        <f>IF(AND(ISNUMBER($L23),$L23&lt;&gt;""),INDEX(Data!$F:$F,$L23),"")</f>
        <v/>
      </c>
      <c r="L23">
        <f>IFERROR(MATCH((YEAR($B$3)*10000+MONTH($B$3)*100+DAY($B$3))*1000+14,Data!$W:$W,0),"")</f>
        <v/>
      </c>
    </row>
    <row r="24">
      <c r="A24" s="14">
        <f>IF(AND(ISNUMBER($L24),$L24&lt;&gt;""),INDEX(Data!$G:$G,$L24),"")</f>
        <v/>
      </c>
      <c r="B24" s="15">
        <f>IF(AND(ISNUMBER($L24),$L24&lt;&gt;""),IF(INDEX(Data!$I:$I,$L24)="","—",INDEX(Data!$I:$I,$L24)),"")</f>
        <v/>
      </c>
      <c r="C24" s="15">
        <f>IF(AND(ISNUMBER($L24),$L24&lt;&gt;""),INDEX(Data!$J:$J,$L24),"")</f>
        <v/>
      </c>
      <c r="D24" s="15">
        <f>IF(AND(ISNUMBER($L24),$L24&lt;&gt;""),INDEX(Data!$K:$K,$L24),"")</f>
        <v/>
      </c>
      <c r="E24" s="15">
        <f>IF(AND(ISNUMBER($L24),$L24&lt;&gt;""),IF(INDEX(Data!$L:$L,$L24)="","—",INDEX(Data!$L:$L,$L24)),"")</f>
        <v/>
      </c>
      <c r="F24" s="15">
        <f>IF(AND(ISNUMBER($L24),$L24&lt;&gt;""),IF(INDEX(Data!$M:$M,$L24)="","—",INDEX(Data!$M:$M,$L24)),"")</f>
        <v/>
      </c>
      <c r="G24" s="16">
        <f>IF(AND(ISNUMBER($L24),$L24&lt;&gt;""),IF(INDEX(Data!$N:$N,$L24)="","—",INDEX(Data!$N:$N,$L24)),"")</f>
        <v/>
      </c>
      <c r="H24" s="17">
        <f>IF(AND(ISNUMBER($L24),$L24&lt;&gt;""),IF(INDEX(Data!$Q:$Q,$L24)="","—",INDEX(Data!$Q:$Q,$L24)),"")</f>
        <v/>
      </c>
      <c r="I24" s="18">
        <f>IF(AND(ISNUMBER($L24),$L24&lt;&gt;""),INDEX(Data!$E:$E,$L24),"")</f>
        <v/>
      </c>
      <c r="J24" s="18">
        <f>IF(AND(ISNUMBER($L24),$L24&lt;&gt;""),INDEX(Data!$F:$F,$L24),"")</f>
        <v/>
      </c>
      <c r="L24">
        <f>IFERROR(MATCH((YEAR($B$3)*10000+MONTH($B$3)*100+DAY($B$3))*1000+15,Data!$W:$W,0),"")</f>
        <v/>
      </c>
    </row>
    <row r="25">
      <c r="A25" s="19">
        <f>IF(AND(ISNUMBER($L25),$L25&lt;&gt;""),INDEX(Data!$G:$G,$L25),"")</f>
        <v/>
      </c>
      <c r="B25" s="20">
        <f>IF(AND(ISNUMBER($L25),$L25&lt;&gt;""),IF(INDEX(Data!$I:$I,$L25)="","—",INDEX(Data!$I:$I,$L25)),"")</f>
        <v/>
      </c>
      <c r="C25" s="20">
        <f>IF(AND(ISNUMBER($L25),$L25&lt;&gt;""),INDEX(Data!$J:$J,$L25),"")</f>
        <v/>
      </c>
      <c r="D25" s="20">
        <f>IF(AND(ISNUMBER($L25),$L25&lt;&gt;""),INDEX(Data!$K:$K,$L25),"")</f>
        <v/>
      </c>
      <c r="E25" s="20">
        <f>IF(AND(ISNUMBER($L25),$L25&lt;&gt;""),IF(INDEX(Data!$L:$L,$L25)="","—",INDEX(Data!$L:$L,$L25)),"")</f>
        <v/>
      </c>
      <c r="F25" s="20">
        <f>IF(AND(ISNUMBER($L25),$L25&lt;&gt;""),IF(INDEX(Data!$M:$M,$L25)="","—",INDEX(Data!$M:$M,$L25)),"")</f>
        <v/>
      </c>
      <c r="G25" s="21">
        <f>IF(AND(ISNUMBER($L25),$L25&lt;&gt;""),IF(INDEX(Data!$N:$N,$L25)="","—",INDEX(Data!$N:$N,$L25)),"")</f>
        <v/>
      </c>
      <c r="H25" s="22">
        <f>IF(AND(ISNUMBER($L25),$L25&lt;&gt;""),IF(INDEX(Data!$Q:$Q,$L25)="","—",INDEX(Data!$Q:$Q,$L25)),"")</f>
        <v/>
      </c>
      <c r="I25" s="23">
        <f>IF(AND(ISNUMBER($L25),$L25&lt;&gt;""),INDEX(Data!$E:$E,$L25),"")</f>
        <v/>
      </c>
      <c r="J25" s="23">
        <f>IF(AND(ISNUMBER($L25),$L25&lt;&gt;""),INDEX(Data!$F:$F,$L25),"")</f>
        <v/>
      </c>
      <c r="L25">
        <f>IFERROR(MATCH((YEAR($B$3)*10000+MONTH($B$3)*100+DAY($B$3))*1000+16,Data!$W:$W,0),"")</f>
        <v/>
      </c>
    </row>
    <row r="26">
      <c r="A26" s="14">
        <f>IF(AND(ISNUMBER($L26),$L26&lt;&gt;""),INDEX(Data!$G:$G,$L26),"")</f>
        <v/>
      </c>
      <c r="B26" s="15">
        <f>IF(AND(ISNUMBER($L26),$L26&lt;&gt;""),IF(INDEX(Data!$I:$I,$L26)="","—",INDEX(Data!$I:$I,$L26)),"")</f>
        <v/>
      </c>
      <c r="C26" s="15">
        <f>IF(AND(ISNUMBER($L26),$L26&lt;&gt;""),INDEX(Data!$J:$J,$L26),"")</f>
        <v/>
      </c>
      <c r="D26" s="15">
        <f>IF(AND(ISNUMBER($L26),$L26&lt;&gt;""),INDEX(Data!$K:$K,$L26),"")</f>
        <v/>
      </c>
      <c r="E26" s="15">
        <f>IF(AND(ISNUMBER($L26),$L26&lt;&gt;""),IF(INDEX(Data!$L:$L,$L26)="","—",INDEX(Data!$L:$L,$L26)),"")</f>
        <v/>
      </c>
      <c r="F26" s="15">
        <f>IF(AND(ISNUMBER($L26),$L26&lt;&gt;""),IF(INDEX(Data!$M:$M,$L26)="","—",INDEX(Data!$M:$M,$L26)),"")</f>
        <v/>
      </c>
      <c r="G26" s="16">
        <f>IF(AND(ISNUMBER($L26),$L26&lt;&gt;""),IF(INDEX(Data!$N:$N,$L26)="","—",INDEX(Data!$N:$N,$L26)),"")</f>
        <v/>
      </c>
      <c r="H26" s="17">
        <f>IF(AND(ISNUMBER($L26),$L26&lt;&gt;""),IF(INDEX(Data!$Q:$Q,$L26)="","—",INDEX(Data!$Q:$Q,$L26)),"")</f>
        <v/>
      </c>
      <c r="I26" s="18">
        <f>IF(AND(ISNUMBER($L26),$L26&lt;&gt;""),INDEX(Data!$E:$E,$L26),"")</f>
        <v/>
      </c>
      <c r="J26" s="18">
        <f>IF(AND(ISNUMBER($L26),$L26&lt;&gt;""),INDEX(Data!$F:$F,$L26),"")</f>
        <v/>
      </c>
      <c r="L26">
        <f>IFERROR(MATCH((YEAR($B$3)*10000+MONTH($B$3)*100+DAY($B$3))*1000+17,Data!$W:$W,0),"")</f>
        <v/>
      </c>
    </row>
    <row r="27">
      <c r="A27" s="19">
        <f>IF(AND(ISNUMBER($L27),$L27&lt;&gt;""),INDEX(Data!$G:$G,$L27),"")</f>
        <v/>
      </c>
      <c r="B27" s="20">
        <f>IF(AND(ISNUMBER($L27),$L27&lt;&gt;""),IF(INDEX(Data!$I:$I,$L27)="","—",INDEX(Data!$I:$I,$L27)),"")</f>
        <v/>
      </c>
      <c r="C27" s="20">
        <f>IF(AND(ISNUMBER($L27),$L27&lt;&gt;""),INDEX(Data!$J:$J,$L27),"")</f>
        <v/>
      </c>
      <c r="D27" s="20">
        <f>IF(AND(ISNUMBER($L27),$L27&lt;&gt;""),INDEX(Data!$K:$K,$L27),"")</f>
        <v/>
      </c>
      <c r="E27" s="20">
        <f>IF(AND(ISNUMBER($L27),$L27&lt;&gt;""),IF(INDEX(Data!$L:$L,$L27)="","—",INDEX(Data!$L:$L,$L27)),"")</f>
        <v/>
      </c>
      <c r="F27" s="20">
        <f>IF(AND(ISNUMBER($L27),$L27&lt;&gt;""),IF(INDEX(Data!$M:$M,$L27)="","—",INDEX(Data!$M:$M,$L27)),"")</f>
        <v/>
      </c>
      <c r="G27" s="21">
        <f>IF(AND(ISNUMBER($L27),$L27&lt;&gt;""),IF(INDEX(Data!$N:$N,$L27)="","—",INDEX(Data!$N:$N,$L27)),"")</f>
        <v/>
      </c>
      <c r="H27" s="22">
        <f>IF(AND(ISNUMBER($L27),$L27&lt;&gt;""),IF(INDEX(Data!$Q:$Q,$L27)="","—",INDEX(Data!$Q:$Q,$L27)),"")</f>
        <v/>
      </c>
      <c r="I27" s="23">
        <f>IF(AND(ISNUMBER($L27),$L27&lt;&gt;""),INDEX(Data!$E:$E,$L27),"")</f>
        <v/>
      </c>
      <c r="J27" s="23">
        <f>IF(AND(ISNUMBER($L27),$L27&lt;&gt;""),INDEX(Data!$F:$F,$L27),"")</f>
        <v/>
      </c>
      <c r="L27">
        <f>IFERROR(MATCH((YEAR($B$3)*10000+MONTH($B$3)*100+DAY($B$3))*1000+18,Data!$W:$W,0),"")</f>
        <v/>
      </c>
    </row>
    <row r="28">
      <c r="A28" s="14">
        <f>IF(AND(ISNUMBER($L28),$L28&lt;&gt;""),INDEX(Data!$G:$G,$L28),"")</f>
        <v/>
      </c>
      <c r="B28" s="15">
        <f>IF(AND(ISNUMBER($L28),$L28&lt;&gt;""),IF(INDEX(Data!$I:$I,$L28)="","—",INDEX(Data!$I:$I,$L28)),"")</f>
        <v/>
      </c>
      <c r="C28" s="15">
        <f>IF(AND(ISNUMBER($L28),$L28&lt;&gt;""),INDEX(Data!$J:$J,$L28),"")</f>
        <v/>
      </c>
      <c r="D28" s="15">
        <f>IF(AND(ISNUMBER($L28),$L28&lt;&gt;""),INDEX(Data!$K:$K,$L28),"")</f>
        <v/>
      </c>
      <c r="E28" s="15">
        <f>IF(AND(ISNUMBER($L28),$L28&lt;&gt;""),IF(INDEX(Data!$L:$L,$L28)="","—",INDEX(Data!$L:$L,$L28)),"")</f>
        <v/>
      </c>
      <c r="F28" s="15">
        <f>IF(AND(ISNUMBER($L28),$L28&lt;&gt;""),IF(INDEX(Data!$M:$M,$L28)="","—",INDEX(Data!$M:$M,$L28)),"")</f>
        <v/>
      </c>
      <c r="G28" s="16">
        <f>IF(AND(ISNUMBER($L28),$L28&lt;&gt;""),IF(INDEX(Data!$N:$N,$L28)="","—",INDEX(Data!$N:$N,$L28)),"")</f>
        <v/>
      </c>
      <c r="H28" s="17">
        <f>IF(AND(ISNUMBER($L28),$L28&lt;&gt;""),IF(INDEX(Data!$Q:$Q,$L28)="","—",INDEX(Data!$Q:$Q,$L28)),"")</f>
        <v/>
      </c>
      <c r="I28" s="18">
        <f>IF(AND(ISNUMBER($L28),$L28&lt;&gt;""),INDEX(Data!$E:$E,$L28),"")</f>
        <v/>
      </c>
      <c r="J28" s="18">
        <f>IF(AND(ISNUMBER($L28),$L28&lt;&gt;""),INDEX(Data!$F:$F,$L28),"")</f>
        <v/>
      </c>
      <c r="L28">
        <f>IFERROR(MATCH((YEAR($B$3)*10000+MONTH($B$3)*100+DAY($B$3))*1000+19,Data!$W:$W,0),"")</f>
        <v/>
      </c>
    </row>
    <row r="29">
      <c r="A29" s="19">
        <f>IF(AND(ISNUMBER($L29),$L29&lt;&gt;""),INDEX(Data!$G:$G,$L29),"")</f>
        <v/>
      </c>
      <c r="B29" s="20">
        <f>IF(AND(ISNUMBER($L29),$L29&lt;&gt;""),IF(INDEX(Data!$I:$I,$L29)="","—",INDEX(Data!$I:$I,$L29)),"")</f>
        <v/>
      </c>
      <c r="C29" s="20">
        <f>IF(AND(ISNUMBER($L29),$L29&lt;&gt;""),INDEX(Data!$J:$J,$L29),"")</f>
        <v/>
      </c>
      <c r="D29" s="20">
        <f>IF(AND(ISNUMBER($L29),$L29&lt;&gt;""),INDEX(Data!$K:$K,$L29),"")</f>
        <v/>
      </c>
      <c r="E29" s="20">
        <f>IF(AND(ISNUMBER($L29),$L29&lt;&gt;""),IF(INDEX(Data!$L:$L,$L29)="","—",INDEX(Data!$L:$L,$L29)),"")</f>
        <v/>
      </c>
      <c r="F29" s="20">
        <f>IF(AND(ISNUMBER($L29),$L29&lt;&gt;""),IF(INDEX(Data!$M:$M,$L29)="","—",INDEX(Data!$M:$M,$L29)),"")</f>
        <v/>
      </c>
      <c r="G29" s="21">
        <f>IF(AND(ISNUMBER($L29),$L29&lt;&gt;""),IF(INDEX(Data!$N:$N,$L29)="","—",INDEX(Data!$N:$N,$L29)),"")</f>
        <v/>
      </c>
      <c r="H29" s="22">
        <f>IF(AND(ISNUMBER($L29),$L29&lt;&gt;""),IF(INDEX(Data!$Q:$Q,$L29)="","—",INDEX(Data!$Q:$Q,$L29)),"")</f>
        <v/>
      </c>
      <c r="I29" s="23">
        <f>IF(AND(ISNUMBER($L29),$L29&lt;&gt;""),INDEX(Data!$E:$E,$L29),"")</f>
        <v/>
      </c>
      <c r="J29" s="23">
        <f>IF(AND(ISNUMBER($L29),$L29&lt;&gt;""),INDEX(Data!$F:$F,$L29),"")</f>
        <v/>
      </c>
      <c r="L29">
        <f>IFERROR(MATCH((YEAR($B$3)*10000+MONTH($B$3)*100+DAY($B$3))*1000+20,Data!$W:$W,0),"")</f>
        <v/>
      </c>
    </row>
    <row r="30">
      <c r="A30" s="14">
        <f>IF(AND(ISNUMBER($L30),$L30&lt;&gt;""),INDEX(Data!$G:$G,$L30),"")</f>
        <v/>
      </c>
      <c r="B30" s="15">
        <f>IF(AND(ISNUMBER($L30),$L30&lt;&gt;""),IF(INDEX(Data!$I:$I,$L30)="","—",INDEX(Data!$I:$I,$L30)),"")</f>
        <v/>
      </c>
      <c r="C30" s="15">
        <f>IF(AND(ISNUMBER($L30),$L30&lt;&gt;""),INDEX(Data!$J:$J,$L30),"")</f>
        <v/>
      </c>
      <c r="D30" s="15">
        <f>IF(AND(ISNUMBER($L30),$L30&lt;&gt;""),INDEX(Data!$K:$K,$L30),"")</f>
        <v/>
      </c>
      <c r="E30" s="15">
        <f>IF(AND(ISNUMBER($L30),$L30&lt;&gt;""),IF(INDEX(Data!$L:$L,$L30)="","—",INDEX(Data!$L:$L,$L30)),"")</f>
        <v/>
      </c>
      <c r="F30" s="15">
        <f>IF(AND(ISNUMBER($L30),$L30&lt;&gt;""),IF(INDEX(Data!$M:$M,$L30)="","—",INDEX(Data!$M:$M,$L30)),"")</f>
        <v/>
      </c>
      <c r="G30" s="16">
        <f>IF(AND(ISNUMBER($L30),$L30&lt;&gt;""),IF(INDEX(Data!$N:$N,$L30)="","—",INDEX(Data!$N:$N,$L30)),"")</f>
        <v/>
      </c>
      <c r="H30" s="17">
        <f>IF(AND(ISNUMBER($L30),$L30&lt;&gt;""),IF(INDEX(Data!$Q:$Q,$L30)="","—",INDEX(Data!$Q:$Q,$L30)),"")</f>
        <v/>
      </c>
      <c r="I30" s="18">
        <f>IF(AND(ISNUMBER($L30),$L30&lt;&gt;""),INDEX(Data!$E:$E,$L30),"")</f>
        <v/>
      </c>
      <c r="J30" s="18">
        <f>IF(AND(ISNUMBER($L30),$L30&lt;&gt;""),INDEX(Data!$F:$F,$L30),"")</f>
        <v/>
      </c>
      <c r="L30">
        <f>IFERROR(MATCH((YEAR($B$3)*10000+MONTH($B$3)*100+DAY($B$3))*1000+21,Data!$W:$W,0),"")</f>
        <v/>
      </c>
    </row>
    <row r="31">
      <c r="A31" s="19">
        <f>IF(AND(ISNUMBER($L31),$L31&lt;&gt;""),INDEX(Data!$G:$G,$L31),"")</f>
        <v/>
      </c>
      <c r="B31" s="20">
        <f>IF(AND(ISNUMBER($L31),$L31&lt;&gt;""),IF(INDEX(Data!$I:$I,$L31)="","—",INDEX(Data!$I:$I,$L31)),"")</f>
        <v/>
      </c>
      <c r="C31" s="20">
        <f>IF(AND(ISNUMBER($L31),$L31&lt;&gt;""),INDEX(Data!$J:$J,$L31),"")</f>
        <v/>
      </c>
      <c r="D31" s="20">
        <f>IF(AND(ISNUMBER($L31),$L31&lt;&gt;""),INDEX(Data!$K:$K,$L31),"")</f>
        <v/>
      </c>
      <c r="E31" s="20">
        <f>IF(AND(ISNUMBER($L31),$L31&lt;&gt;""),IF(INDEX(Data!$L:$L,$L31)="","—",INDEX(Data!$L:$L,$L31)),"")</f>
        <v/>
      </c>
      <c r="F31" s="20">
        <f>IF(AND(ISNUMBER($L31),$L31&lt;&gt;""),IF(INDEX(Data!$M:$M,$L31)="","—",INDEX(Data!$M:$M,$L31)),"")</f>
        <v/>
      </c>
      <c r="G31" s="21">
        <f>IF(AND(ISNUMBER($L31),$L31&lt;&gt;""),IF(INDEX(Data!$N:$N,$L31)="","—",INDEX(Data!$N:$N,$L31)),"")</f>
        <v/>
      </c>
      <c r="H31" s="22">
        <f>IF(AND(ISNUMBER($L31),$L31&lt;&gt;""),IF(INDEX(Data!$Q:$Q,$L31)="","—",INDEX(Data!$Q:$Q,$L31)),"")</f>
        <v/>
      </c>
      <c r="I31" s="23">
        <f>IF(AND(ISNUMBER($L31),$L31&lt;&gt;""),INDEX(Data!$E:$E,$L31),"")</f>
        <v/>
      </c>
      <c r="J31" s="23">
        <f>IF(AND(ISNUMBER($L31),$L31&lt;&gt;""),INDEX(Data!$F:$F,$L31),"")</f>
        <v/>
      </c>
      <c r="L31">
        <f>IFERROR(MATCH((YEAR($B$3)*10000+MONTH($B$3)*100+DAY($B$3))*1000+22,Data!$W:$W,0),"")</f>
        <v/>
      </c>
    </row>
    <row r="32">
      <c r="A32" s="14">
        <f>IF(AND(ISNUMBER($L32),$L32&lt;&gt;""),INDEX(Data!$G:$G,$L32),"")</f>
        <v/>
      </c>
      <c r="B32" s="15">
        <f>IF(AND(ISNUMBER($L32),$L32&lt;&gt;""),IF(INDEX(Data!$I:$I,$L32)="","—",INDEX(Data!$I:$I,$L32)),"")</f>
        <v/>
      </c>
      <c r="C32" s="15">
        <f>IF(AND(ISNUMBER($L32),$L32&lt;&gt;""),INDEX(Data!$J:$J,$L32),"")</f>
        <v/>
      </c>
      <c r="D32" s="15">
        <f>IF(AND(ISNUMBER($L32),$L32&lt;&gt;""),INDEX(Data!$K:$K,$L32),"")</f>
        <v/>
      </c>
      <c r="E32" s="15">
        <f>IF(AND(ISNUMBER($L32),$L32&lt;&gt;""),IF(INDEX(Data!$L:$L,$L32)="","—",INDEX(Data!$L:$L,$L32)),"")</f>
        <v/>
      </c>
      <c r="F32" s="15">
        <f>IF(AND(ISNUMBER($L32),$L32&lt;&gt;""),IF(INDEX(Data!$M:$M,$L32)="","—",INDEX(Data!$M:$M,$L32)),"")</f>
        <v/>
      </c>
      <c r="G32" s="16">
        <f>IF(AND(ISNUMBER($L32),$L32&lt;&gt;""),IF(INDEX(Data!$N:$N,$L32)="","—",INDEX(Data!$N:$N,$L32)),"")</f>
        <v/>
      </c>
      <c r="H32" s="17">
        <f>IF(AND(ISNUMBER($L32),$L32&lt;&gt;""),IF(INDEX(Data!$Q:$Q,$L32)="","—",INDEX(Data!$Q:$Q,$L32)),"")</f>
        <v/>
      </c>
      <c r="I32" s="18">
        <f>IF(AND(ISNUMBER($L32),$L32&lt;&gt;""),INDEX(Data!$E:$E,$L32),"")</f>
        <v/>
      </c>
      <c r="J32" s="18">
        <f>IF(AND(ISNUMBER($L32),$L32&lt;&gt;""),INDEX(Data!$F:$F,$L32),"")</f>
        <v/>
      </c>
      <c r="L32">
        <f>IFERROR(MATCH((YEAR($B$3)*10000+MONTH($B$3)*100+DAY($B$3))*1000+23,Data!$W:$W,0),"")</f>
        <v/>
      </c>
    </row>
    <row r="33">
      <c r="A33" s="19">
        <f>IF(AND(ISNUMBER($L33),$L33&lt;&gt;""),INDEX(Data!$G:$G,$L33),"")</f>
        <v/>
      </c>
      <c r="B33" s="20">
        <f>IF(AND(ISNUMBER($L33),$L33&lt;&gt;""),IF(INDEX(Data!$I:$I,$L33)="","—",INDEX(Data!$I:$I,$L33)),"")</f>
        <v/>
      </c>
      <c r="C33" s="20">
        <f>IF(AND(ISNUMBER($L33),$L33&lt;&gt;""),INDEX(Data!$J:$J,$L33),"")</f>
        <v/>
      </c>
      <c r="D33" s="20">
        <f>IF(AND(ISNUMBER($L33),$L33&lt;&gt;""),INDEX(Data!$K:$K,$L33),"")</f>
        <v/>
      </c>
      <c r="E33" s="20">
        <f>IF(AND(ISNUMBER($L33),$L33&lt;&gt;""),IF(INDEX(Data!$L:$L,$L33)="","—",INDEX(Data!$L:$L,$L33)),"")</f>
        <v/>
      </c>
      <c r="F33" s="20">
        <f>IF(AND(ISNUMBER($L33),$L33&lt;&gt;""),IF(INDEX(Data!$M:$M,$L33)="","—",INDEX(Data!$M:$M,$L33)),"")</f>
        <v/>
      </c>
      <c r="G33" s="21">
        <f>IF(AND(ISNUMBER($L33),$L33&lt;&gt;""),IF(INDEX(Data!$N:$N,$L33)="","—",INDEX(Data!$N:$N,$L33)),"")</f>
        <v/>
      </c>
      <c r="H33" s="22">
        <f>IF(AND(ISNUMBER($L33),$L33&lt;&gt;""),IF(INDEX(Data!$Q:$Q,$L33)="","—",INDEX(Data!$Q:$Q,$L33)),"")</f>
        <v/>
      </c>
      <c r="I33" s="23">
        <f>IF(AND(ISNUMBER($L33),$L33&lt;&gt;""),INDEX(Data!$E:$E,$L33),"")</f>
        <v/>
      </c>
      <c r="J33" s="23">
        <f>IF(AND(ISNUMBER($L33),$L33&lt;&gt;""),INDEX(Data!$F:$F,$L33),"")</f>
        <v/>
      </c>
      <c r="L33">
        <f>IFERROR(MATCH((YEAR($B$3)*10000+MONTH($B$3)*100+DAY($B$3))*1000+24,Data!$W:$W,0),"")</f>
        <v/>
      </c>
    </row>
    <row r="34">
      <c r="A34" s="14">
        <f>IF(AND(ISNUMBER($L34),$L34&lt;&gt;""),INDEX(Data!$G:$G,$L34),"")</f>
        <v/>
      </c>
      <c r="B34" s="15">
        <f>IF(AND(ISNUMBER($L34),$L34&lt;&gt;""),IF(INDEX(Data!$I:$I,$L34)="","—",INDEX(Data!$I:$I,$L34)),"")</f>
        <v/>
      </c>
      <c r="C34" s="15">
        <f>IF(AND(ISNUMBER($L34),$L34&lt;&gt;""),INDEX(Data!$J:$J,$L34),"")</f>
        <v/>
      </c>
      <c r="D34" s="15">
        <f>IF(AND(ISNUMBER($L34),$L34&lt;&gt;""),INDEX(Data!$K:$K,$L34),"")</f>
        <v/>
      </c>
      <c r="E34" s="15">
        <f>IF(AND(ISNUMBER($L34),$L34&lt;&gt;""),IF(INDEX(Data!$L:$L,$L34)="","—",INDEX(Data!$L:$L,$L34)),"")</f>
        <v/>
      </c>
      <c r="F34" s="15">
        <f>IF(AND(ISNUMBER($L34),$L34&lt;&gt;""),IF(INDEX(Data!$M:$M,$L34)="","—",INDEX(Data!$M:$M,$L34)),"")</f>
        <v/>
      </c>
      <c r="G34" s="16">
        <f>IF(AND(ISNUMBER($L34),$L34&lt;&gt;""),IF(INDEX(Data!$N:$N,$L34)="","—",INDEX(Data!$N:$N,$L34)),"")</f>
        <v/>
      </c>
      <c r="H34" s="17">
        <f>IF(AND(ISNUMBER($L34),$L34&lt;&gt;""),IF(INDEX(Data!$Q:$Q,$L34)="","—",INDEX(Data!$Q:$Q,$L34)),"")</f>
        <v/>
      </c>
      <c r="I34" s="18">
        <f>IF(AND(ISNUMBER($L34),$L34&lt;&gt;""),INDEX(Data!$E:$E,$L34),"")</f>
        <v/>
      </c>
      <c r="J34" s="18">
        <f>IF(AND(ISNUMBER($L34),$L34&lt;&gt;""),INDEX(Data!$F:$F,$L34),"")</f>
        <v/>
      </c>
      <c r="L34">
        <f>IFERROR(MATCH((YEAR($B$3)*10000+MONTH($B$3)*100+DAY($B$3))*1000+25,Data!$W:$W,0),"")</f>
        <v/>
      </c>
    </row>
    <row r="35">
      <c r="A35" s="19">
        <f>IF(AND(ISNUMBER($L35),$L35&lt;&gt;""),INDEX(Data!$G:$G,$L35),"")</f>
        <v/>
      </c>
      <c r="B35" s="20">
        <f>IF(AND(ISNUMBER($L35),$L35&lt;&gt;""),IF(INDEX(Data!$I:$I,$L35)="","—",INDEX(Data!$I:$I,$L35)),"")</f>
        <v/>
      </c>
      <c r="C35" s="20">
        <f>IF(AND(ISNUMBER($L35),$L35&lt;&gt;""),INDEX(Data!$J:$J,$L35),"")</f>
        <v/>
      </c>
      <c r="D35" s="20">
        <f>IF(AND(ISNUMBER($L35),$L35&lt;&gt;""),INDEX(Data!$K:$K,$L35),"")</f>
        <v/>
      </c>
      <c r="E35" s="20">
        <f>IF(AND(ISNUMBER($L35),$L35&lt;&gt;""),IF(INDEX(Data!$L:$L,$L35)="","—",INDEX(Data!$L:$L,$L35)),"")</f>
        <v/>
      </c>
      <c r="F35" s="20">
        <f>IF(AND(ISNUMBER($L35),$L35&lt;&gt;""),IF(INDEX(Data!$M:$M,$L35)="","—",INDEX(Data!$M:$M,$L35)),"")</f>
        <v/>
      </c>
      <c r="G35" s="21">
        <f>IF(AND(ISNUMBER($L35),$L35&lt;&gt;""),IF(INDEX(Data!$N:$N,$L35)="","—",INDEX(Data!$N:$N,$L35)),"")</f>
        <v/>
      </c>
      <c r="H35" s="22">
        <f>IF(AND(ISNUMBER($L35),$L35&lt;&gt;""),IF(INDEX(Data!$Q:$Q,$L35)="","—",INDEX(Data!$Q:$Q,$L35)),"")</f>
        <v/>
      </c>
      <c r="I35" s="23">
        <f>IF(AND(ISNUMBER($L35),$L35&lt;&gt;""),INDEX(Data!$E:$E,$L35),"")</f>
        <v/>
      </c>
      <c r="J35" s="23">
        <f>IF(AND(ISNUMBER($L35),$L35&lt;&gt;""),INDEX(Data!$F:$F,$L35),"")</f>
        <v/>
      </c>
      <c r="L35">
        <f>IFERROR(MATCH((YEAR($B$3)*10000+MONTH($B$3)*100+DAY($B$3))*1000+26,Data!$W:$W,0),"")</f>
        <v/>
      </c>
    </row>
    <row r="36">
      <c r="A36" s="14">
        <f>IF(AND(ISNUMBER($L36),$L36&lt;&gt;""),INDEX(Data!$G:$G,$L36),"")</f>
        <v/>
      </c>
      <c r="B36" s="15">
        <f>IF(AND(ISNUMBER($L36),$L36&lt;&gt;""),IF(INDEX(Data!$I:$I,$L36)="","—",INDEX(Data!$I:$I,$L36)),"")</f>
        <v/>
      </c>
      <c r="C36" s="15">
        <f>IF(AND(ISNUMBER($L36),$L36&lt;&gt;""),INDEX(Data!$J:$J,$L36),"")</f>
        <v/>
      </c>
      <c r="D36" s="15">
        <f>IF(AND(ISNUMBER($L36),$L36&lt;&gt;""),INDEX(Data!$K:$K,$L36),"")</f>
        <v/>
      </c>
      <c r="E36" s="15">
        <f>IF(AND(ISNUMBER($L36),$L36&lt;&gt;""),IF(INDEX(Data!$L:$L,$L36)="","—",INDEX(Data!$L:$L,$L36)),"")</f>
        <v/>
      </c>
      <c r="F36" s="15">
        <f>IF(AND(ISNUMBER($L36),$L36&lt;&gt;""),IF(INDEX(Data!$M:$M,$L36)="","—",INDEX(Data!$M:$M,$L36)),"")</f>
        <v/>
      </c>
      <c r="G36" s="16">
        <f>IF(AND(ISNUMBER($L36),$L36&lt;&gt;""),IF(INDEX(Data!$N:$N,$L36)="","—",INDEX(Data!$N:$N,$L36)),"")</f>
        <v/>
      </c>
      <c r="H36" s="17">
        <f>IF(AND(ISNUMBER($L36),$L36&lt;&gt;""),IF(INDEX(Data!$Q:$Q,$L36)="","—",INDEX(Data!$Q:$Q,$L36)),"")</f>
        <v/>
      </c>
      <c r="I36" s="18">
        <f>IF(AND(ISNUMBER($L36),$L36&lt;&gt;""),INDEX(Data!$E:$E,$L36),"")</f>
        <v/>
      </c>
      <c r="J36" s="18">
        <f>IF(AND(ISNUMBER($L36),$L36&lt;&gt;""),INDEX(Data!$F:$F,$L36),"")</f>
        <v/>
      </c>
      <c r="L36">
        <f>IFERROR(MATCH((YEAR($B$3)*10000+MONTH($B$3)*100+DAY($B$3))*1000+27,Data!$W:$W,0),"")</f>
        <v/>
      </c>
    </row>
    <row r="37">
      <c r="A37" s="19">
        <f>IF(AND(ISNUMBER($L37),$L37&lt;&gt;""),INDEX(Data!$G:$G,$L37),"")</f>
        <v/>
      </c>
      <c r="B37" s="20">
        <f>IF(AND(ISNUMBER($L37),$L37&lt;&gt;""),IF(INDEX(Data!$I:$I,$L37)="","—",INDEX(Data!$I:$I,$L37)),"")</f>
        <v/>
      </c>
      <c r="C37" s="20">
        <f>IF(AND(ISNUMBER($L37),$L37&lt;&gt;""),INDEX(Data!$J:$J,$L37),"")</f>
        <v/>
      </c>
      <c r="D37" s="20">
        <f>IF(AND(ISNUMBER($L37),$L37&lt;&gt;""),INDEX(Data!$K:$K,$L37),"")</f>
        <v/>
      </c>
      <c r="E37" s="20">
        <f>IF(AND(ISNUMBER($L37),$L37&lt;&gt;""),IF(INDEX(Data!$L:$L,$L37)="","—",INDEX(Data!$L:$L,$L37)),"")</f>
        <v/>
      </c>
      <c r="F37" s="20">
        <f>IF(AND(ISNUMBER($L37),$L37&lt;&gt;""),IF(INDEX(Data!$M:$M,$L37)="","—",INDEX(Data!$M:$M,$L37)),"")</f>
        <v/>
      </c>
      <c r="G37" s="21">
        <f>IF(AND(ISNUMBER($L37),$L37&lt;&gt;""),IF(INDEX(Data!$N:$N,$L37)="","—",INDEX(Data!$N:$N,$L37)),"")</f>
        <v/>
      </c>
      <c r="H37" s="22">
        <f>IF(AND(ISNUMBER($L37),$L37&lt;&gt;""),IF(INDEX(Data!$Q:$Q,$L37)="","—",INDEX(Data!$Q:$Q,$L37)),"")</f>
        <v/>
      </c>
      <c r="I37" s="23">
        <f>IF(AND(ISNUMBER($L37),$L37&lt;&gt;""),INDEX(Data!$E:$E,$L37),"")</f>
        <v/>
      </c>
      <c r="J37" s="23">
        <f>IF(AND(ISNUMBER($L37),$L37&lt;&gt;""),INDEX(Data!$F:$F,$L37),"")</f>
        <v/>
      </c>
      <c r="L37">
        <f>IFERROR(MATCH((YEAR($B$3)*10000+MONTH($B$3)*100+DAY($B$3))*1000+28,Data!$W:$W,0),"")</f>
        <v/>
      </c>
    </row>
    <row r="38">
      <c r="A38" s="14">
        <f>IF(AND(ISNUMBER($L38),$L38&lt;&gt;""),INDEX(Data!$G:$G,$L38),"")</f>
        <v/>
      </c>
      <c r="B38" s="15">
        <f>IF(AND(ISNUMBER($L38),$L38&lt;&gt;""),IF(INDEX(Data!$I:$I,$L38)="","—",INDEX(Data!$I:$I,$L38)),"")</f>
        <v/>
      </c>
      <c r="C38" s="15">
        <f>IF(AND(ISNUMBER($L38),$L38&lt;&gt;""),INDEX(Data!$J:$J,$L38),"")</f>
        <v/>
      </c>
      <c r="D38" s="15">
        <f>IF(AND(ISNUMBER($L38),$L38&lt;&gt;""),INDEX(Data!$K:$K,$L38),"")</f>
        <v/>
      </c>
      <c r="E38" s="15">
        <f>IF(AND(ISNUMBER($L38),$L38&lt;&gt;""),IF(INDEX(Data!$L:$L,$L38)="","—",INDEX(Data!$L:$L,$L38)),"")</f>
        <v/>
      </c>
      <c r="F38" s="15">
        <f>IF(AND(ISNUMBER($L38),$L38&lt;&gt;""),IF(INDEX(Data!$M:$M,$L38)="","—",INDEX(Data!$M:$M,$L38)),"")</f>
        <v/>
      </c>
      <c r="G38" s="16">
        <f>IF(AND(ISNUMBER($L38),$L38&lt;&gt;""),IF(INDEX(Data!$N:$N,$L38)="","—",INDEX(Data!$N:$N,$L38)),"")</f>
        <v/>
      </c>
      <c r="H38" s="17">
        <f>IF(AND(ISNUMBER($L38),$L38&lt;&gt;""),IF(INDEX(Data!$Q:$Q,$L38)="","—",INDEX(Data!$Q:$Q,$L38)),"")</f>
        <v/>
      </c>
      <c r="I38" s="18">
        <f>IF(AND(ISNUMBER($L38),$L38&lt;&gt;""),INDEX(Data!$E:$E,$L38),"")</f>
        <v/>
      </c>
      <c r="J38" s="18">
        <f>IF(AND(ISNUMBER($L38),$L38&lt;&gt;""),INDEX(Data!$F:$F,$L38),"")</f>
        <v/>
      </c>
      <c r="L38">
        <f>IFERROR(MATCH((YEAR($B$3)*10000+MONTH($B$3)*100+DAY($B$3))*1000+29,Data!$W:$W,0),"")</f>
        <v/>
      </c>
    </row>
    <row r="39">
      <c r="A39" s="19">
        <f>IF(AND(ISNUMBER($L39),$L39&lt;&gt;""),INDEX(Data!$G:$G,$L39),"")</f>
        <v/>
      </c>
      <c r="B39" s="20">
        <f>IF(AND(ISNUMBER($L39),$L39&lt;&gt;""),IF(INDEX(Data!$I:$I,$L39)="","—",INDEX(Data!$I:$I,$L39)),"")</f>
        <v/>
      </c>
      <c r="C39" s="20">
        <f>IF(AND(ISNUMBER($L39),$L39&lt;&gt;""),INDEX(Data!$J:$J,$L39),"")</f>
        <v/>
      </c>
      <c r="D39" s="20">
        <f>IF(AND(ISNUMBER($L39),$L39&lt;&gt;""),INDEX(Data!$K:$K,$L39),"")</f>
        <v/>
      </c>
      <c r="E39" s="20">
        <f>IF(AND(ISNUMBER($L39),$L39&lt;&gt;""),IF(INDEX(Data!$L:$L,$L39)="","—",INDEX(Data!$L:$L,$L39)),"")</f>
        <v/>
      </c>
      <c r="F39" s="20">
        <f>IF(AND(ISNUMBER($L39),$L39&lt;&gt;""),IF(INDEX(Data!$M:$M,$L39)="","—",INDEX(Data!$M:$M,$L39)),"")</f>
        <v/>
      </c>
      <c r="G39" s="21">
        <f>IF(AND(ISNUMBER($L39),$L39&lt;&gt;""),IF(INDEX(Data!$N:$N,$L39)="","—",INDEX(Data!$N:$N,$L39)),"")</f>
        <v/>
      </c>
      <c r="H39" s="22">
        <f>IF(AND(ISNUMBER($L39),$L39&lt;&gt;""),IF(INDEX(Data!$Q:$Q,$L39)="","—",INDEX(Data!$Q:$Q,$L39)),"")</f>
        <v/>
      </c>
      <c r="I39" s="23">
        <f>IF(AND(ISNUMBER($L39),$L39&lt;&gt;""),INDEX(Data!$E:$E,$L39),"")</f>
        <v/>
      </c>
      <c r="J39" s="23">
        <f>IF(AND(ISNUMBER($L39),$L39&lt;&gt;""),INDEX(Data!$F:$F,$L39),"")</f>
        <v/>
      </c>
      <c r="L39">
        <f>IFERROR(MATCH((YEAR($B$3)*10000+MONTH($B$3)*100+DAY($B$3))*1000+30,Data!$W:$W,0),"")</f>
        <v/>
      </c>
    </row>
    <row r="40">
      <c r="A40" s="14">
        <f>IF(AND(ISNUMBER($L40),$L40&lt;&gt;""),INDEX(Data!$G:$G,$L40),"")</f>
        <v/>
      </c>
      <c r="B40" s="15">
        <f>IF(AND(ISNUMBER($L40),$L40&lt;&gt;""),IF(INDEX(Data!$I:$I,$L40)="","—",INDEX(Data!$I:$I,$L40)),"")</f>
        <v/>
      </c>
      <c r="C40" s="15">
        <f>IF(AND(ISNUMBER($L40),$L40&lt;&gt;""),INDEX(Data!$J:$J,$L40),"")</f>
        <v/>
      </c>
      <c r="D40" s="15">
        <f>IF(AND(ISNUMBER($L40),$L40&lt;&gt;""),INDEX(Data!$K:$K,$L40),"")</f>
        <v/>
      </c>
      <c r="E40" s="15">
        <f>IF(AND(ISNUMBER($L40),$L40&lt;&gt;""),IF(INDEX(Data!$L:$L,$L40)="","—",INDEX(Data!$L:$L,$L40)),"")</f>
        <v/>
      </c>
      <c r="F40" s="15">
        <f>IF(AND(ISNUMBER($L40),$L40&lt;&gt;""),IF(INDEX(Data!$M:$M,$L40)="","—",INDEX(Data!$M:$M,$L40)),"")</f>
        <v/>
      </c>
      <c r="G40" s="16">
        <f>IF(AND(ISNUMBER($L40),$L40&lt;&gt;""),IF(INDEX(Data!$N:$N,$L40)="","—",INDEX(Data!$N:$N,$L40)),"")</f>
        <v/>
      </c>
      <c r="H40" s="17">
        <f>IF(AND(ISNUMBER($L40),$L40&lt;&gt;""),IF(INDEX(Data!$Q:$Q,$L40)="","—",INDEX(Data!$Q:$Q,$L40)),"")</f>
        <v/>
      </c>
      <c r="I40" s="18">
        <f>IF(AND(ISNUMBER($L40),$L40&lt;&gt;""),INDEX(Data!$E:$E,$L40),"")</f>
        <v/>
      </c>
      <c r="J40" s="18">
        <f>IF(AND(ISNUMBER($L40),$L40&lt;&gt;""),INDEX(Data!$F:$F,$L40),"")</f>
        <v/>
      </c>
      <c r="L40">
        <f>IFERROR(MATCH((YEAR($B$3)*10000+MONTH($B$3)*100+DAY($B$3))*1000+31,Data!$W:$W,0),"")</f>
        <v/>
      </c>
    </row>
    <row r="41">
      <c r="A41" s="19">
        <f>IF(AND(ISNUMBER($L41),$L41&lt;&gt;""),INDEX(Data!$G:$G,$L41),"")</f>
        <v/>
      </c>
      <c r="B41" s="20">
        <f>IF(AND(ISNUMBER($L41),$L41&lt;&gt;""),IF(INDEX(Data!$I:$I,$L41)="","—",INDEX(Data!$I:$I,$L41)),"")</f>
        <v/>
      </c>
      <c r="C41" s="20">
        <f>IF(AND(ISNUMBER($L41),$L41&lt;&gt;""),INDEX(Data!$J:$J,$L41),"")</f>
        <v/>
      </c>
      <c r="D41" s="20">
        <f>IF(AND(ISNUMBER($L41),$L41&lt;&gt;""),INDEX(Data!$K:$K,$L41),"")</f>
        <v/>
      </c>
      <c r="E41" s="20">
        <f>IF(AND(ISNUMBER($L41),$L41&lt;&gt;""),IF(INDEX(Data!$L:$L,$L41)="","—",INDEX(Data!$L:$L,$L41)),"")</f>
        <v/>
      </c>
      <c r="F41" s="20">
        <f>IF(AND(ISNUMBER($L41),$L41&lt;&gt;""),IF(INDEX(Data!$M:$M,$L41)="","—",INDEX(Data!$M:$M,$L41)),"")</f>
        <v/>
      </c>
      <c r="G41" s="21">
        <f>IF(AND(ISNUMBER($L41),$L41&lt;&gt;""),IF(INDEX(Data!$N:$N,$L41)="","—",INDEX(Data!$N:$N,$L41)),"")</f>
        <v/>
      </c>
      <c r="H41" s="22">
        <f>IF(AND(ISNUMBER($L41),$L41&lt;&gt;""),IF(INDEX(Data!$Q:$Q,$L41)="","—",INDEX(Data!$Q:$Q,$L41)),"")</f>
        <v/>
      </c>
      <c r="I41" s="23">
        <f>IF(AND(ISNUMBER($L41),$L41&lt;&gt;""),INDEX(Data!$E:$E,$L41),"")</f>
        <v/>
      </c>
      <c r="J41" s="23">
        <f>IF(AND(ISNUMBER($L41),$L41&lt;&gt;""),INDEX(Data!$F:$F,$L41),"")</f>
        <v/>
      </c>
      <c r="L41">
        <f>IFERROR(MATCH((YEAR($B$3)*10000+MONTH($B$3)*100+DAY($B$3))*1000+32,Data!$W:$W,0),"")</f>
        <v/>
      </c>
    </row>
    <row r="42">
      <c r="A42" s="14">
        <f>IF(AND(ISNUMBER($L42),$L42&lt;&gt;""),INDEX(Data!$G:$G,$L42),"")</f>
        <v/>
      </c>
      <c r="B42" s="15">
        <f>IF(AND(ISNUMBER($L42),$L42&lt;&gt;""),IF(INDEX(Data!$I:$I,$L42)="","—",INDEX(Data!$I:$I,$L42)),"")</f>
        <v/>
      </c>
      <c r="C42" s="15">
        <f>IF(AND(ISNUMBER($L42),$L42&lt;&gt;""),INDEX(Data!$J:$J,$L42),"")</f>
        <v/>
      </c>
      <c r="D42" s="15">
        <f>IF(AND(ISNUMBER($L42),$L42&lt;&gt;""),INDEX(Data!$K:$K,$L42),"")</f>
        <v/>
      </c>
      <c r="E42" s="15">
        <f>IF(AND(ISNUMBER($L42),$L42&lt;&gt;""),IF(INDEX(Data!$L:$L,$L42)="","—",INDEX(Data!$L:$L,$L42)),"")</f>
        <v/>
      </c>
      <c r="F42" s="15">
        <f>IF(AND(ISNUMBER($L42),$L42&lt;&gt;""),IF(INDEX(Data!$M:$M,$L42)="","—",INDEX(Data!$M:$M,$L42)),"")</f>
        <v/>
      </c>
      <c r="G42" s="16">
        <f>IF(AND(ISNUMBER($L42),$L42&lt;&gt;""),IF(INDEX(Data!$N:$N,$L42)="","—",INDEX(Data!$N:$N,$L42)),"")</f>
        <v/>
      </c>
      <c r="H42" s="17">
        <f>IF(AND(ISNUMBER($L42),$L42&lt;&gt;""),IF(INDEX(Data!$Q:$Q,$L42)="","—",INDEX(Data!$Q:$Q,$L42)),"")</f>
        <v/>
      </c>
      <c r="I42" s="18">
        <f>IF(AND(ISNUMBER($L42),$L42&lt;&gt;""),INDEX(Data!$E:$E,$L42),"")</f>
        <v/>
      </c>
      <c r="J42" s="18">
        <f>IF(AND(ISNUMBER($L42),$L42&lt;&gt;""),INDEX(Data!$F:$F,$L42),"")</f>
        <v/>
      </c>
      <c r="L42">
        <f>IFERROR(MATCH((YEAR($B$3)*10000+MONTH($B$3)*100+DAY($B$3))*1000+33,Data!$W:$W,0),"")</f>
        <v/>
      </c>
    </row>
    <row r="43">
      <c r="A43" s="19">
        <f>IF(AND(ISNUMBER($L43),$L43&lt;&gt;""),INDEX(Data!$G:$G,$L43),"")</f>
        <v/>
      </c>
      <c r="B43" s="20">
        <f>IF(AND(ISNUMBER($L43),$L43&lt;&gt;""),IF(INDEX(Data!$I:$I,$L43)="","—",INDEX(Data!$I:$I,$L43)),"")</f>
        <v/>
      </c>
      <c r="C43" s="20">
        <f>IF(AND(ISNUMBER($L43),$L43&lt;&gt;""),INDEX(Data!$J:$J,$L43),"")</f>
        <v/>
      </c>
      <c r="D43" s="20">
        <f>IF(AND(ISNUMBER($L43),$L43&lt;&gt;""),INDEX(Data!$K:$K,$L43),"")</f>
        <v/>
      </c>
      <c r="E43" s="20">
        <f>IF(AND(ISNUMBER($L43),$L43&lt;&gt;""),IF(INDEX(Data!$L:$L,$L43)="","—",INDEX(Data!$L:$L,$L43)),"")</f>
        <v/>
      </c>
      <c r="F43" s="20">
        <f>IF(AND(ISNUMBER($L43),$L43&lt;&gt;""),IF(INDEX(Data!$M:$M,$L43)="","—",INDEX(Data!$M:$M,$L43)),"")</f>
        <v/>
      </c>
      <c r="G43" s="21">
        <f>IF(AND(ISNUMBER($L43),$L43&lt;&gt;""),IF(INDEX(Data!$N:$N,$L43)="","—",INDEX(Data!$N:$N,$L43)),"")</f>
        <v/>
      </c>
      <c r="H43" s="22">
        <f>IF(AND(ISNUMBER($L43),$L43&lt;&gt;""),IF(INDEX(Data!$Q:$Q,$L43)="","—",INDEX(Data!$Q:$Q,$L43)),"")</f>
        <v/>
      </c>
      <c r="I43" s="23">
        <f>IF(AND(ISNUMBER($L43),$L43&lt;&gt;""),INDEX(Data!$E:$E,$L43),"")</f>
        <v/>
      </c>
      <c r="J43" s="23">
        <f>IF(AND(ISNUMBER($L43),$L43&lt;&gt;""),INDEX(Data!$F:$F,$L43),"")</f>
        <v/>
      </c>
      <c r="L43">
        <f>IFERROR(MATCH((YEAR($B$3)*10000+MONTH($B$3)*100+DAY($B$3))*1000+34,Data!$W:$W,0),"")</f>
        <v/>
      </c>
    </row>
    <row r="44">
      <c r="A44" s="14">
        <f>IF(AND(ISNUMBER($L44),$L44&lt;&gt;""),INDEX(Data!$G:$G,$L44),"")</f>
        <v/>
      </c>
      <c r="B44" s="15">
        <f>IF(AND(ISNUMBER($L44),$L44&lt;&gt;""),IF(INDEX(Data!$I:$I,$L44)="","—",INDEX(Data!$I:$I,$L44)),"")</f>
        <v/>
      </c>
      <c r="C44" s="15">
        <f>IF(AND(ISNUMBER($L44),$L44&lt;&gt;""),INDEX(Data!$J:$J,$L44),"")</f>
        <v/>
      </c>
      <c r="D44" s="15">
        <f>IF(AND(ISNUMBER($L44),$L44&lt;&gt;""),INDEX(Data!$K:$K,$L44),"")</f>
        <v/>
      </c>
      <c r="E44" s="15">
        <f>IF(AND(ISNUMBER($L44),$L44&lt;&gt;""),IF(INDEX(Data!$L:$L,$L44)="","—",INDEX(Data!$L:$L,$L44)),"")</f>
        <v/>
      </c>
      <c r="F44" s="15">
        <f>IF(AND(ISNUMBER($L44),$L44&lt;&gt;""),IF(INDEX(Data!$M:$M,$L44)="","—",INDEX(Data!$M:$M,$L44)),"")</f>
        <v/>
      </c>
      <c r="G44" s="16">
        <f>IF(AND(ISNUMBER($L44),$L44&lt;&gt;""),IF(INDEX(Data!$N:$N,$L44)="","—",INDEX(Data!$N:$N,$L44)),"")</f>
        <v/>
      </c>
      <c r="H44" s="17">
        <f>IF(AND(ISNUMBER($L44),$L44&lt;&gt;""),IF(INDEX(Data!$Q:$Q,$L44)="","—",INDEX(Data!$Q:$Q,$L44)),"")</f>
        <v/>
      </c>
      <c r="I44" s="18">
        <f>IF(AND(ISNUMBER($L44),$L44&lt;&gt;""),INDEX(Data!$E:$E,$L44),"")</f>
        <v/>
      </c>
      <c r="J44" s="18">
        <f>IF(AND(ISNUMBER($L44),$L44&lt;&gt;""),INDEX(Data!$F:$F,$L44),"")</f>
        <v/>
      </c>
      <c r="L44">
        <f>IFERROR(MATCH((YEAR($B$3)*10000+MONTH($B$3)*100+DAY($B$3))*1000+35,Data!$W:$W,0),"")</f>
        <v/>
      </c>
    </row>
    <row r="45">
      <c r="A45" s="19">
        <f>IF(AND(ISNUMBER($L45),$L45&lt;&gt;""),INDEX(Data!$G:$G,$L45),"")</f>
        <v/>
      </c>
      <c r="B45" s="20">
        <f>IF(AND(ISNUMBER($L45),$L45&lt;&gt;""),IF(INDEX(Data!$I:$I,$L45)="","—",INDEX(Data!$I:$I,$L45)),"")</f>
        <v/>
      </c>
      <c r="C45" s="20">
        <f>IF(AND(ISNUMBER($L45),$L45&lt;&gt;""),INDEX(Data!$J:$J,$L45),"")</f>
        <v/>
      </c>
      <c r="D45" s="20">
        <f>IF(AND(ISNUMBER($L45),$L45&lt;&gt;""),INDEX(Data!$K:$K,$L45),"")</f>
        <v/>
      </c>
      <c r="E45" s="20">
        <f>IF(AND(ISNUMBER($L45),$L45&lt;&gt;""),IF(INDEX(Data!$L:$L,$L45)="","—",INDEX(Data!$L:$L,$L45)),"")</f>
        <v/>
      </c>
      <c r="F45" s="20">
        <f>IF(AND(ISNUMBER($L45),$L45&lt;&gt;""),IF(INDEX(Data!$M:$M,$L45)="","—",INDEX(Data!$M:$M,$L45)),"")</f>
        <v/>
      </c>
      <c r="G45" s="21">
        <f>IF(AND(ISNUMBER($L45),$L45&lt;&gt;""),IF(INDEX(Data!$N:$N,$L45)="","—",INDEX(Data!$N:$N,$L45)),"")</f>
        <v/>
      </c>
      <c r="H45" s="22">
        <f>IF(AND(ISNUMBER($L45),$L45&lt;&gt;""),IF(INDEX(Data!$Q:$Q,$L45)="","—",INDEX(Data!$Q:$Q,$L45)),"")</f>
        <v/>
      </c>
      <c r="I45" s="23">
        <f>IF(AND(ISNUMBER($L45),$L45&lt;&gt;""),INDEX(Data!$E:$E,$L45),"")</f>
        <v/>
      </c>
      <c r="J45" s="23">
        <f>IF(AND(ISNUMBER($L45),$L45&lt;&gt;""),INDEX(Data!$F:$F,$L45),"")</f>
        <v/>
      </c>
      <c r="L45">
        <f>IFERROR(MATCH((YEAR($B$3)*10000+MONTH($B$3)*100+DAY($B$3))*1000+36,Data!$W:$W,0),"")</f>
        <v/>
      </c>
    </row>
    <row r="46">
      <c r="A46" s="14">
        <f>IF(AND(ISNUMBER($L46),$L46&lt;&gt;""),INDEX(Data!$G:$G,$L46),"")</f>
        <v/>
      </c>
      <c r="B46" s="15">
        <f>IF(AND(ISNUMBER($L46),$L46&lt;&gt;""),IF(INDEX(Data!$I:$I,$L46)="","—",INDEX(Data!$I:$I,$L46)),"")</f>
        <v/>
      </c>
      <c r="C46" s="15">
        <f>IF(AND(ISNUMBER($L46),$L46&lt;&gt;""),INDEX(Data!$J:$J,$L46),"")</f>
        <v/>
      </c>
      <c r="D46" s="15">
        <f>IF(AND(ISNUMBER($L46),$L46&lt;&gt;""),INDEX(Data!$K:$K,$L46),"")</f>
        <v/>
      </c>
      <c r="E46" s="15">
        <f>IF(AND(ISNUMBER($L46),$L46&lt;&gt;""),IF(INDEX(Data!$L:$L,$L46)="","—",INDEX(Data!$L:$L,$L46)),"")</f>
        <v/>
      </c>
      <c r="F46" s="15">
        <f>IF(AND(ISNUMBER($L46),$L46&lt;&gt;""),IF(INDEX(Data!$M:$M,$L46)="","—",INDEX(Data!$M:$M,$L46)),"")</f>
        <v/>
      </c>
      <c r="G46" s="16">
        <f>IF(AND(ISNUMBER($L46),$L46&lt;&gt;""),IF(INDEX(Data!$N:$N,$L46)="","—",INDEX(Data!$N:$N,$L46)),"")</f>
        <v/>
      </c>
      <c r="H46" s="17">
        <f>IF(AND(ISNUMBER($L46),$L46&lt;&gt;""),IF(INDEX(Data!$Q:$Q,$L46)="","—",INDEX(Data!$Q:$Q,$L46)),"")</f>
        <v/>
      </c>
      <c r="I46" s="18">
        <f>IF(AND(ISNUMBER($L46),$L46&lt;&gt;""),INDEX(Data!$E:$E,$L46),"")</f>
        <v/>
      </c>
      <c r="J46" s="18">
        <f>IF(AND(ISNUMBER($L46),$L46&lt;&gt;""),INDEX(Data!$F:$F,$L46),"")</f>
        <v/>
      </c>
      <c r="L46">
        <f>IFERROR(MATCH((YEAR($B$3)*10000+MONTH($B$3)*100+DAY($B$3))*1000+37,Data!$W:$W,0),"")</f>
        <v/>
      </c>
    </row>
    <row r="47">
      <c r="A47" s="19">
        <f>IF(AND(ISNUMBER($L47),$L47&lt;&gt;""),INDEX(Data!$G:$G,$L47),"")</f>
        <v/>
      </c>
      <c r="B47" s="20">
        <f>IF(AND(ISNUMBER($L47),$L47&lt;&gt;""),IF(INDEX(Data!$I:$I,$L47)="","—",INDEX(Data!$I:$I,$L47)),"")</f>
        <v/>
      </c>
      <c r="C47" s="20">
        <f>IF(AND(ISNUMBER($L47),$L47&lt;&gt;""),INDEX(Data!$J:$J,$L47),"")</f>
        <v/>
      </c>
      <c r="D47" s="20">
        <f>IF(AND(ISNUMBER($L47),$L47&lt;&gt;""),INDEX(Data!$K:$K,$L47),"")</f>
        <v/>
      </c>
      <c r="E47" s="20">
        <f>IF(AND(ISNUMBER($L47),$L47&lt;&gt;""),IF(INDEX(Data!$L:$L,$L47)="","—",INDEX(Data!$L:$L,$L47)),"")</f>
        <v/>
      </c>
      <c r="F47" s="20">
        <f>IF(AND(ISNUMBER($L47),$L47&lt;&gt;""),IF(INDEX(Data!$M:$M,$L47)="","—",INDEX(Data!$M:$M,$L47)),"")</f>
        <v/>
      </c>
      <c r="G47" s="21">
        <f>IF(AND(ISNUMBER($L47),$L47&lt;&gt;""),IF(INDEX(Data!$N:$N,$L47)="","—",INDEX(Data!$N:$N,$L47)),"")</f>
        <v/>
      </c>
      <c r="H47" s="22">
        <f>IF(AND(ISNUMBER($L47),$L47&lt;&gt;""),IF(INDEX(Data!$Q:$Q,$L47)="","—",INDEX(Data!$Q:$Q,$L47)),"")</f>
        <v/>
      </c>
      <c r="I47" s="23">
        <f>IF(AND(ISNUMBER($L47),$L47&lt;&gt;""),INDEX(Data!$E:$E,$L47),"")</f>
        <v/>
      </c>
      <c r="J47" s="23">
        <f>IF(AND(ISNUMBER($L47),$L47&lt;&gt;""),INDEX(Data!$F:$F,$L47),"")</f>
        <v/>
      </c>
      <c r="L47">
        <f>IFERROR(MATCH((YEAR($B$3)*10000+MONTH($B$3)*100+DAY($B$3))*1000+38,Data!$W:$W,0),"")</f>
        <v/>
      </c>
    </row>
    <row r="48">
      <c r="A48" s="14">
        <f>IF(AND(ISNUMBER($L48),$L48&lt;&gt;""),INDEX(Data!$G:$G,$L48),"")</f>
        <v/>
      </c>
      <c r="B48" s="15">
        <f>IF(AND(ISNUMBER($L48),$L48&lt;&gt;""),IF(INDEX(Data!$I:$I,$L48)="","—",INDEX(Data!$I:$I,$L48)),"")</f>
        <v/>
      </c>
      <c r="C48" s="15">
        <f>IF(AND(ISNUMBER($L48),$L48&lt;&gt;""),INDEX(Data!$J:$J,$L48),"")</f>
        <v/>
      </c>
      <c r="D48" s="15">
        <f>IF(AND(ISNUMBER($L48),$L48&lt;&gt;""),INDEX(Data!$K:$K,$L48),"")</f>
        <v/>
      </c>
      <c r="E48" s="15">
        <f>IF(AND(ISNUMBER($L48),$L48&lt;&gt;""),IF(INDEX(Data!$L:$L,$L48)="","—",INDEX(Data!$L:$L,$L48)),"")</f>
        <v/>
      </c>
      <c r="F48" s="15">
        <f>IF(AND(ISNUMBER($L48),$L48&lt;&gt;""),IF(INDEX(Data!$M:$M,$L48)="","—",INDEX(Data!$M:$M,$L48)),"")</f>
        <v/>
      </c>
      <c r="G48" s="16">
        <f>IF(AND(ISNUMBER($L48),$L48&lt;&gt;""),IF(INDEX(Data!$N:$N,$L48)="","—",INDEX(Data!$N:$N,$L48)),"")</f>
        <v/>
      </c>
      <c r="H48" s="17">
        <f>IF(AND(ISNUMBER($L48),$L48&lt;&gt;""),IF(INDEX(Data!$Q:$Q,$L48)="","—",INDEX(Data!$Q:$Q,$L48)),"")</f>
        <v/>
      </c>
      <c r="I48" s="18">
        <f>IF(AND(ISNUMBER($L48),$L48&lt;&gt;""),INDEX(Data!$E:$E,$L48),"")</f>
        <v/>
      </c>
      <c r="J48" s="18">
        <f>IF(AND(ISNUMBER($L48),$L48&lt;&gt;""),INDEX(Data!$F:$F,$L48),"")</f>
        <v/>
      </c>
      <c r="L48">
        <f>IFERROR(MATCH((YEAR($B$3)*10000+MONTH($B$3)*100+DAY($B$3))*1000+39,Data!$W:$W,0),"")</f>
        <v/>
      </c>
    </row>
    <row r="49">
      <c r="A49" s="19">
        <f>IF(AND(ISNUMBER($L49),$L49&lt;&gt;""),INDEX(Data!$G:$G,$L49),"")</f>
        <v/>
      </c>
      <c r="B49" s="20">
        <f>IF(AND(ISNUMBER($L49),$L49&lt;&gt;""),IF(INDEX(Data!$I:$I,$L49)="","—",INDEX(Data!$I:$I,$L49)),"")</f>
        <v/>
      </c>
      <c r="C49" s="20">
        <f>IF(AND(ISNUMBER($L49),$L49&lt;&gt;""),INDEX(Data!$J:$J,$L49),"")</f>
        <v/>
      </c>
      <c r="D49" s="20">
        <f>IF(AND(ISNUMBER($L49),$L49&lt;&gt;""),INDEX(Data!$K:$K,$L49),"")</f>
        <v/>
      </c>
      <c r="E49" s="20">
        <f>IF(AND(ISNUMBER($L49),$L49&lt;&gt;""),IF(INDEX(Data!$L:$L,$L49)="","—",INDEX(Data!$L:$L,$L49)),"")</f>
        <v/>
      </c>
      <c r="F49" s="20">
        <f>IF(AND(ISNUMBER($L49),$L49&lt;&gt;""),IF(INDEX(Data!$M:$M,$L49)="","—",INDEX(Data!$M:$M,$L49)),"")</f>
        <v/>
      </c>
      <c r="G49" s="21">
        <f>IF(AND(ISNUMBER($L49),$L49&lt;&gt;""),IF(INDEX(Data!$N:$N,$L49)="","—",INDEX(Data!$N:$N,$L49)),"")</f>
        <v/>
      </c>
      <c r="H49" s="22">
        <f>IF(AND(ISNUMBER($L49),$L49&lt;&gt;""),IF(INDEX(Data!$Q:$Q,$L49)="","—",INDEX(Data!$Q:$Q,$L49)),"")</f>
        <v/>
      </c>
      <c r="I49" s="23">
        <f>IF(AND(ISNUMBER($L49),$L49&lt;&gt;""),INDEX(Data!$E:$E,$L49),"")</f>
        <v/>
      </c>
      <c r="J49" s="23">
        <f>IF(AND(ISNUMBER($L49),$L49&lt;&gt;""),INDEX(Data!$F:$F,$L49),"")</f>
        <v/>
      </c>
      <c r="L49">
        <f>IFERROR(MATCH((YEAR($B$3)*10000+MONTH($B$3)*100+DAY($B$3))*1000+40,Data!$W:$W,0),"")</f>
        <v/>
      </c>
    </row>
    <row r="50">
      <c r="A50" s="14">
        <f>IF(AND(ISNUMBER($L50),$L50&lt;&gt;""),INDEX(Data!$G:$G,$L50),"")</f>
        <v/>
      </c>
      <c r="B50" s="15">
        <f>IF(AND(ISNUMBER($L50),$L50&lt;&gt;""),IF(INDEX(Data!$I:$I,$L50)="","—",INDEX(Data!$I:$I,$L50)),"")</f>
        <v/>
      </c>
      <c r="C50" s="15">
        <f>IF(AND(ISNUMBER($L50),$L50&lt;&gt;""),INDEX(Data!$J:$J,$L50),"")</f>
        <v/>
      </c>
      <c r="D50" s="15">
        <f>IF(AND(ISNUMBER($L50),$L50&lt;&gt;""),INDEX(Data!$K:$K,$L50),"")</f>
        <v/>
      </c>
      <c r="E50" s="15">
        <f>IF(AND(ISNUMBER($L50),$L50&lt;&gt;""),IF(INDEX(Data!$L:$L,$L50)="","—",INDEX(Data!$L:$L,$L50)),"")</f>
        <v/>
      </c>
      <c r="F50" s="15">
        <f>IF(AND(ISNUMBER($L50),$L50&lt;&gt;""),IF(INDEX(Data!$M:$M,$L50)="","—",INDEX(Data!$M:$M,$L50)),"")</f>
        <v/>
      </c>
      <c r="G50" s="16">
        <f>IF(AND(ISNUMBER($L50),$L50&lt;&gt;""),IF(INDEX(Data!$N:$N,$L50)="","—",INDEX(Data!$N:$N,$L50)),"")</f>
        <v/>
      </c>
      <c r="H50" s="17">
        <f>IF(AND(ISNUMBER($L50),$L50&lt;&gt;""),IF(INDEX(Data!$Q:$Q,$L50)="","—",INDEX(Data!$Q:$Q,$L50)),"")</f>
        <v/>
      </c>
      <c r="I50" s="18">
        <f>IF(AND(ISNUMBER($L50),$L50&lt;&gt;""),INDEX(Data!$E:$E,$L50),"")</f>
        <v/>
      </c>
      <c r="J50" s="18">
        <f>IF(AND(ISNUMBER($L50),$L50&lt;&gt;""),INDEX(Data!$F:$F,$L50),"")</f>
        <v/>
      </c>
      <c r="L50">
        <f>IFERROR(MATCH((YEAR($B$3)*10000+MONTH($B$3)*100+DAY($B$3))*1000+41,Data!$W:$W,0),"")</f>
        <v/>
      </c>
    </row>
    <row r="51">
      <c r="A51" s="19">
        <f>IF(AND(ISNUMBER($L51),$L51&lt;&gt;""),INDEX(Data!$G:$G,$L51),"")</f>
        <v/>
      </c>
      <c r="B51" s="20">
        <f>IF(AND(ISNUMBER($L51),$L51&lt;&gt;""),IF(INDEX(Data!$I:$I,$L51)="","—",INDEX(Data!$I:$I,$L51)),"")</f>
        <v/>
      </c>
      <c r="C51" s="20">
        <f>IF(AND(ISNUMBER($L51),$L51&lt;&gt;""),INDEX(Data!$J:$J,$L51),"")</f>
        <v/>
      </c>
      <c r="D51" s="20">
        <f>IF(AND(ISNUMBER($L51),$L51&lt;&gt;""),INDEX(Data!$K:$K,$L51),"")</f>
        <v/>
      </c>
      <c r="E51" s="20">
        <f>IF(AND(ISNUMBER($L51),$L51&lt;&gt;""),IF(INDEX(Data!$L:$L,$L51)="","—",INDEX(Data!$L:$L,$L51)),"")</f>
        <v/>
      </c>
      <c r="F51" s="20">
        <f>IF(AND(ISNUMBER($L51),$L51&lt;&gt;""),IF(INDEX(Data!$M:$M,$L51)="","—",INDEX(Data!$M:$M,$L51)),"")</f>
        <v/>
      </c>
      <c r="G51" s="21">
        <f>IF(AND(ISNUMBER($L51),$L51&lt;&gt;""),IF(INDEX(Data!$N:$N,$L51)="","—",INDEX(Data!$N:$N,$L51)),"")</f>
        <v/>
      </c>
      <c r="H51" s="22">
        <f>IF(AND(ISNUMBER($L51),$L51&lt;&gt;""),IF(INDEX(Data!$Q:$Q,$L51)="","—",INDEX(Data!$Q:$Q,$L51)),"")</f>
        <v/>
      </c>
      <c r="I51" s="23">
        <f>IF(AND(ISNUMBER($L51),$L51&lt;&gt;""),INDEX(Data!$E:$E,$L51),"")</f>
        <v/>
      </c>
      <c r="J51" s="23">
        <f>IF(AND(ISNUMBER($L51),$L51&lt;&gt;""),INDEX(Data!$F:$F,$L51),"")</f>
        <v/>
      </c>
      <c r="L51">
        <f>IFERROR(MATCH((YEAR($B$3)*10000+MONTH($B$3)*100+DAY($B$3))*1000+42,Data!$W:$W,0),"")</f>
        <v/>
      </c>
    </row>
    <row r="52">
      <c r="A52" s="14">
        <f>IF(AND(ISNUMBER($L52),$L52&lt;&gt;""),INDEX(Data!$G:$G,$L52),"")</f>
        <v/>
      </c>
      <c r="B52" s="15">
        <f>IF(AND(ISNUMBER($L52),$L52&lt;&gt;""),IF(INDEX(Data!$I:$I,$L52)="","—",INDEX(Data!$I:$I,$L52)),"")</f>
        <v/>
      </c>
      <c r="C52" s="15">
        <f>IF(AND(ISNUMBER($L52),$L52&lt;&gt;""),INDEX(Data!$J:$J,$L52),"")</f>
        <v/>
      </c>
      <c r="D52" s="15">
        <f>IF(AND(ISNUMBER($L52),$L52&lt;&gt;""),INDEX(Data!$K:$K,$L52),"")</f>
        <v/>
      </c>
      <c r="E52" s="15">
        <f>IF(AND(ISNUMBER($L52),$L52&lt;&gt;""),IF(INDEX(Data!$L:$L,$L52)="","—",INDEX(Data!$L:$L,$L52)),"")</f>
        <v/>
      </c>
      <c r="F52" s="15">
        <f>IF(AND(ISNUMBER($L52),$L52&lt;&gt;""),IF(INDEX(Data!$M:$M,$L52)="","—",INDEX(Data!$M:$M,$L52)),"")</f>
        <v/>
      </c>
      <c r="G52" s="16">
        <f>IF(AND(ISNUMBER($L52),$L52&lt;&gt;""),IF(INDEX(Data!$N:$N,$L52)="","—",INDEX(Data!$N:$N,$L52)),"")</f>
        <v/>
      </c>
      <c r="H52" s="17">
        <f>IF(AND(ISNUMBER($L52),$L52&lt;&gt;""),IF(INDEX(Data!$Q:$Q,$L52)="","—",INDEX(Data!$Q:$Q,$L52)),"")</f>
        <v/>
      </c>
      <c r="I52" s="18">
        <f>IF(AND(ISNUMBER($L52),$L52&lt;&gt;""),INDEX(Data!$E:$E,$L52),"")</f>
        <v/>
      </c>
      <c r="J52" s="18">
        <f>IF(AND(ISNUMBER($L52),$L52&lt;&gt;""),INDEX(Data!$F:$F,$L52),"")</f>
        <v/>
      </c>
      <c r="L52">
        <f>IFERROR(MATCH((YEAR($B$3)*10000+MONTH($B$3)*100+DAY($B$3))*1000+43,Data!$W:$W,0),"")</f>
        <v/>
      </c>
    </row>
    <row r="53">
      <c r="A53" s="19">
        <f>IF(AND(ISNUMBER($L53),$L53&lt;&gt;""),INDEX(Data!$G:$G,$L53),"")</f>
        <v/>
      </c>
      <c r="B53" s="20">
        <f>IF(AND(ISNUMBER($L53),$L53&lt;&gt;""),IF(INDEX(Data!$I:$I,$L53)="","—",INDEX(Data!$I:$I,$L53)),"")</f>
        <v/>
      </c>
      <c r="C53" s="20">
        <f>IF(AND(ISNUMBER($L53),$L53&lt;&gt;""),INDEX(Data!$J:$J,$L53),"")</f>
        <v/>
      </c>
      <c r="D53" s="20">
        <f>IF(AND(ISNUMBER($L53),$L53&lt;&gt;""),INDEX(Data!$K:$K,$L53),"")</f>
        <v/>
      </c>
      <c r="E53" s="20">
        <f>IF(AND(ISNUMBER($L53),$L53&lt;&gt;""),IF(INDEX(Data!$L:$L,$L53)="","—",INDEX(Data!$L:$L,$L53)),"")</f>
        <v/>
      </c>
      <c r="F53" s="20">
        <f>IF(AND(ISNUMBER($L53),$L53&lt;&gt;""),IF(INDEX(Data!$M:$M,$L53)="","—",INDEX(Data!$M:$M,$L53)),"")</f>
        <v/>
      </c>
      <c r="G53" s="21">
        <f>IF(AND(ISNUMBER($L53),$L53&lt;&gt;""),IF(INDEX(Data!$N:$N,$L53)="","—",INDEX(Data!$N:$N,$L53)),"")</f>
        <v/>
      </c>
      <c r="H53" s="22">
        <f>IF(AND(ISNUMBER($L53),$L53&lt;&gt;""),IF(INDEX(Data!$Q:$Q,$L53)="","—",INDEX(Data!$Q:$Q,$L53)),"")</f>
        <v/>
      </c>
      <c r="I53" s="23">
        <f>IF(AND(ISNUMBER($L53),$L53&lt;&gt;""),INDEX(Data!$E:$E,$L53),"")</f>
        <v/>
      </c>
      <c r="J53" s="23">
        <f>IF(AND(ISNUMBER($L53),$L53&lt;&gt;""),INDEX(Data!$F:$F,$L53),"")</f>
        <v/>
      </c>
      <c r="L53">
        <f>IFERROR(MATCH((YEAR($B$3)*10000+MONTH($B$3)*100+DAY($B$3))*1000+44,Data!$W:$W,0),"")</f>
        <v/>
      </c>
    </row>
    <row r="54">
      <c r="A54" s="14">
        <f>IF(AND(ISNUMBER($L54),$L54&lt;&gt;""),INDEX(Data!$G:$G,$L54),"")</f>
        <v/>
      </c>
      <c r="B54" s="15">
        <f>IF(AND(ISNUMBER($L54),$L54&lt;&gt;""),IF(INDEX(Data!$I:$I,$L54)="","—",INDEX(Data!$I:$I,$L54)),"")</f>
        <v/>
      </c>
      <c r="C54" s="15">
        <f>IF(AND(ISNUMBER($L54),$L54&lt;&gt;""),INDEX(Data!$J:$J,$L54),"")</f>
        <v/>
      </c>
      <c r="D54" s="15">
        <f>IF(AND(ISNUMBER($L54),$L54&lt;&gt;""),INDEX(Data!$K:$K,$L54),"")</f>
        <v/>
      </c>
      <c r="E54" s="15">
        <f>IF(AND(ISNUMBER($L54),$L54&lt;&gt;""),IF(INDEX(Data!$L:$L,$L54)="","—",INDEX(Data!$L:$L,$L54)),"")</f>
        <v/>
      </c>
      <c r="F54" s="15">
        <f>IF(AND(ISNUMBER($L54),$L54&lt;&gt;""),IF(INDEX(Data!$M:$M,$L54)="","—",INDEX(Data!$M:$M,$L54)),"")</f>
        <v/>
      </c>
      <c r="G54" s="16">
        <f>IF(AND(ISNUMBER($L54),$L54&lt;&gt;""),IF(INDEX(Data!$N:$N,$L54)="","—",INDEX(Data!$N:$N,$L54)),"")</f>
        <v/>
      </c>
      <c r="H54" s="17">
        <f>IF(AND(ISNUMBER($L54),$L54&lt;&gt;""),IF(INDEX(Data!$Q:$Q,$L54)="","—",INDEX(Data!$Q:$Q,$L54)),"")</f>
        <v/>
      </c>
      <c r="I54" s="18">
        <f>IF(AND(ISNUMBER($L54),$L54&lt;&gt;""),INDEX(Data!$E:$E,$L54),"")</f>
        <v/>
      </c>
      <c r="J54" s="18">
        <f>IF(AND(ISNUMBER($L54),$L54&lt;&gt;""),INDEX(Data!$F:$F,$L54),"")</f>
        <v/>
      </c>
      <c r="L54">
        <f>IFERROR(MATCH((YEAR($B$3)*10000+MONTH($B$3)*100+DAY($B$3))*1000+45,Data!$W:$W,0),"")</f>
        <v/>
      </c>
    </row>
    <row r="55">
      <c r="A55" s="19">
        <f>IF(AND(ISNUMBER($L55),$L55&lt;&gt;""),INDEX(Data!$G:$G,$L55),"")</f>
        <v/>
      </c>
      <c r="B55" s="20">
        <f>IF(AND(ISNUMBER($L55),$L55&lt;&gt;""),IF(INDEX(Data!$I:$I,$L55)="","—",INDEX(Data!$I:$I,$L55)),"")</f>
        <v/>
      </c>
      <c r="C55" s="20">
        <f>IF(AND(ISNUMBER($L55),$L55&lt;&gt;""),INDEX(Data!$J:$J,$L55),"")</f>
        <v/>
      </c>
      <c r="D55" s="20">
        <f>IF(AND(ISNUMBER($L55),$L55&lt;&gt;""),INDEX(Data!$K:$K,$L55),"")</f>
        <v/>
      </c>
      <c r="E55" s="20">
        <f>IF(AND(ISNUMBER($L55),$L55&lt;&gt;""),IF(INDEX(Data!$L:$L,$L55)="","—",INDEX(Data!$L:$L,$L55)),"")</f>
        <v/>
      </c>
      <c r="F55" s="20">
        <f>IF(AND(ISNUMBER($L55),$L55&lt;&gt;""),IF(INDEX(Data!$M:$M,$L55)="","—",INDEX(Data!$M:$M,$L55)),"")</f>
        <v/>
      </c>
      <c r="G55" s="21">
        <f>IF(AND(ISNUMBER($L55),$L55&lt;&gt;""),IF(INDEX(Data!$N:$N,$L55)="","—",INDEX(Data!$N:$N,$L55)),"")</f>
        <v/>
      </c>
      <c r="H55" s="22">
        <f>IF(AND(ISNUMBER($L55),$L55&lt;&gt;""),IF(INDEX(Data!$Q:$Q,$L55)="","—",INDEX(Data!$Q:$Q,$L55)),"")</f>
        <v/>
      </c>
      <c r="I55" s="23">
        <f>IF(AND(ISNUMBER($L55),$L55&lt;&gt;""),INDEX(Data!$E:$E,$L55),"")</f>
        <v/>
      </c>
      <c r="J55" s="23">
        <f>IF(AND(ISNUMBER($L55),$L55&lt;&gt;""),INDEX(Data!$F:$F,$L55),"")</f>
        <v/>
      </c>
      <c r="L55">
        <f>IFERROR(MATCH((YEAR($B$3)*10000+MONTH($B$3)*100+DAY($B$3))*1000+46,Data!$W:$W,0),"")</f>
        <v/>
      </c>
    </row>
    <row r="56">
      <c r="A56" s="14">
        <f>IF(AND(ISNUMBER($L56),$L56&lt;&gt;""),INDEX(Data!$G:$G,$L56),"")</f>
        <v/>
      </c>
      <c r="B56" s="15">
        <f>IF(AND(ISNUMBER($L56),$L56&lt;&gt;""),IF(INDEX(Data!$I:$I,$L56)="","—",INDEX(Data!$I:$I,$L56)),"")</f>
        <v/>
      </c>
      <c r="C56" s="15">
        <f>IF(AND(ISNUMBER($L56),$L56&lt;&gt;""),INDEX(Data!$J:$J,$L56),"")</f>
        <v/>
      </c>
      <c r="D56" s="15">
        <f>IF(AND(ISNUMBER($L56),$L56&lt;&gt;""),INDEX(Data!$K:$K,$L56),"")</f>
        <v/>
      </c>
      <c r="E56" s="15">
        <f>IF(AND(ISNUMBER($L56),$L56&lt;&gt;""),IF(INDEX(Data!$L:$L,$L56)="","—",INDEX(Data!$L:$L,$L56)),"")</f>
        <v/>
      </c>
      <c r="F56" s="15">
        <f>IF(AND(ISNUMBER($L56),$L56&lt;&gt;""),IF(INDEX(Data!$M:$M,$L56)="","—",INDEX(Data!$M:$M,$L56)),"")</f>
        <v/>
      </c>
      <c r="G56" s="16">
        <f>IF(AND(ISNUMBER($L56),$L56&lt;&gt;""),IF(INDEX(Data!$N:$N,$L56)="","—",INDEX(Data!$N:$N,$L56)),"")</f>
        <v/>
      </c>
      <c r="H56" s="17">
        <f>IF(AND(ISNUMBER($L56),$L56&lt;&gt;""),IF(INDEX(Data!$Q:$Q,$L56)="","—",INDEX(Data!$Q:$Q,$L56)),"")</f>
        <v/>
      </c>
      <c r="I56" s="18">
        <f>IF(AND(ISNUMBER($L56),$L56&lt;&gt;""),INDEX(Data!$E:$E,$L56),"")</f>
        <v/>
      </c>
      <c r="J56" s="18">
        <f>IF(AND(ISNUMBER($L56),$L56&lt;&gt;""),INDEX(Data!$F:$F,$L56),"")</f>
        <v/>
      </c>
      <c r="L56">
        <f>IFERROR(MATCH((YEAR($B$3)*10000+MONTH($B$3)*100+DAY($B$3))*1000+47,Data!$W:$W,0),"")</f>
        <v/>
      </c>
    </row>
    <row r="57">
      <c r="A57" s="19">
        <f>IF(AND(ISNUMBER($L57),$L57&lt;&gt;""),INDEX(Data!$G:$G,$L57),"")</f>
        <v/>
      </c>
      <c r="B57" s="20">
        <f>IF(AND(ISNUMBER($L57),$L57&lt;&gt;""),IF(INDEX(Data!$I:$I,$L57)="","—",INDEX(Data!$I:$I,$L57)),"")</f>
        <v/>
      </c>
      <c r="C57" s="20">
        <f>IF(AND(ISNUMBER($L57),$L57&lt;&gt;""),INDEX(Data!$J:$J,$L57),"")</f>
        <v/>
      </c>
      <c r="D57" s="20">
        <f>IF(AND(ISNUMBER($L57),$L57&lt;&gt;""),INDEX(Data!$K:$K,$L57),"")</f>
        <v/>
      </c>
      <c r="E57" s="20">
        <f>IF(AND(ISNUMBER($L57),$L57&lt;&gt;""),IF(INDEX(Data!$L:$L,$L57)="","—",INDEX(Data!$L:$L,$L57)),"")</f>
        <v/>
      </c>
      <c r="F57" s="20">
        <f>IF(AND(ISNUMBER($L57),$L57&lt;&gt;""),IF(INDEX(Data!$M:$M,$L57)="","—",INDEX(Data!$M:$M,$L57)),"")</f>
        <v/>
      </c>
      <c r="G57" s="21">
        <f>IF(AND(ISNUMBER($L57),$L57&lt;&gt;""),IF(INDEX(Data!$N:$N,$L57)="","—",INDEX(Data!$N:$N,$L57)),"")</f>
        <v/>
      </c>
      <c r="H57" s="22">
        <f>IF(AND(ISNUMBER($L57),$L57&lt;&gt;""),IF(INDEX(Data!$Q:$Q,$L57)="","—",INDEX(Data!$Q:$Q,$L57)),"")</f>
        <v/>
      </c>
      <c r="I57" s="23">
        <f>IF(AND(ISNUMBER($L57),$L57&lt;&gt;""),INDEX(Data!$E:$E,$L57),"")</f>
        <v/>
      </c>
      <c r="J57" s="23">
        <f>IF(AND(ISNUMBER($L57),$L57&lt;&gt;""),INDEX(Data!$F:$F,$L57),"")</f>
        <v/>
      </c>
      <c r="L57">
        <f>IFERROR(MATCH((YEAR($B$3)*10000+MONTH($B$3)*100+DAY($B$3))*1000+48,Data!$W:$W,0),"")</f>
        <v/>
      </c>
    </row>
    <row r="58">
      <c r="A58" s="14">
        <f>IF(AND(ISNUMBER($L58),$L58&lt;&gt;""),INDEX(Data!$G:$G,$L58),"")</f>
        <v/>
      </c>
      <c r="B58" s="15">
        <f>IF(AND(ISNUMBER($L58),$L58&lt;&gt;""),IF(INDEX(Data!$I:$I,$L58)="","—",INDEX(Data!$I:$I,$L58)),"")</f>
        <v/>
      </c>
      <c r="C58" s="15">
        <f>IF(AND(ISNUMBER($L58),$L58&lt;&gt;""),INDEX(Data!$J:$J,$L58),"")</f>
        <v/>
      </c>
      <c r="D58" s="15">
        <f>IF(AND(ISNUMBER($L58),$L58&lt;&gt;""),INDEX(Data!$K:$K,$L58),"")</f>
        <v/>
      </c>
      <c r="E58" s="15">
        <f>IF(AND(ISNUMBER($L58),$L58&lt;&gt;""),IF(INDEX(Data!$L:$L,$L58)="","—",INDEX(Data!$L:$L,$L58)),"")</f>
        <v/>
      </c>
      <c r="F58" s="15">
        <f>IF(AND(ISNUMBER($L58),$L58&lt;&gt;""),IF(INDEX(Data!$M:$M,$L58)="","—",INDEX(Data!$M:$M,$L58)),"")</f>
        <v/>
      </c>
      <c r="G58" s="16">
        <f>IF(AND(ISNUMBER($L58),$L58&lt;&gt;""),IF(INDEX(Data!$N:$N,$L58)="","—",INDEX(Data!$N:$N,$L58)),"")</f>
        <v/>
      </c>
      <c r="H58" s="17">
        <f>IF(AND(ISNUMBER($L58),$L58&lt;&gt;""),IF(INDEX(Data!$Q:$Q,$L58)="","—",INDEX(Data!$Q:$Q,$L58)),"")</f>
        <v/>
      </c>
      <c r="I58" s="18">
        <f>IF(AND(ISNUMBER($L58),$L58&lt;&gt;""),INDEX(Data!$E:$E,$L58),"")</f>
        <v/>
      </c>
      <c r="J58" s="18">
        <f>IF(AND(ISNUMBER($L58),$L58&lt;&gt;""),INDEX(Data!$F:$F,$L58),"")</f>
        <v/>
      </c>
      <c r="L58">
        <f>IFERROR(MATCH((YEAR($B$3)*10000+MONTH($B$3)*100+DAY($B$3))*1000+49,Data!$W:$W,0),"")</f>
        <v/>
      </c>
    </row>
    <row r="59">
      <c r="A59" s="19">
        <f>IF(AND(ISNUMBER($L59),$L59&lt;&gt;""),INDEX(Data!$G:$G,$L59),"")</f>
        <v/>
      </c>
      <c r="B59" s="20">
        <f>IF(AND(ISNUMBER($L59),$L59&lt;&gt;""),IF(INDEX(Data!$I:$I,$L59)="","—",INDEX(Data!$I:$I,$L59)),"")</f>
        <v/>
      </c>
      <c r="C59" s="20">
        <f>IF(AND(ISNUMBER($L59),$L59&lt;&gt;""),INDEX(Data!$J:$J,$L59),"")</f>
        <v/>
      </c>
      <c r="D59" s="20">
        <f>IF(AND(ISNUMBER($L59),$L59&lt;&gt;""),INDEX(Data!$K:$K,$L59),"")</f>
        <v/>
      </c>
      <c r="E59" s="20">
        <f>IF(AND(ISNUMBER($L59),$L59&lt;&gt;""),IF(INDEX(Data!$L:$L,$L59)="","—",INDEX(Data!$L:$L,$L59)),"")</f>
        <v/>
      </c>
      <c r="F59" s="20">
        <f>IF(AND(ISNUMBER($L59),$L59&lt;&gt;""),IF(INDEX(Data!$M:$M,$L59)="","—",INDEX(Data!$M:$M,$L59)),"")</f>
        <v/>
      </c>
      <c r="G59" s="21">
        <f>IF(AND(ISNUMBER($L59),$L59&lt;&gt;""),IF(INDEX(Data!$N:$N,$L59)="","—",INDEX(Data!$N:$N,$L59)),"")</f>
        <v/>
      </c>
      <c r="H59" s="22">
        <f>IF(AND(ISNUMBER($L59),$L59&lt;&gt;""),IF(INDEX(Data!$Q:$Q,$L59)="","—",INDEX(Data!$Q:$Q,$L59)),"")</f>
        <v/>
      </c>
      <c r="I59" s="23">
        <f>IF(AND(ISNUMBER($L59),$L59&lt;&gt;""),INDEX(Data!$E:$E,$L59),"")</f>
        <v/>
      </c>
      <c r="J59" s="23">
        <f>IF(AND(ISNUMBER($L59),$L59&lt;&gt;""),INDEX(Data!$F:$F,$L59),"")</f>
        <v/>
      </c>
      <c r="L59">
        <f>IFERROR(MATCH((YEAR($B$3)*10000+MONTH($B$3)*100+DAY($B$3))*1000+50,Data!$W:$W,0),"")</f>
        <v/>
      </c>
    </row>
    <row r="60">
      <c r="A60" s="14">
        <f>IF(AND(ISNUMBER($L60),$L60&lt;&gt;""),INDEX(Data!$G:$G,$L60),"")</f>
        <v/>
      </c>
      <c r="B60" s="15">
        <f>IF(AND(ISNUMBER($L60),$L60&lt;&gt;""),IF(INDEX(Data!$I:$I,$L60)="","—",INDEX(Data!$I:$I,$L60)),"")</f>
        <v/>
      </c>
      <c r="C60" s="15">
        <f>IF(AND(ISNUMBER($L60),$L60&lt;&gt;""),INDEX(Data!$J:$J,$L60),"")</f>
        <v/>
      </c>
      <c r="D60" s="15">
        <f>IF(AND(ISNUMBER($L60),$L60&lt;&gt;""),INDEX(Data!$K:$K,$L60),"")</f>
        <v/>
      </c>
      <c r="E60" s="15">
        <f>IF(AND(ISNUMBER($L60),$L60&lt;&gt;""),IF(INDEX(Data!$L:$L,$L60)="","—",INDEX(Data!$L:$L,$L60)),"")</f>
        <v/>
      </c>
      <c r="F60" s="15">
        <f>IF(AND(ISNUMBER($L60),$L60&lt;&gt;""),IF(INDEX(Data!$M:$M,$L60)="","—",INDEX(Data!$M:$M,$L60)),"")</f>
        <v/>
      </c>
      <c r="G60" s="16">
        <f>IF(AND(ISNUMBER($L60),$L60&lt;&gt;""),IF(INDEX(Data!$N:$N,$L60)="","—",INDEX(Data!$N:$N,$L60)),"")</f>
        <v/>
      </c>
      <c r="H60" s="17">
        <f>IF(AND(ISNUMBER($L60),$L60&lt;&gt;""),IF(INDEX(Data!$Q:$Q,$L60)="","—",INDEX(Data!$Q:$Q,$L60)),"")</f>
        <v/>
      </c>
      <c r="I60" s="18">
        <f>IF(AND(ISNUMBER($L60),$L60&lt;&gt;""),INDEX(Data!$E:$E,$L60),"")</f>
        <v/>
      </c>
      <c r="J60" s="18">
        <f>IF(AND(ISNUMBER($L60),$L60&lt;&gt;""),INDEX(Data!$F:$F,$L60),"")</f>
        <v/>
      </c>
      <c r="L60">
        <f>IFERROR(MATCH((YEAR($B$3)*10000+MONTH($B$3)*100+DAY($B$3))*1000+51,Data!$W:$W,0),"")</f>
        <v/>
      </c>
    </row>
    <row r="61">
      <c r="A61" s="19">
        <f>IF(AND(ISNUMBER($L61),$L61&lt;&gt;""),INDEX(Data!$G:$G,$L61),"")</f>
        <v/>
      </c>
      <c r="B61" s="20">
        <f>IF(AND(ISNUMBER($L61),$L61&lt;&gt;""),IF(INDEX(Data!$I:$I,$L61)="","—",INDEX(Data!$I:$I,$L61)),"")</f>
        <v/>
      </c>
      <c r="C61" s="20">
        <f>IF(AND(ISNUMBER($L61),$L61&lt;&gt;""),INDEX(Data!$J:$J,$L61),"")</f>
        <v/>
      </c>
      <c r="D61" s="20">
        <f>IF(AND(ISNUMBER($L61),$L61&lt;&gt;""),INDEX(Data!$K:$K,$L61),"")</f>
        <v/>
      </c>
      <c r="E61" s="20">
        <f>IF(AND(ISNUMBER($L61),$L61&lt;&gt;""),IF(INDEX(Data!$L:$L,$L61)="","—",INDEX(Data!$L:$L,$L61)),"")</f>
        <v/>
      </c>
      <c r="F61" s="20">
        <f>IF(AND(ISNUMBER($L61),$L61&lt;&gt;""),IF(INDEX(Data!$M:$M,$L61)="","—",INDEX(Data!$M:$M,$L61)),"")</f>
        <v/>
      </c>
      <c r="G61" s="21">
        <f>IF(AND(ISNUMBER($L61),$L61&lt;&gt;""),IF(INDEX(Data!$N:$N,$L61)="","—",INDEX(Data!$N:$N,$L61)),"")</f>
        <v/>
      </c>
      <c r="H61" s="22">
        <f>IF(AND(ISNUMBER($L61),$L61&lt;&gt;""),IF(INDEX(Data!$Q:$Q,$L61)="","—",INDEX(Data!$Q:$Q,$L61)),"")</f>
        <v/>
      </c>
      <c r="I61" s="23">
        <f>IF(AND(ISNUMBER($L61),$L61&lt;&gt;""),INDEX(Data!$E:$E,$L61),"")</f>
        <v/>
      </c>
      <c r="J61" s="23">
        <f>IF(AND(ISNUMBER($L61),$L61&lt;&gt;""),INDEX(Data!$F:$F,$L61),"")</f>
        <v/>
      </c>
      <c r="L61">
        <f>IFERROR(MATCH((YEAR($B$3)*10000+MONTH($B$3)*100+DAY($B$3))*1000+52,Data!$W:$W,0),"")</f>
        <v/>
      </c>
    </row>
    <row r="62">
      <c r="A62" s="14">
        <f>IF(AND(ISNUMBER($L62),$L62&lt;&gt;""),INDEX(Data!$G:$G,$L62),"")</f>
        <v/>
      </c>
      <c r="B62" s="15">
        <f>IF(AND(ISNUMBER($L62),$L62&lt;&gt;""),IF(INDEX(Data!$I:$I,$L62)="","—",INDEX(Data!$I:$I,$L62)),"")</f>
        <v/>
      </c>
      <c r="C62" s="15">
        <f>IF(AND(ISNUMBER($L62),$L62&lt;&gt;""),INDEX(Data!$J:$J,$L62),"")</f>
        <v/>
      </c>
      <c r="D62" s="15">
        <f>IF(AND(ISNUMBER($L62),$L62&lt;&gt;""),INDEX(Data!$K:$K,$L62),"")</f>
        <v/>
      </c>
      <c r="E62" s="15">
        <f>IF(AND(ISNUMBER($L62),$L62&lt;&gt;""),IF(INDEX(Data!$L:$L,$L62)="","—",INDEX(Data!$L:$L,$L62)),"")</f>
        <v/>
      </c>
      <c r="F62" s="15">
        <f>IF(AND(ISNUMBER($L62),$L62&lt;&gt;""),IF(INDEX(Data!$M:$M,$L62)="","—",INDEX(Data!$M:$M,$L62)),"")</f>
        <v/>
      </c>
      <c r="G62" s="16">
        <f>IF(AND(ISNUMBER($L62),$L62&lt;&gt;""),IF(INDEX(Data!$N:$N,$L62)="","—",INDEX(Data!$N:$N,$L62)),"")</f>
        <v/>
      </c>
      <c r="H62" s="17">
        <f>IF(AND(ISNUMBER($L62),$L62&lt;&gt;""),IF(INDEX(Data!$Q:$Q,$L62)="","—",INDEX(Data!$Q:$Q,$L62)),"")</f>
        <v/>
      </c>
      <c r="I62" s="18">
        <f>IF(AND(ISNUMBER($L62),$L62&lt;&gt;""),INDEX(Data!$E:$E,$L62),"")</f>
        <v/>
      </c>
      <c r="J62" s="18">
        <f>IF(AND(ISNUMBER($L62),$L62&lt;&gt;""),INDEX(Data!$F:$F,$L62),"")</f>
        <v/>
      </c>
      <c r="L62">
        <f>IFERROR(MATCH((YEAR($B$3)*10000+MONTH($B$3)*100+DAY($B$3))*1000+53,Data!$W:$W,0),"")</f>
        <v/>
      </c>
    </row>
    <row r="63">
      <c r="A63" s="19">
        <f>IF(AND(ISNUMBER($L63),$L63&lt;&gt;""),INDEX(Data!$G:$G,$L63),"")</f>
        <v/>
      </c>
      <c r="B63" s="20">
        <f>IF(AND(ISNUMBER($L63),$L63&lt;&gt;""),IF(INDEX(Data!$I:$I,$L63)="","—",INDEX(Data!$I:$I,$L63)),"")</f>
        <v/>
      </c>
      <c r="C63" s="20">
        <f>IF(AND(ISNUMBER($L63),$L63&lt;&gt;""),INDEX(Data!$J:$J,$L63),"")</f>
        <v/>
      </c>
      <c r="D63" s="20">
        <f>IF(AND(ISNUMBER($L63),$L63&lt;&gt;""),INDEX(Data!$K:$K,$L63),"")</f>
        <v/>
      </c>
      <c r="E63" s="20">
        <f>IF(AND(ISNUMBER($L63),$L63&lt;&gt;""),IF(INDEX(Data!$L:$L,$L63)="","—",INDEX(Data!$L:$L,$L63)),"")</f>
        <v/>
      </c>
      <c r="F63" s="20">
        <f>IF(AND(ISNUMBER($L63),$L63&lt;&gt;""),IF(INDEX(Data!$M:$M,$L63)="","—",INDEX(Data!$M:$M,$L63)),"")</f>
        <v/>
      </c>
      <c r="G63" s="21">
        <f>IF(AND(ISNUMBER($L63),$L63&lt;&gt;""),IF(INDEX(Data!$N:$N,$L63)="","—",INDEX(Data!$N:$N,$L63)),"")</f>
        <v/>
      </c>
      <c r="H63" s="22">
        <f>IF(AND(ISNUMBER($L63),$L63&lt;&gt;""),IF(INDEX(Data!$Q:$Q,$L63)="","—",INDEX(Data!$Q:$Q,$L63)),"")</f>
        <v/>
      </c>
      <c r="I63" s="23">
        <f>IF(AND(ISNUMBER($L63),$L63&lt;&gt;""),INDEX(Data!$E:$E,$L63),"")</f>
        <v/>
      </c>
      <c r="J63" s="23">
        <f>IF(AND(ISNUMBER($L63),$L63&lt;&gt;""),INDEX(Data!$F:$F,$L63),"")</f>
        <v/>
      </c>
      <c r="L63">
        <f>IFERROR(MATCH((YEAR($B$3)*10000+MONTH($B$3)*100+DAY($B$3))*1000+54,Data!$W:$W,0),"")</f>
        <v/>
      </c>
    </row>
    <row r="64">
      <c r="A64" s="14">
        <f>IF(AND(ISNUMBER($L64),$L64&lt;&gt;""),INDEX(Data!$G:$G,$L64),"")</f>
        <v/>
      </c>
      <c r="B64" s="15">
        <f>IF(AND(ISNUMBER($L64),$L64&lt;&gt;""),IF(INDEX(Data!$I:$I,$L64)="","—",INDEX(Data!$I:$I,$L64)),"")</f>
        <v/>
      </c>
      <c r="C64" s="15">
        <f>IF(AND(ISNUMBER($L64),$L64&lt;&gt;""),INDEX(Data!$J:$J,$L64),"")</f>
        <v/>
      </c>
      <c r="D64" s="15">
        <f>IF(AND(ISNUMBER($L64),$L64&lt;&gt;""),INDEX(Data!$K:$K,$L64),"")</f>
        <v/>
      </c>
      <c r="E64" s="15">
        <f>IF(AND(ISNUMBER($L64),$L64&lt;&gt;""),IF(INDEX(Data!$L:$L,$L64)="","—",INDEX(Data!$L:$L,$L64)),"")</f>
        <v/>
      </c>
      <c r="F64" s="15">
        <f>IF(AND(ISNUMBER($L64),$L64&lt;&gt;""),IF(INDEX(Data!$M:$M,$L64)="","—",INDEX(Data!$M:$M,$L64)),"")</f>
        <v/>
      </c>
      <c r="G64" s="16">
        <f>IF(AND(ISNUMBER($L64),$L64&lt;&gt;""),IF(INDEX(Data!$N:$N,$L64)="","—",INDEX(Data!$N:$N,$L64)),"")</f>
        <v/>
      </c>
      <c r="H64" s="17">
        <f>IF(AND(ISNUMBER($L64),$L64&lt;&gt;""),IF(INDEX(Data!$Q:$Q,$L64)="","—",INDEX(Data!$Q:$Q,$L64)),"")</f>
        <v/>
      </c>
      <c r="I64" s="18">
        <f>IF(AND(ISNUMBER($L64),$L64&lt;&gt;""),INDEX(Data!$E:$E,$L64),"")</f>
        <v/>
      </c>
      <c r="J64" s="18">
        <f>IF(AND(ISNUMBER($L64),$L64&lt;&gt;""),INDEX(Data!$F:$F,$L64),"")</f>
        <v/>
      </c>
      <c r="L64">
        <f>IFERROR(MATCH((YEAR($B$3)*10000+MONTH($B$3)*100+DAY($B$3))*1000+55,Data!$W:$W,0),"")</f>
        <v/>
      </c>
    </row>
    <row r="65">
      <c r="A65" s="19">
        <f>IF(AND(ISNUMBER($L65),$L65&lt;&gt;""),INDEX(Data!$G:$G,$L65),"")</f>
        <v/>
      </c>
      <c r="B65" s="20">
        <f>IF(AND(ISNUMBER($L65),$L65&lt;&gt;""),IF(INDEX(Data!$I:$I,$L65)="","—",INDEX(Data!$I:$I,$L65)),"")</f>
        <v/>
      </c>
      <c r="C65" s="20">
        <f>IF(AND(ISNUMBER($L65),$L65&lt;&gt;""),INDEX(Data!$J:$J,$L65),"")</f>
        <v/>
      </c>
      <c r="D65" s="20">
        <f>IF(AND(ISNUMBER($L65),$L65&lt;&gt;""),INDEX(Data!$K:$K,$L65),"")</f>
        <v/>
      </c>
      <c r="E65" s="20">
        <f>IF(AND(ISNUMBER($L65),$L65&lt;&gt;""),IF(INDEX(Data!$L:$L,$L65)="","—",INDEX(Data!$L:$L,$L65)),"")</f>
        <v/>
      </c>
      <c r="F65" s="20">
        <f>IF(AND(ISNUMBER($L65),$L65&lt;&gt;""),IF(INDEX(Data!$M:$M,$L65)="","—",INDEX(Data!$M:$M,$L65)),"")</f>
        <v/>
      </c>
      <c r="G65" s="21">
        <f>IF(AND(ISNUMBER($L65),$L65&lt;&gt;""),IF(INDEX(Data!$N:$N,$L65)="","—",INDEX(Data!$N:$N,$L65)),"")</f>
        <v/>
      </c>
      <c r="H65" s="22">
        <f>IF(AND(ISNUMBER($L65),$L65&lt;&gt;""),IF(INDEX(Data!$Q:$Q,$L65)="","—",INDEX(Data!$Q:$Q,$L65)),"")</f>
        <v/>
      </c>
      <c r="I65" s="23">
        <f>IF(AND(ISNUMBER($L65),$L65&lt;&gt;""),INDEX(Data!$E:$E,$L65),"")</f>
        <v/>
      </c>
      <c r="J65" s="23">
        <f>IF(AND(ISNUMBER($L65),$L65&lt;&gt;""),INDEX(Data!$F:$F,$L65),"")</f>
        <v/>
      </c>
      <c r="L65">
        <f>IFERROR(MATCH((YEAR($B$3)*10000+MONTH($B$3)*100+DAY($B$3))*1000+56,Data!$W:$W,0),"")</f>
        <v/>
      </c>
    </row>
    <row r="66">
      <c r="A66" s="14">
        <f>IF(AND(ISNUMBER($L66),$L66&lt;&gt;""),INDEX(Data!$G:$G,$L66),"")</f>
        <v/>
      </c>
      <c r="B66" s="15">
        <f>IF(AND(ISNUMBER($L66),$L66&lt;&gt;""),IF(INDEX(Data!$I:$I,$L66)="","—",INDEX(Data!$I:$I,$L66)),"")</f>
        <v/>
      </c>
      <c r="C66" s="15">
        <f>IF(AND(ISNUMBER($L66),$L66&lt;&gt;""),INDEX(Data!$J:$J,$L66),"")</f>
        <v/>
      </c>
      <c r="D66" s="15">
        <f>IF(AND(ISNUMBER($L66),$L66&lt;&gt;""),INDEX(Data!$K:$K,$L66),"")</f>
        <v/>
      </c>
      <c r="E66" s="15">
        <f>IF(AND(ISNUMBER($L66),$L66&lt;&gt;""),IF(INDEX(Data!$L:$L,$L66)="","—",INDEX(Data!$L:$L,$L66)),"")</f>
        <v/>
      </c>
      <c r="F66" s="15">
        <f>IF(AND(ISNUMBER($L66),$L66&lt;&gt;""),IF(INDEX(Data!$M:$M,$L66)="","—",INDEX(Data!$M:$M,$L66)),"")</f>
        <v/>
      </c>
      <c r="G66" s="16">
        <f>IF(AND(ISNUMBER($L66),$L66&lt;&gt;""),IF(INDEX(Data!$N:$N,$L66)="","—",INDEX(Data!$N:$N,$L66)),"")</f>
        <v/>
      </c>
      <c r="H66" s="17">
        <f>IF(AND(ISNUMBER($L66),$L66&lt;&gt;""),IF(INDEX(Data!$Q:$Q,$L66)="","—",INDEX(Data!$Q:$Q,$L66)),"")</f>
        <v/>
      </c>
      <c r="I66" s="18">
        <f>IF(AND(ISNUMBER($L66),$L66&lt;&gt;""),INDEX(Data!$E:$E,$L66),"")</f>
        <v/>
      </c>
      <c r="J66" s="18">
        <f>IF(AND(ISNUMBER($L66),$L66&lt;&gt;""),INDEX(Data!$F:$F,$L66),"")</f>
        <v/>
      </c>
      <c r="L66">
        <f>IFERROR(MATCH((YEAR($B$3)*10000+MONTH($B$3)*100+DAY($B$3))*1000+57,Data!$W:$W,0),"")</f>
        <v/>
      </c>
    </row>
    <row r="67">
      <c r="A67" s="19">
        <f>IF(AND(ISNUMBER($L67),$L67&lt;&gt;""),INDEX(Data!$G:$G,$L67),"")</f>
        <v/>
      </c>
      <c r="B67" s="20">
        <f>IF(AND(ISNUMBER($L67),$L67&lt;&gt;""),IF(INDEX(Data!$I:$I,$L67)="","—",INDEX(Data!$I:$I,$L67)),"")</f>
        <v/>
      </c>
      <c r="C67" s="20">
        <f>IF(AND(ISNUMBER($L67),$L67&lt;&gt;""),INDEX(Data!$J:$J,$L67),"")</f>
        <v/>
      </c>
      <c r="D67" s="20">
        <f>IF(AND(ISNUMBER($L67),$L67&lt;&gt;""),INDEX(Data!$K:$K,$L67),"")</f>
        <v/>
      </c>
      <c r="E67" s="20">
        <f>IF(AND(ISNUMBER($L67),$L67&lt;&gt;""),IF(INDEX(Data!$L:$L,$L67)="","—",INDEX(Data!$L:$L,$L67)),"")</f>
        <v/>
      </c>
      <c r="F67" s="20">
        <f>IF(AND(ISNUMBER($L67),$L67&lt;&gt;""),IF(INDEX(Data!$M:$M,$L67)="","—",INDEX(Data!$M:$M,$L67)),"")</f>
        <v/>
      </c>
      <c r="G67" s="21">
        <f>IF(AND(ISNUMBER($L67),$L67&lt;&gt;""),IF(INDEX(Data!$N:$N,$L67)="","—",INDEX(Data!$N:$N,$L67)),"")</f>
        <v/>
      </c>
      <c r="H67" s="22">
        <f>IF(AND(ISNUMBER($L67),$L67&lt;&gt;""),IF(INDEX(Data!$Q:$Q,$L67)="","—",INDEX(Data!$Q:$Q,$L67)),"")</f>
        <v/>
      </c>
      <c r="I67" s="23">
        <f>IF(AND(ISNUMBER($L67),$L67&lt;&gt;""),INDEX(Data!$E:$E,$L67),"")</f>
        <v/>
      </c>
      <c r="J67" s="23">
        <f>IF(AND(ISNUMBER($L67),$L67&lt;&gt;""),INDEX(Data!$F:$F,$L67),"")</f>
        <v/>
      </c>
      <c r="L67">
        <f>IFERROR(MATCH((YEAR($B$3)*10000+MONTH($B$3)*100+DAY($B$3))*1000+58,Data!$W:$W,0),"")</f>
        <v/>
      </c>
    </row>
    <row r="68">
      <c r="A68" s="14">
        <f>IF(AND(ISNUMBER($L68),$L68&lt;&gt;""),INDEX(Data!$G:$G,$L68),"")</f>
        <v/>
      </c>
      <c r="B68" s="15">
        <f>IF(AND(ISNUMBER($L68),$L68&lt;&gt;""),IF(INDEX(Data!$I:$I,$L68)="","—",INDEX(Data!$I:$I,$L68)),"")</f>
        <v/>
      </c>
      <c r="C68" s="15">
        <f>IF(AND(ISNUMBER($L68),$L68&lt;&gt;""),INDEX(Data!$J:$J,$L68),"")</f>
        <v/>
      </c>
      <c r="D68" s="15">
        <f>IF(AND(ISNUMBER($L68),$L68&lt;&gt;""),INDEX(Data!$K:$K,$L68),"")</f>
        <v/>
      </c>
      <c r="E68" s="15">
        <f>IF(AND(ISNUMBER($L68),$L68&lt;&gt;""),IF(INDEX(Data!$L:$L,$L68)="","—",INDEX(Data!$L:$L,$L68)),"")</f>
        <v/>
      </c>
      <c r="F68" s="15">
        <f>IF(AND(ISNUMBER($L68),$L68&lt;&gt;""),IF(INDEX(Data!$M:$M,$L68)="","—",INDEX(Data!$M:$M,$L68)),"")</f>
        <v/>
      </c>
      <c r="G68" s="16">
        <f>IF(AND(ISNUMBER($L68),$L68&lt;&gt;""),IF(INDEX(Data!$N:$N,$L68)="","—",INDEX(Data!$N:$N,$L68)),"")</f>
        <v/>
      </c>
      <c r="H68" s="17">
        <f>IF(AND(ISNUMBER($L68),$L68&lt;&gt;""),IF(INDEX(Data!$Q:$Q,$L68)="","—",INDEX(Data!$Q:$Q,$L68)),"")</f>
        <v/>
      </c>
      <c r="I68" s="18">
        <f>IF(AND(ISNUMBER($L68),$L68&lt;&gt;""),INDEX(Data!$E:$E,$L68),"")</f>
        <v/>
      </c>
      <c r="J68" s="18">
        <f>IF(AND(ISNUMBER($L68),$L68&lt;&gt;""),INDEX(Data!$F:$F,$L68),"")</f>
        <v/>
      </c>
      <c r="L68">
        <f>IFERROR(MATCH((YEAR($B$3)*10000+MONTH($B$3)*100+DAY($B$3))*1000+59,Data!$W:$W,0),"")</f>
        <v/>
      </c>
    </row>
    <row r="69">
      <c r="A69" s="19">
        <f>IF(AND(ISNUMBER($L69),$L69&lt;&gt;""),INDEX(Data!$G:$G,$L69),"")</f>
        <v/>
      </c>
      <c r="B69" s="20">
        <f>IF(AND(ISNUMBER($L69),$L69&lt;&gt;""),IF(INDEX(Data!$I:$I,$L69)="","—",INDEX(Data!$I:$I,$L69)),"")</f>
        <v/>
      </c>
      <c r="C69" s="20">
        <f>IF(AND(ISNUMBER($L69),$L69&lt;&gt;""),INDEX(Data!$J:$J,$L69),"")</f>
        <v/>
      </c>
      <c r="D69" s="20">
        <f>IF(AND(ISNUMBER($L69),$L69&lt;&gt;""),INDEX(Data!$K:$K,$L69),"")</f>
        <v/>
      </c>
      <c r="E69" s="20">
        <f>IF(AND(ISNUMBER($L69),$L69&lt;&gt;""),IF(INDEX(Data!$L:$L,$L69)="","—",INDEX(Data!$L:$L,$L69)),"")</f>
        <v/>
      </c>
      <c r="F69" s="20">
        <f>IF(AND(ISNUMBER($L69),$L69&lt;&gt;""),IF(INDEX(Data!$M:$M,$L69)="","—",INDEX(Data!$M:$M,$L69)),"")</f>
        <v/>
      </c>
      <c r="G69" s="21">
        <f>IF(AND(ISNUMBER($L69),$L69&lt;&gt;""),IF(INDEX(Data!$N:$N,$L69)="","—",INDEX(Data!$N:$N,$L69)),"")</f>
        <v/>
      </c>
      <c r="H69" s="22">
        <f>IF(AND(ISNUMBER($L69),$L69&lt;&gt;""),IF(INDEX(Data!$Q:$Q,$L69)="","—",INDEX(Data!$Q:$Q,$L69)),"")</f>
        <v/>
      </c>
      <c r="I69" s="23">
        <f>IF(AND(ISNUMBER($L69),$L69&lt;&gt;""),INDEX(Data!$E:$E,$L69),"")</f>
        <v/>
      </c>
      <c r="J69" s="23">
        <f>IF(AND(ISNUMBER($L69),$L69&lt;&gt;""),INDEX(Data!$F:$F,$L69),"")</f>
        <v/>
      </c>
      <c r="L69">
        <f>IFERROR(MATCH((YEAR($B$3)*10000+MONTH($B$3)*100+DAY($B$3))*1000+60,Data!$W:$W,0),"")</f>
        <v/>
      </c>
    </row>
    <row r="70">
      <c r="A70" s="14">
        <f>IF(AND(ISNUMBER($L70),$L70&lt;&gt;""),INDEX(Data!$G:$G,$L70),"")</f>
        <v/>
      </c>
      <c r="B70" s="15">
        <f>IF(AND(ISNUMBER($L70),$L70&lt;&gt;""),IF(INDEX(Data!$I:$I,$L70)="","—",INDEX(Data!$I:$I,$L70)),"")</f>
        <v/>
      </c>
      <c r="C70" s="15">
        <f>IF(AND(ISNUMBER($L70),$L70&lt;&gt;""),INDEX(Data!$J:$J,$L70),"")</f>
        <v/>
      </c>
      <c r="D70" s="15">
        <f>IF(AND(ISNUMBER($L70),$L70&lt;&gt;""),INDEX(Data!$K:$K,$L70),"")</f>
        <v/>
      </c>
      <c r="E70" s="15">
        <f>IF(AND(ISNUMBER($L70),$L70&lt;&gt;""),IF(INDEX(Data!$L:$L,$L70)="","—",INDEX(Data!$L:$L,$L70)),"")</f>
        <v/>
      </c>
      <c r="F70" s="15">
        <f>IF(AND(ISNUMBER($L70),$L70&lt;&gt;""),IF(INDEX(Data!$M:$M,$L70)="","—",INDEX(Data!$M:$M,$L70)),"")</f>
        <v/>
      </c>
      <c r="G70" s="16">
        <f>IF(AND(ISNUMBER($L70),$L70&lt;&gt;""),IF(INDEX(Data!$N:$N,$L70)="","—",INDEX(Data!$N:$N,$L70)),"")</f>
        <v/>
      </c>
      <c r="H70" s="17">
        <f>IF(AND(ISNUMBER($L70),$L70&lt;&gt;""),IF(INDEX(Data!$Q:$Q,$L70)="","—",INDEX(Data!$Q:$Q,$L70)),"")</f>
        <v/>
      </c>
      <c r="I70" s="18">
        <f>IF(AND(ISNUMBER($L70),$L70&lt;&gt;""),INDEX(Data!$E:$E,$L70),"")</f>
        <v/>
      </c>
      <c r="J70" s="18">
        <f>IF(AND(ISNUMBER($L70),$L70&lt;&gt;""),INDEX(Data!$F:$F,$L70),"")</f>
        <v/>
      </c>
      <c r="L70">
        <f>IFERROR(MATCH((YEAR($B$3)*10000+MONTH($B$3)*100+DAY($B$3))*1000+61,Data!$W:$W,0),"")</f>
        <v/>
      </c>
    </row>
    <row r="71">
      <c r="A71" s="19">
        <f>IF(AND(ISNUMBER($L71),$L71&lt;&gt;""),INDEX(Data!$G:$G,$L71),"")</f>
        <v/>
      </c>
      <c r="B71" s="20">
        <f>IF(AND(ISNUMBER($L71),$L71&lt;&gt;""),IF(INDEX(Data!$I:$I,$L71)="","—",INDEX(Data!$I:$I,$L71)),"")</f>
        <v/>
      </c>
      <c r="C71" s="20">
        <f>IF(AND(ISNUMBER($L71),$L71&lt;&gt;""),INDEX(Data!$J:$J,$L71),"")</f>
        <v/>
      </c>
      <c r="D71" s="20">
        <f>IF(AND(ISNUMBER($L71),$L71&lt;&gt;""),INDEX(Data!$K:$K,$L71),"")</f>
        <v/>
      </c>
      <c r="E71" s="20">
        <f>IF(AND(ISNUMBER($L71),$L71&lt;&gt;""),IF(INDEX(Data!$L:$L,$L71)="","—",INDEX(Data!$L:$L,$L71)),"")</f>
        <v/>
      </c>
      <c r="F71" s="20">
        <f>IF(AND(ISNUMBER($L71),$L71&lt;&gt;""),IF(INDEX(Data!$M:$M,$L71)="","—",INDEX(Data!$M:$M,$L71)),"")</f>
        <v/>
      </c>
      <c r="G71" s="21">
        <f>IF(AND(ISNUMBER($L71),$L71&lt;&gt;""),IF(INDEX(Data!$N:$N,$L71)="","—",INDEX(Data!$N:$N,$L71)),"")</f>
        <v/>
      </c>
      <c r="H71" s="22">
        <f>IF(AND(ISNUMBER($L71),$L71&lt;&gt;""),IF(INDEX(Data!$Q:$Q,$L71)="","—",INDEX(Data!$Q:$Q,$L71)),"")</f>
        <v/>
      </c>
      <c r="I71" s="23">
        <f>IF(AND(ISNUMBER($L71),$L71&lt;&gt;""),INDEX(Data!$E:$E,$L71),"")</f>
        <v/>
      </c>
      <c r="J71" s="23">
        <f>IF(AND(ISNUMBER($L71),$L71&lt;&gt;""),INDEX(Data!$F:$F,$L71),"")</f>
        <v/>
      </c>
      <c r="L71">
        <f>IFERROR(MATCH((YEAR($B$3)*10000+MONTH($B$3)*100+DAY($B$3))*1000+62,Data!$W:$W,0),"")</f>
        <v/>
      </c>
    </row>
    <row r="72">
      <c r="A72" s="14">
        <f>IF(AND(ISNUMBER($L72),$L72&lt;&gt;""),INDEX(Data!$G:$G,$L72),"")</f>
        <v/>
      </c>
      <c r="B72" s="15">
        <f>IF(AND(ISNUMBER($L72),$L72&lt;&gt;""),IF(INDEX(Data!$I:$I,$L72)="","—",INDEX(Data!$I:$I,$L72)),"")</f>
        <v/>
      </c>
      <c r="C72" s="15">
        <f>IF(AND(ISNUMBER($L72),$L72&lt;&gt;""),INDEX(Data!$J:$J,$L72),"")</f>
        <v/>
      </c>
      <c r="D72" s="15">
        <f>IF(AND(ISNUMBER($L72),$L72&lt;&gt;""),INDEX(Data!$K:$K,$L72),"")</f>
        <v/>
      </c>
      <c r="E72" s="15">
        <f>IF(AND(ISNUMBER($L72),$L72&lt;&gt;""),IF(INDEX(Data!$L:$L,$L72)="","—",INDEX(Data!$L:$L,$L72)),"")</f>
        <v/>
      </c>
      <c r="F72" s="15">
        <f>IF(AND(ISNUMBER($L72),$L72&lt;&gt;""),IF(INDEX(Data!$M:$M,$L72)="","—",INDEX(Data!$M:$M,$L72)),"")</f>
        <v/>
      </c>
      <c r="G72" s="16">
        <f>IF(AND(ISNUMBER($L72),$L72&lt;&gt;""),IF(INDEX(Data!$N:$N,$L72)="","—",INDEX(Data!$N:$N,$L72)),"")</f>
        <v/>
      </c>
      <c r="H72" s="17">
        <f>IF(AND(ISNUMBER($L72),$L72&lt;&gt;""),IF(INDEX(Data!$Q:$Q,$L72)="","—",INDEX(Data!$Q:$Q,$L72)),"")</f>
        <v/>
      </c>
      <c r="I72" s="18">
        <f>IF(AND(ISNUMBER($L72),$L72&lt;&gt;""),INDEX(Data!$E:$E,$L72),"")</f>
        <v/>
      </c>
      <c r="J72" s="18">
        <f>IF(AND(ISNUMBER($L72),$L72&lt;&gt;""),INDEX(Data!$F:$F,$L72),"")</f>
        <v/>
      </c>
      <c r="L72">
        <f>IFERROR(MATCH((YEAR($B$3)*10000+MONTH($B$3)*100+DAY($B$3))*1000+63,Data!$W:$W,0),"")</f>
        <v/>
      </c>
    </row>
    <row r="73">
      <c r="A73" s="19">
        <f>IF(AND(ISNUMBER($L73),$L73&lt;&gt;""),INDEX(Data!$G:$G,$L73),"")</f>
        <v/>
      </c>
      <c r="B73" s="20">
        <f>IF(AND(ISNUMBER($L73),$L73&lt;&gt;""),IF(INDEX(Data!$I:$I,$L73)="","—",INDEX(Data!$I:$I,$L73)),"")</f>
        <v/>
      </c>
      <c r="C73" s="20">
        <f>IF(AND(ISNUMBER($L73),$L73&lt;&gt;""),INDEX(Data!$J:$J,$L73),"")</f>
        <v/>
      </c>
      <c r="D73" s="20">
        <f>IF(AND(ISNUMBER($L73),$L73&lt;&gt;""),INDEX(Data!$K:$K,$L73),"")</f>
        <v/>
      </c>
      <c r="E73" s="20">
        <f>IF(AND(ISNUMBER($L73),$L73&lt;&gt;""),IF(INDEX(Data!$L:$L,$L73)="","—",INDEX(Data!$L:$L,$L73)),"")</f>
        <v/>
      </c>
      <c r="F73" s="20">
        <f>IF(AND(ISNUMBER($L73),$L73&lt;&gt;""),IF(INDEX(Data!$M:$M,$L73)="","—",INDEX(Data!$M:$M,$L73)),"")</f>
        <v/>
      </c>
      <c r="G73" s="21">
        <f>IF(AND(ISNUMBER($L73),$L73&lt;&gt;""),IF(INDEX(Data!$N:$N,$L73)="","—",INDEX(Data!$N:$N,$L73)),"")</f>
        <v/>
      </c>
      <c r="H73" s="22">
        <f>IF(AND(ISNUMBER($L73),$L73&lt;&gt;""),IF(INDEX(Data!$Q:$Q,$L73)="","—",INDEX(Data!$Q:$Q,$L73)),"")</f>
        <v/>
      </c>
      <c r="I73" s="23">
        <f>IF(AND(ISNUMBER($L73),$L73&lt;&gt;""),INDEX(Data!$E:$E,$L73),"")</f>
        <v/>
      </c>
      <c r="J73" s="23">
        <f>IF(AND(ISNUMBER($L73),$L73&lt;&gt;""),INDEX(Data!$F:$F,$L73),"")</f>
        <v/>
      </c>
      <c r="L73">
        <f>IFERROR(MATCH((YEAR($B$3)*10000+MONTH($B$3)*100+DAY($B$3))*1000+64,Data!$W:$W,0),"")</f>
        <v/>
      </c>
    </row>
    <row r="74">
      <c r="A74" s="14">
        <f>IF(AND(ISNUMBER($L74),$L74&lt;&gt;""),INDEX(Data!$G:$G,$L74),"")</f>
        <v/>
      </c>
      <c r="B74" s="15">
        <f>IF(AND(ISNUMBER($L74),$L74&lt;&gt;""),IF(INDEX(Data!$I:$I,$L74)="","—",INDEX(Data!$I:$I,$L74)),"")</f>
        <v/>
      </c>
      <c r="C74" s="15">
        <f>IF(AND(ISNUMBER($L74),$L74&lt;&gt;""),INDEX(Data!$J:$J,$L74),"")</f>
        <v/>
      </c>
      <c r="D74" s="15">
        <f>IF(AND(ISNUMBER($L74),$L74&lt;&gt;""),INDEX(Data!$K:$K,$L74),"")</f>
        <v/>
      </c>
      <c r="E74" s="15">
        <f>IF(AND(ISNUMBER($L74),$L74&lt;&gt;""),IF(INDEX(Data!$L:$L,$L74)="","—",INDEX(Data!$L:$L,$L74)),"")</f>
        <v/>
      </c>
      <c r="F74" s="15">
        <f>IF(AND(ISNUMBER($L74),$L74&lt;&gt;""),IF(INDEX(Data!$M:$M,$L74)="","—",INDEX(Data!$M:$M,$L74)),"")</f>
        <v/>
      </c>
      <c r="G74" s="16">
        <f>IF(AND(ISNUMBER($L74),$L74&lt;&gt;""),IF(INDEX(Data!$N:$N,$L74)="","—",INDEX(Data!$N:$N,$L74)),"")</f>
        <v/>
      </c>
      <c r="H74" s="17">
        <f>IF(AND(ISNUMBER($L74),$L74&lt;&gt;""),IF(INDEX(Data!$Q:$Q,$L74)="","—",INDEX(Data!$Q:$Q,$L74)),"")</f>
        <v/>
      </c>
      <c r="I74" s="18">
        <f>IF(AND(ISNUMBER($L74),$L74&lt;&gt;""),INDEX(Data!$E:$E,$L74),"")</f>
        <v/>
      </c>
      <c r="J74" s="18">
        <f>IF(AND(ISNUMBER($L74),$L74&lt;&gt;""),INDEX(Data!$F:$F,$L74),"")</f>
        <v/>
      </c>
      <c r="L74">
        <f>IFERROR(MATCH((YEAR($B$3)*10000+MONTH($B$3)*100+DAY($B$3))*1000+65,Data!$W:$W,0),"")</f>
        <v/>
      </c>
    </row>
    <row r="75">
      <c r="A75" s="19">
        <f>IF(AND(ISNUMBER($L75),$L75&lt;&gt;""),INDEX(Data!$G:$G,$L75),"")</f>
        <v/>
      </c>
      <c r="B75" s="20">
        <f>IF(AND(ISNUMBER($L75),$L75&lt;&gt;""),IF(INDEX(Data!$I:$I,$L75)="","—",INDEX(Data!$I:$I,$L75)),"")</f>
        <v/>
      </c>
      <c r="C75" s="20">
        <f>IF(AND(ISNUMBER($L75),$L75&lt;&gt;""),INDEX(Data!$J:$J,$L75),"")</f>
        <v/>
      </c>
      <c r="D75" s="20">
        <f>IF(AND(ISNUMBER($L75),$L75&lt;&gt;""),INDEX(Data!$K:$K,$L75),"")</f>
        <v/>
      </c>
      <c r="E75" s="20">
        <f>IF(AND(ISNUMBER($L75),$L75&lt;&gt;""),IF(INDEX(Data!$L:$L,$L75)="","—",INDEX(Data!$L:$L,$L75)),"")</f>
        <v/>
      </c>
      <c r="F75" s="20">
        <f>IF(AND(ISNUMBER($L75),$L75&lt;&gt;""),IF(INDEX(Data!$M:$M,$L75)="","—",INDEX(Data!$M:$M,$L75)),"")</f>
        <v/>
      </c>
      <c r="G75" s="21">
        <f>IF(AND(ISNUMBER($L75),$L75&lt;&gt;""),IF(INDEX(Data!$N:$N,$L75)="","—",INDEX(Data!$N:$N,$L75)),"")</f>
        <v/>
      </c>
      <c r="H75" s="22">
        <f>IF(AND(ISNUMBER($L75),$L75&lt;&gt;""),IF(INDEX(Data!$Q:$Q,$L75)="","—",INDEX(Data!$Q:$Q,$L75)),"")</f>
        <v/>
      </c>
      <c r="I75" s="23">
        <f>IF(AND(ISNUMBER($L75),$L75&lt;&gt;""),INDEX(Data!$E:$E,$L75),"")</f>
        <v/>
      </c>
      <c r="J75" s="23">
        <f>IF(AND(ISNUMBER($L75),$L75&lt;&gt;""),INDEX(Data!$F:$F,$L75),"")</f>
        <v/>
      </c>
      <c r="L75">
        <f>IFERROR(MATCH((YEAR($B$3)*10000+MONTH($B$3)*100+DAY($B$3))*1000+66,Data!$W:$W,0),"")</f>
        <v/>
      </c>
    </row>
    <row r="76">
      <c r="A76" s="14">
        <f>IF(AND(ISNUMBER($L76),$L76&lt;&gt;""),INDEX(Data!$G:$G,$L76),"")</f>
        <v/>
      </c>
      <c r="B76" s="15">
        <f>IF(AND(ISNUMBER($L76),$L76&lt;&gt;""),IF(INDEX(Data!$I:$I,$L76)="","—",INDEX(Data!$I:$I,$L76)),"")</f>
        <v/>
      </c>
      <c r="C76" s="15">
        <f>IF(AND(ISNUMBER($L76),$L76&lt;&gt;""),INDEX(Data!$J:$J,$L76),"")</f>
        <v/>
      </c>
      <c r="D76" s="15">
        <f>IF(AND(ISNUMBER($L76),$L76&lt;&gt;""),INDEX(Data!$K:$K,$L76),"")</f>
        <v/>
      </c>
      <c r="E76" s="15">
        <f>IF(AND(ISNUMBER($L76),$L76&lt;&gt;""),IF(INDEX(Data!$L:$L,$L76)="","—",INDEX(Data!$L:$L,$L76)),"")</f>
        <v/>
      </c>
      <c r="F76" s="15">
        <f>IF(AND(ISNUMBER($L76),$L76&lt;&gt;""),IF(INDEX(Data!$M:$M,$L76)="","—",INDEX(Data!$M:$M,$L76)),"")</f>
        <v/>
      </c>
      <c r="G76" s="16">
        <f>IF(AND(ISNUMBER($L76),$L76&lt;&gt;""),IF(INDEX(Data!$N:$N,$L76)="","—",INDEX(Data!$N:$N,$L76)),"")</f>
        <v/>
      </c>
      <c r="H76" s="17">
        <f>IF(AND(ISNUMBER($L76),$L76&lt;&gt;""),IF(INDEX(Data!$Q:$Q,$L76)="","—",INDEX(Data!$Q:$Q,$L76)),"")</f>
        <v/>
      </c>
      <c r="I76" s="18">
        <f>IF(AND(ISNUMBER($L76),$L76&lt;&gt;""),INDEX(Data!$E:$E,$L76),"")</f>
        <v/>
      </c>
      <c r="J76" s="18">
        <f>IF(AND(ISNUMBER($L76),$L76&lt;&gt;""),INDEX(Data!$F:$F,$L76),"")</f>
        <v/>
      </c>
      <c r="L76">
        <f>IFERROR(MATCH((YEAR($B$3)*10000+MONTH($B$3)*100+DAY($B$3))*1000+67,Data!$W:$W,0),"")</f>
        <v/>
      </c>
    </row>
    <row r="77">
      <c r="A77" s="19">
        <f>IF(AND(ISNUMBER($L77),$L77&lt;&gt;""),INDEX(Data!$G:$G,$L77),"")</f>
        <v/>
      </c>
      <c r="B77" s="20">
        <f>IF(AND(ISNUMBER($L77),$L77&lt;&gt;""),IF(INDEX(Data!$I:$I,$L77)="","—",INDEX(Data!$I:$I,$L77)),"")</f>
        <v/>
      </c>
      <c r="C77" s="20">
        <f>IF(AND(ISNUMBER($L77),$L77&lt;&gt;""),INDEX(Data!$J:$J,$L77),"")</f>
        <v/>
      </c>
      <c r="D77" s="20">
        <f>IF(AND(ISNUMBER($L77),$L77&lt;&gt;""),INDEX(Data!$K:$K,$L77),"")</f>
        <v/>
      </c>
      <c r="E77" s="20">
        <f>IF(AND(ISNUMBER($L77),$L77&lt;&gt;""),IF(INDEX(Data!$L:$L,$L77)="","—",INDEX(Data!$L:$L,$L77)),"")</f>
        <v/>
      </c>
      <c r="F77" s="20">
        <f>IF(AND(ISNUMBER($L77),$L77&lt;&gt;""),IF(INDEX(Data!$M:$M,$L77)="","—",INDEX(Data!$M:$M,$L77)),"")</f>
        <v/>
      </c>
      <c r="G77" s="21">
        <f>IF(AND(ISNUMBER($L77),$L77&lt;&gt;""),IF(INDEX(Data!$N:$N,$L77)="","—",INDEX(Data!$N:$N,$L77)),"")</f>
        <v/>
      </c>
      <c r="H77" s="22">
        <f>IF(AND(ISNUMBER($L77),$L77&lt;&gt;""),IF(INDEX(Data!$Q:$Q,$L77)="","—",INDEX(Data!$Q:$Q,$L77)),"")</f>
        <v/>
      </c>
      <c r="I77" s="23">
        <f>IF(AND(ISNUMBER($L77),$L77&lt;&gt;""),INDEX(Data!$E:$E,$L77),"")</f>
        <v/>
      </c>
      <c r="J77" s="23">
        <f>IF(AND(ISNUMBER($L77),$L77&lt;&gt;""),INDEX(Data!$F:$F,$L77),"")</f>
        <v/>
      </c>
      <c r="L77">
        <f>IFERROR(MATCH((YEAR($B$3)*10000+MONTH($B$3)*100+DAY($B$3))*1000+68,Data!$W:$W,0),"")</f>
        <v/>
      </c>
    </row>
    <row r="78">
      <c r="A78" s="14">
        <f>IF(AND(ISNUMBER($L78),$L78&lt;&gt;""),INDEX(Data!$G:$G,$L78),"")</f>
        <v/>
      </c>
      <c r="B78" s="15">
        <f>IF(AND(ISNUMBER($L78),$L78&lt;&gt;""),IF(INDEX(Data!$I:$I,$L78)="","—",INDEX(Data!$I:$I,$L78)),"")</f>
        <v/>
      </c>
      <c r="C78" s="15">
        <f>IF(AND(ISNUMBER($L78),$L78&lt;&gt;""),INDEX(Data!$J:$J,$L78),"")</f>
        <v/>
      </c>
      <c r="D78" s="15">
        <f>IF(AND(ISNUMBER($L78),$L78&lt;&gt;""),INDEX(Data!$K:$K,$L78),"")</f>
        <v/>
      </c>
      <c r="E78" s="15">
        <f>IF(AND(ISNUMBER($L78),$L78&lt;&gt;""),IF(INDEX(Data!$L:$L,$L78)="","—",INDEX(Data!$L:$L,$L78)),"")</f>
        <v/>
      </c>
      <c r="F78" s="15">
        <f>IF(AND(ISNUMBER($L78),$L78&lt;&gt;""),IF(INDEX(Data!$M:$M,$L78)="","—",INDEX(Data!$M:$M,$L78)),"")</f>
        <v/>
      </c>
      <c r="G78" s="16">
        <f>IF(AND(ISNUMBER($L78),$L78&lt;&gt;""),IF(INDEX(Data!$N:$N,$L78)="","—",INDEX(Data!$N:$N,$L78)),"")</f>
        <v/>
      </c>
      <c r="H78" s="17">
        <f>IF(AND(ISNUMBER($L78),$L78&lt;&gt;""),IF(INDEX(Data!$Q:$Q,$L78)="","—",INDEX(Data!$Q:$Q,$L78)),"")</f>
        <v/>
      </c>
      <c r="I78" s="18">
        <f>IF(AND(ISNUMBER($L78),$L78&lt;&gt;""),INDEX(Data!$E:$E,$L78),"")</f>
        <v/>
      </c>
      <c r="J78" s="18">
        <f>IF(AND(ISNUMBER($L78),$L78&lt;&gt;""),INDEX(Data!$F:$F,$L78),"")</f>
        <v/>
      </c>
      <c r="L78">
        <f>IFERROR(MATCH((YEAR($B$3)*10000+MONTH($B$3)*100+DAY($B$3))*1000+69,Data!$W:$W,0),"")</f>
        <v/>
      </c>
    </row>
    <row r="79">
      <c r="A79" s="19">
        <f>IF(AND(ISNUMBER($L79),$L79&lt;&gt;""),INDEX(Data!$G:$G,$L79),"")</f>
        <v/>
      </c>
      <c r="B79" s="20">
        <f>IF(AND(ISNUMBER($L79),$L79&lt;&gt;""),IF(INDEX(Data!$I:$I,$L79)="","—",INDEX(Data!$I:$I,$L79)),"")</f>
        <v/>
      </c>
      <c r="C79" s="20">
        <f>IF(AND(ISNUMBER($L79),$L79&lt;&gt;""),INDEX(Data!$J:$J,$L79),"")</f>
        <v/>
      </c>
      <c r="D79" s="20">
        <f>IF(AND(ISNUMBER($L79),$L79&lt;&gt;""),INDEX(Data!$K:$K,$L79),"")</f>
        <v/>
      </c>
      <c r="E79" s="20">
        <f>IF(AND(ISNUMBER($L79),$L79&lt;&gt;""),IF(INDEX(Data!$L:$L,$L79)="","—",INDEX(Data!$L:$L,$L79)),"")</f>
        <v/>
      </c>
      <c r="F79" s="20">
        <f>IF(AND(ISNUMBER($L79),$L79&lt;&gt;""),IF(INDEX(Data!$M:$M,$L79)="","—",INDEX(Data!$M:$M,$L79)),"")</f>
        <v/>
      </c>
      <c r="G79" s="21">
        <f>IF(AND(ISNUMBER($L79),$L79&lt;&gt;""),IF(INDEX(Data!$N:$N,$L79)="","—",INDEX(Data!$N:$N,$L79)),"")</f>
        <v/>
      </c>
      <c r="H79" s="22">
        <f>IF(AND(ISNUMBER($L79),$L79&lt;&gt;""),IF(INDEX(Data!$Q:$Q,$L79)="","—",INDEX(Data!$Q:$Q,$L79)),"")</f>
        <v/>
      </c>
      <c r="I79" s="23">
        <f>IF(AND(ISNUMBER($L79),$L79&lt;&gt;""),INDEX(Data!$E:$E,$L79),"")</f>
        <v/>
      </c>
      <c r="J79" s="23">
        <f>IF(AND(ISNUMBER($L79),$L79&lt;&gt;""),INDEX(Data!$F:$F,$L79),"")</f>
        <v/>
      </c>
      <c r="L79">
        <f>IFERROR(MATCH((YEAR($B$3)*10000+MONTH($B$3)*100+DAY($B$3))*1000+70,Data!$W:$W,0),"")</f>
        <v/>
      </c>
    </row>
  </sheetData>
  <mergeCells count="3">
    <mergeCell ref="F1:J1"/>
    <mergeCell ref="A1:D1"/>
    <mergeCell ref="A7:J7"/>
  </mergeCells>
  <conditionalFormatting sqref="G10:H79">
    <cfRule type="expression" priority="1" dxfId="0" stopIfTrue="1">
      <formula>AND(ISNUMBER($G10),$G10=0)</formula>
    </cfRule>
    <cfRule type="expression" priority="2" dxfId="1" stopIfTrue="1">
      <formula>AND(ISNUMBER($G10),ABS($G10)&gt;=10)</formula>
    </cfRule>
    <cfRule type="expression" priority="3" dxfId="2" stopIfTrue="1">
      <formula>AND(ISNUMBER($G10),ABS($G10)&gt;=5)</formula>
    </cfRule>
    <cfRule type="expression" priority="4" dxfId="3" stopIfTrue="1">
      <formula>AND(ISNUMBER($G10),ABS($G10)&gt;=1)</formula>
    </cfRule>
  </conditionalFormatting>
  <dataValidations count="1">
    <dataValidation sqref="B3" showDropDown="0" showInputMessage="0" showErrorMessage="1" allowBlank="0" errorTitle="Not a counted day" error="Pick a trading day from the dropdown. Only days with a submitted count are in the list." type="list">
      <formula1>=Calc!$B$3:$B$62</formula1>
    </dataValidation>
  </dataValidations>
  <printOptions horizontalCentered="1"/>
  <pageMargins left="0.4" right="0.4" top="0.5" bottom="0.5" header="0.5" footer="0.5"/>
  <pageSetup orientation="portrait" fitToHeight="1" fitToWidth="1"/>
  <headerFooter>
    <oddHeader/>
    <oddFooter>&amp;LCigarette reconciliation — &amp;A&amp;RPage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T1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hidden="1" width="13" customWidth="1" min="20" max="20"/>
  </cols>
  <sheetData>
    <row r="1">
      <c r="A1" s="24" t="inlineStr">
        <is>
          <t>Cigarette variance by product — last 14 counted days</t>
        </is>
      </c>
    </row>
    <row r="2">
      <c r="A2" s="25" t="inlineStr">
        <is>
          <t>Sorted by how many days the product disagreed with the POS, then by total. A product off a little every night sits above one that was off a lot once. A dash means no POS sales were loaded for that day.</t>
        </is>
      </c>
    </row>
    <row r="4" ht="26" customHeight="1">
      <c r="A4" s="12" t="inlineStr">
        <is>
          <t>Product</t>
        </is>
      </c>
      <c r="B4" s="26">
        <f>IF(Calc!$B$3="","",TEXT(Calc!$B$3,"dd mmm"))</f>
        <v/>
      </c>
      <c r="C4" s="26">
        <f>IF(Calc!$B$4="","",TEXT(Calc!$B$4,"dd mmm"))</f>
        <v/>
      </c>
      <c r="D4" s="26">
        <f>IF(Calc!$B$5="","",TEXT(Calc!$B$5,"dd mmm"))</f>
        <v/>
      </c>
      <c r="E4" s="26">
        <f>IF(Calc!$B$6="","",TEXT(Calc!$B$6,"dd mmm"))</f>
        <v/>
      </c>
      <c r="F4" s="26">
        <f>IF(Calc!$B$7="","",TEXT(Calc!$B$7,"dd mmm"))</f>
        <v/>
      </c>
      <c r="G4" s="26">
        <f>IF(Calc!$B$8="","",TEXT(Calc!$B$8,"dd mmm"))</f>
        <v/>
      </c>
      <c r="H4" s="26">
        <f>IF(Calc!$B$9="","",TEXT(Calc!$B$9,"dd mmm"))</f>
        <v/>
      </c>
      <c r="I4" s="26">
        <f>IF(Calc!$B$10="","",TEXT(Calc!$B$10,"dd mmm"))</f>
        <v/>
      </c>
      <c r="J4" s="26">
        <f>IF(Calc!$B$11="","",TEXT(Calc!$B$11,"dd mmm"))</f>
        <v/>
      </c>
      <c r="K4" s="26">
        <f>IF(Calc!$B$12="","",TEXT(Calc!$B$12,"dd mmm"))</f>
        <v/>
      </c>
      <c r="L4" s="26">
        <f>IF(Calc!$B$13="","",TEXT(Calc!$B$13,"dd mmm"))</f>
        <v/>
      </c>
      <c r="M4" s="26">
        <f>IF(Calc!$B$14="","",TEXT(Calc!$B$14,"dd mmm"))</f>
        <v/>
      </c>
      <c r="N4" s="26">
        <f>IF(Calc!$B$15="","",TEXT(Calc!$B$15,"dd mmm"))</f>
        <v/>
      </c>
      <c r="O4" s="26">
        <f>IF(Calc!$B$16="","",TEXT(Calc!$B$16,"dd mmm"))</f>
        <v/>
      </c>
      <c r="P4" s="26" t="inlineStr">
        <is>
          <t>Days off</t>
        </is>
      </c>
      <c r="Q4" s="26" t="inlineStr">
        <is>
          <t>Total</t>
        </is>
      </c>
      <c r="R4" s="26" t="inlineStr">
        <is>
          <t>Worst</t>
        </is>
      </c>
    </row>
    <row r="5">
      <c r="A5" s="19">
        <f>IF(AND(ISNUMBER($T5),$T5&lt;&gt;""),INDEX(Calc!$S$3:$S$122,$T5),"")</f>
        <v/>
      </c>
      <c r="B5" s="20">
        <f>IF(AND(ISNUMBER($T5),$T5&lt;&gt;""),IF(INDEX(Calc!$T$3:$T$122,$T5)="","—",INDEX(Calc!$T$3:$T$122,$T5)),"")</f>
        <v/>
      </c>
      <c r="C5" s="20">
        <f>IF(AND(ISNUMBER($T5),$T5&lt;&gt;""),IF(INDEX(Calc!$U$3:$U$122,$T5)="","—",INDEX(Calc!$U$3:$U$122,$T5)),"")</f>
        <v/>
      </c>
      <c r="D5" s="20">
        <f>IF(AND(ISNUMBER($T5),$T5&lt;&gt;""),IF(INDEX(Calc!$V$3:$V$122,$T5)="","—",INDEX(Calc!$V$3:$V$122,$T5)),"")</f>
        <v/>
      </c>
      <c r="E5" s="20">
        <f>IF(AND(ISNUMBER($T5),$T5&lt;&gt;""),IF(INDEX(Calc!$W$3:$W$122,$T5)="","—",INDEX(Calc!$W$3:$W$122,$T5)),"")</f>
        <v/>
      </c>
      <c r="F5" s="20">
        <f>IF(AND(ISNUMBER($T5),$T5&lt;&gt;""),IF(INDEX(Calc!$X$3:$X$122,$T5)="","—",INDEX(Calc!$X$3:$X$122,$T5)),"")</f>
        <v/>
      </c>
      <c r="G5" s="20">
        <f>IF(AND(ISNUMBER($T5),$T5&lt;&gt;""),IF(INDEX(Calc!$Y$3:$Y$122,$T5)="","—",INDEX(Calc!$Y$3:$Y$122,$T5)),"")</f>
        <v/>
      </c>
      <c r="H5" s="20">
        <f>IF(AND(ISNUMBER($T5),$T5&lt;&gt;""),IF(INDEX(Calc!$Z$3:$Z$122,$T5)="","—",INDEX(Calc!$Z$3:$Z$122,$T5)),"")</f>
        <v/>
      </c>
      <c r="I5" s="20">
        <f>IF(AND(ISNUMBER($T5),$T5&lt;&gt;""),IF(INDEX(Calc!$AA$3:$AA$122,$T5)="","—",INDEX(Calc!$AA$3:$AA$122,$T5)),"")</f>
        <v/>
      </c>
      <c r="J5" s="20">
        <f>IF(AND(ISNUMBER($T5),$T5&lt;&gt;""),IF(INDEX(Calc!$AB$3:$AB$122,$T5)="","—",INDEX(Calc!$AB$3:$AB$122,$T5)),"")</f>
        <v/>
      </c>
      <c r="K5" s="20">
        <f>IF(AND(ISNUMBER($T5),$T5&lt;&gt;""),IF(INDEX(Calc!$AC$3:$AC$122,$T5)="","—",INDEX(Calc!$AC$3:$AC$122,$T5)),"")</f>
        <v/>
      </c>
      <c r="L5" s="20">
        <f>IF(AND(ISNUMBER($T5),$T5&lt;&gt;""),IF(INDEX(Calc!$AD$3:$AD$122,$T5)="","—",INDEX(Calc!$AD$3:$AD$122,$T5)),"")</f>
        <v/>
      </c>
      <c r="M5" s="20">
        <f>IF(AND(ISNUMBER($T5),$T5&lt;&gt;""),IF(INDEX(Calc!$AE$3:$AE$122,$T5)="","—",INDEX(Calc!$AE$3:$AE$122,$T5)),"")</f>
        <v/>
      </c>
      <c r="N5" s="20">
        <f>IF(AND(ISNUMBER($T5),$T5&lt;&gt;""),IF(INDEX(Calc!$AF$3:$AF$122,$T5)="","—",INDEX(Calc!$AF$3:$AF$122,$T5)),"")</f>
        <v/>
      </c>
      <c r="O5" s="20">
        <f>IF(AND(ISNUMBER($T5),$T5&lt;&gt;""),IF(INDEX(Calc!$AG$3:$AG$122,$T5)="","—",INDEX(Calc!$AG$3:$AG$122,$T5)),"")</f>
        <v/>
      </c>
      <c r="P5" s="21">
        <f>IF(AND(ISNUMBER($T5),$T5&lt;&gt;""),IF(INDEX(Calc!$AJ$3:$AJ$122,$T5)="","—",INDEX(Calc!$AJ$3:$AJ$122,$T5)),"")</f>
        <v/>
      </c>
      <c r="Q5" s="21">
        <f>IF(AND(ISNUMBER($T5),$T5&lt;&gt;""),IF(INDEX(Calc!$AK$3:$AK$122,$T5)="","—",INDEX(Calc!$AK$3:$AK$122,$T5)),"")</f>
        <v/>
      </c>
      <c r="R5" s="20">
        <f>IF(AND(ISNUMBER($T5),$T5&lt;&gt;""),IF(INDEX(Calc!$AL$3:$AL$122,$T5)="","—",INDEX(Calc!$AL$3:$AL$122,$T5)),"")</f>
        <v/>
      </c>
      <c r="T5">
        <f>IFERROR(MATCH(1,Calc!$AN$3:$AN$122,0),"")</f>
        <v/>
      </c>
    </row>
    <row r="6">
      <c r="A6" s="14">
        <f>IF(AND(ISNUMBER($T6),$T6&lt;&gt;""),INDEX(Calc!$S$3:$S$122,$T6),"")</f>
        <v/>
      </c>
      <c r="B6" s="15">
        <f>IF(AND(ISNUMBER($T6),$T6&lt;&gt;""),IF(INDEX(Calc!$T$3:$T$122,$T6)="","—",INDEX(Calc!$T$3:$T$122,$T6)),"")</f>
        <v/>
      </c>
      <c r="C6" s="15">
        <f>IF(AND(ISNUMBER($T6),$T6&lt;&gt;""),IF(INDEX(Calc!$U$3:$U$122,$T6)="","—",INDEX(Calc!$U$3:$U$122,$T6)),"")</f>
        <v/>
      </c>
      <c r="D6" s="15">
        <f>IF(AND(ISNUMBER($T6),$T6&lt;&gt;""),IF(INDEX(Calc!$V$3:$V$122,$T6)="","—",INDEX(Calc!$V$3:$V$122,$T6)),"")</f>
        <v/>
      </c>
      <c r="E6" s="15">
        <f>IF(AND(ISNUMBER($T6),$T6&lt;&gt;""),IF(INDEX(Calc!$W$3:$W$122,$T6)="","—",INDEX(Calc!$W$3:$W$122,$T6)),"")</f>
        <v/>
      </c>
      <c r="F6" s="15">
        <f>IF(AND(ISNUMBER($T6),$T6&lt;&gt;""),IF(INDEX(Calc!$X$3:$X$122,$T6)="","—",INDEX(Calc!$X$3:$X$122,$T6)),"")</f>
        <v/>
      </c>
      <c r="G6" s="15">
        <f>IF(AND(ISNUMBER($T6),$T6&lt;&gt;""),IF(INDEX(Calc!$Y$3:$Y$122,$T6)="","—",INDEX(Calc!$Y$3:$Y$122,$T6)),"")</f>
        <v/>
      </c>
      <c r="H6" s="15">
        <f>IF(AND(ISNUMBER($T6),$T6&lt;&gt;""),IF(INDEX(Calc!$Z$3:$Z$122,$T6)="","—",INDEX(Calc!$Z$3:$Z$122,$T6)),"")</f>
        <v/>
      </c>
      <c r="I6" s="15">
        <f>IF(AND(ISNUMBER($T6),$T6&lt;&gt;""),IF(INDEX(Calc!$AA$3:$AA$122,$T6)="","—",INDEX(Calc!$AA$3:$AA$122,$T6)),"")</f>
        <v/>
      </c>
      <c r="J6" s="15">
        <f>IF(AND(ISNUMBER($T6),$T6&lt;&gt;""),IF(INDEX(Calc!$AB$3:$AB$122,$T6)="","—",INDEX(Calc!$AB$3:$AB$122,$T6)),"")</f>
        <v/>
      </c>
      <c r="K6" s="15">
        <f>IF(AND(ISNUMBER($T6),$T6&lt;&gt;""),IF(INDEX(Calc!$AC$3:$AC$122,$T6)="","—",INDEX(Calc!$AC$3:$AC$122,$T6)),"")</f>
        <v/>
      </c>
      <c r="L6" s="15">
        <f>IF(AND(ISNUMBER($T6),$T6&lt;&gt;""),IF(INDEX(Calc!$AD$3:$AD$122,$T6)="","—",INDEX(Calc!$AD$3:$AD$122,$T6)),"")</f>
        <v/>
      </c>
      <c r="M6" s="15">
        <f>IF(AND(ISNUMBER($T6),$T6&lt;&gt;""),IF(INDEX(Calc!$AE$3:$AE$122,$T6)="","—",INDEX(Calc!$AE$3:$AE$122,$T6)),"")</f>
        <v/>
      </c>
      <c r="N6" s="15">
        <f>IF(AND(ISNUMBER($T6),$T6&lt;&gt;""),IF(INDEX(Calc!$AF$3:$AF$122,$T6)="","—",INDEX(Calc!$AF$3:$AF$122,$T6)),"")</f>
        <v/>
      </c>
      <c r="O6" s="15">
        <f>IF(AND(ISNUMBER($T6),$T6&lt;&gt;""),IF(INDEX(Calc!$AG$3:$AG$122,$T6)="","—",INDEX(Calc!$AG$3:$AG$122,$T6)),"")</f>
        <v/>
      </c>
      <c r="P6" s="16">
        <f>IF(AND(ISNUMBER($T6),$T6&lt;&gt;""),IF(INDEX(Calc!$AJ$3:$AJ$122,$T6)="","—",INDEX(Calc!$AJ$3:$AJ$122,$T6)),"")</f>
        <v/>
      </c>
      <c r="Q6" s="16">
        <f>IF(AND(ISNUMBER($T6),$T6&lt;&gt;""),IF(INDEX(Calc!$AK$3:$AK$122,$T6)="","—",INDEX(Calc!$AK$3:$AK$122,$T6)),"")</f>
        <v/>
      </c>
      <c r="R6" s="15">
        <f>IF(AND(ISNUMBER($T6),$T6&lt;&gt;""),IF(INDEX(Calc!$AL$3:$AL$122,$T6)="","—",INDEX(Calc!$AL$3:$AL$122,$T6)),"")</f>
        <v/>
      </c>
      <c r="T6">
        <f>IFERROR(MATCH(2,Calc!$AN$3:$AN$122,0),"")</f>
        <v/>
      </c>
    </row>
    <row r="7">
      <c r="A7" s="19">
        <f>IF(AND(ISNUMBER($T7),$T7&lt;&gt;""),INDEX(Calc!$S$3:$S$122,$T7),"")</f>
        <v/>
      </c>
      <c r="B7" s="20">
        <f>IF(AND(ISNUMBER($T7),$T7&lt;&gt;""),IF(INDEX(Calc!$T$3:$T$122,$T7)="","—",INDEX(Calc!$T$3:$T$122,$T7)),"")</f>
        <v/>
      </c>
      <c r="C7" s="20">
        <f>IF(AND(ISNUMBER($T7),$T7&lt;&gt;""),IF(INDEX(Calc!$U$3:$U$122,$T7)="","—",INDEX(Calc!$U$3:$U$122,$T7)),"")</f>
        <v/>
      </c>
      <c r="D7" s="20">
        <f>IF(AND(ISNUMBER($T7),$T7&lt;&gt;""),IF(INDEX(Calc!$V$3:$V$122,$T7)="","—",INDEX(Calc!$V$3:$V$122,$T7)),"")</f>
        <v/>
      </c>
      <c r="E7" s="20">
        <f>IF(AND(ISNUMBER($T7),$T7&lt;&gt;""),IF(INDEX(Calc!$W$3:$W$122,$T7)="","—",INDEX(Calc!$W$3:$W$122,$T7)),"")</f>
        <v/>
      </c>
      <c r="F7" s="20">
        <f>IF(AND(ISNUMBER($T7),$T7&lt;&gt;""),IF(INDEX(Calc!$X$3:$X$122,$T7)="","—",INDEX(Calc!$X$3:$X$122,$T7)),"")</f>
        <v/>
      </c>
      <c r="G7" s="20">
        <f>IF(AND(ISNUMBER($T7),$T7&lt;&gt;""),IF(INDEX(Calc!$Y$3:$Y$122,$T7)="","—",INDEX(Calc!$Y$3:$Y$122,$T7)),"")</f>
        <v/>
      </c>
      <c r="H7" s="20">
        <f>IF(AND(ISNUMBER($T7),$T7&lt;&gt;""),IF(INDEX(Calc!$Z$3:$Z$122,$T7)="","—",INDEX(Calc!$Z$3:$Z$122,$T7)),"")</f>
        <v/>
      </c>
      <c r="I7" s="20">
        <f>IF(AND(ISNUMBER($T7),$T7&lt;&gt;""),IF(INDEX(Calc!$AA$3:$AA$122,$T7)="","—",INDEX(Calc!$AA$3:$AA$122,$T7)),"")</f>
        <v/>
      </c>
      <c r="J7" s="20">
        <f>IF(AND(ISNUMBER($T7),$T7&lt;&gt;""),IF(INDEX(Calc!$AB$3:$AB$122,$T7)="","—",INDEX(Calc!$AB$3:$AB$122,$T7)),"")</f>
        <v/>
      </c>
      <c r="K7" s="20">
        <f>IF(AND(ISNUMBER($T7),$T7&lt;&gt;""),IF(INDEX(Calc!$AC$3:$AC$122,$T7)="","—",INDEX(Calc!$AC$3:$AC$122,$T7)),"")</f>
        <v/>
      </c>
      <c r="L7" s="20">
        <f>IF(AND(ISNUMBER($T7),$T7&lt;&gt;""),IF(INDEX(Calc!$AD$3:$AD$122,$T7)="","—",INDEX(Calc!$AD$3:$AD$122,$T7)),"")</f>
        <v/>
      </c>
      <c r="M7" s="20">
        <f>IF(AND(ISNUMBER($T7),$T7&lt;&gt;""),IF(INDEX(Calc!$AE$3:$AE$122,$T7)="","—",INDEX(Calc!$AE$3:$AE$122,$T7)),"")</f>
        <v/>
      </c>
      <c r="N7" s="20">
        <f>IF(AND(ISNUMBER($T7),$T7&lt;&gt;""),IF(INDEX(Calc!$AF$3:$AF$122,$T7)="","—",INDEX(Calc!$AF$3:$AF$122,$T7)),"")</f>
        <v/>
      </c>
      <c r="O7" s="20">
        <f>IF(AND(ISNUMBER($T7),$T7&lt;&gt;""),IF(INDEX(Calc!$AG$3:$AG$122,$T7)="","—",INDEX(Calc!$AG$3:$AG$122,$T7)),"")</f>
        <v/>
      </c>
      <c r="P7" s="21">
        <f>IF(AND(ISNUMBER($T7),$T7&lt;&gt;""),IF(INDEX(Calc!$AJ$3:$AJ$122,$T7)="","—",INDEX(Calc!$AJ$3:$AJ$122,$T7)),"")</f>
        <v/>
      </c>
      <c r="Q7" s="21">
        <f>IF(AND(ISNUMBER($T7),$T7&lt;&gt;""),IF(INDEX(Calc!$AK$3:$AK$122,$T7)="","—",INDEX(Calc!$AK$3:$AK$122,$T7)),"")</f>
        <v/>
      </c>
      <c r="R7" s="20">
        <f>IF(AND(ISNUMBER($T7),$T7&lt;&gt;""),IF(INDEX(Calc!$AL$3:$AL$122,$T7)="","—",INDEX(Calc!$AL$3:$AL$122,$T7)),"")</f>
        <v/>
      </c>
      <c r="T7">
        <f>IFERROR(MATCH(3,Calc!$AN$3:$AN$122,0),"")</f>
        <v/>
      </c>
    </row>
    <row r="8">
      <c r="A8" s="14">
        <f>IF(AND(ISNUMBER($T8),$T8&lt;&gt;""),INDEX(Calc!$S$3:$S$122,$T8),"")</f>
        <v/>
      </c>
      <c r="B8" s="15">
        <f>IF(AND(ISNUMBER($T8),$T8&lt;&gt;""),IF(INDEX(Calc!$T$3:$T$122,$T8)="","—",INDEX(Calc!$T$3:$T$122,$T8)),"")</f>
        <v/>
      </c>
      <c r="C8" s="15">
        <f>IF(AND(ISNUMBER($T8),$T8&lt;&gt;""),IF(INDEX(Calc!$U$3:$U$122,$T8)="","—",INDEX(Calc!$U$3:$U$122,$T8)),"")</f>
        <v/>
      </c>
      <c r="D8" s="15">
        <f>IF(AND(ISNUMBER($T8),$T8&lt;&gt;""),IF(INDEX(Calc!$V$3:$V$122,$T8)="","—",INDEX(Calc!$V$3:$V$122,$T8)),"")</f>
        <v/>
      </c>
      <c r="E8" s="15">
        <f>IF(AND(ISNUMBER($T8),$T8&lt;&gt;""),IF(INDEX(Calc!$W$3:$W$122,$T8)="","—",INDEX(Calc!$W$3:$W$122,$T8)),"")</f>
        <v/>
      </c>
      <c r="F8" s="15">
        <f>IF(AND(ISNUMBER($T8),$T8&lt;&gt;""),IF(INDEX(Calc!$X$3:$X$122,$T8)="","—",INDEX(Calc!$X$3:$X$122,$T8)),"")</f>
        <v/>
      </c>
      <c r="G8" s="15">
        <f>IF(AND(ISNUMBER($T8),$T8&lt;&gt;""),IF(INDEX(Calc!$Y$3:$Y$122,$T8)="","—",INDEX(Calc!$Y$3:$Y$122,$T8)),"")</f>
        <v/>
      </c>
      <c r="H8" s="15">
        <f>IF(AND(ISNUMBER($T8),$T8&lt;&gt;""),IF(INDEX(Calc!$Z$3:$Z$122,$T8)="","—",INDEX(Calc!$Z$3:$Z$122,$T8)),"")</f>
        <v/>
      </c>
      <c r="I8" s="15">
        <f>IF(AND(ISNUMBER($T8),$T8&lt;&gt;""),IF(INDEX(Calc!$AA$3:$AA$122,$T8)="","—",INDEX(Calc!$AA$3:$AA$122,$T8)),"")</f>
        <v/>
      </c>
      <c r="J8" s="15">
        <f>IF(AND(ISNUMBER($T8),$T8&lt;&gt;""),IF(INDEX(Calc!$AB$3:$AB$122,$T8)="","—",INDEX(Calc!$AB$3:$AB$122,$T8)),"")</f>
        <v/>
      </c>
      <c r="K8" s="15">
        <f>IF(AND(ISNUMBER($T8),$T8&lt;&gt;""),IF(INDEX(Calc!$AC$3:$AC$122,$T8)="","—",INDEX(Calc!$AC$3:$AC$122,$T8)),"")</f>
        <v/>
      </c>
      <c r="L8" s="15">
        <f>IF(AND(ISNUMBER($T8),$T8&lt;&gt;""),IF(INDEX(Calc!$AD$3:$AD$122,$T8)="","—",INDEX(Calc!$AD$3:$AD$122,$T8)),"")</f>
        <v/>
      </c>
      <c r="M8" s="15">
        <f>IF(AND(ISNUMBER($T8),$T8&lt;&gt;""),IF(INDEX(Calc!$AE$3:$AE$122,$T8)="","—",INDEX(Calc!$AE$3:$AE$122,$T8)),"")</f>
        <v/>
      </c>
      <c r="N8" s="15">
        <f>IF(AND(ISNUMBER($T8),$T8&lt;&gt;""),IF(INDEX(Calc!$AF$3:$AF$122,$T8)="","—",INDEX(Calc!$AF$3:$AF$122,$T8)),"")</f>
        <v/>
      </c>
      <c r="O8" s="15">
        <f>IF(AND(ISNUMBER($T8),$T8&lt;&gt;""),IF(INDEX(Calc!$AG$3:$AG$122,$T8)="","—",INDEX(Calc!$AG$3:$AG$122,$T8)),"")</f>
        <v/>
      </c>
      <c r="P8" s="16">
        <f>IF(AND(ISNUMBER($T8),$T8&lt;&gt;""),IF(INDEX(Calc!$AJ$3:$AJ$122,$T8)="","—",INDEX(Calc!$AJ$3:$AJ$122,$T8)),"")</f>
        <v/>
      </c>
      <c r="Q8" s="16">
        <f>IF(AND(ISNUMBER($T8),$T8&lt;&gt;""),IF(INDEX(Calc!$AK$3:$AK$122,$T8)="","—",INDEX(Calc!$AK$3:$AK$122,$T8)),"")</f>
        <v/>
      </c>
      <c r="R8" s="15">
        <f>IF(AND(ISNUMBER($T8),$T8&lt;&gt;""),IF(INDEX(Calc!$AL$3:$AL$122,$T8)="","—",INDEX(Calc!$AL$3:$AL$122,$T8)),"")</f>
        <v/>
      </c>
      <c r="T8">
        <f>IFERROR(MATCH(4,Calc!$AN$3:$AN$122,0),"")</f>
        <v/>
      </c>
    </row>
    <row r="9">
      <c r="A9" s="19">
        <f>IF(AND(ISNUMBER($T9),$T9&lt;&gt;""),INDEX(Calc!$S$3:$S$122,$T9),"")</f>
        <v/>
      </c>
      <c r="B9" s="20">
        <f>IF(AND(ISNUMBER($T9),$T9&lt;&gt;""),IF(INDEX(Calc!$T$3:$T$122,$T9)="","—",INDEX(Calc!$T$3:$T$122,$T9)),"")</f>
        <v/>
      </c>
      <c r="C9" s="20">
        <f>IF(AND(ISNUMBER($T9),$T9&lt;&gt;""),IF(INDEX(Calc!$U$3:$U$122,$T9)="","—",INDEX(Calc!$U$3:$U$122,$T9)),"")</f>
        <v/>
      </c>
      <c r="D9" s="20">
        <f>IF(AND(ISNUMBER($T9),$T9&lt;&gt;""),IF(INDEX(Calc!$V$3:$V$122,$T9)="","—",INDEX(Calc!$V$3:$V$122,$T9)),"")</f>
        <v/>
      </c>
      <c r="E9" s="20">
        <f>IF(AND(ISNUMBER($T9),$T9&lt;&gt;""),IF(INDEX(Calc!$W$3:$W$122,$T9)="","—",INDEX(Calc!$W$3:$W$122,$T9)),"")</f>
        <v/>
      </c>
      <c r="F9" s="20">
        <f>IF(AND(ISNUMBER($T9),$T9&lt;&gt;""),IF(INDEX(Calc!$X$3:$X$122,$T9)="","—",INDEX(Calc!$X$3:$X$122,$T9)),"")</f>
        <v/>
      </c>
      <c r="G9" s="20">
        <f>IF(AND(ISNUMBER($T9),$T9&lt;&gt;""),IF(INDEX(Calc!$Y$3:$Y$122,$T9)="","—",INDEX(Calc!$Y$3:$Y$122,$T9)),"")</f>
        <v/>
      </c>
      <c r="H9" s="20">
        <f>IF(AND(ISNUMBER($T9),$T9&lt;&gt;""),IF(INDEX(Calc!$Z$3:$Z$122,$T9)="","—",INDEX(Calc!$Z$3:$Z$122,$T9)),"")</f>
        <v/>
      </c>
      <c r="I9" s="20">
        <f>IF(AND(ISNUMBER($T9),$T9&lt;&gt;""),IF(INDEX(Calc!$AA$3:$AA$122,$T9)="","—",INDEX(Calc!$AA$3:$AA$122,$T9)),"")</f>
        <v/>
      </c>
      <c r="J9" s="20">
        <f>IF(AND(ISNUMBER($T9),$T9&lt;&gt;""),IF(INDEX(Calc!$AB$3:$AB$122,$T9)="","—",INDEX(Calc!$AB$3:$AB$122,$T9)),"")</f>
        <v/>
      </c>
      <c r="K9" s="20">
        <f>IF(AND(ISNUMBER($T9),$T9&lt;&gt;""),IF(INDEX(Calc!$AC$3:$AC$122,$T9)="","—",INDEX(Calc!$AC$3:$AC$122,$T9)),"")</f>
        <v/>
      </c>
      <c r="L9" s="20">
        <f>IF(AND(ISNUMBER($T9),$T9&lt;&gt;""),IF(INDEX(Calc!$AD$3:$AD$122,$T9)="","—",INDEX(Calc!$AD$3:$AD$122,$T9)),"")</f>
        <v/>
      </c>
      <c r="M9" s="20">
        <f>IF(AND(ISNUMBER($T9),$T9&lt;&gt;""),IF(INDEX(Calc!$AE$3:$AE$122,$T9)="","—",INDEX(Calc!$AE$3:$AE$122,$T9)),"")</f>
        <v/>
      </c>
      <c r="N9" s="20">
        <f>IF(AND(ISNUMBER($T9),$T9&lt;&gt;""),IF(INDEX(Calc!$AF$3:$AF$122,$T9)="","—",INDEX(Calc!$AF$3:$AF$122,$T9)),"")</f>
        <v/>
      </c>
      <c r="O9" s="20">
        <f>IF(AND(ISNUMBER($T9),$T9&lt;&gt;""),IF(INDEX(Calc!$AG$3:$AG$122,$T9)="","—",INDEX(Calc!$AG$3:$AG$122,$T9)),"")</f>
        <v/>
      </c>
      <c r="P9" s="21">
        <f>IF(AND(ISNUMBER($T9),$T9&lt;&gt;""),IF(INDEX(Calc!$AJ$3:$AJ$122,$T9)="","—",INDEX(Calc!$AJ$3:$AJ$122,$T9)),"")</f>
        <v/>
      </c>
      <c r="Q9" s="21">
        <f>IF(AND(ISNUMBER($T9),$T9&lt;&gt;""),IF(INDEX(Calc!$AK$3:$AK$122,$T9)="","—",INDEX(Calc!$AK$3:$AK$122,$T9)),"")</f>
        <v/>
      </c>
      <c r="R9" s="20">
        <f>IF(AND(ISNUMBER($T9),$T9&lt;&gt;""),IF(INDEX(Calc!$AL$3:$AL$122,$T9)="","—",INDEX(Calc!$AL$3:$AL$122,$T9)),"")</f>
        <v/>
      </c>
      <c r="T9">
        <f>IFERROR(MATCH(5,Calc!$AN$3:$AN$122,0),"")</f>
        <v/>
      </c>
    </row>
    <row r="10">
      <c r="A10" s="14">
        <f>IF(AND(ISNUMBER($T10),$T10&lt;&gt;""),INDEX(Calc!$S$3:$S$122,$T10),"")</f>
        <v/>
      </c>
      <c r="B10" s="15">
        <f>IF(AND(ISNUMBER($T10),$T10&lt;&gt;""),IF(INDEX(Calc!$T$3:$T$122,$T10)="","—",INDEX(Calc!$T$3:$T$122,$T10)),"")</f>
        <v/>
      </c>
      <c r="C10" s="15">
        <f>IF(AND(ISNUMBER($T10),$T10&lt;&gt;""),IF(INDEX(Calc!$U$3:$U$122,$T10)="","—",INDEX(Calc!$U$3:$U$122,$T10)),"")</f>
        <v/>
      </c>
      <c r="D10" s="15">
        <f>IF(AND(ISNUMBER($T10),$T10&lt;&gt;""),IF(INDEX(Calc!$V$3:$V$122,$T10)="","—",INDEX(Calc!$V$3:$V$122,$T10)),"")</f>
        <v/>
      </c>
      <c r="E10" s="15">
        <f>IF(AND(ISNUMBER($T10),$T10&lt;&gt;""),IF(INDEX(Calc!$W$3:$W$122,$T10)="","—",INDEX(Calc!$W$3:$W$122,$T10)),"")</f>
        <v/>
      </c>
      <c r="F10" s="15">
        <f>IF(AND(ISNUMBER($T10),$T10&lt;&gt;""),IF(INDEX(Calc!$X$3:$X$122,$T10)="","—",INDEX(Calc!$X$3:$X$122,$T10)),"")</f>
        <v/>
      </c>
      <c r="G10" s="15">
        <f>IF(AND(ISNUMBER($T10),$T10&lt;&gt;""),IF(INDEX(Calc!$Y$3:$Y$122,$T10)="","—",INDEX(Calc!$Y$3:$Y$122,$T10)),"")</f>
        <v/>
      </c>
      <c r="H10" s="15">
        <f>IF(AND(ISNUMBER($T10),$T10&lt;&gt;""),IF(INDEX(Calc!$Z$3:$Z$122,$T10)="","—",INDEX(Calc!$Z$3:$Z$122,$T10)),"")</f>
        <v/>
      </c>
      <c r="I10" s="15">
        <f>IF(AND(ISNUMBER($T10),$T10&lt;&gt;""),IF(INDEX(Calc!$AA$3:$AA$122,$T10)="","—",INDEX(Calc!$AA$3:$AA$122,$T10)),"")</f>
        <v/>
      </c>
      <c r="J10" s="15">
        <f>IF(AND(ISNUMBER($T10),$T10&lt;&gt;""),IF(INDEX(Calc!$AB$3:$AB$122,$T10)="","—",INDEX(Calc!$AB$3:$AB$122,$T10)),"")</f>
        <v/>
      </c>
      <c r="K10" s="15">
        <f>IF(AND(ISNUMBER($T10),$T10&lt;&gt;""),IF(INDEX(Calc!$AC$3:$AC$122,$T10)="","—",INDEX(Calc!$AC$3:$AC$122,$T10)),"")</f>
        <v/>
      </c>
      <c r="L10" s="15">
        <f>IF(AND(ISNUMBER($T10),$T10&lt;&gt;""),IF(INDEX(Calc!$AD$3:$AD$122,$T10)="","—",INDEX(Calc!$AD$3:$AD$122,$T10)),"")</f>
        <v/>
      </c>
      <c r="M10" s="15">
        <f>IF(AND(ISNUMBER($T10),$T10&lt;&gt;""),IF(INDEX(Calc!$AE$3:$AE$122,$T10)="","—",INDEX(Calc!$AE$3:$AE$122,$T10)),"")</f>
        <v/>
      </c>
      <c r="N10" s="15">
        <f>IF(AND(ISNUMBER($T10),$T10&lt;&gt;""),IF(INDEX(Calc!$AF$3:$AF$122,$T10)="","—",INDEX(Calc!$AF$3:$AF$122,$T10)),"")</f>
        <v/>
      </c>
      <c r="O10" s="15">
        <f>IF(AND(ISNUMBER($T10),$T10&lt;&gt;""),IF(INDEX(Calc!$AG$3:$AG$122,$T10)="","—",INDEX(Calc!$AG$3:$AG$122,$T10)),"")</f>
        <v/>
      </c>
      <c r="P10" s="16">
        <f>IF(AND(ISNUMBER($T10),$T10&lt;&gt;""),IF(INDEX(Calc!$AJ$3:$AJ$122,$T10)="","—",INDEX(Calc!$AJ$3:$AJ$122,$T10)),"")</f>
        <v/>
      </c>
      <c r="Q10" s="16">
        <f>IF(AND(ISNUMBER($T10),$T10&lt;&gt;""),IF(INDEX(Calc!$AK$3:$AK$122,$T10)="","—",INDEX(Calc!$AK$3:$AK$122,$T10)),"")</f>
        <v/>
      </c>
      <c r="R10" s="15">
        <f>IF(AND(ISNUMBER($T10),$T10&lt;&gt;""),IF(INDEX(Calc!$AL$3:$AL$122,$T10)="","—",INDEX(Calc!$AL$3:$AL$122,$T10)),"")</f>
        <v/>
      </c>
      <c r="T10">
        <f>IFERROR(MATCH(6,Calc!$AN$3:$AN$122,0),"")</f>
        <v/>
      </c>
    </row>
    <row r="11">
      <c r="A11" s="19">
        <f>IF(AND(ISNUMBER($T11),$T11&lt;&gt;""),INDEX(Calc!$S$3:$S$122,$T11),"")</f>
        <v/>
      </c>
      <c r="B11" s="20">
        <f>IF(AND(ISNUMBER($T11),$T11&lt;&gt;""),IF(INDEX(Calc!$T$3:$T$122,$T11)="","—",INDEX(Calc!$T$3:$T$122,$T11)),"")</f>
        <v/>
      </c>
      <c r="C11" s="20">
        <f>IF(AND(ISNUMBER($T11),$T11&lt;&gt;""),IF(INDEX(Calc!$U$3:$U$122,$T11)="","—",INDEX(Calc!$U$3:$U$122,$T11)),"")</f>
        <v/>
      </c>
      <c r="D11" s="20">
        <f>IF(AND(ISNUMBER($T11),$T11&lt;&gt;""),IF(INDEX(Calc!$V$3:$V$122,$T11)="","—",INDEX(Calc!$V$3:$V$122,$T11)),"")</f>
        <v/>
      </c>
      <c r="E11" s="20">
        <f>IF(AND(ISNUMBER($T11),$T11&lt;&gt;""),IF(INDEX(Calc!$W$3:$W$122,$T11)="","—",INDEX(Calc!$W$3:$W$122,$T11)),"")</f>
        <v/>
      </c>
      <c r="F11" s="20">
        <f>IF(AND(ISNUMBER($T11),$T11&lt;&gt;""),IF(INDEX(Calc!$X$3:$X$122,$T11)="","—",INDEX(Calc!$X$3:$X$122,$T11)),"")</f>
        <v/>
      </c>
      <c r="G11" s="20">
        <f>IF(AND(ISNUMBER($T11),$T11&lt;&gt;""),IF(INDEX(Calc!$Y$3:$Y$122,$T11)="","—",INDEX(Calc!$Y$3:$Y$122,$T11)),"")</f>
        <v/>
      </c>
      <c r="H11" s="20">
        <f>IF(AND(ISNUMBER($T11),$T11&lt;&gt;""),IF(INDEX(Calc!$Z$3:$Z$122,$T11)="","—",INDEX(Calc!$Z$3:$Z$122,$T11)),"")</f>
        <v/>
      </c>
      <c r="I11" s="20">
        <f>IF(AND(ISNUMBER($T11),$T11&lt;&gt;""),IF(INDEX(Calc!$AA$3:$AA$122,$T11)="","—",INDEX(Calc!$AA$3:$AA$122,$T11)),"")</f>
        <v/>
      </c>
      <c r="J11" s="20">
        <f>IF(AND(ISNUMBER($T11),$T11&lt;&gt;""),IF(INDEX(Calc!$AB$3:$AB$122,$T11)="","—",INDEX(Calc!$AB$3:$AB$122,$T11)),"")</f>
        <v/>
      </c>
      <c r="K11" s="20">
        <f>IF(AND(ISNUMBER($T11),$T11&lt;&gt;""),IF(INDEX(Calc!$AC$3:$AC$122,$T11)="","—",INDEX(Calc!$AC$3:$AC$122,$T11)),"")</f>
        <v/>
      </c>
      <c r="L11" s="20">
        <f>IF(AND(ISNUMBER($T11),$T11&lt;&gt;""),IF(INDEX(Calc!$AD$3:$AD$122,$T11)="","—",INDEX(Calc!$AD$3:$AD$122,$T11)),"")</f>
        <v/>
      </c>
      <c r="M11" s="20">
        <f>IF(AND(ISNUMBER($T11),$T11&lt;&gt;""),IF(INDEX(Calc!$AE$3:$AE$122,$T11)="","—",INDEX(Calc!$AE$3:$AE$122,$T11)),"")</f>
        <v/>
      </c>
      <c r="N11" s="20">
        <f>IF(AND(ISNUMBER($T11),$T11&lt;&gt;""),IF(INDEX(Calc!$AF$3:$AF$122,$T11)="","—",INDEX(Calc!$AF$3:$AF$122,$T11)),"")</f>
        <v/>
      </c>
      <c r="O11" s="20">
        <f>IF(AND(ISNUMBER($T11),$T11&lt;&gt;""),IF(INDEX(Calc!$AG$3:$AG$122,$T11)="","—",INDEX(Calc!$AG$3:$AG$122,$T11)),"")</f>
        <v/>
      </c>
      <c r="P11" s="21">
        <f>IF(AND(ISNUMBER($T11),$T11&lt;&gt;""),IF(INDEX(Calc!$AJ$3:$AJ$122,$T11)="","—",INDEX(Calc!$AJ$3:$AJ$122,$T11)),"")</f>
        <v/>
      </c>
      <c r="Q11" s="21">
        <f>IF(AND(ISNUMBER($T11),$T11&lt;&gt;""),IF(INDEX(Calc!$AK$3:$AK$122,$T11)="","—",INDEX(Calc!$AK$3:$AK$122,$T11)),"")</f>
        <v/>
      </c>
      <c r="R11" s="20">
        <f>IF(AND(ISNUMBER($T11),$T11&lt;&gt;""),IF(INDEX(Calc!$AL$3:$AL$122,$T11)="","—",INDEX(Calc!$AL$3:$AL$122,$T11)),"")</f>
        <v/>
      </c>
      <c r="T11">
        <f>IFERROR(MATCH(7,Calc!$AN$3:$AN$122,0),"")</f>
        <v/>
      </c>
    </row>
    <row r="12">
      <c r="A12" s="14">
        <f>IF(AND(ISNUMBER($T12),$T12&lt;&gt;""),INDEX(Calc!$S$3:$S$122,$T12),"")</f>
        <v/>
      </c>
      <c r="B12" s="15">
        <f>IF(AND(ISNUMBER($T12),$T12&lt;&gt;""),IF(INDEX(Calc!$T$3:$T$122,$T12)="","—",INDEX(Calc!$T$3:$T$122,$T12)),"")</f>
        <v/>
      </c>
      <c r="C12" s="15">
        <f>IF(AND(ISNUMBER($T12),$T12&lt;&gt;""),IF(INDEX(Calc!$U$3:$U$122,$T12)="","—",INDEX(Calc!$U$3:$U$122,$T12)),"")</f>
        <v/>
      </c>
      <c r="D12" s="15">
        <f>IF(AND(ISNUMBER($T12),$T12&lt;&gt;""),IF(INDEX(Calc!$V$3:$V$122,$T12)="","—",INDEX(Calc!$V$3:$V$122,$T12)),"")</f>
        <v/>
      </c>
      <c r="E12" s="15">
        <f>IF(AND(ISNUMBER($T12),$T12&lt;&gt;""),IF(INDEX(Calc!$W$3:$W$122,$T12)="","—",INDEX(Calc!$W$3:$W$122,$T12)),"")</f>
        <v/>
      </c>
      <c r="F12" s="15">
        <f>IF(AND(ISNUMBER($T12),$T12&lt;&gt;""),IF(INDEX(Calc!$X$3:$X$122,$T12)="","—",INDEX(Calc!$X$3:$X$122,$T12)),"")</f>
        <v/>
      </c>
      <c r="G12" s="15">
        <f>IF(AND(ISNUMBER($T12),$T12&lt;&gt;""),IF(INDEX(Calc!$Y$3:$Y$122,$T12)="","—",INDEX(Calc!$Y$3:$Y$122,$T12)),"")</f>
        <v/>
      </c>
      <c r="H12" s="15">
        <f>IF(AND(ISNUMBER($T12),$T12&lt;&gt;""),IF(INDEX(Calc!$Z$3:$Z$122,$T12)="","—",INDEX(Calc!$Z$3:$Z$122,$T12)),"")</f>
        <v/>
      </c>
      <c r="I12" s="15">
        <f>IF(AND(ISNUMBER($T12),$T12&lt;&gt;""),IF(INDEX(Calc!$AA$3:$AA$122,$T12)="","—",INDEX(Calc!$AA$3:$AA$122,$T12)),"")</f>
        <v/>
      </c>
      <c r="J12" s="15">
        <f>IF(AND(ISNUMBER($T12),$T12&lt;&gt;""),IF(INDEX(Calc!$AB$3:$AB$122,$T12)="","—",INDEX(Calc!$AB$3:$AB$122,$T12)),"")</f>
        <v/>
      </c>
      <c r="K12" s="15">
        <f>IF(AND(ISNUMBER($T12),$T12&lt;&gt;""),IF(INDEX(Calc!$AC$3:$AC$122,$T12)="","—",INDEX(Calc!$AC$3:$AC$122,$T12)),"")</f>
        <v/>
      </c>
      <c r="L12" s="15">
        <f>IF(AND(ISNUMBER($T12),$T12&lt;&gt;""),IF(INDEX(Calc!$AD$3:$AD$122,$T12)="","—",INDEX(Calc!$AD$3:$AD$122,$T12)),"")</f>
        <v/>
      </c>
      <c r="M12" s="15">
        <f>IF(AND(ISNUMBER($T12),$T12&lt;&gt;""),IF(INDEX(Calc!$AE$3:$AE$122,$T12)="","—",INDEX(Calc!$AE$3:$AE$122,$T12)),"")</f>
        <v/>
      </c>
      <c r="N12" s="15">
        <f>IF(AND(ISNUMBER($T12),$T12&lt;&gt;""),IF(INDEX(Calc!$AF$3:$AF$122,$T12)="","—",INDEX(Calc!$AF$3:$AF$122,$T12)),"")</f>
        <v/>
      </c>
      <c r="O12" s="15">
        <f>IF(AND(ISNUMBER($T12),$T12&lt;&gt;""),IF(INDEX(Calc!$AG$3:$AG$122,$T12)="","—",INDEX(Calc!$AG$3:$AG$122,$T12)),"")</f>
        <v/>
      </c>
      <c r="P12" s="16">
        <f>IF(AND(ISNUMBER($T12),$T12&lt;&gt;""),IF(INDEX(Calc!$AJ$3:$AJ$122,$T12)="","—",INDEX(Calc!$AJ$3:$AJ$122,$T12)),"")</f>
        <v/>
      </c>
      <c r="Q12" s="16">
        <f>IF(AND(ISNUMBER($T12),$T12&lt;&gt;""),IF(INDEX(Calc!$AK$3:$AK$122,$T12)="","—",INDEX(Calc!$AK$3:$AK$122,$T12)),"")</f>
        <v/>
      </c>
      <c r="R12" s="15">
        <f>IF(AND(ISNUMBER($T12),$T12&lt;&gt;""),IF(INDEX(Calc!$AL$3:$AL$122,$T12)="","—",INDEX(Calc!$AL$3:$AL$122,$T12)),"")</f>
        <v/>
      </c>
      <c r="T12">
        <f>IFERROR(MATCH(8,Calc!$AN$3:$AN$122,0),"")</f>
        <v/>
      </c>
    </row>
    <row r="13">
      <c r="A13" s="19">
        <f>IF(AND(ISNUMBER($T13),$T13&lt;&gt;""),INDEX(Calc!$S$3:$S$122,$T13),"")</f>
        <v/>
      </c>
      <c r="B13" s="20">
        <f>IF(AND(ISNUMBER($T13),$T13&lt;&gt;""),IF(INDEX(Calc!$T$3:$T$122,$T13)="","—",INDEX(Calc!$T$3:$T$122,$T13)),"")</f>
        <v/>
      </c>
      <c r="C13" s="20">
        <f>IF(AND(ISNUMBER($T13),$T13&lt;&gt;""),IF(INDEX(Calc!$U$3:$U$122,$T13)="","—",INDEX(Calc!$U$3:$U$122,$T13)),"")</f>
        <v/>
      </c>
      <c r="D13" s="20">
        <f>IF(AND(ISNUMBER($T13),$T13&lt;&gt;""),IF(INDEX(Calc!$V$3:$V$122,$T13)="","—",INDEX(Calc!$V$3:$V$122,$T13)),"")</f>
        <v/>
      </c>
      <c r="E13" s="20">
        <f>IF(AND(ISNUMBER($T13),$T13&lt;&gt;""),IF(INDEX(Calc!$W$3:$W$122,$T13)="","—",INDEX(Calc!$W$3:$W$122,$T13)),"")</f>
        <v/>
      </c>
      <c r="F13" s="20">
        <f>IF(AND(ISNUMBER($T13),$T13&lt;&gt;""),IF(INDEX(Calc!$X$3:$X$122,$T13)="","—",INDEX(Calc!$X$3:$X$122,$T13)),"")</f>
        <v/>
      </c>
      <c r="G13" s="20">
        <f>IF(AND(ISNUMBER($T13),$T13&lt;&gt;""),IF(INDEX(Calc!$Y$3:$Y$122,$T13)="","—",INDEX(Calc!$Y$3:$Y$122,$T13)),"")</f>
        <v/>
      </c>
      <c r="H13" s="20">
        <f>IF(AND(ISNUMBER($T13),$T13&lt;&gt;""),IF(INDEX(Calc!$Z$3:$Z$122,$T13)="","—",INDEX(Calc!$Z$3:$Z$122,$T13)),"")</f>
        <v/>
      </c>
      <c r="I13" s="20">
        <f>IF(AND(ISNUMBER($T13),$T13&lt;&gt;""),IF(INDEX(Calc!$AA$3:$AA$122,$T13)="","—",INDEX(Calc!$AA$3:$AA$122,$T13)),"")</f>
        <v/>
      </c>
      <c r="J13" s="20">
        <f>IF(AND(ISNUMBER($T13),$T13&lt;&gt;""),IF(INDEX(Calc!$AB$3:$AB$122,$T13)="","—",INDEX(Calc!$AB$3:$AB$122,$T13)),"")</f>
        <v/>
      </c>
      <c r="K13" s="20">
        <f>IF(AND(ISNUMBER($T13),$T13&lt;&gt;""),IF(INDEX(Calc!$AC$3:$AC$122,$T13)="","—",INDEX(Calc!$AC$3:$AC$122,$T13)),"")</f>
        <v/>
      </c>
      <c r="L13" s="20">
        <f>IF(AND(ISNUMBER($T13),$T13&lt;&gt;""),IF(INDEX(Calc!$AD$3:$AD$122,$T13)="","—",INDEX(Calc!$AD$3:$AD$122,$T13)),"")</f>
        <v/>
      </c>
      <c r="M13" s="20">
        <f>IF(AND(ISNUMBER($T13),$T13&lt;&gt;""),IF(INDEX(Calc!$AE$3:$AE$122,$T13)="","—",INDEX(Calc!$AE$3:$AE$122,$T13)),"")</f>
        <v/>
      </c>
      <c r="N13" s="20">
        <f>IF(AND(ISNUMBER($T13),$T13&lt;&gt;""),IF(INDEX(Calc!$AF$3:$AF$122,$T13)="","—",INDEX(Calc!$AF$3:$AF$122,$T13)),"")</f>
        <v/>
      </c>
      <c r="O13" s="20">
        <f>IF(AND(ISNUMBER($T13),$T13&lt;&gt;""),IF(INDEX(Calc!$AG$3:$AG$122,$T13)="","—",INDEX(Calc!$AG$3:$AG$122,$T13)),"")</f>
        <v/>
      </c>
      <c r="P13" s="21">
        <f>IF(AND(ISNUMBER($T13),$T13&lt;&gt;""),IF(INDEX(Calc!$AJ$3:$AJ$122,$T13)="","—",INDEX(Calc!$AJ$3:$AJ$122,$T13)),"")</f>
        <v/>
      </c>
      <c r="Q13" s="21">
        <f>IF(AND(ISNUMBER($T13),$T13&lt;&gt;""),IF(INDEX(Calc!$AK$3:$AK$122,$T13)="","—",INDEX(Calc!$AK$3:$AK$122,$T13)),"")</f>
        <v/>
      </c>
      <c r="R13" s="20">
        <f>IF(AND(ISNUMBER($T13),$T13&lt;&gt;""),IF(INDEX(Calc!$AL$3:$AL$122,$T13)="","—",INDEX(Calc!$AL$3:$AL$122,$T13)),"")</f>
        <v/>
      </c>
      <c r="T13">
        <f>IFERROR(MATCH(9,Calc!$AN$3:$AN$122,0),"")</f>
        <v/>
      </c>
    </row>
    <row r="14">
      <c r="A14" s="14">
        <f>IF(AND(ISNUMBER($T14),$T14&lt;&gt;""),INDEX(Calc!$S$3:$S$122,$T14),"")</f>
        <v/>
      </c>
      <c r="B14" s="15">
        <f>IF(AND(ISNUMBER($T14),$T14&lt;&gt;""),IF(INDEX(Calc!$T$3:$T$122,$T14)="","—",INDEX(Calc!$T$3:$T$122,$T14)),"")</f>
        <v/>
      </c>
      <c r="C14" s="15">
        <f>IF(AND(ISNUMBER($T14),$T14&lt;&gt;""),IF(INDEX(Calc!$U$3:$U$122,$T14)="","—",INDEX(Calc!$U$3:$U$122,$T14)),"")</f>
        <v/>
      </c>
      <c r="D14" s="15">
        <f>IF(AND(ISNUMBER($T14),$T14&lt;&gt;""),IF(INDEX(Calc!$V$3:$V$122,$T14)="","—",INDEX(Calc!$V$3:$V$122,$T14)),"")</f>
        <v/>
      </c>
      <c r="E14" s="15">
        <f>IF(AND(ISNUMBER($T14),$T14&lt;&gt;""),IF(INDEX(Calc!$W$3:$W$122,$T14)="","—",INDEX(Calc!$W$3:$W$122,$T14)),"")</f>
        <v/>
      </c>
      <c r="F14" s="15">
        <f>IF(AND(ISNUMBER($T14),$T14&lt;&gt;""),IF(INDEX(Calc!$X$3:$X$122,$T14)="","—",INDEX(Calc!$X$3:$X$122,$T14)),"")</f>
        <v/>
      </c>
      <c r="G14" s="15">
        <f>IF(AND(ISNUMBER($T14),$T14&lt;&gt;""),IF(INDEX(Calc!$Y$3:$Y$122,$T14)="","—",INDEX(Calc!$Y$3:$Y$122,$T14)),"")</f>
        <v/>
      </c>
      <c r="H14" s="15">
        <f>IF(AND(ISNUMBER($T14),$T14&lt;&gt;""),IF(INDEX(Calc!$Z$3:$Z$122,$T14)="","—",INDEX(Calc!$Z$3:$Z$122,$T14)),"")</f>
        <v/>
      </c>
      <c r="I14" s="15">
        <f>IF(AND(ISNUMBER($T14),$T14&lt;&gt;""),IF(INDEX(Calc!$AA$3:$AA$122,$T14)="","—",INDEX(Calc!$AA$3:$AA$122,$T14)),"")</f>
        <v/>
      </c>
      <c r="J14" s="15">
        <f>IF(AND(ISNUMBER($T14),$T14&lt;&gt;""),IF(INDEX(Calc!$AB$3:$AB$122,$T14)="","—",INDEX(Calc!$AB$3:$AB$122,$T14)),"")</f>
        <v/>
      </c>
      <c r="K14" s="15">
        <f>IF(AND(ISNUMBER($T14),$T14&lt;&gt;""),IF(INDEX(Calc!$AC$3:$AC$122,$T14)="","—",INDEX(Calc!$AC$3:$AC$122,$T14)),"")</f>
        <v/>
      </c>
      <c r="L14" s="15">
        <f>IF(AND(ISNUMBER($T14),$T14&lt;&gt;""),IF(INDEX(Calc!$AD$3:$AD$122,$T14)="","—",INDEX(Calc!$AD$3:$AD$122,$T14)),"")</f>
        <v/>
      </c>
      <c r="M14" s="15">
        <f>IF(AND(ISNUMBER($T14),$T14&lt;&gt;""),IF(INDEX(Calc!$AE$3:$AE$122,$T14)="","—",INDEX(Calc!$AE$3:$AE$122,$T14)),"")</f>
        <v/>
      </c>
      <c r="N14" s="15">
        <f>IF(AND(ISNUMBER($T14),$T14&lt;&gt;""),IF(INDEX(Calc!$AF$3:$AF$122,$T14)="","—",INDEX(Calc!$AF$3:$AF$122,$T14)),"")</f>
        <v/>
      </c>
      <c r="O14" s="15">
        <f>IF(AND(ISNUMBER($T14),$T14&lt;&gt;""),IF(INDEX(Calc!$AG$3:$AG$122,$T14)="","—",INDEX(Calc!$AG$3:$AG$122,$T14)),"")</f>
        <v/>
      </c>
      <c r="P14" s="16">
        <f>IF(AND(ISNUMBER($T14),$T14&lt;&gt;""),IF(INDEX(Calc!$AJ$3:$AJ$122,$T14)="","—",INDEX(Calc!$AJ$3:$AJ$122,$T14)),"")</f>
        <v/>
      </c>
      <c r="Q14" s="16">
        <f>IF(AND(ISNUMBER($T14),$T14&lt;&gt;""),IF(INDEX(Calc!$AK$3:$AK$122,$T14)="","—",INDEX(Calc!$AK$3:$AK$122,$T14)),"")</f>
        <v/>
      </c>
      <c r="R14" s="15">
        <f>IF(AND(ISNUMBER($T14),$T14&lt;&gt;""),IF(INDEX(Calc!$AL$3:$AL$122,$T14)="","—",INDEX(Calc!$AL$3:$AL$122,$T14)),"")</f>
        <v/>
      </c>
      <c r="T14">
        <f>IFERROR(MATCH(10,Calc!$AN$3:$AN$122,0),"")</f>
        <v/>
      </c>
    </row>
    <row r="15">
      <c r="A15" s="19">
        <f>IF(AND(ISNUMBER($T15),$T15&lt;&gt;""),INDEX(Calc!$S$3:$S$122,$T15),"")</f>
        <v/>
      </c>
      <c r="B15" s="20">
        <f>IF(AND(ISNUMBER($T15),$T15&lt;&gt;""),IF(INDEX(Calc!$T$3:$T$122,$T15)="","—",INDEX(Calc!$T$3:$T$122,$T15)),"")</f>
        <v/>
      </c>
      <c r="C15" s="20">
        <f>IF(AND(ISNUMBER($T15),$T15&lt;&gt;""),IF(INDEX(Calc!$U$3:$U$122,$T15)="","—",INDEX(Calc!$U$3:$U$122,$T15)),"")</f>
        <v/>
      </c>
      <c r="D15" s="20">
        <f>IF(AND(ISNUMBER($T15),$T15&lt;&gt;""),IF(INDEX(Calc!$V$3:$V$122,$T15)="","—",INDEX(Calc!$V$3:$V$122,$T15)),"")</f>
        <v/>
      </c>
      <c r="E15" s="20">
        <f>IF(AND(ISNUMBER($T15),$T15&lt;&gt;""),IF(INDEX(Calc!$W$3:$W$122,$T15)="","—",INDEX(Calc!$W$3:$W$122,$T15)),"")</f>
        <v/>
      </c>
      <c r="F15" s="20">
        <f>IF(AND(ISNUMBER($T15),$T15&lt;&gt;""),IF(INDEX(Calc!$X$3:$X$122,$T15)="","—",INDEX(Calc!$X$3:$X$122,$T15)),"")</f>
        <v/>
      </c>
      <c r="G15" s="20">
        <f>IF(AND(ISNUMBER($T15),$T15&lt;&gt;""),IF(INDEX(Calc!$Y$3:$Y$122,$T15)="","—",INDEX(Calc!$Y$3:$Y$122,$T15)),"")</f>
        <v/>
      </c>
      <c r="H15" s="20">
        <f>IF(AND(ISNUMBER($T15),$T15&lt;&gt;""),IF(INDEX(Calc!$Z$3:$Z$122,$T15)="","—",INDEX(Calc!$Z$3:$Z$122,$T15)),"")</f>
        <v/>
      </c>
      <c r="I15" s="20">
        <f>IF(AND(ISNUMBER($T15),$T15&lt;&gt;""),IF(INDEX(Calc!$AA$3:$AA$122,$T15)="","—",INDEX(Calc!$AA$3:$AA$122,$T15)),"")</f>
        <v/>
      </c>
      <c r="J15" s="20">
        <f>IF(AND(ISNUMBER($T15),$T15&lt;&gt;""),IF(INDEX(Calc!$AB$3:$AB$122,$T15)="","—",INDEX(Calc!$AB$3:$AB$122,$T15)),"")</f>
        <v/>
      </c>
      <c r="K15" s="20">
        <f>IF(AND(ISNUMBER($T15),$T15&lt;&gt;""),IF(INDEX(Calc!$AC$3:$AC$122,$T15)="","—",INDEX(Calc!$AC$3:$AC$122,$T15)),"")</f>
        <v/>
      </c>
      <c r="L15" s="20">
        <f>IF(AND(ISNUMBER($T15),$T15&lt;&gt;""),IF(INDEX(Calc!$AD$3:$AD$122,$T15)="","—",INDEX(Calc!$AD$3:$AD$122,$T15)),"")</f>
        <v/>
      </c>
      <c r="M15" s="20">
        <f>IF(AND(ISNUMBER($T15),$T15&lt;&gt;""),IF(INDEX(Calc!$AE$3:$AE$122,$T15)="","—",INDEX(Calc!$AE$3:$AE$122,$T15)),"")</f>
        <v/>
      </c>
      <c r="N15" s="20">
        <f>IF(AND(ISNUMBER($T15),$T15&lt;&gt;""),IF(INDEX(Calc!$AF$3:$AF$122,$T15)="","—",INDEX(Calc!$AF$3:$AF$122,$T15)),"")</f>
        <v/>
      </c>
      <c r="O15" s="20">
        <f>IF(AND(ISNUMBER($T15),$T15&lt;&gt;""),IF(INDEX(Calc!$AG$3:$AG$122,$T15)="","—",INDEX(Calc!$AG$3:$AG$122,$T15)),"")</f>
        <v/>
      </c>
      <c r="P15" s="21">
        <f>IF(AND(ISNUMBER($T15),$T15&lt;&gt;""),IF(INDEX(Calc!$AJ$3:$AJ$122,$T15)="","—",INDEX(Calc!$AJ$3:$AJ$122,$T15)),"")</f>
        <v/>
      </c>
      <c r="Q15" s="21">
        <f>IF(AND(ISNUMBER($T15),$T15&lt;&gt;""),IF(INDEX(Calc!$AK$3:$AK$122,$T15)="","—",INDEX(Calc!$AK$3:$AK$122,$T15)),"")</f>
        <v/>
      </c>
      <c r="R15" s="20">
        <f>IF(AND(ISNUMBER($T15),$T15&lt;&gt;""),IF(INDEX(Calc!$AL$3:$AL$122,$T15)="","—",INDEX(Calc!$AL$3:$AL$122,$T15)),"")</f>
        <v/>
      </c>
      <c r="T15">
        <f>IFERROR(MATCH(11,Calc!$AN$3:$AN$122,0),"")</f>
        <v/>
      </c>
    </row>
    <row r="16">
      <c r="A16" s="14">
        <f>IF(AND(ISNUMBER($T16),$T16&lt;&gt;""),INDEX(Calc!$S$3:$S$122,$T16),"")</f>
        <v/>
      </c>
      <c r="B16" s="15">
        <f>IF(AND(ISNUMBER($T16),$T16&lt;&gt;""),IF(INDEX(Calc!$T$3:$T$122,$T16)="","—",INDEX(Calc!$T$3:$T$122,$T16)),"")</f>
        <v/>
      </c>
      <c r="C16" s="15">
        <f>IF(AND(ISNUMBER($T16),$T16&lt;&gt;""),IF(INDEX(Calc!$U$3:$U$122,$T16)="","—",INDEX(Calc!$U$3:$U$122,$T16)),"")</f>
        <v/>
      </c>
      <c r="D16" s="15">
        <f>IF(AND(ISNUMBER($T16),$T16&lt;&gt;""),IF(INDEX(Calc!$V$3:$V$122,$T16)="","—",INDEX(Calc!$V$3:$V$122,$T16)),"")</f>
        <v/>
      </c>
      <c r="E16" s="15">
        <f>IF(AND(ISNUMBER($T16),$T16&lt;&gt;""),IF(INDEX(Calc!$W$3:$W$122,$T16)="","—",INDEX(Calc!$W$3:$W$122,$T16)),"")</f>
        <v/>
      </c>
      <c r="F16" s="15">
        <f>IF(AND(ISNUMBER($T16),$T16&lt;&gt;""),IF(INDEX(Calc!$X$3:$X$122,$T16)="","—",INDEX(Calc!$X$3:$X$122,$T16)),"")</f>
        <v/>
      </c>
      <c r="G16" s="15">
        <f>IF(AND(ISNUMBER($T16),$T16&lt;&gt;""),IF(INDEX(Calc!$Y$3:$Y$122,$T16)="","—",INDEX(Calc!$Y$3:$Y$122,$T16)),"")</f>
        <v/>
      </c>
      <c r="H16" s="15">
        <f>IF(AND(ISNUMBER($T16),$T16&lt;&gt;""),IF(INDEX(Calc!$Z$3:$Z$122,$T16)="","—",INDEX(Calc!$Z$3:$Z$122,$T16)),"")</f>
        <v/>
      </c>
      <c r="I16" s="15">
        <f>IF(AND(ISNUMBER($T16),$T16&lt;&gt;""),IF(INDEX(Calc!$AA$3:$AA$122,$T16)="","—",INDEX(Calc!$AA$3:$AA$122,$T16)),"")</f>
        <v/>
      </c>
      <c r="J16" s="15">
        <f>IF(AND(ISNUMBER($T16),$T16&lt;&gt;""),IF(INDEX(Calc!$AB$3:$AB$122,$T16)="","—",INDEX(Calc!$AB$3:$AB$122,$T16)),"")</f>
        <v/>
      </c>
      <c r="K16" s="15">
        <f>IF(AND(ISNUMBER($T16),$T16&lt;&gt;""),IF(INDEX(Calc!$AC$3:$AC$122,$T16)="","—",INDEX(Calc!$AC$3:$AC$122,$T16)),"")</f>
        <v/>
      </c>
      <c r="L16" s="15">
        <f>IF(AND(ISNUMBER($T16),$T16&lt;&gt;""),IF(INDEX(Calc!$AD$3:$AD$122,$T16)="","—",INDEX(Calc!$AD$3:$AD$122,$T16)),"")</f>
        <v/>
      </c>
      <c r="M16" s="15">
        <f>IF(AND(ISNUMBER($T16),$T16&lt;&gt;""),IF(INDEX(Calc!$AE$3:$AE$122,$T16)="","—",INDEX(Calc!$AE$3:$AE$122,$T16)),"")</f>
        <v/>
      </c>
      <c r="N16" s="15">
        <f>IF(AND(ISNUMBER($T16),$T16&lt;&gt;""),IF(INDEX(Calc!$AF$3:$AF$122,$T16)="","—",INDEX(Calc!$AF$3:$AF$122,$T16)),"")</f>
        <v/>
      </c>
      <c r="O16" s="15">
        <f>IF(AND(ISNUMBER($T16),$T16&lt;&gt;""),IF(INDEX(Calc!$AG$3:$AG$122,$T16)="","—",INDEX(Calc!$AG$3:$AG$122,$T16)),"")</f>
        <v/>
      </c>
      <c r="P16" s="16">
        <f>IF(AND(ISNUMBER($T16),$T16&lt;&gt;""),IF(INDEX(Calc!$AJ$3:$AJ$122,$T16)="","—",INDEX(Calc!$AJ$3:$AJ$122,$T16)),"")</f>
        <v/>
      </c>
      <c r="Q16" s="16">
        <f>IF(AND(ISNUMBER($T16),$T16&lt;&gt;""),IF(INDEX(Calc!$AK$3:$AK$122,$T16)="","—",INDEX(Calc!$AK$3:$AK$122,$T16)),"")</f>
        <v/>
      </c>
      <c r="R16" s="15">
        <f>IF(AND(ISNUMBER($T16),$T16&lt;&gt;""),IF(INDEX(Calc!$AL$3:$AL$122,$T16)="","—",INDEX(Calc!$AL$3:$AL$122,$T16)),"")</f>
        <v/>
      </c>
      <c r="T16">
        <f>IFERROR(MATCH(12,Calc!$AN$3:$AN$122,0),"")</f>
        <v/>
      </c>
    </row>
    <row r="17">
      <c r="A17" s="19">
        <f>IF(AND(ISNUMBER($T17),$T17&lt;&gt;""),INDEX(Calc!$S$3:$S$122,$T17),"")</f>
        <v/>
      </c>
      <c r="B17" s="20">
        <f>IF(AND(ISNUMBER($T17),$T17&lt;&gt;""),IF(INDEX(Calc!$T$3:$T$122,$T17)="","—",INDEX(Calc!$T$3:$T$122,$T17)),"")</f>
        <v/>
      </c>
      <c r="C17" s="20">
        <f>IF(AND(ISNUMBER($T17),$T17&lt;&gt;""),IF(INDEX(Calc!$U$3:$U$122,$T17)="","—",INDEX(Calc!$U$3:$U$122,$T17)),"")</f>
        <v/>
      </c>
      <c r="D17" s="20">
        <f>IF(AND(ISNUMBER($T17),$T17&lt;&gt;""),IF(INDEX(Calc!$V$3:$V$122,$T17)="","—",INDEX(Calc!$V$3:$V$122,$T17)),"")</f>
        <v/>
      </c>
      <c r="E17" s="20">
        <f>IF(AND(ISNUMBER($T17),$T17&lt;&gt;""),IF(INDEX(Calc!$W$3:$W$122,$T17)="","—",INDEX(Calc!$W$3:$W$122,$T17)),"")</f>
        <v/>
      </c>
      <c r="F17" s="20">
        <f>IF(AND(ISNUMBER($T17),$T17&lt;&gt;""),IF(INDEX(Calc!$X$3:$X$122,$T17)="","—",INDEX(Calc!$X$3:$X$122,$T17)),"")</f>
        <v/>
      </c>
      <c r="G17" s="20">
        <f>IF(AND(ISNUMBER($T17),$T17&lt;&gt;""),IF(INDEX(Calc!$Y$3:$Y$122,$T17)="","—",INDEX(Calc!$Y$3:$Y$122,$T17)),"")</f>
        <v/>
      </c>
      <c r="H17" s="20">
        <f>IF(AND(ISNUMBER($T17),$T17&lt;&gt;""),IF(INDEX(Calc!$Z$3:$Z$122,$T17)="","—",INDEX(Calc!$Z$3:$Z$122,$T17)),"")</f>
        <v/>
      </c>
      <c r="I17" s="20">
        <f>IF(AND(ISNUMBER($T17),$T17&lt;&gt;""),IF(INDEX(Calc!$AA$3:$AA$122,$T17)="","—",INDEX(Calc!$AA$3:$AA$122,$T17)),"")</f>
        <v/>
      </c>
      <c r="J17" s="20">
        <f>IF(AND(ISNUMBER($T17),$T17&lt;&gt;""),IF(INDEX(Calc!$AB$3:$AB$122,$T17)="","—",INDEX(Calc!$AB$3:$AB$122,$T17)),"")</f>
        <v/>
      </c>
      <c r="K17" s="20">
        <f>IF(AND(ISNUMBER($T17),$T17&lt;&gt;""),IF(INDEX(Calc!$AC$3:$AC$122,$T17)="","—",INDEX(Calc!$AC$3:$AC$122,$T17)),"")</f>
        <v/>
      </c>
      <c r="L17" s="20">
        <f>IF(AND(ISNUMBER($T17),$T17&lt;&gt;""),IF(INDEX(Calc!$AD$3:$AD$122,$T17)="","—",INDEX(Calc!$AD$3:$AD$122,$T17)),"")</f>
        <v/>
      </c>
      <c r="M17" s="20">
        <f>IF(AND(ISNUMBER($T17),$T17&lt;&gt;""),IF(INDEX(Calc!$AE$3:$AE$122,$T17)="","—",INDEX(Calc!$AE$3:$AE$122,$T17)),"")</f>
        <v/>
      </c>
      <c r="N17" s="20">
        <f>IF(AND(ISNUMBER($T17),$T17&lt;&gt;""),IF(INDEX(Calc!$AF$3:$AF$122,$T17)="","—",INDEX(Calc!$AF$3:$AF$122,$T17)),"")</f>
        <v/>
      </c>
      <c r="O17" s="20">
        <f>IF(AND(ISNUMBER($T17),$T17&lt;&gt;""),IF(INDEX(Calc!$AG$3:$AG$122,$T17)="","—",INDEX(Calc!$AG$3:$AG$122,$T17)),"")</f>
        <v/>
      </c>
      <c r="P17" s="21">
        <f>IF(AND(ISNUMBER($T17),$T17&lt;&gt;""),IF(INDEX(Calc!$AJ$3:$AJ$122,$T17)="","—",INDEX(Calc!$AJ$3:$AJ$122,$T17)),"")</f>
        <v/>
      </c>
      <c r="Q17" s="21">
        <f>IF(AND(ISNUMBER($T17),$T17&lt;&gt;""),IF(INDEX(Calc!$AK$3:$AK$122,$T17)="","—",INDEX(Calc!$AK$3:$AK$122,$T17)),"")</f>
        <v/>
      </c>
      <c r="R17" s="20">
        <f>IF(AND(ISNUMBER($T17),$T17&lt;&gt;""),IF(INDEX(Calc!$AL$3:$AL$122,$T17)="","—",INDEX(Calc!$AL$3:$AL$122,$T17)),"")</f>
        <v/>
      </c>
      <c r="T17">
        <f>IFERROR(MATCH(13,Calc!$AN$3:$AN$122,0),"")</f>
        <v/>
      </c>
    </row>
    <row r="18">
      <c r="A18" s="14">
        <f>IF(AND(ISNUMBER($T18),$T18&lt;&gt;""),INDEX(Calc!$S$3:$S$122,$T18),"")</f>
        <v/>
      </c>
      <c r="B18" s="15">
        <f>IF(AND(ISNUMBER($T18),$T18&lt;&gt;""),IF(INDEX(Calc!$T$3:$T$122,$T18)="","—",INDEX(Calc!$T$3:$T$122,$T18)),"")</f>
        <v/>
      </c>
      <c r="C18" s="15">
        <f>IF(AND(ISNUMBER($T18),$T18&lt;&gt;""),IF(INDEX(Calc!$U$3:$U$122,$T18)="","—",INDEX(Calc!$U$3:$U$122,$T18)),"")</f>
        <v/>
      </c>
      <c r="D18" s="15">
        <f>IF(AND(ISNUMBER($T18),$T18&lt;&gt;""),IF(INDEX(Calc!$V$3:$V$122,$T18)="","—",INDEX(Calc!$V$3:$V$122,$T18)),"")</f>
        <v/>
      </c>
      <c r="E18" s="15">
        <f>IF(AND(ISNUMBER($T18),$T18&lt;&gt;""),IF(INDEX(Calc!$W$3:$W$122,$T18)="","—",INDEX(Calc!$W$3:$W$122,$T18)),"")</f>
        <v/>
      </c>
      <c r="F18" s="15">
        <f>IF(AND(ISNUMBER($T18),$T18&lt;&gt;""),IF(INDEX(Calc!$X$3:$X$122,$T18)="","—",INDEX(Calc!$X$3:$X$122,$T18)),"")</f>
        <v/>
      </c>
      <c r="G18" s="15">
        <f>IF(AND(ISNUMBER($T18),$T18&lt;&gt;""),IF(INDEX(Calc!$Y$3:$Y$122,$T18)="","—",INDEX(Calc!$Y$3:$Y$122,$T18)),"")</f>
        <v/>
      </c>
      <c r="H18" s="15">
        <f>IF(AND(ISNUMBER($T18),$T18&lt;&gt;""),IF(INDEX(Calc!$Z$3:$Z$122,$T18)="","—",INDEX(Calc!$Z$3:$Z$122,$T18)),"")</f>
        <v/>
      </c>
      <c r="I18" s="15">
        <f>IF(AND(ISNUMBER($T18),$T18&lt;&gt;""),IF(INDEX(Calc!$AA$3:$AA$122,$T18)="","—",INDEX(Calc!$AA$3:$AA$122,$T18)),"")</f>
        <v/>
      </c>
      <c r="J18" s="15">
        <f>IF(AND(ISNUMBER($T18),$T18&lt;&gt;""),IF(INDEX(Calc!$AB$3:$AB$122,$T18)="","—",INDEX(Calc!$AB$3:$AB$122,$T18)),"")</f>
        <v/>
      </c>
      <c r="K18" s="15">
        <f>IF(AND(ISNUMBER($T18),$T18&lt;&gt;""),IF(INDEX(Calc!$AC$3:$AC$122,$T18)="","—",INDEX(Calc!$AC$3:$AC$122,$T18)),"")</f>
        <v/>
      </c>
      <c r="L18" s="15">
        <f>IF(AND(ISNUMBER($T18),$T18&lt;&gt;""),IF(INDEX(Calc!$AD$3:$AD$122,$T18)="","—",INDEX(Calc!$AD$3:$AD$122,$T18)),"")</f>
        <v/>
      </c>
      <c r="M18" s="15">
        <f>IF(AND(ISNUMBER($T18),$T18&lt;&gt;""),IF(INDEX(Calc!$AE$3:$AE$122,$T18)="","—",INDEX(Calc!$AE$3:$AE$122,$T18)),"")</f>
        <v/>
      </c>
      <c r="N18" s="15">
        <f>IF(AND(ISNUMBER($T18),$T18&lt;&gt;""),IF(INDEX(Calc!$AF$3:$AF$122,$T18)="","—",INDEX(Calc!$AF$3:$AF$122,$T18)),"")</f>
        <v/>
      </c>
      <c r="O18" s="15">
        <f>IF(AND(ISNUMBER($T18),$T18&lt;&gt;""),IF(INDEX(Calc!$AG$3:$AG$122,$T18)="","—",INDEX(Calc!$AG$3:$AG$122,$T18)),"")</f>
        <v/>
      </c>
      <c r="P18" s="16">
        <f>IF(AND(ISNUMBER($T18),$T18&lt;&gt;""),IF(INDEX(Calc!$AJ$3:$AJ$122,$T18)="","—",INDEX(Calc!$AJ$3:$AJ$122,$T18)),"")</f>
        <v/>
      </c>
      <c r="Q18" s="16">
        <f>IF(AND(ISNUMBER($T18),$T18&lt;&gt;""),IF(INDEX(Calc!$AK$3:$AK$122,$T18)="","—",INDEX(Calc!$AK$3:$AK$122,$T18)),"")</f>
        <v/>
      </c>
      <c r="R18" s="15">
        <f>IF(AND(ISNUMBER($T18),$T18&lt;&gt;""),IF(INDEX(Calc!$AL$3:$AL$122,$T18)="","—",INDEX(Calc!$AL$3:$AL$122,$T18)),"")</f>
        <v/>
      </c>
      <c r="T18">
        <f>IFERROR(MATCH(14,Calc!$AN$3:$AN$122,0),"")</f>
        <v/>
      </c>
    </row>
    <row r="19">
      <c r="A19" s="19">
        <f>IF(AND(ISNUMBER($T19),$T19&lt;&gt;""),INDEX(Calc!$S$3:$S$122,$T19),"")</f>
        <v/>
      </c>
      <c r="B19" s="20">
        <f>IF(AND(ISNUMBER($T19),$T19&lt;&gt;""),IF(INDEX(Calc!$T$3:$T$122,$T19)="","—",INDEX(Calc!$T$3:$T$122,$T19)),"")</f>
        <v/>
      </c>
      <c r="C19" s="20">
        <f>IF(AND(ISNUMBER($T19),$T19&lt;&gt;""),IF(INDEX(Calc!$U$3:$U$122,$T19)="","—",INDEX(Calc!$U$3:$U$122,$T19)),"")</f>
        <v/>
      </c>
      <c r="D19" s="20">
        <f>IF(AND(ISNUMBER($T19),$T19&lt;&gt;""),IF(INDEX(Calc!$V$3:$V$122,$T19)="","—",INDEX(Calc!$V$3:$V$122,$T19)),"")</f>
        <v/>
      </c>
      <c r="E19" s="20">
        <f>IF(AND(ISNUMBER($T19),$T19&lt;&gt;""),IF(INDEX(Calc!$W$3:$W$122,$T19)="","—",INDEX(Calc!$W$3:$W$122,$T19)),"")</f>
        <v/>
      </c>
      <c r="F19" s="20">
        <f>IF(AND(ISNUMBER($T19),$T19&lt;&gt;""),IF(INDEX(Calc!$X$3:$X$122,$T19)="","—",INDEX(Calc!$X$3:$X$122,$T19)),"")</f>
        <v/>
      </c>
      <c r="G19" s="20">
        <f>IF(AND(ISNUMBER($T19),$T19&lt;&gt;""),IF(INDEX(Calc!$Y$3:$Y$122,$T19)="","—",INDEX(Calc!$Y$3:$Y$122,$T19)),"")</f>
        <v/>
      </c>
      <c r="H19" s="20">
        <f>IF(AND(ISNUMBER($T19),$T19&lt;&gt;""),IF(INDEX(Calc!$Z$3:$Z$122,$T19)="","—",INDEX(Calc!$Z$3:$Z$122,$T19)),"")</f>
        <v/>
      </c>
      <c r="I19" s="20">
        <f>IF(AND(ISNUMBER($T19),$T19&lt;&gt;""),IF(INDEX(Calc!$AA$3:$AA$122,$T19)="","—",INDEX(Calc!$AA$3:$AA$122,$T19)),"")</f>
        <v/>
      </c>
      <c r="J19" s="20">
        <f>IF(AND(ISNUMBER($T19),$T19&lt;&gt;""),IF(INDEX(Calc!$AB$3:$AB$122,$T19)="","—",INDEX(Calc!$AB$3:$AB$122,$T19)),"")</f>
        <v/>
      </c>
      <c r="K19" s="20">
        <f>IF(AND(ISNUMBER($T19),$T19&lt;&gt;""),IF(INDEX(Calc!$AC$3:$AC$122,$T19)="","—",INDEX(Calc!$AC$3:$AC$122,$T19)),"")</f>
        <v/>
      </c>
      <c r="L19" s="20">
        <f>IF(AND(ISNUMBER($T19),$T19&lt;&gt;""),IF(INDEX(Calc!$AD$3:$AD$122,$T19)="","—",INDEX(Calc!$AD$3:$AD$122,$T19)),"")</f>
        <v/>
      </c>
      <c r="M19" s="20">
        <f>IF(AND(ISNUMBER($T19),$T19&lt;&gt;""),IF(INDEX(Calc!$AE$3:$AE$122,$T19)="","—",INDEX(Calc!$AE$3:$AE$122,$T19)),"")</f>
        <v/>
      </c>
      <c r="N19" s="20">
        <f>IF(AND(ISNUMBER($T19),$T19&lt;&gt;""),IF(INDEX(Calc!$AF$3:$AF$122,$T19)="","—",INDEX(Calc!$AF$3:$AF$122,$T19)),"")</f>
        <v/>
      </c>
      <c r="O19" s="20">
        <f>IF(AND(ISNUMBER($T19),$T19&lt;&gt;""),IF(INDEX(Calc!$AG$3:$AG$122,$T19)="","—",INDEX(Calc!$AG$3:$AG$122,$T19)),"")</f>
        <v/>
      </c>
      <c r="P19" s="21">
        <f>IF(AND(ISNUMBER($T19),$T19&lt;&gt;""),IF(INDEX(Calc!$AJ$3:$AJ$122,$T19)="","—",INDEX(Calc!$AJ$3:$AJ$122,$T19)),"")</f>
        <v/>
      </c>
      <c r="Q19" s="21">
        <f>IF(AND(ISNUMBER($T19),$T19&lt;&gt;""),IF(INDEX(Calc!$AK$3:$AK$122,$T19)="","—",INDEX(Calc!$AK$3:$AK$122,$T19)),"")</f>
        <v/>
      </c>
      <c r="R19" s="20">
        <f>IF(AND(ISNUMBER($T19),$T19&lt;&gt;""),IF(INDEX(Calc!$AL$3:$AL$122,$T19)="","—",INDEX(Calc!$AL$3:$AL$122,$T19)),"")</f>
        <v/>
      </c>
      <c r="T19">
        <f>IFERROR(MATCH(15,Calc!$AN$3:$AN$122,0),"")</f>
        <v/>
      </c>
    </row>
    <row r="20">
      <c r="A20" s="14">
        <f>IF(AND(ISNUMBER($T20),$T20&lt;&gt;""),INDEX(Calc!$S$3:$S$122,$T20),"")</f>
        <v/>
      </c>
      <c r="B20" s="15">
        <f>IF(AND(ISNUMBER($T20),$T20&lt;&gt;""),IF(INDEX(Calc!$T$3:$T$122,$T20)="","—",INDEX(Calc!$T$3:$T$122,$T20)),"")</f>
        <v/>
      </c>
      <c r="C20" s="15">
        <f>IF(AND(ISNUMBER($T20),$T20&lt;&gt;""),IF(INDEX(Calc!$U$3:$U$122,$T20)="","—",INDEX(Calc!$U$3:$U$122,$T20)),"")</f>
        <v/>
      </c>
      <c r="D20" s="15">
        <f>IF(AND(ISNUMBER($T20),$T20&lt;&gt;""),IF(INDEX(Calc!$V$3:$V$122,$T20)="","—",INDEX(Calc!$V$3:$V$122,$T20)),"")</f>
        <v/>
      </c>
      <c r="E20" s="15">
        <f>IF(AND(ISNUMBER($T20),$T20&lt;&gt;""),IF(INDEX(Calc!$W$3:$W$122,$T20)="","—",INDEX(Calc!$W$3:$W$122,$T20)),"")</f>
        <v/>
      </c>
      <c r="F20" s="15">
        <f>IF(AND(ISNUMBER($T20),$T20&lt;&gt;""),IF(INDEX(Calc!$X$3:$X$122,$T20)="","—",INDEX(Calc!$X$3:$X$122,$T20)),"")</f>
        <v/>
      </c>
      <c r="G20" s="15">
        <f>IF(AND(ISNUMBER($T20),$T20&lt;&gt;""),IF(INDEX(Calc!$Y$3:$Y$122,$T20)="","—",INDEX(Calc!$Y$3:$Y$122,$T20)),"")</f>
        <v/>
      </c>
      <c r="H20" s="15">
        <f>IF(AND(ISNUMBER($T20),$T20&lt;&gt;""),IF(INDEX(Calc!$Z$3:$Z$122,$T20)="","—",INDEX(Calc!$Z$3:$Z$122,$T20)),"")</f>
        <v/>
      </c>
      <c r="I20" s="15">
        <f>IF(AND(ISNUMBER($T20),$T20&lt;&gt;""),IF(INDEX(Calc!$AA$3:$AA$122,$T20)="","—",INDEX(Calc!$AA$3:$AA$122,$T20)),"")</f>
        <v/>
      </c>
      <c r="J20" s="15">
        <f>IF(AND(ISNUMBER($T20),$T20&lt;&gt;""),IF(INDEX(Calc!$AB$3:$AB$122,$T20)="","—",INDEX(Calc!$AB$3:$AB$122,$T20)),"")</f>
        <v/>
      </c>
      <c r="K20" s="15">
        <f>IF(AND(ISNUMBER($T20),$T20&lt;&gt;""),IF(INDEX(Calc!$AC$3:$AC$122,$T20)="","—",INDEX(Calc!$AC$3:$AC$122,$T20)),"")</f>
        <v/>
      </c>
      <c r="L20" s="15">
        <f>IF(AND(ISNUMBER($T20),$T20&lt;&gt;""),IF(INDEX(Calc!$AD$3:$AD$122,$T20)="","—",INDEX(Calc!$AD$3:$AD$122,$T20)),"")</f>
        <v/>
      </c>
      <c r="M20" s="15">
        <f>IF(AND(ISNUMBER($T20),$T20&lt;&gt;""),IF(INDEX(Calc!$AE$3:$AE$122,$T20)="","—",INDEX(Calc!$AE$3:$AE$122,$T20)),"")</f>
        <v/>
      </c>
      <c r="N20" s="15">
        <f>IF(AND(ISNUMBER($T20),$T20&lt;&gt;""),IF(INDEX(Calc!$AF$3:$AF$122,$T20)="","—",INDEX(Calc!$AF$3:$AF$122,$T20)),"")</f>
        <v/>
      </c>
      <c r="O20" s="15">
        <f>IF(AND(ISNUMBER($T20),$T20&lt;&gt;""),IF(INDEX(Calc!$AG$3:$AG$122,$T20)="","—",INDEX(Calc!$AG$3:$AG$122,$T20)),"")</f>
        <v/>
      </c>
      <c r="P20" s="16">
        <f>IF(AND(ISNUMBER($T20),$T20&lt;&gt;""),IF(INDEX(Calc!$AJ$3:$AJ$122,$T20)="","—",INDEX(Calc!$AJ$3:$AJ$122,$T20)),"")</f>
        <v/>
      </c>
      <c r="Q20" s="16">
        <f>IF(AND(ISNUMBER($T20),$T20&lt;&gt;""),IF(INDEX(Calc!$AK$3:$AK$122,$T20)="","—",INDEX(Calc!$AK$3:$AK$122,$T20)),"")</f>
        <v/>
      </c>
      <c r="R20" s="15">
        <f>IF(AND(ISNUMBER($T20),$T20&lt;&gt;""),IF(INDEX(Calc!$AL$3:$AL$122,$T20)="","—",INDEX(Calc!$AL$3:$AL$122,$T20)),"")</f>
        <v/>
      </c>
      <c r="T20">
        <f>IFERROR(MATCH(16,Calc!$AN$3:$AN$122,0),"")</f>
        <v/>
      </c>
    </row>
    <row r="21">
      <c r="A21" s="19">
        <f>IF(AND(ISNUMBER($T21),$T21&lt;&gt;""),INDEX(Calc!$S$3:$S$122,$T21),"")</f>
        <v/>
      </c>
      <c r="B21" s="20">
        <f>IF(AND(ISNUMBER($T21),$T21&lt;&gt;""),IF(INDEX(Calc!$T$3:$T$122,$T21)="","—",INDEX(Calc!$T$3:$T$122,$T21)),"")</f>
        <v/>
      </c>
      <c r="C21" s="20">
        <f>IF(AND(ISNUMBER($T21),$T21&lt;&gt;""),IF(INDEX(Calc!$U$3:$U$122,$T21)="","—",INDEX(Calc!$U$3:$U$122,$T21)),"")</f>
        <v/>
      </c>
      <c r="D21" s="20">
        <f>IF(AND(ISNUMBER($T21),$T21&lt;&gt;""),IF(INDEX(Calc!$V$3:$V$122,$T21)="","—",INDEX(Calc!$V$3:$V$122,$T21)),"")</f>
        <v/>
      </c>
      <c r="E21" s="20">
        <f>IF(AND(ISNUMBER($T21),$T21&lt;&gt;""),IF(INDEX(Calc!$W$3:$W$122,$T21)="","—",INDEX(Calc!$W$3:$W$122,$T21)),"")</f>
        <v/>
      </c>
      <c r="F21" s="20">
        <f>IF(AND(ISNUMBER($T21),$T21&lt;&gt;""),IF(INDEX(Calc!$X$3:$X$122,$T21)="","—",INDEX(Calc!$X$3:$X$122,$T21)),"")</f>
        <v/>
      </c>
      <c r="G21" s="20">
        <f>IF(AND(ISNUMBER($T21),$T21&lt;&gt;""),IF(INDEX(Calc!$Y$3:$Y$122,$T21)="","—",INDEX(Calc!$Y$3:$Y$122,$T21)),"")</f>
        <v/>
      </c>
      <c r="H21" s="20">
        <f>IF(AND(ISNUMBER($T21),$T21&lt;&gt;""),IF(INDEX(Calc!$Z$3:$Z$122,$T21)="","—",INDEX(Calc!$Z$3:$Z$122,$T21)),"")</f>
        <v/>
      </c>
      <c r="I21" s="20">
        <f>IF(AND(ISNUMBER($T21),$T21&lt;&gt;""),IF(INDEX(Calc!$AA$3:$AA$122,$T21)="","—",INDEX(Calc!$AA$3:$AA$122,$T21)),"")</f>
        <v/>
      </c>
      <c r="J21" s="20">
        <f>IF(AND(ISNUMBER($T21),$T21&lt;&gt;""),IF(INDEX(Calc!$AB$3:$AB$122,$T21)="","—",INDEX(Calc!$AB$3:$AB$122,$T21)),"")</f>
        <v/>
      </c>
      <c r="K21" s="20">
        <f>IF(AND(ISNUMBER($T21),$T21&lt;&gt;""),IF(INDEX(Calc!$AC$3:$AC$122,$T21)="","—",INDEX(Calc!$AC$3:$AC$122,$T21)),"")</f>
        <v/>
      </c>
      <c r="L21" s="20">
        <f>IF(AND(ISNUMBER($T21),$T21&lt;&gt;""),IF(INDEX(Calc!$AD$3:$AD$122,$T21)="","—",INDEX(Calc!$AD$3:$AD$122,$T21)),"")</f>
        <v/>
      </c>
      <c r="M21" s="20">
        <f>IF(AND(ISNUMBER($T21),$T21&lt;&gt;""),IF(INDEX(Calc!$AE$3:$AE$122,$T21)="","—",INDEX(Calc!$AE$3:$AE$122,$T21)),"")</f>
        <v/>
      </c>
      <c r="N21" s="20">
        <f>IF(AND(ISNUMBER($T21),$T21&lt;&gt;""),IF(INDEX(Calc!$AF$3:$AF$122,$T21)="","—",INDEX(Calc!$AF$3:$AF$122,$T21)),"")</f>
        <v/>
      </c>
      <c r="O21" s="20">
        <f>IF(AND(ISNUMBER($T21),$T21&lt;&gt;""),IF(INDEX(Calc!$AG$3:$AG$122,$T21)="","—",INDEX(Calc!$AG$3:$AG$122,$T21)),"")</f>
        <v/>
      </c>
      <c r="P21" s="21">
        <f>IF(AND(ISNUMBER($T21),$T21&lt;&gt;""),IF(INDEX(Calc!$AJ$3:$AJ$122,$T21)="","—",INDEX(Calc!$AJ$3:$AJ$122,$T21)),"")</f>
        <v/>
      </c>
      <c r="Q21" s="21">
        <f>IF(AND(ISNUMBER($T21),$T21&lt;&gt;""),IF(INDEX(Calc!$AK$3:$AK$122,$T21)="","—",INDEX(Calc!$AK$3:$AK$122,$T21)),"")</f>
        <v/>
      </c>
      <c r="R21" s="20">
        <f>IF(AND(ISNUMBER($T21),$T21&lt;&gt;""),IF(INDEX(Calc!$AL$3:$AL$122,$T21)="","—",INDEX(Calc!$AL$3:$AL$122,$T21)),"")</f>
        <v/>
      </c>
      <c r="T21">
        <f>IFERROR(MATCH(17,Calc!$AN$3:$AN$122,0),"")</f>
        <v/>
      </c>
    </row>
    <row r="22">
      <c r="A22" s="14">
        <f>IF(AND(ISNUMBER($T22),$T22&lt;&gt;""),INDEX(Calc!$S$3:$S$122,$T22),"")</f>
        <v/>
      </c>
      <c r="B22" s="15">
        <f>IF(AND(ISNUMBER($T22),$T22&lt;&gt;""),IF(INDEX(Calc!$T$3:$T$122,$T22)="","—",INDEX(Calc!$T$3:$T$122,$T22)),"")</f>
        <v/>
      </c>
      <c r="C22" s="15">
        <f>IF(AND(ISNUMBER($T22),$T22&lt;&gt;""),IF(INDEX(Calc!$U$3:$U$122,$T22)="","—",INDEX(Calc!$U$3:$U$122,$T22)),"")</f>
        <v/>
      </c>
      <c r="D22" s="15">
        <f>IF(AND(ISNUMBER($T22),$T22&lt;&gt;""),IF(INDEX(Calc!$V$3:$V$122,$T22)="","—",INDEX(Calc!$V$3:$V$122,$T22)),"")</f>
        <v/>
      </c>
      <c r="E22" s="15">
        <f>IF(AND(ISNUMBER($T22),$T22&lt;&gt;""),IF(INDEX(Calc!$W$3:$W$122,$T22)="","—",INDEX(Calc!$W$3:$W$122,$T22)),"")</f>
        <v/>
      </c>
      <c r="F22" s="15">
        <f>IF(AND(ISNUMBER($T22),$T22&lt;&gt;""),IF(INDEX(Calc!$X$3:$X$122,$T22)="","—",INDEX(Calc!$X$3:$X$122,$T22)),"")</f>
        <v/>
      </c>
      <c r="G22" s="15">
        <f>IF(AND(ISNUMBER($T22),$T22&lt;&gt;""),IF(INDEX(Calc!$Y$3:$Y$122,$T22)="","—",INDEX(Calc!$Y$3:$Y$122,$T22)),"")</f>
        <v/>
      </c>
      <c r="H22" s="15">
        <f>IF(AND(ISNUMBER($T22),$T22&lt;&gt;""),IF(INDEX(Calc!$Z$3:$Z$122,$T22)="","—",INDEX(Calc!$Z$3:$Z$122,$T22)),"")</f>
        <v/>
      </c>
      <c r="I22" s="15">
        <f>IF(AND(ISNUMBER($T22),$T22&lt;&gt;""),IF(INDEX(Calc!$AA$3:$AA$122,$T22)="","—",INDEX(Calc!$AA$3:$AA$122,$T22)),"")</f>
        <v/>
      </c>
      <c r="J22" s="15">
        <f>IF(AND(ISNUMBER($T22),$T22&lt;&gt;""),IF(INDEX(Calc!$AB$3:$AB$122,$T22)="","—",INDEX(Calc!$AB$3:$AB$122,$T22)),"")</f>
        <v/>
      </c>
      <c r="K22" s="15">
        <f>IF(AND(ISNUMBER($T22),$T22&lt;&gt;""),IF(INDEX(Calc!$AC$3:$AC$122,$T22)="","—",INDEX(Calc!$AC$3:$AC$122,$T22)),"")</f>
        <v/>
      </c>
      <c r="L22" s="15">
        <f>IF(AND(ISNUMBER($T22),$T22&lt;&gt;""),IF(INDEX(Calc!$AD$3:$AD$122,$T22)="","—",INDEX(Calc!$AD$3:$AD$122,$T22)),"")</f>
        <v/>
      </c>
      <c r="M22" s="15">
        <f>IF(AND(ISNUMBER($T22),$T22&lt;&gt;""),IF(INDEX(Calc!$AE$3:$AE$122,$T22)="","—",INDEX(Calc!$AE$3:$AE$122,$T22)),"")</f>
        <v/>
      </c>
      <c r="N22" s="15">
        <f>IF(AND(ISNUMBER($T22),$T22&lt;&gt;""),IF(INDEX(Calc!$AF$3:$AF$122,$T22)="","—",INDEX(Calc!$AF$3:$AF$122,$T22)),"")</f>
        <v/>
      </c>
      <c r="O22" s="15">
        <f>IF(AND(ISNUMBER($T22),$T22&lt;&gt;""),IF(INDEX(Calc!$AG$3:$AG$122,$T22)="","—",INDEX(Calc!$AG$3:$AG$122,$T22)),"")</f>
        <v/>
      </c>
      <c r="P22" s="16">
        <f>IF(AND(ISNUMBER($T22),$T22&lt;&gt;""),IF(INDEX(Calc!$AJ$3:$AJ$122,$T22)="","—",INDEX(Calc!$AJ$3:$AJ$122,$T22)),"")</f>
        <v/>
      </c>
      <c r="Q22" s="16">
        <f>IF(AND(ISNUMBER($T22),$T22&lt;&gt;""),IF(INDEX(Calc!$AK$3:$AK$122,$T22)="","—",INDEX(Calc!$AK$3:$AK$122,$T22)),"")</f>
        <v/>
      </c>
      <c r="R22" s="15">
        <f>IF(AND(ISNUMBER($T22),$T22&lt;&gt;""),IF(INDEX(Calc!$AL$3:$AL$122,$T22)="","—",INDEX(Calc!$AL$3:$AL$122,$T22)),"")</f>
        <v/>
      </c>
      <c r="T22">
        <f>IFERROR(MATCH(18,Calc!$AN$3:$AN$122,0),"")</f>
        <v/>
      </c>
    </row>
    <row r="23">
      <c r="A23" s="19">
        <f>IF(AND(ISNUMBER($T23),$T23&lt;&gt;""),INDEX(Calc!$S$3:$S$122,$T23),"")</f>
        <v/>
      </c>
      <c r="B23" s="20">
        <f>IF(AND(ISNUMBER($T23),$T23&lt;&gt;""),IF(INDEX(Calc!$T$3:$T$122,$T23)="","—",INDEX(Calc!$T$3:$T$122,$T23)),"")</f>
        <v/>
      </c>
      <c r="C23" s="20">
        <f>IF(AND(ISNUMBER($T23),$T23&lt;&gt;""),IF(INDEX(Calc!$U$3:$U$122,$T23)="","—",INDEX(Calc!$U$3:$U$122,$T23)),"")</f>
        <v/>
      </c>
      <c r="D23" s="20">
        <f>IF(AND(ISNUMBER($T23),$T23&lt;&gt;""),IF(INDEX(Calc!$V$3:$V$122,$T23)="","—",INDEX(Calc!$V$3:$V$122,$T23)),"")</f>
        <v/>
      </c>
      <c r="E23" s="20">
        <f>IF(AND(ISNUMBER($T23),$T23&lt;&gt;""),IF(INDEX(Calc!$W$3:$W$122,$T23)="","—",INDEX(Calc!$W$3:$W$122,$T23)),"")</f>
        <v/>
      </c>
      <c r="F23" s="20">
        <f>IF(AND(ISNUMBER($T23),$T23&lt;&gt;""),IF(INDEX(Calc!$X$3:$X$122,$T23)="","—",INDEX(Calc!$X$3:$X$122,$T23)),"")</f>
        <v/>
      </c>
      <c r="G23" s="20">
        <f>IF(AND(ISNUMBER($T23),$T23&lt;&gt;""),IF(INDEX(Calc!$Y$3:$Y$122,$T23)="","—",INDEX(Calc!$Y$3:$Y$122,$T23)),"")</f>
        <v/>
      </c>
      <c r="H23" s="20">
        <f>IF(AND(ISNUMBER($T23),$T23&lt;&gt;""),IF(INDEX(Calc!$Z$3:$Z$122,$T23)="","—",INDEX(Calc!$Z$3:$Z$122,$T23)),"")</f>
        <v/>
      </c>
      <c r="I23" s="20">
        <f>IF(AND(ISNUMBER($T23),$T23&lt;&gt;""),IF(INDEX(Calc!$AA$3:$AA$122,$T23)="","—",INDEX(Calc!$AA$3:$AA$122,$T23)),"")</f>
        <v/>
      </c>
      <c r="J23" s="20">
        <f>IF(AND(ISNUMBER($T23),$T23&lt;&gt;""),IF(INDEX(Calc!$AB$3:$AB$122,$T23)="","—",INDEX(Calc!$AB$3:$AB$122,$T23)),"")</f>
        <v/>
      </c>
      <c r="K23" s="20">
        <f>IF(AND(ISNUMBER($T23),$T23&lt;&gt;""),IF(INDEX(Calc!$AC$3:$AC$122,$T23)="","—",INDEX(Calc!$AC$3:$AC$122,$T23)),"")</f>
        <v/>
      </c>
      <c r="L23" s="20">
        <f>IF(AND(ISNUMBER($T23),$T23&lt;&gt;""),IF(INDEX(Calc!$AD$3:$AD$122,$T23)="","—",INDEX(Calc!$AD$3:$AD$122,$T23)),"")</f>
        <v/>
      </c>
      <c r="M23" s="20">
        <f>IF(AND(ISNUMBER($T23),$T23&lt;&gt;""),IF(INDEX(Calc!$AE$3:$AE$122,$T23)="","—",INDEX(Calc!$AE$3:$AE$122,$T23)),"")</f>
        <v/>
      </c>
      <c r="N23" s="20">
        <f>IF(AND(ISNUMBER($T23),$T23&lt;&gt;""),IF(INDEX(Calc!$AF$3:$AF$122,$T23)="","—",INDEX(Calc!$AF$3:$AF$122,$T23)),"")</f>
        <v/>
      </c>
      <c r="O23" s="20">
        <f>IF(AND(ISNUMBER($T23),$T23&lt;&gt;""),IF(INDEX(Calc!$AG$3:$AG$122,$T23)="","—",INDEX(Calc!$AG$3:$AG$122,$T23)),"")</f>
        <v/>
      </c>
      <c r="P23" s="21">
        <f>IF(AND(ISNUMBER($T23),$T23&lt;&gt;""),IF(INDEX(Calc!$AJ$3:$AJ$122,$T23)="","—",INDEX(Calc!$AJ$3:$AJ$122,$T23)),"")</f>
        <v/>
      </c>
      <c r="Q23" s="21">
        <f>IF(AND(ISNUMBER($T23),$T23&lt;&gt;""),IF(INDEX(Calc!$AK$3:$AK$122,$T23)="","—",INDEX(Calc!$AK$3:$AK$122,$T23)),"")</f>
        <v/>
      </c>
      <c r="R23" s="20">
        <f>IF(AND(ISNUMBER($T23),$T23&lt;&gt;""),IF(INDEX(Calc!$AL$3:$AL$122,$T23)="","—",INDEX(Calc!$AL$3:$AL$122,$T23)),"")</f>
        <v/>
      </c>
      <c r="T23">
        <f>IFERROR(MATCH(19,Calc!$AN$3:$AN$122,0),"")</f>
        <v/>
      </c>
    </row>
    <row r="24">
      <c r="A24" s="14">
        <f>IF(AND(ISNUMBER($T24),$T24&lt;&gt;""),INDEX(Calc!$S$3:$S$122,$T24),"")</f>
        <v/>
      </c>
      <c r="B24" s="15">
        <f>IF(AND(ISNUMBER($T24),$T24&lt;&gt;""),IF(INDEX(Calc!$T$3:$T$122,$T24)="","—",INDEX(Calc!$T$3:$T$122,$T24)),"")</f>
        <v/>
      </c>
      <c r="C24" s="15">
        <f>IF(AND(ISNUMBER($T24),$T24&lt;&gt;""),IF(INDEX(Calc!$U$3:$U$122,$T24)="","—",INDEX(Calc!$U$3:$U$122,$T24)),"")</f>
        <v/>
      </c>
      <c r="D24" s="15">
        <f>IF(AND(ISNUMBER($T24),$T24&lt;&gt;""),IF(INDEX(Calc!$V$3:$V$122,$T24)="","—",INDEX(Calc!$V$3:$V$122,$T24)),"")</f>
        <v/>
      </c>
      <c r="E24" s="15">
        <f>IF(AND(ISNUMBER($T24),$T24&lt;&gt;""),IF(INDEX(Calc!$W$3:$W$122,$T24)="","—",INDEX(Calc!$W$3:$W$122,$T24)),"")</f>
        <v/>
      </c>
      <c r="F24" s="15">
        <f>IF(AND(ISNUMBER($T24),$T24&lt;&gt;""),IF(INDEX(Calc!$X$3:$X$122,$T24)="","—",INDEX(Calc!$X$3:$X$122,$T24)),"")</f>
        <v/>
      </c>
      <c r="G24" s="15">
        <f>IF(AND(ISNUMBER($T24),$T24&lt;&gt;""),IF(INDEX(Calc!$Y$3:$Y$122,$T24)="","—",INDEX(Calc!$Y$3:$Y$122,$T24)),"")</f>
        <v/>
      </c>
      <c r="H24" s="15">
        <f>IF(AND(ISNUMBER($T24),$T24&lt;&gt;""),IF(INDEX(Calc!$Z$3:$Z$122,$T24)="","—",INDEX(Calc!$Z$3:$Z$122,$T24)),"")</f>
        <v/>
      </c>
      <c r="I24" s="15">
        <f>IF(AND(ISNUMBER($T24),$T24&lt;&gt;""),IF(INDEX(Calc!$AA$3:$AA$122,$T24)="","—",INDEX(Calc!$AA$3:$AA$122,$T24)),"")</f>
        <v/>
      </c>
      <c r="J24" s="15">
        <f>IF(AND(ISNUMBER($T24),$T24&lt;&gt;""),IF(INDEX(Calc!$AB$3:$AB$122,$T24)="","—",INDEX(Calc!$AB$3:$AB$122,$T24)),"")</f>
        <v/>
      </c>
      <c r="K24" s="15">
        <f>IF(AND(ISNUMBER($T24),$T24&lt;&gt;""),IF(INDEX(Calc!$AC$3:$AC$122,$T24)="","—",INDEX(Calc!$AC$3:$AC$122,$T24)),"")</f>
        <v/>
      </c>
      <c r="L24" s="15">
        <f>IF(AND(ISNUMBER($T24),$T24&lt;&gt;""),IF(INDEX(Calc!$AD$3:$AD$122,$T24)="","—",INDEX(Calc!$AD$3:$AD$122,$T24)),"")</f>
        <v/>
      </c>
      <c r="M24" s="15">
        <f>IF(AND(ISNUMBER($T24),$T24&lt;&gt;""),IF(INDEX(Calc!$AE$3:$AE$122,$T24)="","—",INDEX(Calc!$AE$3:$AE$122,$T24)),"")</f>
        <v/>
      </c>
      <c r="N24" s="15">
        <f>IF(AND(ISNUMBER($T24),$T24&lt;&gt;""),IF(INDEX(Calc!$AF$3:$AF$122,$T24)="","—",INDEX(Calc!$AF$3:$AF$122,$T24)),"")</f>
        <v/>
      </c>
      <c r="O24" s="15">
        <f>IF(AND(ISNUMBER($T24),$T24&lt;&gt;""),IF(INDEX(Calc!$AG$3:$AG$122,$T24)="","—",INDEX(Calc!$AG$3:$AG$122,$T24)),"")</f>
        <v/>
      </c>
      <c r="P24" s="16">
        <f>IF(AND(ISNUMBER($T24),$T24&lt;&gt;""),IF(INDEX(Calc!$AJ$3:$AJ$122,$T24)="","—",INDEX(Calc!$AJ$3:$AJ$122,$T24)),"")</f>
        <v/>
      </c>
      <c r="Q24" s="16">
        <f>IF(AND(ISNUMBER($T24),$T24&lt;&gt;""),IF(INDEX(Calc!$AK$3:$AK$122,$T24)="","—",INDEX(Calc!$AK$3:$AK$122,$T24)),"")</f>
        <v/>
      </c>
      <c r="R24" s="15">
        <f>IF(AND(ISNUMBER($T24),$T24&lt;&gt;""),IF(INDEX(Calc!$AL$3:$AL$122,$T24)="","—",INDEX(Calc!$AL$3:$AL$122,$T24)),"")</f>
        <v/>
      </c>
      <c r="T24">
        <f>IFERROR(MATCH(20,Calc!$AN$3:$AN$122,0),"")</f>
        <v/>
      </c>
    </row>
    <row r="25">
      <c r="A25" s="19">
        <f>IF(AND(ISNUMBER($T25),$T25&lt;&gt;""),INDEX(Calc!$S$3:$S$122,$T25),"")</f>
        <v/>
      </c>
      <c r="B25" s="20">
        <f>IF(AND(ISNUMBER($T25),$T25&lt;&gt;""),IF(INDEX(Calc!$T$3:$T$122,$T25)="","—",INDEX(Calc!$T$3:$T$122,$T25)),"")</f>
        <v/>
      </c>
      <c r="C25" s="20">
        <f>IF(AND(ISNUMBER($T25),$T25&lt;&gt;""),IF(INDEX(Calc!$U$3:$U$122,$T25)="","—",INDEX(Calc!$U$3:$U$122,$T25)),"")</f>
        <v/>
      </c>
      <c r="D25" s="20">
        <f>IF(AND(ISNUMBER($T25),$T25&lt;&gt;""),IF(INDEX(Calc!$V$3:$V$122,$T25)="","—",INDEX(Calc!$V$3:$V$122,$T25)),"")</f>
        <v/>
      </c>
      <c r="E25" s="20">
        <f>IF(AND(ISNUMBER($T25),$T25&lt;&gt;""),IF(INDEX(Calc!$W$3:$W$122,$T25)="","—",INDEX(Calc!$W$3:$W$122,$T25)),"")</f>
        <v/>
      </c>
      <c r="F25" s="20">
        <f>IF(AND(ISNUMBER($T25),$T25&lt;&gt;""),IF(INDEX(Calc!$X$3:$X$122,$T25)="","—",INDEX(Calc!$X$3:$X$122,$T25)),"")</f>
        <v/>
      </c>
      <c r="G25" s="20">
        <f>IF(AND(ISNUMBER($T25),$T25&lt;&gt;""),IF(INDEX(Calc!$Y$3:$Y$122,$T25)="","—",INDEX(Calc!$Y$3:$Y$122,$T25)),"")</f>
        <v/>
      </c>
      <c r="H25" s="20">
        <f>IF(AND(ISNUMBER($T25),$T25&lt;&gt;""),IF(INDEX(Calc!$Z$3:$Z$122,$T25)="","—",INDEX(Calc!$Z$3:$Z$122,$T25)),"")</f>
        <v/>
      </c>
      <c r="I25" s="20">
        <f>IF(AND(ISNUMBER($T25),$T25&lt;&gt;""),IF(INDEX(Calc!$AA$3:$AA$122,$T25)="","—",INDEX(Calc!$AA$3:$AA$122,$T25)),"")</f>
        <v/>
      </c>
      <c r="J25" s="20">
        <f>IF(AND(ISNUMBER($T25),$T25&lt;&gt;""),IF(INDEX(Calc!$AB$3:$AB$122,$T25)="","—",INDEX(Calc!$AB$3:$AB$122,$T25)),"")</f>
        <v/>
      </c>
      <c r="K25" s="20">
        <f>IF(AND(ISNUMBER($T25),$T25&lt;&gt;""),IF(INDEX(Calc!$AC$3:$AC$122,$T25)="","—",INDEX(Calc!$AC$3:$AC$122,$T25)),"")</f>
        <v/>
      </c>
      <c r="L25" s="20">
        <f>IF(AND(ISNUMBER($T25),$T25&lt;&gt;""),IF(INDEX(Calc!$AD$3:$AD$122,$T25)="","—",INDEX(Calc!$AD$3:$AD$122,$T25)),"")</f>
        <v/>
      </c>
      <c r="M25" s="20">
        <f>IF(AND(ISNUMBER($T25),$T25&lt;&gt;""),IF(INDEX(Calc!$AE$3:$AE$122,$T25)="","—",INDEX(Calc!$AE$3:$AE$122,$T25)),"")</f>
        <v/>
      </c>
      <c r="N25" s="20">
        <f>IF(AND(ISNUMBER($T25),$T25&lt;&gt;""),IF(INDEX(Calc!$AF$3:$AF$122,$T25)="","—",INDEX(Calc!$AF$3:$AF$122,$T25)),"")</f>
        <v/>
      </c>
      <c r="O25" s="20">
        <f>IF(AND(ISNUMBER($T25),$T25&lt;&gt;""),IF(INDEX(Calc!$AG$3:$AG$122,$T25)="","—",INDEX(Calc!$AG$3:$AG$122,$T25)),"")</f>
        <v/>
      </c>
      <c r="P25" s="21">
        <f>IF(AND(ISNUMBER($T25),$T25&lt;&gt;""),IF(INDEX(Calc!$AJ$3:$AJ$122,$T25)="","—",INDEX(Calc!$AJ$3:$AJ$122,$T25)),"")</f>
        <v/>
      </c>
      <c r="Q25" s="21">
        <f>IF(AND(ISNUMBER($T25),$T25&lt;&gt;""),IF(INDEX(Calc!$AK$3:$AK$122,$T25)="","—",INDEX(Calc!$AK$3:$AK$122,$T25)),"")</f>
        <v/>
      </c>
      <c r="R25" s="20">
        <f>IF(AND(ISNUMBER($T25),$T25&lt;&gt;""),IF(INDEX(Calc!$AL$3:$AL$122,$T25)="","—",INDEX(Calc!$AL$3:$AL$122,$T25)),"")</f>
        <v/>
      </c>
      <c r="T25">
        <f>IFERROR(MATCH(21,Calc!$AN$3:$AN$122,0),"")</f>
        <v/>
      </c>
    </row>
    <row r="26">
      <c r="A26" s="14">
        <f>IF(AND(ISNUMBER($T26),$T26&lt;&gt;""),INDEX(Calc!$S$3:$S$122,$T26),"")</f>
        <v/>
      </c>
      <c r="B26" s="15">
        <f>IF(AND(ISNUMBER($T26),$T26&lt;&gt;""),IF(INDEX(Calc!$T$3:$T$122,$T26)="","—",INDEX(Calc!$T$3:$T$122,$T26)),"")</f>
        <v/>
      </c>
      <c r="C26" s="15">
        <f>IF(AND(ISNUMBER($T26),$T26&lt;&gt;""),IF(INDEX(Calc!$U$3:$U$122,$T26)="","—",INDEX(Calc!$U$3:$U$122,$T26)),"")</f>
        <v/>
      </c>
      <c r="D26" s="15">
        <f>IF(AND(ISNUMBER($T26),$T26&lt;&gt;""),IF(INDEX(Calc!$V$3:$V$122,$T26)="","—",INDEX(Calc!$V$3:$V$122,$T26)),"")</f>
        <v/>
      </c>
      <c r="E26" s="15">
        <f>IF(AND(ISNUMBER($T26),$T26&lt;&gt;""),IF(INDEX(Calc!$W$3:$W$122,$T26)="","—",INDEX(Calc!$W$3:$W$122,$T26)),"")</f>
        <v/>
      </c>
      <c r="F26" s="15">
        <f>IF(AND(ISNUMBER($T26),$T26&lt;&gt;""),IF(INDEX(Calc!$X$3:$X$122,$T26)="","—",INDEX(Calc!$X$3:$X$122,$T26)),"")</f>
        <v/>
      </c>
      <c r="G26" s="15">
        <f>IF(AND(ISNUMBER($T26),$T26&lt;&gt;""),IF(INDEX(Calc!$Y$3:$Y$122,$T26)="","—",INDEX(Calc!$Y$3:$Y$122,$T26)),"")</f>
        <v/>
      </c>
      <c r="H26" s="15">
        <f>IF(AND(ISNUMBER($T26),$T26&lt;&gt;""),IF(INDEX(Calc!$Z$3:$Z$122,$T26)="","—",INDEX(Calc!$Z$3:$Z$122,$T26)),"")</f>
        <v/>
      </c>
      <c r="I26" s="15">
        <f>IF(AND(ISNUMBER($T26),$T26&lt;&gt;""),IF(INDEX(Calc!$AA$3:$AA$122,$T26)="","—",INDEX(Calc!$AA$3:$AA$122,$T26)),"")</f>
        <v/>
      </c>
      <c r="J26" s="15">
        <f>IF(AND(ISNUMBER($T26),$T26&lt;&gt;""),IF(INDEX(Calc!$AB$3:$AB$122,$T26)="","—",INDEX(Calc!$AB$3:$AB$122,$T26)),"")</f>
        <v/>
      </c>
      <c r="K26" s="15">
        <f>IF(AND(ISNUMBER($T26),$T26&lt;&gt;""),IF(INDEX(Calc!$AC$3:$AC$122,$T26)="","—",INDEX(Calc!$AC$3:$AC$122,$T26)),"")</f>
        <v/>
      </c>
      <c r="L26" s="15">
        <f>IF(AND(ISNUMBER($T26),$T26&lt;&gt;""),IF(INDEX(Calc!$AD$3:$AD$122,$T26)="","—",INDEX(Calc!$AD$3:$AD$122,$T26)),"")</f>
        <v/>
      </c>
      <c r="M26" s="15">
        <f>IF(AND(ISNUMBER($T26),$T26&lt;&gt;""),IF(INDEX(Calc!$AE$3:$AE$122,$T26)="","—",INDEX(Calc!$AE$3:$AE$122,$T26)),"")</f>
        <v/>
      </c>
      <c r="N26" s="15">
        <f>IF(AND(ISNUMBER($T26),$T26&lt;&gt;""),IF(INDEX(Calc!$AF$3:$AF$122,$T26)="","—",INDEX(Calc!$AF$3:$AF$122,$T26)),"")</f>
        <v/>
      </c>
      <c r="O26" s="15">
        <f>IF(AND(ISNUMBER($T26),$T26&lt;&gt;""),IF(INDEX(Calc!$AG$3:$AG$122,$T26)="","—",INDEX(Calc!$AG$3:$AG$122,$T26)),"")</f>
        <v/>
      </c>
      <c r="P26" s="16">
        <f>IF(AND(ISNUMBER($T26),$T26&lt;&gt;""),IF(INDEX(Calc!$AJ$3:$AJ$122,$T26)="","—",INDEX(Calc!$AJ$3:$AJ$122,$T26)),"")</f>
        <v/>
      </c>
      <c r="Q26" s="16">
        <f>IF(AND(ISNUMBER($T26),$T26&lt;&gt;""),IF(INDEX(Calc!$AK$3:$AK$122,$T26)="","—",INDEX(Calc!$AK$3:$AK$122,$T26)),"")</f>
        <v/>
      </c>
      <c r="R26" s="15">
        <f>IF(AND(ISNUMBER($T26),$T26&lt;&gt;""),IF(INDEX(Calc!$AL$3:$AL$122,$T26)="","—",INDEX(Calc!$AL$3:$AL$122,$T26)),"")</f>
        <v/>
      </c>
      <c r="T26">
        <f>IFERROR(MATCH(22,Calc!$AN$3:$AN$122,0),"")</f>
        <v/>
      </c>
    </row>
    <row r="27">
      <c r="A27" s="19">
        <f>IF(AND(ISNUMBER($T27),$T27&lt;&gt;""),INDEX(Calc!$S$3:$S$122,$T27),"")</f>
        <v/>
      </c>
      <c r="B27" s="20">
        <f>IF(AND(ISNUMBER($T27),$T27&lt;&gt;""),IF(INDEX(Calc!$T$3:$T$122,$T27)="","—",INDEX(Calc!$T$3:$T$122,$T27)),"")</f>
        <v/>
      </c>
      <c r="C27" s="20">
        <f>IF(AND(ISNUMBER($T27),$T27&lt;&gt;""),IF(INDEX(Calc!$U$3:$U$122,$T27)="","—",INDEX(Calc!$U$3:$U$122,$T27)),"")</f>
        <v/>
      </c>
      <c r="D27" s="20">
        <f>IF(AND(ISNUMBER($T27),$T27&lt;&gt;""),IF(INDEX(Calc!$V$3:$V$122,$T27)="","—",INDEX(Calc!$V$3:$V$122,$T27)),"")</f>
        <v/>
      </c>
      <c r="E27" s="20">
        <f>IF(AND(ISNUMBER($T27),$T27&lt;&gt;""),IF(INDEX(Calc!$W$3:$W$122,$T27)="","—",INDEX(Calc!$W$3:$W$122,$T27)),"")</f>
        <v/>
      </c>
      <c r="F27" s="20">
        <f>IF(AND(ISNUMBER($T27),$T27&lt;&gt;""),IF(INDEX(Calc!$X$3:$X$122,$T27)="","—",INDEX(Calc!$X$3:$X$122,$T27)),"")</f>
        <v/>
      </c>
      <c r="G27" s="20">
        <f>IF(AND(ISNUMBER($T27),$T27&lt;&gt;""),IF(INDEX(Calc!$Y$3:$Y$122,$T27)="","—",INDEX(Calc!$Y$3:$Y$122,$T27)),"")</f>
        <v/>
      </c>
      <c r="H27" s="20">
        <f>IF(AND(ISNUMBER($T27),$T27&lt;&gt;""),IF(INDEX(Calc!$Z$3:$Z$122,$T27)="","—",INDEX(Calc!$Z$3:$Z$122,$T27)),"")</f>
        <v/>
      </c>
      <c r="I27" s="20">
        <f>IF(AND(ISNUMBER($T27),$T27&lt;&gt;""),IF(INDEX(Calc!$AA$3:$AA$122,$T27)="","—",INDEX(Calc!$AA$3:$AA$122,$T27)),"")</f>
        <v/>
      </c>
      <c r="J27" s="20">
        <f>IF(AND(ISNUMBER($T27),$T27&lt;&gt;""),IF(INDEX(Calc!$AB$3:$AB$122,$T27)="","—",INDEX(Calc!$AB$3:$AB$122,$T27)),"")</f>
        <v/>
      </c>
      <c r="K27" s="20">
        <f>IF(AND(ISNUMBER($T27),$T27&lt;&gt;""),IF(INDEX(Calc!$AC$3:$AC$122,$T27)="","—",INDEX(Calc!$AC$3:$AC$122,$T27)),"")</f>
        <v/>
      </c>
      <c r="L27" s="20">
        <f>IF(AND(ISNUMBER($T27),$T27&lt;&gt;""),IF(INDEX(Calc!$AD$3:$AD$122,$T27)="","—",INDEX(Calc!$AD$3:$AD$122,$T27)),"")</f>
        <v/>
      </c>
      <c r="M27" s="20">
        <f>IF(AND(ISNUMBER($T27),$T27&lt;&gt;""),IF(INDEX(Calc!$AE$3:$AE$122,$T27)="","—",INDEX(Calc!$AE$3:$AE$122,$T27)),"")</f>
        <v/>
      </c>
      <c r="N27" s="20">
        <f>IF(AND(ISNUMBER($T27),$T27&lt;&gt;""),IF(INDEX(Calc!$AF$3:$AF$122,$T27)="","—",INDEX(Calc!$AF$3:$AF$122,$T27)),"")</f>
        <v/>
      </c>
      <c r="O27" s="20">
        <f>IF(AND(ISNUMBER($T27),$T27&lt;&gt;""),IF(INDEX(Calc!$AG$3:$AG$122,$T27)="","—",INDEX(Calc!$AG$3:$AG$122,$T27)),"")</f>
        <v/>
      </c>
      <c r="P27" s="21">
        <f>IF(AND(ISNUMBER($T27),$T27&lt;&gt;""),IF(INDEX(Calc!$AJ$3:$AJ$122,$T27)="","—",INDEX(Calc!$AJ$3:$AJ$122,$T27)),"")</f>
        <v/>
      </c>
      <c r="Q27" s="21">
        <f>IF(AND(ISNUMBER($T27),$T27&lt;&gt;""),IF(INDEX(Calc!$AK$3:$AK$122,$T27)="","—",INDEX(Calc!$AK$3:$AK$122,$T27)),"")</f>
        <v/>
      </c>
      <c r="R27" s="20">
        <f>IF(AND(ISNUMBER($T27),$T27&lt;&gt;""),IF(INDEX(Calc!$AL$3:$AL$122,$T27)="","—",INDEX(Calc!$AL$3:$AL$122,$T27)),"")</f>
        <v/>
      </c>
      <c r="T27">
        <f>IFERROR(MATCH(23,Calc!$AN$3:$AN$122,0),"")</f>
        <v/>
      </c>
    </row>
    <row r="28">
      <c r="A28" s="14">
        <f>IF(AND(ISNUMBER($T28),$T28&lt;&gt;""),INDEX(Calc!$S$3:$S$122,$T28),"")</f>
        <v/>
      </c>
      <c r="B28" s="15">
        <f>IF(AND(ISNUMBER($T28),$T28&lt;&gt;""),IF(INDEX(Calc!$T$3:$T$122,$T28)="","—",INDEX(Calc!$T$3:$T$122,$T28)),"")</f>
        <v/>
      </c>
      <c r="C28" s="15">
        <f>IF(AND(ISNUMBER($T28),$T28&lt;&gt;""),IF(INDEX(Calc!$U$3:$U$122,$T28)="","—",INDEX(Calc!$U$3:$U$122,$T28)),"")</f>
        <v/>
      </c>
      <c r="D28" s="15">
        <f>IF(AND(ISNUMBER($T28),$T28&lt;&gt;""),IF(INDEX(Calc!$V$3:$V$122,$T28)="","—",INDEX(Calc!$V$3:$V$122,$T28)),"")</f>
        <v/>
      </c>
      <c r="E28" s="15">
        <f>IF(AND(ISNUMBER($T28),$T28&lt;&gt;""),IF(INDEX(Calc!$W$3:$W$122,$T28)="","—",INDEX(Calc!$W$3:$W$122,$T28)),"")</f>
        <v/>
      </c>
      <c r="F28" s="15">
        <f>IF(AND(ISNUMBER($T28),$T28&lt;&gt;""),IF(INDEX(Calc!$X$3:$X$122,$T28)="","—",INDEX(Calc!$X$3:$X$122,$T28)),"")</f>
        <v/>
      </c>
      <c r="G28" s="15">
        <f>IF(AND(ISNUMBER($T28),$T28&lt;&gt;""),IF(INDEX(Calc!$Y$3:$Y$122,$T28)="","—",INDEX(Calc!$Y$3:$Y$122,$T28)),"")</f>
        <v/>
      </c>
      <c r="H28" s="15">
        <f>IF(AND(ISNUMBER($T28),$T28&lt;&gt;""),IF(INDEX(Calc!$Z$3:$Z$122,$T28)="","—",INDEX(Calc!$Z$3:$Z$122,$T28)),"")</f>
        <v/>
      </c>
      <c r="I28" s="15">
        <f>IF(AND(ISNUMBER($T28),$T28&lt;&gt;""),IF(INDEX(Calc!$AA$3:$AA$122,$T28)="","—",INDEX(Calc!$AA$3:$AA$122,$T28)),"")</f>
        <v/>
      </c>
      <c r="J28" s="15">
        <f>IF(AND(ISNUMBER($T28),$T28&lt;&gt;""),IF(INDEX(Calc!$AB$3:$AB$122,$T28)="","—",INDEX(Calc!$AB$3:$AB$122,$T28)),"")</f>
        <v/>
      </c>
      <c r="K28" s="15">
        <f>IF(AND(ISNUMBER($T28),$T28&lt;&gt;""),IF(INDEX(Calc!$AC$3:$AC$122,$T28)="","—",INDEX(Calc!$AC$3:$AC$122,$T28)),"")</f>
        <v/>
      </c>
      <c r="L28" s="15">
        <f>IF(AND(ISNUMBER($T28),$T28&lt;&gt;""),IF(INDEX(Calc!$AD$3:$AD$122,$T28)="","—",INDEX(Calc!$AD$3:$AD$122,$T28)),"")</f>
        <v/>
      </c>
      <c r="M28" s="15">
        <f>IF(AND(ISNUMBER($T28),$T28&lt;&gt;""),IF(INDEX(Calc!$AE$3:$AE$122,$T28)="","—",INDEX(Calc!$AE$3:$AE$122,$T28)),"")</f>
        <v/>
      </c>
      <c r="N28" s="15">
        <f>IF(AND(ISNUMBER($T28),$T28&lt;&gt;""),IF(INDEX(Calc!$AF$3:$AF$122,$T28)="","—",INDEX(Calc!$AF$3:$AF$122,$T28)),"")</f>
        <v/>
      </c>
      <c r="O28" s="15">
        <f>IF(AND(ISNUMBER($T28),$T28&lt;&gt;""),IF(INDEX(Calc!$AG$3:$AG$122,$T28)="","—",INDEX(Calc!$AG$3:$AG$122,$T28)),"")</f>
        <v/>
      </c>
      <c r="P28" s="16">
        <f>IF(AND(ISNUMBER($T28),$T28&lt;&gt;""),IF(INDEX(Calc!$AJ$3:$AJ$122,$T28)="","—",INDEX(Calc!$AJ$3:$AJ$122,$T28)),"")</f>
        <v/>
      </c>
      <c r="Q28" s="16">
        <f>IF(AND(ISNUMBER($T28),$T28&lt;&gt;""),IF(INDEX(Calc!$AK$3:$AK$122,$T28)="","—",INDEX(Calc!$AK$3:$AK$122,$T28)),"")</f>
        <v/>
      </c>
      <c r="R28" s="15">
        <f>IF(AND(ISNUMBER($T28),$T28&lt;&gt;""),IF(INDEX(Calc!$AL$3:$AL$122,$T28)="","—",INDEX(Calc!$AL$3:$AL$122,$T28)),"")</f>
        <v/>
      </c>
      <c r="T28">
        <f>IFERROR(MATCH(24,Calc!$AN$3:$AN$122,0),"")</f>
        <v/>
      </c>
    </row>
    <row r="29">
      <c r="A29" s="19">
        <f>IF(AND(ISNUMBER($T29),$T29&lt;&gt;""),INDEX(Calc!$S$3:$S$122,$T29),"")</f>
        <v/>
      </c>
      <c r="B29" s="20">
        <f>IF(AND(ISNUMBER($T29),$T29&lt;&gt;""),IF(INDEX(Calc!$T$3:$T$122,$T29)="","—",INDEX(Calc!$T$3:$T$122,$T29)),"")</f>
        <v/>
      </c>
      <c r="C29" s="20">
        <f>IF(AND(ISNUMBER($T29),$T29&lt;&gt;""),IF(INDEX(Calc!$U$3:$U$122,$T29)="","—",INDEX(Calc!$U$3:$U$122,$T29)),"")</f>
        <v/>
      </c>
      <c r="D29" s="20">
        <f>IF(AND(ISNUMBER($T29),$T29&lt;&gt;""),IF(INDEX(Calc!$V$3:$V$122,$T29)="","—",INDEX(Calc!$V$3:$V$122,$T29)),"")</f>
        <v/>
      </c>
      <c r="E29" s="20">
        <f>IF(AND(ISNUMBER($T29),$T29&lt;&gt;""),IF(INDEX(Calc!$W$3:$W$122,$T29)="","—",INDEX(Calc!$W$3:$W$122,$T29)),"")</f>
        <v/>
      </c>
      <c r="F29" s="20">
        <f>IF(AND(ISNUMBER($T29),$T29&lt;&gt;""),IF(INDEX(Calc!$X$3:$X$122,$T29)="","—",INDEX(Calc!$X$3:$X$122,$T29)),"")</f>
        <v/>
      </c>
      <c r="G29" s="20">
        <f>IF(AND(ISNUMBER($T29),$T29&lt;&gt;""),IF(INDEX(Calc!$Y$3:$Y$122,$T29)="","—",INDEX(Calc!$Y$3:$Y$122,$T29)),"")</f>
        <v/>
      </c>
      <c r="H29" s="20">
        <f>IF(AND(ISNUMBER($T29),$T29&lt;&gt;""),IF(INDEX(Calc!$Z$3:$Z$122,$T29)="","—",INDEX(Calc!$Z$3:$Z$122,$T29)),"")</f>
        <v/>
      </c>
      <c r="I29" s="20">
        <f>IF(AND(ISNUMBER($T29),$T29&lt;&gt;""),IF(INDEX(Calc!$AA$3:$AA$122,$T29)="","—",INDEX(Calc!$AA$3:$AA$122,$T29)),"")</f>
        <v/>
      </c>
      <c r="J29" s="20">
        <f>IF(AND(ISNUMBER($T29),$T29&lt;&gt;""),IF(INDEX(Calc!$AB$3:$AB$122,$T29)="","—",INDEX(Calc!$AB$3:$AB$122,$T29)),"")</f>
        <v/>
      </c>
      <c r="K29" s="20">
        <f>IF(AND(ISNUMBER($T29),$T29&lt;&gt;""),IF(INDEX(Calc!$AC$3:$AC$122,$T29)="","—",INDEX(Calc!$AC$3:$AC$122,$T29)),"")</f>
        <v/>
      </c>
      <c r="L29" s="20">
        <f>IF(AND(ISNUMBER($T29),$T29&lt;&gt;""),IF(INDEX(Calc!$AD$3:$AD$122,$T29)="","—",INDEX(Calc!$AD$3:$AD$122,$T29)),"")</f>
        <v/>
      </c>
      <c r="M29" s="20">
        <f>IF(AND(ISNUMBER($T29),$T29&lt;&gt;""),IF(INDEX(Calc!$AE$3:$AE$122,$T29)="","—",INDEX(Calc!$AE$3:$AE$122,$T29)),"")</f>
        <v/>
      </c>
      <c r="N29" s="20">
        <f>IF(AND(ISNUMBER($T29),$T29&lt;&gt;""),IF(INDEX(Calc!$AF$3:$AF$122,$T29)="","—",INDEX(Calc!$AF$3:$AF$122,$T29)),"")</f>
        <v/>
      </c>
      <c r="O29" s="20">
        <f>IF(AND(ISNUMBER($T29),$T29&lt;&gt;""),IF(INDEX(Calc!$AG$3:$AG$122,$T29)="","—",INDEX(Calc!$AG$3:$AG$122,$T29)),"")</f>
        <v/>
      </c>
      <c r="P29" s="21">
        <f>IF(AND(ISNUMBER($T29),$T29&lt;&gt;""),IF(INDEX(Calc!$AJ$3:$AJ$122,$T29)="","—",INDEX(Calc!$AJ$3:$AJ$122,$T29)),"")</f>
        <v/>
      </c>
      <c r="Q29" s="21">
        <f>IF(AND(ISNUMBER($T29),$T29&lt;&gt;""),IF(INDEX(Calc!$AK$3:$AK$122,$T29)="","—",INDEX(Calc!$AK$3:$AK$122,$T29)),"")</f>
        <v/>
      </c>
      <c r="R29" s="20">
        <f>IF(AND(ISNUMBER($T29),$T29&lt;&gt;""),IF(INDEX(Calc!$AL$3:$AL$122,$T29)="","—",INDEX(Calc!$AL$3:$AL$122,$T29)),"")</f>
        <v/>
      </c>
      <c r="T29">
        <f>IFERROR(MATCH(25,Calc!$AN$3:$AN$122,0),"")</f>
        <v/>
      </c>
    </row>
    <row r="30">
      <c r="A30" s="14">
        <f>IF(AND(ISNUMBER($T30),$T30&lt;&gt;""),INDEX(Calc!$S$3:$S$122,$T30),"")</f>
        <v/>
      </c>
      <c r="B30" s="15">
        <f>IF(AND(ISNUMBER($T30),$T30&lt;&gt;""),IF(INDEX(Calc!$T$3:$T$122,$T30)="","—",INDEX(Calc!$T$3:$T$122,$T30)),"")</f>
        <v/>
      </c>
      <c r="C30" s="15">
        <f>IF(AND(ISNUMBER($T30),$T30&lt;&gt;""),IF(INDEX(Calc!$U$3:$U$122,$T30)="","—",INDEX(Calc!$U$3:$U$122,$T30)),"")</f>
        <v/>
      </c>
      <c r="D30" s="15">
        <f>IF(AND(ISNUMBER($T30),$T30&lt;&gt;""),IF(INDEX(Calc!$V$3:$V$122,$T30)="","—",INDEX(Calc!$V$3:$V$122,$T30)),"")</f>
        <v/>
      </c>
      <c r="E30" s="15">
        <f>IF(AND(ISNUMBER($T30),$T30&lt;&gt;""),IF(INDEX(Calc!$W$3:$W$122,$T30)="","—",INDEX(Calc!$W$3:$W$122,$T30)),"")</f>
        <v/>
      </c>
      <c r="F30" s="15">
        <f>IF(AND(ISNUMBER($T30),$T30&lt;&gt;""),IF(INDEX(Calc!$X$3:$X$122,$T30)="","—",INDEX(Calc!$X$3:$X$122,$T30)),"")</f>
        <v/>
      </c>
      <c r="G30" s="15">
        <f>IF(AND(ISNUMBER($T30),$T30&lt;&gt;""),IF(INDEX(Calc!$Y$3:$Y$122,$T30)="","—",INDEX(Calc!$Y$3:$Y$122,$T30)),"")</f>
        <v/>
      </c>
      <c r="H30" s="15">
        <f>IF(AND(ISNUMBER($T30),$T30&lt;&gt;""),IF(INDEX(Calc!$Z$3:$Z$122,$T30)="","—",INDEX(Calc!$Z$3:$Z$122,$T30)),"")</f>
        <v/>
      </c>
      <c r="I30" s="15">
        <f>IF(AND(ISNUMBER($T30),$T30&lt;&gt;""),IF(INDEX(Calc!$AA$3:$AA$122,$T30)="","—",INDEX(Calc!$AA$3:$AA$122,$T30)),"")</f>
        <v/>
      </c>
      <c r="J30" s="15">
        <f>IF(AND(ISNUMBER($T30),$T30&lt;&gt;""),IF(INDEX(Calc!$AB$3:$AB$122,$T30)="","—",INDEX(Calc!$AB$3:$AB$122,$T30)),"")</f>
        <v/>
      </c>
      <c r="K30" s="15">
        <f>IF(AND(ISNUMBER($T30),$T30&lt;&gt;""),IF(INDEX(Calc!$AC$3:$AC$122,$T30)="","—",INDEX(Calc!$AC$3:$AC$122,$T30)),"")</f>
        <v/>
      </c>
      <c r="L30" s="15">
        <f>IF(AND(ISNUMBER($T30),$T30&lt;&gt;""),IF(INDEX(Calc!$AD$3:$AD$122,$T30)="","—",INDEX(Calc!$AD$3:$AD$122,$T30)),"")</f>
        <v/>
      </c>
      <c r="M30" s="15">
        <f>IF(AND(ISNUMBER($T30),$T30&lt;&gt;""),IF(INDEX(Calc!$AE$3:$AE$122,$T30)="","—",INDEX(Calc!$AE$3:$AE$122,$T30)),"")</f>
        <v/>
      </c>
      <c r="N30" s="15">
        <f>IF(AND(ISNUMBER($T30),$T30&lt;&gt;""),IF(INDEX(Calc!$AF$3:$AF$122,$T30)="","—",INDEX(Calc!$AF$3:$AF$122,$T30)),"")</f>
        <v/>
      </c>
      <c r="O30" s="15">
        <f>IF(AND(ISNUMBER($T30),$T30&lt;&gt;""),IF(INDEX(Calc!$AG$3:$AG$122,$T30)="","—",INDEX(Calc!$AG$3:$AG$122,$T30)),"")</f>
        <v/>
      </c>
      <c r="P30" s="16">
        <f>IF(AND(ISNUMBER($T30),$T30&lt;&gt;""),IF(INDEX(Calc!$AJ$3:$AJ$122,$T30)="","—",INDEX(Calc!$AJ$3:$AJ$122,$T30)),"")</f>
        <v/>
      </c>
      <c r="Q30" s="16">
        <f>IF(AND(ISNUMBER($T30),$T30&lt;&gt;""),IF(INDEX(Calc!$AK$3:$AK$122,$T30)="","—",INDEX(Calc!$AK$3:$AK$122,$T30)),"")</f>
        <v/>
      </c>
      <c r="R30" s="15">
        <f>IF(AND(ISNUMBER($T30),$T30&lt;&gt;""),IF(INDEX(Calc!$AL$3:$AL$122,$T30)="","—",INDEX(Calc!$AL$3:$AL$122,$T30)),"")</f>
        <v/>
      </c>
      <c r="T30">
        <f>IFERROR(MATCH(26,Calc!$AN$3:$AN$122,0),"")</f>
        <v/>
      </c>
    </row>
    <row r="31">
      <c r="A31" s="19">
        <f>IF(AND(ISNUMBER($T31),$T31&lt;&gt;""),INDEX(Calc!$S$3:$S$122,$T31),"")</f>
        <v/>
      </c>
      <c r="B31" s="20">
        <f>IF(AND(ISNUMBER($T31),$T31&lt;&gt;""),IF(INDEX(Calc!$T$3:$T$122,$T31)="","—",INDEX(Calc!$T$3:$T$122,$T31)),"")</f>
        <v/>
      </c>
      <c r="C31" s="20">
        <f>IF(AND(ISNUMBER($T31),$T31&lt;&gt;""),IF(INDEX(Calc!$U$3:$U$122,$T31)="","—",INDEX(Calc!$U$3:$U$122,$T31)),"")</f>
        <v/>
      </c>
      <c r="D31" s="20">
        <f>IF(AND(ISNUMBER($T31),$T31&lt;&gt;""),IF(INDEX(Calc!$V$3:$V$122,$T31)="","—",INDEX(Calc!$V$3:$V$122,$T31)),"")</f>
        <v/>
      </c>
      <c r="E31" s="20">
        <f>IF(AND(ISNUMBER($T31),$T31&lt;&gt;""),IF(INDEX(Calc!$W$3:$W$122,$T31)="","—",INDEX(Calc!$W$3:$W$122,$T31)),"")</f>
        <v/>
      </c>
      <c r="F31" s="20">
        <f>IF(AND(ISNUMBER($T31),$T31&lt;&gt;""),IF(INDEX(Calc!$X$3:$X$122,$T31)="","—",INDEX(Calc!$X$3:$X$122,$T31)),"")</f>
        <v/>
      </c>
      <c r="G31" s="20">
        <f>IF(AND(ISNUMBER($T31),$T31&lt;&gt;""),IF(INDEX(Calc!$Y$3:$Y$122,$T31)="","—",INDEX(Calc!$Y$3:$Y$122,$T31)),"")</f>
        <v/>
      </c>
      <c r="H31" s="20">
        <f>IF(AND(ISNUMBER($T31),$T31&lt;&gt;""),IF(INDEX(Calc!$Z$3:$Z$122,$T31)="","—",INDEX(Calc!$Z$3:$Z$122,$T31)),"")</f>
        <v/>
      </c>
      <c r="I31" s="20">
        <f>IF(AND(ISNUMBER($T31),$T31&lt;&gt;""),IF(INDEX(Calc!$AA$3:$AA$122,$T31)="","—",INDEX(Calc!$AA$3:$AA$122,$T31)),"")</f>
        <v/>
      </c>
      <c r="J31" s="20">
        <f>IF(AND(ISNUMBER($T31),$T31&lt;&gt;""),IF(INDEX(Calc!$AB$3:$AB$122,$T31)="","—",INDEX(Calc!$AB$3:$AB$122,$T31)),"")</f>
        <v/>
      </c>
      <c r="K31" s="20">
        <f>IF(AND(ISNUMBER($T31),$T31&lt;&gt;""),IF(INDEX(Calc!$AC$3:$AC$122,$T31)="","—",INDEX(Calc!$AC$3:$AC$122,$T31)),"")</f>
        <v/>
      </c>
      <c r="L31" s="20">
        <f>IF(AND(ISNUMBER($T31),$T31&lt;&gt;""),IF(INDEX(Calc!$AD$3:$AD$122,$T31)="","—",INDEX(Calc!$AD$3:$AD$122,$T31)),"")</f>
        <v/>
      </c>
      <c r="M31" s="20">
        <f>IF(AND(ISNUMBER($T31),$T31&lt;&gt;""),IF(INDEX(Calc!$AE$3:$AE$122,$T31)="","—",INDEX(Calc!$AE$3:$AE$122,$T31)),"")</f>
        <v/>
      </c>
      <c r="N31" s="20">
        <f>IF(AND(ISNUMBER($T31),$T31&lt;&gt;""),IF(INDEX(Calc!$AF$3:$AF$122,$T31)="","—",INDEX(Calc!$AF$3:$AF$122,$T31)),"")</f>
        <v/>
      </c>
      <c r="O31" s="20">
        <f>IF(AND(ISNUMBER($T31),$T31&lt;&gt;""),IF(INDEX(Calc!$AG$3:$AG$122,$T31)="","—",INDEX(Calc!$AG$3:$AG$122,$T31)),"")</f>
        <v/>
      </c>
      <c r="P31" s="21">
        <f>IF(AND(ISNUMBER($T31),$T31&lt;&gt;""),IF(INDEX(Calc!$AJ$3:$AJ$122,$T31)="","—",INDEX(Calc!$AJ$3:$AJ$122,$T31)),"")</f>
        <v/>
      </c>
      <c r="Q31" s="21">
        <f>IF(AND(ISNUMBER($T31),$T31&lt;&gt;""),IF(INDEX(Calc!$AK$3:$AK$122,$T31)="","—",INDEX(Calc!$AK$3:$AK$122,$T31)),"")</f>
        <v/>
      </c>
      <c r="R31" s="20">
        <f>IF(AND(ISNUMBER($T31),$T31&lt;&gt;""),IF(INDEX(Calc!$AL$3:$AL$122,$T31)="","—",INDEX(Calc!$AL$3:$AL$122,$T31)),"")</f>
        <v/>
      </c>
      <c r="T31">
        <f>IFERROR(MATCH(27,Calc!$AN$3:$AN$122,0),"")</f>
        <v/>
      </c>
    </row>
    <row r="32">
      <c r="A32" s="14">
        <f>IF(AND(ISNUMBER($T32),$T32&lt;&gt;""),INDEX(Calc!$S$3:$S$122,$T32),"")</f>
        <v/>
      </c>
      <c r="B32" s="15">
        <f>IF(AND(ISNUMBER($T32),$T32&lt;&gt;""),IF(INDEX(Calc!$T$3:$T$122,$T32)="","—",INDEX(Calc!$T$3:$T$122,$T32)),"")</f>
        <v/>
      </c>
      <c r="C32" s="15">
        <f>IF(AND(ISNUMBER($T32),$T32&lt;&gt;""),IF(INDEX(Calc!$U$3:$U$122,$T32)="","—",INDEX(Calc!$U$3:$U$122,$T32)),"")</f>
        <v/>
      </c>
      <c r="D32" s="15">
        <f>IF(AND(ISNUMBER($T32),$T32&lt;&gt;""),IF(INDEX(Calc!$V$3:$V$122,$T32)="","—",INDEX(Calc!$V$3:$V$122,$T32)),"")</f>
        <v/>
      </c>
      <c r="E32" s="15">
        <f>IF(AND(ISNUMBER($T32),$T32&lt;&gt;""),IF(INDEX(Calc!$W$3:$W$122,$T32)="","—",INDEX(Calc!$W$3:$W$122,$T32)),"")</f>
        <v/>
      </c>
      <c r="F32" s="15">
        <f>IF(AND(ISNUMBER($T32),$T32&lt;&gt;""),IF(INDEX(Calc!$X$3:$X$122,$T32)="","—",INDEX(Calc!$X$3:$X$122,$T32)),"")</f>
        <v/>
      </c>
      <c r="G32" s="15">
        <f>IF(AND(ISNUMBER($T32),$T32&lt;&gt;""),IF(INDEX(Calc!$Y$3:$Y$122,$T32)="","—",INDEX(Calc!$Y$3:$Y$122,$T32)),"")</f>
        <v/>
      </c>
      <c r="H32" s="15">
        <f>IF(AND(ISNUMBER($T32),$T32&lt;&gt;""),IF(INDEX(Calc!$Z$3:$Z$122,$T32)="","—",INDEX(Calc!$Z$3:$Z$122,$T32)),"")</f>
        <v/>
      </c>
      <c r="I32" s="15">
        <f>IF(AND(ISNUMBER($T32),$T32&lt;&gt;""),IF(INDEX(Calc!$AA$3:$AA$122,$T32)="","—",INDEX(Calc!$AA$3:$AA$122,$T32)),"")</f>
        <v/>
      </c>
      <c r="J32" s="15">
        <f>IF(AND(ISNUMBER($T32),$T32&lt;&gt;""),IF(INDEX(Calc!$AB$3:$AB$122,$T32)="","—",INDEX(Calc!$AB$3:$AB$122,$T32)),"")</f>
        <v/>
      </c>
      <c r="K32" s="15">
        <f>IF(AND(ISNUMBER($T32),$T32&lt;&gt;""),IF(INDEX(Calc!$AC$3:$AC$122,$T32)="","—",INDEX(Calc!$AC$3:$AC$122,$T32)),"")</f>
        <v/>
      </c>
      <c r="L32" s="15">
        <f>IF(AND(ISNUMBER($T32),$T32&lt;&gt;""),IF(INDEX(Calc!$AD$3:$AD$122,$T32)="","—",INDEX(Calc!$AD$3:$AD$122,$T32)),"")</f>
        <v/>
      </c>
      <c r="M32" s="15">
        <f>IF(AND(ISNUMBER($T32),$T32&lt;&gt;""),IF(INDEX(Calc!$AE$3:$AE$122,$T32)="","—",INDEX(Calc!$AE$3:$AE$122,$T32)),"")</f>
        <v/>
      </c>
      <c r="N32" s="15">
        <f>IF(AND(ISNUMBER($T32),$T32&lt;&gt;""),IF(INDEX(Calc!$AF$3:$AF$122,$T32)="","—",INDEX(Calc!$AF$3:$AF$122,$T32)),"")</f>
        <v/>
      </c>
      <c r="O32" s="15">
        <f>IF(AND(ISNUMBER($T32),$T32&lt;&gt;""),IF(INDEX(Calc!$AG$3:$AG$122,$T32)="","—",INDEX(Calc!$AG$3:$AG$122,$T32)),"")</f>
        <v/>
      </c>
      <c r="P32" s="16">
        <f>IF(AND(ISNUMBER($T32),$T32&lt;&gt;""),IF(INDEX(Calc!$AJ$3:$AJ$122,$T32)="","—",INDEX(Calc!$AJ$3:$AJ$122,$T32)),"")</f>
        <v/>
      </c>
      <c r="Q32" s="16">
        <f>IF(AND(ISNUMBER($T32),$T32&lt;&gt;""),IF(INDEX(Calc!$AK$3:$AK$122,$T32)="","—",INDEX(Calc!$AK$3:$AK$122,$T32)),"")</f>
        <v/>
      </c>
      <c r="R32" s="15">
        <f>IF(AND(ISNUMBER($T32),$T32&lt;&gt;""),IF(INDEX(Calc!$AL$3:$AL$122,$T32)="","—",INDEX(Calc!$AL$3:$AL$122,$T32)),"")</f>
        <v/>
      </c>
      <c r="T32">
        <f>IFERROR(MATCH(28,Calc!$AN$3:$AN$122,0),"")</f>
        <v/>
      </c>
    </row>
    <row r="33">
      <c r="A33" s="19">
        <f>IF(AND(ISNUMBER($T33),$T33&lt;&gt;""),INDEX(Calc!$S$3:$S$122,$T33),"")</f>
        <v/>
      </c>
      <c r="B33" s="20">
        <f>IF(AND(ISNUMBER($T33),$T33&lt;&gt;""),IF(INDEX(Calc!$T$3:$T$122,$T33)="","—",INDEX(Calc!$T$3:$T$122,$T33)),"")</f>
        <v/>
      </c>
      <c r="C33" s="20">
        <f>IF(AND(ISNUMBER($T33),$T33&lt;&gt;""),IF(INDEX(Calc!$U$3:$U$122,$T33)="","—",INDEX(Calc!$U$3:$U$122,$T33)),"")</f>
        <v/>
      </c>
      <c r="D33" s="20">
        <f>IF(AND(ISNUMBER($T33),$T33&lt;&gt;""),IF(INDEX(Calc!$V$3:$V$122,$T33)="","—",INDEX(Calc!$V$3:$V$122,$T33)),"")</f>
        <v/>
      </c>
      <c r="E33" s="20">
        <f>IF(AND(ISNUMBER($T33),$T33&lt;&gt;""),IF(INDEX(Calc!$W$3:$W$122,$T33)="","—",INDEX(Calc!$W$3:$W$122,$T33)),"")</f>
        <v/>
      </c>
      <c r="F33" s="20">
        <f>IF(AND(ISNUMBER($T33),$T33&lt;&gt;""),IF(INDEX(Calc!$X$3:$X$122,$T33)="","—",INDEX(Calc!$X$3:$X$122,$T33)),"")</f>
        <v/>
      </c>
      <c r="G33" s="20">
        <f>IF(AND(ISNUMBER($T33),$T33&lt;&gt;""),IF(INDEX(Calc!$Y$3:$Y$122,$T33)="","—",INDEX(Calc!$Y$3:$Y$122,$T33)),"")</f>
        <v/>
      </c>
      <c r="H33" s="20">
        <f>IF(AND(ISNUMBER($T33),$T33&lt;&gt;""),IF(INDEX(Calc!$Z$3:$Z$122,$T33)="","—",INDEX(Calc!$Z$3:$Z$122,$T33)),"")</f>
        <v/>
      </c>
      <c r="I33" s="20">
        <f>IF(AND(ISNUMBER($T33),$T33&lt;&gt;""),IF(INDEX(Calc!$AA$3:$AA$122,$T33)="","—",INDEX(Calc!$AA$3:$AA$122,$T33)),"")</f>
        <v/>
      </c>
      <c r="J33" s="20">
        <f>IF(AND(ISNUMBER($T33),$T33&lt;&gt;""),IF(INDEX(Calc!$AB$3:$AB$122,$T33)="","—",INDEX(Calc!$AB$3:$AB$122,$T33)),"")</f>
        <v/>
      </c>
      <c r="K33" s="20">
        <f>IF(AND(ISNUMBER($T33),$T33&lt;&gt;""),IF(INDEX(Calc!$AC$3:$AC$122,$T33)="","—",INDEX(Calc!$AC$3:$AC$122,$T33)),"")</f>
        <v/>
      </c>
      <c r="L33" s="20">
        <f>IF(AND(ISNUMBER($T33),$T33&lt;&gt;""),IF(INDEX(Calc!$AD$3:$AD$122,$T33)="","—",INDEX(Calc!$AD$3:$AD$122,$T33)),"")</f>
        <v/>
      </c>
      <c r="M33" s="20">
        <f>IF(AND(ISNUMBER($T33),$T33&lt;&gt;""),IF(INDEX(Calc!$AE$3:$AE$122,$T33)="","—",INDEX(Calc!$AE$3:$AE$122,$T33)),"")</f>
        <v/>
      </c>
      <c r="N33" s="20">
        <f>IF(AND(ISNUMBER($T33),$T33&lt;&gt;""),IF(INDEX(Calc!$AF$3:$AF$122,$T33)="","—",INDEX(Calc!$AF$3:$AF$122,$T33)),"")</f>
        <v/>
      </c>
      <c r="O33" s="20">
        <f>IF(AND(ISNUMBER($T33),$T33&lt;&gt;""),IF(INDEX(Calc!$AG$3:$AG$122,$T33)="","—",INDEX(Calc!$AG$3:$AG$122,$T33)),"")</f>
        <v/>
      </c>
      <c r="P33" s="21">
        <f>IF(AND(ISNUMBER($T33),$T33&lt;&gt;""),IF(INDEX(Calc!$AJ$3:$AJ$122,$T33)="","—",INDEX(Calc!$AJ$3:$AJ$122,$T33)),"")</f>
        <v/>
      </c>
      <c r="Q33" s="21">
        <f>IF(AND(ISNUMBER($T33),$T33&lt;&gt;""),IF(INDEX(Calc!$AK$3:$AK$122,$T33)="","—",INDEX(Calc!$AK$3:$AK$122,$T33)),"")</f>
        <v/>
      </c>
      <c r="R33" s="20">
        <f>IF(AND(ISNUMBER($T33),$T33&lt;&gt;""),IF(INDEX(Calc!$AL$3:$AL$122,$T33)="","—",INDEX(Calc!$AL$3:$AL$122,$T33)),"")</f>
        <v/>
      </c>
      <c r="T33">
        <f>IFERROR(MATCH(29,Calc!$AN$3:$AN$122,0),"")</f>
        <v/>
      </c>
    </row>
    <row r="34">
      <c r="A34" s="14">
        <f>IF(AND(ISNUMBER($T34),$T34&lt;&gt;""),INDEX(Calc!$S$3:$S$122,$T34),"")</f>
        <v/>
      </c>
      <c r="B34" s="15">
        <f>IF(AND(ISNUMBER($T34),$T34&lt;&gt;""),IF(INDEX(Calc!$T$3:$T$122,$T34)="","—",INDEX(Calc!$T$3:$T$122,$T34)),"")</f>
        <v/>
      </c>
      <c r="C34" s="15">
        <f>IF(AND(ISNUMBER($T34),$T34&lt;&gt;""),IF(INDEX(Calc!$U$3:$U$122,$T34)="","—",INDEX(Calc!$U$3:$U$122,$T34)),"")</f>
        <v/>
      </c>
      <c r="D34" s="15">
        <f>IF(AND(ISNUMBER($T34),$T34&lt;&gt;""),IF(INDEX(Calc!$V$3:$V$122,$T34)="","—",INDEX(Calc!$V$3:$V$122,$T34)),"")</f>
        <v/>
      </c>
      <c r="E34" s="15">
        <f>IF(AND(ISNUMBER($T34),$T34&lt;&gt;""),IF(INDEX(Calc!$W$3:$W$122,$T34)="","—",INDEX(Calc!$W$3:$W$122,$T34)),"")</f>
        <v/>
      </c>
      <c r="F34" s="15">
        <f>IF(AND(ISNUMBER($T34),$T34&lt;&gt;""),IF(INDEX(Calc!$X$3:$X$122,$T34)="","—",INDEX(Calc!$X$3:$X$122,$T34)),"")</f>
        <v/>
      </c>
      <c r="G34" s="15">
        <f>IF(AND(ISNUMBER($T34),$T34&lt;&gt;""),IF(INDEX(Calc!$Y$3:$Y$122,$T34)="","—",INDEX(Calc!$Y$3:$Y$122,$T34)),"")</f>
        <v/>
      </c>
      <c r="H34" s="15">
        <f>IF(AND(ISNUMBER($T34),$T34&lt;&gt;""),IF(INDEX(Calc!$Z$3:$Z$122,$T34)="","—",INDEX(Calc!$Z$3:$Z$122,$T34)),"")</f>
        <v/>
      </c>
      <c r="I34" s="15">
        <f>IF(AND(ISNUMBER($T34),$T34&lt;&gt;""),IF(INDEX(Calc!$AA$3:$AA$122,$T34)="","—",INDEX(Calc!$AA$3:$AA$122,$T34)),"")</f>
        <v/>
      </c>
      <c r="J34" s="15">
        <f>IF(AND(ISNUMBER($T34),$T34&lt;&gt;""),IF(INDEX(Calc!$AB$3:$AB$122,$T34)="","—",INDEX(Calc!$AB$3:$AB$122,$T34)),"")</f>
        <v/>
      </c>
      <c r="K34" s="15">
        <f>IF(AND(ISNUMBER($T34),$T34&lt;&gt;""),IF(INDEX(Calc!$AC$3:$AC$122,$T34)="","—",INDEX(Calc!$AC$3:$AC$122,$T34)),"")</f>
        <v/>
      </c>
      <c r="L34" s="15">
        <f>IF(AND(ISNUMBER($T34),$T34&lt;&gt;""),IF(INDEX(Calc!$AD$3:$AD$122,$T34)="","—",INDEX(Calc!$AD$3:$AD$122,$T34)),"")</f>
        <v/>
      </c>
      <c r="M34" s="15">
        <f>IF(AND(ISNUMBER($T34),$T34&lt;&gt;""),IF(INDEX(Calc!$AE$3:$AE$122,$T34)="","—",INDEX(Calc!$AE$3:$AE$122,$T34)),"")</f>
        <v/>
      </c>
      <c r="N34" s="15">
        <f>IF(AND(ISNUMBER($T34),$T34&lt;&gt;""),IF(INDEX(Calc!$AF$3:$AF$122,$T34)="","—",INDEX(Calc!$AF$3:$AF$122,$T34)),"")</f>
        <v/>
      </c>
      <c r="O34" s="15">
        <f>IF(AND(ISNUMBER($T34),$T34&lt;&gt;""),IF(INDEX(Calc!$AG$3:$AG$122,$T34)="","—",INDEX(Calc!$AG$3:$AG$122,$T34)),"")</f>
        <v/>
      </c>
      <c r="P34" s="16">
        <f>IF(AND(ISNUMBER($T34),$T34&lt;&gt;""),IF(INDEX(Calc!$AJ$3:$AJ$122,$T34)="","—",INDEX(Calc!$AJ$3:$AJ$122,$T34)),"")</f>
        <v/>
      </c>
      <c r="Q34" s="16">
        <f>IF(AND(ISNUMBER($T34),$T34&lt;&gt;""),IF(INDEX(Calc!$AK$3:$AK$122,$T34)="","—",INDEX(Calc!$AK$3:$AK$122,$T34)),"")</f>
        <v/>
      </c>
      <c r="R34" s="15">
        <f>IF(AND(ISNUMBER($T34),$T34&lt;&gt;""),IF(INDEX(Calc!$AL$3:$AL$122,$T34)="","—",INDEX(Calc!$AL$3:$AL$122,$T34)),"")</f>
        <v/>
      </c>
      <c r="T34">
        <f>IFERROR(MATCH(30,Calc!$AN$3:$AN$122,0),"")</f>
        <v/>
      </c>
    </row>
    <row r="35">
      <c r="A35" s="19">
        <f>IF(AND(ISNUMBER($T35),$T35&lt;&gt;""),INDEX(Calc!$S$3:$S$122,$T35),"")</f>
        <v/>
      </c>
      <c r="B35" s="20">
        <f>IF(AND(ISNUMBER($T35),$T35&lt;&gt;""),IF(INDEX(Calc!$T$3:$T$122,$T35)="","—",INDEX(Calc!$T$3:$T$122,$T35)),"")</f>
        <v/>
      </c>
      <c r="C35" s="20">
        <f>IF(AND(ISNUMBER($T35),$T35&lt;&gt;""),IF(INDEX(Calc!$U$3:$U$122,$T35)="","—",INDEX(Calc!$U$3:$U$122,$T35)),"")</f>
        <v/>
      </c>
      <c r="D35" s="20">
        <f>IF(AND(ISNUMBER($T35),$T35&lt;&gt;""),IF(INDEX(Calc!$V$3:$V$122,$T35)="","—",INDEX(Calc!$V$3:$V$122,$T35)),"")</f>
        <v/>
      </c>
      <c r="E35" s="20">
        <f>IF(AND(ISNUMBER($T35),$T35&lt;&gt;""),IF(INDEX(Calc!$W$3:$W$122,$T35)="","—",INDEX(Calc!$W$3:$W$122,$T35)),"")</f>
        <v/>
      </c>
      <c r="F35" s="20">
        <f>IF(AND(ISNUMBER($T35),$T35&lt;&gt;""),IF(INDEX(Calc!$X$3:$X$122,$T35)="","—",INDEX(Calc!$X$3:$X$122,$T35)),"")</f>
        <v/>
      </c>
      <c r="G35" s="20">
        <f>IF(AND(ISNUMBER($T35),$T35&lt;&gt;""),IF(INDEX(Calc!$Y$3:$Y$122,$T35)="","—",INDEX(Calc!$Y$3:$Y$122,$T35)),"")</f>
        <v/>
      </c>
      <c r="H35" s="20">
        <f>IF(AND(ISNUMBER($T35),$T35&lt;&gt;""),IF(INDEX(Calc!$Z$3:$Z$122,$T35)="","—",INDEX(Calc!$Z$3:$Z$122,$T35)),"")</f>
        <v/>
      </c>
      <c r="I35" s="20">
        <f>IF(AND(ISNUMBER($T35),$T35&lt;&gt;""),IF(INDEX(Calc!$AA$3:$AA$122,$T35)="","—",INDEX(Calc!$AA$3:$AA$122,$T35)),"")</f>
        <v/>
      </c>
      <c r="J35" s="20">
        <f>IF(AND(ISNUMBER($T35),$T35&lt;&gt;""),IF(INDEX(Calc!$AB$3:$AB$122,$T35)="","—",INDEX(Calc!$AB$3:$AB$122,$T35)),"")</f>
        <v/>
      </c>
      <c r="K35" s="20">
        <f>IF(AND(ISNUMBER($T35),$T35&lt;&gt;""),IF(INDEX(Calc!$AC$3:$AC$122,$T35)="","—",INDEX(Calc!$AC$3:$AC$122,$T35)),"")</f>
        <v/>
      </c>
      <c r="L35" s="20">
        <f>IF(AND(ISNUMBER($T35),$T35&lt;&gt;""),IF(INDEX(Calc!$AD$3:$AD$122,$T35)="","—",INDEX(Calc!$AD$3:$AD$122,$T35)),"")</f>
        <v/>
      </c>
      <c r="M35" s="20">
        <f>IF(AND(ISNUMBER($T35),$T35&lt;&gt;""),IF(INDEX(Calc!$AE$3:$AE$122,$T35)="","—",INDEX(Calc!$AE$3:$AE$122,$T35)),"")</f>
        <v/>
      </c>
      <c r="N35" s="20">
        <f>IF(AND(ISNUMBER($T35),$T35&lt;&gt;""),IF(INDEX(Calc!$AF$3:$AF$122,$T35)="","—",INDEX(Calc!$AF$3:$AF$122,$T35)),"")</f>
        <v/>
      </c>
      <c r="O35" s="20">
        <f>IF(AND(ISNUMBER($T35),$T35&lt;&gt;""),IF(INDEX(Calc!$AG$3:$AG$122,$T35)="","—",INDEX(Calc!$AG$3:$AG$122,$T35)),"")</f>
        <v/>
      </c>
      <c r="P35" s="21">
        <f>IF(AND(ISNUMBER($T35),$T35&lt;&gt;""),IF(INDEX(Calc!$AJ$3:$AJ$122,$T35)="","—",INDEX(Calc!$AJ$3:$AJ$122,$T35)),"")</f>
        <v/>
      </c>
      <c r="Q35" s="21">
        <f>IF(AND(ISNUMBER($T35),$T35&lt;&gt;""),IF(INDEX(Calc!$AK$3:$AK$122,$T35)="","—",INDEX(Calc!$AK$3:$AK$122,$T35)),"")</f>
        <v/>
      </c>
      <c r="R35" s="20">
        <f>IF(AND(ISNUMBER($T35),$T35&lt;&gt;""),IF(INDEX(Calc!$AL$3:$AL$122,$T35)="","—",INDEX(Calc!$AL$3:$AL$122,$T35)),"")</f>
        <v/>
      </c>
      <c r="T35">
        <f>IFERROR(MATCH(31,Calc!$AN$3:$AN$122,0),"")</f>
        <v/>
      </c>
    </row>
    <row r="36">
      <c r="A36" s="14">
        <f>IF(AND(ISNUMBER($T36),$T36&lt;&gt;""),INDEX(Calc!$S$3:$S$122,$T36),"")</f>
        <v/>
      </c>
      <c r="B36" s="15">
        <f>IF(AND(ISNUMBER($T36),$T36&lt;&gt;""),IF(INDEX(Calc!$T$3:$T$122,$T36)="","—",INDEX(Calc!$T$3:$T$122,$T36)),"")</f>
        <v/>
      </c>
      <c r="C36" s="15">
        <f>IF(AND(ISNUMBER($T36),$T36&lt;&gt;""),IF(INDEX(Calc!$U$3:$U$122,$T36)="","—",INDEX(Calc!$U$3:$U$122,$T36)),"")</f>
        <v/>
      </c>
      <c r="D36" s="15">
        <f>IF(AND(ISNUMBER($T36),$T36&lt;&gt;""),IF(INDEX(Calc!$V$3:$V$122,$T36)="","—",INDEX(Calc!$V$3:$V$122,$T36)),"")</f>
        <v/>
      </c>
      <c r="E36" s="15">
        <f>IF(AND(ISNUMBER($T36),$T36&lt;&gt;""),IF(INDEX(Calc!$W$3:$W$122,$T36)="","—",INDEX(Calc!$W$3:$W$122,$T36)),"")</f>
        <v/>
      </c>
      <c r="F36" s="15">
        <f>IF(AND(ISNUMBER($T36),$T36&lt;&gt;""),IF(INDEX(Calc!$X$3:$X$122,$T36)="","—",INDEX(Calc!$X$3:$X$122,$T36)),"")</f>
        <v/>
      </c>
      <c r="G36" s="15">
        <f>IF(AND(ISNUMBER($T36),$T36&lt;&gt;""),IF(INDEX(Calc!$Y$3:$Y$122,$T36)="","—",INDEX(Calc!$Y$3:$Y$122,$T36)),"")</f>
        <v/>
      </c>
      <c r="H36" s="15">
        <f>IF(AND(ISNUMBER($T36),$T36&lt;&gt;""),IF(INDEX(Calc!$Z$3:$Z$122,$T36)="","—",INDEX(Calc!$Z$3:$Z$122,$T36)),"")</f>
        <v/>
      </c>
      <c r="I36" s="15">
        <f>IF(AND(ISNUMBER($T36),$T36&lt;&gt;""),IF(INDEX(Calc!$AA$3:$AA$122,$T36)="","—",INDEX(Calc!$AA$3:$AA$122,$T36)),"")</f>
        <v/>
      </c>
      <c r="J36" s="15">
        <f>IF(AND(ISNUMBER($T36),$T36&lt;&gt;""),IF(INDEX(Calc!$AB$3:$AB$122,$T36)="","—",INDEX(Calc!$AB$3:$AB$122,$T36)),"")</f>
        <v/>
      </c>
      <c r="K36" s="15">
        <f>IF(AND(ISNUMBER($T36),$T36&lt;&gt;""),IF(INDEX(Calc!$AC$3:$AC$122,$T36)="","—",INDEX(Calc!$AC$3:$AC$122,$T36)),"")</f>
        <v/>
      </c>
      <c r="L36" s="15">
        <f>IF(AND(ISNUMBER($T36),$T36&lt;&gt;""),IF(INDEX(Calc!$AD$3:$AD$122,$T36)="","—",INDEX(Calc!$AD$3:$AD$122,$T36)),"")</f>
        <v/>
      </c>
      <c r="M36" s="15">
        <f>IF(AND(ISNUMBER($T36),$T36&lt;&gt;""),IF(INDEX(Calc!$AE$3:$AE$122,$T36)="","—",INDEX(Calc!$AE$3:$AE$122,$T36)),"")</f>
        <v/>
      </c>
      <c r="N36" s="15">
        <f>IF(AND(ISNUMBER($T36),$T36&lt;&gt;""),IF(INDEX(Calc!$AF$3:$AF$122,$T36)="","—",INDEX(Calc!$AF$3:$AF$122,$T36)),"")</f>
        <v/>
      </c>
      <c r="O36" s="15">
        <f>IF(AND(ISNUMBER($T36),$T36&lt;&gt;""),IF(INDEX(Calc!$AG$3:$AG$122,$T36)="","—",INDEX(Calc!$AG$3:$AG$122,$T36)),"")</f>
        <v/>
      </c>
      <c r="P36" s="16">
        <f>IF(AND(ISNUMBER($T36),$T36&lt;&gt;""),IF(INDEX(Calc!$AJ$3:$AJ$122,$T36)="","—",INDEX(Calc!$AJ$3:$AJ$122,$T36)),"")</f>
        <v/>
      </c>
      <c r="Q36" s="16">
        <f>IF(AND(ISNUMBER($T36),$T36&lt;&gt;""),IF(INDEX(Calc!$AK$3:$AK$122,$T36)="","—",INDEX(Calc!$AK$3:$AK$122,$T36)),"")</f>
        <v/>
      </c>
      <c r="R36" s="15">
        <f>IF(AND(ISNUMBER($T36),$T36&lt;&gt;""),IF(INDEX(Calc!$AL$3:$AL$122,$T36)="","—",INDEX(Calc!$AL$3:$AL$122,$T36)),"")</f>
        <v/>
      </c>
      <c r="T36">
        <f>IFERROR(MATCH(32,Calc!$AN$3:$AN$122,0),"")</f>
        <v/>
      </c>
    </row>
    <row r="37">
      <c r="A37" s="19">
        <f>IF(AND(ISNUMBER($T37),$T37&lt;&gt;""),INDEX(Calc!$S$3:$S$122,$T37),"")</f>
        <v/>
      </c>
      <c r="B37" s="20">
        <f>IF(AND(ISNUMBER($T37),$T37&lt;&gt;""),IF(INDEX(Calc!$T$3:$T$122,$T37)="","—",INDEX(Calc!$T$3:$T$122,$T37)),"")</f>
        <v/>
      </c>
      <c r="C37" s="20">
        <f>IF(AND(ISNUMBER($T37),$T37&lt;&gt;""),IF(INDEX(Calc!$U$3:$U$122,$T37)="","—",INDEX(Calc!$U$3:$U$122,$T37)),"")</f>
        <v/>
      </c>
      <c r="D37" s="20">
        <f>IF(AND(ISNUMBER($T37),$T37&lt;&gt;""),IF(INDEX(Calc!$V$3:$V$122,$T37)="","—",INDEX(Calc!$V$3:$V$122,$T37)),"")</f>
        <v/>
      </c>
      <c r="E37" s="20">
        <f>IF(AND(ISNUMBER($T37),$T37&lt;&gt;""),IF(INDEX(Calc!$W$3:$W$122,$T37)="","—",INDEX(Calc!$W$3:$W$122,$T37)),"")</f>
        <v/>
      </c>
      <c r="F37" s="20">
        <f>IF(AND(ISNUMBER($T37),$T37&lt;&gt;""),IF(INDEX(Calc!$X$3:$X$122,$T37)="","—",INDEX(Calc!$X$3:$X$122,$T37)),"")</f>
        <v/>
      </c>
      <c r="G37" s="20">
        <f>IF(AND(ISNUMBER($T37),$T37&lt;&gt;""),IF(INDEX(Calc!$Y$3:$Y$122,$T37)="","—",INDEX(Calc!$Y$3:$Y$122,$T37)),"")</f>
        <v/>
      </c>
      <c r="H37" s="20">
        <f>IF(AND(ISNUMBER($T37),$T37&lt;&gt;""),IF(INDEX(Calc!$Z$3:$Z$122,$T37)="","—",INDEX(Calc!$Z$3:$Z$122,$T37)),"")</f>
        <v/>
      </c>
      <c r="I37" s="20">
        <f>IF(AND(ISNUMBER($T37),$T37&lt;&gt;""),IF(INDEX(Calc!$AA$3:$AA$122,$T37)="","—",INDEX(Calc!$AA$3:$AA$122,$T37)),"")</f>
        <v/>
      </c>
      <c r="J37" s="20">
        <f>IF(AND(ISNUMBER($T37),$T37&lt;&gt;""),IF(INDEX(Calc!$AB$3:$AB$122,$T37)="","—",INDEX(Calc!$AB$3:$AB$122,$T37)),"")</f>
        <v/>
      </c>
      <c r="K37" s="20">
        <f>IF(AND(ISNUMBER($T37),$T37&lt;&gt;""),IF(INDEX(Calc!$AC$3:$AC$122,$T37)="","—",INDEX(Calc!$AC$3:$AC$122,$T37)),"")</f>
        <v/>
      </c>
      <c r="L37" s="20">
        <f>IF(AND(ISNUMBER($T37),$T37&lt;&gt;""),IF(INDEX(Calc!$AD$3:$AD$122,$T37)="","—",INDEX(Calc!$AD$3:$AD$122,$T37)),"")</f>
        <v/>
      </c>
      <c r="M37" s="20">
        <f>IF(AND(ISNUMBER($T37),$T37&lt;&gt;""),IF(INDEX(Calc!$AE$3:$AE$122,$T37)="","—",INDEX(Calc!$AE$3:$AE$122,$T37)),"")</f>
        <v/>
      </c>
      <c r="N37" s="20">
        <f>IF(AND(ISNUMBER($T37),$T37&lt;&gt;""),IF(INDEX(Calc!$AF$3:$AF$122,$T37)="","—",INDEX(Calc!$AF$3:$AF$122,$T37)),"")</f>
        <v/>
      </c>
      <c r="O37" s="20">
        <f>IF(AND(ISNUMBER($T37),$T37&lt;&gt;""),IF(INDEX(Calc!$AG$3:$AG$122,$T37)="","—",INDEX(Calc!$AG$3:$AG$122,$T37)),"")</f>
        <v/>
      </c>
      <c r="P37" s="21">
        <f>IF(AND(ISNUMBER($T37),$T37&lt;&gt;""),IF(INDEX(Calc!$AJ$3:$AJ$122,$T37)="","—",INDEX(Calc!$AJ$3:$AJ$122,$T37)),"")</f>
        <v/>
      </c>
      <c r="Q37" s="21">
        <f>IF(AND(ISNUMBER($T37),$T37&lt;&gt;""),IF(INDEX(Calc!$AK$3:$AK$122,$T37)="","—",INDEX(Calc!$AK$3:$AK$122,$T37)),"")</f>
        <v/>
      </c>
      <c r="R37" s="20">
        <f>IF(AND(ISNUMBER($T37),$T37&lt;&gt;""),IF(INDEX(Calc!$AL$3:$AL$122,$T37)="","—",INDEX(Calc!$AL$3:$AL$122,$T37)),"")</f>
        <v/>
      </c>
      <c r="T37">
        <f>IFERROR(MATCH(33,Calc!$AN$3:$AN$122,0),"")</f>
        <v/>
      </c>
    </row>
    <row r="38">
      <c r="A38" s="14">
        <f>IF(AND(ISNUMBER($T38),$T38&lt;&gt;""),INDEX(Calc!$S$3:$S$122,$T38),"")</f>
        <v/>
      </c>
      <c r="B38" s="15">
        <f>IF(AND(ISNUMBER($T38),$T38&lt;&gt;""),IF(INDEX(Calc!$T$3:$T$122,$T38)="","—",INDEX(Calc!$T$3:$T$122,$T38)),"")</f>
        <v/>
      </c>
      <c r="C38" s="15">
        <f>IF(AND(ISNUMBER($T38),$T38&lt;&gt;""),IF(INDEX(Calc!$U$3:$U$122,$T38)="","—",INDEX(Calc!$U$3:$U$122,$T38)),"")</f>
        <v/>
      </c>
      <c r="D38" s="15">
        <f>IF(AND(ISNUMBER($T38),$T38&lt;&gt;""),IF(INDEX(Calc!$V$3:$V$122,$T38)="","—",INDEX(Calc!$V$3:$V$122,$T38)),"")</f>
        <v/>
      </c>
      <c r="E38" s="15">
        <f>IF(AND(ISNUMBER($T38),$T38&lt;&gt;""),IF(INDEX(Calc!$W$3:$W$122,$T38)="","—",INDEX(Calc!$W$3:$W$122,$T38)),"")</f>
        <v/>
      </c>
      <c r="F38" s="15">
        <f>IF(AND(ISNUMBER($T38),$T38&lt;&gt;""),IF(INDEX(Calc!$X$3:$X$122,$T38)="","—",INDEX(Calc!$X$3:$X$122,$T38)),"")</f>
        <v/>
      </c>
      <c r="G38" s="15">
        <f>IF(AND(ISNUMBER($T38),$T38&lt;&gt;""),IF(INDEX(Calc!$Y$3:$Y$122,$T38)="","—",INDEX(Calc!$Y$3:$Y$122,$T38)),"")</f>
        <v/>
      </c>
      <c r="H38" s="15">
        <f>IF(AND(ISNUMBER($T38),$T38&lt;&gt;""),IF(INDEX(Calc!$Z$3:$Z$122,$T38)="","—",INDEX(Calc!$Z$3:$Z$122,$T38)),"")</f>
        <v/>
      </c>
      <c r="I38" s="15">
        <f>IF(AND(ISNUMBER($T38),$T38&lt;&gt;""),IF(INDEX(Calc!$AA$3:$AA$122,$T38)="","—",INDEX(Calc!$AA$3:$AA$122,$T38)),"")</f>
        <v/>
      </c>
      <c r="J38" s="15">
        <f>IF(AND(ISNUMBER($T38),$T38&lt;&gt;""),IF(INDEX(Calc!$AB$3:$AB$122,$T38)="","—",INDEX(Calc!$AB$3:$AB$122,$T38)),"")</f>
        <v/>
      </c>
      <c r="K38" s="15">
        <f>IF(AND(ISNUMBER($T38),$T38&lt;&gt;""),IF(INDEX(Calc!$AC$3:$AC$122,$T38)="","—",INDEX(Calc!$AC$3:$AC$122,$T38)),"")</f>
        <v/>
      </c>
      <c r="L38" s="15">
        <f>IF(AND(ISNUMBER($T38),$T38&lt;&gt;""),IF(INDEX(Calc!$AD$3:$AD$122,$T38)="","—",INDEX(Calc!$AD$3:$AD$122,$T38)),"")</f>
        <v/>
      </c>
      <c r="M38" s="15">
        <f>IF(AND(ISNUMBER($T38),$T38&lt;&gt;""),IF(INDEX(Calc!$AE$3:$AE$122,$T38)="","—",INDEX(Calc!$AE$3:$AE$122,$T38)),"")</f>
        <v/>
      </c>
      <c r="N38" s="15">
        <f>IF(AND(ISNUMBER($T38),$T38&lt;&gt;""),IF(INDEX(Calc!$AF$3:$AF$122,$T38)="","—",INDEX(Calc!$AF$3:$AF$122,$T38)),"")</f>
        <v/>
      </c>
      <c r="O38" s="15">
        <f>IF(AND(ISNUMBER($T38),$T38&lt;&gt;""),IF(INDEX(Calc!$AG$3:$AG$122,$T38)="","—",INDEX(Calc!$AG$3:$AG$122,$T38)),"")</f>
        <v/>
      </c>
      <c r="P38" s="16">
        <f>IF(AND(ISNUMBER($T38),$T38&lt;&gt;""),IF(INDEX(Calc!$AJ$3:$AJ$122,$T38)="","—",INDEX(Calc!$AJ$3:$AJ$122,$T38)),"")</f>
        <v/>
      </c>
      <c r="Q38" s="16">
        <f>IF(AND(ISNUMBER($T38),$T38&lt;&gt;""),IF(INDEX(Calc!$AK$3:$AK$122,$T38)="","—",INDEX(Calc!$AK$3:$AK$122,$T38)),"")</f>
        <v/>
      </c>
      <c r="R38" s="15">
        <f>IF(AND(ISNUMBER($T38),$T38&lt;&gt;""),IF(INDEX(Calc!$AL$3:$AL$122,$T38)="","—",INDEX(Calc!$AL$3:$AL$122,$T38)),"")</f>
        <v/>
      </c>
      <c r="T38">
        <f>IFERROR(MATCH(34,Calc!$AN$3:$AN$122,0),"")</f>
        <v/>
      </c>
    </row>
    <row r="39">
      <c r="A39" s="19">
        <f>IF(AND(ISNUMBER($T39),$T39&lt;&gt;""),INDEX(Calc!$S$3:$S$122,$T39),"")</f>
        <v/>
      </c>
      <c r="B39" s="20">
        <f>IF(AND(ISNUMBER($T39),$T39&lt;&gt;""),IF(INDEX(Calc!$T$3:$T$122,$T39)="","—",INDEX(Calc!$T$3:$T$122,$T39)),"")</f>
        <v/>
      </c>
      <c r="C39" s="20">
        <f>IF(AND(ISNUMBER($T39),$T39&lt;&gt;""),IF(INDEX(Calc!$U$3:$U$122,$T39)="","—",INDEX(Calc!$U$3:$U$122,$T39)),"")</f>
        <v/>
      </c>
      <c r="D39" s="20">
        <f>IF(AND(ISNUMBER($T39),$T39&lt;&gt;""),IF(INDEX(Calc!$V$3:$V$122,$T39)="","—",INDEX(Calc!$V$3:$V$122,$T39)),"")</f>
        <v/>
      </c>
      <c r="E39" s="20">
        <f>IF(AND(ISNUMBER($T39),$T39&lt;&gt;""),IF(INDEX(Calc!$W$3:$W$122,$T39)="","—",INDEX(Calc!$W$3:$W$122,$T39)),"")</f>
        <v/>
      </c>
      <c r="F39" s="20">
        <f>IF(AND(ISNUMBER($T39),$T39&lt;&gt;""),IF(INDEX(Calc!$X$3:$X$122,$T39)="","—",INDEX(Calc!$X$3:$X$122,$T39)),"")</f>
        <v/>
      </c>
      <c r="G39" s="20">
        <f>IF(AND(ISNUMBER($T39),$T39&lt;&gt;""),IF(INDEX(Calc!$Y$3:$Y$122,$T39)="","—",INDEX(Calc!$Y$3:$Y$122,$T39)),"")</f>
        <v/>
      </c>
      <c r="H39" s="20">
        <f>IF(AND(ISNUMBER($T39),$T39&lt;&gt;""),IF(INDEX(Calc!$Z$3:$Z$122,$T39)="","—",INDEX(Calc!$Z$3:$Z$122,$T39)),"")</f>
        <v/>
      </c>
      <c r="I39" s="20">
        <f>IF(AND(ISNUMBER($T39),$T39&lt;&gt;""),IF(INDEX(Calc!$AA$3:$AA$122,$T39)="","—",INDEX(Calc!$AA$3:$AA$122,$T39)),"")</f>
        <v/>
      </c>
      <c r="J39" s="20">
        <f>IF(AND(ISNUMBER($T39),$T39&lt;&gt;""),IF(INDEX(Calc!$AB$3:$AB$122,$T39)="","—",INDEX(Calc!$AB$3:$AB$122,$T39)),"")</f>
        <v/>
      </c>
      <c r="K39" s="20">
        <f>IF(AND(ISNUMBER($T39),$T39&lt;&gt;""),IF(INDEX(Calc!$AC$3:$AC$122,$T39)="","—",INDEX(Calc!$AC$3:$AC$122,$T39)),"")</f>
        <v/>
      </c>
      <c r="L39" s="20">
        <f>IF(AND(ISNUMBER($T39),$T39&lt;&gt;""),IF(INDEX(Calc!$AD$3:$AD$122,$T39)="","—",INDEX(Calc!$AD$3:$AD$122,$T39)),"")</f>
        <v/>
      </c>
      <c r="M39" s="20">
        <f>IF(AND(ISNUMBER($T39),$T39&lt;&gt;""),IF(INDEX(Calc!$AE$3:$AE$122,$T39)="","—",INDEX(Calc!$AE$3:$AE$122,$T39)),"")</f>
        <v/>
      </c>
      <c r="N39" s="20">
        <f>IF(AND(ISNUMBER($T39),$T39&lt;&gt;""),IF(INDEX(Calc!$AF$3:$AF$122,$T39)="","—",INDEX(Calc!$AF$3:$AF$122,$T39)),"")</f>
        <v/>
      </c>
      <c r="O39" s="20">
        <f>IF(AND(ISNUMBER($T39),$T39&lt;&gt;""),IF(INDEX(Calc!$AG$3:$AG$122,$T39)="","—",INDEX(Calc!$AG$3:$AG$122,$T39)),"")</f>
        <v/>
      </c>
      <c r="P39" s="21">
        <f>IF(AND(ISNUMBER($T39),$T39&lt;&gt;""),IF(INDEX(Calc!$AJ$3:$AJ$122,$T39)="","—",INDEX(Calc!$AJ$3:$AJ$122,$T39)),"")</f>
        <v/>
      </c>
      <c r="Q39" s="21">
        <f>IF(AND(ISNUMBER($T39),$T39&lt;&gt;""),IF(INDEX(Calc!$AK$3:$AK$122,$T39)="","—",INDEX(Calc!$AK$3:$AK$122,$T39)),"")</f>
        <v/>
      </c>
      <c r="R39" s="20">
        <f>IF(AND(ISNUMBER($T39),$T39&lt;&gt;""),IF(INDEX(Calc!$AL$3:$AL$122,$T39)="","—",INDEX(Calc!$AL$3:$AL$122,$T39)),"")</f>
        <v/>
      </c>
      <c r="T39">
        <f>IFERROR(MATCH(35,Calc!$AN$3:$AN$122,0),"")</f>
        <v/>
      </c>
    </row>
    <row r="40">
      <c r="A40" s="14">
        <f>IF(AND(ISNUMBER($T40),$T40&lt;&gt;""),INDEX(Calc!$S$3:$S$122,$T40),"")</f>
        <v/>
      </c>
      <c r="B40" s="15">
        <f>IF(AND(ISNUMBER($T40),$T40&lt;&gt;""),IF(INDEX(Calc!$T$3:$T$122,$T40)="","—",INDEX(Calc!$T$3:$T$122,$T40)),"")</f>
        <v/>
      </c>
      <c r="C40" s="15">
        <f>IF(AND(ISNUMBER($T40),$T40&lt;&gt;""),IF(INDEX(Calc!$U$3:$U$122,$T40)="","—",INDEX(Calc!$U$3:$U$122,$T40)),"")</f>
        <v/>
      </c>
      <c r="D40" s="15">
        <f>IF(AND(ISNUMBER($T40),$T40&lt;&gt;""),IF(INDEX(Calc!$V$3:$V$122,$T40)="","—",INDEX(Calc!$V$3:$V$122,$T40)),"")</f>
        <v/>
      </c>
      <c r="E40" s="15">
        <f>IF(AND(ISNUMBER($T40),$T40&lt;&gt;""),IF(INDEX(Calc!$W$3:$W$122,$T40)="","—",INDEX(Calc!$W$3:$W$122,$T40)),"")</f>
        <v/>
      </c>
      <c r="F40" s="15">
        <f>IF(AND(ISNUMBER($T40),$T40&lt;&gt;""),IF(INDEX(Calc!$X$3:$X$122,$T40)="","—",INDEX(Calc!$X$3:$X$122,$T40)),"")</f>
        <v/>
      </c>
      <c r="G40" s="15">
        <f>IF(AND(ISNUMBER($T40),$T40&lt;&gt;""),IF(INDEX(Calc!$Y$3:$Y$122,$T40)="","—",INDEX(Calc!$Y$3:$Y$122,$T40)),"")</f>
        <v/>
      </c>
      <c r="H40" s="15">
        <f>IF(AND(ISNUMBER($T40),$T40&lt;&gt;""),IF(INDEX(Calc!$Z$3:$Z$122,$T40)="","—",INDEX(Calc!$Z$3:$Z$122,$T40)),"")</f>
        <v/>
      </c>
      <c r="I40" s="15">
        <f>IF(AND(ISNUMBER($T40),$T40&lt;&gt;""),IF(INDEX(Calc!$AA$3:$AA$122,$T40)="","—",INDEX(Calc!$AA$3:$AA$122,$T40)),"")</f>
        <v/>
      </c>
      <c r="J40" s="15">
        <f>IF(AND(ISNUMBER($T40),$T40&lt;&gt;""),IF(INDEX(Calc!$AB$3:$AB$122,$T40)="","—",INDEX(Calc!$AB$3:$AB$122,$T40)),"")</f>
        <v/>
      </c>
      <c r="K40" s="15">
        <f>IF(AND(ISNUMBER($T40),$T40&lt;&gt;""),IF(INDEX(Calc!$AC$3:$AC$122,$T40)="","—",INDEX(Calc!$AC$3:$AC$122,$T40)),"")</f>
        <v/>
      </c>
      <c r="L40" s="15">
        <f>IF(AND(ISNUMBER($T40),$T40&lt;&gt;""),IF(INDEX(Calc!$AD$3:$AD$122,$T40)="","—",INDEX(Calc!$AD$3:$AD$122,$T40)),"")</f>
        <v/>
      </c>
      <c r="M40" s="15">
        <f>IF(AND(ISNUMBER($T40),$T40&lt;&gt;""),IF(INDEX(Calc!$AE$3:$AE$122,$T40)="","—",INDEX(Calc!$AE$3:$AE$122,$T40)),"")</f>
        <v/>
      </c>
      <c r="N40" s="15">
        <f>IF(AND(ISNUMBER($T40),$T40&lt;&gt;""),IF(INDEX(Calc!$AF$3:$AF$122,$T40)="","—",INDEX(Calc!$AF$3:$AF$122,$T40)),"")</f>
        <v/>
      </c>
      <c r="O40" s="15">
        <f>IF(AND(ISNUMBER($T40),$T40&lt;&gt;""),IF(INDEX(Calc!$AG$3:$AG$122,$T40)="","—",INDEX(Calc!$AG$3:$AG$122,$T40)),"")</f>
        <v/>
      </c>
      <c r="P40" s="16">
        <f>IF(AND(ISNUMBER($T40),$T40&lt;&gt;""),IF(INDEX(Calc!$AJ$3:$AJ$122,$T40)="","—",INDEX(Calc!$AJ$3:$AJ$122,$T40)),"")</f>
        <v/>
      </c>
      <c r="Q40" s="16">
        <f>IF(AND(ISNUMBER($T40),$T40&lt;&gt;""),IF(INDEX(Calc!$AK$3:$AK$122,$T40)="","—",INDEX(Calc!$AK$3:$AK$122,$T40)),"")</f>
        <v/>
      </c>
      <c r="R40" s="15">
        <f>IF(AND(ISNUMBER($T40),$T40&lt;&gt;""),IF(INDEX(Calc!$AL$3:$AL$122,$T40)="","—",INDEX(Calc!$AL$3:$AL$122,$T40)),"")</f>
        <v/>
      </c>
      <c r="T40">
        <f>IFERROR(MATCH(36,Calc!$AN$3:$AN$122,0),"")</f>
        <v/>
      </c>
    </row>
    <row r="41">
      <c r="A41" s="19">
        <f>IF(AND(ISNUMBER($T41),$T41&lt;&gt;""),INDEX(Calc!$S$3:$S$122,$T41),"")</f>
        <v/>
      </c>
      <c r="B41" s="20">
        <f>IF(AND(ISNUMBER($T41),$T41&lt;&gt;""),IF(INDEX(Calc!$T$3:$T$122,$T41)="","—",INDEX(Calc!$T$3:$T$122,$T41)),"")</f>
        <v/>
      </c>
      <c r="C41" s="20">
        <f>IF(AND(ISNUMBER($T41),$T41&lt;&gt;""),IF(INDEX(Calc!$U$3:$U$122,$T41)="","—",INDEX(Calc!$U$3:$U$122,$T41)),"")</f>
        <v/>
      </c>
      <c r="D41" s="20">
        <f>IF(AND(ISNUMBER($T41),$T41&lt;&gt;""),IF(INDEX(Calc!$V$3:$V$122,$T41)="","—",INDEX(Calc!$V$3:$V$122,$T41)),"")</f>
        <v/>
      </c>
      <c r="E41" s="20">
        <f>IF(AND(ISNUMBER($T41),$T41&lt;&gt;""),IF(INDEX(Calc!$W$3:$W$122,$T41)="","—",INDEX(Calc!$W$3:$W$122,$T41)),"")</f>
        <v/>
      </c>
      <c r="F41" s="20">
        <f>IF(AND(ISNUMBER($T41),$T41&lt;&gt;""),IF(INDEX(Calc!$X$3:$X$122,$T41)="","—",INDEX(Calc!$X$3:$X$122,$T41)),"")</f>
        <v/>
      </c>
      <c r="G41" s="20">
        <f>IF(AND(ISNUMBER($T41),$T41&lt;&gt;""),IF(INDEX(Calc!$Y$3:$Y$122,$T41)="","—",INDEX(Calc!$Y$3:$Y$122,$T41)),"")</f>
        <v/>
      </c>
      <c r="H41" s="20">
        <f>IF(AND(ISNUMBER($T41),$T41&lt;&gt;""),IF(INDEX(Calc!$Z$3:$Z$122,$T41)="","—",INDEX(Calc!$Z$3:$Z$122,$T41)),"")</f>
        <v/>
      </c>
      <c r="I41" s="20">
        <f>IF(AND(ISNUMBER($T41),$T41&lt;&gt;""),IF(INDEX(Calc!$AA$3:$AA$122,$T41)="","—",INDEX(Calc!$AA$3:$AA$122,$T41)),"")</f>
        <v/>
      </c>
      <c r="J41" s="20">
        <f>IF(AND(ISNUMBER($T41),$T41&lt;&gt;""),IF(INDEX(Calc!$AB$3:$AB$122,$T41)="","—",INDEX(Calc!$AB$3:$AB$122,$T41)),"")</f>
        <v/>
      </c>
      <c r="K41" s="20">
        <f>IF(AND(ISNUMBER($T41),$T41&lt;&gt;""),IF(INDEX(Calc!$AC$3:$AC$122,$T41)="","—",INDEX(Calc!$AC$3:$AC$122,$T41)),"")</f>
        <v/>
      </c>
      <c r="L41" s="20">
        <f>IF(AND(ISNUMBER($T41),$T41&lt;&gt;""),IF(INDEX(Calc!$AD$3:$AD$122,$T41)="","—",INDEX(Calc!$AD$3:$AD$122,$T41)),"")</f>
        <v/>
      </c>
      <c r="M41" s="20">
        <f>IF(AND(ISNUMBER($T41),$T41&lt;&gt;""),IF(INDEX(Calc!$AE$3:$AE$122,$T41)="","—",INDEX(Calc!$AE$3:$AE$122,$T41)),"")</f>
        <v/>
      </c>
      <c r="N41" s="20">
        <f>IF(AND(ISNUMBER($T41),$T41&lt;&gt;""),IF(INDEX(Calc!$AF$3:$AF$122,$T41)="","—",INDEX(Calc!$AF$3:$AF$122,$T41)),"")</f>
        <v/>
      </c>
      <c r="O41" s="20">
        <f>IF(AND(ISNUMBER($T41),$T41&lt;&gt;""),IF(INDEX(Calc!$AG$3:$AG$122,$T41)="","—",INDEX(Calc!$AG$3:$AG$122,$T41)),"")</f>
        <v/>
      </c>
      <c r="P41" s="21">
        <f>IF(AND(ISNUMBER($T41),$T41&lt;&gt;""),IF(INDEX(Calc!$AJ$3:$AJ$122,$T41)="","—",INDEX(Calc!$AJ$3:$AJ$122,$T41)),"")</f>
        <v/>
      </c>
      <c r="Q41" s="21">
        <f>IF(AND(ISNUMBER($T41),$T41&lt;&gt;""),IF(INDEX(Calc!$AK$3:$AK$122,$T41)="","—",INDEX(Calc!$AK$3:$AK$122,$T41)),"")</f>
        <v/>
      </c>
      <c r="R41" s="20">
        <f>IF(AND(ISNUMBER($T41),$T41&lt;&gt;""),IF(INDEX(Calc!$AL$3:$AL$122,$T41)="","—",INDEX(Calc!$AL$3:$AL$122,$T41)),"")</f>
        <v/>
      </c>
      <c r="T41">
        <f>IFERROR(MATCH(37,Calc!$AN$3:$AN$122,0),"")</f>
        <v/>
      </c>
    </row>
    <row r="42">
      <c r="A42" s="14">
        <f>IF(AND(ISNUMBER($T42),$T42&lt;&gt;""),INDEX(Calc!$S$3:$S$122,$T42),"")</f>
        <v/>
      </c>
      <c r="B42" s="15">
        <f>IF(AND(ISNUMBER($T42),$T42&lt;&gt;""),IF(INDEX(Calc!$T$3:$T$122,$T42)="","—",INDEX(Calc!$T$3:$T$122,$T42)),"")</f>
        <v/>
      </c>
      <c r="C42" s="15">
        <f>IF(AND(ISNUMBER($T42),$T42&lt;&gt;""),IF(INDEX(Calc!$U$3:$U$122,$T42)="","—",INDEX(Calc!$U$3:$U$122,$T42)),"")</f>
        <v/>
      </c>
      <c r="D42" s="15">
        <f>IF(AND(ISNUMBER($T42),$T42&lt;&gt;""),IF(INDEX(Calc!$V$3:$V$122,$T42)="","—",INDEX(Calc!$V$3:$V$122,$T42)),"")</f>
        <v/>
      </c>
      <c r="E42" s="15">
        <f>IF(AND(ISNUMBER($T42),$T42&lt;&gt;""),IF(INDEX(Calc!$W$3:$W$122,$T42)="","—",INDEX(Calc!$W$3:$W$122,$T42)),"")</f>
        <v/>
      </c>
      <c r="F42" s="15">
        <f>IF(AND(ISNUMBER($T42),$T42&lt;&gt;""),IF(INDEX(Calc!$X$3:$X$122,$T42)="","—",INDEX(Calc!$X$3:$X$122,$T42)),"")</f>
        <v/>
      </c>
      <c r="G42" s="15">
        <f>IF(AND(ISNUMBER($T42),$T42&lt;&gt;""),IF(INDEX(Calc!$Y$3:$Y$122,$T42)="","—",INDEX(Calc!$Y$3:$Y$122,$T42)),"")</f>
        <v/>
      </c>
      <c r="H42" s="15">
        <f>IF(AND(ISNUMBER($T42),$T42&lt;&gt;""),IF(INDEX(Calc!$Z$3:$Z$122,$T42)="","—",INDEX(Calc!$Z$3:$Z$122,$T42)),"")</f>
        <v/>
      </c>
      <c r="I42" s="15">
        <f>IF(AND(ISNUMBER($T42),$T42&lt;&gt;""),IF(INDEX(Calc!$AA$3:$AA$122,$T42)="","—",INDEX(Calc!$AA$3:$AA$122,$T42)),"")</f>
        <v/>
      </c>
      <c r="J42" s="15">
        <f>IF(AND(ISNUMBER($T42),$T42&lt;&gt;""),IF(INDEX(Calc!$AB$3:$AB$122,$T42)="","—",INDEX(Calc!$AB$3:$AB$122,$T42)),"")</f>
        <v/>
      </c>
      <c r="K42" s="15">
        <f>IF(AND(ISNUMBER($T42),$T42&lt;&gt;""),IF(INDEX(Calc!$AC$3:$AC$122,$T42)="","—",INDEX(Calc!$AC$3:$AC$122,$T42)),"")</f>
        <v/>
      </c>
      <c r="L42" s="15">
        <f>IF(AND(ISNUMBER($T42),$T42&lt;&gt;""),IF(INDEX(Calc!$AD$3:$AD$122,$T42)="","—",INDEX(Calc!$AD$3:$AD$122,$T42)),"")</f>
        <v/>
      </c>
      <c r="M42" s="15">
        <f>IF(AND(ISNUMBER($T42),$T42&lt;&gt;""),IF(INDEX(Calc!$AE$3:$AE$122,$T42)="","—",INDEX(Calc!$AE$3:$AE$122,$T42)),"")</f>
        <v/>
      </c>
      <c r="N42" s="15">
        <f>IF(AND(ISNUMBER($T42),$T42&lt;&gt;""),IF(INDEX(Calc!$AF$3:$AF$122,$T42)="","—",INDEX(Calc!$AF$3:$AF$122,$T42)),"")</f>
        <v/>
      </c>
      <c r="O42" s="15">
        <f>IF(AND(ISNUMBER($T42),$T42&lt;&gt;""),IF(INDEX(Calc!$AG$3:$AG$122,$T42)="","—",INDEX(Calc!$AG$3:$AG$122,$T42)),"")</f>
        <v/>
      </c>
      <c r="P42" s="16">
        <f>IF(AND(ISNUMBER($T42),$T42&lt;&gt;""),IF(INDEX(Calc!$AJ$3:$AJ$122,$T42)="","—",INDEX(Calc!$AJ$3:$AJ$122,$T42)),"")</f>
        <v/>
      </c>
      <c r="Q42" s="16">
        <f>IF(AND(ISNUMBER($T42),$T42&lt;&gt;""),IF(INDEX(Calc!$AK$3:$AK$122,$T42)="","—",INDEX(Calc!$AK$3:$AK$122,$T42)),"")</f>
        <v/>
      </c>
      <c r="R42" s="15">
        <f>IF(AND(ISNUMBER($T42),$T42&lt;&gt;""),IF(INDEX(Calc!$AL$3:$AL$122,$T42)="","—",INDEX(Calc!$AL$3:$AL$122,$T42)),"")</f>
        <v/>
      </c>
      <c r="T42">
        <f>IFERROR(MATCH(38,Calc!$AN$3:$AN$122,0),"")</f>
        <v/>
      </c>
    </row>
    <row r="43">
      <c r="A43" s="19">
        <f>IF(AND(ISNUMBER($T43),$T43&lt;&gt;""),INDEX(Calc!$S$3:$S$122,$T43),"")</f>
        <v/>
      </c>
      <c r="B43" s="20">
        <f>IF(AND(ISNUMBER($T43),$T43&lt;&gt;""),IF(INDEX(Calc!$T$3:$T$122,$T43)="","—",INDEX(Calc!$T$3:$T$122,$T43)),"")</f>
        <v/>
      </c>
      <c r="C43" s="20">
        <f>IF(AND(ISNUMBER($T43),$T43&lt;&gt;""),IF(INDEX(Calc!$U$3:$U$122,$T43)="","—",INDEX(Calc!$U$3:$U$122,$T43)),"")</f>
        <v/>
      </c>
      <c r="D43" s="20">
        <f>IF(AND(ISNUMBER($T43),$T43&lt;&gt;""),IF(INDEX(Calc!$V$3:$V$122,$T43)="","—",INDEX(Calc!$V$3:$V$122,$T43)),"")</f>
        <v/>
      </c>
      <c r="E43" s="20">
        <f>IF(AND(ISNUMBER($T43),$T43&lt;&gt;""),IF(INDEX(Calc!$W$3:$W$122,$T43)="","—",INDEX(Calc!$W$3:$W$122,$T43)),"")</f>
        <v/>
      </c>
      <c r="F43" s="20">
        <f>IF(AND(ISNUMBER($T43),$T43&lt;&gt;""),IF(INDEX(Calc!$X$3:$X$122,$T43)="","—",INDEX(Calc!$X$3:$X$122,$T43)),"")</f>
        <v/>
      </c>
      <c r="G43" s="20">
        <f>IF(AND(ISNUMBER($T43),$T43&lt;&gt;""),IF(INDEX(Calc!$Y$3:$Y$122,$T43)="","—",INDEX(Calc!$Y$3:$Y$122,$T43)),"")</f>
        <v/>
      </c>
      <c r="H43" s="20">
        <f>IF(AND(ISNUMBER($T43),$T43&lt;&gt;""),IF(INDEX(Calc!$Z$3:$Z$122,$T43)="","—",INDEX(Calc!$Z$3:$Z$122,$T43)),"")</f>
        <v/>
      </c>
      <c r="I43" s="20">
        <f>IF(AND(ISNUMBER($T43),$T43&lt;&gt;""),IF(INDEX(Calc!$AA$3:$AA$122,$T43)="","—",INDEX(Calc!$AA$3:$AA$122,$T43)),"")</f>
        <v/>
      </c>
      <c r="J43" s="20">
        <f>IF(AND(ISNUMBER($T43),$T43&lt;&gt;""),IF(INDEX(Calc!$AB$3:$AB$122,$T43)="","—",INDEX(Calc!$AB$3:$AB$122,$T43)),"")</f>
        <v/>
      </c>
      <c r="K43" s="20">
        <f>IF(AND(ISNUMBER($T43),$T43&lt;&gt;""),IF(INDEX(Calc!$AC$3:$AC$122,$T43)="","—",INDEX(Calc!$AC$3:$AC$122,$T43)),"")</f>
        <v/>
      </c>
      <c r="L43" s="20">
        <f>IF(AND(ISNUMBER($T43),$T43&lt;&gt;""),IF(INDEX(Calc!$AD$3:$AD$122,$T43)="","—",INDEX(Calc!$AD$3:$AD$122,$T43)),"")</f>
        <v/>
      </c>
      <c r="M43" s="20">
        <f>IF(AND(ISNUMBER($T43),$T43&lt;&gt;""),IF(INDEX(Calc!$AE$3:$AE$122,$T43)="","—",INDEX(Calc!$AE$3:$AE$122,$T43)),"")</f>
        <v/>
      </c>
      <c r="N43" s="20">
        <f>IF(AND(ISNUMBER($T43),$T43&lt;&gt;""),IF(INDEX(Calc!$AF$3:$AF$122,$T43)="","—",INDEX(Calc!$AF$3:$AF$122,$T43)),"")</f>
        <v/>
      </c>
      <c r="O43" s="20">
        <f>IF(AND(ISNUMBER($T43),$T43&lt;&gt;""),IF(INDEX(Calc!$AG$3:$AG$122,$T43)="","—",INDEX(Calc!$AG$3:$AG$122,$T43)),"")</f>
        <v/>
      </c>
      <c r="P43" s="21">
        <f>IF(AND(ISNUMBER($T43),$T43&lt;&gt;""),IF(INDEX(Calc!$AJ$3:$AJ$122,$T43)="","—",INDEX(Calc!$AJ$3:$AJ$122,$T43)),"")</f>
        <v/>
      </c>
      <c r="Q43" s="21">
        <f>IF(AND(ISNUMBER($T43),$T43&lt;&gt;""),IF(INDEX(Calc!$AK$3:$AK$122,$T43)="","—",INDEX(Calc!$AK$3:$AK$122,$T43)),"")</f>
        <v/>
      </c>
      <c r="R43" s="20">
        <f>IF(AND(ISNUMBER($T43),$T43&lt;&gt;""),IF(INDEX(Calc!$AL$3:$AL$122,$T43)="","—",INDEX(Calc!$AL$3:$AL$122,$T43)),"")</f>
        <v/>
      </c>
      <c r="T43">
        <f>IFERROR(MATCH(39,Calc!$AN$3:$AN$122,0),"")</f>
        <v/>
      </c>
    </row>
    <row r="44">
      <c r="A44" s="14">
        <f>IF(AND(ISNUMBER($T44),$T44&lt;&gt;""),INDEX(Calc!$S$3:$S$122,$T44),"")</f>
        <v/>
      </c>
      <c r="B44" s="15">
        <f>IF(AND(ISNUMBER($T44),$T44&lt;&gt;""),IF(INDEX(Calc!$T$3:$T$122,$T44)="","—",INDEX(Calc!$T$3:$T$122,$T44)),"")</f>
        <v/>
      </c>
      <c r="C44" s="15">
        <f>IF(AND(ISNUMBER($T44),$T44&lt;&gt;""),IF(INDEX(Calc!$U$3:$U$122,$T44)="","—",INDEX(Calc!$U$3:$U$122,$T44)),"")</f>
        <v/>
      </c>
      <c r="D44" s="15">
        <f>IF(AND(ISNUMBER($T44),$T44&lt;&gt;""),IF(INDEX(Calc!$V$3:$V$122,$T44)="","—",INDEX(Calc!$V$3:$V$122,$T44)),"")</f>
        <v/>
      </c>
      <c r="E44" s="15">
        <f>IF(AND(ISNUMBER($T44),$T44&lt;&gt;""),IF(INDEX(Calc!$W$3:$W$122,$T44)="","—",INDEX(Calc!$W$3:$W$122,$T44)),"")</f>
        <v/>
      </c>
      <c r="F44" s="15">
        <f>IF(AND(ISNUMBER($T44),$T44&lt;&gt;""),IF(INDEX(Calc!$X$3:$X$122,$T44)="","—",INDEX(Calc!$X$3:$X$122,$T44)),"")</f>
        <v/>
      </c>
      <c r="G44" s="15">
        <f>IF(AND(ISNUMBER($T44),$T44&lt;&gt;""),IF(INDEX(Calc!$Y$3:$Y$122,$T44)="","—",INDEX(Calc!$Y$3:$Y$122,$T44)),"")</f>
        <v/>
      </c>
      <c r="H44" s="15">
        <f>IF(AND(ISNUMBER($T44),$T44&lt;&gt;""),IF(INDEX(Calc!$Z$3:$Z$122,$T44)="","—",INDEX(Calc!$Z$3:$Z$122,$T44)),"")</f>
        <v/>
      </c>
      <c r="I44" s="15">
        <f>IF(AND(ISNUMBER($T44),$T44&lt;&gt;""),IF(INDEX(Calc!$AA$3:$AA$122,$T44)="","—",INDEX(Calc!$AA$3:$AA$122,$T44)),"")</f>
        <v/>
      </c>
      <c r="J44" s="15">
        <f>IF(AND(ISNUMBER($T44),$T44&lt;&gt;""),IF(INDEX(Calc!$AB$3:$AB$122,$T44)="","—",INDEX(Calc!$AB$3:$AB$122,$T44)),"")</f>
        <v/>
      </c>
      <c r="K44" s="15">
        <f>IF(AND(ISNUMBER($T44),$T44&lt;&gt;""),IF(INDEX(Calc!$AC$3:$AC$122,$T44)="","—",INDEX(Calc!$AC$3:$AC$122,$T44)),"")</f>
        <v/>
      </c>
      <c r="L44" s="15">
        <f>IF(AND(ISNUMBER($T44),$T44&lt;&gt;""),IF(INDEX(Calc!$AD$3:$AD$122,$T44)="","—",INDEX(Calc!$AD$3:$AD$122,$T44)),"")</f>
        <v/>
      </c>
      <c r="M44" s="15">
        <f>IF(AND(ISNUMBER($T44),$T44&lt;&gt;""),IF(INDEX(Calc!$AE$3:$AE$122,$T44)="","—",INDEX(Calc!$AE$3:$AE$122,$T44)),"")</f>
        <v/>
      </c>
      <c r="N44" s="15">
        <f>IF(AND(ISNUMBER($T44),$T44&lt;&gt;""),IF(INDEX(Calc!$AF$3:$AF$122,$T44)="","—",INDEX(Calc!$AF$3:$AF$122,$T44)),"")</f>
        <v/>
      </c>
      <c r="O44" s="15">
        <f>IF(AND(ISNUMBER($T44),$T44&lt;&gt;""),IF(INDEX(Calc!$AG$3:$AG$122,$T44)="","—",INDEX(Calc!$AG$3:$AG$122,$T44)),"")</f>
        <v/>
      </c>
      <c r="P44" s="16">
        <f>IF(AND(ISNUMBER($T44),$T44&lt;&gt;""),IF(INDEX(Calc!$AJ$3:$AJ$122,$T44)="","—",INDEX(Calc!$AJ$3:$AJ$122,$T44)),"")</f>
        <v/>
      </c>
      <c r="Q44" s="16">
        <f>IF(AND(ISNUMBER($T44),$T44&lt;&gt;""),IF(INDEX(Calc!$AK$3:$AK$122,$T44)="","—",INDEX(Calc!$AK$3:$AK$122,$T44)),"")</f>
        <v/>
      </c>
      <c r="R44" s="15">
        <f>IF(AND(ISNUMBER($T44),$T44&lt;&gt;""),IF(INDEX(Calc!$AL$3:$AL$122,$T44)="","—",INDEX(Calc!$AL$3:$AL$122,$T44)),"")</f>
        <v/>
      </c>
      <c r="T44">
        <f>IFERROR(MATCH(40,Calc!$AN$3:$AN$122,0),"")</f>
        <v/>
      </c>
    </row>
    <row r="45">
      <c r="A45" s="19">
        <f>IF(AND(ISNUMBER($T45),$T45&lt;&gt;""),INDEX(Calc!$S$3:$S$122,$T45),"")</f>
        <v/>
      </c>
      <c r="B45" s="20">
        <f>IF(AND(ISNUMBER($T45),$T45&lt;&gt;""),IF(INDEX(Calc!$T$3:$T$122,$T45)="","—",INDEX(Calc!$T$3:$T$122,$T45)),"")</f>
        <v/>
      </c>
      <c r="C45" s="20">
        <f>IF(AND(ISNUMBER($T45),$T45&lt;&gt;""),IF(INDEX(Calc!$U$3:$U$122,$T45)="","—",INDEX(Calc!$U$3:$U$122,$T45)),"")</f>
        <v/>
      </c>
      <c r="D45" s="20">
        <f>IF(AND(ISNUMBER($T45),$T45&lt;&gt;""),IF(INDEX(Calc!$V$3:$V$122,$T45)="","—",INDEX(Calc!$V$3:$V$122,$T45)),"")</f>
        <v/>
      </c>
      <c r="E45" s="20">
        <f>IF(AND(ISNUMBER($T45),$T45&lt;&gt;""),IF(INDEX(Calc!$W$3:$W$122,$T45)="","—",INDEX(Calc!$W$3:$W$122,$T45)),"")</f>
        <v/>
      </c>
      <c r="F45" s="20">
        <f>IF(AND(ISNUMBER($T45),$T45&lt;&gt;""),IF(INDEX(Calc!$X$3:$X$122,$T45)="","—",INDEX(Calc!$X$3:$X$122,$T45)),"")</f>
        <v/>
      </c>
      <c r="G45" s="20">
        <f>IF(AND(ISNUMBER($T45),$T45&lt;&gt;""),IF(INDEX(Calc!$Y$3:$Y$122,$T45)="","—",INDEX(Calc!$Y$3:$Y$122,$T45)),"")</f>
        <v/>
      </c>
      <c r="H45" s="20">
        <f>IF(AND(ISNUMBER($T45),$T45&lt;&gt;""),IF(INDEX(Calc!$Z$3:$Z$122,$T45)="","—",INDEX(Calc!$Z$3:$Z$122,$T45)),"")</f>
        <v/>
      </c>
      <c r="I45" s="20">
        <f>IF(AND(ISNUMBER($T45),$T45&lt;&gt;""),IF(INDEX(Calc!$AA$3:$AA$122,$T45)="","—",INDEX(Calc!$AA$3:$AA$122,$T45)),"")</f>
        <v/>
      </c>
      <c r="J45" s="20">
        <f>IF(AND(ISNUMBER($T45),$T45&lt;&gt;""),IF(INDEX(Calc!$AB$3:$AB$122,$T45)="","—",INDEX(Calc!$AB$3:$AB$122,$T45)),"")</f>
        <v/>
      </c>
      <c r="K45" s="20">
        <f>IF(AND(ISNUMBER($T45),$T45&lt;&gt;""),IF(INDEX(Calc!$AC$3:$AC$122,$T45)="","—",INDEX(Calc!$AC$3:$AC$122,$T45)),"")</f>
        <v/>
      </c>
      <c r="L45" s="20">
        <f>IF(AND(ISNUMBER($T45),$T45&lt;&gt;""),IF(INDEX(Calc!$AD$3:$AD$122,$T45)="","—",INDEX(Calc!$AD$3:$AD$122,$T45)),"")</f>
        <v/>
      </c>
      <c r="M45" s="20">
        <f>IF(AND(ISNUMBER($T45),$T45&lt;&gt;""),IF(INDEX(Calc!$AE$3:$AE$122,$T45)="","—",INDEX(Calc!$AE$3:$AE$122,$T45)),"")</f>
        <v/>
      </c>
      <c r="N45" s="20">
        <f>IF(AND(ISNUMBER($T45),$T45&lt;&gt;""),IF(INDEX(Calc!$AF$3:$AF$122,$T45)="","—",INDEX(Calc!$AF$3:$AF$122,$T45)),"")</f>
        <v/>
      </c>
      <c r="O45" s="20">
        <f>IF(AND(ISNUMBER($T45),$T45&lt;&gt;""),IF(INDEX(Calc!$AG$3:$AG$122,$T45)="","—",INDEX(Calc!$AG$3:$AG$122,$T45)),"")</f>
        <v/>
      </c>
      <c r="P45" s="21">
        <f>IF(AND(ISNUMBER($T45),$T45&lt;&gt;""),IF(INDEX(Calc!$AJ$3:$AJ$122,$T45)="","—",INDEX(Calc!$AJ$3:$AJ$122,$T45)),"")</f>
        <v/>
      </c>
      <c r="Q45" s="21">
        <f>IF(AND(ISNUMBER($T45),$T45&lt;&gt;""),IF(INDEX(Calc!$AK$3:$AK$122,$T45)="","—",INDEX(Calc!$AK$3:$AK$122,$T45)),"")</f>
        <v/>
      </c>
      <c r="R45" s="20">
        <f>IF(AND(ISNUMBER($T45),$T45&lt;&gt;""),IF(INDEX(Calc!$AL$3:$AL$122,$T45)="","—",INDEX(Calc!$AL$3:$AL$122,$T45)),"")</f>
        <v/>
      </c>
      <c r="T45">
        <f>IFERROR(MATCH(41,Calc!$AN$3:$AN$122,0),"")</f>
        <v/>
      </c>
    </row>
    <row r="46">
      <c r="A46" s="14">
        <f>IF(AND(ISNUMBER($T46),$T46&lt;&gt;""),INDEX(Calc!$S$3:$S$122,$T46),"")</f>
        <v/>
      </c>
      <c r="B46" s="15">
        <f>IF(AND(ISNUMBER($T46),$T46&lt;&gt;""),IF(INDEX(Calc!$T$3:$T$122,$T46)="","—",INDEX(Calc!$T$3:$T$122,$T46)),"")</f>
        <v/>
      </c>
      <c r="C46" s="15">
        <f>IF(AND(ISNUMBER($T46),$T46&lt;&gt;""),IF(INDEX(Calc!$U$3:$U$122,$T46)="","—",INDEX(Calc!$U$3:$U$122,$T46)),"")</f>
        <v/>
      </c>
      <c r="D46" s="15">
        <f>IF(AND(ISNUMBER($T46),$T46&lt;&gt;""),IF(INDEX(Calc!$V$3:$V$122,$T46)="","—",INDEX(Calc!$V$3:$V$122,$T46)),"")</f>
        <v/>
      </c>
      <c r="E46" s="15">
        <f>IF(AND(ISNUMBER($T46),$T46&lt;&gt;""),IF(INDEX(Calc!$W$3:$W$122,$T46)="","—",INDEX(Calc!$W$3:$W$122,$T46)),"")</f>
        <v/>
      </c>
      <c r="F46" s="15">
        <f>IF(AND(ISNUMBER($T46),$T46&lt;&gt;""),IF(INDEX(Calc!$X$3:$X$122,$T46)="","—",INDEX(Calc!$X$3:$X$122,$T46)),"")</f>
        <v/>
      </c>
      <c r="G46" s="15">
        <f>IF(AND(ISNUMBER($T46),$T46&lt;&gt;""),IF(INDEX(Calc!$Y$3:$Y$122,$T46)="","—",INDEX(Calc!$Y$3:$Y$122,$T46)),"")</f>
        <v/>
      </c>
      <c r="H46" s="15">
        <f>IF(AND(ISNUMBER($T46),$T46&lt;&gt;""),IF(INDEX(Calc!$Z$3:$Z$122,$T46)="","—",INDEX(Calc!$Z$3:$Z$122,$T46)),"")</f>
        <v/>
      </c>
      <c r="I46" s="15">
        <f>IF(AND(ISNUMBER($T46),$T46&lt;&gt;""),IF(INDEX(Calc!$AA$3:$AA$122,$T46)="","—",INDEX(Calc!$AA$3:$AA$122,$T46)),"")</f>
        <v/>
      </c>
      <c r="J46" s="15">
        <f>IF(AND(ISNUMBER($T46),$T46&lt;&gt;""),IF(INDEX(Calc!$AB$3:$AB$122,$T46)="","—",INDEX(Calc!$AB$3:$AB$122,$T46)),"")</f>
        <v/>
      </c>
      <c r="K46" s="15">
        <f>IF(AND(ISNUMBER($T46),$T46&lt;&gt;""),IF(INDEX(Calc!$AC$3:$AC$122,$T46)="","—",INDEX(Calc!$AC$3:$AC$122,$T46)),"")</f>
        <v/>
      </c>
      <c r="L46" s="15">
        <f>IF(AND(ISNUMBER($T46),$T46&lt;&gt;""),IF(INDEX(Calc!$AD$3:$AD$122,$T46)="","—",INDEX(Calc!$AD$3:$AD$122,$T46)),"")</f>
        <v/>
      </c>
      <c r="M46" s="15">
        <f>IF(AND(ISNUMBER($T46),$T46&lt;&gt;""),IF(INDEX(Calc!$AE$3:$AE$122,$T46)="","—",INDEX(Calc!$AE$3:$AE$122,$T46)),"")</f>
        <v/>
      </c>
      <c r="N46" s="15">
        <f>IF(AND(ISNUMBER($T46),$T46&lt;&gt;""),IF(INDEX(Calc!$AF$3:$AF$122,$T46)="","—",INDEX(Calc!$AF$3:$AF$122,$T46)),"")</f>
        <v/>
      </c>
      <c r="O46" s="15">
        <f>IF(AND(ISNUMBER($T46),$T46&lt;&gt;""),IF(INDEX(Calc!$AG$3:$AG$122,$T46)="","—",INDEX(Calc!$AG$3:$AG$122,$T46)),"")</f>
        <v/>
      </c>
      <c r="P46" s="16">
        <f>IF(AND(ISNUMBER($T46),$T46&lt;&gt;""),IF(INDEX(Calc!$AJ$3:$AJ$122,$T46)="","—",INDEX(Calc!$AJ$3:$AJ$122,$T46)),"")</f>
        <v/>
      </c>
      <c r="Q46" s="16">
        <f>IF(AND(ISNUMBER($T46),$T46&lt;&gt;""),IF(INDEX(Calc!$AK$3:$AK$122,$T46)="","—",INDEX(Calc!$AK$3:$AK$122,$T46)),"")</f>
        <v/>
      </c>
      <c r="R46" s="15">
        <f>IF(AND(ISNUMBER($T46),$T46&lt;&gt;""),IF(INDEX(Calc!$AL$3:$AL$122,$T46)="","—",INDEX(Calc!$AL$3:$AL$122,$T46)),"")</f>
        <v/>
      </c>
      <c r="T46">
        <f>IFERROR(MATCH(42,Calc!$AN$3:$AN$122,0),"")</f>
        <v/>
      </c>
    </row>
    <row r="47">
      <c r="A47" s="19">
        <f>IF(AND(ISNUMBER($T47),$T47&lt;&gt;""),INDEX(Calc!$S$3:$S$122,$T47),"")</f>
        <v/>
      </c>
      <c r="B47" s="20">
        <f>IF(AND(ISNUMBER($T47),$T47&lt;&gt;""),IF(INDEX(Calc!$T$3:$T$122,$T47)="","—",INDEX(Calc!$T$3:$T$122,$T47)),"")</f>
        <v/>
      </c>
      <c r="C47" s="20">
        <f>IF(AND(ISNUMBER($T47),$T47&lt;&gt;""),IF(INDEX(Calc!$U$3:$U$122,$T47)="","—",INDEX(Calc!$U$3:$U$122,$T47)),"")</f>
        <v/>
      </c>
      <c r="D47" s="20">
        <f>IF(AND(ISNUMBER($T47),$T47&lt;&gt;""),IF(INDEX(Calc!$V$3:$V$122,$T47)="","—",INDEX(Calc!$V$3:$V$122,$T47)),"")</f>
        <v/>
      </c>
      <c r="E47" s="20">
        <f>IF(AND(ISNUMBER($T47),$T47&lt;&gt;""),IF(INDEX(Calc!$W$3:$W$122,$T47)="","—",INDEX(Calc!$W$3:$W$122,$T47)),"")</f>
        <v/>
      </c>
      <c r="F47" s="20">
        <f>IF(AND(ISNUMBER($T47),$T47&lt;&gt;""),IF(INDEX(Calc!$X$3:$X$122,$T47)="","—",INDEX(Calc!$X$3:$X$122,$T47)),"")</f>
        <v/>
      </c>
      <c r="G47" s="20">
        <f>IF(AND(ISNUMBER($T47),$T47&lt;&gt;""),IF(INDEX(Calc!$Y$3:$Y$122,$T47)="","—",INDEX(Calc!$Y$3:$Y$122,$T47)),"")</f>
        <v/>
      </c>
      <c r="H47" s="20">
        <f>IF(AND(ISNUMBER($T47),$T47&lt;&gt;""),IF(INDEX(Calc!$Z$3:$Z$122,$T47)="","—",INDEX(Calc!$Z$3:$Z$122,$T47)),"")</f>
        <v/>
      </c>
      <c r="I47" s="20">
        <f>IF(AND(ISNUMBER($T47),$T47&lt;&gt;""),IF(INDEX(Calc!$AA$3:$AA$122,$T47)="","—",INDEX(Calc!$AA$3:$AA$122,$T47)),"")</f>
        <v/>
      </c>
      <c r="J47" s="20">
        <f>IF(AND(ISNUMBER($T47),$T47&lt;&gt;""),IF(INDEX(Calc!$AB$3:$AB$122,$T47)="","—",INDEX(Calc!$AB$3:$AB$122,$T47)),"")</f>
        <v/>
      </c>
      <c r="K47" s="20">
        <f>IF(AND(ISNUMBER($T47),$T47&lt;&gt;""),IF(INDEX(Calc!$AC$3:$AC$122,$T47)="","—",INDEX(Calc!$AC$3:$AC$122,$T47)),"")</f>
        <v/>
      </c>
      <c r="L47" s="20">
        <f>IF(AND(ISNUMBER($T47),$T47&lt;&gt;""),IF(INDEX(Calc!$AD$3:$AD$122,$T47)="","—",INDEX(Calc!$AD$3:$AD$122,$T47)),"")</f>
        <v/>
      </c>
      <c r="M47" s="20">
        <f>IF(AND(ISNUMBER($T47),$T47&lt;&gt;""),IF(INDEX(Calc!$AE$3:$AE$122,$T47)="","—",INDEX(Calc!$AE$3:$AE$122,$T47)),"")</f>
        <v/>
      </c>
      <c r="N47" s="20">
        <f>IF(AND(ISNUMBER($T47),$T47&lt;&gt;""),IF(INDEX(Calc!$AF$3:$AF$122,$T47)="","—",INDEX(Calc!$AF$3:$AF$122,$T47)),"")</f>
        <v/>
      </c>
      <c r="O47" s="20">
        <f>IF(AND(ISNUMBER($T47),$T47&lt;&gt;""),IF(INDEX(Calc!$AG$3:$AG$122,$T47)="","—",INDEX(Calc!$AG$3:$AG$122,$T47)),"")</f>
        <v/>
      </c>
      <c r="P47" s="21">
        <f>IF(AND(ISNUMBER($T47),$T47&lt;&gt;""),IF(INDEX(Calc!$AJ$3:$AJ$122,$T47)="","—",INDEX(Calc!$AJ$3:$AJ$122,$T47)),"")</f>
        <v/>
      </c>
      <c r="Q47" s="21">
        <f>IF(AND(ISNUMBER($T47),$T47&lt;&gt;""),IF(INDEX(Calc!$AK$3:$AK$122,$T47)="","—",INDEX(Calc!$AK$3:$AK$122,$T47)),"")</f>
        <v/>
      </c>
      <c r="R47" s="20">
        <f>IF(AND(ISNUMBER($T47),$T47&lt;&gt;""),IF(INDEX(Calc!$AL$3:$AL$122,$T47)="","—",INDEX(Calc!$AL$3:$AL$122,$T47)),"")</f>
        <v/>
      </c>
      <c r="T47">
        <f>IFERROR(MATCH(43,Calc!$AN$3:$AN$122,0),"")</f>
        <v/>
      </c>
    </row>
    <row r="48">
      <c r="A48" s="14">
        <f>IF(AND(ISNUMBER($T48),$T48&lt;&gt;""),INDEX(Calc!$S$3:$S$122,$T48),"")</f>
        <v/>
      </c>
      <c r="B48" s="15">
        <f>IF(AND(ISNUMBER($T48),$T48&lt;&gt;""),IF(INDEX(Calc!$T$3:$T$122,$T48)="","—",INDEX(Calc!$T$3:$T$122,$T48)),"")</f>
        <v/>
      </c>
      <c r="C48" s="15">
        <f>IF(AND(ISNUMBER($T48),$T48&lt;&gt;""),IF(INDEX(Calc!$U$3:$U$122,$T48)="","—",INDEX(Calc!$U$3:$U$122,$T48)),"")</f>
        <v/>
      </c>
      <c r="D48" s="15">
        <f>IF(AND(ISNUMBER($T48),$T48&lt;&gt;""),IF(INDEX(Calc!$V$3:$V$122,$T48)="","—",INDEX(Calc!$V$3:$V$122,$T48)),"")</f>
        <v/>
      </c>
      <c r="E48" s="15">
        <f>IF(AND(ISNUMBER($T48),$T48&lt;&gt;""),IF(INDEX(Calc!$W$3:$W$122,$T48)="","—",INDEX(Calc!$W$3:$W$122,$T48)),"")</f>
        <v/>
      </c>
      <c r="F48" s="15">
        <f>IF(AND(ISNUMBER($T48),$T48&lt;&gt;""),IF(INDEX(Calc!$X$3:$X$122,$T48)="","—",INDEX(Calc!$X$3:$X$122,$T48)),"")</f>
        <v/>
      </c>
      <c r="G48" s="15">
        <f>IF(AND(ISNUMBER($T48),$T48&lt;&gt;""),IF(INDEX(Calc!$Y$3:$Y$122,$T48)="","—",INDEX(Calc!$Y$3:$Y$122,$T48)),"")</f>
        <v/>
      </c>
      <c r="H48" s="15">
        <f>IF(AND(ISNUMBER($T48),$T48&lt;&gt;""),IF(INDEX(Calc!$Z$3:$Z$122,$T48)="","—",INDEX(Calc!$Z$3:$Z$122,$T48)),"")</f>
        <v/>
      </c>
      <c r="I48" s="15">
        <f>IF(AND(ISNUMBER($T48),$T48&lt;&gt;""),IF(INDEX(Calc!$AA$3:$AA$122,$T48)="","—",INDEX(Calc!$AA$3:$AA$122,$T48)),"")</f>
        <v/>
      </c>
      <c r="J48" s="15">
        <f>IF(AND(ISNUMBER($T48),$T48&lt;&gt;""),IF(INDEX(Calc!$AB$3:$AB$122,$T48)="","—",INDEX(Calc!$AB$3:$AB$122,$T48)),"")</f>
        <v/>
      </c>
      <c r="K48" s="15">
        <f>IF(AND(ISNUMBER($T48),$T48&lt;&gt;""),IF(INDEX(Calc!$AC$3:$AC$122,$T48)="","—",INDEX(Calc!$AC$3:$AC$122,$T48)),"")</f>
        <v/>
      </c>
      <c r="L48" s="15">
        <f>IF(AND(ISNUMBER($T48),$T48&lt;&gt;""),IF(INDEX(Calc!$AD$3:$AD$122,$T48)="","—",INDEX(Calc!$AD$3:$AD$122,$T48)),"")</f>
        <v/>
      </c>
      <c r="M48" s="15">
        <f>IF(AND(ISNUMBER($T48),$T48&lt;&gt;""),IF(INDEX(Calc!$AE$3:$AE$122,$T48)="","—",INDEX(Calc!$AE$3:$AE$122,$T48)),"")</f>
        <v/>
      </c>
      <c r="N48" s="15">
        <f>IF(AND(ISNUMBER($T48),$T48&lt;&gt;""),IF(INDEX(Calc!$AF$3:$AF$122,$T48)="","—",INDEX(Calc!$AF$3:$AF$122,$T48)),"")</f>
        <v/>
      </c>
      <c r="O48" s="15">
        <f>IF(AND(ISNUMBER($T48),$T48&lt;&gt;""),IF(INDEX(Calc!$AG$3:$AG$122,$T48)="","—",INDEX(Calc!$AG$3:$AG$122,$T48)),"")</f>
        <v/>
      </c>
      <c r="P48" s="16">
        <f>IF(AND(ISNUMBER($T48),$T48&lt;&gt;""),IF(INDEX(Calc!$AJ$3:$AJ$122,$T48)="","—",INDEX(Calc!$AJ$3:$AJ$122,$T48)),"")</f>
        <v/>
      </c>
      <c r="Q48" s="16">
        <f>IF(AND(ISNUMBER($T48),$T48&lt;&gt;""),IF(INDEX(Calc!$AK$3:$AK$122,$T48)="","—",INDEX(Calc!$AK$3:$AK$122,$T48)),"")</f>
        <v/>
      </c>
      <c r="R48" s="15">
        <f>IF(AND(ISNUMBER($T48),$T48&lt;&gt;""),IF(INDEX(Calc!$AL$3:$AL$122,$T48)="","—",INDEX(Calc!$AL$3:$AL$122,$T48)),"")</f>
        <v/>
      </c>
      <c r="T48">
        <f>IFERROR(MATCH(44,Calc!$AN$3:$AN$122,0),"")</f>
        <v/>
      </c>
    </row>
    <row r="49">
      <c r="A49" s="19">
        <f>IF(AND(ISNUMBER($T49),$T49&lt;&gt;""),INDEX(Calc!$S$3:$S$122,$T49),"")</f>
        <v/>
      </c>
      <c r="B49" s="20">
        <f>IF(AND(ISNUMBER($T49),$T49&lt;&gt;""),IF(INDEX(Calc!$T$3:$T$122,$T49)="","—",INDEX(Calc!$T$3:$T$122,$T49)),"")</f>
        <v/>
      </c>
      <c r="C49" s="20">
        <f>IF(AND(ISNUMBER($T49),$T49&lt;&gt;""),IF(INDEX(Calc!$U$3:$U$122,$T49)="","—",INDEX(Calc!$U$3:$U$122,$T49)),"")</f>
        <v/>
      </c>
      <c r="D49" s="20">
        <f>IF(AND(ISNUMBER($T49),$T49&lt;&gt;""),IF(INDEX(Calc!$V$3:$V$122,$T49)="","—",INDEX(Calc!$V$3:$V$122,$T49)),"")</f>
        <v/>
      </c>
      <c r="E49" s="20">
        <f>IF(AND(ISNUMBER($T49),$T49&lt;&gt;""),IF(INDEX(Calc!$W$3:$W$122,$T49)="","—",INDEX(Calc!$W$3:$W$122,$T49)),"")</f>
        <v/>
      </c>
      <c r="F49" s="20">
        <f>IF(AND(ISNUMBER($T49),$T49&lt;&gt;""),IF(INDEX(Calc!$X$3:$X$122,$T49)="","—",INDEX(Calc!$X$3:$X$122,$T49)),"")</f>
        <v/>
      </c>
      <c r="G49" s="20">
        <f>IF(AND(ISNUMBER($T49),$T49&lt;&gt;""),IF(INDEX(Calc!$Y$3:$Y$122,$T49)="","—",INDEX(Calc!$Y$3:$Y$122,$T49)),"")</f>
        <v/>
      </c>
      <c r="H49" s="20">
        <f>IF(AND(ISNUMBER($T49),$T49&lt;&gt;""),IF(INDEX(Calc!$Z$3:$Z$122,$T49)="","—",INDEX(Calc!$Z$3:$Z$122,$T49)),"")</f>
        <v/>
      </c>
      <c r="I49" s="20">
        <f>IF(AND(ISNUMBER($T49),$T49&lt;&gt;""),IF(INDEX(Calc!$AA$3:$AA$122,$T49)="","—",INDEX(Calc!$AA$3:$AA$122,$T49)),"")</f>
        <v/>
      </c>
      <c r="J49" s="20">
        <f>IF(AND(ISNUMBER($T49),$T49&lt;&gt;""),IF(INDEX(Calc!$AB$3:$AB$122,$T49)="","—",INDEX(Calc!$AB$3:$AB$122,$T49)),"")</f>
        <v/>
      </c>
      <c r="K49" s="20">
        <f>IF(AND(ISNUMBER($T49),$T49&lt;&gt;""),IF(INDEX(Calc!$AC$3:$AC$122,$T49)="","—",INDEX(Calc!$AC$3:$AC$122,$T49)),"")</f>
        <v/>
      </c>
      <c r="L49" s="20">
        <f>IF(AND(ISNUMBER($T49),$T49&lt;&gt;""),IF(INDEX(Calc!$AD$3:$AD$122,$T49)="","—",INDEX(Calc!$AD$3:$AD$122,$T49)),"")</f>
        <v/>
      </c>
      <c r="M49" s="20">
        <f>IF(AND(ISNUMBER($T49),$T49&lt;&gt;""),IF(INDEX(Calc!$AE$3:$AE$122,$T49)="","—",INDEX(Calc!$AE$3:$AE$122,$T49)),"")</f>
        <v/>
      </c>
      <c r="N49" s="20">
        <f>IF(AND(ISNUMBER($T49),$T49&lt;&gt;""),IF(INDEX(Calc!$AF$3:$AF$122,$T49)="","—",INDEX(Calc!$AF$3:$AF$122,$T49)),"")</f>
        <v/>
      </c>
      <c r="O49" s="20">
        <f>IF(AND(ISNUMBER($T49),$T49&lt;&gt;""),IF(INDEX(Calc!$AG$3:$AG$122,$T49)="","—",INDEX(Calc!$AG$3:$AG$122,$T49)),"")</f>
        <v/>
      </c>
      <c r="P49" s="21">
        <f>IF(AND(ISNUMBER($T49),$T49&lt;&gt;""),IF(INDEX(Calc!$AJ$3:$AJ$122,$T49)="","—",INDEX(Calc!$AJ$3:$AJ$122,$T49)),"")</f>
        <v/>
      </c>
      <c r="Q49" s="21">
        <f>IF(AND(ISNUMBER($T49),$T49&lt;&gt;""),IF(INDEX(Calc!$AK$3:$AK$122,$T49)="","—",INDEX(Calc!$AK$3:$AK$122,$T49)),"")</f>
        <v/>
      </c>
      <c r="R49" s="20">
        <f>IF(AND(ISNUMBER($T49),$T49&lt;&gt;""),IF(INDEX(Calc!$AL$3:$AL$122,$T49)="","—",INDEX(Calc!$AL$3:$AL$122,$T49)),"")</f>
        <v/>
      </c>
      <c r="T49">
        <f>IFERROR(MATCH(45,Calc!$AN$3:$AN$122,0),"")</f>
        <v/>
      </c>
    </row>
    <row r="50">
      <c r="A50" s="14">
        <f>IF(AND(ISNUMBER($T50),$T50&lt;&gt;""),INDEX(Calc!$S$3:$S$122,$T50),"")</f>
        <v/>
      </c>
      <c r="B50" s="15">
        <f>IF(AND(ISNUMBER($T50),$T50&lt;&gt;""),IF(INDEX(Calc!$T$3:$T$122,$T50)="","—",INDEX(Calc!$T$3:$T$122,$T50)),"")</f>
        <v/>
      </c>
      <c r="C50" s="15">
        <f>IF(AND(ISNUMBER($T50),$T50&lt;&gt;""),IF(INDEX(Calc!$U$3:$U$122,$T50)="","—",INDEX(Calc!$U$3:$U$122,$T50)),"")</f>
        <v/>
      </c>
      <c r="D50" s="15">
        <f>IF(AND(ISNUMBER($T50),$T50&lt;&gt;""),IF(INDEX(Calc!$V$3:$V$122,$T50)="","—",INDEX(Calc!$V$3:$V$122,$T50)),"")</f>
        <v/>
      </c>
      <c r="E50" s="15">
        <f>IF(AND(ISNUMBER($T50),$T50&lt;&gt;""),IF(INDEX(Calc!$W$3:$W$122,$T50)="","—",INDEX(Calc!$W$3:$W$122,$T50)),"")</f>
        <v/>
      </c>
      <c r="F50" s="15">
        <f>IF(AND(ISNUMBER($T50),$T50&lt;&gt;""),IF(INDEX(Calc!$X$3:$X$122,$T50)="","—",INDEX(Calc!$X$3:$X$122,$T50)),"")</f>
        <v/>
      </c>
      <c r="G50" s="15">
        <f>IF(AND(ISNUMBER($T50),$T50&lt;&gt;""),IF(INDEX(Calc!$Y$3:$Y$122,$T50)="","—",INDEX(Calc!$Y$3:$Y$122,$T50)),"")</f>
        <v/>
      </c>
      <c r="H50" s="15">
        <f>IF(AND(ISNUMBER($T50),$T50&lt;&gt;""),IF(INDEX(Calc!$Z$3:$Z$122,$T50)="","—",INDEX(Calc!$Z$3:$Z$122,$T50)),"")</f>
        <v/>
      </c>
      <c r="I50" s="15">
        <f>IF(AND(ISNUMBER($T50),$T50&lt;&gt;""),IF(INDEX(Calc!$AA$3:$AA$122,$T50)="","—",INDEX(Calc!$AA$3:$AA$122,$T50)),"")</f>
        <v/>
      </c>
      <c r="J50" s="15">
        <f>IF(AND(ISNUMBER($T50),$T50&lt;&gt;""),IF(INDEX(Calc!$AB$3:$AB$122,$T50)="","—",INDEX(Calc!$AB$3:$AB$122,$T50)),"")</f>
        <v/>
      </c>
      <c r="K50" s="15">
        <f>IF(AND(ISNUMBER($T50),$T50&lt;&gt;""),IF(INDEX(Calc!$AC$3:$AC$122,$T50)="","—",INDEX(Calc!$AC$3:$AC$122,$T50)),"")</f>
        <v/>
      </c>
      <c r="L50" s="15">
        <f>IF(AND(ISNUMBER($T50),$T50&lt;&gt;""),IF(INDEX(Calc!$AD$3:$AD$122,$T50)="","—",INDEX(Calc!$AD$3:$AD$122,$T50)),"")</f>
        <v/>
      </c>
      <c r="M50" s="15">
        <f>IF(AND(ISNUMBER($T50),$T50&lt;&gt;""),IF(INDEX(Calc!$AE$3:$AE$122,$T50)="","—",INDEX(Calc!$AE$3:$AE$122,$T50)),"")</f>
        <v/>
      </c>
      <c r="N50" s="15">
        <f>IF(AND(ISNUMBER($T50),$T50&lt;&gt;""),IF(INDEX(Calc!$AF$3:$AF$122,$T50)="","—",INDEX(Calc!$AF$3:$AF$122,$T50)),"")</f>
        <v/>
      </c>
      <c r="O50" s="15">
        <f>IF(AND(ISNUMBER($T50),$T50&lt;&gt;""),IF(INDEX(Calc!$AG$3:$AG$122,$T50)="","—",INDEX(Calc!$AG$3:$AG$122,$T50)),"")</f>
        <v/>
      </c>
      <c r="P50" s="16">
        <f>IF(AND(ISNUMBER($T50),$T50&lt;&gt;""),IF(INDEX(Calc!$AJ$3:$AJ$122,$T50)="","—",INDEX(Calc!$AJ$3:$AJ$122,$T50)),"")</f>
        <v/>
      </c>
      <c r="Q50" s="16">
        <f>IF(AND(ISNUMBER($T50),$T50&lt;&gt;""),IF(INDEX(Calc!$AK$3:$AK$122,$T50)="","—",INDEX(Calc!$AK$3:$AK$122,$T50)),"")</f>
        <v/>
      </c>
      <c r="R50" s="15">
        <f>IF(AND(ISNUMBER($T50),$T50&lt;&gt;""),IF(INDEX(Calc!$AL$3:$AL$122,$T50)="","—",INDEX(Calc!$AL$3:$AL$122,$T50)),"")</f>
        <v/>
      </c>
      <c r="T50">
        <f>IFERROR(MATCH(46,Calc!$AN$3:$AN$122,0),"")</f>
        <v/>
      </c>
    </row>
    <row r="51">
      <c r="A51" s="19">
        <f>IF(AND(ISNUMBER($T51),$T51&lt;&gt;""),INDEX(Calc!$S$3:$S$122,$T51),"")</f>
        <v/>
      </c>
      <c r="B51" s="20">
        <f>IF(AND(ISNUMBER($T51),$T51&lt;&gt;""),IF(INDEX(Calc!$T$3:$T$122,$T51)="","—",INDEX(Calc!$T$3:$T$122,$T51)),"")</f>
        <v/>
      </c>
      <c r="C51" s="20">
        <f>IF(AND(ISNUMBER($T51),$T51&lt;&gt;""),IF(INDEX(Calc!$U$3:$U$122,$T51)="","—",INDEX(Calc!$U$3:$U$122,$T51)),"")</f>
        <v/>
      </c>
      <c r="D51" s="20">
        <f>IF(AND(ISNUMBER($T51),$T51&lt;&gt;""),IF(INDEX(Calc!$V$3:$V$122,$T51)="","—",INDEX(Calc!$V$3:$V$122,$T51)),"")</f>
        <v/>
      </c>
      <c r="E51" s="20">
        <f>IF(AND(ISNUMBER($T51),$T51&lt;&gt;""),IF(INDEX(Calc!$W$3:$W$122,$T51)="","—",INDEX(Calc!$W$3:$W$122,$T51)),"")</f>
        <v/>
      </c>
      <c r="F51" s="20">
        <f>IF(AND(ISNUMBER($T51),$T51&lt;&gt;""),IF(INDEX(Calc!$X$3:$X$122,$T51)="","—",INDEX(Calc!$X$3:$X$122,$T51)),"")</f>
        <v/>
      </c>
      <c r="G51" s="20">
        <f>IF(AND(ISNUMBER($T51),$T51&lt;&gt;""),IF(INDEX(Calc!$Y$3:$Y$122,$T51)="","—",INDEX(Calc!$Y$3:$Y$122,$T51)),"")</f>
        <v/>
      </c>
      <c r="H51" s="20">
        <f>IF(AND(ISNUMBER($T51),$T51&lt;&gt;""),IF(INDEX(Calc!$Z$3:$Z$122,$T51)="","—",INDEX(Calc!$Z$3:$Z$122,$T51)),"")</f>
        <v/>
      </c>
      <c r="I51" s="20">
        <f>IF(AND(ISNUMBER($T51),$T51&lt;&gt;""),IF(INDEX(Calc!$AA$3:$AA$122,$T51)="","—",INDEX(Calc!$AA$3:$AA$122,$T51)),"")</f>
        <v/>
      </c>
      <c r="J51" s="20">
        <f>IF(AND(ISNUMBER($T51),$T51&lt;&gt;""),IF(INDEX(Calc!$AB$3:$AB$122,$T51)="","—",INDEX(Calc!$AB$3:$AB$122,$T51)),"")</f>
        <v/>
      </c>
      <c r="K51" s="20">
        <f>IF(AND(ISNUMBER($T51),$T51&lt;&gt;""),IF(INDEX(Calc!$AC$3:$AC$122,$T51)="","—",INDEX(Calc!$AC$3:$AC$122,$T51)),"")</f>
        <v/>
      </c>
      <c r="L51" s="20">
        <f>IF(AND(ISNUMBER($T51),$T51&lt;&gt;""),IF(INDEX(Calc!$AD$3:$AD$122,$T51)="","—",INDEX(Calc!$AD$3:$AD$122,$T51)),"")</f>
        <v/>
      </c>
      <c r="M51" s="20">
        <f>IF(AND(ISNUMBER($T51),$T51&lt;&gt;""),IF(INDEX(Calc!$AE$3:$AE$122,$T51)="","—",INDEX(Calc!$AE$3:$AE$122,$T51)),"")</f>
        <v/>
      </c>
      <c r="N51" s="20">
        <f>IF(AND(ISNUMBER($T51),$T51&lt;&gt;""),IF(INDEX(Calc!$AF$3:$AF$122,$T51)="","—",INDEX(Calc!$AF$3:$AF$122,$T51)),"")</f>
        <v/>
      </c>
      <c r="O51" s="20">
        <f>IF(AND(ISNUMBER($T51),$T51&lt;&gt;""),IF(INDEX(Calc!$AG$3:$AG$122,$T51)="","—",INDEX(Calc!$AG$3:$AG$122,$T51)),"")</f>
        <v/>
      </c>
      <c r="P51" s="21">
        <f>IF(AND(ISNUMBER($T51),$T51&lt;&gt;""),IF(INDEX(Calc!$AJ$3:$AJ$122,$T51)="","—",INDEX(Calc!$AJ$3:$AJ$122,$T51)),"")</f>
        <v/>
      </c>
      <c r="Q51" s="21">
        <f>IF(AND(ISNUMBER($T51),$T51&lt;&gt;""),IF(INDEX(Calc!$AK$3:$AK$122,$T51)="","—",INDEX(Calc!$AK$3:$AK$122,$T51)),"")</f>
        <v/>
      </c>
      <c r="R51" s="20">
        <f>IF(AND(ISNUMBER($T51),$T51&lt;&gt;""),IF(INDEX(Calc!$AL$3:$AL$122,$T51)="","—",INDEX(Calc!$AL$3:$AL$122,$T51)),"")</f>
        <v/>
      </c>
      <c r="T51">
        <f>IFERROR(MATCH(47,Calc!$AN$3:$AN$122,0),"")</f>
        <v/>
      </c>
    </row>
    <row r="52">
      <c r="A52" s="14">
        <f>IF(AND(ISNUMBER($T52),$T52&lt;&gt;""),INDEX(Calc!$S$3:$S$122,$T52),"")</f>
        <v/>
      </c>
      <c r="B52" s="15">
        <f>IF(AND(ISNUMBER($T52),$T52&lt;&gt;""),IF(INDEX(Calc!$T$3:$T$122,$T52)="","—",INDEX(Calc!$T$3:$T$122,$T52)),"")</f>
        <v/>
      </c>
      <c r="C52" s="15">
        <f>IF(AND(ISNUMBER($T52),$T52&lt;&gt;""),IF(INDEX(Calc!$U$3:$U$122,$T52)="","—",INDEX(Calc!$U$3:$U$122,$T52)),"")</f>
        <v/>
      </c>
      <c r="D52" s="15">
        <f>IF(AND(ISNUMBER($T52),$T52&lt;&gt;""),IF(INDEX(Calc!$V$3:$V$122,$T52)="","—",INDEX(Calc!$V$3:$V$122,$T52)),"")</f>
        <v/>
      </c>
      <c r="E52" s="15">
        <f>IF(AND(ISNUMBER($T52),$T52&lt;&gt;""),IF(INDEX(Calc!$W$3:$W$122,$T52)="","—",INDEX(Calc!$W$3:$W$122,$T52)),"")</f>
        <v/>
      </c>
      <c r="F52" s="15">
        <f>IF(AND(ISNUMBER($T52),$T52&lt;&gt;""),IF(INDEX(Calc!$X$3:$X$122,$T52)="","—",INDEX(Calc!$X$3:$X$122,$T52)),"")</f>
        <v/>
      </c>
      <c r="G52" s="15">
        <f>IF(AND(ISNUMBER($T52),$T52&lt;&gt;""),IF(INDEX(Calc!$Y$3:$Y$122,$T52)="","—",INDEX(Calc!$Y$3:$Y$122,$T52)),"")</f>
        <v/>
      </c>
      <c r="H52" s="15">
        <f>IF(AND(ISNUMBER($T52),$T52&lt;&gt;""),IF(INDEX(Calc!$Z$3:$Z$122,$T52)="","—",INDEX(Calc!$Z$3:$Z$122,$T52)),"")</f>
        <v/>
      </c>
      <c r="I52" s="15">
        <f>IF(AND(ISNUMBER($T52),$T52&lt;&gt;""),IF(INDEX(Calc!$AA$3:$AA$122,$T52)="","—",INDEX(Calc!$AA$3:$AA$122,$T52)),"")</f>
        <v/>
      </c>
      <c r="J52" s="15">
        <f>IF(AND(ISNUMBER($T52),$T52&lt;&gt;""),IF(INDEX(Calc!$AB$3:$AB$122,$T52)="","—",INDEX(Calc!$AB$3:$AB$122,$T52)),"")</f>
        <v/>
      </c>
      <c r="K52" s="15">
        <f>IF(AND(ISNUMBER($T52),$T52&lt;&gt;""),IF(INDEX(Calc!$AC$3:$AC$122,$T52)="","—",INDEX(Calc!$AC$3:$AC$122,$T52)),"")</f>
        <v/>
      </c>
      <c r="L52" s="15">
        <f>IF(AND(ISNUMBER($T52),$T52&lt;&gt;""),IF(INDEX(Calc!$AD$3:$AD$122,$T52)="","—",INDEX(Calc!$AD$3:$AD$122,$T52)),"")</f>
        <v/>
      </c>
      <c r="M52" s="15">
        <f>IF(AND(ISNUMBER($T52),$T52&lt;&gt;""),IF(INDEX(Calc!$AE$3:$AE$122,$T52)="","—",INDEX(Calc!$AE$3:$AE$122,$T52)),"")</f>
        <v/>
      </c>
      <c r="N52" s="15">
        <f>IF(AND(ISNUMBER($T52),$T52&lt;&gt;""),IF(INDEX(Calc!$AF$3:$AF$122,$T52)="","—",INDEX(Calc!$AF$3:$AF$122,$T52)),"")</f>
        <v/>
      </c>
      <c r="O52" s="15">
        <f>IF(AND(ISNUMBER($T52),$T52&lt;&gt;""),IF(INDEX(Calc!$AG$3:$AG$122,$T52)="","—",INDEX(Calc!$AG$3:$AG$122,$T52)),"")</f>
        <v/>
      </c>
      <c r="P52" s="16">
        <f>IF(AND(ISNUMBER($T52),$T52&lt;&gt;""),IF(INDEX(Calc!$AJ$3:$AJ$122,$T52)="","—",INDEX(Calc!$AJ$3:$AJ$122,$T52)),"")</f>
        <v/>
      </c>
      <c r="Q52" s="16">
        <f>IF(AND(ISNUMBER($T52),$T52&lt;&gt;""),IF(INDEX(Calc!$AK$3:$AK$122,$T52)="","—",INDEX(Calc!$AK$3:$AK$122,$T52)),"")</f>
        <v/>
      </c>
      <c r="R52" s="15">
        <f>IF(AND(ISNUMBER($T52),$T52&lt;&gt;""),IF(INDEX(Calc!$AL$3:$AL$122,$T52)="","—",INDEX(Calc!$AL$3:$AL$122,$T52)),"")</f>
        <v/>
      </c>
      <c r="T52">
        <f>IFERROR(MATCH(48,Calc!$AN$3:$AN$122,0),"")</f>
        <v/>
      </c>
    </row>
    <row r="53">
      <c r="A53" s="19">
        <f>IF(AND(ISNUMBER($T53),$T53&lt;&gt;""),INDEX(Calc!$S$3:$S$122,$T53),"")</f>
        <v/>
      </c>
      <c r="B53" s="20">
        <f>IF(AND(ISNUMBER($T53),$T53&lt;&gt;""),IF(INDEX(Calc!$T$3:$T$122,$T53)="","—",INDEX(Calc!$T$3:$T$122,$T53)),"")</f>
        <v/>
      </c>
      <c r="C53" s="20">
        <f>IF(AND(ISNUMBER($T53),$T53&lt;&gt;""),IF(INDEX(Calc!$U$3:$U$122,$T53)="","—",INDEX(Calc!$U$3:$U$122,$T53)),"")</f>
        <v/>
      </c>
      <c r="D53" s="20">
        <f>IF(AND(ISNUMBER($T53),$T53&lt;&gt;""),IF(INDEX(Calc!$V$3:$V$122,$T53)="","—",INDEX(Calc!$V$3:$V$122,$T53)),"")</f>
        <v/>
      </c>
      <c r="E53" s="20">
        <f>IF(AND(ISNUMBER($T53),$T53&lt;&gt;""),IF(INDEX(Calc!$W$3:$W$122,$T53)="","—",INDEX(Calc!$W$3:$W$122,$T53)),"")</f>
        <v/>
      </c>
      <c r="F53" s="20">
        <f>IF(AND(ISNUMBER($T53),$T53&lt;&gt;""),IF(INDEX(Calc!$X$3:$X$122,$T53)="","—",INDEX(Calc!$X$3:$X$122,$T53)),"")</f>
        <v/>
      </c>
      <c r="G53" s="20">
        <f>IF(AND(ISNUMBER($T53),$T53&lt;&gt;""),IF(INDEX(Calc!$Y$3:$Y$122,$T53)="","—",INDEX(Calc!$Y$3:$Y$122,$T53)),"")</f>
        <v/>
      </c>
      <c r="H53" s="20">
        <f>IF(AND(ISNUMBER($T53),$T53&lt;&gt;""),IF(INDEX(Calc!$Z$3:$Z$122,$T53)="","—",INDEX(Calc!$Z$3:$Z$122,$T53)),"")</f>
        <v/>
      </c>
      <c r="I53" s="20">
        <f>IF(AND(ISNUMBER($T53),$T53&lt;&gt;""),IF(INDEX(Calc!$AA$3:$AA$122,$T53)="","—",INDEX(Calc!$AA$3:$AA$122,$T53)),"")</f>
        <v/>
      </c>
      <c r="J53" s="20">
        <f>IF(AND(ISNUMBER($T53),$T53&lt;&gt;""),IF(INDEX(Calc!$AB$3:$AB$122,$T53)="","—",INDEX(Calc!$AB$3:$AB$122,$T53)),"")</f>
        <v/>
      </c>
      <c r="K53" s="20">
        <f>IF(AND(ISNUMBER($T53),$T53&lt;&gt;""),IF(INDEX(Calc!$AC$3:$AC$122,$T53)="","—",INDEX(Calc!$AC$3:$AC$122,$T53)),"")</f>
        <v/>
      </c>
      <c r="L53" s="20">
        <f>IF(AND(ISNUMBER($T53),$T53&lt;&gt;""),IF(INDEX(Calc!$AD$3:$AD$122,$T53)="","—",INDEX(Calc!$AD$3:$AD$122,$T53)),"")</f>
        <v/>
      </c>
      <c r="M53" s="20">
        <f>IF(AND(ISNUMBER($T53),$T53&lt;&gt;""),IF(INDEX(Calc!$AE$3:$AE$122,$T53)="","—",INDEX(Calc!$AE$3:$AE$122,$T53)),"")</f>
        <v/>
      </c>
      <c r="N53" s="20">
        <f>IF(AND(ISNUMBER($T53),$T53&lt;&gt;""),IF(INDEX(Calc!$AF$3:$AF$122,$T53)="","—",INDEX(Calc!$AF$3:$AF$122,$T53)),"")</f>
        <v/>
      </c>
      <c r="O53" s="20">
        <f>IF(AND(ISNUMBER($T53),$T53&lt;&gt;""),IF(INDEX(Calc!$AG$3:$AG$122,$T53)="","—",INDEX(Calc!$AG$3:$AG$122,$T53)),"")</f>
        <v/>
      </c>
      <c r="P53" s="21">
        <f>IF(AND(ISNUMBER($T53),$T53&lt;&gt;""),IF(INDEX(Calc!$AJ$3:$AJ$122,$T53)="","—",INDEX(Calc!$AJ$3:$AJ$122,$T53)),"")</f>
        <v/>
      </c>
      <c r="Q53" s="21">
        <f>IF(AND(ISNUMBER($T53),$T53&lt;&gt;""),IF(INDEX(Calc!$AK$3:$AK$122,$T53)="","—",INDEX(Calc!$AK$3:$AK$122,$T53)),"")</f>
        <v/>
      </c>
      <c r="R53" s="20">
        <f>IF(AND(ISNUMBER($T53),$T53&lt;&gt;""),IF(INDEX(Calc!$AL$3:$AL$122,$T53)="","—",INDEX(Calc!$AL$3:$AL$122,$T53)),"")</f>
        <v/>
      </c>
      <c r="T53">
        <f>IFERROR(MATCH(49,Calc!$AN$3:$AN$122,0),"")</f>
        <v/>
      </c>
    </row>
    <row r="54">
      <c r="A54" s="14">
        <f>IF(AND(ISNUMBER($T54),$T54&lt;&gt;""),INDEX(Calc!$S$3:$S$122,$T54),"")</f>
        <v/>
      </c>
      <c r="B54" s="15">
        <f>IF(AND(ISNUMBER($T54),$T54&lt;&gt;""),IF(INDEX(Calc!$T$3:$T$122,$T54)="","—",INDEX(Calc!$T$3:$T$122,$T54)),"")</f>
        <v/>
      </c>
      <c r="C54" s="15">
        <f>IF(AND(ISNUMBER($T54),$T54&lt;&gt;""),IF(INDEX(Calc!$U$3:$U$122,$T54)="","—",INDEX(Calc!$U$3:$U$122,$T54)),"")</f>
        <v/>
      </c>
      <c r="D54" s="15">
        <f>IF(AND(ISNUMBER($T54),$T54&lt;&gt;""),IF(INDEX(Calc!$V$3:$V$122,$T54)="","—",INDEX(Calc!$V$3:$V$122,$T54)),"")</f>
        <v/>
      </c>
      <c r="E54" s="15">
        <f>IF(AND(ISNUMBER($T54),$T54&lt;&gt;""),IF(INDEX(Calc!$W$3:$W$122,$T54)="","—",INDEX(Calc!$W$3:$W$122,$T54)),"")</f>
        <v/>
      </c>
      <c r="F54" s="15">
        <f>IF(AND(ISNUMBER($T54),$T54&lt;&gt;""),IF(INDEX(Calc!$X$3:$X$122,$T54)="","—",INDEX(Calc!$X$3:$X$122,$T54)),"")</f>
        <v/>
      </c>
      <c r="G54" s="15">
        <f>IF(AND(ISNUMBER($T54),$T54&lt;&gt;""),IF(INDEX(Calc!$Y$3:$Y$122,$T54)="","—",INDEX(Calc!$Y$3:$Y$122,$T54)),"")</f>
        <v/>
      </c>
      <c r="H54" s="15">
        <f>IF(AND(ISNUMBER($T54),$T54&lt;&gt;""),IF(INDEX(Calc!$Z$3:$Z$122,$T54)="","—",INDEX(Calc!$Z$3:$Z$122,$T54)),"")</f>
        <v/>
      </c>
      <c r="I54" s="15">
        <f>IF(AND(ISNUMBER($T54),$T54&lt;&gt;""),IF(INDEX(Calc!$AA$3:$AA$122,$T54)="","—",INDEX(Calc!$AA$3:$AA$122,$T54)),"")</f>
        <v/>
      </c>
      <c r="J54" s="15">
        <f>IF(AND(ISNUMBER($T54),$T54&lt;&gt;""),IF(INDEX(Calc!$AB$3:$AB$122,$T54)="","—",INDEX(Calc!$AB$3:$AB$122,$T54)),"")</f>
        <v/>
      </c>
      <c r="K54" s="15">
        <f>IF(AND(ISNUMBER($T54),$T54&lt;&gt;""),IF(INDEX(Calc!$AC$3:$AC$122,$T54)="","—",INDEX(Calc!$AC$3:$AC$122,$T54)),"")</f>
        <v/>
      </c>
      <c r="L54" s="15">
        <f>IF(AND(ISNUMBER($T54),$T54&lt;&gt;""),IF(INDEX(Calc!$AD$3:$AD$122,$T54)="","—",INDEX(Calc!$AD$3:$AD$122,$T54)),"")</f>
        <v/>
      </c>
      <c r="M54" s="15">
        <f>IF(AND(ISNUMBER($T54),$T54&lt;&gt;""),IF(INDEX(Calc!$AE$3:$AE$122,$T54)="","—",INDEX(Calc!$AE$3:$AE$122,$T54)),"")</f>
        <v/>
      </c>
      <c r="N54" s="15">
        <f>IF(AND(ISNUMBER($T54),$T54&lt;&gt;""),IF(INDEX(Calc!$AF$3:$AF$122,$T54)="","—",INDEX(Calc!$AF$3:$AF$122,$T54)),"")</f>
        <v/>
      </c>
      <c r="O54" s="15">
        <f>IF(AND(ISNUMBER($T54),$T54&lt;&gt;""),IF(INDEX(Calc!$AG$3:$AG$122,$T54)="","—",INDEX(Calc!$AG$3:$AG$122,$T54)),"")</f>
        <v/>
      </c>
      <c r="P54" s="16">
        <f>IF(AND(ISNUMBER($T54),$T54&lt;&gt;""),IF(INDEX(Calc!$AJ$3:$AJ$122,$T54)="","—",INDEX(Calc!$AJ$3:$AJ$122,$T54)),"")</f>
        <v/>
      </c>
      <c r="Q54" s="16">
        <f>IF(AND(ISNUMBER($T54),$T54&lt;&gt;""),IF(INDEX(Calc!$AK$3:$AK$122,$T54)="","—",INDEX(Calc!$AK$3:$AK$122,$T54)),"")</f>
        <v/>
      </c>
      <c r="R54" s="15">
        <f>IF(AND(ISNUMBER($T54),$T54&lt;&gt;""),IF(INDEX(Calc!$AL$3:$AL$122,$T54)="","—",INDEX(Calc!$AL$3:$AL$122,$T54)),"")</f>
        <v/>
      </c>
      <c r="T54">
        <f>IFERROR(MATCH(50,Calc!$AN$3:$AN$122,0),"")</f>
        <v/>
      </c>
    </row>
    <row r="55">
      <c r="A55" s="19">
        <f>IF(AND(ISNUMBER($T55),$T55&lt;&gt;""),INDEX(Calc!$S$3:$S$122,$T55),"")</f>
        <v/>
      </c>
      <c r="B55" s="20">
        <f>IF(AND(ISNUMBER($T55),$T55&lt;&gt;""),IF(INDEX(Calc!$T$3:$T$122,$T55)="","—",INDEX(Calc!$T$3:$T$122,$T55)),"")</f>
        <v/>
      </c>
      <c r="C55" s="20">
        <f>IF(AND(ISNUMBER($T55),$T55&lt;&gt;""),IF(INDEX(Calc!$U$3:$U$122,$T55)="","—",INDEX(Calc!$U$3:$U$122,$T55)),"")</f>
        <v/>
      </c>
      <c r="D55" s="20">
        <f>IF(AND(ISNUMBER($T55),$T55&lt;&gt;""),IF(INDEX(Calc!$V$3:$V$122,$T55)="","—",INDEX(Calc!$V$3:$V$122,$T55)),"")</f>
        <v/>
      </c>
      <c r="E55" s="20">
        <f>IF(AND(ISNUMBER($T55),$T55&lt;&gt;""),IF(INDEX(Calc!$W$3:$W$122,$T55)="","—",INDEX(Calc!$W$3:$W$122,$T55)),"")</f>
        <v/>
      </c>
      <c r="F55" s="20">
        <f>IF(AND(ISNUMBER($T55),$T55&lt;&gt;""),IF(INDEX(Calc!$X$3:$X$122,$T55)="","—",INDEX(Calc!$X$3:$X$122,$T55)),"")</f>
        <v/>
      </c>
      <c r="G55" s="20">
        <f>IF(AND(ISNUMBER($T55),$T55&lt;&gt;""),IF(INDEX(Calc!$Y$3:$Y$122,$T55)="","—",INDEX(Calc!$Y$3:$Y$122,$T55)),"")</f>
        <v/>
      </c>
      <c r="H55" s="20">
        <f>IF(AND(ISNUMBER($T55),$T55&lt;&gt;""),IF(INDEX(Calc!$Z$3:$Z$122,$T55)="","—",INDEX(Calc!$Z$3:$Z$122,$T55)),"")</f>
        <v/>
      </c>
      <c r="I55" s="20">
        <f>IF(AND(ISNUMBER($T55),$T55&lt;&gt;""),IF(INDEX(Calc!$AA$3:$AA$122,$T55)="","—",INDEX(Calc!$AA$3:$AA$122,$T55)),"")</f>
        <v/>
      </c>
      <c r="J55" s="20">
        <f>IF(AND(ISNUMBER($T55),$T55&lt;&gt;""),IF(INDEX(Calc!$AB$3:$AB$122,$T55)="","—",INDEX(Calc!$AB$3:$AB$122,$T55)),"")</f>
        <v/>
      </c>
      <c r="K55" s="20">
        <f>IF(AND(ISNUMBER($T55),$T55&lt;&gt;""),IF(INDEX(Calc!$AC$3:$AC$122,$T55)="","—",INDEX(Calc!$AC$3:$AC$122,$T55)),"")</f>
        <v/>
      </c>
      <c r="L55" s="20">
        <f>IF(AND(ISNUMBER($T55),$T55&lt;&gt;""),IF(INDEX(Calc!$AD$3:$AD$122,$T55)="","—",INDEX(Calc!$AD$3:$AD$122,$T55)),"")</f>
        <v/>
      </c>
      <c r="M55" s="20">
        <f>IF(AND(ISNUMBER($T55),$T55&lt;&gt;""),IF(INDEX(Calc!$AE$3:$AE$122,$T55)="","—",INDEX(Calc!$AE$3:$AE$122,$T55)),"")</f>
        <v/>
      </c>
      <c r="N55" s="20">
        <f>IF(AND(ISNUMBER($T55),$T55&lt;&gt;""),IF(INDEX(Calc!$AF$3:$AF$122,$T55)="","—",INDEX(Calc!$AF$3:$AF$122,$T55)),"")</f>
        <v/>
      </c>
      <c r="O55" s="20">
        <f>IF(AND(ISNUMBER($T55),$T55&lt;&gt;""),IF(INDEX(Calc!$AG$3:$AG$122,$T55)="","—",INDEX(Calc!$AG$3:$AG$122,$T55)),"")</f>
        <v/>
      </c>
      <c r="P55" s="21">
        <f>IF(AND(ISNUMBER($T55),$T55&lt;&gt;""),IF(INDEX(Calc!$AJ$3:$AJ$122,$T55)="","—",INDEX(Calc!$AJ$3:$AJ$122,$T55)),"")</f>
        <v/>
      </c>
      <c r="Q55" s="21">
        <f>IF(AND(ISNUMBER($T55),$T55&lt;&gt;""),IF(INDEX(Calc!$AK$3:$AK$122,$T55)="","—",INDEX(Calc!$AK$3:$AK$122,$T55)),"")</f>
        <v/>
      </c>
      <c r="R55" s="20">
        <f>IF(AND(ISNUMBER($T55),$T55&lt;&gt;""),IF(INDEX(Calc!$AL$3:$AL$122,$T55)="","—",INDEX(Calc!$AL$3:$AL$122,$T55)),"")</f>
        <v/>
      </c>
      <c r="T55">
        <f>IFERROR(MATCH(51,Calc!$AN$3:$AN$122,0),"")</f>
        <v/>
      </c>
    </row>
    <row r="56">
      <c r="A56" s="14">
        <f>IF(AND(ISNUMBER($T56),$T56&lt;&gt;""),INDEX(Calc!$S$3:$S$122,$T56),"")</f>
        <v/>
      </c>
      <c r="B56" s="15">
        <f>IF(AND(ISNUMBER($T56),$T56&lt;&gt;""),IF(INDEX(Calc!$T$3:$T$122,$T56)="","—",INDEX(Calc!$T$3:$T$122,$T56)),"")</f>
        <v/>
      </c>
      <c r="C56" s="15">
        <f>IF(AND(ISNUMBER($T56),$T56&lt;&gt;""),IF(INDEX(Calc!$U$3:$U$122,$T56)="","—",INDEX(Calc!$U$3:$U$122,$T56)),"")</f>
        <v/>
      </c>
      <c r="D56" s="15">
        <f>IF(AND(ISNUMBER($T56),$T56&lt;&gt;""),IF(INDEX(Calc!$V$3:$V$122,$T56)="","—",INDEX(Calc!$V$3:$V$122,$T56)),"")</f>
        <v/>
      </c>
      <c r="E56" s="15">
        <f>IF(AND(ISNUMBER($T56),$T56&lt;&gt;""),IF(INDEX(Calc!$W$3:$W$122,$T56)="","—",INDEX(Calc!$W$3:$W$122,$T56)),"")</f>
        <v/>
      </c>
      <c r="F56" s="15">
        <f>IF(AND(ISNUMBER($T56),$T56&lt;&gt;""),IF(INDEX(Calc!$X$3:$X$122,$T56)="","—",INDEX(Calc!$X$3:$X$122,$T56)),"")</f>
        <v/>
      </c>
      <c r="G56" s="15">
        <f>IF(AND(ISNUMBER($T56),$T56&lt;&gt;""),IF(INDEX(Calc!$Y$3:$Y$122,$T56)="","—",INDEX(Calc!$Y$3:$Y$122,$T56)),"")</f>
        <v/>
      </c>
      <c r="H56" s="15">
        <f>IF(AND(ISNUMBER($T56),$T56&lt;&gt;""),IF(INDEX(Calc!$Z$3:$Z$122,$T56)="","—",INDEX(Calc!$Z$3:$Z$122,$T56)),"")</f>
        <v/>
      </c>
      <c r="I56" s="15">
        <f>IF(AND(ISNUMBER($T56),$T56&lt;&gt;""),IF(INDEX(Calc!$AA$3:$AA$122,$T56)="","—",INDEX(Calc!$AA$3:$AA$122,$T56)),"")</f>
        <v/>
      </c>
      <c r="J56" s="15">
        <f>IF(AND(ISNUMBER($T56),$T56&lt;&gt;""),IF(INDEX(Calc!$AB$3:$AB$122,$T56)="","—",INDEX(Calc!$AB$3:$AB$122,$T56)),"")</f>
        <v/>
      </c>
      <c r="K56" s="15">
        <f>IF(AND(ISNUMBER($T56),$T56&lt;&gt;""),IF(INDEX(Calc!$AC$3:$AC$122,$T56)="","—",INDEX(Calc!$AC$3:$AC$122,$T56)),"")</f>
        <v/>
      </c>
      <c r="L56" s="15">
        <f>IF(AND(ISNUMBER($T56),$T56&lt;&gt;""),IF(INDEX(Calc!$AD$3:$AD$122,$T56)="","—",INDEX(Calc!$AD$3:$AD$122,$T56)),"")</f>
        <v/>
      </c>
      <c r="M56" s="15">
        <f>IF(AND(ISNUMBER($T56),$T56&lt;&gt;""),IF(INDEX(Calc!$AE$3:$AE$122,$T56)="","—",INDEX(Calc!$AE$3:$AE$122,$T56)),"")</f>
        <v/>
      </c>
      <c r="N56" s="15">
        <f>IF(AND(ISNUMBER($T56),$T56&lt;&gt;""),IF(INDEX(Calc!$AF$3:$AF$122,$T56)="","—",INDEX(Calc!$AF$3:$AF$122,$T56)),"")</f>
        <v/>
      </c>
      <c r="O56" s="15">
        <f>IF(AND(ISNUMBER($T56),$T56&lt;&gt;""),IF(INDEX(Calc!$AG$3:$AG$122,$T56)="","—",INDEX(Calc!$AG$3:$AG$122,$T56)),"")</f>
        <v/>
      </c>
      <c r="P56" s="16">
        <f>IF(AND(ISNUMBER($T56),$T56&lt;&gt;""),IF(INDEX(Calc!$AJ$3:$AJ$122,$T56)="","—",INDEX(Calc!$AJ$3:$AJ$122,$T56)),"")</f>
        <v/>
      </c>
      <c r="Q56" s="16">
        <f>IF(AND(ISNUMBER($T56),$T56&lt;&gt;""),IF(INDEX(Calc!$AK$3:$AK$122,$T56)="","—",INDEX(Calc!$AK$3:$AK$122,$T56)),"")</f>
        <v/>
      </c>
      <c r="R56" s="15">
        <f>IF(AND(ISNUMBER($T56),$T56&lt;&gt;""),IF(INDEX(Calc!$AL$3:$AL$122,$T56)="","—",INDEX(Calc!$AL$3:$AL$122,$T56)),"")</f>
        <v/>
      </c>
      <c r="T56">
        <f>IFERROR(MATCH(52,Calc!$AN$3:$AN$122,0),"")</f>
        <v/>
      </c>
    </row>
    <row r="57">
      <c r="A57" s="19">
        <f>IF(AND(ISNUMBER($T57),$T57&lt;&gt;""),INDEX(Calc!$S$3:$S$122,$T57),"")</f>
        <v/>
      </c>
      <c r="B57" s="20">
        <f>IF(AND(ISNUMBER($T57),$T57&lt;&gt;""),IF(INDEX(Calc!$T$3:$T$122,$T57)="","—",INDEX(Calc!$T$3:$T$122,$T57)),"")</f>
        <v/>
      </c>
      <c r="C57" s="20">
        <f>IF(AND(ISNUMBER($T57),$T57&lt;&gt;""),IF(INDEX(Calc!$U$3:$U$122,$T57)="","—",INDEX(Calc!$U$3:$U$122,$T57)),"")</f>
        <v/>
      </c>
      <c r="D57" s="20">
        <f>IF(AND(ISNUMBER($T57),$T57&lt;&gt;""),IF(INDEX(Calc!$V$3:$V$122,$T57)="","—",INDEX(Calc!$V$3:$V$122,$T57)),"")</f>
        <v/>
      </c>
      <c r="E57" s="20">
        <f>IF(AND(ISNUMBER($T57),$T57&lt;&gt;""),IF(INDEX(Calc!$W$3:$W$122,$T57)="","—",INDEX(Calc!$W$3:$W$122,$T57)),"")</f>
        <v/>
      </c>
      <c r="F57" s="20">
        <f>IF(AND(ISNUMBER($T57),$T57&lt;&gt;""),IF(INDEX(Calc!$X$3:$X$122,$T57)="","—",INDEX(Calc!$X$3:$X$122,$T57)),"")</f>
        <v/>
      </c>
      <c r="G57" s="20">
        <f>IF(AND(ISNUMBER($T57),$T57&lt;&gt;""),IF(INDEX(Calc!$Y$3:$Y$122,$T57)="","—",INDEX(Calc!$Y$3:$Y$122,$T57)),"")</f>
        <v/>
      </c>
      <c r="H57" s="20">
        <f>IF(AND(ISNUMBER($T57),$T57&lt;&gt;""),IF(INDEX(Calc!$Z$3:$Z$122,$T57)="","—",INDEX(Calc!$Z$3:$Z$122,$T57)),"")</f>
        <v/>
      </c>
      <c r="I57" s="20">
        <f>IF(AND(ISNUMBER($T57),$T57&lt;&gt;""),IF(INDEX(Calc!$AA$3:$AA$122,$T57)="","—",INDEX(Calc!$AA$3:$AA$122,$T57)),"")</f>
        <v/>
      </c>
      <c r="J57" s="20">
        <f>IF(AND(ISNUMBER($T57),$T57&lt;&gt;""),IF(INDEX(Calc!$AB$3:$AB$122,$T57)="","—",INDEX(Calc!$AB$3:$AB$122,$T57)),"")</f>
        <v/>
      </c>
      <c r="K57" s="20">
        <f>IF(AND(ISNUMBER($T57),$T57&lt;&gt;""),IF(INDEX(Calc!$AC$3:$AC$122,$T57)="","—",INDEX(Calc!$AC$3:$AC$122,$T57)),"")</f>
        <v/>
      </c>
      <c r="L57" s="20">
        <f>IF(AND(ISNUMBER($T57),$T57&lt;&gt;""),IF(INDEX(Calc!$AD$3:$AD$122,$T57)="","—",INDEX(Calc!$AD$3:$AD$122,$T57)),"")</f>
        <v/>
      </c>
      <c r="M57" s="20">
        <f>IF(AND(ISNUMBER($T57),$T57&lt;&gt;""),IF(INDEX(Calc!$AE$3:$AE$122,$T57)="","—",INDEX(Calc!$AE$3:$AE$122,$T57)),"")</f>
        <v/>
      </c>
      <c r="N57" s="20">
        <f>IF(AND(ISNUMBER($T57),$T57&lt;&gt;""),IF(INDEX(Calc!$AF$3:$AF$122,$T57)="","—",INDEX(Calc!$AF$3:$AF$122,$T57)),"")</f>
        <v/>
      </c>
      <c r="O57" s="20">
        <f>IF(AND(ISNUMBER($T57),$T57&lt;&gt;""),IF(INDEX(Calc!$AG$3:$AG$122,$T57)="","—",INDEX(Calc!$AG$3:$AG$122,$T57)),"")</f>
        <v/>
      </c>
      <c r="P57" s="21">
        <f>IF(AND(ISNUMBER($T57),$T57&lt;&gt;""),IF(INDEX(Calc!$AJ$3:$AJ$122,$T57)="","—",INDEX(Calc!$AJ$3:$AJ$122,$T57)),"")</f>
        <v/>
      </c>
      <c r="Q57" s="21">
        <f>IF(AND(ISNUMBER($T57),$T57&lt;&gt;""),IF(INDEX(Calc!$AK$3:$AK$122,$T57)="","—",INDEX(Calc!$AK$3:$AK$122,$T57)),"")</f>
        <v/>
      </c>
      <c r="R57" s="20">
        <f>IF(AND(ISNUMBER($T57),$T57&lt;&gt;""),IF(INDEX(Calc!$AL$3:$AL$122,$T57)="","—",INDEX(Calc!$AL$3:$AL$122,$T57)),"")</f>
        <v/>
      </c>
      <c r="T57">
        <f>IFERROR(MATCH(53,Calc!$AN$3:$AN$122,0),"")</f>
        <v/>
      </c>
    </row>
    <row r="58">
      <c r="A58" s="14">
        <f>IF(AND(ISNUMBER($T58),$T58&lt;&gt;""),INDEX(Calc!$S$3:$S$122,$T58),"")</f>
        <v/>
      </c>
      <c r="B58" s="15">
        <f>IF(AND(ISNUMBER($T58),$T58&lt;&gt;""),IF(INDEX(Calc!$T$3:$T$122,$T58)="","—",INDEX(Calc!$T$3:$T$122,$T58)),"")</f>
        <v/>
      </c>
      <c r="C58" s="15">
        <f>IF(AND(ISNUMBER($T58),$T58&lt;&gt;""),IF(INDEX(Calc!$U$3:$U$122,$T58)="","—",INDEX(Calc!$U$3:$U$122,$T58)),"")</f>
        <v/>
      </c>
      <c r="D58" s="15">
        <f>IF(AND(ISNUMBER($T58),$T58&lt;&gt;""),IF(INDEX(Calc!$V$3:$V$122,$T58)="","—",INDEX(Calc!$V$3:$V$122,$T58)),"")</f>
        <v/>
      </c>
      <c r="E58" s="15">
        <f>IF(AND(ISNUMBER($T58),$T58&lt;&gt;""),IF(INDEX(Calc!$W$3:$W$122,$T58)="","—",INDEX(Calc!$W$3:$W$122,$T58)),"")</f>
        <v/>
      </c>
      <c r="F58" s="15">
        <f>IF(AND(ISNUMBER($T58),$T58&lt;&gt;""),IF(INDEX(Calc!$X$3:$X$122,$T58)="","—",INDEX(Calc!$X$3:$X$122,$T58)),"")</f>
        <v/>
      </c>
      <c r="G58" s="15">
        <f>IF(AND(ISNUMBER($T58),$T58&lt;&gt;""),IF(INDEX(Calc!$Y$3:$Y$122,$T58)="","—",INDEX(Calc!$Y$3:$Y$122,$T58)),"")</f>
        <v/>
      </c>
      <c r="H58" s="15">
        <f>IF(AND(ISNUMBER($T58),$T58&lt;&gt;""),IF(INDEX(Calc!$Z$3:$Z$122,$T58)="","—",INDEX(Calc!$Z$3:$Z$122,$T58)),"")</f>
        <v/>
      </c>
      <c r="I58" s="15">
        <f>IF(AND(ISNUMBER($T58),$T58&lt;&gt;""),IF(INDEX(Calc!$AA$3:$AA$122,$T58)="","—",INDEX(Calc!$AA$3:$AA$122,$T58)),"")</f>
        <v/>
      </c>
      <c r="J58" s="15">
        <f>IF(AND(ISNUMBER($T58),$T58&lt;&gt;""),IF(INDEX(Calc!$AB$3:$AB$122,$T58)="","—",INDEX(Calc!$AB$3:$AB$122,$T58)),"")</f>
        <v/>
      </c>
      <c r="K58" s="15">
        <f>IF(AND(ISNUMBER($T58),$T58&lt;&gt;""),IF(INDEX(Calc!$AC$3:$AC$122,$T58)="","—",INDEX(Calc!$AC$3:$AC$122,$T58)),"")</f>
        <v/>
      </c>
      <c r="L58" s="15">
        <f>IF(AND(ISNUMBER($T58),$T58&lt;&gt;""),IF(INDEX(Calc!$AD$3:$AD$122,$T58)="","—",INDEX(Calc!$AD$3:$AD$122,$T58)),"")</f>
        <v/>
      </c>
      <c r="M58" s="15">
        <f>IF(AND(ISNUMBER($T58),$T58&lt;&gt;""),IF(INDEX(Calc!$AE$3:$AE$122,$T58)="","—",INDEX(Calc!$AE$3:$AE$122,$T58)),"")</f>
        <v/>
      </c>
      <c r="N58" s="15">
        <f>IF(AND(ISNUMBER($T58),$T58&lt;&gt;""),IF(INDEX(Calc!$AF$3:$AF$122,$T58)="","—",INDEX(Calc!$AF$3:$AF$122,$T58)),"")</f>
        <v/>
      </c>
      <c r="O58" s="15">
        <f>IF(AND(ISNUMBER($T58),$T58&lt;&gt;""),IF(INDEX(Calc!$AG$3:$AG$122,$T58)="","—",INDEX(Calc!$AG$3:$AG$122,$T58)),"")</f>
        <v/>
      </c>
      <c r="P58" s="16">
        <f>IF(AND(ISNUMBER($T58),$T58&lt;&gt;""),IF(INDEX(Calc!$AJ$3:$AJ$122,$T58)="","—",INDEX(Calc!$AJ$3:$AJ$122,$T58)),"")</f>
        <v/>
      </c>
      <c r="Q58" s="16">
        <f>IF(AND(ISNUMBER($T58),$T58&lt;&gt;""),IF(INDEX(Calc!$AK$3:$AK$122,$T58)="","—",INDEX(Calc!$AK$3:$AK$122,$T58)),"")</f>
        <v/>
      </c>
      <c r="R58" s="15">
        <f>IF(AND(ISNUMBER($T58),$T58&lt;&gt;""),IF(INDEX(Calc!$AL$3:$AL$122,$T58)="","—",INDEX(Calc!$AL$3:$AL$122,$T58)),"")</f>
        <v/>
      </c>
      <c r="T58">
        <f>IFERROR(MATCH(54,Calc!$AN$3:$AN$122,0),"")</f>
        <v/>
      </c>
    </row>
    <row r="59">
      <c r="A59" s="19">
        <f>IF(AND(ISNUMBER($T59),$T59&lt;&gt;""),INDEX(Calc!$S$3:$S$122,$T59),"")</f>
        <v/>
      </c>
      <c r="B59" s="20">
        <f>IF(AND(ISNUMBER($T59),$T59&lt;&gt;""),IF(INDEX(Calc!$T$3:$T$122,$T59)="","—",INDEX(Calc!$T$3:$T$122,$T59)),"")</f>
        <v/>
      </c>
      <c r="C59" s="20">
        <f>IF(AND(ISNUMBER($T59),$T59&lt;&gt;""),IF(INDEX(Calc!$U$3:$U$122,$T59)="","—",INDEX(Calc!$U$3:$U$122,$T59)),"")</f>
        <v/>
      </c>
      <c r="D59" s="20">
        <f>IF(AND(ISNUMBER($T59),$T59&lt;&gt;""),IF(INDEX(Calc!$V$3:$V$122,$T59)="","—",INDEX(Calc!$V$3:$V$122,$T59)),"")</f>
        <v/>
      </c>
      <c r="E59" s="20">
        <f>IF(AND(ISNUMBER($T59),$T59&lt;&gt;""),IF(INDEX(Calc!$W$3:$W$122,$T59)="","—",INDEX(Calc!$W$3:$W$122,$T59)),"")</f>
        <v/>
      </c>
      <c r="F59" s="20">
        <f>IF(AND(ISNUMBER($T59),$T59&lt;&gt;""),IF(INDEX(Calc!$X$3:$X$122,$T59)="","—",INDEX(Calc!$X$3:$X$122,$T59)),"")</f>
        <v/>
      </c>
      <c r="G59" s="20">
        <f>IF(AND(ISNUMBER($T59),$T59&lt;&gt;""),IF(INDEX(Calc!$Y$3:$Y$122,$T59)="","—",INDEX(Calc!$Y$3:$Y$122,$T59)),"")</f>
        <v/>
      </c>
      <c r="H59" s="20">
        <f>IF(AND(ISNUMBER($T59),$T59&lt;&gt;""),IF(INDEX(Calc!$Z$3:$Z$122,$T59)="","—",INDEX(Calc!$Z$3:$Z$122,$T59)),"")</f>
        <v/>
      </c>
      <c r="I59" s="20">
        <f>IF(AND(ISNUMBER($T59),$T59&lt;&gt;""),IF(INDEX(Calc!$AA$3:$AA$122,$T59)="","—",INDEX(Calc!$AA$3:$AA$122,$T59)),"")</f>
        <v/>
      </c>
      <c r="J59" s="20">
        <f>IF(AND(ISNUMBER($T59),$T59&lt;&gt;""),IF(INDEX(Calc!$AB$3:$AB$122,$T59)="","—",INDEX(Calc!$AB$3:$AB$122,$T59)),"")</f>
        <v/>
      </c>
      <c r="K59" s="20">
        <f>IF(AND(ISNUMBER($T59),$T59&lt;&gt;""),IF(INDEX(Calc!$AC$3:$AC$122,$T59)="","—",INDEX(Calc!$AC$3:$AC$122,$T59)),"")</f>
        <v/>
      </c>
      <c r="L59" s="20">
        <f>IF(AND(ISNUMBER($T59),$T59&lt;&gt;""),IF(INDEX(Calc!$AD$3:$AD$122,$T59)="","—",INDEX(Calc!$AD$3:$AD$122,$T59)),"")</f>
        <v/>
      </c>
      <c r="M59" s="20">
        <f>IF(AND(ISNUMBER($T59),$T59&lt;&gt;""),IF(INDEX(Calc!$AE$3:$AE$122,$T59)="","—",INDEX(Calc!$AE$3:$AE$122,$T59)),"")</f>
        <v/>
      </c>
      <c r="N59" s="20">
        <f>IF(AND(ISNUMBER($T59),$T59&lt;&gt;""),IF(INDEX(Calc!$AF$3:$AF$122,$T59)="","—",INDEX(Calc!$AF$3:$AF$122,$T59)),"")</f>
        <v/>
      </c>
      <c r="O59" s="20">
        <f>IF(AND(ISNUMBER($T59),$T59&lt;&gt;""),IF(INDEX(Calc!$AG$3:$AG$122,$T59)="","—",INDEX(Calc!$AG$3:$AG$122,$T59)),"")</f>
        <v/>
      </c>
      <c r="P59" s="21">
        <f>IF(AND(ISNUMBER($T59),$T59&lt;&gt;""),IF(INDEX(Calc!$AJ$3:$AJ$122,$T59)="","—",INDEX(Calc!$AJ$3:$AJ$122,$T59)),"")</f>
        <v/>
      </c>
      <c r="Q59" s="21">
        <f>IF(AND(ISNUMBER($T59),$T59&lt;&gt;""),IF(INDEX(Calc!$AK$3:$AK$122,$T59)="","—",INDEX(Calc!$AK$3:$AK$122,$T59)),"")</f>
        <v/>
      </c>
      <c r="R59" s="20">
        <f>IF(AND(ISNUMBER($T59),$T59&lt;&gt;""),IF(INDEX(Calc!$AL$3:$AL$122,$T59)="","—",INDEX(Calc!$AL$3:$AL$122,$T59)),"")</f>
        <v/>
      </c>
      <c r="T59">
        <f>IFERROR(MATCH(55,Calc!$AN$3:$AN$122,0),"")</f>
        <v/>
      </c>
    </row>
    <row r="60">
      <c r="A60" s="14">
        <f>IF(AND(ISNUMBER($T60),$T60&lt;&gt;""),INDEX(Calc!$S$3:$S$122,$T60),"")</f>
        <v/>
      </c>
      <c r="B60" s="15">
        <f>IF(AND(ISNUMBER($T60),$T60&lt;&gt;""),IF(INDEX(Calc!$T$3:$T$122,$T60)="","—",INDEX(Calc!$T$3:$T$122,$T60)),"")</f>
        <v/>
      </c>
      <c r="C60" s="15">
        <f>IF(AND(ISNUMBER($T60),$T60&lt;&gt;""),IF(INDEX(Calc!$U$3:$U$122,$T60)="","—",INDEX(Calc!$U$3:$U$122,$T60)),"")</f>
        <v/>
      </c>
      <c r="D60" s="15">
        <f>IF(AND(ISNUMBER($T60),$T60&lt;&gt;""),IF(INDEX(Calc!$V$3:$V$122,$T60)="","—",INDEX(Calc!$V$3:$V$122,$T60)),"")</f>
        <v/>
      </c>
      <c r="E60" s="15">
        <f>IF(AND(ISNUMBER($T60),$T60&lt;&gt;""),IF(INDEX(Calc!$W$3:$W$122,$T60)="","—",INDEX(Calc!$W$3:$W$122,$T60)),"")</f>
        <v/>
      </c>
      <c r="F60" s="15">
        <f>IF(AND(ISNUMBER($T60),$T60&lt;&gt;""),IF(INDEX(Calc!$X$3:$X$122,$T60)="","—",INDEX(Calc!$X$3:$X$122,$T60)),"")</f>
        <v/>
      </c>
      <c r="G60" s="15">
        <f>IF(AND(ISNUMBER($T60),$T60&lt;&gt;""),IF(INDEX(Calc!$Y$3:$Y$122,$T60)="","—",INDEX(Calc!$Y$3:$Y$122,$T60)),"")</f>
        <v/>
      </c>
      <c r="H60" s="15">
        <f>IF(AND(ISNUMBER($T60),$T60&lt;&gt;""),IF(INDEX(Calc!$Z$3:$Z$122,$T60)="","—",INDEX(Calc!$Z$3:$Z$122,$T60)),"")</f>
        <v/>
      </c>
      <c r="I60" s="15">
        <f>IF(AND(ISNUMBER($T60),$T60&lt;&gt;""),IF(INDEX(Calc!$AA$3:$AA$122,$T60)="","—",INDEX(Calc!$AA$3:$AA$122,$T60)),"")</f>
        <v/>
      </c>
      <c r="J60" s="15">
        <f>IF(AND(ISNUMBER($T60),$T60&lt;&gt;""),IF(INDEX(Calc!$AB$3:$AB$122,$T60)="","—",INDEX(Calc!$AB$3:$AB$122,$T60)),"")</f>
        <v/>
      </c>
      <c r="K60" s="15">
        <f>IF(AND(ISNUMBER($T60),$T60&lt;&gt;""),IF(INDEX(Calc!$AC$3:$AC$122,$T60)="","—",INDEX(Calc!$AC$3:$AC$122,$T60)),"")</f>
        <v/>
      </c>
      <c r="L60" s="15">
        <f>IF(AND(ISNUMBER($T60),$T60&lt;&gt;""),IF(INDEX(Calc!$AD$3:$AD$122,$T60)="","—",INDEX(Calc!$AD$3:$AD$122,$T60)),"")</f>
        <v/>
      </c>
      <c r="M60" s="15">
        <f>IF(AND(ISNUMBER($T60),$T60&lt;&gt;""),IF(INDEX(Calc!$AE$3:$AE$122,$T60)="","—",INDEX(Calc!$AE$3:$AE$122,$T60)),"")</f>
        <v/>
      </c>
      <c r="N60" s="15">
        <f>IF(AND(ISNUMBER($T60),$T60&lt;&gt;""),IF(INDEX(Calc!$AF$3:$AF$122,$T60)="","—",INDEX(Calc!$AF$3:$AF$122,$T60)),"")</f>
        <v/>
      </c>
      <c r="O60" s="15">
        <f>IF(AND(ISNUMBER($T60),$T60&lt;&gt;""),IF(INDEX(Calc!$AG$3:$AG$122,$T60)="","—",INDEX(Calc!$AG$3:$AG$122,$T60)),"")</f>
        <v/>
      </c>
      <c r="P60" s="16">
        <f>IF(AND(ISNUMBER($T60),$T60&lt;&gt;""),IF(INDEX(Calc!$AJ$3:$AJ$122,$T60)="","—",INDEX(Calc!$AJ$3:$AJ$122,$T60)),"")</f>
        <v/>
      </c>
      <c r="Q60" s="16">
        <f>IF(AND(ISNUMBER($T60),$T60&lt;&gt;""),IF(INDEX(Calc!$AK$3:$AK$122,$T60)="","—",INDEX(Calc!$AK$3:$AK$122,$T60)),"")</f>
        <v/>
      </c>
      <c r="R60" s="15">
        <f>IF(AND(ISNUMBER($T60),$T60&lt;&gt;""),IF(INDEX(Calc!$AL$3:$AL$122,$T60)="","—",INDEX(Calc!$AL$3:$AL$122,$T60)),"")</f>
        <v/>
      </c>
      <c r="T60">
        <f>IFERROR(MATCH(56,Calc!$AN$3:$AN$122,0),"")</f>
        <v/>
      </c>
    </row>
    <row r="61">
      <c r="A61" s="19">
        <f>IF(AND(ISNUMBER($T61),$T61&lt;&gt;""),INDEX(Calc!$S$3:$S$122,$T61),"")</f>
        <v/>
      </c>
      <c r="B61" s="20">
        <f>IF(AND(ISNUMBER($T61),$T61&lt;&gt;""),IF(INDEX(Calc!$T$3:$T$122,$T61)="","—",INDEX(Calc!$T$3:$T$122,$T61)),"")</f>
        <v/>
      </c>
      <c r="C61" s="20">
        <f>IF(AND(ISNUMBER($T61),$T61&lt;&gt;""),IF(INDEX(Calc!$U$3:$U$122,$T61)="","—",INDEX(Calc!$U$3:$U$122,$T61)),"")</f>
        <v/>
      </c>
      <c r="D61" s="20">
        <f>IF(AND(ISNUMBER($T61),$T61&lt;&gt;""),IF(INDEX(Calc!$V$3:$V$122,$T61)="","—",INDEX(Calc!$V$3:$V$122,$T61)),"")</f>
        <v/>
      </c>
      <c r="E61" s="20">
        <f>IF(AND(ISNUMBER($T61),$T61&lt;&gt;""),IF(INDEX(Calc!$W$3:$W$122,$T61)="","—",INDEX(Calc!$W$3:$W$122,$T61)),"")</f>
        <v/>
      </c>
      <c r="F61" s="20">
        <f>IF(AND(ISNUMBER($T61),$T61&lt;&gt;""),IF(INDEX(Calc!$X$3:$X$122,$T61)="","—",INDEX(Calc!$X$3:$X$122,$T61)),"")</f>
        <v/>
      </c>
      <c r="G61" s="20">
        <f>IF(AND(ISNUMBER($T61),$T61&lt;&gt;""),IF(INDEX(Calc!$Y$3:$Y$122,$T61)="","—",INDEX(Calc!$Y$3:$Y$122,$T61)),"")</f>
        <v/>
      </c>
      <c r="H61" s="20">
        <f>IF(AND(ISNUMBER($T61),$T61&lt;&gt;""),IF(INDEX(Calc!$Z$3:$Z$122,$T61)="","—",INDEX(Calc!$Z$3:$Z$122,$T61)),"")</f>
        <v/>
      </c>
      <c r="I61" s="20">
        <f>IF(AND(ISNUMBER($T61),$T61&lt;&gt;""),IF(INDEX(Calc!$AA$3:$AA$122,$T61)="","—",INDEX(Calc!$AA$3:$AA$122,$T61)),"")</f>
        <v/>
      </c>
      <c r="J61" s="20">
        <f>IF(AND(ISNUMBER($T61),$T61&lt;&gt;""),IF(INDEX(Calc!$AB$3:$AB$122,$T61)="","—",INDEX(Calc!$AB$3:$AB$122,$T61)),"")</f>
        <v/>
      </c>
      <c r="K61" s="20">
        <f>IF(AND(ISNUMBER($T61),$T61&lt;&gt;""),IF(INDEX(Calc!$AC$3:$AC$122,$T61)="","—",INDEX(Calc!$AC$3:$AC$122,$T61)),"")</f>
        <v/>
      </c>
      <c r="L61" s="20">
        <f>IF(AND(ISNUMBER($T61),$T61&lt;&gt;""),IF(INDEX(Calc!$AD$3:$AD$122,$T61)="","—",INDEX(Calc!$AD$3:$AD$122,$T61)),"")</f>
        <v/>
      </c>
      <c r="M61" s="20">
        <f>IF(AND(ISNUMBER($T61),$T61&lt;&gt;""),IF(INDEX(Calc!$AE$3:$AE$122,$T61)="","—",INDEX(Calc!$AE$3:$AE$122,$T61)),"")</f>
        <v/>
      </c>
      <c r="N61" s="20">
        <f>IF(AND(ISNUMBER($T61),$T61&lt;&gt;""),IF(INDEX(Calc!$AF$3:$AF$122,$T61)="","—",INDEX(Calc!$AF$3:$AF$122,$T61)),"")</f>
        <v/>
      </c>
      <c r="O61" s="20">
        <f>IF(AND(ISNUMBER($T61),$T61&lt;&gt;""),IF(INDEX(Calc!$AG$3:$AG$122,$T61)="","—",INDEX(Calc!$AG$3:$AG$122,$T61)),"")</f>
        <v/>
      </c>
      <c r="P61" s="21">
        <f>IF(AND(ISNUMBER($T61),$T61&lt;&gt;""),IF(INDEX(Calc!$AJ$3:$AJ$122,$T61)="","—",INDEX(Calc!$AJ$3:$AJ$122,$T61)),"")</f>
        <v/>
      </c>
      <c r="Q61" s="21">
        <f>IF(AND(ISNUMBER($T61),$T61&lt;&gt;""),IF(INDEX(Calc!$AK$3:$AK$122,$T61)="","—",INDEX(Calc!$AK$3:$AK$122,$T61)),"")</f>
        <v/>
      </c>
      <c r="R61" s="20">
        <f>IF(AND(ISNUMBER($T61),$T61&lt;&gt;""),IF(INDEX(Calc!$AL$3:$AL$122,$T61)="","—",INDEX(Calc!$AL$3:$AL$122,$T61)),"")</f>
        <v/>
      </c>
      <c r="T61">
        <f>IFERROR(MATCH(57,Calc!$AN$3:$AN$122,0),"")</f>
        <v/>
      </c>
    </row>
    <row r="62">
      <c r="A62" s="14">
        <f>IF(AND(ISNUMBER($T62),$T62&lt;&gt;""),INDEX(Calc!$S$3:$S$122,$T62),"")</f>
        <v/>
      </c>
      <c r="B62" s="15">
        <f>IF(AND(ISNUMBER($T62),$T62&lt;&gt;""),IF(INDEX(Calc!$T$3:$T$122,$T62)="","—",INDEX(Calc!$T$3:$T$122,$T62)),"")</f>
        <v/>
      </c>
      <c r="C62" s="15">
        <f>IF(AND(ISNUMBER($T62),$T62&lt;&gt;""),IF(INDEX(Calc!$U$3:$U$122,$T62)="","—",INDEX(Calc!$U$3:$U$122,$T62)),"")</f>
        <v/>
      </c>
      <c r="D62" s="15">
        <f>IF(AND(ISNUMBER($T62),$T62&lt;&gt;""),IF(INDEX(Calc!$V$3:$V$122,$T62)="","—",INDEX(Calc!$V$3:$V$122,$T62)),"")</f>
        <v/>
      </c>
      <c r="E62" s="15">
        <f>IF(AND(ISNUMBER($T62),$T62&lt;&gt;""),IF(INDEX(Calc!$W$3:$W$122,$T62)="","—",INDEX(Calc!$W$3:$W$122,$T62)),"")</f>
        <v/>
      </c>
      <c r="F62" s="15">
        <f>IF(AND(ISNUMBER($T62),$T62&lt;&gt;""),IF(INDEX(Calc!$X$3:$X$122,$T62)="","—",INDEX(Calc!$X$3:$X$122,$T62)),"")</f>
        <v/>
      </c>
      <c r="G62" s="15">
        <f>IF(AND(ISNUMBER($T62),$T62&lt;&gt;""),IF(INDEX(Calc!$Y$3:$Y$122,$T62)="","—",INDEX(Calc!$Y$3:$Y$122,$T62)),"")</f>
        <v/>
      </c>
      <c r="H62" s="15">
        <f>IF(AND(ISNUMBER($T62),$T62&lt;&gt;""),IF(INDEX(Calc!$Z$3:$Z$122,$T62)="","—",INDEX(Calc!$Z$3:$Z$122,$T62)),"")</f>
        <v/>
      </c>
      <c r="I62" s="15">
        <f>IF(AND(ISNUMBER($T62),$T62&lt;&gt;""),IF(INDEX(Calc!$AA$3:$AA$122,$T62)="","—",INDEX(Calc!$AA$3:$AA$122,$T62)),"")</f>
        <v/>
      </c>
      <c r="J62" s="15">
        <f>IF(AND(ISNUMBER($T62),$T62&lt;&gt;""),IF(INDEX(Calc!$AB$3:$AB$122,$T62)="","—",INDEX(Calc!$AB$3:$AB$122,$T62)),"")</f>
        <v/>
      </c>
      <c r="K62" s="15">
        <f>IF(AND(ISNUMBER($T62),$T62&lt;&gt;""),IF(INDEX(Calc!$AC$3:$AC$122,$T62)="","—",INDEX(Calc!$AC$3:$AC$122,$T62)),"")</f>
        <v/>
      </c>
      <c r="L62" s="15">
        <f>IF(AND(ISNUMBER($T62),$T62&lt;&gt;""),IF(INDEX(Calc!$AD$3:$AD$122,$T62)="","—",INDEX(Calc!$AD$3:$AD$122,$T62)),"")</f>
        <v/>
      </c>
      <c r="M62" s="15">
        <f>IF(AND(ISNUMBER($T62),$T62&lt;&gt;""),IF(INDEX(Calc!$AE$3:$AE$122,$T62)="","—",INDEX(Calc!$AE$3:$AE$122,$T62)),"")</f>
        <v/>
      </c>
      <c r="N62" s="15">
        <f>IF(AND(ISNUMBER($T62),$T62&lt;&gt;""),IF(INDEX(Calc!$AF$3:$AF$122,$T62)="","—",INDEX(Calc!$AF$3:$AF$122,$T62)),"")</f>
        <v/>
      </c>
      <c r="O62" s="15">
        <f>IF(AND(ISNUMBER($T62),$T62&lt;&gt;""),IF(INDEX(Calc!$AG$3:$AG$122,$T62)="","—",INDEX(Calc!$AG$3:$AG$122,$T62)),"")</f>
        <v/>
      </c>
      <c r="P62" s="16">
        <f>IF(AND(ISNUMBER($T62),$T62&lt;&gt;""),IF(INDEX(Calc!$AJ$3:$AJ$122,$T62)="","—",INDEX(Calc!$AJ$3:$AJ$122,$T62)),"")</f>
        <v/>
      </c>
      <c r="Q62" s="16">
        <f>IF(AND(ISNUMBER($T62),$T62&lt;&gt;""),IF(INDEX(Calc!$AK$3:$AK$122,$T62)="","—",INDEX(Calc!$AK$3:$AK$122,$T62)),"")</f>
        <v/>
      </c>
      <c r="R62" s="15">
        <f>IF(AND(ISNUMBER($T62),$T62&lt;&gt;""),IF(INDEX(Calc!$AL$3:$AL$122,$T62)="","—",INDEX(Calc!$AL$3:$AL$122,$T62)),"")</f>
        <v/>
      </c>
      <c r="T62">
        <f>IFERROR(MATCH(58,Calc!$AN$3:$AN$122,0),"")</f>
        <v/>
      </c>
    </row>
    <row r="63">
      <c r="A63" s="19">
        <f>IF(AND(ISNUMBER($T63),$T63&lt;&gt;""),INDEX(Calc!$S$3:$S$122,$T63),"")</f>
        <v/>
      </c>
      <c r="B63" s="20">
        <f>IF(AND(ISNUMBER($T63),$T63&lt;&gt;""),IF(INDEX(Calc!$T$3:$T$122,$T63)="","—",INDEX(Calc!$T$3:$T$122,$T63)),"")</f>
        <v/>
      </c>
      <c r="C63" s="20">
        <f>IF(AND(ISNUMBER($T63),$T63&lt;&gt;""),IF(INDEX(Calc!$U$3:$U$122,$T63)="","—",INDEX(Calc!$U$3:$U$122,$T63)),"")</f>
        <v/>
      </c>
      <c r="D63" s="20">
        <f>IF(AND(ISNUMBER($T63),$T63&lt;&gt;""),IF(INDEX(Calc!$V$3:$V$122,$T63)="","—",INDEX(Calc!$V$3:$V$122,$T63)),"")</f>
        <v/>
      </c>
      <c r="E63" s="20">
        <f>IF(AND(ISNUMBER($T63),$T63&lt;&gt;""),IF(INDEX(Calc!$W$3:$W$122,$T63)="","—",INDEX(Calc!$W$3:$W$122,$T63)),"")</f>
        <v/>
      </c>
      <c r="F63" s="20">
        <f>IF(AND(ISNUMBER($T63),$T63&lt;&gt;""),IF(INDEX(Calc!$X$3:$X$122,$T63)="","—",INDEX(Calc!$X$3:$X$122,$T63)),"")</f>
        <v/>
      </c>
      <c r="G63" s="20">
        <f>IF(AND(ISNUMBER($T63),$T63&lt;&gt;""),IF(INDEX(Calc!$Y$3:$Y$122,$T63)="","—",INDEX(Calc!$Y$3:$Y$122,$T63)),"")</f>
        <v/>
      </c>
      <c r="H63" s="20">
        <f>IF(AND(ISNUMBER($T63),$T63&lt;&gt;""),IF(INDEX(Calc!$Z$3:$Z$122,$T63)="","—",INDEX(Calc!$Z$3:$Z$122,$T63)),"")</f>
        <v/>
      </c>
      <c r="I63" s="20">
        <f>IF(AND(ISNUMBER($T63),$T63&lt;&gt;""),IF(INDEX(Calc!$AA$3:$AA$122,$T63)="","—",INDEX(Calc!$AA$3:$AA$122,$T63)),"")</f>
        <v/>
      </c>
      <c r="J63" s="20">
        <f>IF(AND(ISNUMBER($T63),$T63&lt;&gt;""),IF(INDEX(Calc!$AB$3:$AB$122,$T63)="","—",INDEX(Calc!$AB$3:$AB$122,$T63)),"")</f>
        <v/>
      </c>
      <c r="K63" s="20">
        <f>IF(AND(ISNUMBER($T63),$T63&lt;&gt;""),IF(INDEX(Calc!$AC$3:$AC$122,$T63)="","—",INDEX(Calc!$AC$3:$AC$122,$T63)),"")</f>
        <v/>
      </c>
      <c r="L63" s="20">
        <f>IF(AND(ISNUMBER($T63),$T63&lt;&gt;""),IF(INDEX(Calc!$AD$3:$AD$122,$T63)="","—",INDEX(Calc!$AD$3:$AD$122,$T63)),"")</f>
        <v/>
      </c>
      <c r="M63" s="20">
        <f>IF(AND(ISNUMBER($T63),$T63&lt;&gt;""),IF(INDEX(Calc!$AE$3:$AE$122,$T63)="","—",INDEX(Calc!$AE$3:$AE$122,$T63)),"")</f>
        <v/>
      </c>
      <c r="N63" s="20">
        <f>IF(AND(ISNUMBER($T63),$T63&lt;&gt;""),IF(INDEX(Calc!$AF$3:$AF$122,$T63)="","—",INDEX(Calc!$AF$3:$AF$122,$T63)),"")</f>
        <v/>
      </c>
      <c r="O63" s="20">
        <f>IF(AND(ISNUMBER($T63),$T63&lt;&gt;""),IF(INDEX(Calc!$AG$3:$AG$122,$T63)="","—",INDEX(Calc!$AG$3:$AG$122,$T63)),"")</f>
        <v/>
      </c>
      <c r="P63" s="21">
        <f>IF(AND(ISNUMBER($T63),$T63&lt;&gt;""),IF(INDEX(Calc!$AJ$3:$AJ$122,$T63)="","—",INDEX(Calc!$AJ$3:$AJ$122,$T63)),"")</f>
        <v/>
      </c>
      <c r="Q63" s="21">
        <f>IF(AND(ISNUMBER($T63),$T63&lt;&gt;""),IF(INDEX(Calc!$AK$3:$AK$122,$T63)="","—",INDEX(Calc!$AK$3:$AK$122,$T63)),"")</f>
        <v/>
      </c>
      <c r="R63" s="20">
        <f>IF(AND(ISNUMBER($T63),$T63&lt;&gt;""),IF(INDEX(Calc!$AL$3:$AL$122,$T63)="","—",INDEX(Calc!$AL$3:$AL$122,$T63)),"")</f>
        <v/>
      </c>
      <c r="T63">
        <f>IFERROR(MATCH(59,Calc!$AN$3:$AN$122,0),"")</f>
        <v/>
      </c>
    </row>
    <row r="64">
      <c r="A64" s="14">
        <f>IF(AND(ISNUMBER($T64),$T64&lt;&gt;""),INDEX(Calc!$S$3:$S$122,$T64),"")</f>
        <v/>
      </c>
      <c r="B64" s="15">
        <f>IF(AND(ISNUMBER($T64),$T64&lt;&gt;""),IF(INDEX(Calc!$T$3:$T$122,$T64)="","—",INDEX(Calc!$T$3:$T$122,$T64)),"")</f>
        <v/>
      </c>
      <c r="C64" s="15">
        <f>IF(AND(ISNUMBER($T64),$T64&lt;&gt;""),IF(INDEX(Calc!$U$3:$U$122,$T64)="","—",INDEX(Calc!$U$3:$U$122,$T64)),"")</f>
        <v/>
      </c>
      <c r="D64" s="15">
        <f>IF(AND(ISNUMBER($T64),$T64&lt;&gt;""),IF(INDEX(Calc!$V$3:$V$122,$T64)="","—",INDEX(Calc!$V$3:$V$122,$T64)),"")</f>
        <v/>
      </c>
      <c r="E64" s="15">
        <f>IF(AND(ISNUMBER($T64),$T64&lt;&gt;""),IF(INDEX(Calc!$W$3:$W$122,$T64)="","—",INDEX(Calc!$W$3:$W$122,$T64)),"")</f>
        <v/>
      </c>
      <c r="F64" s="15">
        <f>IF(AND(ISNUMBER($T64),$T64&lt;&gt;""),IF(INDEX(Calc!$X$3:$X$122,$T64)="","—",INDEX(Calc!$X$3:$X$122,$T64)),"")</f>
        <v/>
      </c>
      <c r="G64" s="15">
        <f>IF(AND(ISNUMBER($T64),$T64&lt;&gt;""),IF(INDEX(Calc!$Y$3:$Y$122,$T64)="","—",INDEX(Calc!$Y$3:$Y$122,$T64)),"")</f>
        <v/>
      </c>
      <c r="H64" s="15">
        <f>IF(AND(ISNUMBER($T64),$T64&lt;&gt;""),IF(INDEX(Calc!$Z$3:$Z$122,$T64)="","—",INDEX(Calc!$Z$3:$Z$122,$T64)),"")</f>
        <v/>
      </c>
      <c r="I64" s="15">
        <f>IF(AND(ISNUMBER($T64),$T64&lt;&gt;""),IF(INDEX(Calc!$AA$3:$AA$122,$T64)="","—",INDEX(Calc!$AA$3:$AA$122,$T64)),"")</f>
        <v/>
      </c>
      <c r="J64" s="15">
        <f>IF(AND(ISNUMBER($T64),$T64&lt;&gt;""),IF(INDEX(Calc!$AB$3:$AB$122,$T64)="","—",INDEX(Calc!$AB$3:$AB$122,$T64)),"")</f>
        <v/>
      </c>
      <c r="K64" s="15">
        <f>IF(AND(ISNUMBER($T64),$T64&lt;&gt;""),IF(INDEX(Calc!$AC$3:$AC$122,$T64)="","—",INDEX(Calc!$AC$3:$AC$122,$T64)),"")</f>
        <v/>
      </c>
      <c r="L64" s="15">
        <f>IF(AND(ISNUMBER($T64),$T64&lt;&gt;""),IF(INDEX(Calc!$AD$3:$AD$122,$T64)="","—",INDEX(Calc!$AD$3:$AD$122,$T64)),"")</f>
        <v/>
      </c>
      <c r="M64" s="15">
        <f>IF(AND(ISNUMBER($T64),$T64&lt;&gt;""),IF(INDEX(Calc!$AE$3:$AE$122,$T64)="","—",INDEX(Calc!$AE$3:$AE$122,$T64)),"")</f>
        <v/>
      </c>
      <c r="N64" s="15">
        <f>IF(AND(ISNUMBER($T64),$T64&lt;&gt;""),IF(INDEX(Calc!$AF$3:$AF$122,$T64)="","—",INDEX(Calc!$AF$3:$AF$122,$T64)),"")</f>
        <v/>
      </c>
      <c r="O64" s="15">
        <f>IF(AND(ISNUMBER($T64),$T64&lt;&gt;""),IF(INDEX(Calc!$AG$3:$AG$122,$T64)="","—",INDEX(Calc!$AG$3:$AG$122,$T64)),"")</f>
        <v/>
      </c>
      <c r="P64" s="16">
        <f>IF(AND(ISNUMBER($T64),$T64&lt;&gt;""),IF(INDEX(Calc!$AJ$3:$AJ$122,$T64)="","—",INDEX(Calc!$AJ$3:$AJ$122,$T64)),"")</f>
        <v/>
      </c>
      <c r="Q64" s="16">
        <f>IF(AND(ISNUMBER($T64),$T64&lt;&gt;""),IF(INDEX(Calc!$AK$3:$AK$122,$T64)="","—",INDEX(Calc!$AK$3:$AK$122,$T64)),"")</f>
        <v/>
      </c>
      <c r="R64" s="15">
        <f>IF(AND(ISNUMBER($T64),$T64&lt;&gt;""),IF(INDEX(Calc!$AL$3:$AL$122,$T64)="","—",INDEX(Calc!$AL$3:$AL$122,$T64)),"")</f>
        <v/>
      </c>
      <c r="T64">
        <f>IFERROR(MATCH(60,Calc!$AN$3:$AN$122,0),"")</f>
        <v/>
      </c>
    </row>
    <row r="65">
      <c r="A65" s="19">
        <f>IF(AND(ISNUMBER($T65),$T65&lt;&gt;""),INDEX(Calc!$S$3:$S$122,$T65),"")</f>
        <v/>
      </c>
      <c r="B65" s="20">
        <f>IF(AND(ISNUMBER($T65),$T65&lt;&gt;""),IF(INDEX(Calc!$T$3:$T$122,$T65)="","—",INDEX(Calc!$T$3:$T$122,$T65)),"")</f>
        <v/>
      </c>
      <c r="C65" s="20">
        <f>IF(AND(ISNUMBER($T65),$T65&lt;&gt;""),IF(INDEX(Calc!$U$3:$U$122,$T65)="","—",INDEX(Calc!$U$3:$U$122,$T65)),"")</f>
        <v/>
      </c>
      <c r="D65" s="20">
        <f>IF(AND(ISNUMBER($T65),$T65&lt;&gt;""),IF(INDEX(Calc!$V$3:$V$122,$T65)="","—",INDEX(Calc!$V$3:$V$122,$T65)),"")</f>
        <v/>
      </c>
      <c r="E65" s="20">
        <f>IF(AND(ISNUMBER($T65),$T65&lt;&gt;""),IF(INDEX(Calc!$W$3:$W$122,$T65)="","—",INDEX(Calc!$W$3:$W$122,$T65)),"")</f>
        <v/>
      </c>
      <c r="F65" s="20">
        <f>IF(AND(ISNUMBER($T65),$T65&lt;&gt;""),IF(INDEX(Calc!$X$3:$X$122,$T65)="","—",INDEX(Calc!$X$3:$X$122,$T65)),"")</f>
        <v/>
      </c>
      <c r="G65" s="20">
        <f>IF(AND(ISNUMBER($T65),$T65&lt;&gt;""),IF(INDEX(Calc!$Y$3:$Y$122,$T65)="","—",INDEX(Calc!$Y$3:$Y$122,$T65)),"")</f>
        <v/>
      </c>
      <c r="H65" s="20">
        <f>IF(AND(ISNUMBER($T65),$T65&lt;&gt;""),IF(INDEX(Calc!$Z$3:$Z$122,$T65)="","—",INDEX(Calc!$Z$3:$Z$122,$T65)),"")</f>
        <v/>
      </c>
      <c r="I65" s="20">
        <f>IF(AND(ISNUMBER($T65),$T65&lt;&gt;""),IF(INDEX(Calc!$AA$3:$AA$122,$T65)="","—",INDEX(Calc!$AA$3:$AA$122,$T65)),"")</f>
        <v/>
      </c>
      <c r="J65" s="20">
        <f>IF(AND(ISNUMBER($T65),$T65&lt;&gt;""),IF(INDEX(Calc!$AB$3:$AB$122,$T65)="","—",INDEX(Calc!$AB$3:$AB$122,$T65)),"")</f>
        <v/>
      </c>
      <c r="K65" s="20">
        <f>IF(AND(ISNUMBER($T65),$T65&lt;&gt;""),IF(INDEX(Calc!$AC$3:$AC$122,$T65)="","—",INDEX(Calc!$AC$3:$AC$122,$T65)),"")</f>
        <v/>
      </c>
      <c r="L65" s="20">
        <f>IF(AND(ISNUMBER($T65),$T65&lt;&gt;""),IF(INDEX(Calc!$AD$3:$AD$122,$T65)="","—",INDEX(Calc!$AD$3:$AD$122,$T65)),"")</f>
        <v/>
      </c>
      <c r="M65" s="20">
        <f>IF(AND(ISNUMBER($T65),$T65&lt;&gt;""),IF(INDEX(Calc!$AE$3:$AE$122,$T65)="","—",INDEX(Calc!$AE$3:$AE$122,$T65)),"")</f>
        <v/>
      </c>
      <c r="N65" s="20">
        <f>IF(AND(ISNUMBER($T65),$T65&lt;&gt;""),IF(INDEX(Calc!$AF$3:$AF$122,$T65)="","—",INDEX(Calc!$AF$3:$AF$122,$T65)),"")</f>
        <v/>
      </c>
      <c r="O65" s="20">
        <f>IF(AND(ISNUMBER($T65),$T65&lt;&gt;""),IF(INDEX(Calc!$AG$3:$AG$122,$T65)="","—",INDEX(Calc!$AG$3:$AG$122,$T65)),"")</f>
        <v/>
      </c>
      <c r="P65" s="21">
        <f>IF(AND(ISNUMBER($T65),$T65&lt;&gt;""),IF(INDEX(Calc!$AJ$3:$AJ$122,$T65)="","—",INDEX(Calc!$AJ$3:$AJ$122,$T65)),"")</f>
        <v/>
      </c>
      <c r="Q65" s="21">
        <f>IF(AND(ISNUMBER($T65),$T65&lt;&gt;""),IF(INDEX(Calc!$AK$3:$AK$122,$T65)="","—",INDEX(Calc!$AK$3:$AK$122,$T65)),"")</f>
        <v/>
      </c>
      <c r="R65" s="20">
        <f>IF(AND(ISNUMBER($T65),$T65&lt;&gt;""),IF(INDEX(Calc!$AL$3:$AL$122,$T65)="","—",INDEX(Calc!$AL$3:$AL$122,$T65)),"")</f>
        <v/>
      </c>
      <c r="T65">
        <f>IFERROR(MATCH(61,Calc!$AN$3:$AN$122,0),"")</f>
        <v/>
      </c>
    </row>
    <row r="66">
      <c r="A66" s="14">
        <f>IF(AND(ISNUMBER($T66),$T66&lt;&gt;""),INDEX(Calc!$S$3:$S$122,$T66),"")</f>
        <v/>
      </c>
      <c r="B66" s="15">
        <f>IF(AND(ISNUMBER($T66),$T66&lt;&gt;""),IF(INDEX(Calc!$T$3:$T$122,$T66)="","—",INDEX(Calc!$T$3:$T$122,$T66)),"")</f>
        <v/>
      </c>
      <c r="C66" s="15">
        <f>IF(AND(ISNUMBER($T66),$T66&lt;&gt;""),IF(INDEX(Calc!$U$3:$U$122,$T66)="","—",INDEX(Calc!$U$3:$U$122,$T66)),"")</f>
        <v/>
      </c>
      <c r="D66" s="15">
        <f>IF(AND(ISNUMBER($T66),$T66&lt;&gt;""),IF(INDEX(Calc!$V$3:$V$122,$T66)="","—",INDEX(Calc!$V$3:$V$122,$T66)),"")</f>
        <v/>
      </c>
      <c r="E66" s="15">
        <f>IF(AND(ISNUMBER($T66),$T66&lt;&gt;""),IF(INDEX(Calc!$W$3:$W$122,$T66)="","—",INDEX(Calc!$W$3:$W$122,$T66)),"")</f>
        <v/>
      </c>
      <c r="F66" s="15">
        <f>IF(AND(ISNUMBER($T66),$T66&lt;&gt;""),IF(INDEX(Calc!$X$3:$X$122,$T66)="","—",INDEX(Calc!$X$3:$X$122,$T66)),"")</f>
        <v/>
      </c>
      <c r="G66" s="15">
        <f>IF(AND(ISNUMBER($T66),$T66&lt;&gt;""),IF(INDEX(Calc!$Y$3:$Y$122,$T66)="","—",INDEX(Calc!$Y$3:$Y$122,$T66)),"")</f>
        <v/>
      </c>
      <c r="H66" s="15">
        <f>IF(AND(ISNUMBER($T66),$T66&lt;&gt;""),IF(INDEX(Calc!$Z$3:$Z$122,$T66)="","—",INDEX(Calc!$Z$3:$Z$122,$T66)),"")</f>
        <v/>
      </c>
      <c r="I66" s="15">
        <f>IF(AND(ISNUMBER($T66),$T66&lt;&gt;""),IF(INDEX(Calc!$AA$3:$AA$122,$T66)="","—",INDEX(Calc!$AA$3:$AA$122,$T66)),"")</f>
        <v/>
      </c>
      <c r="J66" s="15">
        <f>IF(AND(ISNUMBER($T66),$T66&lt;&gt;""),IF(INDEX(Calc!$AB$3:$AB$122,$T66)="","—",INDEX(Calc!$AB$3:$AB$122,$T66)),"")</f>
        <v/>
      </c>
      <c r="K66" s="15">
        <f>IF(AND(ISNUMBER($T66),$T66&lt;&gt;""),IF(INDEX(Calc!$AC$3:$AC$122,$T66)="","—",INDEX(Calc!$AC$3:$AC$122,$T66)),"")</f>
        <v/>
      </c>
      <c r="L66" s="15">
        <f>IF(AND(ISNUMBER($T66),$T66&lt;&gt;""),IF(INDEX(Calc!$AD$3:$AD$122,$T66)="","—",INDEX(Calc!$AD$3:$AD$122,$T66)),"")</f>
        <v/>
      </c>
      <c r="M66" s="15">
        <f>IF(AND(ISNUMBER($T66),$T66&lt;&gt;""),IF(INDEX(Calc!$AE$3:$AE$122,$T66)="","—",INDEX(Calc!$AE$3:$AE$122,$T66)),"")</f>
        <v/>
      </c>
      <c r="N66" s="15">
        <f>IF(AND(ISNUMBER($T66),$T66&lt;&gt;""),IF(INDEX(Calc!$AF$3:$AF$122,$T66)="","—",INDEX(Calc!$AF$3:$AF$122,$T66)),"")</f>
        <v/>
      </c>
      <c r="O66" s="15">
        <f>IF(AND(ISNUMBER($T66),$T66&lt;&gt;""),IF(INDEX(Calc!$AG$3:$AG$122,$T66)="","—",INDEX(Calc!$AG$3:$AG$122,$T66)),"")</f>
        <v/>
      </c>
      <c r="P66" s="16">
        <f>IF(AND(ISNUMBER($T66),$T66&lt;&gt;""),IF(INDEX(Calc!$AJ$3:$AJ$122,$T66)="","—",INDEX(Calc!$AJ$3:$AJ$122,$T66)),"")</f>
        <v/>
      </c>
      <c r="Q66" s="16">
        <f>IF(AND(ISNUMBER($T66),$T66&lt;&gt;""),IF(INDEX(Calc!$AK$3:$AK$122,$T66)="","—",INDEX(Calc!$AK$3:$AK$122,$T66)),"")</f>
        <v/>
      </c>
      <c r="R66" s="15">
        <f>IF(AND(ISNUMBER($T66),$T66&lt;&gt;""),IF(INDEX(Calc!$AL$3:$AL$122,$T66)="","—",INDEX(Calc!$AL$3:$AL$122,$T66)),"")</f>
        <v/>
      </c>
      <c r="T66">
        <f>IFERROR(MATCH(62,Calc!$AN$3:$AN$122,0),"")</f>
        <v/>
      </c>
    </row>
    <row r="67">
      <c r="A67" s="19">
        <f>IF(AND(ISNUMBER($T67),$T67&lt;&gt;""),INDEX(Calc!$S$3:$S$122,$T67),"")</f>
        <v/>
      </c>
      <c r="B67" s="20">
        <f>IF(AND(ISNUMBER($T67),$T67&lt;&gt;""),IF(INDEX(Calc!$T$3:$T$122,$T67)="","—",INDEX(Calc!$T$3:$T$122,$T67)),"")</f>
        <v/>
      </c>
      <c r="C67" s="20">
        <f>IF(AND(ISNUMBER($T67),$T67&lt;&gt;""),IF(INDEX(Calc!$U$3:$U$122,$T67)="","—",INDEX(Calc!$U$3:$U$122,$T67)),"")</f>
        <v/>
      </c>
      <c r="D67" s="20">
        <f>IF(AND(ISNUMBER($T67),$T67&lt;&gt;""),IF(INDEX(Calc!$V$3:$V$122,$T67)="","—",INDEX(Calc!$V$3:$V$122,$T67)),"")</f>
        <v/>
      </c>
      <c r="E67" s="20">
        <f>IF(AND(ISNUMBER($T67),$T67&lt;&gt;""),IF(INDEX(Calc!$W$3:$W$122,$T67)="","—",INDEX(Calc!$W$3:$W$122,$T67)),"")</f>
        <v/>
      </c>
      <c r="F67" s="20">
        <f>IF(AND(ISNUMBER($T67),$T67&lt;&gt;""),IF(INDEX(Calc!$X$3:$X$122,$T67)="","—",INDEX(Calc!$X$3:$X$122,$T67)),"")</f>
        <v/>
      </c>
      <c r="G67" s="20">
        <f>IF(AND(ISNUMBER($T67),$T67&lt;&gt;""),IF(INDEX(Calc!$Y$3:$Y$122,$T67)="","—",INDEX(Calc!$Y$3:$Y$122,$T67)),"")</f>
        <v/>
      </c>
      <c r="H67" s="20">
        <f>IF(AND(ISNUMBER($T67),$T67&lt;&gt;""),IF(INDEX(Calc!$Z$3:$Z$122,$T67)="","—",INDEX(Calc!$Z$3:$Z$122,$T67)),"")</f>
        <v/>
      </c>
      <c r="I67" s="20">
        <f>IF(AND(ISNUMBER($T67),$T67&lt;&gt;""),IF(INDEX(Calc!$AA$3:$AA$122,$T67)="","—",INDEX(Calc!$AA$3:$AA$122,$T67)),"")</f>
        <v/>
      </c>
      <c r="J67" s="20">
        <f>IF(AND(ISNUMBER($T67),$T67&lt;&gt;""),IF(INDEX(Calc!$AB$3:$AB$122,$T67)="","—",INDEX(Calc!$AB$3:$AB$122,$T67)),"")</f>
        <v/>
      </c>
      <c r="K67" s="20">
        <f>IF(AND(ISNUMBER($T67),$T67&lt;&gt;""),IF(INDEX(Calc!$AC$3:$AC$122,$T67)="","—",INDEX(Calc!$AC$3:$AC$122,$T67)),"")</f>
        <v/>
      </c>
      <c r="L67" s="20">
        <f>IF(AND(ISNUMBER($T67),$T67&lt;&gt;""),IF(INDEX(Calc!$AD$3:$AD$122,$T67)="","—",INDEX(Calc!$AD$3:$AD$122,$T67)),"")</f>
        <v/>
      </c>
      <c r="M67" s="20">
        <f>IF(AND(ISNUMBER($T67),$T67&lt;&gt;""),IF(INDEX(Calc!$AE$3:$AE$122,$T67)="","—",INDEX(Calc!$AE$3:$AE$122,$T67)),"")</f>
        <v/>
      </c>
      <c r="N67" s="20">
        <f>IF(AND(ISNUMBER($T67),$T67&lt;&gt;""),IF(INDEX(Calc!$AF$3:$AF$122,$T67)="","—",INDEX(Calc!$AF$3:$AF$122,$T67)),"")</f>
        <v/>
      </c>
      <c r="O67" s="20">
        <f>IF(AND(ISNUMBER($T67),$T67&lt;&gt;""),IF(INDEX(Calc!$AG$3:$AG$122,$T67)="","—",INDEX(Calc!$AG$3:$AG$122,$T67)),"")</f>
        <v/>
      </c>
      <c r="P67" s="21">
        <f>IF(AND(ISNUMBER($T67),$T67&lt;&gt;""),IF(INDEX(Calc!$AJ$3:$AJ$122,$T67)="","—",INDEX(Calc!$AJ$3:$AJ$122,$T67)),"")</f>
        <v/>
      </c>
      <c r="Q67" s="21">
        <f>IF(AND(ISNUMBER($T67),$T67&lt;&gt;""),IF(INDEX(Calc!$AK$3:$AK$122,$T67)="","—",INDEX(Calc!$AK$3:$AK$122,$T67)),"")</f>
        <v/>
      </c>
      <c r="R67" s="20">
        <f>IF(AND(ISNUMBER($T67),$T67&lt;&gt;""),IF(INDEX(Calc!$AL$3:$AL$122,$T67)="","—",INDEX(Calc!$AL$3:$AL$122,$T67)),"")</f>
        <v/>
      </c>
      <c r="T67">
        <f>IFERROR(MATCH(63,Calc!$AN$3:$AN$122,0),"")</f>
        <v/>
      </c>
    </row>
    <row r="68">
      <c r="A68" s="14">
        <f>IF(AND(ISNUMBER($T68),$T68&lt;&gt;""),INDEX(Calc!$S$3:$S$122,$T68),"")</f>
        <v/>
      </c>
      <c r="B68" s="15">
        <f>IF(AND(ISNUMBER($T68),$T68&lt;&gt;""),IF(INDEX(Calc!$T$3:$T$122,$T68)="","—",INDEX(Calc!$T$3:$T$122,$T68)),"")</f>
        <v/>
      </c>
      <c r="C68" s="15">
        <f>IF(AND(ISNUMBER($T68),$T68&lt;&gt;""),IF(INDEX(Calc!$U$3:$U$122,$T68)="","—",INDEX(Calc!$U$3:$U$122,$T68)),"")</f>
        <v/>
      </c>
      <c r="D68" s="15">
        <f>IF(AND(ISNUMBER($T68),$T68&lt;&gt;""),IF(INDEX(Calc!$V$3:$V$122,$T68)="","—",INDEX(Calc!$V$3:$V$122,$T68)),"")</f>
        <v/>
      </c>
      <c r="E68" s="15">
        <f>IF(AND(ISNUMBER($T68),$T68&lt;&gt;""),IF(INDEX(Calc!$W$3:$W$122,$T68)="","—",INDEX(Calc!$W$3:$W$122,$T68)),"")</f>
        <v/>
      </c>
      <c r="F68" s="15">
        <f>IF(AND(ISNUMBER($T68),$T68&lt;&gt;""),IF(INDEX(Calc!$X$3:$X$122,$T68)="","—",INDEX(Calc!$X$3:$X$122,$T68)),"")</f>
        <v/>
      </c>
      <c r="G68" s="15">
        <f>IF(AND(ISNUMBER($T68),$T68&lt;&gt;""),IF(INDEX(Calc!$Y$3:$Y$122,$T68)="","—",INDEX(Calc!$Y$3:$Y$122,$T68)),"")</f>
        <v/>
      </c>
      <c r="H68" s="15">
        <f>IF(AND(ISNUMBER($T68),$T68&lt;&gt;""),IF(INDEX(Calc!$Z$3:$Z$122,$T68)="","—",INDEX(Calc!$Z$3:$Z$122,$T68)),"")</f>
        <v/>
      </c>
      <c r="I68" s="15">
        <f>IF(AND(ISNUMBER($T68),$T68&lt;&gt;""),IF(INDEX(Calc!$AA$3:$AA$122,$T68)="","—",INDEX(Calc!$AA$3:$AA$122,$T68)),"")</f>
        <v/>
      </c>
      <c r="J68" s="15">
        <f>IF(AND(ISNUMBER($T68),$T68&lt;&gt;""),IF(INDEX(Calc!$AB$3:$AB$122,$T68)="","—",INDEX(Calc!$AB$3:$AB$122,$T68)),"")</f>
        <v/>
      </c>
      <c r="K68" s="15">
        <f>IF(AND(ISNUMBER($T68),$T68&lt;&gt;""),IF(INDEX(Calc!$AC$3:$AC$122,$T68)="","—",INDEX(Calc!$AC$3:$AC$122,$T68)),"")</f>
        <v/>
      </c>
      <c r="L68" s="15">
        <f>IF(AND(ISNUMBER($T68),$T68&lt;&gt;""),IF(INDEX(Calc!$AD$3:$AD$122,$T68)="","—",INDEX(Calc!$AD$3:$AD$122,$T68)),"")</f>
        <v/>
      </c>
      <c r="M68" s="15">
        <f>IF(AND(ISNUMBER($T68),$T68&lt;&gt;""),IF(INDEX(Calc!$AE$3:$AE$122,$T68)="","—",INDEX(Calc!$AE$3:$AE$122,$T68)),"")</f>
        <v/>
      </c>
      <c r="N68" s="15">
        <f>IF(AND(ISNUMBER($T68),$T68&lt;&gt;""),IF(INDEX(Calc!$AF$3:$AF$122,$T68)="","—",INDEX(Calc!$AF$3:$AF$122,$T68)),"")</f>
        <v/>
      </c>
      <c r="O68" s="15">
        <f>IF(AND(ISNUMBER($T68),$T68&lt;&gt;""),IF(INDEX(Calc!$AG$3:$AG$122,$T68)="","—",INDEX(Calc!$AG$3:$AG$122,$T68)),"")</f>
        <v/>
      </c>
      <c r="P68" s="16">
        <f>IF(AND(ISNUMBER($T68),$T68&lt;&gt;""),IF(INDEX(Calc!$AJ$3:$AJ$122,$T68)="","—",INDEX(Calc!$AJ$3:$AJ$122,$T68)),"")</f>
        <v/>
      </c>
      <c r="Q68" s="16">
        <f>IF(AND(ISNUMBER($T68),$T68&lt;&gt;""),IF(INDEX(Calc!$AK$3:$AK$122,$T68)="","—",INDEX(Calc!$AK$3:$AK$122,$T68)),"")</f>
        <v/>
      </c>
      <c r="R68" s="15">
        <f>IF(AND(ISNUMBER($T68),$T68&lt;&gt;""),IF(INDEX(Calc!$AL$3:$AL$122,$T68)="","—",INDEX(Calc!$AL$3:$AL$122,$T68)),"")</f>
        <v/>
      </c>
      <c r="T68">
        <f>IFERROR(MATCH(64,Calc!$AN$3:$AN$122,0),"")</f>
        <v/>
      </c>
    </row>
    <row r="69">
      <c r="A69" s="19">
        <f>IF(AND(ISNUMBER($T69),$T69&lt;&gt;""),INDEX(Calc!$S$3:$S$122,$T69),"")</f>
        <v/>
      </c>
      <c r="B69" s="20">
        <f>IF(AND(ISNUMBER($T69),$T69&lt;&gt;""),IF(INDEX(Calc!$T$3:$T$122,$T69)="","—",INDEX(Calc!$T$3:$T$122,$T69)),"")</f>
        <v/>
      </c>
      <c r="C69" s="20">
        <f>IF(AND(ISNUMBER($T69),$T69&lt;&gt;""),IF(INDEX(Calc!$U$3:$U$122,$T69)="","—",INDEX(Calc!$U$3:$U$122,$T69)),"")</f>
        <v/>
      </c>
      <c r="D69" s="20">
        <f>IF(AND(ISNUMBER($T69),$T69&lt;&gt;""),IF(INDEX(Calc!$V$3:$V$122,$T69)="","—",INDEX(Calc!$V$3:$V$122,$T69)),"")</f>
        <v/>
      </c>
      <c r="E69" s="20">
        <f>IF(AND(ISNUMBER($T69),$T69&lt;&gt;""),IF(INDEX(Calc!$W$3:$W$122,$T69)="","—",INDEX(Calc!$W$3:$W$122,$T69)),"")</f>
        <v/>
      </c>
      <c r="F69" s="20">
        <f>IF(AND(ISNUMBER($T69),$T69&lt;&gt;""),IF(INDEX(Calc!$X$3:$X$122,$T69)="","—",INDEX(Calc!$X$3:$X$122,$T69)),"")</f>
        <v/>
      </c>
      <c r="G69" s="20">
        <f>IF(AND(ISNUMBER($T69),$T69&lt;&gt;""),IF(INDEX(Calc!$Y$3:$Y$122,$T69)="","—",INDEX(Calc!$Y$3:$Y$122,$T69)),"")</f>
        <v/>
      </c>
      <c r="H69" s="20">
        <f>IF(AND(ISNUMBER($T69),$T69&lt;&gt;""),IF(INDEX(Calc!$Z$3:$Z$122,$T69)="","—",INDEX(Calc!$Z$3:$Z$122,$T69)),"")</f>
        <v/>
      </c>
      <c r="I69" s="20">
        <f>IF(AND(ISNUMBER($T69),$T69&lt;&gt;""),IF(INDEX(Calc!$AA$3:$AA$122,$T69)="","—",INDEX(Calc!$AA$3:$AA$122,$T69)),"")</f>
        <v/>
      </c>
      <c r="J69" s="20">
        <f>IF(AND(ISNUMBER($T69),$T69&lt;&gt;""),IF(INDEX(Calc!$AB$3:$AB$122,$T69)="","—",INDEX(Calc!$AB$3:$AB$122,$T69)),"")</f>
        <v/>
      </c>
      <c r="K69" s="20">
        <f>IF(AND(ISNUMBER($T69),$T69&lt;&gt;""),IF(INDEX(Calc!$AC$3:$AC$122,$T69)="","—",INDEX(Calc!$AC$3:$AC$122,$T69)),"")</f>
        <v/>
      </c>
      <c r="L69" s="20">
        <f>IF(AND(ISNUMBER($T69),$T69&lt;&gt;""),IF(INDEX(Calc!$AD$3:$AD$122,$T69)="","—",INDEX(Calc!$AD$3:$AD$122,$T69)),"")</f>
        <v/>
      </c>
      <c r="M69" s="20">
        <f>IF(AND(ISNUMBER($T69),$T69&lt;&gt;""),IF(INDEX(Calc!$AE$3:$AE$122,$T69)="","—",INDEX(Calc!$AE$3:$AE$122,$T69)),"")</f>
        <v/>
      </c>
      <c r="N69" s="20">
        <f>IF(AND(ISNUMBER($T69),$T69&lt;&gt;""),IF(INDEX(Calc!$AF$3:$AF$122,$T69)="","—",INDEX(Calc!$AF$3:$AF$122,$T69)),"")</f>
        <v/>
      </c>
      <c r="O69" s="20">
        <f>IF(AND(ISNUMBER($T69),$T69&lt;&gt;""),IF(INDEX(Calc!$AG$3:$AG$122,$T69)="","—",INDEX(Calc!$AG$3:$AG$122,$T69)),"")</f>
        <v/>
      </c>
      <c r="P69" s="21">
        <f>IF(AND(ISNUMBER($T69),$T69&lt;&gt;""),IF(INDEX(Calc!$AJ$3:$AJ$122,$T69)="","—",INDEX(Calc!$AJ$3:$AJ$122,$T69)),"")</f>
        <v/>
      </c>
      <c r="Q69" s="21">
        <f>IF(AND(ISNUMBER($T69),$T69&lt;&gt;""),IF(INDEX(Calc!$AK$3:$AK$122,$T69)="","—",INDEX(Calc!$AK$3:$AK$122,$T69)),"")</f>
        <v/>
      </c>
      <c r="R69" s="20">
        <f>IF(AND(ISNUMBER($T69),$T69&lt;&gt;""),IF(INDEX(Calc!$AL$3:$AL$122,$T69)="","—",INDEX(Calc!$AL$3:$AL$122,$T69)),"")</f>
        <v/>
      </c>
      <c r="T69">
        <f>IFERROR(MATCH(65,Calc!$AN$3:$AN$122,0),"")</f>
        <v/>
      </c>
    </row>
    <row r="70">
      <c r="A70" s="14">
        <f>IF(AND(ISNUMBER($T70),$T70&lt;&gt;""),INDEX(Calc!$S$3:$S$122,$T70),"")</f>
        <v/>
      </c>
      <c r="B70" s="15">
        <f>IF(AND(ISNUMBER($T70),$T70&lt;&gt;""),IF(INDEX(Calc!$T$3:$T$122,$T70)="","—",INDEX(Calc!$T$3:$T$122,$T70)),"")</f>
        <v/>
      </c>
      <c r="C70" s="15">
        <f>IF(AND(ISNUMBER($T70),$T70&lt;&gt;""),IF(INDEX(Calc!$U$3:$U$122,$T70)="","—",INDEX(Calc!$U$3:$U$122,$T70)),"")</f>
        <v/>
      </c>
      <c r="D70" s="15">
        <f>IF(AND(ISNUMBER($T70),$T70&lt;&gt;""),IF(INDEX(Calc!$V$3:$V$122,$T70)="","—",INDEX(Calc!$V$3:$V$122,$T70)),"")</f>
        <v/>
      </c>
      <c r="E70" s="15">
        <f>IF(AND(ISNUMBER($T70),$T70&lt;&gt;""),IF(INDEX(Calc!$W$3:$W$122,$T70)="","—",INDEX(Calc!$W$3:$W$122,$T70)),"")</f>
        <v/>
      </c>
      <c r="F70" s="15">
        <f>IF(AND(ISNUMBER($T70),$T70&lt;&gt;""),IF(INDEX(Calc!$X$3:$X$122,$T70)="","—",INDEX(Calc!$X$3:$X$122,$T70)),"")</f>
        <v/>
      </c>
      <c r="G70" s="15">
        <f>IF(AND(ISNUMBER($T70),$T70&lt;&gt;""),IF(INDEX(Calc!$Y$3:$Y$122,$T70)="","—",INDEX(Calc!$Y$3:$Y$122,$T70)),"")</f>
        <v/>
      </c>
      <c r="H70" s="15">
        <f>IF(AND(ISNUMBER($T70),$T70&lt;&gt;""),IF(INDEX(Calc!$Z$3:$Z$122,$T70)="","—",INDEX(Calc!$Z$3:$Z$122,$T70)),"")</f>
        <v/>
      </c>
      <c r="I70" s="15">
        <f>IF(AND(ISNUMBER($T70),$T70&lt;&gt;""),IF(INDEX(Calc!$AA$3:$AA$122,$T70)="","—",INDEX(Calc!$AA$3:$AA$122,$T70)),"")</f>
        <v/>
      </c>
      <c r="J70" s="15">
        <f>IF(AND(ISNUMBER($T70),$T70&lt;&gt;""),IF(INDEX(Calc!$AB$3:$AB$122,$T70)="","—",INDEX(Calc!$AB$3:$AB$122,$T70)),"")</f>
        <v/>
      </c>
      <c r="K70" s="15">
        <f>IF(AND(ISNUMBER($T70),$T70&lt;&gt;""),IF(INDEX(Calc!$AC$3:$AC$122,$T70)="","—",INDEX(Calc!$AC$3:$AC$122,$T70)),"")</f>
        <v/>
      </c>
      <c r="L70" s="15">
        <f>IF(AND(ISNUMBER($T70),$T70&lt;&gt;""),IF(INDEX(Calc!$AD$3:$AD$122,$T70)="","—",INDEX(Calc!$AD$3:$AD$122,$T70)),"")</f>
        <v/>
      </c>
      <c r="M70" s="15">
        <f>IF(AND(ISNUMBER($T70),$T70&lt;&gt;""),IF(INDEX(Calc!$AE$3:$AE$122,$T70)="","—",INDEX(Calc!$AE$3:$AE$122,$T70)),"")</f>
        <v/>
      </c>
      <c r="N70" s="15">
        <f>IF(AND(ISNUMBER($T70),$T70&lt;&gt;""),IF(INDEX(Calc!$AF$3:$AF$122,$T70)="","—",INDEX(Calc!$AF$3:$AF$122,$T70)),"")</f>
        <v/>
      </c>
      <c r="O70" s="15">
        <f>IF(AND(ISNUMBER($T70),$T70&lt;&gt;""),IF(INDEX(Calc!$AG$3:$AG$122,$T70)="","—",INDEX(Calc!$AG$3:$AG$122,$T70)),"")</f>
        <v/>
      </c>
      <c r="P70" s="16">
        <f>IF(AND(ISNUMBER($T70),$T70&lt;&gt;""),IF(INDEX(Calc!$AJ$3:$AJ$122,$T70)="","—",INDEX(Calc!$AJ$3:$AJ$122,$T70)),"")</f>
        <v/>
      </c>
      <c r="Q70" s="16">
        <f>IF(AND(ISNUMBER($T70),$T70&lt;&gt;""),IF(INDEX(Calc!$AK$3:$AK$122,$T70)="","—",INDEX(Calc!$AK$3:$AK$122,$T70)),"")</f>
        <v/>
      </c>
      <c r="R70" s="15">
        <f>IF(AND(ISNUMBER($T70),$T70&lt;&gt;""),IF(INDEX(Calc!$AL$3:$AL$122,$T70)="","—",INDEX(Calc!$AL$3:$AL$122,$T70)),"")</f>
        <v/>
      </c>
      <c r="T70">
        <f>IFERROR(MATCH(66,Calc!$AN$3:$AN$122,0),"")</f>
        <v/>
      </c>
    </row>
    <row r="71">
      <c r="A71" s="19">
        <f>IF(AND(ISNUMBER($T71),$T71&lt;&gt;""),INDEX(Calc!$S$3:$S$122,$T71),"")</f>
        <v/>
      </c>
      <c r="B71" s="20">
        <f>IF(AND(ISNUMBER($T71),$T71&lt;&gt;""),IF(INDEX(Calc!$T$3:$T$122,$T71)="","—",INDEX(Calc!$T$3:$T$122,$T71)),"")</f>
        <v/>
      </c>
      <c r="C71" s="20">
        <f>IF(AND(ISNUMBER($T71),$T71&lt;&gt;""),IF(INDEX(Calc!$U$3:$U$122,$T71)="","—",INDEX(Calc!$U$3:$U$122,$T71)),"")</f>
        <v/>
      </c>
      <c r="D71" s="20">
        <f>IF(AND(ISNUMBER($T71),$T71&lt;&gt;""),IF(INDEX(Calc!$V$3:$V$122,$T71)="","—",INDEX(Calc!$V$3:$V$122,$T71)),"")</f>
        <v/>
      </c>
      <c r="E71" s="20">
        <f>IF(AND(ISNUMBER($T71),$T71&lt;&gt;""),IF(INDEX(Calc!$W$3:$W$122,$T71)="","—",INDEX(Calc!$W$3:$W$122,$T71)),"")</f>
        <v/>
      </c>
      <c r="F71" s="20">
        <f>IF(AND(ISNUMBER($T71),$T71&lt;&gt;""),IF(INDEX(Calc!$X$3:$X$122,$T71)="","—",INDEX(Calc!$X$3:$X$122,$T71)),"")</f>
        <v/>
      </c>
      <c r="G71" s="20">
        <f>IF(AND(ISNUMBER($T71),$T71&lt;&gt;""),IF(INDEX(Calc!$Y$3:$Y$122,$T71)="","—",INDEX(Calc!$Y$3:$Y$122,$T71)),"")</f>
        <v/>
      </c>
      <c r="H71" s="20">
        <f>IF(AND(ISNUMBER($T71),$T71&lt;&gt;""),IF(INDEX(Calc!$Z$3:$Z$122,$T71)="","—",INDEX(Calc!$Z$3:$Z$122,$T71)),"")</f>
        <v/>
      </c>
      <c r="I71" s="20">
        <f>IF(AND(ISNUMBER($T71),$T71&lt;&gt;""),IF(INDEX(Calc!$AA$3:$AA$122,$T71)="","—",INDEX(Calc!$AA$3:$AA$122,$T71)),"")</f>
        <v/>
      </c>
      <c r="J71" s="20">
        <f>IF(AND(ISNUMBER($T71),$T71&lt;&gt;""),IF(INDEX(Calc!$AB$3:$AB$122,$T71)="","—",INDEX(Calc!$AB$3:$AB$122,$T71)),"")</f>
        <v/>
      </c>
      <c r="K71" s="20">
        <f>IF(AND(ISNUMBER($T71),$T71&lt;&gt;""),IF(INDEX(Calc!$AC$3:$AC$122,$T71)="","—",INDEX(Calc!$AC$3:$AC$122,$T71)),"")</f>
        <v/>
      </c>
      <c r="L71" s="20">
        <f>IF(AND(ISNUMBER($T71),$T71&lt;&gt;""),IF(INDEX(Calc!$AD$3:$AD$122,$T71)="","—",INDEX(Calc!$AD$3:$AD$122,$T71)),"")</f>
        <v/>
      </c>
      <c r="M71" s="20">
        <f>IF(AND(ISNUMBER($T71),$T71&lt;&gt;""),IF(INDEX(Calc!$AE$3:$AE$122,$T71)="","—",INDEX(Calc!$AE$3:$AE$122,$T71)),"")</f>
        <v/>
      </c>
      <c r="N71" s="20">
        <f>IF(AND(ISNUMBER($T71),$T71&lt;&gt;""),IF(INDEX(Calc!$AF$3:$AF$122,$T71)="","—",INDEX(Calc!$AF$3:$AF$122,$T71)),"")</f>
        <v/>
      </c>
      <c r="O71" s="20">
        <f>IF(AND(ISNUMBER($T71),$T71&lt;&gt;""),IF(INDEX(Calc!$AG$3:$AG$122,$T71)="","—",INDEX(Calc!$AG$3:$AG$122,$T71)),"")</f>
        <v/>
      </c>
      <c r="P71" s="21">
        <f>IF(AND(ISNUMBER($T71),$T71&lt;&gt;""),IF(INDEX(Calc!$AJ$3:$AJ$122,$T71)="","—",INDEX(Calc!$AJ$3:$AJ$122,$T71)),"")</f>
        <v/>
      </c>
      <c r="Q71" s="21">
        <f>IF(AND(ISNUMBER($T71),$T71&lt;&gt;""),IF(INDEX(Calc!$AK$3:$AK$122,$T71)="","—",INDEX(Calc!$AK$3:$AK$122,$T71)),"")</f>
        <v/>
      </c>
      <c r="R71" s="20">
        <f>IF(AND(ISNUMBER($T71),$T71&lt;&gt;""),IF(INDEX(Calc!$AL$3:$AL$122,$T71)="","—",INDEX(Calc!$AL$3:$AL$122,$T71)),"")</f>
        <v/>
      </c>
      <c r="T71">
        <f>IFERROR(MATCH(67,Calc!$AN$3:$AN$122,0),"")</f>
        <v/>
      </c>
    </row>
    <row r="72">
      <c r="A72" s="14">
        <f>IF(AND(ISNUMBER($T72),$T72&lt;&gt;""),INDEX(Calc!$S$3:$S$122,$T72),"")</f>
        <v/>
      </c>
      <c r="B72" s="15">
        <f>IF(AND(ISNUMBER($T72),$T72&lt;&gt;""),IF(INDEX(Calc!$T$3:$T$122,$T72)="","—",INDEX(Calc!$T$3:$T$122,$T72)),"")</f>
        <v/>
      </c>
      <c r="C72" s="15">
        <f>IF(AND(ISNUMBER($T72),$T72&lt;&gt;""),IF(INDEX(Calc!$U$3:$U$122,$T72)="","—",INDEX(Calc!$U$3:$U$122,$T72)),"")</f>
        <v/>
      </c>
      <c r="D72" s="15">
        <f>IF(AND(ISNUMBER($T72),$T72&lt;&gt;""),IF(INDEX(Calc!$V$3:$V$122,$T72)="","—",INDEX(Calc!$V$3:$V$122,$T72)),"")</f>
        <v/>
      </c>
      <c r="E72" s="15">
        <f>IF(AND(ISNUMBER($T72),$T72&lt;&gt;""),IF(INDEX(Calc!$W$3:$W$122,$T72)="","—",INDEX(Calc!$W$3:$W$122,$T72)),"")</f>
        <v/>
      </c>
      <c r="F72" s="15">
        <f>IF(AND(ISNUMBER($T72),$T72&lt;&gt;""),IF(INDEX(Calc!$X$3:$X$122,$T72)="","—",INDEX(Calc!$X$3:$X$122,$T72)),"")</f>
        <v/>
      </c>
      <c r="G72" s="15">
        <f>IF(AND(ISNUMBER($T72),$T72&lt;&gt;""),IF(INDEX(Calc!$Y$3:$Y$122,$T72)="","—",INDEX(Calc!$Y$3:$Y$122,$T72)),"")</f>
        <v/>
      </c>
      <c r="H72" s="15">
        <f>IF(AND(ISNUMBER($T72),$T72&lt;&gt;""),IF(INDEX(Calc!$Z$3:$Z$122,$T72)="","—",INDEX(Calc!$Z$3:$Z$122,$T72)),"")</f>
        <v/>
      </c>
      <c r="I72" s="15">
        <f>IF(AND(ISNUMBER($T72),$T72&lt;&gt;""),IF(INDEX(Calc!$AA$3:$AA$122,$T72)="","—",INDEX(Calc!$AA$3:$AA$122,$T72)),"")</f>
        <v/>
      </c>
      <c r="J72" s="15">
        <f>IF(AND(ISNUMBER($T72),$T72&lt;&gt;""),IF(INDEX(Calc!$AB$3:$AB$122,$T72)="","—",INDEX(Calc!$AB$3:$AB$122,$T72)),"")</f>
        <v/>
      </c>
      <c r="K72" s="15">
        <f>IF(AND(ISNUMBER($T72),$T72&lt;&gt;""),IF(INDEX(Calc!$AC$3:$AC$122,$T72)="","—",INDEX(Calc!$AC$3:$AC$122,$T72)),"")</f>
        <v/>
      </c>
      <c r="L72" s="15">
        <f>IF(AND(ISNUMBER($T72),$T72&lt;&gt;""),IF(INDEX(Calc!$AD$3:$AD$122,$T72)="","—",INDEX(Calc!$AD$3:$AD$122,$T72)),"")</f>
        <v/>
      </c>
      <c r="M72" s="15">
        <f>IF(AND(ISNUMBER($T72),$T72&lt;&gt;""),IF(INDEX(Calc!$AE$3:$AE$122,$T72)="","—",INDEX(Calc!$AE$3:$AE$122,$T72)),"")</f>
        <v/>
      </c>
      <c r="N72" s="15">
        <f>IF(AND(ISNUMBER($T72),$T72&lt;&gt;""),IF(INDEX(Calc!$AF$3:$AF$122,$T72)="","—",INDEX(Calc!$AF$3:$AF$122,$T72)),"")</f>
        <v/>
      </c>
      <c r="O72" s="15">
        <f>IF(AND(ISNUMBER($T72),$T72&lt;&gt;""),IF(INDEX(Calc!$AG$3:$AG$122,$T72)="","—",INDEX(Calc!$AG$3:$AG$122,$T72)),"")</f>
        <v/>
      </c>
      <c r="P72" s="16">
        <f>IF(AND(ISNUMBER($T72),$T72&lt;&gt;""),IF(INDEX(Calc!$AJ$3:$AJ$122,$T72)="","—",INDEX(Calc!$AJ$3:$AJ$122,$T72)),"")</f>
        <v/>
      </c>
      <c r="Q72" s="16">
        <f>IF(AND(ISNUMBER($T72),$T72&lt;&gt;""),IF(INDEX(Calc!$AK$3:$AK$122,$T72)="","—",INDEX(Calc!$AK$3:$AK$122,$T72)),"")</f>
        <v/>
      </c>
      <c r="R72" s="15">
        <f>IF(AND(ISNUMBER($T72),$T72&lt;&gt;""),IF(INDEX(Calc!$AL$3:$AL$122,$T72)="","—",INDEX(Calc!$AL$3:$AL$122,$T72)),"")</f>
        <v/>
      </c>
      <c r="T72">
        <f>IFERROR(MATCH(68,Calc!$AN$3:$AN$122,0),"")</f>
        <v/>
      </c>
    </row>
    <row r="73">
      <c r="A73" s="19">
        <f>IF(AND(ISNUMBER($T73),$T73&lt;&gt;""),INDEX(Calc!$S$3:$S$122,$T73),"")</f>
        <v/>
      </c>
      <c r="B73" s="20">
        <f>IF(AND(ISNUMBER($T73),$T73&lt;&gt;""),IF(INDEX(Calc!$T$3:$T$122,$T73)="","—",INDEX(Calc!$T$3:$T$122,$T73)),"")</f>
        <v/>
      </c>
      <c r="C73" s="20">
        <f>IF(AND(ISNUMBER($T73),$T73&lt;&gt;""),IF(INDEX(Calc!$U$3:$U$122,$T73)="","—",INDEX(Calc!$U$3:$U$122,$T73)),"")</f>
        <v/>
      </c>
      <c r="D73" s="20">
        <f>IF(AND(ISNUMBER($T73),$T73&lt;&gt;""),IF(INDEX(Calc!$V$3:$V$122,$T73)="","—",INDEX(Calc!$V$3:$V$122,$T73)),"")</f>
        <v/>
      </c>
      <c r="E73" s="20">
        <f>IF(AND(ISNUMBER($T73),$T73&lt;&gt;""),IF(INDEX(Calc!$W$3:$W$122,$T73)="","—",INDEX(Calc!$W$3:$W$122,$T73)),"")</f>
        <v/>
      </c>
      <c r="F73" s="20">
        <f>IF(AND(ISNUMBER($T73),$T73&lt;&gt;""),IF(INDEX(Calc!$X$3:$X$122,$T73)="","—",INDEX(Calc!$X$3:$X$122,$T73)),"")</f>
        <v/>
      </c>
      <c r="G73" s="20">
        <f>IF(AND(ISNUMBER($T73),$T73&lt;&gt;""),IF(INDEX(Calc!$Y$3:$Y$122,$T73)="","—",INDEX(Calc!$Y$3:$Y$122,$T73)),"")</f>
        <v/>
      </c>
      <c r="H73" s="20">
        <f>IF(AND(ISNUMBER($T73),$T73&lt;&gt;""),IF(INDEX(Calc!$Z$3:$Z$122,$T73)="","—",INDEX(Calc!$Z$3:$Z$122,$T73)),"")</f>
        <v/>
      </c>
      <c r="I73" s="20">
        <f>IF(AND(ISNUMBER($T73),$T73&lt;&gt;""),IF(INDEX(Calc!$AA$3:$AA$122,$T73)="","—",INDEX(Calc!$AA$3:$AA$122,$T73)),"")</f>
        <v/>
      </c>
      <c r="J73" s="20">
        <f>IF(AND(ISNUMBER($T73),$T73&lt;&gt;""),IF(INDEX(Calc!$AB$3:$AB$122,$T73)="","—",INDEX(Calc!$AB$3:$AB$122,$T73)),"")</f>
        <v/>
      </c>
      <c r="K73" s="20">
        <f>IF(AND(ISNUMBER($T73),$T73&lt;&gt;""),IF(INDEX(Calc!$AC$3:$AC$122,$T73)="","—",INDEX(Calc!$AC$3:$AC$122,$T73)),"")</f>
        <v/>
      </c>
      <c r="L73" s="20">
        <f>IF(AND(ISNUMBER($T73),$T73&lt;&gt;""),IF(INDEX(Calc!$AD$3:$AD$122,$T73)="","—",INDEX(Calc!$AD$3:$AD$122,$T73)),"")</f>
        <v/>
      </c>
      <c r="M73" s="20">
        <f>IF(AND(ISNUMBER($T73),$T73&lt;&gt;""),IF(INDEX(Calc!$AE$3:$AE$122,$T73)="","—",INDEX(Calc!$AE$3:$AE$122,$T73)),"")</f>
        <v/>
      </c>
      <c r="N73" s="20">
        <f>IF(AND(ISNUMBER($T73),$T73&lt;&gt;""),IF(INDEX(Calc!$AF$3:$AF$122,$T73)="","—",INDEX(Calc!$AF$3:$AF$122,$T73)),"")</f>
        <v/>
      </c>
      <c r="O73" s="20">
        <f>IF(AND(ISNUMBER($T73),$T73&lt;&gt;""),IF(INDEX(Calc!$AG$3:$AG$122,$T73)="","—",INDEX(Calc!$AG$3:$AG$122,$T73)),"")</f>
        <v/>
      </c>
      <c r="P73" s="21">
        <f>IF(AND(ISNUMBER($T73),$T73&lt;&gt;""),IF(INDEX(Calc!$AJ$3:$AJ$122,$T73)="","—",INDEX(Calc!$AJ$3:$AJ$122,$T73)),"")</f>
        <v/>
      </c>
      <c r="Q73" s="21">
        <f>IF(AND(ISNUMBER($T73),$T73&lt;&gt;""),IF(INDEX(Calc!$AK$3:$AK$122,$T73)="","—",INDEX(Calc!$AK$3:$AK$122,$T73)),"")</f>
        <v/>
      </c>
      <c r="R73" s="20">
        <f>IF(AND(ISNUMBER($T73),$T73&lt;&gt;""),IF(INDEX(Calc!$AL$3:$AL$122,$T73)="","—",INDEX(Calc!$AL$3:$AL$122,$T73)),"")</f>
        <v/>
      </c>
      <c r="T73">
        <f>IFERROR(MATCH(69,Calc!$AN$3:$AN$122,0),"")</f>
        <v/>
      </c>
    </row>
    <row r="74">
      <c r="A74" s="14">
        <f>IF(AND(ISNUMBER($T74),$T74&lt;&gt;""),INDEX(Calc!$S$3:$S$122,$T74),"")</f>
        <v/>
      </c>
      <c r="B74" s="15">
        <f>IF(AND(ISNUMBER($T74),$T74&lt;&gt;""),IF(INDEX(Calc!$T$3:$T$122,$T74)="","—",INDEX(Calc!$T$3:$T$122,$T74)),"")</f>
        <v/>
      </c>
      <c r="C74" s="15">
        <f>IF(AND(ISNUMBER($T74),$T74&lt;&gt;""),IF(INDEX(Calc!$U$3:$U$122,$T74)="","—",INDEX(Calc!$U$3:$U$122,$T74)),"")</f>
        <v/>
      </c>
      <c r="D74" s="15">
        <f>IF(AND(ISNUMBER($T74),$T74&lt;&gt;""),IF(INDEX(Calc!$V$3:$V$122,$T74)="","—",INDEX(Calc!$V$3:$V$122,$T74)),"")</f>
        <v/>
      </c>
      <c r="E74" s="15">
        <f>IF(AND(ISNUMBER($T74),$T74&lt;&gt;""),IF(INDEX(Calc!$W$3:$W$122,$T74)="","—",INDEX(Calc!$W$3:$W$122,$T74)),"")</f>
        <v/>
      </c>
      <c r="F74" s="15">
        <f>IF(AND(ISNUMBER($T74),$T74&lt;&gt;""),IF(INDEX(Calc!$X$3:$X$122,$T74)="","—",INDEX(Calc!$X$3:$X$122,$T74)),"")</f>
        <v/>
      </c>
      <c r="G74" s="15">
        <f>IF(AND(ISNUMBER($T74),$T74&lt;&gt;""),IF(INDEX(Calc!$Y$3:$Y$122,$T74)="","—",INDEX(Calc!$Y$3:$Y$122,$T74)),"")</f>
        <v/>
      </c>
      <c r="H74" s="15">
        <f>IF(AND(ISNUMBER($T74),$T74&lt;&gt;""),IF(INDEX(Calc!$Z$3:$Z$122,$T74)="","—",INDEX(Calc!$Z$3:$Z$122,$T74)),"")</f>
        <v/>
      </c>
      <c r="I74" s="15">
        <f>IF(AND(ISNUMBER($T74),$T74&lt;&gt;""),IF(INDEX(Calc!$AA$3:$AA$122,$T74)="","—",INDEX(Calc!$AA$3:$AA$122,$T74)),"")</f>
        <v/>
      </c>
      <c r="J74" s="15">
        <f>IF(AND(ISNUMBER($T74),$T74&lt;&gt;""),IF(INDEX(Calc!$AB$3:$AB$122,$T74)="","—",INDEX(Calc!$AB$3:$AB$122,$T74)),"")</f>
        <v/>
      </c>
      <c r="K74" s="15">
        <f>IF(AND(ISNUMBER($T74),$T74&lt;&gt;""),IF(INDEX(Calc!$AC$3:$AC$122,$T74)="","—",INDEX(Calc!$AC$3:$AC$122,$T74)),"")</f>
        <v/>
      </c>
      <c r="L74" s="15">
        <f>IF(AND(ISNUMBER($T74),$T74&lt;&gt;""),IF(INDEX(Calc!$AD$3:$AD$122,$T74)="","—",INDEX(Calc!$AD$3:$AD$122,$T74)),"")</f>
        <v/>
      </c>
      <c r="M74" s="15">
        <f>IF(AND(ISNUMBER($T74),$T74&lt;&gt;""),IF(INDEX(Calc!$AE$3:$AE$122,$T74)="","—",INDEX(Calc!$AE$3:$AE$122,$T74)),"")</f>
        <v/>
      </c>
      <c r="N74" s="15">
        <f>IF(AND(ISNUMBER($T74),$T74&lt;&gt;""),IF(INDEX(Calc!$AF$3:$AF$122,$T74)="","—",INDEX(Calc!$AF$3:$AF$122,$T74)),"")</f>
        <v/>
      </c>
      <c r="O74" s="15">
        <f>IF(AND(ISNUMBER($T74),$T74&lt;&gt;""),IF(INDEX(Calc!$AG$3:$AG$122,$T74)="","—",INDEX(Calc!$AG$3:$AG$122,$T74)),"")</f>
        <v/>
      </c>
      <c r="P74" s="16">
        <f>IF(AND(ISNUMBER($T74),$T74&lt;&gt;""),IF(INDEX(Calc!$AJ$3:$AJ$122,$T74)="","—",INDEX(Calc!$AJ$3:$AJ$122,$T74)),"")</f>
        <v/>
      </c>
      <c r="Q74" s="16">
        <f>IF(AND(ISNUMBER($T74),$T74&lt;&gt;""),IF(INDEX(Calc!$AK$3:$AK$122,$T74)="","—",INDEX(Calc!$AK$3:$AK$122,$T74)),"")</f>
        <v/>
      </c>
      <c r="R74" s="15">
        <f>IF(AND(ISNUMBER($T74),$T74&lt;&gt;""),IF(INDEX(Calc!$AL$3:$AL$122,$T74)="","—",INDEX(Calc!$AL$3:$AL$122,$T74)),"")</f>
        <v/>
      </c>
      <c r="T74">
        <f>IFERROR(MATCH(70,Calc!$AN$3:$AN$122,0),"")</f>
        <v/>
      </c>
    </row>
    <row r="75">
      <c r="A75" s="19">
        <f>IF(AND(ISNUMBER($T75),$T75&lt;&gt;""),INDEX(Calc!$S$3:$S$122,$T75),"")</f>
        <v/>
      </c>
      <c r="B75" s="20">
        <f>IF(AND(ISNUMBER($T75),$T75&lt;&gt;""),IF(INDEX(Calc!$T$3:$T$122,$T75)="","—",INDEX(Calc!$T$3:$T$122,$T75)),"")</f>
        <v/>
      </c>
      <c r="C75" s="20">
        <f>IF(AND(ISNUMBER($T75),$T75&lt;&gt;""),IF(INDEX(Calc!$U$3:$U$122,$T75)="","—",INDEX(Calc!$U$3:$U$122,$T75)),"")</f>
        <v/>
      </c>
      <c r="D75" s="20">
        <f>IF(AND(ISNUMBER($T75),$T75&lt;&gt;""),IF(INDEX(Calc!$V$3:$V$122,$T75)="","—",INDEX(Calc!$V$3:$V$122,$T75)),"")</f>
        <v/>
      </c>
      <c r="E75" s="20">
        <f>IF(AND(ISNUMBER($T75),$T75&lt;&gt;""),IF(INDEX(Calc!$W$3:$W$122,$T75)="","—",INDEX(Calc!$W$3:$W$122,$T75)),"")</f>
        <v/>
      </c>
      <c r="F75" s="20">
        <f>IF(AND(ISNUMBER($T75),$T75&lt;&gt;""),IF(INDEX(Calc!$X$3:$X$122,$T75)="","—",INDEX(Calc!$X$3:$X$122,$T75)),"")</f>
        <v/>
      </c>
      <c r="G75" s="20">
        <f>IF(AND(ISNUMBER($T75),$T75&lt;&gt;""),IF(INDEX(Calc!$Y$3:$Y$122,$T75)="","—",INDEX(Calc!$Y$3:$Y$122,$T75)),"")</f>
        <v/>
      </c>
      <c r="H75" s="20">
        <f>IF(AND(ISNUMBER($T75),$T75&lt;&gt;""),IF(INDEX(Calc!$Z$3:$Z$122,$T75)="","—",INDEX(Calc!$Z$3:$Z$122,$T75)),"")</f>
        <v/>
      </c>
      <c r="I75" s="20">
        <f>IF(AND(ISNUMBER($T75),$T75&lt;&gt;""),IF(INDEX(Calc!$AA$3:$AA$122,$T75)="","—",INDEX(Calc!$AA$3:$AA$122,$T75)),"")</f>
        <v/>
      </c>
      <c r="J75" s="20">
        <f>IF(AND(ISNUMBER($T75),$T75&lt;&gt;""),IF(INDEX(Calc!$AB$3:$AB$122,$T75)="","—",INDEX(Calc!$AB$3:$AB$122,$T75)),"")</f>
        <v/>
      </c>
      <c r="K75" s="20">
        <f>IF(AND(ISNUMBER($T75),$T75&lt;&gt;""),IF(INDEX(Calc!$AC$3:$AC$122,$T75)="","—",INDEX(Calc!$AC$3:$AC$122,$T75)),"")</f>
        <v/>
      </c>
      <c r="L75" s="20">
        <f>IF(AND(ISNUMBER($T75),$T75&lt;&gt;""),IF(INDEX(Calc!$AD$3:$AD$122,$T75)="","—",INDEX(Calc!$AD$3:$AD$122,$T75)),"")</f>
        <v/>
      </c>
      <c r="M75" s="20">
        <f>IF(AND(ISNUMBER($T75),$T75&lt;&gt;""),IF(INDEX(Calc!$AE$3:$AE$122,$T75)="","—",INDEX(Calc!$AE$3:$AE$122,$T75)),"")</f>
        <v/>
      </c>
      <c r="N75" s="20">
        <f>IF(AND(ISNUMBER($T75),$T75&lt;&gt;""),IF(INDEX(Calc!$AF$3:$AF$122,$T75)="","—",INDEX(Calc!$AF$3:$AF$122,$T75)),"")</f>
        <v/>
      </c>
      <c r="O75" s="20">
        <f>IF(AND(ISNUMBER($T75),$T75&lt;&gt;""),IF(INDEX(Calc!$AG$3:$AG$122,$T75)="","—",INDEX(Calc!$AG$3:$AG$122,$T75)),"")</f>
        <v/>
      </c>
      <c r="P75" s="21">
        <f>IF(AND(ISNUMBER($T75),$T75&lt;&gt;""),IF(INDEX(Calc!$AJ$3:$AJ$122,$T75)="","—",INDEX(Calc!$AJ$3:$AJ$122,$T75)),"")</f>
        <v/>
      </c>
      <c r="Q75" s="21">
        <f>IF(AND(ISNUMBER($T75),$T75&lt;&gt;""),IF(INDEX(Calc!$AK$3:$AK$122,$T75)="","—",INDEX(Calc!$AK$3:$AK$122,$T75)),"")</f>
        <v/>
      </c>
      <c r="R75" s="20">
        <f>IF(AND(ISNUMBER($T75),$T75&lt;&gt;""),IF(INDEX(Calc!$AL$3:$AL$122,$T75)="","—",INDEX(Calc!$AL$3:$AL$122,$T75)),"")</f>
        <v/>
      </c>
      <c r="T75">
        <f>IFERROR(MATCH(71,Calc!$AN$3:$AN$122,0),"")</f>
        <v/>
      </c>
    </row>
    <row r="76">
      <c r="A76" s="14">
        <f>IF(AND(ISNUMBER($T76),$T76&lt;&gt;""),INDEX(Calc!$S$3:$S$122,$T76),"")</f>
        <v/>
      </c>
      <c r="B76" s="15">
        <f>IF(AND(ISNUMBER($T76),$T76&lt;&gt;""),IF(INDEX(Calc!$T$3:$T$122,$T76)="","—",INDEX(Calc!$T$3:$T$122,$T76)),"")</f>
        <v/>
      </c>
      <c r="C76" s="15">
        <f>IF(AND(ISNUMBER($T76),$T76&lt;&gt;""),IF(INDEX(Calc!$U$3:$U$122,$T76)="","—",INDEX(Calc!$U$3:$U$122,$T76)),"")</f>
        <v/>
      </c>
      <c r="D76" s="15">
        <f>IF(AND(ISNUMBER($T76),$T76&lt;&gt;""),IF(INDEX(Calc!$V$3:$V$122,$T76)="","—",INDEX(Calc!$V$3:$V$122,$T76)),"")</f>
        <v/>
      </c>
      <c r="E76" s="15">
        <f>IF(AND(ISNUMBER($T76),$T76&lt;&gt;""),IF(INDEX(Calc!$W$3:$W$122,$T76)="","—",INDEX(Calc!$W$3:$W$122,$T76)),"")</f>
        <v/>
      </c>
      <c r="F76" s="15">
        <f>IF(AND(ISNUMBER($T76),$T76&lt;&gt;""),IF(INDEX(Calc!$X$3:$X$122,$T76)="","—",INDEX(Calc!$X$3:$X$122,$T76)),"")</f>
        <v/>
      </c>
      <c r="G76" s="15">
        <f>IF(AND(ISNUMBER($T76),$T76&lt;&gt;""),IF(INDEX(Calc!$Y$3:$Y$122,$T76)="","—",INDEX(Calc!$Y$3:$Y$122,$T76)),"")</f>
        <v/>
      </c>
      <c r="H76" s="15">
        <f>IF(AND(ISNUMBER($T76),$T76&lt;&gt;""),IF(INDEX(Calc!$Z$3:$Z$122,$T76)="","—",INDEX(Calc!$Z$3:$Z$122,$T76)),"")</f>
        <v/>
      </c>
      <c r="I76" s="15">
        <f>IF(AND(ISNUMBER($T76),$T76&lt;&gt;""),IF(INDEX(Calc!$AA$3:$AA$122,$T76)="","—",INDEX(Calc!$AA$3:$AA$122,$T76)),"")</f>
        <v/>
      </c>
      <c r="J76" s="15">
        <f>IF(AND(ISNUMBER($T76),$T76&lt;&gt;""),IF(INDEX(Calc!$AB$3:$AB$122,$T76)="","—",INDEX(Calc!$AB$3:$AB$122,$T76)),"")</f>
        <v/>
      </c>
      <c r="K76" s="15">
        <f>IF(AND(ISNUMBER($T76),$T76&lt;&gt;""),IF(INDEX(Calc!$AC$3:$AC$122,$T76)="","—",INDEX(Calc!$AC$3:$AC$122,$T76)),"")</f>
        <v/>
      </c>
      <c r="L76" s="15">
        <f>IF(AND(ISNUMBER($T76),$T76&lt;&gt;""),IF(INDEX(Calc!$AD$3:$AD$122,$T76)="","—",INDEX(Calc!$AD$3:$AD$122,$T76)),"")</f>
        <v/>
      </c>
      <c r="M76" s="15">
        <f>IF(AND(ISNUMBER($T76),$T76&lt;&gt;""),IF(INDEX(Calc!$AE$3:$AE$122,$T76)="","—",INDEX(Calc!$AE$3:$AE$122,$T76)),"")</f>
        <v/>
      </c>
      <c r="N76" s="15">
        <f>IF(AND(ISNUMBER($T76),$T76&lt;&gt;""),IF(INDEX(Calc!$AF$3:$AF$122,$T76)="","—",INDEX(Calc!$AF$3:$AF$122,$T76)),"")</f>
        <v/>
      </c>
      <c r="O76" s="15">
        <f>IF(AND(ISNUMBER($T76),$T76&lt;&gt;""),IF(INDEX(Calc!$AG$3:$AG$122,$T76)="","—",INDEX(Calc!$AG$3:$AG$122,$T76)),"")</f>
        <v/>
      </c>
      <c r="P76" s="16">
        <f>IF(AND(ISNUMBER($T76),$T76&lt;&gt;""),IF(INDEX(Calc!$AJ$3:$AJ$122,$T76)="","—",INDEX(Calc!$AJ$3:$AJ$122,$T76)),"")</f>
        <v/>
      </c>
      <c r="Q76" s="16">
        <f>IF(AND(ISNUMBER($T76),$T76&lt;&gt;""),IF(INDEX(Calc!$AK$3:$AK$122,$T76)="","—",INDEX(Calc!$AK$3:$AK$122,$T76)),"")</f>
        <v/>
      </c>
      <c r="R76" s="15">
        <f>IF(AND(ISNUMBER($T76),$T76&lt;&gt;""),IF(INDEX(Calc!$AL$3:$AL$122,$T76)="","—",INDEX(Calc!$AL$3:$AL$122,$T76)),"")</f>
        <v/>
      </c>
      <c r="T76">
        <f>IFERROR(MATCH(72,Calc!$AN$3:$AN$122,0),"")</f>
        <v/>
      </c>
    </row>
    <row r="77">
      <c r="A77" s="19">
        <f>IF(AND(ISNUMBER($T77),$T77&lt;&gt;""),INDEX(Calc!$S$3:$S$122,$T77),"")</f>
        <v/>
      </c>
      <c r="B77" s="20">
        <f>IF(AND(ISNUMBER($T77),$T77&lt;&gt;""),IF(INDEX(Calc!$T$3:$T$122,$T77)="","—",INDEX(Calc!$T$3:$T$122,$T77)),"")</f>
        <v/>
      </c>
      <c r="C77" s="20">
        <f>IF(AND(ISNUMBER($T77),$T77&lt;&gt;""),IF(INDEX(Calc!$U$3:$U$122,$T77)="","—",INDEX(Calc!$U$3:$U$122,$T77)),"")</f>
        <v/>
      </c>
      <c r="D77" s="20">
        <f>IF(AND(ISNUMBER($T77),$T77&lt;&gt;""),IF(INDEX(Calc!$V$3:$V$122,$T77)="","—",INDEX(Calc!$V$3:$V$122,$T77)),"")</f>
        <v/>
      </c>
      <c r="E77" s="20">
        <f>IF(AND(ISNUMBER($T77),$T77&lt;&gt;""),IF(INDEX(Calc!$W$3:$W$122,$T77)="","—",INDEX(Calc!$W$3:$W$122,$T77)),"")</f>
        <v/>
      </c>
      <c r="F77" s="20">
        <f>IF(AND(ISNUMBER($T77),$T77&lt;&gt;""),IF(INDEX(Calc!$X$3:$X$122,$T77)="","—",INDEX(Calc!$X$3:$X$122,$T77)),"")</f>
        <v/>
      </c>
      <c r="G77" s="20">
        <f>IF(AND(ISNUMBER($T77),$T77&lt;&gt;""),IF(INDEX(Calc!$Y$3:$Y$122,$T77)="","—",INDEX(Calc!$Y$3:$Y$122,$T77)),"")</f>
        <v/>
      </c>
      <c r="H77" s="20">
        <f>IF(AND(ISNUMBER($T77),$T77&lt;&gt;""),IF(INDEX(Calc!$Z$3:$Z$122,$T77)="","—",INDEX(Calc!$Z$3:$Z$122,$T77)),"")</f>
        <v/>
      </c>
      <c r="I77" s="20">
        <f>IF(AND(ISNUMBER($T77),$T77&lt;&gt;""),IF(INDEX(Calc!$AA$3:$AA$122,$T77)="","—",INDEX(Calc!$AA$3:$AA$122,$T77)),"")</f>
        <v/>
      </c>
      <c r="J77" s="20">
        <f>IF(AND(ISNUMBER($T77),$T77&lt;&gt;""),IF(INDEX(Calc!$AB$3:$AB$122,$T77)="","—",INDEX(Calc!$AB$3:$AB$122,$T77)),"")</f>
        <v/>
      </c>
      <c r="K77" s="20">
        <f>IF(AND(ISNUMBER($T77),$T77&lt;&gt;""),IF(INDEX(Calc!$AC$3:$AC$122,$T77)="","—",INDEX(Calc!$AC$3:$AC$122,$T77)),"")</f>
        <v/>
      </c>
      <c r="L77" s="20">
        <f>IF(AND(ISNUMBER($T77),$T77&lt;&gt;""),IF(INDEX(Calc!$AD$3:$AD$122,$T77)="","—",INDEX(Calc!$AD$3:$AD$122,$T77)),"")</f>
        <v/>
      </c>
      <c r="M77" s="20">
        <f>IF(AND(ISNUMBER($T77),$T77&lt;&gt;""),IF(INDEX(Calc!$AE$3:$AE$122,$T77)="","—",INDEX(Calc!$AE$3:$AE$122,$T77)),"")</f>
        <v/>
      </c>
      <c r="N77" s="20">
        <f>IF(AND(ISNUMBER($T77),$T77&lt;&gt;""),IF(INDEX(Calc!$AF$3:$AF$122,$T77)="","—",INDEX(Calc!$AF$3:$AF$122,$T77)),"")</f>
        <v/>
      </c>
      <c r="O77" s="20">
        <f>IF(AND(ISNUMBER($T77),$T77&lt;&gt;""),IF(INDEX(Calc!$AG$3:$AG$122,$T77)="","—",INDEX(Calc!$AG$3:$AG$122,$T77)),"")</f>
        <v/>
      </c>
      <c r="P77" s="21">
        <f>IF(AND(ISNUMBER($T77),$T77&lt;&gt;""),IF(INDEX(Calc!$AJ$3:$AJ$122,$T77)="","—",INDEX(Calc!$AJ$3:$AJ$122,$T77)),"")</f>
        <v/>
      </c>
      <c r="Q77" s="21">
        <f>IF(AND(ISNUMBER($T77),$T77&lt;&gt;""),IF(INDEX(Calc!$AK$3:$AK$122,$T77)="","—",INDEX(Calc!$AK$3:$AK$122,$T77)),"")</f>
        <v/>
      </c>
      <c r="R77" s="20">
        <f>IF(AND(ISNUMBER($T77),$T77&lt;&gt;""),IF(INDEX(Calc!$AL$3:$AL$122,$T77)="","—",INDEX(Calc!$AL$3:$AL$122,$T77)),"")</f>
        <v/>
      </c>
      <c r="T77">
        <f>IFERROR(MATCH(73,Calc!$AN$3:$AN$122,0),"")</f>
        <v/>
      </c>
    </row>
    <row r="78">
      <c r="A78" s="14">
        <f>IF(AND(ISNUMBER($T78),$T78&lt;&gt;""),INDEX(Calc!$S$3:$S$122,$T78),"")</f>
        <v/>
      </c>
      <c r="B78" s="15">
        <f>IF(AND(ISNUMBER($T78),$T78&lt;&gt;""),IF(INDEX(Calc!$T$3:$T$122,$T78)="","—",INDEX(Calc!$T$3:$T$122,$T78)),"")</f>
        <v/>
      </c>
      <c r="C78" s="15">
        <f>IF(AND(ISNUMBER($T78),$T78&lt;&gt;""),IF(INDEX(Calc!$U$3:$U$122,$T78)="","—",INDEX(Calc!$U$3:$U$122,$T78)),"")</f>
        <v/>
      </c>
      <c r="D78" s="15">
        <f>IF(AND(ISNUMBER($T78),$T78&lt;&gt;""),IF(INDEX(Calc!$V$3:$V$122,$T78)="","—",INDEX(Calc!$V$3:$V$122,$T78)),"")</f>
        <v/>
      </c>
      <c r="E78" s="15">
        <f>IF(AND(ISNUMBER($T78),$T78&lt;&gt;""),IF(INDEX(Calc!$W$3:$W$122,$T78)="","—",INDEX(Calc!$W$3:$W$122,$T78)),"")</f>
        <v/>
      </c>
      <c r="F78" s="15">
        <f>IF(AND(ISNUMBER($T78),$T78&lt;&gt;""),IF(INDEX(Calc!$X$3:$X$122,$T78)="","—",INDEX(Calc!$X$3:$X$122,$T78)),"")</f>
        <v/>
      </c>
      <c r="G78" s="15">
        <f>IF(AND(ISNUMBER($T78),$T78&lt;&gt;""),IF(INDEX(Calc!$Y$3:$Y$122,$T78)="","—",INDEX(Calc!$Y$3:$Y$122,$T78)),"")</f>
        <v/>
      </c>
      <c r="H78" s="15">
        <f>IF(AND(ISNUMBER($T78),$T78&lt;&gt;""),IF(INDEX(Calc!$Z$3:$Z$122,$T78)="","—",INDEX(Calc!$Z$3:$Z$122,$T78)),"")</f>
        <v/>
      </c>
      <c r="I78" s="15">
        <f>IF(AND(ISNUMBER($T78),$T78&lt;&gt;""),IF(INDEX(Calc!$AA$3:$AA$122,$T78)="","—",INDEX(Calc!$AA$3:$AA$122,$T78)),"")</f>
        <v/>
      </c>
      <c r="J78" s="15">
        <f>IF(AND(ISNUMBER($T78),$T78&lt;&gt;""),IF(INDEX(Calc!$AB$3:$AB$122,$T78)="","—",INDEX(Calc!$AB$3:$AB$122,$T78)),"")</f>
        <v/>
      </c>
      <c r="K78" s="15">
        <f>IF(AND(ISNUMBER($T78),$T78&lt;&gt;""),IF(INDEX(Calc!$AC$3:$AC$122,$T78)="","—",INDEX(Calc!$AC$3:$AC$122,$T78)),"")</f>
        <v/>
      </c>
      <c r="L78" s="15">
        <f>IF(AND(ISNUMBER($T78),$T78&lt;&gt;""),IF(INDEX(Calc!$AD$3:$AD$122,$T78)="","—",INDEX(Calc!$AD$3:$AD$122,$T78)),"")</f>
        <v/>
      </c>
      <c r="M78" s="15">
        <f>IF(AND(ISNUMBER($T78),$T78&lt;&gt;""),IF(INDEX(Calc!$AE$3:$AE$122,$T78)="","—",INDEX(Calc!$AE$3:$AE$122,$T78)),"")</f>
        <v/>
      </c>
      <c r="N78" s="15">
        <f>IF(AND(ISNUMBER($T78),$T78&lt;&gt;""),IF(INDEX(Calc!$AF$3:$AF$122,$T78)="","—",INDEX(Calc!$AF$3:$AF$122,$T78)),"")</f>
        <v/>
      </c>
      <c r="O78" s="15">
        <f>IF(AND(ISNUMBER($T78),$T78&lt;&gt;""),IF(INDEX(Calc!$AG$3:$AG$122,$T78)="","—",INDEX(Calc!$AG$3:$AG$122,$T78)),"")</f>
        <v/>
      </c>
      <c r="P78" s="16">
        <f>IF(AND(ISNUMBER($T78),$T78&lt;&gt;""),IF(INDEX(Calc!$AJ$3:$AJ$122,$T78)="","—",INDEX(Calc!$AJ$3:$AJ$122,$T78)),"")</f>
        <v/>
      </c>
      <c r="Q78" s="16">
        <f>IF(AND(ISNUMBER($T78),$T78&lt;&gt;""),IF(INDEX(Calc!$AK$3:$AK$122,$T78)="","—",INDEX(Calc!$AK$3:$AK$122,$T78)),"")</f>
        <v/>
      </c>
      <c r="R78" s="15">
        <f>IF(AND(ISNUMBER($T78),$T78&lt;&gt;""),IF(INDEX(Calc!$AL$3:$AL$122,$T78)="","—",INDEX(Calc!$AL$3:$AL$122,$T78)),"")</f>
        <v/>
      </c>
      <c r="T78">
        <f>IFERROR(MATCH(74,Calc!$AN$3:$AN$122,0),"")</f>
        <v/>
      </c>
    </row>
    <row r="79">
      <c r="A79" s="19">
        <f>IF(AND(ISNUMBER($T79),$T79&lt;&gt;""),INDEX(Calc!$S$3:$S$122,$T79),"")</f>
        <v/>
      </c>
      <c r="B79" s="20">
        <f>IF(AND(ISNUMBER($T79),$T79&lt;&gt;""),IF(INDEX(Calc!$T$3:$T$122,$T79)="","—",INDEX(Calc!$T$3:$T$122,$T79)),"")</f>
        <v/>
      </c>
      <c r="C79" s="20">
        <f>IF(AND(ISNUMBER($T79),$T79&lt;&gt;""),IF(INDEX(Calc!$U$3:$U$122,$T79)="","—",INDEX(Calc!$U$3:$U$122,$T79)),"")</f>
        <v/>
      </c>
      <c r="D79" s="20">
        <f>IF(AND(ISNUMBER($T79),$T79&lt;&gt;""),IF(INDEX(Calc!$V$3:$V$122,$T79)="","—",INDEX(Calc!$V$3:$V$122,$T79)),"")</f>
        <v/>
      </c>
      <c r="E79" s="20">
        <f>IF(AND(ISNUMBER($T79),$T79&lt;&gt;""),IF(INDEX(Calc!$W$3:$W$122,$T79)="","—",INDEX(Calc!$W$3:$W$122,$T79)),"")</f>
        <v/>
      </c>
      <c r="F79" s="20">
        <f>IF(AND(ISNUMBER($T79),$T79&lt;&gt;""),IF(INDEX(Calc!$X$3:$X$122,$T79)="","—",INDEX(Calc!$X$3:$X$122,$T79)),"")</f>
        <v/>
      </c>
      <c r="G79" s="20">
        <f>IF(AND(ISNUMBER($T79),$T79&lt;&gt;""),IF(INDEX(Calc!$Y$3:$Y$122,$T79)="","—",INDEX(Calc!$Y$3:$Y$122,$T79)),"")</f>
        <v/>
      </c>
      <c r="H79" s="20">
        <f>IF(AND(ISNUMBER($T79),$T79&lt;&gt;""),IF(INDEX(Calc!$Z$3:$Z$122,$T79)="","—",INDEX(Calc!$Z$3:$Z$122,$T79)),"")</f>
        <v/>
      </c>
      <c r="I79" s="20">
        <f>IF(AND(ISNUMBER($T79),$T79&lt;&gt;""),IF(INDEX(Calc!$AA$3:$AA$122,$T79)="","—",INDEX(Calc!$AA$3:$AA$122,$T79)),"")</f>
        <v/>
      </c>
      <c r="J79" s="20">
        <f>IF(AND(ISNUMBER($T79),$T79&lt;&gt;""),IF(INDEX(Calc!$AB$3:$AB$122,$T79)="","—",INDEX(Calc!$AB$3:$AB$122,$T79)),"")</f>
        <v/>
      </c>
      <c r="K79" s="20">
        <f>IF(AND(ISNUMBER($T79),$T79&lt;&gt;""),IF(INDEX(Calc!$AC$3:$AC$122,$T79)="","—",INDEX(Calc!$AC$3:$AC$122,$T79)),"")</f>
        <v/>
      </c>
      <c r="L79" s="20">
        <f>IF(AND(ISNUMBER($T79),$T79&lt;&gt;""),IF(INDEX(Calc!$AD$3:$AD$122,$T79)="","—",INDEX(Calc!$AD$3:$AD$122,$T79)),"")</f>
        <v/>
      </c>
      <c r="M79" s="20">
        <f>IF(AND(ISNUMBER($T79),$T79&lt;&gt;""),IF(INDEX(Calc!$AE$3:$AE$122,$T79)="","—",INDEX(Calc!$AE$3:$AE$122,$T79)),"")</f>
        <v/>
      </c>
      <c r="N79" s="20">
        <f>IF(AND(ISNUMBER($T79),$T79&lt;&gt;""),IF(INDEX(Calc!$AF$3:$AF$122,$T79)="","—",INDEX(Calc!$AF$3:$AF$122,$T79)),"")</f>
        <v/>
      </c>
      <c r="O79" s="20">
        <f>IF(AND(ISNUMBER($T79),$T79&lt;&gt;""),IF(INDEX(Calc!$AG$3:$AG$122,$T79)="","—",INDEX(Calc!$AG$3:$AG$122,$T79)),"")</f>
        <v/>
      </c>
      <c r="P79" s="21">
        <f>IF(AND(ISNUMBER($T79),$T79&lt;&gt;""),IF(INDEX(Calc!$AJ$3:$AJ$122,$T79)="","—",INDEX(Calc!$AJ$3:$AJ$122,$T79)),"")</f>
        <v/>
      </c>
      <c r="Q79" s="21">
        <f>IF(AND(ISNUMBER($T79),$T79&lt;&gt;""),IF(INDEX(Calc!$AK$3:$AK$122,$T79)="","—",INDEX(Calc!$AK$3:$AK$122,$T79)),"")</f>
        <v/>
      </c>
      <c r="R79" s="20">
        <f>IF(AND(ISNUMBER($T79),$T79&lt;&gt;""),IF(INDEX(Calc!$AL$3:$AL$122,$T79)="","—",INDEX(Calc!$AL$3:$AL$122,$T79)),"")</f>
        <v/>
      </c>
      <c r="T79">
        <f>IFERROR(MATCH(75,Calc!$AN$3:$AN$122,0),"")</f>
        <v/>
      </c>
    </row>
    <row r="80">
      <c r="A80" s="14">
        <f>IF(AND(ISNUMBER($T80),$T80&lt;&gt;""),INDEX(Calc!$S$3:$S$122,$T80),"")</f>
        <v/>
      </c>
      <c r="B80" s="15">
        <f>IF(AND(ISNUMBER($T80),$T80&lt;&gt;""),IF(INDEX(Calc!$T$3:$T$122,$T80)="","—",INDEX(Calc!$T$3:$T$122,$T80)),"")</f>
        <v/>
      </c>
      <c r="C80" s="15">
        <f>IF(AND(ISNUMBER($T80),$T80&lt;&gt;""),IF(INDEX(Calc!$U$3:$U$122,$T80)="","—",INDEX(Calc!$U$3:$U$122,$T80)),"")</f>
        <v/>
      </c>
      <c r="D80" s="15">
        <f>IF(AND(ISNUMBER($T80),$T80&lt;&gt;""),IF(INDEX(Calc!$V$3:$V$122,$T80)="","—",INDEX(Calc!$V$3:$V$122,$T80)),"")</f>
        <v/>
      </c>
      <c r="E80" s="15">
        <f>IF(AND(ISNUMBER($T80),$T80&lt;&gt;""),IF(INDEX(Calc!$W$3:$W$122,$T80)="","—",INDEX(Calc!$W$3:$W$122,$T80)),"")</f>
        <v/>
      </c>
      <c r="F80" s="15">
        <f>IF(AND(ISNUMBER($T80),$T80&lt;&gt;""),IF(INDEX(Calc!$X$3:$X$122,$T80)="","—",INDEX(Calc!$X$3:$X$122,$T80)),"")</f>
        <v/>
      </c>
      <c r="G80" s="15">
        <f>IF(AND(ISNUMBER($T80),$T80&lt;&gt;""),IF(INDEX(Calc!$Y$3:$Y$122,$T80)="","—",INDEX(Calc!$Y$3:$Y$122,$T80)),"")</f>
        <v/>
      </c>
      <c r="H80" s="15">
        <f>IF(AND(ISNUMBER($T80),$T80&lt;&gt;""),IF(INDEX(Calc!$Z$3:$Z$122,$T80)="","—",INDEX(Calc!$Z$3:$Z$122,$T80)),"")</f>
        <v/>
      </c>
      <c r="I80" s="15">
        <f>IF(AND(ISNUMBER($T80),$T80&lt;&gt;""),IF(INDEX(Calc!$AA$3:$AA$122,$T80)="","—",INDEX(Calc!$AA$3:$AA$122,$T80)),"")</f>
        <v/>
      </c>
      <c r="J80" s="15">
        <f>IF(AND(ISNUMBER($T80),$T80&lt;&gt;""),IF(INDEX(Calc!$AB$3:$AB$122,$T80)="","—",INDEX(Calc!$AB$3:$AB$122,$T80)),"")</f>
        <v/>
      </c>
      <c r="K80" s="15">
        <f>IF(AND(ISNUMBER($T80),$T80&lt;&gt;""),IF(INDEX(Calc!$AC$3:$AC$122,$T80)="","—",INDEX(Calc!$AC$3:$AC$122,$T80)),"")</f>
        <v/>
      </c>
      <c r="L80" s="15">
        <f>IF(AND(ISNUMBER($T80),$T80&lt;&gt;""),IF(INDEX(Calc!$AD$3:$AD$122,$T80)="","—",INDEX(Calc!$AD$3:$AD$122,$T80)),"")</f>
        <v/>
      </c>
      <c r="M80" s="15">
        <f>IF(AND(ISNUMBER($T80),$T80&lt;&gt;""),IF(INDEX(Calc!$AE$3:$AE$122,$T80)="","—",INDEX(Calc!$AE$3:$AE$122,$T80)),"")</f>
        <v/>
      </c>
      <c r="N80" s="15">
        <f>IF(AND(ISNUMBER($T80),$T80&lt;&gt;""),IF(INDEX(Calc!$AF$3:$AF$122,$T80)="","—",INDEX(Calc!$AF$3:$AF$122,$T80)),"")</f>
        <v/>
      </c>
      <c r="O80" s="15">
        <f>IF(AND(ISNUMBER($T80),$T80&lt;&gt;""),IF(INDEX(Calc!$AG$3:$AG$122,$T80)="","—",INDEX(Calc!$AG$3:$AG$122,$T80)),"")</f>
        <v/>
      </c>
      <c r="P80" s="16">
        <f>IF(AND(ISNUMBER($T80),$T80&lt;&gt;""),IF(INDEX(Calc!$AJ$3:$AJ$122,$T80)="","—",INDEX(Calc!$AJ$3:$AJ$122,$T80)),"")</f>
        <v/>
      </c>
      <c r="Q80" s="16">
        <f>IF(AND(ISNUMBER($T80),$T80&lt;&gt;""),IF(INDEX(Calc!$AK$3:$AK$122,$T80)="","—",INDEX(Calc!$AK$3:$AK$122,$T80)),"")</f>
        <v/>
      </c>
      <c r="R80" s="15">
        <f>IF(AND(ISNUMBER($T80),$T80&lt;&gt;""),IF(INDEX(Calc!$AL$3:$AL$122,$T80)="","—",INDEX(Calc!$AL$3:$AL$122,$T80)),"")</f>
        <v/>
      </c>
      <c r="T80">
        <f>IFERROR(MATCH(76,Calc!$AN$3:$AN$122,0),"")</f>
        <v/>
      </c>
    </row>
    <row r="81">
      <c r="A81" s="19">
        <f>IF(AND(ISNUMBER($T81),$T81&lt;&gt;""),INDEX(Calc!$S$3:$S$122,$T81),"")</f>
        <v/>
      </c>
      <c r="B81" s="20">
        <f>IF(AND(ISNUMBER($T81),$T81&lt;&gt;""),IF(INDEX(Calc!$T$3:$T$122,$T81)="","—",INDEX(Calc!$T$3:$T$122,$T81)),"")</f>
        <v/>
      </c>
      <c r="C81" s="20">
        <f>IF(AND(ISNUMBER($T81),$T81&lt;&gt;""),IF(INDEX(Calc!$U$3:$U$122,$T81)="","—",INDEX(Calc!$U$3:$U$122,$T81)),"")</f>
        <v/>
      </c>
      <c r="D81" s="20">
        <f>IF(AND(ISNUMBER($T81),$T81&lt;&gt;""),IF(INDEX(Calc!$V$3:$V$122,$T81)="","—",INDEX(Calc!$V$3:$V$122,$T81)),"")</f>
        <v/>
      </c>
      <c r="E81" s="20">
        <f>IF(AND(ISNUMBER($T81),$T81&lt;&gt;""),IF(INDEX(Calc!$W$3:$W$122,$T81)="","—",INDEX(Calc!$W$3:$W$122,$T81)),"")</f>
        <v/>
      </c>
      <c r="F81" s="20">
        <f>IF(AND(ISNUMBER($T81),$T81&lt;&gt;""),IF(INDEX(Calc!$X$3:$X$122,$T81)="","—",INDEX(Calc!$X$3:$X$122,$T81)),"")</f>
        <v/>
      </c>
      <c r="G81" s="20">
        <f>IF(AND(ISNUMBER($T81),$T81&lt;&gt;""),IF(INDEX(Calc!$Y$3:$Y$122,$T81)="","—",INDEX(Calc!$Y$3:$Y$122,$T81)),"")</f>
        <v/>
      </c>
      <c r="H81" s="20">
        <f>IF(AND(ISNUMBER($T81),$T81&lt;&gt;""),IF(INDEX(Calc!$Z$3:$Z$122,$T81)="","—",INDEX(Calc!$Z$3:$Z$122,$T81)),"")</f>
        <v/>
      </c>
      <c r="I81" s="20">
        <f>IF(AND(ISNUMBER($T81),$T81&lt;&gt;""),IF(INDEX(Calc!$AA$3:$AA$122,$T81)="","—",INDEX(Calc!$AA$3:$AA$122,$T81)),"")</f>
        <v/>
      </c>
      <c r="J81" s="20">
        <f>IF(AND(ISNUMBER($T81),$T81&lt;&gt;""),IF(INDEX(Calc!$AB$3:$AB$122,$T81)="","—",INDEX(Calc!$AB$3:$AB$122,$T81)),"")</f>
        <v/>
      </c>
      <c r="K81" s="20">
        <f>IF(AND(ISNUMBER($T81),$T81&lt;&gt;""),IF(INDEX(Calc!$AC$3:$AC$122,$T81)="","—",INDEX(Calc!$AC$3:$AC$122,$T81)),"")</f>
        <v/>
      </c>
      <c r="L81" s="20">
        <f>IF(AND(ISNUMBER($T81),$T81&lt;&gt;""),IF(INDEX(Calc!$AD$3:$AD$122,$T81)="","—",INDEX(Calc!$AD$3:$AD$122,$T81)),"")</f>
        <v/>
      </c>
      <c r="M81" s="20">
        <f>IF(AND(ISNUMBER($T81),$T81&lt;&gt;""),IF(INDEX(Calc!$AE$3:$AE$122,$T81)="","—",INDEX(Calc!$AE$3:$AE$122,$T81)),"")</f>
        <v/>
      </c>
      <c r="N81" s="20">
        <f>IF(AND(ISNUMBER($T81),$T81&lt;&gt;""),IF(INDEX(Calc!$AF$3:$AF$122,$T81)="","—",INDEX(Calc!$AF$3:$AF$122,$T81)),"")</f>
        <v/>
      </c>
      <c r="O81" s="20">
        <f>IF(AND(ISNUMBER($T81),$T81&lt;&gt;""),IF(INDEX(Calc!$AG$3:$AG$122,$T81)="","—",INDEX(Calc!$AG$3:$AG$122,$T81)),"")</f>
        <v/>
      </c>
      <c r="P81" s="21">
        <f>IF(AND(ISNUMBER($T81),$T81&lt;&gt;""),IF(INDEX(Calc!$AJ$3:$AJ$122,$T81)="","—",INDEX(Calc!$AJ$3:$AJ$122,$T81)),"")</f>
        <v/>
      </c>
      <c r="Q81" s="21">
        <f>IF(AND(ISNUMBER($T81),$T81&lt;&gt;""),IF(INDEX(Calc!$AK$3:$AK$122,$T81)="","—",INDEX(Calc!$AK$3:$AK$122,$T81)),"")</f>
        <v/>
      </c>
      <c r="R81" s="20">
        <f>IF(AND(ISNUMBER($T81),$T81&lt;&gt;""),IF(INDEX(Calc!$AL$3:$AL$122,$T81)="","—",INDEX(Calc!$AL$3:$AL$122,$T81)),"")</f>
        <v/>
      </c>
      <c r="T81">
        <f>IFERROR(MATCH(77,Calc!$AN$3:$AN$122,0),"")</f>
        <v/>
      </c>
    </row>
    <row r="82">
      <c r="A82" s="14">
        <f>IF(AND(ISNUMBER($T82),$T82&lt;&gt;""),INDEX(Calc!$S$3:$S$122,$T82),"")</f>
        <v/>
      </c>
      <c r="B82" s="15">
        <f>IF(AND(ISNUMBER($T82),$T82&lt;&gt;""),IF(INDEX(Calc!$T$3:$T$122,$T82)="","—",INDEX(Calc!$T$3:$T$122,$T82)),"")</f>
        <v/>
      </c>
      <c r="C82" s="15">
        <f>IF(AND(ISNUMBER($T82),$T82&lt;&gt;""),IF(INDEX(Calc!$U$3:$U$122,$T82)="","—",INDEX(Calc!$U$3:$U$122,$T82)),"")</f>
        <v/>
      </c>
      <c r="D82" s="15">
        <f>IF(AND(ISNUMBER($T82),$T82&lt;&gt;""),IF(INDEX(Calc!$V$3:$V$122,$T82)="","—",INDEX(Calc!$V$3:$V$122,$T82)),"")</f>
        <v/>
      </c>
      <c r="E82" s="15">
        <f>IF(AND(ISNUMBER($T82),$T82&lt;&gt;""),IF(INDEX(Calc!$W$3:$W$122,$T82)="","—",INDEX(Calc!$W$3:$W$122,$T82)),"")</f>
        <v/>
      </c>
      <c r="F82" s="15">
        <f>IF(AND(ISNUMBER($T82),$T82&lt;&gt;""),IF(INDEX(Calc!$X$3:$X$122,$T82)="","—",INDEX(Calc!$X$3:$X$122,$T82)),"")</f>
        <v/>
      </c>
      <c r="G82" s="15">
        <f>IF(AND(ISNUMBER($T82),$T82&lt;&gt;""),IF(INDEX(Calc!$Y$3:$Y$122,$T82)="","—",INDEX(Calc!$Y$3:$Y$122,$T82)),"")</f>
        <v/>
      </c>
      <c r="H82" s="15">
        <f>IF(AND(ISNUMBER($T82),$T82&lt;&gt;""),IF(INDEX(Calc!$Z$3:$Z$122,$T82)="","—",INDEX(Calc!$Z$3:$Z$122,$T82)),"")</f>
        <v/>
      </c>
      <c r="I82" s="15">
        <f>IF(AND(ISNUMBER($T82),$T82&lt;&gt;""),IF(INDEX(Calc!$AA$3:$AA$122,$T82)="","—",INDEX(Calc!$AA$3:$AA$122,$T82)),"")</f>
        <v/>
      </c>
      <c r="J82" s="15">
        <f>IF(AND(ISNUMBER($T82),$T82&lt;&gt;""),IF(INDEX(Calc!$AB$3:$AB$122,$T82)="","—",INDEX(Calc!$AB$3:$AB$122,$T82)),"")</f>
        <v/>
      </c>
      <c r="K82" s="15">
        <f>IF(AND(ISNUMBER($T82),$T82&lt;&gt;""),IF(INDEX(Calc!$AC$3:$AC$122,$T82)="","—",INDEX(Calc!$AC$3:$AC$122,$T82)),"")</f>
        <v/>
      </c>
      <c r="L82" s="15">
        <f>IF(AND(ISNUMBER($T82),$T82&lt;&gt;""),IF(INDEX(Calc!$AD$3:$AD$122,$T82)="","—",INDEX(Calc!$AD$3:$AD$122,$T82)),"")</f>
        <v/>
      </c>
      <c r="M82" s="15">
        <f>IF(AND(ISNUMBER($T82),$T82&lt;&gt;""),IF(INDEX(Calc!$AE$3:$AE$122,$T82)="","—",INDEX(Calc!$AE$3:$AE$122,$T82)),"")</f>
        <v/>
      </c>
      <c r="N82" s="15">
        <f>IF(AND(ISNUMBER($T82),$T82&lt;&gt;""),IF(INDEX(Calc!$AF$3:$AF$122,$T82)="","—",INDEX(Calc!$AF$3:$AF$122,$T82)),"")</f>
        <v/>
      </c>
      <c r="O82" s="15">
        <f>IF(AND(ISNUMBER($T82),$T82&lt;&gt;""),IF(INDEX(Calc!$AG$3:$AG$122,$T82)="","—",INDEX(Calc!$AG$3:$AG$122,$T82)),"")</f>
        <v/>
      </c>
      <c r="P82" s="16">
        <f>IF(AND(ISNUMBER($T82),$T82&lt;&gt;""),IF(INDEX(Calc!$AJ$3:$AJ$122,$T82)="","—",INDEX(Calc!$AJ$3:$AJ$122,$T82)),"")</f>
        <v/>
      </c>
      <c r="Q82" s="16">
        <f>IF(AND(ISNUMBER($T82),$T82&lt;&gt;""),IF(INDEX(Calc!$AK$3:$AK$122,$T82)="","—",INDEX(Calc!$AK$3:$AK$122,$T82)),"")</f>
        <v/>
      </c>
      <c r="R82" s="15">
        <f>IF(AND(ISNUMBER($T82),$T82&lt;&gt;""),IF(INDEX(Calc!$AL$3:$AL$122,$T82)="","—",INDEX(Calc!$AL$3:$AL$122,$T82)),"")</f>
        <v/>
      </c>
      <c r="T82">
        <f>IFERROR(MATCH(78,Calc!$AN$3:$AN$122,0),"")</f>
        <v/>
      </c>
    </row>
    <row r="83">
      <c r="A83" s="19">
        <f>IF(AND(ISNUMBER($T83),$T83&lt;&gt;""),INDEX(Calc!$S$3:$S$122,$T83),"")</f>
        <v/>
      </c>
      <c r="B83" s="20">
        <f>IF(AND(ISNUMBER($T83),$T83&lt;&gt;""),IF(INDEX(Calc!$T$3:$T$122,$T83)="","—",INDEX(Calc!$T$3:$T$122,$T83)),"")</f>
        <v/>
      </c>
      <c r="C83" s="20">
        <f>IF(AND(ISNUMBER($T83),$T83&lt;&gt;""),IF(INDEX(Calc!$U$3:$U$122,$T83)="","—",INDEX(Calc!$U$3:$U$122,$T83)),"")</f>
        <v/>
      </c>
      <c r="D83" s="20">
        <f>IF(AND(ISNUMBER($T83),$T83&lt;&gt;""),IF(INDEX(Calc!$V$3:$V$122,$T83)="","—",INDEX(Calc!$V$3:$V$122,$T83)),"")</f>
        <v/>
      </c>
      <c r="E83" s="20">
        <f>IF(AND(ISNUMBER($T83),$T83&lt;&gt;""),IF(INDEX(Calc!$W$3:$W$122,$T83)="","—",INDEX(Calc!$W$3:$W$122,$T83)),"")</f>
        <v/>
      </c>
      <c r="F83" s="20">
        <f>IF(AND(ISNUMBER($T83),$T83&lt;&gt;""),IF(INDEX(Calc!$X$3:$X$122,$T83)="","—",INDEX(Calc!$X$3:$X$122,$T83)),"")</f>
        <v/>
      </c>
      <c r="G83" s="20">
        <f>IF(AND(ISNUMBER($T83),$T83&lt;&gt;""),IF(INDEX(Calc!$Y$3:$Y$122,$T83)="","—",INDEX(Calc!$Y$3:$Y$122,$T83)),"")</f>
        <v/>
      </c>
      <c r="H83" s="20">
        <f>IF(AND(ISNUMBER($T83),$T83&lt;&gt;""),IF(INDEX(Calc!$Z$3:$Z$122,$T83)="","—",INDEX(Calc!$Z$3:$Z$122,$T83)),"")</f>
        <v/>
      </c>
      <c r="I83" s="20">
        <f>IF(AND(ISNUMBER($T83),$T83&lt;&gt;""),IF(INDEX(Calc!$AA$3:$AA$122,$T83)="","—",INDEX(Calc!$AA$3:$AA$122,$T83)),"")</f>
        <v/>
      </c>
      <c r="J83" s="20">
        <f>IF(AND(ISNUMBER($T83),$T83&lt;&gt;""),IF(INDEX(Calc!$AB$3:$AB$122,$T83)="","—",INDEX(Calc!$AB$3:$AB$122,$T83)),"")</f>
        <v/>
      </c>
      <c r="K83" s="20">
        <f>IF(AND(ISNUMBER($T83),$T83&lt;&gt;""),IF(INDEX(Calc!$AC$3:$AC$122,$T83)="","—",INDEX(Calc!$AC$3:$AC$122,$T83)),"")</f>
        <v/>
      </c>
      <c r="L83" s="20">
        <f>IF(AND(ISNUMBER($T83),$T83&lt;&gt;""),IF(INDEX(Calc!$AD$3:$AD$122,$T83)="","—",INDEX(Calc!$AD$3:$AD$122,$T83)),"")</f>
        <v/>
      </c>
      <c r="M83" s="20">
        <f>IF(AND(ISNUMBER($T83),$T83&lt;&gt;""),IF(INDEX(Calc!$AE$3:$AE$122,$T83)="","—",INDEX(Calc!$AE$3:$AE$122,$T83)),"")</f>
        <v/>
      </c>
      <c r="N83" s="20">
        <f>IF(AND(ISNUMBER($T83),$T83&lt;&gt;""),IF(INDEX(Calc!$AF$3:$AF$122,$T83)="","—",INDEX(Calc!$AF$3:$AF$122,$T83)),"")</f>
        <v/>
      </c>
      <c r="O83" s="20">
        <f>IF(AND(ISNUMBER($T83),$T83&lt;&gt;""),IF(INDEX(Calc!$AG$3:$AG$122,$T83)="","—",INDEX(Calc!$AG$3:$AG$122,$T83)),"")</f>
        <v/>
      </c>
      <c r="P83" s="21">
        <f>IF(AND(ISNUMBER($T83),$T83&lt;&gt;""),IF(INDEX(Calc!$AJ$3:$AJ$122,$T83)="","—",INDEX(Calc!$AJ$3:$AJ$122,$T83)),"")</f>
        <v/>
      </c>
      <c r="Q83" s="21">
        <f>IF(AND(ISNUMBER($T83),$T83&lt;&gt;""),IF(INDEX(Calc!$AK$3:$AK$122,$T83)="","—",INDEX(Calc!$AK$3:$AK$122,$T83)),"")</f>
        <v/>
      </c>
      <c r="R83" s="20">
        <f>IF(AND(ISNUMBER($T83),$T83&lt;&gt;""),IF(INDEX(Calc!$AL$3:$AL$122,$T83)="","—",INDEX(Calc!$AL$3:$AL$122,$T83)),"")</f>
        <v/>
      </c>
      <c r="T83">
        <f>IFERROR(MATCH(79,Calc!$AN$3:$AN$122,0),"")</f>
        <v/>
      </c>
    </row>
    <row r="84">
      <c r="A84" s="14">
        <f>IF(AND(ISNUMBER($T84),$T84&lt;&gt;""),INDEX(Calc!$S$3:$S$122,$T84),"")</f>
        <v/>
      </c>
      <c r="B84" s="15">
        <f>IF(AND(ISNUMBER($T84),$T84&lt;&gt;""),IF(INDEX(Calc!$T$3:$T$122,$T84)="","—",INDEX(Calc!$T$3:$T$122,$T84)),"")</f>
        <v/>
      </c>
      <c r="C84" s="15">
        <f>IF(AND(ISNUMBER($T84),$T84&lt;&gt;""),IF(INDEX(Calc!$U$3:$U$122,$T84)="","—",INDEX(Calc!$U$3:$U$122,$T84)),"")</f>
        <v/>
      </c>
      <c r="D84" s="15">
        <f>IF(AND(ISNUMBER($T84),$T84&lt;&gt;""),IF(INDEX(Calc!$V$3:$V$122,$T84)="","—",INDEX(Calc!$V$3:$V$122,$T84)),"")</f>
        <v/>
      </c>
      <c r="E84" s="15">
        <f>IF(AND(ISNUMBER($T84),$T84&lt;&gt;""),IF(INDEX(Calc!$W$3:$W$122,$T84)="","—",INDEX(Calc!$W$3:$W$122,$T84)),"")</f>
        <v/>
      </c>
      <c r="F84" s="15">
        <f>IF(AND(ISNUMBER($T84),$T84&lt;&gt;""),IF(INDEX(Calc!$X$3:$X$122,$T84)="","—",INDEX(Calc!$X$3:$X$122,$T84)),"")</f>
        <v/>
      </c>
      <c r="G84" s="15">
        <f>IF(AND(ISNUMBER($T84),$T84&lt;&gt;""),IF(INDEX(Calc!$Y$3:$Y$122,$T84)="","—",INDEX(Calc!$Y$3:$Y$122,$T84)),"")</f>
        <v/>
      </c>
      <c r="H84" s="15">
        <f>IF(AND(ISNUMBER($T84),$T84&lt;&gt;""),IF(INDEX(Calc!$Z$3:$Z$122,$T84)="","—",INDEX(Calc!$Z$3:$Z$122,$T84)),"")</f>
        <v/>
      </c>
      <c r="I84" s="15">
        <f>IF(AND(ISNUMBER($T84),$T84&lt;&gt;""),IF(INDEX(Calc!$AA$3:$AA$122,$T84)="","—",INDEX(Calc!$AA$3:$AA$122,$T84)),"")</f>
        <v/>
      </c>
      <c r="J84" s="15">
        <f>IF(AND(ISNUMBER($T84),$T84&lt;&gt;""),IF(INDEX(Calc!$AB$3:$AB$122,$T84)="","—",INDEX(Calc!$AB$3:$AB$122,$T84)),"")</f>
        <v/>
      </c>
      <c r="K84" s="15">
        <f>IF(AND(ISNUMBER($T84),$T84&lt;&gt;""),IF(INDEX(Calc!$AC$3:$AC$122,$T84)="","—",INDEX(Calc!$AC$3:$AC$122,$T84)),"")</f>
        <v/>
      </c>
      <c r="L84" s="15">
        <f>IF(AND(ISNUMBER($T84),$T84&lt;&gt;""),IF(INDEX(Calc!$AD$3:$AD$122,$T84)="","—",INDEX(Calc!$AD$3:$AD$122,$T84)),"")</f>
        <v/>
      </c>
      <c r="M84" s="15">
        <f>IF(AND(ISNUMBER($T84),$T84&lt;&gt;""),IF(INDEX(Calc!$AE$3:$AE$122,$T84)="","—",INDEX(Calc!$AE$3:$AE$122,$T84)),"")</f>
        <v/>
      </c>
      <c r="N84" s="15">
        <f>IF(AND(ISNUMBER($T84),$T84&lt;&gt;""),IF(INDEX(Calc!$AF$3:$AF$122,$T84)="","—",INDEX(Calc!$AF$3:$AF$122,$T84)),"")</f>
        <v/>
      </c>
      <c r="O84" s="15">
        <f>IF(AND(ISNUMBER($T84),$T84&lt;&gt;""),IF(INDEX(Calc!$AG$3:$AG$122,$T84)="","—",INDEX(Calc!$AG$3:$AG$122,$T84)),"")</f>
        <v/>
      </c>
      <c r="P84" s="16">
        <f>IF(AND(ISNUMBER($T84),$T84&lt;&gt;""),IF(INDEX(Calc!$AJ$3:$AJ$122,$T84)="","—",INDEX(Calc!$AJ$3:$AJ$122,$T84)),"")</f>
        <v/>
      </c>
      <c r="Q84" s="16">
        <f>IF(AND(ISNUMBER($T84),$T84&lt;&gt;""),IF(INDEX(Calc!$AK$3:$AK$122,$T84)="","—",INDEX(Calc!$AK$3:$AK$122,$T84)),"")</f>
        <v/>
      </c>
      <c r="R84" s="15">
        <f>IF(AND(ISNUMBER($T84),$T84&lt;&gt;""),IF(INDEX(Calc!$AL$3:$AL$122,$T84)="","—",INDEX(Calc!$AL$3:$AL$122,$T84)),"")</f>
        <v/>
      </c>
      <c r="T84">
        <f>IFERROR(MATCH(80,Calc!$AN$3:$AN$122,0),"")</f>
        <v/>
      </c>
    </row>
    <row r="85">
      <c r="A85" s="19">
        <f>IF(AND(ISNUMBER($T85),$T85&lt;&gt;""),INDEX(Calc!$S$3:$S$122,$T85),"")</f>
        <v/>
      </c>
      <c r="B85" s="20">
        <f>IF(AND(ISNUMBER($T85),$T85&lt;&gt;""),IF(INDEX(Calc!$T$3:$T$122,$T85)="","—",INDEX(Calc!$T$3:$T$122,$T85)),"")</f>
        <v/>
      </c>
      <c r="C85" s="20">
        <f>IF(AND(ISNUMBER($T85),$T85&lt;&gt;""),IF(INDEX(Calc!$U$3:$U$122,$T85)="","—",INDEX(Calc!$U$3:$U$122,$T85)),"")</f>
        <v/>
      </c>
      <c r="D85" s="20">
        <f>IF(AND(ISNUMBER($T85),$T85&lt;&gt;""),IF(INDEX(Calc!$V$3:$V$122,$T85)="","—",INDEX(Calc!$V$3:$V$122,$T85)),"")</f>
        <v/>
      </c>
      <c r="E85" s="20">
        <f>IF(AND(ISNUMBER($T85),$T85&lt;&gt;""),IF(INDEX(Calc!$W$3:$W$122,$T85)="","—",INDEX(Calc!$W$3:$W$122,$T85)),"")</f>
        <v/>
      </c>
      <c r="F85" s="20">
        <f>IF(AND(ISNUMBER($T85),$T85&lt;&gt;""),IF(INDEX(Calc!$X$3:$X$122,$T85)="","—",INDEX(Calc!$X$3:$X$122,$T85)),"")</f>
        <v/>
      </c>
      <c r="G85" s="20">
        <f>IF(AND(ISNUMBER($T85),$T85&lt;&gt;""),IF(INDEX(Calc!$Y$3:$Y$122,$T85)="","—",INDEX(Calc!$Y$3:$Y$122,$T85)),"")</f>
        <v/>
      </c>
      <c r="H85" s="20">
        <f>IF(AND(ISNUMBER($T85),$T85&lt;&gt;""),IF(INDEX(Calc!$Z$3:$Z$122,$T85)="","—",INDEX(Calc!$Z$3:$Z$122,$T85)),"")</f>
        <v/>
      </c>
      <c r="I85" s="20">
        <f>IF(AND(ISNUMBER($T85),$T85&lt;&gt;""),IF(INDEX(Calc!$AA$3:$AA$122,$T85)="","—",INDEX(Calc!$AA$3:$AA$122,$T85)),"")</f>
        <v/>
      </c>
      <c r="J85" s="20">
        <f>IF(AND(ISNUMBER($T85),$T85&lt;&gt;""),IF(INDEX(Calc!$AB$3:$AB$122,$T85)="","—",INDEX(Calc!$AB$3:$AB$122,$T85)),"")</f>
        <v/>
      </c>
      <c r="K85" s="20">
        <f>IF(AND(ISNUMBER($T85),$T85&lt;&gt;""),IF(INDEX(Calc!$AC$3:$AC$122,$T85)="","—",INDEX(Calc!$AC$3:$AC$122,$T85)),"")</f>
        <v/>
      </c>
      <c r="L85" s="20">
        <f>IF(AND(ISNUMBER($T85),$T85&lt;&gt;""),IF(INDEX(Calc!$AD$3:$AD$122,$T85)="","—",INDEX(Calc!$AD$3:$AD$122,$T85)),"")</f>
        <v/>
      </c>
      <c r="M85" s="20">
        <f>IF(AND(ISNUMBER($T85),$T85&lt;&gt;""),IF(INDEX(Calc!$AE$3:$AE$122,$T85)="","—",INDEX(Calc!$AE$3:$AE$122,$T85)),"")</f>
        <v/>
      </c>
      <c r="N85" s="20">
        <f>IF(AND(ISNUMBER($T85),$T85&lt;&gt;""),IF(INDEX(Calc!$AF$3:$AF$122,$T85)="","—",INDEX(Calc!$AF$3:$AF$122,$T85)),"")</f>
        <v/>
      </c>
      <c r="O85" s="20">
        <f>IF(AND(ISNUMBER($T85),$T85&lt;&gt;""),IF(INDEX(Calc!$AG$3:$AG$122,$T85)="","—",INDEX(Calc!$AG$3:$AG$122,$T85)),"")</f>
        <v/>
      </c>
      <c r="P85" s="21">
        <f>IF(AND(ISNUMBER($T85),$T85&lt;&gt;""),IF(INDEX(Calc!$AJ$3:$AJ$122,$T85)="","—",INDEX(Calc!$AJ$3:$AJ$122,$T85)),"")</f>
        <v/>
      </c>
      <c r="Q85" s="21">
        <f>IF(AND(ISNUMBER($T85),$T85&lt;&gt;""),IF(INDEX(Calc!$AK$3:$AK$122,$T85)="","—",INDEX(Calc!$AK$3:$AK$122,$T85)),"")</f>
        <v/>
      </c>
      <c r="R85" s="20">
        <f>IF(AND(ISNUMBER($T85),$T85&lt;&gt;""),IF(INDEX(Calc!$AL$3:$AL$122,$T85)="","—",INDEX(Calc!$AL$3:$AL$122,$T85)),"")</f>
        <v/>
      </c>
      <c r="T85">
        <f>IFERROR(MATCH(81,Calc!$AN$3:$AN$122,0),"")</f>
        <v/>
      </c>
    </row>
    <row r="86">
      <c r="A86" s="14">
        <f>IF(AND(ISNUMBER($T86),$T86&lt;&gt;""),INDEX(Calc!$S$3:$S$122,$T86),"")</f>
        <v/>
      </c>
      <c r="B86" s="15">
        <f>IF(AND(ISNUMBER($T86),$T86&lt;&gt;""),IF(INDEX(Calc!$T$3:$T$122,$T86)="","—",INDEX(Calc!$T$3:$T$122,$T86)),"")</f>
        <v/>
      </c>
      <c r="C86" s="15">
        <f>IF(AND(ISNUMBER($T86),$T86&lt;&gt;""),IF(INDEX(Calc!$U$3:$U$122,$T86)="","—",INDEX(Calc!$U$3:$U$122,$T86)),"")</f>
        <v/>
      </c>
      <c r="D86" s="15">
        <f>IF(AND(ISNUMBER($T86),$T86&lt;&gt;""),IF(INDEX(Calc!$V$3:$V$122,$T86)="","—",INDEX(Calc!$V$3:$V$122,$T86)),"")</f>
        <v/>
      </c>
      <c r="E86" s="15">
        <f>IF(AND(ISNUMBER($T86),$T86&lt;&gt;""),IF(INDEX(Calc!$W$3:$W$122,$T86)="","—",INDEX(Calc!$W$3:$W$122,$T86)),"")</f>
        <v/>
      </c>
      <c r="F86" s="15">
        <f>IF(AND(ISNUMBER($T86),$T86&lt;&gt;""),IF(INDEX(Calc!$X$3:$X$122,$T86)="","—",INDEX(Calc!$X$3:$X$122,$T86)),"")</f>
        <v/>
      </c>
      <c r="G86" s="15">
        <f>IF(AND(ISNUMBER($T86),$T86&lt;&gt;""),IF(INDEX(Calc!$Y$3:$Y$122,$T86)="","—",INDEX(Calc!$Y$3:$Y$122,$T86)),"")</f>
        <v/>
      </c>
      <c r="H86" s="15">
        <f>IF(AND(ISNUMBER($T86),$T86&lt;&gt;""),IF(INDEX(Calc!$Z$3:$Z$122,$T86)="","—",INDEX(Calc!$Z$3:$Z$122,$T86)),"")</f>
        <v/>
      </c>
      <c r="I86" s="15">
        <f>IF(AND(ISNUMBER($T86),$T86&lt;&gt;""),IF(INDEX(Calc!$AA$3:$AA$122,$T86)="","—",INDEX(Calc!$AA$3:$AA$122,$T86)),"")</f>
        <v/>
      </c>
      <c r="J86" s="15">
        <f>IF(AND(ISNUMBER($T86),$T86&lt;&gt;""),IF(INDEX(Calc!$AB$3:$AB$122,$T86)="","—",INDEX(Calc!$AB$3:$AB$122,$T86)),"")</f>
        <v/>
      </c>
      <c r="K86" s="15">
        <f>IF(AND(ISNUMBER($T86),$T86&lt;&gt;""),IF(INDEX(Calc!$AC$3:$AC$122,$T86)="","—",INDEX(Calc!$AC$3:$AC$122,$T86)),"")</f>
        <v/>
      </c>
      <c r="L86" s="15">
        <f>IF(AND(ISNUMBER($T86),$T86&lt;&gt;""),IF(INDEX(Calc!$AD$3:$AD$122,$T86)="","—",INDEX(Calc!$AD$3:$AD$122,$T86)),"")</f>
        <v/>
      </c>
      <c r="M86" s="15">
        <f>IF(AND(ISNUMBER($T86),$T86&lt;&gt;""),IF(INDEX(Calc!$AE$3:$AE$122,$T86)="","—",INDEX(Calc!$AE$3:$AE$122,$T86)),"")</f>
        <v/>
      </c>
      <c r="N86" s="15">
        <f>IF(AND(ISNUMBER($T86),$T86&lt;&gt;""),IF(INDEX(Calc!$AF$3:$AF$122,$T86)="","—",INDEX(Calc!$AF$3:$AF$122,$T86)),"")</f>
        <v/>
      </c>
      <c r="O86" s="15">
        <f>IF(AND(ISNUMBER($T86),$T86&lt;&gt;""),IF(INDEX(Calc!$AG$3:$AG$122,$T86)="","—",INDEX(Calc!$AG$3:$AG$122,$T86)),"")</f>
        <v/>
      </c>
      <c r="P86" s="16">
        <f>IF(AND(ISNUMBER($T86),$T86&lt;&gt;""),IF(INDEX(Calc!$AJ$3:$AJ$122,$T86)="","—",INDEX(Calc!$AJ$3:$AJ$122,$T86)),"")</f>
        <v/>
      </c>
      <c r="Q86" s="16">
        <f>IF(AND(ISNUMBER($T86),$T86&lt;&gt;""),IF(INDEX(Calc!$AK$3:$AK$122,$T86)="","—",INDEX(Calc!$AK$3:$AK$122,$T86)),"")</f>
        <v/>
      </c>
      <c r="R86" s="15">
        <f>IF(AND(ISNUMBER($T86),$T86&lt;&gt;""),IF(INDEX(Calc!$AL$3:$AL$122,$T86)="","—",INDEX(Calc!$AL$3:$AL$122,$T86)),"")</f>
        <v/>
      </c>
      <c r="T86">
        <f>IFERROR(MATCH(82,Calc!$AN$3:$AN$122,0),"")</f>
        <v/>
      </c>
    </row>
    <row r="87">
      <c r="A87" s="19">
        <f>IF(AND(ISNUMBER($T87),$T87&lt;&gt;""),INDEX(Calc!$S$3:$S$122,$T87),"")</f>
        <v/>
      </c>
      <c r="B87" s="20">
        <f>IF(AND(ISNUMBER($T87),$T87&lt;&gt;""),IF(INDEX(Calc!$T$3:$T$122,$T87)="","—",INDEX(Calc!$T$3:$T$122,$T87)),"")</f>
        <v/>
      </c>
      <c r="C87" s="20">
        <f>IF(AND(ISNUMBER($T87),$T87&lt;&gt;""),IF(INDEX(Calc!$U$3:$U$122,$T87)="","—",INDEX(Calc!$U$3:$U$122,$T87)),"")</f>
        <v/>
      </c>
      <c r="D87" s="20">
        <f>IF(AND(ISNUMBER($T87),$T87&lt;&gt;""),IF(INDEX(Calc!$V$3:$V$122,$T87)="","—",INDEX(Calc!$V$3:$V$122,$T87)),"")</f>
        <v/>
      </c>
      <c r="E87" s="20">
        <f>IF(AND(ISNUMBER($T87),$T87&lt;&gt;""),IF(INDEX(Calc!$W$3:$W$122,$T87)="","—",INDEX(Calc!$W$3:$W$122,$T87)),"")</f>
        <v/>
      </c>
      <c r="F87" s="20">
        <f>IF(AND(ISNUMBER($T87),$T87&lt;&gt;""),IF(INDEX(Calc!$X$3:$X$122,$T87)="","—",INDEX(Calc!$X$3:$X$122,$T87)),"")</f>
        <v/>
      </c>
      <c r="G87" s="20">
        <f>IF(AND(ISNUMBER($T87),$T87&lt;&gt;""),IF(INDEX(Calc!$Y$3:$Y$122,$T87)="","—",INDEX(Calc!$Y$3:$Y$122,$T87)),"")</f>
        <v/>
      </c>
      <c r="H87" s="20">
        <f>IF(AND(ISNUMBER($T87),$T87&lt;&gt;""),IF(INDEX(Calc!$Z$3:$Z$122,$T87)="","—",INDEX(Calc!$Z$3:$Z$122,$T87)),"")</f>
        <v/>
      </c>
      <c r="I87" s="20">
        <f>IF(AND(ISNUMBER($T87),$T87&lt;&gt;""),IF(INDEX(Calc!$AA$3:$AA$122,$T87)="","—",INDEX(Calc!$AA$3:$AA$122,$T87)),"")</f>
        <v/>
      </c>
      <c r="J87" s="20">
        <f>IF(AND(ISNUMBER($T87),$T87&lt;&gt;""),IF(INDEX(Calc!$AB$3:$AB$122,$T87)="","—",INDEX(Calc!$AB$3:$AB$122,$T87)),"")</f>
        <v/>
      </c>
      <c r="K87" s="20">
        <f>IF(AND(ISNUMBER($T87),$T87&lt;&gt;""),IF(INDEX(Calc!$AC$3:$AC$122,$T87)="","—",INDEX(Calc!$AC$3:$AC$122,$T87)),"")</f>
        <v/>
      </c>
      <c r="L87" s="20">
        <f>IF(AND(ISNUMBER($T87),$T87&lt;&gt;""),IF(INDEX(Calc!$AD$3:$AD$122,$T87)="","—",INDEX(Calc!$AD$3:$AD$122,$T87)),"")</f>
        <v/>
      </c>
      <c r="M87" s="20">
        <f>IF(AND(ISNUMBER($T87),$T87&lt;&gt;""),IF(INDEX(Calc!$AE$3:$AE$122,$T87)="","—",INDEX(Calc!$AE$3:$AE$122,$T87)),"")</f>
        <v/>
      </c>
      <c r="N87" s="20">
        <f>IF(AND(ISNUMBER($T87),$T87&lt;&gt;""),IF(INDEX(Calc!$AF$3:$AF$122,$T87)="","—",INDEX(Calc!$AF$3:$AF$122,$T87)),"")</f>
        <v/>
      </c>
      <c r="O87" s="20">
        <f>IF(AND(ISNUMBER($T87),$T87&lt;&gt;""),IF(INDEX(Calc!$AG$3:$AG$122,$T87)="","—",INDEX(Calc!$AG$3:$AG$122,$T87)),"")</f>
        <v/>
      </c>
      <c r="P87" s="21">
        <f>IF(AND(ISNUMBER($T87),$T87&lt;&gt;""),IF(INDEX(Calc!$AJ$3:$AJ$122,$T87)="","—",INDEX(Calc!$AJ$3:$AJ$122,$T87)),"")</f>
        <v/>
      </c>
      <c r="Q87" s="21">
        <f>IF(AND(ISNUMBER($T87),$T87&lt;&gt;""),IF(INDEX(Calc!$AK$3:$AK$122,$T87)="","—",INDEX(Calc!$AK$3:$AK$122,$T87)),"")</f>
        <v/>
      </c>
      <c r="R87" s="20">
        <f>IF(AND(ISNUMBER($T87),$T87&lt;&gt;""),IF(INDEX(Calc!$AL$3:$AL$122,$T87)="","—",INDEX(Calc!$AL$3:$AL$122,$T87)),"")</f>
        <v/>
      </c>
      <c r="T87">
        <f>IFERROR(MATCH(83,Calc!$AN$3:$AN$122,0),"")</f>
        <v/>
      </c>
    </row>
    <row r="88">
      <c r="A88" s="14">
        <f>IF(AND(ISNUMBER($T88),$T88&lt;&gt;""),INDEX(Calc!$S$3:$S$122,$T88),"")</f>
        <v/>
      </c>
      <c r="B88" s="15">
        <f>IF(AND(ISNUMBER($T88),$T88&lt;&gt;""),IF(INDEX(Calc!$T$3:$T$122,$T88)="","—",INDEX(Calc!$T$3:$T$122,$T88)),"")</f>
        <v/>
      </c>
      <c r="C88" s="15">
        <f>IF(AND(ISNUMBER($T88),$T88&lt;&gt;""),IF(INDEX(Calc!$U$3:$U$122,$T88)="","—",INDEX(Calc!$U$3:$U$122,$T88)),"")</f>
        <v/>
      </c>
      <c r="D88" s="15">
        <f>IF(AND(ISNUMBER($T88),$T88&lt;&gt;""),IF(INDEX(Calc!$V$3:$V$122,$T88)="","—",INDEX(Calc!$V$3:$V$122,$T88)),"")</f>
        <v/>
      </c>
      <c r="E88" s="15">
        <f>IF(AND(ISNUMBER($T88),$T88&lt;&gt;""),IF(INDEX(Calc!$W$3:$W$122,$T88)="","—",INDEX(Calc!$W$3:$W$122,$T88)),"")</f>
        <v/>
      </c>
      <c r="F88" s="15">
        <f>IF(AND(ISNUMBER($T88),$T88&lt;&gt;""),IF(INDEX(Calc!$X$3:$X$122,$T88)="","—",INDEX(Calc!$X$3:$X$122,$T88)),"")</f>
        <v/>
      </c>
      <c r="G88" s="15">
        <f>IF(AND(ISNUMBER($T88),$T88&lt;&gt;""),IF(INDEX(Calc!$Y$3:$Y$122,$T88)="","—",INDEX(Calc!$Y$3:$Y$122,$T88)),"")</f>
        <v/>
      </c>
      <c r="H88" s="15">
        <f>IF(AND(ISNUMBER($T88),$T88&lt;&gt;""),IF(INDEX(Calc!$Z$3:$Z$122,$T88)="","—",INDEX(Calc!$Z$3:$Z$122,$T88)),"")</f>
        <v/>
      </c>
      <c r="I88" s="15">
        <f>IF(AND(ISNUMBER($T88),$T88&lt;&gt;""),IF(INDEX(Calc!$AA$3:$AA$122,$T88)="","—",INDEX(Calc!$AA$3:$AA$122,$T88)),"")</f>
        <v/>
      </c>
      <c r="J88" s="15">
        <f>IF(AND(ISNUMBER($T88),$T88&lt;&gt;""),IF(INDEX(Calc!$AB$3:$AB$122,$T88)="","—",INDEX(Calc!$AB$3:$AB$122,$T88)),"")</f>
        <v/>
      </c>
      <c r="K88" s="15">
        <f>IF(AND(ISNUMBER($T88),$T88&lt;&gt;""),IF(INDEX(Calc!$AC$3:$AC$122,$T88)="","—",INDEX(Calc!$AC$3:$AC$122,$T88)),"")</f>
        <v/>
      </c>
      <c r="L88" s="15">
        <f>IF(AND(ISNUMBER($T88),$T88&lt;&gt;""),IF(INDEX(Calc!$AD$3:$AD$122,$T88)="","—",INDEX(Calc!$AD$3:$AD$122,$T88)),"")</f>
        <v/>
      </c>
      <c r="M88" s="15">
        <f>IF(AND(ISNUMBER($T88),$T88&lt;&gt;""),IF(INDEX(Calc!$AE$3:$AE$122,$T88)="","—",INDEX(Calc!$AE$3:$AE$122,$T88)),"")</f>
        <v/>
      </c>
      <c r="N88" s="15">
        <f>IF(AND(ISNUMBER($T88),$T88&lt;&gt;""),IF(INDEX(Calc!$AF$3:$AF$122,$T88)="","—",INDEX(Calc!$AF$3:$AF$122,$T88)),"")</f>
        <v/>
      </c>
      <c r="O88" s="15">
        <f>IF(AND(ISNUMBER($T88),$T88&lt;&gt;""),IF(INDEX(Calc!$AG$3:$AG$122,$T88)="","—",INDEX(Calc!$AG$3:$AG$122,$T88)),"")</f>
        <v/>
      </c>
      <c r="P88" s="16">
        <f>IF(AND(ISNUMBER($T88),$T88&lt;&gt;""),IF(INDEX(Calc!$AJ$3:$AJ$122,$T88)="","—",INDEX(Calc!$AJ$3:$AJ$122,$T88)),"")</f>
        <v/>
      </c>
      <c r="Q88" s="16">
        <f>IF(AND(ISNUMBER($T88),$T88&lt;&gt;""),IF(INDEX(Calc!$AK$3:$AK$122,$T88)="","—",INDEX(Calc!$AK$3:$AK$122,$T88)),"")</f>
        <v/>
      </c>
      <c r="R88" s="15">
        <f>IF(AND(ISNUMBER($T88),$T88&lt;&gt;""),IF(INDEX(Calc!$AL$3:$AL$122,$T88)="","—",INDEX(Calc!$AL$3:$AL$122,$T88)),"")</f>
        <v/>
      </c>
      <c r="T88">
        <f>IFERROR(MATCH(84,Calc!$AN$3:$AN$122,0),"")</f>
        <v/>
      </c>
    </row>
    <row r="89">
      <c r="A89" s="19">
        <f>IF(AND(ISNUMBER($T89),$T89&lt;&gt;""),INDEX(Calc!$S$3:$S$122,$T89),"")</f>
        <v/>
      </c>
      <c r="B89" s="20">
        <f>IF(AND(ISNUMBER($T89),$T89&lt;&gt;""),IF(INDEX(Calc!$T$3:$T$122,$T89)="","—",INDEX(Calc!$T$3:$T$122,$T89)),"")</f>
        <v/>
      </c>
      <c r="C89" s="20">
        <f>IF(AND(ISNUMBER($T89),$T89&lt;&gt;""),IF(INDEX(Calc!$U$3:$U$122,$T89)="","—",INDEX(Calc!$U$3:$U$122,$T89)),"")</f>
        <v/>
      </c>
      <c r="D89" s="20">
        <f>IF(AND(ISNUMBER($T89),$T89&lt;&gt;""),IF(INDEX(Calc!$V$3:$V$122,$T89)="","—",INDEX(Calc!$V$3:$V$122,$T89)),"")</f>
        <v/>
      </c>
      <c r="E89" s="20">
        <f>IF(AND(ISNUMBER($T89),$T89&lt;&gt;""),IF(INDEX(Calc!$W$3:$W$122,$T89)="","—",INDEX(Calc!$W$3:$W$122,$T89)),"")</f>
        <v/>
      </c>
      <c r="F89" s="20">
        <f>IF(AND(ISNUMBER($T89),$T89&lt;&gt;""),IF(INDEX(Calc!$X$3:$X$122,$T89)="","—",INDEX(Calc!$X$3:$X$122,$T89)),"")</f>
        <v/>
      </c>
      <c r="G89" s="20">
        <f>IF(AND(ISNUMBER($T89),$T89&lt;&gt;""),IF(INDEX(Calc!$Y$3:$Y$122,$T89)="","—",INDEX(Calc!$Y$3:$Y$122,$T89)),"")</f>
        <v/>
      </c>
      <c r="H89" s="20">
        <f>IF(AND(ISNUMBER($T89),$T89&lt;&gt;""),IF(INDEX(Calc!$Z$3:$Z$122,$T89)="","—",INDEX(Calc!$Z$3:$Z$122,$T89)),"")</f>
        <v/>
      </c>
      <c r="I89" s="20">
        <f>IF(AND(ISNUMBER($T89),$T89&lt;&gt;""),IF(INDEX(Calc!$AA$3:$AA$122,$T89)="","—",INDEX(Calc!$AA$3:$AA$122,$T89)),"")</f>
        <v/>
      </c>
      <c r="J89" s="20">
        <f>IF(AND(ISNUMBER($T89),$T89&lt;&gt;""),IF(INDEX(Calc!$AB$3:$AB$122,$T89)="","—",INDEX(Calc!$AB$3:$AB$122,$T89)),"")</f>
        <v/>
      </c>
      <c r="K89" s="20">
        <f>IF(AND(ISNUMBER($T89),$T89&lt;&gt;""),IF(INDEX(Calc!$AC$3:$AC$122,$T89)="","—",INDEX(Calc!$AC$3:$AC$122,$T89)),"")</f>
        <v/>
      </c>
      <c r="L89" s="20">
        <f>IF(AND(ISNUMBER($T89),$T89&lt;&gt;""),IF(INDEX(Calc!$AD$3:$AD$122,$T89)="","—",INDEX(Calc!$AD$3:$AD$122,$T89)),"")</f>
        <v/>
      </c>
      <c r="M89" s="20">
        <f>IF(AND(ISNUMBER($T89),$T89&lt;&gt;""),IF(INDEX(Calc!$AE$3:$AE$122,$T89)="","—",INDEX(Calc!$AE$3:$AE$122,$T89)),"")</f>
        <v/>
      </c>
      <c r="N89" s="20">
        <f>IF(AND(ISNUMBER($T89),$T89&lt;&gt;""),IF(INDEX(Calc!$AF$3:$AF$122,$T89)="","—",INDEX(Calc!$AF$3:$AF$122,$T89)),"")</f>
        <v/>
      </c>
      <c r="O89" s="20">
        <f>IF(AND(ISNUMBER($T89),$T89&lt;&gt;""),IF(INDEX(Calc!$AG$3:$AG$122,$T89)="","—",INDEX(Calc!$AG$3:$AG$122,$T89)),"")</f>
        <v/>
      </c>
      <c r="P89" s="21">
        <f>IF(AND(ISNUMBER($T89),$T89&lt;&gt;""),IF(INDEX(Calc!$AJ$3:$AJ$122,$T89)="","—",INDEX(Calc!$AJ$3:$AJ$122,$T89)),"")</f>
        <v/>
      </c>
      <c r="Q89" s="21">
        <f>IF(AND(ISNUMBER($T89),$T89&lt;&gt;""),IF(INDEX(Calc!$AK$3:$AK$122,$T89)="","—",INDEX(Calc!$AK$3:$AK$122,$T89)),"")</f>
        <v/>
      </c>
      <c r="R89" s="20">
        <f>IF(AND(ISNUMBER($T89),$T89&lt;&gt;""),IF(INDEX(Calc!$AL$3:$AL$122,$T89)="","—",INDEX(Calc!$AL$3:$AL$122,$T89)),"")</f>
        <v/>
      </c>
      <c r="T89">
        <f>IFERROR(MATCH(85,Calc!$AN$3:$AN$122,0),"")</f>
        <v/>
      </c>
    </row>
    <row r="90">
      <c r="A90" s="14">
        <f>IF(AND(ISNUMBER($T90),$T90&lt;&gt;""),INDEX(Calc!$S$3:$S$122,$T90),"")</f>
        <v/>
      </c>
      <c r="B90" s="15">
        <f>IF(AND(ISNUMBER($T90),$T90&lt;&gt;""),IF(INDEX(Calc!$T$3:$T$122,$T90)="","—",INDEX(Calc!$T$3:$T$122,$T90)),"")</f>
        <v/>
      </c>
      <c r="C90" s="15">
        <f>IF(AND(ISNUMBER($T90),$T90&lt;&gt;""),IF(INDEX(Calc!$U$3:$U$122,$T90)="","—",INDEX(Calc!$U$3:$U$122,$T90)),"")</f>
        <v/>
      </c>
      <c r="D90" s="15">
        <f>IF(AND(ISNUMBER($T90),$T90&lt;&gt;""),IF(INDEX(Calc!$V$3:$V$122,$T90)="","—",INDEX(Calc!$V$3:$V$122,$T90)),"")</f>
        <v/>
      </c>
      <c r="E90" s="15">
        <f>IF(AND(ISNUMBER($T90),$T90&lt;&gt;""),IF(INDEX(Calc!$W$3:$W$122,$T90)="","—",INDEX(Calc!$W$3:$W$122,$T90)),"")</f>
        <v/>
      </c>
      <c r="F90" s="15">
        <f>IF(AND(ISNUMBER($T90),$T90&lt;&gt;""),IF(INDEX(Calc!$X$3:$X$122,$T90)="","—",INDEX(Calc!$X$3:$X$122,$T90)),"")</f>
        <v/>
      </c>
      <c r="G90" s="15">
        <f>IF(AND(ISNUMBER($T90),$T90&lt;&gt;""),IF(INDEX(Calc!$Y$3:$Y$122,$T90)="","—",INDEX(Calc!$Y$3:$Y$122,$T90)),"")</f>
        <v/>
      </c>
      <c r="H90" s="15">
        <f>IF(AND(ISNUMBER($T90),$T90&lt;&gt;""),IF(INDEX(Calc!$Z$3:$Z$122,$T90)="","—",INDEX(Calc!$Z$3:$Z$122,$T90)),"")</f>
        <v/>
      </c>
      <c r="I90" s="15">
        <f>IF(AND(ISNUMBER($T90),$T90&lt;&gt;""),IF(INDEX(Calc!$AA$3:$AA$122,$T90)="","—",INDEX(Calc!$AA$3:$AA$122,$T90)),"")</f>
        <v/>
      </c>
      <c r="J90" s="15">
        <f>IF(AND(ISNUMBER($T90),$T90&lt;&gt;""),IF(INDEX(Calc!$AB$3:$AB$122,$T90)="","—",INDEX(Calc!$AB$3:$AB$122,$T90)),"")</f>
        <v/>
      </c>
      <c r="K90" s="15">
        <f>IF(AND(ISNUMBER($T90),$T90&lt;&gt;""),IF(INDEX(Calc!$AC$3:$AC$122,$T90)="","—",INDEX(Calc!$AC$3:$AC$122,$T90)),"")</f>
        <v/>
      </c>
      <c r="L90" s="15">
        <f>IF(AND(ISNUMBER($T90),$T90&lt;&gt;""),IF(INDEX(Calc!$AD$3:$AD$122,$T90)="","—",INDEX(Calc!$AD$3:$AD$122,$T90)),"")</f>
        <v/>
      </c>
      <c r="M90" s="15">
        <f>IF(AND(ISNUMBER($T90),$T90&lt;&gt;""),IF(INDEX(Calc!$AE$3:$AE$122,$T90)="","—",INDEX(Calc!$AE$3:$AE$122,$T90)),"")</f>
        <v/>
      </c>
      <c r="N90" s="15">
        <f>IF(AND(ISNUMBER($T90),$T90&lt;&gt;""),IF(INDEX(Calc!$AF$3:$AF$122,$T90)="","—",INDEX(Calc!$AF$3:$AF$122,$T90)),"")</f>
        <v/>
      </c>
      <c r="O90" s="15">
        <f>IF(AND(ISNUMBER($T90),$T90&lt;&gt;""),IF(INDEX(Calc!$AG$3:$AG$122,$T90)="","—",INDEX(Calc!$AG$3:$AG$122,$T90)),"")</f>
        <v/>
      </c>
      <c r="P90" s="16">
        <f>IF(AND(ISNUMBER($T90),$T90&lt;&gt;""),IF(INDEX(Calc!$AJ$3:$AJ$122,$T90)="","—",INDEX(Calc!$AJ$3:$AJ$122,$T90)),"")</f>
        <v/>
      </c>
      <c r="Q90" s="16">
        <f>IF(AND(ISNUMBER($T90),$T90&lt;&gt;""),IF(INDEX(Calc!$AK$3:$AK$122,$T90)="","—",INDEX(Calc!$AK$3:$AK$122,$T90)),"")</f>
        <v/>
      </c>
      <c r="R90" s="15">
        <f>IF(AND(ISNUMBER($T90),$T90&lt;&gt;""),IF(INDEX(Calc!$AL$3:$AL$122,$T90)="","—",INDEX(Calc!$AL$3:$AL$122,$T90)),"")</f>
        <v/>
      </c>
      <c r="T90">
        <f>IFERROR(MATCH(86,Calc!$AN$3:$AN$122,0),"")</f>
        <v/>
      </c>
    </row>
    <row r="91">
      <c r="A91" s="19">
        <f>IF(AND(ISNUMBER($T91),$T91&lt;&gt;""),INDEX(Calc!$S$3:$S$122,$T91),"")</f>
        <v/>
      </c>
      <c r="B91" s="20">
        <f>IF(AND(ISNUMBER($T91),$T91&lt;&gt;""),IF(INDEX(Calc!$T$3:$T$122,$T91)="","—",INDEX(Calc!$T$3:$T$122,$T91)),"")</f>
        <v/>
      </c>
      <c r="C91" s="20">
        <f>IF(AND(ISNUMBER($T91),$T91&lt;&gt;""),IF(INDEX(Calc!$U$3:$U$122,$T91)="","—",INDEX(Calc!$U$3:$U$122,$T91)),"")</f>
        <v/>
      </c>
      <c r="D91" s="20">
        <f>IF(AND(ISNUMBER($T91),$T91&lt;&gt;""),IF(INDEX(Calc!$V$3:$V$122,$T91)="","—",INDEX(Calc!$V$3:$V$122,$T91)),"")</f>
        <v/>
      </c>
      <c r="E91" s="20">
        <f>IF(AND(ISNUMBER($T91),$T91&lt;&gt;""),IF(INDEX(Calc!$W$3:$W$122,$T91)="","—",INDEX(Calc!$W$3:$W$122,$T91)),"")</f>
        <v/>
      </c>
      <c r="F91" s="20">
        <f>IF(AND(ISNUMBER($T91),$T91&lt;&gt;""),IF(INDEX(Calc!$X$3:$X$122,$T91)="","—",INDEX(Calc!$X$3:$X$122,$T91)),"")</f>
        <v/>
      </c>
      <c r="G91" s="20">
        <f>IF(AND(ISNUMBER($T91),$T91&lt;&gt;""),IF(INDEX(Calc!$Y$3:$Y$122,$T91)="","—",INDEX(Calc!$Y$3:$Y$122,$T91)),"")</f>
        <v/>
      </c>
      <c r="H91" s="20">
        <f>IF(AND(ISNUMBER($T91),$T91&lt;&gt;""),IF(INDEX(Calc!$Z$3:$Z$122,$T91)="","—",INDEX(Calc!$Z$3:$Z$122,$T91)),"")</f>
        <v/>
      </c>
      <c r="I91" s="20">
        <f>IF(AND(ISNUMBER($T91),$T91&lt;&gt;""),IF(INDEX(Calc!$AA$3:$AA$122,$T91)="","—",INDEX(Calc!$AA$3:$AA$122,$T91)),"")</f>
        <v/>
      </c>
      <c r="J91" s="20">
        <f>IF(AND(ISNUMBER($T91),$T91&lt;&gt;""),IF(INDEX(Calc!$AB$3:$AB$122,$T91)="","—",INDEX(Calc!$AB$3:$AB$122,$T91)),"")</f>
        <v/>
      </c>
      <c r="K91" s="20">
        <f>IF(AND(ISNUMBER($T91),$T91&lt;&gt;""),IF(INDEX(Calc!$AC$3:$AC$122,$T91)="","—",INDEX(Calc!$AC$3:$AC$122,$T91)),"")</f>
        <v/>
      </c>
      <c r="L91" s="20">
        <f>IF(AND(ISNUMBER($T91),$T91&lt;&gt;""),IF(INDEX(Calc!$AD$3:$AD$122,$T91)="","—",INDEX(Calc!$AD$3:$AD$122,$T91)),"")</f>
        <v/>
      </c>
      <c r="M91" s="20">
        <f>IF(AND(ISNUMBER($T91),$T91&lt;&gt;""),IF(INDEX(Calc!$AE$3:$AE$122,$T91)="","—",INDEX(Calc!$AE$3:$AE$122,$T91)),"")</f>
        <v/>
      </c>
      <c r="N91" s="20">
        <f>IF(AND(ISNUMBER($T91),$T91&lt;&gt;""),IF(INDEX(Calc!$AF$3:$AF$122,$T91)="","—",INDEX(Calc!$AF$3:$AF$122,$T91)),"")</f>
        <v/>
      </c>
      <c r="O91" s="20">
        <f>IF(AND(ISNUMBER($T91),$T91&lt;&gt;""),IF(INDEX(Calc!$AG$3:$AG$122,$T91)="","—",INDEX(Calc!$AG$3:$AG$122,$T91)),"")</f>
        <v/>
      </c>
      <c r="P91" s="21">
        <f>IF(AND(ISNUMBER($T91),$T91&lt;&gt;""),IF(INDEX(Calc!$AJ$3:$AJ$122,$T91)="","—",INDEX(Calc!$AJ$3:$AJ$122,$T91)),"")</f>
        <v/>
      </c>
      <c r="Q91" s="21">
        <f>IF(AND(ISNUMBER($T91),$T91&lt;&gt;""),IF(INDEX(Calc!$AK$3:$AK$122,$T91)="","—",INDEX(Calc!$AK$3:$AK$122,$T91)),"")</f>
        <v/>
      </c>
      <c r="R91" s="20">
        <f>IF(AND(ISNUMBER($T91),$T91&lt;&gt;""),IF(INDEX(Calc!$AL$3:$AL$122,$T91)="","—",INDEX(Calc!$AL$3:$AL$122,$T91)),"")</f>
        <v/>
      </c>
      <c r="T91">
        <f>IFERROR(MATCH(87,Calc!$AN$3:$AN$122,0),"")</f>
        <v/>
      </c>
    </row>
    <row r="92">
      <c r="A92" s="14">
        <f>IF(AND(ISNUMBER($T92),$T92&lt;&gt;""),INDEX(Calc!$S$3:$S$122,$T92),"")</f>
        <v/>
      </c>
      <c r="B92" s="15">
        <f>IF(AND(ISNUMBER($T92),$T92&lt;&gt;""),IF(INDEX(Calc!$T$3:$T$122,$T92)="","—",INDEX(Calc!$T$3:$T$122,$T92)),"")</f>
        <v/>
      </c>
      <c r="C92" s="15">
        <f>IF(AND(ISNUMBER($T92),$T92&lt;&gt;""),IF(INDEX(Calc!$U$3:$U$122,$T92)="","—",INDEX(Calc!$U$3:$U$122,$T92)),"")</f>
        <v/>
      </c>
      <c r="D92" s="15">
        <f>IF(AND(ISNUMBER($T92),$T92&lt;&gt;""),IF(INDEX(Calc!$V$3:$V$122,$T92)="","—",INDEX(Calc!$V$3:$V$122,$T92)),"")</f>
        <v/>
      </c>
      <c r="E92" s="15">
        <f>IF(AND(ISNUMBER($T92),$T92&lt;&gt;""),IF(INDEX(Calc!$W$3:$W$122,$T92)="","—",INDEX(Calc!$W$3:$W$122,$T92)),"")</f>
        <v/>
      </c>
      <c r="F92" s="15">
        <f>IF(AND(ISNUMBER($T92),$T92&lt;&gt;""),IF(INDEX(Calc!$X$3:$X$122,$T92)="","—",INDEX(Calc!$X$3:$X$122,$T92)),"")</f>
        <v/>
      </c>
      <c r="G92" s="15">
        <f>IF(AND(ISNUMBER($T92),$T92&lt;&gt;""),IF(INDEX(Calc!$Y$3:$Y$122,$T92)="","—",INDEX(Calc!$Y$3:$Y$122,$T92)),"")</f>
        <v/>
      </c>
      <c r="H92" s="15">
        <f>IF(AND(ISNUMBER($T92),$T92&lt;&gt;""),IF(INDEX(Calc!$Z$3:$Z$122,$T92)="","—",INDEX(Calc!$Z$3:$Z$122,$T92)),"")</f>
        <v/>
      </c>
      <c r="I92" s="15">
        <f>IF(AND(ISNUMBER($T92),$T92&lt;&gt;""),IF(INDEX(Calc!$AA$3:$AA$122,$T92)="","—",INDEX(Calc!$AA$3:$AA$122,$T92)),"")</f>
        <v/>
      </c>
      <c r="J92" s="15">
        <f>IF(AND(ISNUMBER($T92),$T92&lt;&gt;""),IF(INDEX(Calc!$AB$3:$AB$122,$T92)="","—",INDEX(Calc!$AB$3:$AB$122,$T92)),"")</f>
        <v/>
      </c>
      <c r="K92" s="15">
        <f>IF(AND(ISNUMBER($T92),$T92&lt;&gt;""),IF(INDEX(Calc!$AC$3:$AC$122,$T92)="","—",INDEX(Calc!$AC$3:$AC$122,$T92)),"")</f>
        <v/>
      </c>
      <c r="L92" s="15">
        <f>IF(AND(ISNUMBER($T92),$T92&lt;&gt;""),IF(INDEX(Calc!$AD$3:$AD$122,$T92)="","—",INDEX(Calc!$AD$3:$AD$122,$T92)),"")</f>
        <v/>
      </c>
      <c r="M92" s="15">
        <f>IF(AND(ISNUMBER($T92),$T92&lt;&gt;""),IF(INDEX(Calc!$AE$3:$AE$122,$T92)="","—",INDEX(Calc!$AE$3:$AE$122,$T92)),"")</f>
        <v/>
      </c>
      <c r="N92" s="15">
        <f>IF(AND(ISNUMBER($T92),$T92&lt;&gt;""),IF(INDEX(Calc!$AF$3:$AF$122,$T92)="","—",INDEX(Calc!$AF$3:$AF$122,$T92)),"")</f>
        <v/>
      </c>
      <c r="O92" s="15">
        <f>IF(AND(ISNUMBER($T92),$T92&lt;&gt;""),IF(INDEX(Calc!$AG$3:$AG$122,$T92)="","—",INDEX(Calc!$AG$3:$AG$122,$T92)),"")</f>
        <v/>
      </c>
      <c r="P92" s="16">
        <f>IF(AND(ISNUMBER($T92),$T92&lt;&gt;""),IF(INDEX(Calc!$AJ$3:$AJ$122,$T92)="","—",INDEX(Calc!$AJ$3:$AJ$122,$T92)),"")</f>
        <v/>
      </c>
      <c r="Q92" s="16">
        <f>IF(AND(ISNUMBER($T92),$T92&lt;&gt;""),IF(INDEX(Calc!$AK$3:$AK$122,$T92)="","—",INDEX(Calc!$AK$3:$AK$122,$T92)),"")</f>
        <v/>
      </c>
      <c r="R92" s="15">
        <f>IF(AND(ISNUMBER($T92),$T92&lt;&gt;""),IF(INDEX(Calc!$AL$3:$AL$122,$T92)="","—",INDEX(Calc!$AL$3:$AL$122,$T92)),"")</f>
        <v/>
      </c>
      <c r="T92">
        <f>IFERROR(MATCH(88,Calc!$AN$3:$AN$122,0),"")</f>
        <v/>
      </c>
    </row>
    <row r="93">
      <c r="A93" s="19">
        <f>IF(AND(ISNUMBER($T93),$T93&lt;&gt;""),INDEX(Calc!$S$3:$S$122,$T93),"")</f>
        <v/>
      </c>
      <c r="B93" s="20">
        <f>IF(AND(ISNUMBER($T93),$T93&lt;&gt;""),IF(INDEX(Calc!$T$3:$T$122,$T93)="","—",INDEX(Calc!$T$3:$T$122,$T93)),"")</f>
        <v/>
      </c>
      <c r="C93" s="20">
        <f>IF(AND(ISNUMBER($T93),$T93&lt;&gt;""),IF(INDEX(Calc!$U$3:$U$122,$T93)="","—",INDEX(Calc!$U$3:$U$122,$T93)),"")</f>
        <v/>
      </c>
      <c r="D93" s="20">
        <f>IF(AND(ISNUMBER($T93),$T93&lt;&gt;""),IF(INDEX(Calc!$V$3:$V$122,$T93)="","—",INDEX(Calc!$V$3:$V$122,$T93)),"")</f>
        <v/>
      </c>
      <c r="E93" s="20">
        <f>IF(AND(ISNUMBER($T93),$T93&lt;&gt;""),IF(INDEX(Calc!$W$3:$W$122,$T93)="","—",INDEX(Calc!$W$3:$W$122,$T93)),"")</f>
        <v/>
      </c>
      <c r="F93" s="20">
        <f>IF(AND(ISNUMBER($T93),$T93&lt;&gt;""),IF(INDEX(Calc!$X$3:$X$122,$T93)="","—",INDEX(Calc!$X$3:$X$122,$T93)),"")</f>
        <v/>
      </c>
      <c r="G93" s="20">
        <f>IF(AND(ISNUMBER($T93),$T93&lt;&gt;""),IF(INDEX(Calc!$Y$3:$Y$122,$T93)="","—",INDEX(Calc!$Y$3:$Y$122,$T93)),"")</f>
        <v/>
      </c>
      <c r="H93" s="20">
        <f>IF(AND(ISNUMBER($T93),$T93&lt;&gt;""),IF(INDEX(Calc!$Z$3:$Z$122,$T93)="","—",INDEX(Calc!$Z$3:$Z$122,$T93)),"")</f>
        <v/>
      </c>
      <c r="I93" s="20">
        <f>IF(AND(ISNUMBER($T93),$T93&lt;&gt;""),IF(INDEX(Calc!$AA$3:$AA$122,$T93)="","—",INDEX(Calc!$AA$3:$AA$122,$T93)),"")</f>
        <v/>
      </c>
      <c r="J93" s="20">
        <f>IF(AND(ISNUMBER($T93),$T93&lt;&gt;""),IF(INDEX(Calc!$AB$3:$AB$122,$T93)="","—",INDEX(Calc!$AB$3:$AB$122,$T93)),"")</f>
        <v/>
      </c>
      <c r="K93" s="20">
        <f>IF(AND(ISNUMBER($T93),$T93&lt;&gt;""),IF(INDEX(Calc!$AC$3:$AC$122,$T93)="","—",INDEX(Calc!$AC$3:$AC$122,$T93)),"")</f>
        <v/>
      </c>
      <c r="L93" s="20">
        <f>IF(AND(ISNUMBER($T93),$T93&lt;&gt;""),IF(INDEX(Calc!$AD$3:$AD$122,$T93)="","—",INDEX(Calc!$AD$3:$AD$122,$T93)),"")</f>
        <v/>
      </c>
      <c r="M93" s="20">
        <f>IF(AND(ISNUMBER($T93),$T93&lt;&gt;""),IF(INDEX(Calc!$AE$3:$AE$122,$T93)="","—",INDEX(Calc!$AE$3:$AE$122,$T93)),"")</f>
        <v/>
      </c>
      <c r="N93" s="20">
        <f>IF(AND(ISNUMBER($T93),$T93&lt;&gt;""),IF(INDEX(Calc!$AF$3:$AF$122,$T93)="","—",INDEX(Calc!$AF$3:$AF$122,$T93)),"")</f>
        <v/>
      </c>
      <c r="O93" s="20">
        <f>IF(AND(ISNUMBER($T93),$T93&lt;&gt;""),IF(INDEX(Calc!$AG$3:$AG$122,$T93)="","—",INDEX(Calc!$AG$3:$AG$122,$T93)),"")</f>
        <v/>
      </c>
      <c r="P93" s="21">
        <f>IF(AND(ISNUMBER($T93),$T93&lt;&gt;""),IF(INDEX(Calc!$AJ$3:$AJ$122,$T93)="","—",INDEX(Calc!$AJ$3:$AJ$122,$T93)),"")</f>
        <v/>
      </c>
      <c r="Q93" s="21">
        <f>IF(AND(ISNUMBER($T93),$T93&lt;&gt;""),IF(INDEX(Calc!$AK$3:$AK$122,$T93)="","—",INDEX(Calc!$AK$3:$AK$122,$T93)),"")</f>
        <v/>
      </c>
      <c r="R93" s="20">
        <f>IF(AND(ISNUMBER($T93),$T93&lt;&gt;""),IF(INDEX(Calc!$AL$3:$AL$122,$T93)="","—",INDEX(Calc!$AL$3:$AL$122,$T93)),"")</f>
        <v/>
      </c>
      <c r="T93">
        <f>IFERROR(MATCH(89,Calc!$AN$3:$AN$122,0),"")</f>
        <v/>
      </c>
    </row>
    <row r="94">
      <c r="A94" s="14">
        <f>IF(AND(ISNUMBER($T94),$T94&lt;&gt;""),INDEX(Calc!$S$3:$S$122,$T94),"")</f>
        <v/>
      </c>
      <c r="B94" s="15">
        <f>IF(AND(ISNUMBER($T94),$T94&lt;&gt;""),IF(INDEX(Calc!$T$3:$T$122,$T94)="","—",INDEX(Calc!$T$3:$T$122,$T94)),"")</f>
        <v/>
      </c>
      <c r="C94" s="15">
        <f>IF(AND(ISNUMBER($T94),$T94&lt;&gt;""),IF(INDEX(Calc!$U$3:$U$122,$T94)="","—",INDEX(Calc!$U$3:$U$122,$T94)),"")</f>
        <v/>
      </c>
      <c r="D94" s="15">
        <f>IF(AND(ISNUMBER($T94),$T94&lt;&gt;""),IF(INDEX(Calc!$V$3:$V$122,$T94)="","—",INDEX(Calc!$V$3:$V$122,$T94)),"")</f>
        <v/>
      </c>
      <c r="E94" s="15">
        <f>IF(AND(ISNUMBER($T94),$T94&lt;&gt;""),IF(INDEX(Calc!$W$3:$W$122,$T94)="","—",INDEX(Calc!$W$3:$W$122,$T94)),"")</f>
        <v/>
      </c>
      <c r="F94" s="15">
        <f>IF(AND(ISNUMBER($T94),$T94&lt;&gt;""),IF(INDEX(Calc!$X$3:$X$122,$T94)="","—",INDEX(Calc!$X$3:$X$122,$T94)),"")</f>
        <v/>
      </c>
      <c r="G94" s="15">
        <f>IF(AND(ISNUMBER($T94),$T94&lt;&gt;""),IF(INDEX(Calc!$Y$3:$Y$122,$T94)="","—",INDEX(Calc!$Y$3:$Y$122,$T94)),"")</f>
        <v/>
      </c>
      <c r="H94" s="15">
        <f>IF(AND(ISNUMBER($T94),$T94&lt;&gt;""),IF(INDEX(Calc!$Z$3:$Z$122,$T94)="","—",INDEX(Calc!$Z$3:$Z$122,$T94)),"")</f>
        <v/>
      </c>
      <c r="I94" s="15">
        <f>IF(AND(ISNUMBER($T94),$T94&lt;&gt;""),IF(INDEX(Calc!$AA$3:$AA$122,$T94)="","—",INDEX(Calc!$AA$3:$AA$122,$T94)),"")</f>
        <v/>
      </c>
      <c r="J94" s="15">
        <f>IF(AND(ISNUMBER($T94),$T94&lt;&gt;""),IF(INDEX(Calc!$AB$3:$AB$122,$T94)="","—",INDEX(Calc!$AB$3:$AB$122,$T94)),"")</f>
        <v/>
      </c>
      <c r="K94" s="15">
        <f>IF(AND(ISNUMBER($T94),$T94&lt;&gt;""),IF(INDEX(Calc!$AC$3:$AC$122,$T94)="","—",INDEX(Calc!$AC$3:$AC$122,$T94)),"")</f>
        <v/>
      </c>
      <c r="L94" s="15">
        <f>IF(AND(ISNUMBER($T94),$T94&lt;&gt;""),IF(INDEX(Calc!$AD$3:$AD$122,$T94)="","—",INDEX(Calc!$AD$3:$AD$122,$T94)),"")</f>
        <v/>
      </c>
      <c r="M94" s="15">
        <f>IF(AND(ISNUMBER($T94),$T94&lt;&gt;""),IF(INDEX(Calc!$AE$3:$AE$122,$T94)="","—",INDEX(Calc!$AE$3:$AE$122,$T94)),"")</f>
        <v/>
      </c>
      <c r="N94" s="15">
        <f>IF(AND(ISNUMBER($T94),$T94&lt;&gt;""),IF(INDEX(Calc!$AF$3:$AF$122,$T94)="","—",INDEX(Calc!$AF$3:$AF$122,$T94)),"")</f>
        <v/>
      </c>
      <c r="O94" s="15">
        <f>IF(AND(ISNUMBER($T94),$T94&lt;&gt;""),IF(INDEX(Calc!$AG$3:$AG$122,$T94)="","—",INDEX(Calc!$AG$3:$AG$122,$T94)),"")</f>
        <v/>
      </c>
      <c r="P94" s="16">
        <f>IF(AND(ISNUMBER($T94),$T94&lt;&gt;""),IF(INDEX(Calc!$AJ$3:$AJ$122,$T94)="","—",INDEX(Calc!$AJ$3:$AJ$122,$T94)),"")</f>
        <v/>
      </c>
      <c r="Q94" s="16">
        <f>IF(AND(ISNUMBER($T94),$T94&lt;&gt;""),IF(INDEX(Calc!$AK$3:$AK$122,$T94)="","—",INDEX(Calc!$AK$3:$AK$122,$T94)),"")</f>
        <v/>
      </c>
      <c r="R94" s="15">
        <f>IF(AND(ISNUMBER($T94),$T94&lt;&gt;""),IF(INDEX(Calc!$AL$3:$AL$122,$T94)="","—",INDEX(Calc!$AL$3:$AL$122,$T94)),"")</f>
        <v/>
      </c>
      <c r="T94">
        <f>IFERROR(MATCH(90,Calc!$AN$3:$AN$122,0),"")</f>
        <v/>
      </c>
    </row>
    <row r="95">
      <c r="A95" s="19">
        <f>IF(AND(ISNUMBER($T95),$T95&lt;&gt;""),INDEX(Calc!$S$3:$S$122,$T95),"")</f>
        <v/>
      </c>
      <c r="B95" s="20">
        <f>IF(AND(ISNUMBER($T95),$T95&lt;&gt;""),IF(INDEX(Calc!$T$3:$T$122,$T95)="","—",INDEX(Calc!$T$3:$T$122,$T95)),"")</f>
        <v/>
      </c>
      <c r="C95" s="20">
        <f>IF(AND(ISNUMBER($T95),$T95&lt;&gt;""),IF(INDEX(Calc!$U$3:$U$122,$T95)="","—",INDEX(Calc!$U$3:$U$122,$T95)),"")</f>
        <v/>
      </c>
      <c r="D95" s="20">
        <f>IF(AND(ISNUMBER($T95),$T95&lt;&gt;""),IF(INDEX(Calc!$V$3:$V$122,$T95)="","—",INDEX(Calc!$V$3:$V$122,$T95)),"")</f>
        <v/>
      </c>
      <c r="E95" s="20">
        <f>IF(AND(ISNUMBER($T95),$T95&lt;&gt;""),IF(INDEX(Calc!$W$3:$W$122,$T95)="","—",INDEX(Calc!$W$3:$W$122,$T95)),"")</f>
        <v/>
      </c>
      <c r="F95" s="20">
        <f>IF(AND(ISNUMBER($T95),$T95&lt;&gt;""),IF(INDEX(Calc!$X$3:$X$122,$T95)="","—",INDEX(Calc!$X$3:$X$122,$T95)),"")</f>
        <v/>
      </c>
      <c r="G95" s="20">
        <f>IF(AND(ISNUMBER($T95),$T95&lt;&gt;""),IF(INDEX(Calc!$Y$3:$Y$122,$T95)="","—",INDEX(Calc!$Y$3:$Y$122,$T95)),"")</f>
        <v/>
      </c>
      <c r="H95" s="20">
        <f>IF(AND(ISNUMBER($T95),$T95&lt;&gt;""),IF(INDEX(Calc!$Z$3:$Z$122,$T95)="","—",INDEX(Calc!$Z$3:$Z$122,$T95)),"")</f>
        <v/>
      </c>
      <c r="I95" s="20">
        <f>IF(AND(ISNUMBER($T95),$T95&lt;&gt;""),IF(INDEX(Calc!$AA$3:$AA$122,$T95)="","—",INDEX(Calc!$AA$3:$AA$122,$T95)),"")</f>
        <v/>
      </c>
      <c r="J95" s="20">
        <f>IF(AND(ISNUMBER($T95),$T95&lt;&gt;""),IF(INDEX(Calc!$AB$3:$AB$122,$T95)="","—",INDEX(Calc!$AB$3:$AB$122,$T95)),"")</f>
        <v/>
      </c>
      <c r="K95" s="20">
        <f>IF(AND(ISNUMBER($T95),$T95&lt;&gt;""),IF(INDEX(Calc!$AC$3:$AC$122,$T95)="","—",INDEX(Calc!$AC$3:$AC$122,$T95)),"")</f>
        <v/>
      </c>
      <c r="L95" s="20">
        <f>IF(AND(ISNUMBER($T95),$T95&lt;&gt;""),IF(INDEX(Calc!$AD$3:$AD$122,$T95)="","—",INDEX(Calc!$AD$3:$AD$122,$T95)),"")</f>
        <v/>
      </c>
      <c r="M95" s="20">
        <f>IF(AND(ISNUMBER($T95),$T95&lt;&gt;""),IF(INDEX(Calc!$AE$3:$AE$122,$T95)="","—",INDEX(Calc!$AE$3:$AE$122,$T95)),"")</f>
        <v/>
      </c>
      <c r="N95" s="20">
        <f>IF(AND(ISNUMBER($T95),$T95&lt;&gt;""),IF(INDEX(Calc!$AF$3:$AF$122,$T95)="","—",INDEX(Calc!$AF$3:$AF$122,$T95)),"")</f>
        <v/>
      </c>
      <c r="O95" s="20">
        <f>IF(AND(ISNUMBER($T95),$T95&lt;&gt;""),IF(INDEX(Calc!$AG$3:$AG$122,$T95)="","—",INDEX(Calc!$AG$3:$AG$122,$T95)),"")</f>
        <v/>
      </c>
      <c r="P95" s="21">
        <f>IF(AND(ISNUMBER($T95),$T95&lt;&gt;""),IF(INDEX(Calc!$AJ$3:$AJ$122,$T95)="","—",INDEX(Calc!$AJ$3:$AJ$122,$T95)),"")</f>
        <v/>
      </c>
      <c r="Q95" s="21">
        <f>IF(AND(ISNUMBER($T95),$T95&lt;&gt;""),IF(INDEX(Calc!$AK$3:$AK$122,$T95)="","—",INDEX(Calc!$AK$3:$AK$122,$T95)),"")</f>
        <v/>
      </c>
      <c r="R95" s="20">
        <f>IF(AND(ISNUMBER($T95),$T95&lt;&gt;""),IF(INDEX(Calc!$AL$3:$AL$122,$T95)="","—",INDEX(Calc!$AL$3:$AL$122,$T95)),"")</f>
        <v/>
      </c>
      <c r="T95">
        <f>IFERROR(MATCH(91,Calc!$AN$3:$AN$122,0),"")</f>
        <v/>
      </c>
    </row>
    <row r="96">
      <c r="A96" s="14">
        <f>IF(AND(ISNUMBER($T96),$T96&lt;&gt;""),INDEX(Calc!$S$3:$S$122,$T96),"")</f>
        <v/>
      </c>
      <c r="B96" s="15">
        <f>IF(AND(ISNUMBER($T96),$T96&lt;&gt;""),IF(INDEX(Calc!$T$3:$T$122,$T96)="","—",INDEX(Calc!$T$3:$T$122,$T96)),"")</f>
        <v/>
      </c>
      <c r="C96" s="15">
        <f>IF(AND(ISNUMBER($T96),$T96&lt;&gt;""),IF(INDEX(Calc!$U$3:$U$122,$T96)="","—",INDEX(Calc!$U$3:$U$122,$T96)),"")</f>
        <v/>
      </c>
      <c r="D96" s="15">
        <f>IF(AND(ISNUMBER($T96),$T96&lt;&gt;""),IF(INDEX(Calc!$V$3:$V$122,$T96)="","—",INDEX(Calc!$V$3:$V$122,$T96)),"")</f>
        <v/>
      </c>
      <c r="E96" s="15">
        <f>IF(AND(ISNUMBER($T96),$T96&lt;&gt;""),IF(INDEX(Calc!$W$3:$W$122,$T96)="","—",INDEX(Calc!$W$3:$W$122,$T96)),"")</f>
        <v/>
      </c>
      <c r="F96" s="15">
        <f>IF(AND(ISNUMBER($T96),$T96&lt;&gt;""),IF(INDEX(Calc!$X$3:$X$122,$T96)="","—",INDEX(Calc!$X$3:$X$122,$T96)),"")</f>
        <v/>
      </c>
      <c r="G96" s="15">
        <f>IF(AND(ISNUMBER($T96),$T96&lt;&gt;""),IF(INDEX(Calc!$Y$3:$Y$122,$T96)="","—",INDEX(Calc!$Y$3:$Y$122,$T96)),"")</f>
        <v/>
      </c>
      <c r="H96" s="15">
        <f>IF(AND(ISNUMBER($T96),$T96&lt;&gt;""),IF(INDEX(Calc!$Z$3:$Z$122,$T96)="","—",INDEX(Calc!$Z$3:$Z$122,$T96)),"")</f>
        <v/>
      </c>
      <c r="I96" s="15">
        <f>IF(AND(ISNUMBER($T96),$T96&lt;&gt;""),IF(INDEX(Calc!$AA$3:$AA$122,$T96)="","—",INDEX(Calc!$AA$3:$AA$122,$T96)),"")</f>
        <v/>
      </c>
      <c r="J96" s="15">
        <f>IF(AND(ISNUMBER($T96),$T96&lt;&gt;""),IF(INDEX(Calc!$AB$3:$AB$122,$T96)="","—",INDEX(Calc!$AB$3:$AB$122,$T96)),"")</f>
        <v/>
      </c>
      <c r="K96" s="15">
        <f>IF(AND(ISNUMBER($T96),$T96&lt;&gt;""),IF(INDEX(Calc!$AC$3:$AC$122,$T96)="","—",INDEX(Calc!$AC$3:$AC$122,$T96)),"")</f>
        <v/>
      </c>
      <c r="L96" s="15">
        <f>IF(AND(ISNUMBER($T96),$T96&lt;&gt;""),IF(INDEX(Calc!$AD$3:$AD$122,$T96)="","—",INDEX(Calc!$AD$3:$AD$122,$T96)),"")</f>
        <v/>
      </c>
      <c r="M96" s="15">
        <f>IF(AND(ISNUMBER($T96),$T96&lt;&gt;""),IF(INDEX(Calc!$AE$3:$AE$122,$T96)="","—",INDEX(Calc!$AE$3:$AE$122,$T96)),"")</f>
        <v/>
      </c>
      <c r="N96" s="15">
        <f>IF(AND(ISNUMBER($T96),$T96&lt;&gt;""),IF(INDEX(Calc!$AF$3:$AF$122,$T96)="","—",INDEX(Calc!$AF$3:$AF$122,$T96)),"")</f>
        <v/>
      </c>
      <c r="O96" s="15">
        <f>IF(AND(ISNUMBER($T96),$T96&lt;&gt;""),IF(INDEX(Calc!$AG$3:$AG$122,$T96)="","—",INDEX(Calc!$AG$3:$AG$122,$T96)),"")</f>
        <v/>
      </c>
      <c r="P96" s="16">
        <f>IF(AND(ISNUMBER($T96),$T96&lt;&gt;""),IF(INDEX(Calc!$AJ$3:$AJ$122,$T96)="","—",INDEX(Calc!$AJ$3:$AJ$122,$T96)),"")</f>
        <v/>
      </c>
      <c r="Q96" s="16">
        <f>IF(AND(ISNUMBER($T96),$T96&lt;&gt;""),IF(INDEX(Calc!$AK$3:$AK$122,$T96)="","—",INDEX(Calc!$AK$3:$AK$122,$T96)),"")</f>
        <v/>
      </c>
      <c r="R96" s="15">
        <f>IF(AND(ISNUMBER($T96),$T96&lt;&gt;""),IF(INDEX(Calc!$AL$3:$AL$122,$T96)="","—",INDEX(Calc!$AL$3:$AL$122,$T96)),"")</f>
        <v/>
      </c>
      <c r="T96">
        <f>IFERROR(MATCH(92,Calc!$AN$3:$AN$122,0),"")</f>
        <v/>
      </c>
    </row>
    <row r="97">
      <c r="A97" s="19">
        <f>IF(AND(ISNUMBER($T97),$T97&lt;&gt;""),INDEX(Calc!$S$3:$S$122,$T97),"")</f>
        <v/>
      </c>
      <c r="B97" s="20">
        <f>IF(AND(ISNUMBER($T97),$T97&lt;&gt;""),IF(INDEX(Calc!$T$3:$T$122,$T97)="","—",INDEX(Calc!$T$3:$T$122,$T97)),"")</f>
        <v/>
      </c>
      <c r="C97" s="20">
        <f>IF(AND(ISNUMBER($T97),$T97&lt;&gt;""),IF(INDEX(Calc!$U$3:$U$122,$T97)="","—",INDEX(Calc!$U$3:$U$122,$T97)),"")</f>
        <v/>
      </c>
      <c r="D97" s="20">
        <f>IF(AND(ISNUMBER($T97),$T97&lt;&gt;""),IF(INDEX(Calc!$V$3:$V$122,$T97)="","—",INDEX(Calc!$V$3:$V$122,$T97)),"")</f>
        <v/>
      </c>
      <c r="E97" s="20">
        <f>IF(AND(ISNUMBER($T97),$T97&lt;&gt;""),IF(INDEX(Calc!$W$3:$W$122,$T97)="","—",INDEX(Calc!$W$3:$W$122,$T97)),"")</f>
        <v/>
      </c>
      <c r="F97" s="20">
        <f>IF(AND(ISNUMBER($T97),$T97&lt;&gt;""),IF(INDEX(Calc!$X$3:$X$122,$T97)="","—",INDEX(Calc!$X$3:$X$122,$T97)),"")</f>
        <v/>
      </c>
      <c r="G97" s="20">
        <f>IF(AND(ISNUMBER($T97),$T97&lt;&gt;""),IF(INDEX(Calc!$Y$3:$Y$122,$T97)="","—",INDEX(Calc!$Y$3:$Y$122,$T97)),"")</f>
        <v/>
      </c>
      <c r="H97" s="20">
        <f>IF(AND(ISNUMBER($T97),$T97&lt;&gt;""),IF(INDEX(Calc!$Z$3:$Z$122,$T97)="","—",INDEX(Calc!$Z$3:$Z$122,$T97)),"")</f>
        <v/>
      </c>
      <c r="I97" s="20">
        <f>IF(AND(ISNUMBER($T97),$T97&lt;&gt;""),IF(INDEX(Calc!$AA$3:$AA$122,$T97)="","—",INDEX(Calc!$AA$3:$AA$122,$T97)),"")</f>
        <v/>
      </c>
      <c r="J97" s="20">
        <f>IF(AND(ISNUMBER($T97),$T97&lt;&gt;""),IF(INDEX(Calc!$AB$3:$AB$122,$T97)="","—",INDEX(Calc!$AB$3:$AB$122,$T97)),"")</f>
        <v/>
      </c>
      <c r="K97" s="20">
        <f>IF(AND(ISNUMBER($T97),$T97&lt;&gt;""),IF(INDEX(Calc!$AC$3:$AC$122,$T97)="","—",INDEX(Calc!$AC$3:$AC$122,$T97)),"")</f>
        <v/>
      </c>
      <c r="L97" s="20">
        <f>IF(AND(ISNUMBER($T97),$T97&lt;&gt;""),IF(INDEX(Calc!$AD$3:$AD$122,$T97)="","—",INDEX(Calc!$AD$3:$AD$122,$T97)),"")</f>
        <v/>
      </c>
      <c r="M97" s="20">
        <f>IF(AND(ISNUMBER($T97),$T97&lt;&gt;""),IF(INDEX(Calc!$AE$3:$AE$122,$T97)="","—",INDEX(Calc!$AE$3:$AE$122,$T97)),"")</f>
        <v/>
      </c>
      <c r="N97" s="20">
        <f>IF(AND(ISNUMBER($T97),$T97&lt;&gt;""),IF(INDEX(Calc!$AF$3:$AF$122,$T97)="","—",INDEX(Calc!$AF$3:$AF$122,$T97)),"")</f>
        <v/>
      </c>
      <c r="O97" s="20">
        <f>IF(AND(ISNUMBER($T97),$T97&lt;&gt;""),IF(INDEX(Calc!$AG$3:$AG$122,$T97)="","—",INDEX(Calc!$AG$3:$AG$122,$T97)),"")</f>
        <v/>
      </c>
      <c r="P97" s="21">
        <f>IF(AND(ISNUMBER($T97),$T97&lt;&gt;""),IF(INDEX(Calc!$AJ$3:$AJ$122,$T97)="","—",INDEX(Calc!$AJ$3:$AJ$122,$T97)),"")</f>
        <v/>
      </c>
      <c r="Q97" s="21">
        <f>IF(AND(ISNUMBER($T97),$T97&lt;&gt;""),IF(INDEX(Calc!$AK$3:$AK$122,$T97)="","—",INDEX(Calc!$AK$3:$AK$122,$T97)),"")</f>
        <v/>
      </c>
      <c r="R97" s="20">
        <f>IF(AND(ISNUMBER($T97),$T97&lt;&gt;""),IF(INDEX(Calc!$AL$3:$AL$122,$T97)="","—",INDEX(Calc!$AL$3:$AL$122,$T97)),"")</f>
        <v/>
      </c>
      <c r="T97">
        <f>IFERROR(MATCH(93,Calc!$AN$3:$AN$122,0),"")</f>
        <v/>
      </c>
    </row>
    <row r="98">
      <c r="A98" s="14">
        <f>IF(AND(ISNUMBER($T98),$T98&lt;&gt;""),INDEX(Calc!$S$3:$S$122,$T98),"")</f>
        <v/>
      </c>
      <c r="B98" s="15">
        <f>IF(AND(ISNUMBER($T98),$T98&lt;&gt;""),IF(INDEX(Calc!$T$3:$T$122,$T98)="","—",INDEX(Calc!$T$3:$T$122,$T98)),"")</f>
        <v/>
      </c>
      <c r="C98" s="15">
        <f>IF(AND(ISNUMBER($T98),$T98&lt;&gt;""),IF(INDEX(Calc!$U$3:$U$122,$T98)="","—",INDEX(Calc!$U$3:$U$122,$T98)),"")</f>
        <v/>
      </c>
      <c r="D98" s="15">
        <f>IF(AND(ISNUMBER($T98),$T98&lt;&gt;""),IF(INDEX(Calc!$V$3:$V$122,$T98)="","—",INDEX(Calc!$V$3:$V$122,$T98)),"")</f>
        <v/>
      </c>
      <c r="E98" s="15">
        <f>IF(AND(ISNUMBER($T98),$T98&lt;&gt;""),IF(INDEX(Calc!$W$3:$W$122,$T98)="","—",INDEX(Calc!$W$3:$W$122,$T98)),"")</f>
        <v/>
      </c>
      <c r="F98" s="15">
        <f>IF(AND(ISNUMBER($T98),$T98&lt;&gt;""),IF(INDEX(Calc!$X$3:$X$122,$T98)="","—",INDEX(Calc!$X$3:$X$122,$T98)),"")</f>
        <v/>
      </c>
      <c r="G98" s="15">
        <f>IF(AND(ISNUMBER($T98),$T98&lt;&gt;""),IF(INDEX(Calc!$Y$3:$Y$122,$T98)="","—",INDEX(Calc!$Y$3:$Y$122,$T98)),"")</f>
        <v/>
      </c>
      <c r="H98" s="15">
        <f>IF(AND(ISNUMBER($T98),$T98&lt;&gt;""),IF(INDEX(Calc!$Z$3:$Z$122,$T98)="","—",INDEX(Calc!$Z$3:$Z$122,$T98)),"")</f>
        <v/>
      </c>
      <c r="I98" s="15">
        <f>IF(AND(ISNUMBER($T98),$T98&lt;&gt;""),IF(INDEX(Calc!$AA$3:$AA$122,$T98)="","—",INDEX(Calc!$AA$3:$AA$122,$T98)),"")</f>
        <v/>
      </c>
      <c r="J98" s="15">
        <f>IF(AND(ISNUMBER($T98),$T98&lt;&gt;""),IF(INDEX(Calc!$AB$3:$AB$122,$T98)="","—",INDEX(Calc!$AB$3:$AB$122,$T98)),"")</f>
        <v/>
      </c>
      <c r="K98" s="15">
        <f>IF(AND(ISNUMBER($T98),$T98&lt;&gt;""),IF(INDEX(Calc!$AC$3:$AC$122,$T98)="","—",INDEX(Calc!$AC$3:$AC$122,$T98)),"")</f>
        <v/>
      </c>
      <c r="L98" s="15">
        <f>IF(AND(ISNUMBER($T98),$T98&lt;&gt;""),IF(INDEX(Calc!$AD$3:$AD$122,$T98)="","—",INDEX(Calc!$AD$3:$AD$122,$T98)),"")</f>
        <v/>
      </c>
      <c r="M98" s="15">
        <f>IF(AND(ISNUMBER($T98),$T98&lt;&gt;""),IF(INDEX(Calc!$AE$3:$AE$122,$T98)="","—",INDEX(Calc!$AE$3:$AE$122,$T98)),"")</f>
        <v/>
      </c>
      <c r="N98" s="15">
        <f>IF(AND(ISNUMBER($T98),$T98&lt;&gt;""),IF(INDEX(Calc!$AF$3:$AF$122,$T98)="","—",INDEX(Calc!$AF$3:$AF$122,$T98)),"")</f>
        <v/>
      </c>
      <c r="O98" s="15">
        <f>IF(AND(ISNUMBER($T98),$T98&lt;&gt;""),IF(INDEX(Calc!$AG$3:$AG$122,$T98)="","—",INDEX(Calc!$AG$3:$AG$122,$T98)),"")</f>
        <v/>
      </c>
      <c r="P98" s="16">
        <f>IF(AND(ISNUMBER($T98),$T98&lt;&gt;""),IF(INDEX(Calc!$AJ$3:$AJ$122,$T98)="","—",INDEX(Calc!$AJ$3:$AJ$122,$T98)),"")</f>
        <v/>
      </c>
      <c r="Q98" s="16">
        <f>IF(AND(ISNUMBER($T98),$T98&lt;&gt;""),IF(INDEX(Calc!$AK$3:$AK$122,$T98)="","—",INDEX(Calc!$AK$3:$AK$122,$T98)),"")</f>
        <v/>
      </c>
      <c r="R98" s="15">
        <f>IF(AND(ISNUMBER($T98),$T98&lt;&gt;""),IF(INDEX(Calc!$AL$3:$AL$122,$T98)="","—",INDEX(Calc!$AL$3:$AL$122,$T98)),"")</f>
        <v/>
      </c>
      <c r="T98">
        <f>IFERROR(MATCH(94,Calc!$AN$3:$AN$122,0),"")</f>
        <v/>
      </c>
    </row>
    <row r="99">
      <c r="A99" s="19">
        <f>IF(AND(ISNUMBER($T99),$T99&lt;&gt;""),INDEX(Calc!$S$3:$S$122,$T99),"")</f>
        <v/>
      </c>
      <c r="B99" s="20">
        <f>IF(AND(ISNUMBER($T99),$T99&lt;&gt;""),IF(INDEX(Calc!$T$3:$T$122,$T99)="","—",INDEX(Calc!$T$3:$T$122,$T99)),"")</f>
        <v/>
      </c>
      <c r="C99" s="20">
        <f>IF(AND(ISNUMBER($T99),$T99&lt;&gt;""),IF(INDEX(Calc!$U$3:$U$122,$T99)="","—",INDEX(Calc!$U$3:$U$122,$T99)),"")</f>
        <v/>
      </c>
      <c r="D99" s="20">
        <f>IF(AND(ISNUMBER($T99),$T99&lt;&gt;""),IF(INDEX(Calc!$V$3:$V$122,$T99)="","—",INDEX(Calc!$V$3:$V$122,$T99)),"")</f>
        <v/>
      </c>
      <c r="E99" s="20">
        <f>IF(AND(ISNUMBER($T99),$T99&lt;&gt;""),IF(INDEX(Calc!$W$3:$W$122,$T99)="","—",INDEX(Calc!$W$3:$W$122,$T99)),"")</f>
        <v/>
      </c>
      <c r="F99" s="20">
        <f>IF(AND(ISNUMBER($T99),$T99&lt;&gt;""),IF(INDEX(Calc!$X$3:$X$122,$T99)="","—",INDEX(Calc!$X$3:$X$122,$T99)),"")</f>
        <v/>
      </c>
      <c r="G99" s="20">
        <f>IF(AND(ISNUMBER($T99),$T99&lt;&gt;""),IF(INDEX(Calc!$Y$3:$Y$122,$T99)="","—",INDEX(Calc!$Y$3:$Y$122,$T99)),"")</f>
        <v/>
      </c>
      <c r="H99" s="20">
        <f>IF(AND(ISNUMBER($T99),$T99&lt;&gt;""),IF(INDEX(Calc!$Z$3:$Z$122,$T99)="","—",INDEX(Calc!$Z$3:$Z$122,$T99)),"")</f>
        <v/>
      </c>
      <c r="I99" s="20">
        <f>IF(AND(ISNUMBER($T99),$T99&lt;&gt;""),IF(INDEX(Calc!$AA$3:$AA$122,$T99)="","—",INDEX(Calc!$AA$3:$AA$122,$T99)),"")</f>
        <v/>
      </c>
      <c r="J99" s="20">
        <f>IF(AND(ISNUMBER($T99),$T99&lt;&gt;""),IF(INDEX(Calc!$AB$3:$AB$122,$T99)="","—",INDEX(Calc!$AB$3:$AB$122,$T99)),"")</f>
        <v/>
      </c>
      <c r="K99" s="20">
        <f>IF(AND(ISNUMBER($T99),$T99&lt;&gt;""),IF(INDEX(Calc!$AC$3:$AC$122,$T99)="","—",INDEX(Calc!$AC$3:$AC$122,$T99)),"")</f>
        <v/>
      </c>
      <c r="L99" s="20">
        <f>IF(AND(ISNUMBER($T99),$T99&lt;&gt;""),IF(INDEX(Calc!$AD$3:$AD$122,$T99)="","—",INDEX(Calc!$AD$3:$AD$122,$T99)),"")</f>
        <v/>
      </c>
      <c r="M99" s="20">
        <f>IF(AND(ISNUMBER($T99),$T99&lt;&gt;""),IF(INDEX(Calc!$AE$3:$AE$122,$T99)="","—",INDEX(Calc!$AE$3:$AE$122,$T99)),"")</f>
        <v/>
      </c>
      <c r="N99" s="20">
        <f>IF(AND(ISNUMBER($T99),$T99&lt;&gt;""),IF(INDEX(Calc!$AF$3:$AF$122,$T99)="","—",INDEX(Calc!$AF$3:$AF$122,$T99)),"")</f>
        <v/>
      </c>
      <c r="O99" s="20">
        <f>IF(AND(ISNUMBER($T99),$T99&lt;&gt;""),IF(INDEX(Calc!$AG$3:$AG$122,$T99)="","—",INDEX(Calc!$AG$3:$AG$122,$T99)),"")</f>
        <v/>
      </c>
      <c r="P99" s="21">
        <f>IF(AND(ISNUMBER($T99),$T99&lt;&gt;""),IF(INDEX(Calc!$AJ$3:$AJ$122,$T99)="","—",INDEX(Calc!$AJ$3:$AJ$122,$T99)),"")</f>
        <v/>
      </c>
      <c r="Q99" s="21">
        <f>IF(AND(ISNUMBER($T99),$T99&lt;&gt;""),IF(INDEX(Calc!$AK$3:$AK$122,$T99)="","—",INDEX(Calc!$AK$3:$AK$122,$T99)),"")</f>
        <v/>
      </c>
      <c r="R99" s="20">
        <f>IF(AND(ISNUMBER($T99),$T99&lt;&gt;""),IF(INDEX(Calc!$AL$3:$AL$122,$T99)="","—",INDEX(Calc!$AL$3:$AL$122,$T99)),"")</f>
        <v/>
      </c>
      <c r="T99">
        <f>IFERROR(MATCH(95,Calc!$AN$3:$AN$122,0),"")</f>
        <v/>
      </c>
    </row>
    <row r="100">
      <c r="A100" s="14">
        <f>IF(AND(ISNUMBER($T100),$T100&lt;&gt;""),INDEX(Calc!$S$3:$S$122,$T100),"")</f>
        <v/>
      </c>
      <c r="B100" s="15">
        <f>IF(AND(ISNUMBER($T100),$T100&lt;&gt;""),IF(INDEX(Calc!$T$3:$T$122,$T100)="","—",INDEX(Calc!$T$3:$T$122,$T100)),"")</f>
        <v/>
      </c>
      <c r="C100" s="15">
        <f>IF(AND(ISNUMBER($T100),$T100&lt;&gt;""),IF(INDEX(Calc!$U$3:$U$122,$T100)="","—",INDEX(Calc!$U$3:$U$122,$T100)),"")</f>
        <v/>
      </c>
      <c r="D100" s="15">
        <f>IF(AND(ISNUMBER($T100),$T100&lt;&gt;""),IF(INDEX(Calc!$V$3:$V$122,$T100)="","—",INDEX(Calc!$V$3:$V$122,$T100)),"")</f>
        <v/>
      </c>
      <c r="E100" s="15">
        <f>IF(AND(ISNUMBER($T100),$T100&lt;&gt;""),IF(INDEX(Calc!$W$3:$W$122,$T100)="","—",INDEX(Calc!$W$3:$W$122,$T100)),"")</f>
        <v/>
      </c>
      <c r="F100" s="15">
        <f>IF(AND(ISNUMBER($T100),$T100&lt;&gt;""),IF(INDEX(Calc!$X$3:$X$122,$T100)="","—",INDEX(Calc!$X$3:$X$122,$T100)),"")</f>
        <v/>
      </c>
      <c r="G100" s="15">
        <f>IF(AND(ISNUMBER($T100),$T100&lt;&gt;""),IF(INDEX(Calc!$Y$3:$Y$122,$T100)="","—",INDEX(Calc!$Y$3:$Y$122,$T100)),"")</f>
        <v/>
      </c>
      <c r="H100" s="15">
        <f>IF(AND(ISNUMBER($T100),$T100&lt;&gt;""),IF(INDEX(Calc!$Z$3:$Z$122,$T100)="","—",INDEX(Calc!$Z$3:$Z$122,$T100)),"")</f>
        <v/>
      </c>
      <c r="I100" s="15">
        <f>IF(AND(ISNUMBER($T100),$T100&lt;&gt;""),IF(INDEX(Calc!$AA$3:$AA$122,$T100)="","—",INDEX(Calc!$AA$3:$AA$122,$T100)),"")</f>
        <v/>
      </c>
      <c r="J100" s="15">
        <f>IF(AND(ISNUMBER($T100),$T100&lt;&gt;""),IF(INDEX(Calc!$AB$3:$AB$122,$T100)="","—",INDEX(Calc!$AB$3:$AB$122,$T100)),"")</f>
        <v/>
      </c>
      <c r="K100" s="15">
        <f>IF(AND(ISNUMBER($T100),$T100&lt;&gt;""),IF(INDEX(Calc!$AC$3:$AC$122,$T100)="","—",INDEX(Calc!$AC$3:$AC$122,$T100)),"")</f>
        <v/>
      </c>
      <c r="L100" s="15">
        <f>IF(AND(ISNUMBER($T100),$T100&lt;&gt;""),IF(INDEX(Calc!$AD$3:$AD$122,$T100)="","—",INDEX(Calc!$AD$3:$AD$122,$T100)),"")</f>
        <v/>
      </c>
      <c r="M100" s="15">
        <f>IF(AND(ISNUMBER($T100),$T100&lt;&gt;""),IF(INDEX(Calc!$AE$3:$AE$122,$T100)="","—",INDEX(Calc!$AE$3:$AE$122,$T100)),"")</f>
        <v/>
      </c>
      <c r="N100" s="15">
        <f>IF(AND(ISNUMBER($T100),$T100&lt;&gt;""),IF(INDEX(Calc!$AF$3:$AF$122,$T100)="","—",INDEX(Calc!$AF$3:$AF$122,$T100)),"")</f>
        <v/>
      </c>
      <c r="O100" s="15">
        <f>IF(AND(ISNUMBER($T100),$T100&lt;&gt;""),IF(INDEX(Calc!$AG$3:$AG$122,$T100)="","—",INDEX(Calc!$AG$3:$AG$122,$T100)),"")</f>
        <v/>
      </c>
      <c r="P100" s="16">
        <f>IF(AND(ISNUMBER($T100),$T100&lt;&gt;""),IF(INDEX(Calc!$AJ$3:$AJ$122,$T100)="","—",INDEX(Calc!$AJ$3:$AJ$122,$T100)),"")</f>
        <v/>
      </c>
      <c r="Q100" s="16">
        <f>IF(AND(ISNUMBER($T100),$T100&lt;&gt;""),IF(INDEX(Calc!$AK$3:$AK$122,$T100)="","—",INDEX(Calc!$AK$3:$AK$122,$T100)),"")</f>
        <v/>
      </c>
      <c r="R100" s="15">
        <f>IF(AND(ISNUMBER($T100),$T100&lt;&gt;""),IF(INDEX(Calc!$AL$3:$AL$122,$T100)="","—",INDEX(Calc!$AL$3:$AL$122,$T100)),"")</f>
        <v/>
      </c>
      <c r="T100">
        <f>IFERROR(MATCH(96,Calc!$AN$3:$AN$122,0),"")</f>
        <v/>
      </c>
    </row>
    <row r="101">
      <c r="A101" s="19">
        <f>IF(AND(ISNUMBER($T101),$T101&lt;&gt;""),INDEX(Calc!$S$3:$S$122,$T101),"")</f>
        <v/>
      </c>
      <c r="B101" s="20">
        <f>IF(AND(ISNUMBER($T101),$T101&lt;&gt;""),IF(INDEX(Calc!$T$3:$T$122,$T101)="","—",INDEX(Calc!$T$3:$T$122,$T101)),"")</f>
        <v/>
      </c>
      <c r="C101" s="20">
        <f>IF(AND(ISNUMBER($T101),$T101&lt;&gt;""),IF(INDEX(Calc!$U$3:$U$122,$T101)="","—",INDEX(Calc!$U$3:$U$122,$T101)),"")</f>
        <v/>
      </c>
      <c r="D101" s="20">
        <f>IF(AND(ISNUMBER($T101),$T101&lt;&gt;""),IF(INDEX(Calc!$V$3:$V$122,$T101)="","—",INDEX(Calc!$V$3:$V$122,$T101)),"")</f>
        <v/>
      </c>
      <c r="E101" s="20">
        <f>IF(AND(ISNUMBER($T101),$T101&lt;&gt;""),IF(INDEX(Calc!$W$3:$W$122,$T101)="","—",INDEX(Calc!$W$3:$W$122,$T101)),"")</f>
        <v/>
      </c>
      <c r="F101" s="20">
        <f>IF(AND(ISNUMBER($T101),$T101&lt;&gt;""),IF(INDEX(Calc!$X$3:$X$122,$T101)="","—",INDEX(Calc!$X$3:$X$122,$T101)),"")</f>
        <v/>
      </c>
      <c r="G101" s="20">
        <f>IF(AND(ISNUMBER($T101),$T101&lt;&gt;""),IF(INDEX(Calc!$Y$3:$Y$122,$T101)="","—",INDEX(Calc!$Y$3:$Y$122,$T101)),"")</f>
        <v/>
      </c>
      <c r="H101" s="20">
        <f>IF(AND(ISNUMBER($T101),$T101&lt;&gt;""),IF(INDEX(Calc!$Z$3:$Z$122,$T101)="","—",INDEX(Calc!$Z$3:$Z$122,$T101)),"")</f>
        <v/>
      </c>
      <c r="I101" s="20">
        <f>IF(AND(ISNUMBER($T101),$T101&lt;&gt;""),IF(INDEX(Calc!$AA$3:$AA$122,$T101)="","—",INDEX(Calc!$AA$3:$AA$122,$T101)),"")</f>
        <v/>
      </c>
      <c r="J101" s="20">
        <f>IF(AND(ISNUMBER($T101),$T101&lt;&gt;""),IF(INDEX(Calc!$AB$3:$AB$122,$T101)="","—",INDEX(Calc!$AB$3:$AB$122,$T101)),"")</f>
        <v/>
      </c>
      <c r="K101" s="20">
        <f>IF(AND(ISNUMBER($T101),$T101&lt;&gt;""),IF(INDEX(Calc!$AC$3:$AC$122,$T101)="","—",INDEX(Calc!$AC$3:$AC$122,$T101)),"")</f>
        <v/>
      </c>
      <c r="L101" s="20">
        <f>IF(AND(ISNUMBER($T101),$T101&lt;&gt;""),IF(INDEX(Calc!$AD$3:$AD$122,$T101)="","—",INDEX(Calc!$AD$3:$AD$122,$T101)),"")</f>
        <v/>
      </c>
      <c r="M101" s="20">
        <f>IF(AND(ISNUMBER($T101),$T101&lt;&gt;""),IF(INDEX(Calc!$AE$3:$AE$122,$T101)="","—",INDEX(Calc!$AE$3:$AE$122,$T101)),"")</f>
        <v/>
      </c>
      <c r="N101" s="20">
        <f>IF(AND(ISNUMBER($T101),$T101&lt;&gt;""),IF(INDEX(Calc!$AF$3:$AF$122,$T101)="","—",INDEX(Calc!$AF$3:$AF$122,$T101)),"")</f>
        <v/>
      </c>
      <c r="O101" s="20">
        <f>IF(AND(ISNUMBER($T101),$T101&lt;&gt;""),IF(INDEX(Calc!$AG$3:$AG$122,$T101)="","—",INDEX(Calc!$AG$3:$AG$122,$T101)),"")</f>
        <v/>
      </c>
      <c r="P101" s="21">
        <f>IF(AND(ISNUMBER($T101),$T101&lt;&gt;""),IF(INDEX(Calc!$AJ$3:$AJ$122,$T101)="","—",INDEX(Calc!$AJ$3:$AJ$122,$T101)),"")</f>
        <v/>
      </c>
      <c r="Q101" s="21">
        <f>IF(AND(ISNUMBER($T101),$T101&lt;&gt;""),IF(INDEX(Calc!$AK$3:$AK$122,$T101)="","—",INDEX(Calc!$AK$3:$AK$122,$T101)),"")</f>
        <v/>
      </c>
      <c r="R101" s="20">
        <f>IF(AND(ISNUMBER($T101),$T101&lt;&gt;""),IF(INDEX(Calc!$AL$3:$AL$122,$T101)="","—",INDEX(Calc!$AL$3:$AL$122,$T101)),"")</f>
        <v/>
      </c>
      <c r="T101">
        <f>IFERROR(MATCH(97,Calc!$AN$3:$AN$122,0),"")</f>
        <v/>
      </c>
    </row>
    <row r="102">
      <c r="A102" s="14">
        <f>IF(AND(ISNUMBER($T102),$T102&lt;&gt;""),INDEX(Calc!$S$3:$S$122,$T102),"")</f>
        <v/>
      </c>
      <c r="B102" s="15">
        <f>IF(AND(ISNUMBER($T102),$T102&lt;&gt;""),IF(INDEX(Calc!$T$3:$T$122,$T102)="","—",INDEX(Calc!$T$3:$T$122,$T102)),"")</f>
        <v/>
      </c>
      <c r="C102" s="15">
        <f>IF(AND(ISNUMBER($T102),$T102&lt;&gt;""),IF(INDEX(Calc!$U$3:$U$122,$T102)="","—",INDEX(Calc!$U$3:$U$122,$T102)),"")</f>
        <v/>
      </c>
      <c r="D102" s="15">
        <f>IF(AND(ISNUMBER($T102),$T102&lt;&gt;""),IF(INDEX(Calc!$V$3:$V$122,$T102)="","—",INDEX(Calc!$V$3:$V$122,$T102)),"")</f>
        <v/>
      </c>
      <c r="E102" s="15">
        <f>IF(AND(ISNUMBER($T102),$T102&lt;&gt;""),IF(INDEX(Calc!$W$3:$W$122,$T102)="","—",INDEX(Calc!$W$3:$W$122,$T102)),"")</f>
        <v/>
      </c>
      <c r="F102" s="15">
        <f>IF(AND(ISNUMBER($T102),$T102&lt;&gt;""),IF(INDEX(Calc!$X$3:$X$122,$T102)="","—",INDEX(Calc!$X$3:$X$122,$T102)),"")</f>
        <v/>
      </c>
      <c r="G102" s="15">
        <f>IF(AND(ISNUMBER($T102),$T102&lt;&gt;""),IF(INDEX(Calc!$Y$3:$Y$122,$T102)="","—",INDEX(Calc!$Y$3:$Y$122,$T102)),"")</f>
        <v/>
      </c>
      <c r="H102" s="15">
        <f>IF(AND(ISNUMBER($T102),$T102&lt;&gt;""),IF(INDEX(Calc!$Z$3:$Z$122,$T102)="","—",INDEX(Calc!$Z$3:$Z$122,$T102)),"")</f>
        <v/>
      </c>
      <c r="I102" s="15">
        <f>IF(AND(ISNUMBER($T102),$T102&lt;&gt;""),IF(INDEX(Calc!$AA$3:$AA$122,$T102)="","—",INDEX(Calc!$AA$3:$AA$122,$T102)),"")</f>
        <v/>
      </c>
      <c r="J102" s="15">
        <f>IF(AND(ISNUMBER($T102),$T102&lt;&gt;""),IF(INDEX(Calc!$AB$3:$AB$122,$T102)="","—",INDEX(Calc!$AB$3:$AB$122,$T102)),"")</f>
        <v/>
      </c>
      <c r="K102" s="15">
        <f>IF(AND(ISNUMBER($T102),$T102&lt;&gt;""),IF(INDEX(Calc!$AC$3:$AC$122,$T102)="","—",INDEX(Calc!$AC$3:$AC$122,$T102)),"")</f>
        <v/>
      </c>
      <c r="L102" s="15">
        <f>IF(AND(ISNUMBER($T102),$T102&lt;&gt;""),IF(INDEX(Calc!$AD$3:$AD$122,$T102)="","—",INDEX(Calc!$AD$3:$AD$122,$T102)),"")</f>
        <v/>
      </c>
      <c r="M102" s="15">
        <f>IF(AND(ISNUMBER($T102),$T102&lt;&gt;""),IF(INDEX(Calc!$AE$3:$AE$122,$T102)="","—",INDEX(Calc!$AE$3:$AE$122,$T102)),"")</f>
        <v/>
      </c>
      <c r="N102" s="15">
        <f>IF(AND(ISNUMBER($T102),$T102&lt;&gt;""),IF(INDEX(Calc!$AF$3:$AF$122,$T102)="","—",INDEX(Calc!$AF$3:$AF$122,$T102)),"")</f>
        <v/>
      </c>
      <c r="O102" s="15">
        <f>IF(AND(ISNUMBER($T102),$T102&lt;&gt;""),IF(INDEX(Calc!$AG$3:$AG$122,$T102)="","—",INDEX(Calc!$AG$3:$AG$122,$T102)),"")</f>
        <v/>
      </c>
      <c r="P102" s="16">
        <f>IF(AND(ISNUMBER($T102),$T102&lt;&gt;""),IF(INDEX(Calc!$AJ$3:$AJ$122,$T102)="","—",INDEX(Calc!$AJ$3:$AJ$122,$T102)),"")</f>
        <v/>
      </c>
      <c r="Q102" s="16">
        <f>IF(AND(ISNUMBER($T102),$T102&lt;&gt;""),IF(INDEX(Calc!$AK$3:$AK$122,$T102)="","—",INDEX(Calc!$AK$3:$AK$122,$T102)),"")</f>
        <v/>
      </c>
      <c r="R102" s="15">
        <f>IF(AND(ISNUMBER($T102),$T102&lt;&gt;""),IF(INDEX(Calc!$AL$3:$AL$122,$T102)="","—",INDEX(Calc!$AL$3:$AL$122,$T102)),"")</f>
        <v/>
      </c>
      <c r="T102">
        <f>IFERROR(MATCH(98,Calc!$AN$3:$AN$122,0),"")</f>
        <v/>
      </c>
    </row>
    <row r="103">
      <c r="A103" s="19">
        <f>IF(AND(ISNUMBER($T103),$T103&lt;&gt;""),INDEX(Calc!$S$3:$S$122,$T103),"")</f>
        <v/>
      </c>
      <c r="B103" s="20">
        <f>IF(AND(ISNUMBER($T103),$T103&lt;&gt;""),IF(INDEX(Calc!$T$3:$T$122,$T103)="","—",INDEX(Calc!$T$3:$T$122,$T103)),"")</f>
        <v/>
      </c>
      <c r="C103" s="20">
        <f>IF(AND(ISNUMBER($T103),$T103&lt;&gt;""),IF(INDEX(Calc!$U$3:$U$122,$T103)="","—",INDEX(Calc!$U$3:$U$122,$T103)),"")</f>
        <v/>
      </c>
      <c r="D103" s="20">
        <f>IF(AND(ISNUMBER($T103),$T103&lt;&gt;""),IF(INDEX(Calc!$V$3:$V$122,$T103)="","—",INDEX(Calc!$V$3:$V$122,$T103)),"")</f>
        <v/>
      </c>
      <c r="E103" s="20">
        <f>IF(AND(ISNUMBER($T103),$T103&lt;&gt;""),IF(INDEX(Calc!$W$3:$W$122,$T103)="","—",INDEX(Calc!$W$3:$W$122,$T103)),"")</f>
        <v/>
      </c>
      <c r="F103" s="20">
        <f>IF(AND(ISNUMBER($T103),$T103&lt;&gt;""),IF(INDEX(Calc!$X$3:$X$122,$T103)="","—",INDEX(Calc!$X$3:$X$122,$T103)),"")</f>
        <v/>
      </c>
      <c r="G103" s="20">
        <f>IF(AND(ISNUMBER($T103),$T103&lt;&gt;""),IF(INDEX(Calc!$Y$3:$Y$122,$T103)="","—",INDEX(Calc!$Y$3:$Y$122,$T103)),"")</f>
        <v/>
      </c>
      <c r="H103" s="20">
        <f>IF(AND(ISNUMBER($T103),$T103&lt;&gt;""),IF(INDEX(Calc!$Z$3:$Z$122,$T103)="","—",INDEX(Calc!$Z$3:$Z$122,$T103)),"")</f>
        <v/>
      </c>
      <c r="I103" s="20">
        <f>IF(AND(ISNUMBER($T103),$T103&lt;&gt;""),IF(INDEX(Calc!$AA$3:$AA$122,$T103)="","—",INDEX(Calc!$AA$3:$AA$122,$T103)),"")</f>
        <v/>
      </c>
      <c r="J103" s="20">
        <f>IF(AND(ISNUMBER($T103),$T103&lt;&gt;""),IF(INDEX(Calc!$AB$3:$AB$122,$T103)="","—",INDEX(Calc!$AB$3:$AB$122,$T103)),"")</f>
        <v/>
      </c>
      <c r="K103" s="20">
        <f>IF(AND(ISNUMBER($T103),$T103&lt;&gt;""),IF(INDEX(Calc!$AC$3:$AC$122,$T103)="","—",INDEX(Calc!$AC$3:$AC$122,$T103)),"")</f>
        <v/>
      </c>
      <c r="L103" s="20">
        <f>IF(AND(ISNUMBER($T103),$T103&lt;&gt;""),IF(INDEX(Calc!$AD$3:$AD$122,$T103)="","—",INDEX(Calc!$AD$3:$AD$122,$T103)),"")</f>
        <v/>
      </c>
      <c r="M103" s="20">
        <f>IF(AND(ISNUMBER($T103),$T103&lt;&gt;""),IF(INDEX(Calc!$AE$3:$AE$122,$T103)="","—",INDEX(Calc!$AE$3:$AE$122,$T103)),"")</f>
        <v/>
      </c>
      <c r="N103" s="20">
        <f>IF(AND(ISNUMBER($T103),$T103&lt;&gt;""),IF(INDEX(Calc!$AF$3:$AF$122,$T103)="","—",INDEX(Calc!$AF$3:$AF$122,$T103)),"")</f>
        <v/>
      </c>
      <c r="O103" s="20">
        <f>IF(AND(ISNUMBER($T103),$T103&lt;&gt;""),IF(INDEX(Calc!$AG$3:$AG$122,$T103)="","—",INDEX(Calc!$AG$3:$AG$122,$T103)),"")</f>
        <v/>
      </c>
      <c r="P103" s="21">
        <f>IF(AND(ISNUMBER($T103),$T103&lt;&gt;""),IF(INDEX(Calc!$AJ$3:$AJ$122,$T103)="","—",INDEX(Calc!$AJ$3:$AJ$122,$T103)),"")</f>
        <v/>
      </c>
      <c r="Q103" s="21">
        <f>IF(AND(ISNUMBER($T103),$T103&lt;&gt;""),IF(INDEX(Calc!$AK$3:$AK$122,$T103)="","—",INDEX(Calc!$AK$3:$AK$122,$T103)),"")</f>
        <v/>
      </c>
      <c r="R103" s="20">
        <f>IF(AND(ISNUMBER($T103),$T103&lt;&gt;""),IF(INDEX(Calc!$AL$3:$AL$122,$T103)="","—",INDEX(Calc!$AL$3:$AL$122,$T103)),"")</f>
        <v/>
      </c>
      <c r="T103">
        <f>IFERROR(MATCH(99,Calc!$AN$3:$AN$122,0),"")</f>
        <v/>
      </c>
    </row>
    <row r="104">
      <c r="A104" s="14">
        <f>IF(AND(ISNUMBER($T104),$T104&lt;&gt;""),INDEX(Calc!$S$3:$S$122,$T104),"")</f>
        <v/>
      </c>
      <c r="B104" s="15">
        <f>IF(AND(ISNUMBER($T104),$T104&lt;&gt;""),IF(INDEX(Calc!$T$3:$T$122,$T104)="","—",INDEX(Calc!$T$3:$T$122,$T104)),"")</f>
        <v/>
      </c>
      <c r="C104" s="15">
        <f>IF(AND(ISNUMBER($T104),$T104&lt;&gt;""),IF(INDEX(Calc!$U$3:$U$122,$T104)="","—",INDEX(Calc!$U$3:$U$122,$T104)),"")</f>
        <v/>
      </c>
      <c r="D104" s="15">
        <f>IF(AND(ISNUMBER($T104),$T104&lt;&gt;""),IF(INDEX(Calc!$V$3:$V$122,$T104)="","—",INDEX(Calc!$V$3:$V$122,$T104)),"")</f>
        <v/>
      </c>
      <c r="E104" s="15">
        <f>IF(AND(ISNUMBER($T104),$T104&lt;&gt;""),IF(INDEX(Calc!$W$3:$W$122,$T104)="","—",INDEX(Calc!$W$3:$W$122,$T104)),"")</f>
        <v/>
      </c>
      <c r="F104" s="15">
        <f>IF(AND(ISNUMBER($T104),$T104&lt;&gt;""),IF(INDEX(Calc!$X$3:$X$122,$T104)="","—",INDEX(Calc!$X$3:$X$122,$T104)),"")</f>
        <v/>
      </c>
      <c r="G104" s="15">
        <f>IF(AND(ISNUMBER($T104),$T104&lt;&gt;""),IF(INDEX(Calc!$Y$3:$Y$122,$T104)="","—",INDEX(Calc!$Y$3:$Y$122,$T104)),"")</f>
        <v/>
      </c>
      <c r="H104" s="15">
        <f>IF(AND(ISNUMBER($T104),$T104&lt;&gt;""),IF(INDEX(Calc!$Z$3:$Z$122,$T104)="","—",INDEX(Calc!$Z$3:$Z$122,$T104)),"")</f>
        <v/>
      </c>
      <c r="I104" s="15">
        <f>IF(AND(ISNUMBER($T104),$T104&lt;&gt;""),IF(INDEX(Calc!$AA$3:$AA$122,$T104)="","—",INDEX(Calc!$AA$3:$AA$122,$T104)),"")</f>
        <v/>
      </c>
      <c r="J104" s="15">
        <f>IF(AND(ISNUMBER($T104),$T104&lt;&gt;""),IF(INDEX(Calc!$AB$3:$AB$122,$T104)="","—",INDEX(Calc!$AB$3:$AB$122,$T104)),"")</f>
        <v/>
      </c>
      <c r="K104" s="15">
        <f>IF(AND(ISNUMBER($T104),$T104&lt;&gt;""),IF(INDEX(Calc!$AC$3:$AC$122,$T104)="","—",INDEX(Calc!$AC$3:$AC$122,$T104)),"")</f>
        <v/>
      </c>
      <c r="L104" s="15">
        <f>IF(AND(ISNUMBER($T104),$T104&lt;&gt;""),IF(INDEX(Calc!$AD$3:$AD$122,$T104)="","—",INDEX(Calc!$AD$3:$AD$122,$T104)),"")</f>
        <v/>
      </c>
      <c r="M104" s="15">
        <f>IF(AND(ISNUMBER($T104),$T104&lt;&gt;""),IF(INDEX(Calc!$AE$3:$AE$122,$T104)="","—",INDEX(Calc!$AE$3:$AE$122,$T104)),"")</f>
        <v/>
      </c>
      <c r="N104" s="15">
        <f>IF(AND(ISNUMBER($T104),$T104&lt;&gt;""),IF(INDEX(Calc!$AF$3:$AF$122,$T104)="","—",INDEX(Calc!$AF$3:$AF$122,$T104)),"")</f>
        <v/>
      </c>
      <c r="O104" s="15">
        <f>IF(AND(ISNUMBER($T104),$T104&lt;&gt;""),IF(INDEX(Calc!$AG$3:$AG$122,$T104)="","—",INDEX(Calc!$AG$3:$AG$122,$T104)),"")</f>
        <v/>
      </c>
      <c r="P104" s="16">
        <f>IF(AND(ISNUMBER($T104),$T104&lt;&gt;""),IF(INDEX(Calc!$AJ$3:$AJ$122,$T104)="","—",INDEX(Calc!$AJ$3:$AJ$122,$T104)),"")</f>
        <v/>
      </c>
      <c r="Q104" s="16">
        <f>IF(AND(ISNUMBER($T104),$T104&lt;&gt;""),IF(INDEX(Calc!$AK$3:$AK$122,$T104)="","—",INDEX(Calc!$AK$3:$AK$122,$T104)),"")</f>
        <v/>
      </c>
      <c r="R104" s="15">
        <f>IF(AND(ISNUMBER($T104),$T104&lt;&gt;""),IF(INDEX(Calc!$AL$3:$AL$122,$T104)="","—",INDEX(Calc!$AL$3:$AL$122,$T104)),"")</f>
        <v/>
      </c>
      <c r="T104">
        <f>IFERROR(MATCH(100,Calc!$AN$3:$AN$122,0),"")</f>
        <v/>
      </c>
    </row>
    <row r="105">
      <c r="A105" s="19">
        <f>IF(AND(ISNUMBER($T105),$T105&lt;&gt;""),INDEX(Calc!$S$3:$S$122,$T105),"")</f>
        <v/>
      </c>
      <c r="B105" s="20">
        <f>IF(AND(ISNUMBER($T105),$T105&lt;&gt;""),IF(INDEX(Calc!$T$3:$T$122,$T105)="","—",INDEX(Calc!$T$3:$T$122,$T105)),"")</f>
        <v/>
      </c>
      <c r="C105" s="20">
        <f>IF(AND(ISNUMBER($T105),$T105&lt;&gt;""),IF(INDEX(Calc!$U$3:$U$122,$T105)="","—",INDEX(Calc!$U$3:$U$122,$T105)),"")</f>
        <v/>
      </c>
      <c r="D105" s="20">
        <f>IF(AND(ISNUMBER($T105),$T105&lt;&gt;""),IF(INDEX(Calc!$V$3:$V$122,$T105)="","—",INDEX(Calc!$V$3:$V$122,$T105)),"")</f>
        <v/>
      </c>
      <c r="E105" s="20">
        <f>IF(AND(ISNUMBER($T105),$T105&lt;&gt;""),IF(INDEX(Calc!$W$3:$W$122,$T105)="","—",INDEX(Calc!$W$3:$W$122,$T105)),"")</f>
        <v/>
      </c>
      <c r="F105" s="20">
        <f>IF(AND(ISNUMBER($T105),$T105&lt;&gt;""),IF(INDEX(Calc!$X$3:$X$122,$T105)="","—",INDEX(Calc!$X$3:$X$122,$T105)),"")</f>
        <v/>
      </c>
      <c r="G105" s="20">
        <f>IF(AND(ISNUMBER($T105),$T105&lt;&gt;""),IF(INDEX(Calc!$Y$3:$Y$122,$T105)="","—",INDEX(Calc!$Y$3:$Y$122,$T105)),"")</f>
        <v/>
      </c>
      <c r="H105" s="20">
        <f>IF(AND(ISNUMBER($T105),$T105&lt;&gt;""),IF(INDEX(Calc!$Z$3:$Z$122,$T105)="","—",INDEX(Calc!$Z$3:$Z$122,$T105)),"")</f>
        <v/>
      </c>
      <c r="I105" s="20">
        <f>IF(AND(ISNUMBER($T105),$T105&lt;&gt;""),IF(INDEX(Calc!$AA$3:$AA$122,$T105)="","—",INDEX(Calc!$AA$3:$AA$122,$T105)),"")</f>
        <v/>
      </c>
      <c r="J105" s="20">
        <f>IF(AND(ISNUMBER($T105),$T105&lt;&gt;""),IF(INDEX(Calc!$AB$3:$AB$122,$T105)="","—",INDEX(Calc!$AB$3:$AB$122,$T105)),"")</f>
        <v/>
      </c>
      <c r="K105" s="20">
        <f>IF(AND(ISNUMBER($T105),$T105&lt;&gt;""),IF(INDEX(Calc!$AC$3:$AC$122,$T105)="","—",INDEX(Calc!$AC$3:$AC$122,$T105)),"")</f>
        <v/>
      </c>
      <c r="L105" s="20">
        <f>IF(AND(ISNUMBER($T105),$T105&lt;&gt;""),IF(INDEX(Calc!$AD$3:$AD$122,$T105)="","—",INDEX(Calc!$AD$3:$AD$122,$T105)),"")</f>
        <v/>
      </c>
      <c r="M105" s="20">
        <f>IF(AND(ISNUMBER($T105),$T105&lt;&gt;""),IF(INDEX(Calc!$AE$3:$AE$122,$T105)="","—",INDEX(Calc!$AE$3:$AE$122,$T105)),"")</f>
        <v/>
      </c>
      <c r="N105" s="20">
        <f>IF(AND(ISNUMBER($T105),$T105&lt;&gt;""),IF(INDEX(Calc!$AF$3:$AF$122,$T105)="","—",INDEX(Calc!$AF$3:$AF$122,$T105)),"")</f>
        <v/>
      </c>
      <c r="O105" s="20">
        <f>IF(AND(ISNUMBER($T105),$T105&lt;&gt;""),IF(INDEX(Calc!$AG$3:$AG$122,$T105)="","—",INDEX(Calc!$AG$3:$AG$122,$T105)),"")</f>
        <v/>
      </c>
      <c r="P105" s="21">
        <f>IF(AND(ISNUMBER($T105),$T105&lt;&gt;""),IF(INDEX(Calc!$AJ$3:$AJ$122,$T105)="","—",INDEX(Calc!$AJ$3:$AJ$122,$T105)),"")</f>
        <v/>
      </c>
      <c r="Q105" s="21">
        <f>IF(AND(ISNUMBER($T105),$T105&lt;&gt;""),IF(INDEX(Calc!$AK$3:$AK$122,$T105)="","—",INDEX(Calc!$AK$3:$AK$122,$T105)),"")</f>
        <v/>
      </c>
      <c r="R105" s="20">
        <f>IF(AND(ISNUMBER($T105),$T105&lt;&gt;""),IF(INDEX(Calc!$AL$3:$AL$122,$T105)="","—",INDEX(Calc!$AL$3:$AL$122,$T105)),"")</f>
        <v/>
      </c>
      <c r="T105">
        <f>IFERROR(MATCH(101,Calc!$AN$3:$AN$122,0),"")</f>
        <v/>
      </c>
    </row>
    <row r="106">
      <c r="A106" s="14">
        <f>IF(AND(ISNUMBER($T106),$T106&lt;&gt;""),INDEX(Calc!$S$3:$S$122,$T106),"")</f>
        <v/>
      </c>
      <c r="B106" s="15">
        <f>IF(AND(ISNUMBER($T106),$T106&lt;&gt;""),IF(INDEX(Calc!$T$3:$T$122,$T106)="","—",INDEX(Calc!$T$3:$T$122,$T106)),"")</f>
        <v/>
      </c>
      <c r="C106" s="15">
        <f>IF(AND(ISNUMBER($T106),$T106&lt;&gt;""),IF(INDEX(Calc!$U$3:$U$122,$T106)="","—",INDEX(Calc!$U$3:$U$122,$T106)),"")</f>
        <v/>
      </c>
      <c r="D106" s="15">
        <f>IF(AND(ISNUMBER($T106),$T106&lt;&gt;""),IF(INDEX(Calc!$V$3:$V$122,$T106)="","—",INDEX(Calc!$V$3:$V$122,$T106)),"")</f>
        <v/>
      </c>
      <c r="E106" s="15">
        <f>IF(AND(ISNUMBER($T106),$T106&lt;&gt;""),IF(INDEX(Calc!$W$3:$W$122,$T106)="","—",INDEX(Calc!$W$3:$W$122,$T106)),"")</f>
        <v/>
      </c>
      <c r="F106" s="15">
        <f>IF(AND(ISNUMBER($T106),$T106&lt;&gt;""),IF(INDEX(Calc!$X$3:$X$122,$T106)="","—",INDEX(Calc!$X$3:$X$122,$T106)),"")</f>
        <v/>
      </c>
      <c r="G106" s="15">
        <f>IF(AND(ISNUMBER($T106),$T106&lt;&gt;""),IF(INDEX(Calc!$Y$3:$Y$122,$T106)="","—",INDEX(Calc!$Y$3:$Y$122,$T106)),"")</f>
        <v/>
      </c>
      <c r="H106" s="15">
        <f>IF(AND(ISNUMBER($T106),$T106&lt;&gt;""),IF(INDEX(Calc!$Z$3:$Z$122,$T106)="","—",INDEX(Calc!$Z$3:$Z$122,$T106)),"")</f>
        <v/>
      </c>
      <c r="I106" s="15">
        <f>IF(AND(ISNUMBER($T106),$T106&lt;&gt;""),IF(INDEX(Calc!$AA$3:$AA$122,$T106)="","—",INDEX(Calc!$AA$3:$AA$122,$T106)),"")</f>
        <v/>
      </c>
      <c r="J106" s="15">
        <f>IF(AND(ISNUMBER($T106),$T106&lt;&gt;""),IF(INDEX(Calc!$AB$3:$AB$122,$T106)="","—",INDEX(Calc!$AB$3:$AB$122,$T106)),"")</f>
        <v/>
      </c>
      <c r="K106" s="15">
        <f>IF(AND(ISNUMBER($T106),$T106&lt;&gt;""),IF(INDEX(Calc!$AC$3:$AC$122,$T106)="","—",INDEX(Calc!$AC$3:$AC$122,$T106)),"")</f>
        <v/>
      </c>
      <c r="L106" s="15">
        <f>IF(AND(ISNUMBER($T106),$T106&lt;&gt;""),IF(INDEX(Calc!$AD$3:$AD$122,$T106)="","—",INDEX(Calc!$AD$3:$AD$122,$T106)),"")</f>
        <v/>
      </c>
      <c r="M106" s="15">
        <f>IF(AND(ISNUMBER($T106),$T106&lt;&gt;""),IF(INDEX(Calc!$AE$3:$AE$122,$T106)="","—",INDEX(Calc!$AE$3:$AE$122,$T106)),"")</f>
        <v/>
      </c>
      <c r="N106" s="15">
        <f>IF(AND(ISNUMBER($T106),$T106&lt;&gt;""),IF(INDEX(Calc!$AF$3:$AF$122,$T106)="","—",INDEX(Calc!$AF$3:$AF$122,$T106)),"")</f>
        <v/>
      </c>
      <c r="O106" s="15">
        <f>IF(AND(ISNUMBER($T106),$T106&lt;&gt;""),IF(INDEX(Calc!$AG$3:$AG$122,$T106)="","—",INDEX(Calc!$AG$3:$AG$122,$T106)),"")</f>
        <v/>
      </c>
      <c r="P106" s="16">
        <f>IF(AND(ISNUMBER($T106),$T106&lt;&gt;""),IF(INDEX(Calc!$AJ$3:$AJ$122,$T106)="","—",INDEX(Calc!$AJ$3:$AJ$122,$T106)),"")</f>
        <v/>
      </c>
      <c r="Q106" s="16">
        <f>IF(AND(ISNUMBER($T106),$T106&lt;&gt;""),IF(INDEX(Calc!$AK$3:$AK$122,$T106)="","—",INDEX(Calc!$AK$3:$AK$122,$T106)),"")</f>
        <v/>
      </c>
      <c r="R106" s="15">
        <f>IF(AND(ISNUMBER($T106),$T106&lt;&gt;""),IF(INDEX(Calc!$AL$3:$AL$122,$T106)="","—",INDEX(Calc!$AL$3:$AL$122,$T106)),"")</f>
        <v/>
      </c>
      <c r="T106">
        <f>IFERROR(MATCH(102,Calc!$AN$3:$AN$122,0),"")</f>
        <v/>
      </c>
    </row>
    <row r="107">
      <c r="A107" s="19">
        <f>IF(AND(ISNUMBER($T107),$T107&lt;&gt;""),INDEX(Calc!$S$3:$S$122,$T107),"")</f>
        <v/>
      </c>
      <c r="B107" s="20">
        <f>IF(AND(ISNUMBER($T107),$T107&lt;&gt;""),IF(INDEX(Calc!$T$3:$T$122,$T107)="","—",INDEX(Calc!$T$3:$T$122,$T107)),"")</f>
        <v/>
      </c>
      <c r="C107" s="20">
        <f>IF(AND(ISNUMBER($T107),$T107&lt;&gt;""),IF(INDEX(Calc!$U$3:$U$122,$T107)="","—",INDEX(Calc!$U$3:$U$122,$T107)),"")</f>
        <v/>
      </c>
      <c r="D107" s="20">
        <f>IF(AND(ISNUMBER($T107),$T107&lt;&gt;""),IF(INDEX(Calc!$V$3:$V$122,$T107)="","—",INDEX(Calc!$V$3:$V$122,$T107)),"")</f>
        <v/>
      </c>
      <c r="E107" s="20">
        <f>IF(AND(ISNUMBER($T107),$T107&lt;&gt;""),IF(INDEX(Calc!$W$3:$W$122,$T107)="","—",INDEX(Calc!$W$3:$W$122,$T107)),"")</f>
        <v/>
      </c>
      <c r="F107" s="20">
        <f>IF(AND(ISNUMBER($T107),$T107&lt;&gt;""),IF(INDEX(Calc!$X$3:$X$122,$T107)="","—",INDEX(Calc!$X$3:$X$122,$T107)),"")</f>
        <v/>
      </c>
      <c r="G107" s="20">
        <f>IF(AND(ISNUMBER($T107),$T107&lt;&gt;""),IF(INDEX(Calc!$Y$3:$Y$122,$T107)="","—",INDEX(Calc!$Y$3:$Y$122,$T107)),"")</f>
        <v/>
      </c>
      <c r="H107" s="20">
        <f>IF(AND(ISNUMBER($T107),$T107&lt;&gt;""),IF(INDEX(Calc!$Z$3:$Z$122,$T107)="","—",INDEX(Calc!$Z$3:$Z$122,$T107)),"")</f>
        <v/>
      </c>
      <c r="I107" s="20">
        <f>IF(AND(ISNUMBER($T107),$T107&lt;&gt;""),IF(INDEX(Calc!$AA$3:$AA$122,$T107)="","—",INDEX(Calc!$AA$3:$AA$122,$T107)),"")</f>
        <v/>
      </c>
      <c r="J107" s="20">
        <f>IF(AND(ISNUMBER($T107),$T107&lt;&gt;""),IF(INDEX(Calc!$AB$3:$AB$122,$T107)="","—",INDEX(Calc!$AB$3:$AB$122,$T107)),"")</f>
        <v/>
      </c>
      <c r="K107" s="20">
        <f>IF(AND(ISNUMBER($T107),$T107&lt;&gt;""),IF(INDEX(Calc!$AC$3:$AC$122,$T107)="","—",INDEX(Calc!$AC$3:$AC$122,$T107)),"")</f>
        <v/>
      </c>
      <c r="L107" s="20">
        <f>IF(AND(ISNUMBER($T107),$T107&lt;&gt;""),IF(INDEX(Calc!$AD$3:$AD$122,$T107)="","—",INDEX(Calc!$AD$3:$AD$122,$T107)),"")</f>
        <v/>
      </c>
      <c r="M107" s="20">
        <f>IF(AND(ISNUMBER($T107),$T107&lt;&gt;""),IF(INDEX(Calc!$AE$3:$AE$122,$T107)="","—",INDEX(Calc!$AE$3:$AE$122,$T107)),"")</f>
        <v/>
      </c>
      <c r="N107" s="20">
        <f>IF(AND(ISNUMBER($T107),$T107&lt;&gt;""),IF(INDEX(Calc!$AF$3:$AF$122,$T107)="","—",INDEX(Calc!$AF$3:$AF$122,$T107)),"")</f>
        <v/>
      </c>
      <c r="O107" s="20">
        <f>IF(AND(ISNUMBER($T107),$T107&lt;&gt;""),IF(INDEX(Calc!$AG$3:$AG$122,$T107)="","—",INDEX(Calc!$AG$3:$AG$122,$T107)),"")</f>
        <v/>
      </c>
      <c r="P107" s="21">
        <f>IF(AND(ISNUMBER($T107),$T107&lt;&gt;""),IF(INDEX(Calc!$AJ$3:$AJ$122,$T107)="","—",INDEX(Calc!$AJ$3:$AJ$122,$T107)),"")</f>
        <v/>
      </c>
      <c r="Q107" s="21">
        <f>IF(AND(ISNUMBER($T107),$T107&lt;&gt;""),IF(INDEX(Calc!$AK$3:$AK$122,$T107)="","—",INDEX(Calc!$AK$3:$AK$122,$T107)),"")</f>
        <v/>
      </c>
      <c r="R107" s="20">
        <f>IF(AND(ISNUMBER($T107),$T107&lt;&gt;""),IF(INDEX(Calc!$AL$3:$AL$122,$T107)="","—",INDEX(Calc!$AL$3:$AL$122,$T107)),"")</f>
        <v/>
      </c>
      <c r="T107">
        <f>IFERROR(MATCH(103,Calc!$AN$3:$AN$122,0),"")</f>
        <v/>
      </c>
    </row>
    <row r="108">
      <c r="A108" s="14">
        <f>IF(AND(ISNUMBER($T108),$T108&lt;&gt;""),INDEX(Calc!$S$3:$S$122,$T108),"")</f>
        <v/>
      </c>
      <c r="B108" s="15">
        <f>IF(AND(ISNUMBER($T108),$T108&lt;&gt;""),IF(INDEX(Calc!$T$3:$T$122,$T108)="","—",INDEX(Calc!$T$3:$T$122,$T108)),"")</f>
        <v/>
      </c>
      <c r="C108" s="15">
        <f>IF(AND(ISNUMBER($T108),$T108&lt;&gt;""),IF(INDEX(Calc!$U$3:$U$122,$T108)="","—",INDEX(Calc!$U$3:$U$122,$T108)),"")</f>
        <v/>
      </c>
      <c r="D108" s="15">
        <f>IF(AND(ISNUMBER($T108),$T108&lt;&gt;""),IF(INDEX(Calc!$V$3:$V$122,$T108)="","—",INDEX(Calc!$V$3:$V$122,$T108)),"")</f>
        <v/>
      </c>
      <c r="E108" s="15">
        <f>IF(AND(ISNUMBER($T108),$T108&lt;&gt;""),IF(INDEX(Calc!$W$3:$W$122,$T108)="","—",INDEX(Calc!$W$3:$W$122,$T108)),"")</f>
        <v/>
      </c>
      <c r="F108" s="15">
        <f>IF(AND(ISNUMBER($T108),$T108&lt;&gt;""),IF(INDEX(Calc!$X$3:$X$122,$T108)="","—",INDEX(Calc!$X$3:$X$122,$T108)),"")</f>
        <v/>
      </c>
      <c r="G108" s="15">
        <f>IF(AND(ISNUMBER($T108),$T108&lt;&gt;""),IF(INDEX(Calc!$Y$3:$Y$122,$T108)="","—",INDEX(Calc!$Y$3:$Y$122,$T108)),"")</f>
        <v/>
      </c>
      <c r="H108" s="15">
        <f>IF(AND(ISNUMBER($T108),$T108&lt;&gt;""),IF(INDEX(Calc!$Z$3:$Z$122,$T108)="","—",INDEX(Calc!$Z$3:$Z$122,$T108)),"")</f>
        <v/>
      </c>
      <c r="I108" s="15">
        <f>IF(AND(ISNUMBER($T108),$T108&lt;&gt;""),IF(INDEX(Calc!$AA$3:$AA$122,$T108)="","—",INDEX(Calc!$AA$3:$AA$122,$T108)),"")</f>
        <v/>
      </c>
      <c r="J108" s="15">
        <f>IF(AND(ISNUMBER($T108),$T108&lt;&gt;""),IF(INDEX(Calc!$AB$3:$AB$122,$T108)="","—",INDEX(Calc!$AB$3:$AB$122,$T108)),"")</f>
        <v/>
      </c>
      <c r="K108" s="15">
        <f>IF(AND(ISNUMBER($T108),$T108&lt;&gt;""),IF(INDEX(Calc!$AC$3:$AC$122,$T108)="","—",INDEX(Calc!$AC$3:$AC$122,$T108)),"")</f>
        <v/>
      </c>
      <c r="L108" s="15">
        <f>IF(AND(ISNUMBER($T108),$T108&lt;&gt;""),IF(INDEX(Calc!$AD$3:$AD$122,$T108)="","—",INDEX(Calc!$AD$3:$AD$122,$T108)),"")</f>
        <v/>
      </c>
      <c r="M108" s="15">
        <f>IF(AND(ISNUMBER($T108),$T108&lt;&gt;""),IF(INDEX(Calc!$AE$3:$AE$122,$T108)="","—",INDEX(Calc!$AE$3:$AE$122,$T108)),"")</f>
        <v/>
      </c>
      <c r="N108" s="15">
        <f>IF(AND(ISNUMBER($T108),$T108&lt;&gt;""),IF(INDEX(Calc!$AF$3:$AF$122,$T108)="","—",INDEX(Calc!$AF$3:$AF$122,$T108)),"")</f>
        <v/>
      </c>
      <c r="O108" s="15">
        <f>IF(AND(ISNUMBER($T108),$T108&lt;&gt;""),IF(INDEX(Calc!$AG$3:$AG$122,$T108)="","—",INDEX(Calc!$AG$3:$AG$122,$T108)),"")</f>
        <v/>
      </c>
      <c r="P108" s="16">
        <f>IF(AND(ISNUMBER($T108),$T108&lt;&gt;""),IF(INDEX(Calc!$AJ$3:$AJ$122,$T108)="","—",INDEX(Calc!$AJ$3:$AJ$122,$T108)),"")</f>
        <v/>
      </c>
      <c r="Q108" s="16">
        <f>IF(AND(ISNUMBER($T108),$T108&lt;&gt;""),IF(INDEX(Calc!$AK$3:$AK$122,$T108)="","—",INDEX(Calc!$AK$3:$AK$122,$T108)),"")</f>
        <v/>
      </c>
      <c r="R108" s="15">
        <f>IF(AND(ISNUMBER($T108),$T108&lt;&gt;""),IF(INDEX(Calc!$AL$3:$AL$122,$T108)="","—",INDEX(Calc!$AL$3:$AL$122,$T108)),"")</f>
        <v/>
      </c>
      <c r="T108">
        <f>IFERROR(MATCH(104,Calc!$AN$3:$AN$122,0),"")</f>
        <v/>
      </c>
    </row>
    <row r="109">
      <c r="A109" s="19">
        <f>IF(AND(ISNUMBER($T109),$T109&lt;&gt;""),INDEX(Calc!$S$3:$S$122,$T109),"")</f>
        <v/>
      </c>
      <c r="B109" s="20">
        <f>IF(AND(ISNUMBER($T109),$T109&lt;&gt;""),IF(INDEX(Calc!$T$3:$T$122,$T109)="","—",INDEX(Calc!$T$3:$T$122,$T109)),"")</f>
        <v/>
      </c>
      <c r="C109" s="20">
        <f>IF(AND(ISNUMBER($T109),$T109&lt;&gt;""),IF(INDEX(Calc!$U$3:$U$122,$T109)="","—",INDEX(Calc!$U$3:$U$122,$T109)),"")</f>
        <v/>
      </c>
      <c r="D109" s="20">
        <f>IF(AND(ISNUMBER($T109),$T109&lt;&gt;""),IF(INDEX(Calc!$V$3:$V$122,$T109)="","—",INDEX(Calc!$V$3:$V$122,$T109)),"")</f>
        <v/>
      </c>
      <c r="E109" s="20">
        <f>IF(AND(ISNUMBER($T109),$T109&lt;&gt;""),IF(INDEX(Calc!$W$3:$W$122,$T109)="","—",INDEX(Calc!$W$3:$W$122,$T109)),"")</f>
        <v/>
      </c>
      <c r="F109" s="20">
        <f>IF(AND(ISNUMBER($T109),$T109&lt;&gt;""),IF(INDEX(Calc!$X$3:$X$122,$T109)="","—",INDEX(Calc!$X$3:$X$122,$T109)),"")</f>
        <v/>
      </c>
      <c r="G109" s="20">
        <f>IF(AND(ISNUMBER($T109),$T109&lt;&gt;""),IF(INDEX(Calc!$Y$3:$Y$122,$T109)="","—",INDEX(Calc!$Y$3:$Y$122,$T109)),"")</f>
        <v/>
      </c>
      <c r="H109" s="20">
        <f>IF(AND(ISNUMBER($T109),$T109&lt;&gt;""),IF(INDEX(Calc!$Z$3:$Z$122,$T109)="","—",INDEX(Calc!$Z$3:$Z$122,$T109)),"")</f>
        <v/>
      </c>
      <c r="I109" s="20">
        <f>IF(AND(ISNUMBER($T109),$T109&lt;&gt;""),IF(INDEX(Calc!$AA$3:$AA$122,$T109)="","—",INDEX(Calc!$AA$3:$AA$122,$T109)),"")</f>
        <v/>
      </c>
      <c r="J109" s="20">
        <f>IF(AND(ISNUMBER($T109),$T109&lt;&gt;""),IF(INDEX(Calc!$AB$3:$AB$122,$T109)="","—",INDEX(Calc!$AB$3:$AB$122,$T109)),"")</f>
        <v/>
      </c>
      <c r="K109" s="20">
        <f>IF(AND(ISNUMBER($T109),$T109&lt;&gt;""),IF(INDEX(Calc!$AC$3:$AC$122,$T109)="","—",INDEX(Calc!$AC$3:$AC$122,$T109)),"")</f>
        <v/>
      </c>
      <c r="L109" s="20">
        <f>IF(AND(ISNUMBER($T109),$T109&lt;&gt;""),IF(INDEX(Calc!$AD$3:$AD$122,$T109)="","—",INDEX(Calc!$AD$3:$AD$122,$T109)),"")</f>
        <v/>
      </c>
      <c r="M109" s="20">
        <f>IF(AND(ISNUMBER($T109),$T109&lt;&gt;""),IF(INDEX(Calc!$AE$3:$AE$122,$T109)="","—",INDEX(Calc!$AE$3:$AE$122,$T109)),"")</f>
        <v/>
      </c>
      <c r="N109" s="20">
        <f>IF(AND(ISNUMBER($T109),$T109&lt;&gt;""),IF(INDEX(Calc!$AF$3:$AF$122,$T109)="","—",INDEX(Calc!$AF$3:$AF$122,$T109)),"")</f>
        <v/>
      </c>
      <c r="O109" s="20">
        <f>IF(AND(ISNUMBER($T109),$T109&lt;&gt;""),IF(INDEX(Calc!$AG$3:$AG$122,$T109)="","—",INDEX(Calc!$AG$3:$AG$122,$T109)),"")</f>
        <v/>
      </c>
      <c r="P109" s="21">
        <f>IF(AND(ISNUMBER($T109),$T109&lt;&gt;""),IF(INDEX(Calc!$AJ$3:$AJ$122,$T109)="","—",INDEX(Calc!$AJ$3:$AJ$122,$T109)),"")</f>
        <v/>
      </c>
      <c r="Q109" s="21">
        <f>IF(AND(ISNUMBER($T109),$T109&lt;&gt;""),IF(INDEX(Calc!$AK$3:$AK$122,$T109)="","—",INDEX(Calc!$AK$3:$AK$122,$T109)),"")</f>
        <v/>
      </c>
      <c r="R109" s="20">
        <f>IF(AND(ISNUMBER($T109),$T109&lt;&gt;""),IF(INDEX(Calc!$AL$3:$AL$122,$T109)="","—",INDEX(Calc!$AL$3:$AL$122,$T109)),"")</f>
        <v/>
      </c>
      <c r="T109">
        <f>IFERROR(MATCH(105,Calc!$AN$3:$AN$122,0),"")</f>
        <v/>
      </c>
    </row>
    <row r="110">
      <c r="A110" s="14">
        <f>IF(AND(ISNUMBER($T110),$T110&lt;&gt;""),INDEX(Calc!$S$3:$S$122,$T110),"")</f>
        <v/>
      </c>
      <c r="B110" s="15">
        <f>IF(AND(ISNUMBER($T110),$T110&lt;&gt;""),IF(INDEX(Calc!$T$3:$T$122,$T110)="","—",INDEX(Calc!$T$3:$T$122,$T110)),"")</f>
        <v/>
      </c>
      <c r="C110" s="15">
        <f>IF(AND(ISNUMBER($T110),$T110&lt;&gt;""),IF(INDEX(Calc!$U$3:$U$122,$T110)="","—",INDEX(Calc!$U$3:$U$122,$T110)),"")</f>
        <v/>
      </c>
      <c r="D110" s="15">
        <f>IF(AND(ISNUMBER($T110),$T110&lt;&gt;""),IF(INDEX(Calc!$V$3:$V$122,$T110)="","—",INDEX(Calc!$V$3:$V$122,$T110)),"")</f>
        <v/>
      </c>
      <c r="E110" s="15">
        <f>IF(AND(ISNUMBER($T110),$T110&lt;&gt;""),IF(INDEX(Calc!$W$3:$W$122,$T110)="","—",INDEX(Calc!$W$3:$W$122,$T110)),"")</f>
        <v/>
      </c>
      <c r="F110" s="15">
        <f>IF(AND(ISNUMBER($T110),$T110&lt;&gt;""),IF(INDEX(Calc!$X$3:$X$122,$T110)="","—",INDEX(Calc!$X$3:$X$122,$T110)),"")</f>
        <v/>
      </c>
      <c r="G110" s="15">
        <f>IF(AND(ISNUMBER($T110),$T110&lt;&gt;""),IF(INDEX(Calc!$Y$3:$Y$122,$T110)="","—",INDEX(Calc!$Y$3:$Y$122,$T110)),"")</f>
        <v/>
      </c>
      <c r="H110" s="15">
        <f>IF(AND(ISNUMBER($T110),$T110&lt;&gt;""),IF(INDEX(Calc!$Z$3:$Z$122,$T110)="","—",INDEX(Calc!$Z$3:$Z$122,$T110)),"")</f>
        <v/>
      </c>
      <c r="I110" s="15">
        <f>IF(AND(ISNUMBER($T110),$T110&lt;&gt;""),IF(INDEX(Calc!$AA$3:$AA$122,$T110)="","—",INDEX(Calc!$AA$3:$AA$122,$T110)),"")</f>
        <v/>
      </c>
      <c r="J110" s="15">
        <f>IF(AND(ISNUMBER($T110),$T110&lt;&gt;""),IF(INDEX(Calc!$AB$3:$AB$122,$T110)="","—",INDEX(Calc!$AB$3:$AB$122,$T110)),"")</f>
        <v/>
      </c>
      <c r="K110" s="15">
        <f>IF(AND(ISNUMBER($T110),$T110&lt;&gt;""),IF(INDEX(Calc!$AC$3:$AC$122,$T110)="","—",INDEX(Calc!$AC$3:$AC$122,$T110)),"")</f>
        <v/>
      </c>
      <c r="L110" s="15">
        <f>IF(AND(ISNUMBER($T110),$T110&lt;&gt;""),IF(INDEX(Calc!$AD$3:$AD$122,$T110)="","—",INDEX(Calc!$AD$3:$AD$122,$T110)),"")</f>
        <v/>
      </c>
      <c r="M110" s="15">
        <f>IF(AND(ISNUMBER($T110),$T110&lt;&gt;""),IF(INDEX(Calc!$AE$3:$AE$122,$T110)="","—",INDEX(Calc!$AE$3:$AE$122,$T110)),"")</f>
        <v/>
      </c>
      <c r="N110" s="15">
        <f>IF(AND(ISNUMBER($T110),$T110&lt;&gt;""),IF(INDEX(Calc!$AF$3:$AF$122,$T110)="","—",INDEX(Calc!$AF$3:$AF$122,$T110)),"")</f>
        <v/>
      </c>
      <c r="O110" s="15">
        <f>IF(AND(ISNUMBER($T110),$T110&lt;&gt;""),IF(INDEX(Calc!$AG$3:$AG$122,$T110)="","—",INDEX(Calc!$AG$3:$AG$122,$T110)),"")</f>
        <v/>
      </c>
      <c r="P110" s="16">
        <f>IF(AND(ISNUMBER($T110),$T110&lt;&gt;""),IF(INDEX(Calc!$AJ$3:$AJ$122,$T110)="","—",INDEX(Calc!$AJ$3:$AJ$122,$T110)),"")</f>
        <v/>
      </c>
      <c r="Q110" s="16">
        <f>IF(AND(ISNUMBER($T110),$T110&lt;&gt;""),IF(INDEX(Calc!$AK$3:$AK$122,$T110)="","—",INDEX(Calc!$AK$3:$AK$122,$T110)),"")</f>
        <v/>
      </c>
      <c r="R110" s="15">
        <f>IF(AND(ISNUMBER($T110),$T110&lt;&gt;""),IF(INDEX(Calc!$AL$3:$AL$122,$T110)="","—",INDEX(Calc!$AL$3:$AL$122,$T110)),"")</f>
        <v/>
      </c>
      <c r="T110">
        <f>IFERROR(MATCH(106,Calc!$AN$3:$AN$122,0),"")</f>
        <v/>
      </c>
    </row>
    <row r="111">
      <c r="A111" s="19">
        <f>IF(AND(ISNUMBER($T111),$T111&lt;&gt;""),INDEX(Calc!$S$3:$S$122,$T111),"")</f>
        <v/>
      </c>
      <c r="B111" s="20">
        <f>IF(AND(ISNUMBER($T111),$T111&lt;&gt;""),IF(INDEX(Calc!$T$3:$T$122,$T111)="","—",INDEX(Calc!$T$3:$T$122,$T111)),"")</f>
        <v/>
      </c>
      <c r="C111" s="20">
        <f>IF(AND(ISNUMBER($T111),$T111&lt;&gt;""),IF(INDEX(Calc!$U$3:$U$122,$T111)="","—",INDEX(Calc!$U$3:$U$122,$T111)),"")</f>
        <v/>
      </c>
      <c r="D111" s="20">
        <f>IF(AND(ISNUMBER($T111),$T111&lt;&gt;""),IF(INDEX(Calc!$V$3:$V$122,$T111)="","—",INDEX(Calc!$V$3:$V$122,$T111)),"")</f>
        <v/>
      </c>
      <c r="E111" s="20">
        <f>IF(AND(ISNUMBER($T111),$T111&lt;&gt;""),IF(INDEX(Calc!$W$3:$W$122,$T111)="","—",INDEX(Calc!$W$3:$W$122,$T111)),"")</f>
        <v/>
      </c>
      <c r="F111" s="20">
        <f>IF(AND(ISNUMBER($T111),$T111&lt;&gt;""),IF(INDEX(Calc!$X$3:$X$122,$T111)="","—",INDEX(Calc!$X$3:$X$122,$T111)),"")</f>
        <v/>
      </c>
      <c r="G111" s="20">
        <f>IF(AND(ISNUMBER($T111),$T111&lt;&gt;""),IF(INDEX(Calc!$Y$3:$Y$122,$T111)="","—",INDEX(Calc!$Y$3:$Y$122,$T111)),"")</f>
        <v/>
      </c>
      <c r="H111" s="20">
        <f>IF(AND(ISNUMBER($T111),$T111&lt;&gt;""),IF(INDEX(Calc!$Z$3:$Z$122,$T111)="","—",INDEX(Calc!$Z$3:$Z$122,$T111)),"")</f>
        <v/>
      </c>
      <c r="I111" s="20">
        <f>IF(AND(ISNUMBER($T111),$T111&lt;&gt;""),IF(INDEX(Calc!$AA$3:$AA$122,$T111)="","—",INDEX(Calc!$AA$3:$AA$122,$T111)),"")</f>
        <v/>
      </c>
      <c r="J111" s="20">
        <f>IF(AND(ISNUMBER($T111),$T111&lt;&gt;""),IF(INDEX(Calc!$AB$3:$AB$122,$T111)="","—",INDEX(Calc!$AB$3:$AB$122,$T111)),"")</f>
        <v/>
      </c>
      <c r="K111" s="20">
        <f>IF(AND(ISNUMBER($T111),$T111&lt;&gt;""),IF(INDEX(Calc!$AC$3:$AC$122,$T111)="","—",INDEX(Calc!$AC$3:$AC$122,$T111)),"")</f>
        <v/>
      </c>
      <c r="L111" s="20">
        <f>IF(AND(ISNUMBER($T111),$T111&lt;&gt;""),IF(INDEX(Calc!$AD$3:$AD$122,$T111)="","—",INDEX(Calc!$AD$3:$AD$122,$T111)),"")</f>
        <v/>
      </c>
      <c r="M111" s="20">
        <f>IF(AND(ISNUMBER($T111),$T111&lt;&gt;""),IF(INDEX(Calc!$AE$3:$AE$122,$T111)="","—",INDEX(Calc!$AE$3:$AE$122,$T111)),"")</f>
        <v/>
      </c>
      <c r="N111" s="20">
        <f>IF(AND(ISNUMBER($T111),$T111&lt;&gt;""),IF(INDEX(Calc!$AF$3:$AF$122,$T111)="","—",INDEX(Calc!$AF$3:$AF$122,$T111)),"")</f>
        <v/>
      </c>
      <c r="O111" s="20">
        <f>IF(AND(ISNUMBER($T111),$T111&lt;&gt;""),IF(INDEX(Calc!$AG$3:$AG$122,$T111)="","—",INDEX(Calc!$AG$3:$AG$122,$T111)),"")</f>
        <v/>
      </c>
      <c r="P111" s="21">
        <f>IF(AND(ISNUMBER($T111),$T111&lt;&gt;""),IF(INDEX(Calc!$AJ$3:$AJ$122,$T111)="","—",INDEX(Calc!$AJ$3:$AJ$122,$T111)),"")</f>
        <v/>
      </c>
      <c r="Q111" s="21">
        <f>IF(AND(ISNUMBER($T111),$T111&lt;&gt;""),IF(INDEX(Calc!$AK$3:$AK$122,$T111)="","—",INDEX(Calc!$AK$3:$AK$122,$T111)),"")</f>
        <v/>
      </c>
      <c r="R111" s="20">
        <f>IF(AND(ISNUMBER($T111),$T111&lt;&gt;""),IF(INDEX(Calc!$AL$3:$AL$122,$T111)="","—",INDEX(Calc!$AL$3:$AL$122,$T111)),"")</f>
        <v/>
      </c>
      <c r="T111">
        <f>IFERROR(MATCH(107,Calc!$AN$3:$AN$122,0),"")</f>
        <v/>
      </c>
    </row>
    <row r="112">
      <c r="A112" s="14">
        <f>IF(AND(ISNUMBER($T112),$T112&lt;&gt;""),INDEX(Calc!$S$3:$S$122,$T112),"")</f>
        <v/>
      </c>
      <c r="B112" s="15">
        <f>IF(AND(ISNUMBER($T112),$T112&lt;&gt;""),IF(INDEX(Calc!$T$3:$T$122,$T112)="","—",INDEX(Calc!$T$3:$T$122,$T112)),"")</f>
        <v/>
      </c>
      <c r="C112" s="15">
        <f>IF(AND(ISNUMBER($T112),$T112&lt;&gt;""),IF(INDEX(Calc!$U$3:$U$122,$T112)="","—",INDEX(Calc!$U$3:$U$122,$T112)),"")</f>
        <v/>
      </c>
      <c r="D112" s="15">
        <f>IF(AND(ISNUMBER($T112),$T112&lt;&gt;""),IF(INDEX(Calc!$V$3:$V$122,$T112)="","—",INDEX(Calc!$V$3:$V$122,$T112)),"")</f>
        <v/>
      </c>
      <c r="E112" s="15">
        <f>IF(AND(ISNUMBER($T112),$T112&lt;&gt;""),IF(INDEX(Calc!$W$3:$W$122,$T112)="","—",INDEX(Calc!$W$3:$W$122,$T112)),"")</f>
        <v/>
      </c>
      <c r="F112" s="15">
        <f>IF(AND(ISNUMBER($T112),$T112&lt;&gt;""),IF(INDEX(Calc!$X$3:$X$122,$T112)="","—",INDEX(Calc!$X$3:$X$122,$T112)),"")</f>
        <v/>
      </c>
      <c r="G112" s="15">
        <f>IF(AND(ISNUMBER($T112),$T112&lt;&gt;""),IF(INDEX(Calc!$Y$3:$Y$122,$T112)="","—",INDEX(Calc!$Y$3:$Y$122,$T112)),"")</f>
        <v/>
      </c>
      <c r="H112" s="15">
        <f>IF(AND(ISNUMBER($T112),$T112&lt;&gt;""),IF(INDEX(Calc!$Z$3:$Z$122,$T112)="","—",INDEX(Calc!$Z$3:$Z$122,$T112)),"")</f>
        <v/>
      </c>
      <c r="I112" s="15">
        <f>IF(AND(ISNUMBER($T112),$T112&lt;&gt;""),IF(INDEX(Calc!$AA$3:$AA$122,$T112)="","—",INDEX(Calc!$AA$3:$AA$122,$T112)),"")</f>
        <v/>
      </c>
      <c r="J112" s="15">
        <f>IF(AND(ISNUMBER($T112),$T112&lt;&gt;""),IF(INDEX(Calc!$AB$3:$AB$122,$T112)="","—",INDEX(Calc!$AB$3:$AB$122,$T112)),"")</f>
        <v/>
      </c>
      <c r="K112" s="15">
        <f>IF(AND(ISNUMBER($T112),$T112&lt;&gt;""),IF(INDEX(Calc!$AC$3:$AC$122,$T112)="","—",INDEX(Calc!$AC$3:$AC$122,$T112)),"")</f>
        <v/>
      </c>
      <c r="L112" s="15">
        <f>IF(AND(ISNUMBER($T112),$T112&lt;&gt;""),IF(INDEX(Calc!$AD$3:$AD$122,$T112)="","—",INDEX(Calc!$AD$3:$AD$122,$T112)),"")</f>
        <v/>
      </c>
      <c r="M112" s="15">
        <f>IF(AND(ISNUMBER($T112),$T112&lt;&gt;""),IF(INDEX(Calc!$AE$3:$AE$122,$T112)="","—",INDEX(Calc!$AE$3:$AE$122,$T112)),"")</f>
        <v/>
      </c>
      <c r="N112" s="15">
        <f>IF(AND(ISNUMBER($T112),$T112&lt;&gt;""),IF(INDEX(Calc!$AF$3:$AF$122,$T112)="","—",INDEX(Calc!$AF$3:$AF$122,$T112)),"")</f>
        <v/>
      </c>
      <c r="O112" s="15">
        <f>IF(AND(ISNUMBER($T112),$T112&lt;&gt;""),IF(INDEX(Calc!$AG$3:$AG$122,$T112)="","—",INDEX(Calc!$AG$3:$AG$122,$T112)),"")</f>
        <v/>
      </c>
      <c r="P112" s="16">
        <f>IF(AND(ISNUMBER($T112),$T112&lt;&gt;""),IF(INDEX(Calc!$AJ$3:$AJ$122,$T112)="","—",INDEX(Calc!$AJ$3:$AJ$122,$T112)),"")</f>
        <v/>
      </c>
      <c r="Q112" s="16">
        <f>IF(AND(ISNUMBER($T112),$T112&lt;&gt;""),IF(INDEX(Calc!$AK$3:$AK$122,$T112)="","—",INDEX(Calc!$AK$3:$AK$122,$T112)),"")</f>
        <v/>
      </c>
      <c r="R112" s="15">
        <f>IF(AND(ISNUMBER($T112),$T112&lt;&gt;""),IF(INDEX(Calc!$AL$3:$AL$122,$T112)="","—",INDEX(Calc!$AL$3:$AL$122,$T112)),"")</f>
        <v/>
      </c>
      <c r="T112">
        <f>IFERROR(MATCH(108,Calc!$AN$3:$AN$122,0),"")</f>
        <v/>
      </c>
    </row>
    <row r="113">
      <c r="A113" s="19">
        <f>IF(AND(ISNUMBER($T113),$T113&lt;&gt;""),INDEX(Calc!$S$3:$S$122,$T113),"")</f>
        <v/>
      </c>
      <c r="B113" s="20">
        <f>IF(AND(ISNUMBER($T113),$T113&lt;&gt;""),IF(INDEX(Calc!$T$3:$T$122,$T113)="","—",INDEX(Calc!$T$3:$T$122,$T113)),"")</f>
        <v/>
      </c>
      <c r="C113" s="20">
        <f>IF(AND(ISNUMBER($T113),$T113&lt;&gt;""),IF(INDEX(Calc!$U$3:$U$122,$T113)="","—",INDEX(Calc!$U$3:$U$122,$T113)),"")</f>
        <v/>
      </c>
      <c r="D113" s="20">
        <f>IF(AND(ISNUMBER($T113),$T113&lt;&gt;""),IF(INDEX(Calc!$V$3:$V$122,$T113)="","—",INDEX(Calc!$V$3:$V$122,$T113)),"")</f>
        <v/>
      </c>
      <c r="E113" s="20">
        <f>IF(AND(ISNUMBER($T113),$T113&lt;&gt;""),IF(INDEX(Calc!$W$3:$W$122,$T113)="","—",INDEX(Calc!$W$3:$W$122,$T113)),"")</f>
        <v/>
      </c>
      <c r="F113" s="20">
        <f>IF(AND(ISNUMBER($T113),$T113&lt;&gt;""),IF(INDEX(Calc!$X$3:$X$122,$T113)="","—",INDEX(Calc!$X$3:$X$122,$T113)),"")</f>
        <v/>
      </c>
      <c r="G113" s="20">
        <f>IF(AND(ISNUMBER($T113),$T113&lt;&gt;""),IF(INDEX(Calc!$Y$3:$Y$122,$T113)="","—",INDEX(Calc!$Y$3:$Y$122,$T113)),"")</f>
        <v/>
      </c>
      <c r="H113" s="20">
        <f>IF(AND(ISNUMBER($T113),$T113&lt;&gt;""),IF(INDEX(Calc!$Z$3:$Z$122,$T113)="","—",INDEX(Calc!$Z$3:$Z$122,$T113)),"")</f>
        <v/>
      </c>
      <c r="I113" s="20">
        <f>IF(AND(ISNUMBER($T113),$T113&lt;&gt;""),IF(INDEX(Calc!$AA$3:$AA$122,$T113)="","—",INDEX(Calc!$AA$3:$AA$122,$T113)),"")</f>
        <v/>
      </c>
      <c r="J113" s="20">
        <f>IF(AND(ISNUMBER($T113),$T113&lt;&gt;""),IF(INDEX(Calc!$AB$3:$AB$122,$T113)="","—",INDEX(Calc!$AB$3:$AB$122,$T113)),"")</f>
        <v/>
      </c>
      <c r="K113" s="20">
        <f>IF(AND(ISNUMBER($T113),$T113&lt;&gt;""),IF(INDEX(Calc!$AC$3:$AC$122,$T113)="","—",INDEX(Calc!$AC$3:$AC$122,$T113)),"")</f>
        <v/>
      </c>
      <c r="L113" s="20">
        <f>IF(AND(ISNUMBER($T113),$T113&lt;&gt;""),IF(INDEX(Calc!$AD$3:$AD$122,$T113)="","—",INDEX(Calc!$AD$3:$AD$122,$T113)),"")</f>
        <v/>
      </c>
      <c r="M113" s="20">
        <f>IF(AND(ISNUMBER($T113),$T113&lt;&gt;""),IF(INDEX(Calc!$AE$3:$AE$122,$T113)="","—",INDEX(Calc!$AE$3:$AE$122,$T113)),"")</f>
        <v/>
      </c>
      <c r="N113" s="20">
        <f>IF(AND(ISNUMBER($T113),$T113&lt;&gt;""),IF(INDEX(Calc!$AF$3:$AF$122,$T113)="","—",INDEX(Calc!$AF$3:$AF$122,$T113)),"")</f>
        <v/>
      </c>
      <c r="O113" s="20">
        <f>IF(AND(ISNUMBER($T113),$T113&lt;&gt;""),IF(INDEX(Calc!$AG$3:$AG$122,$T113)="","—",INDEX(Calc!$AG$3:$AG$122,$T113)),"")</f>
        <v/>
      </c>
      <c r="P113" s="21">
        <f>IF(AND(ISNUMBER($T113),$T113&lt;&gt;""),IF(INDEX(Calc!$AJ$3:$AJ$122,$T113)="","—",INDEX(Calc!$AJ$3:$AJ$122,$T113)),"")</f>
        <v/>
      </c>
      <c r="Q113" s="21">
        <f>IF(AND(ISNUMBER($T113),$T113&lt;&gt;""),IF(INDEX(Calc!$AK$3:$AK$122,$T113)="","—",INDEX(Calc!$AK$3:$AK$122,$T113)),"")</f>
        <v/>
      </c>
      <c r="R113" s="20">
        <f>IF(AND(ISNUMBER($T113),$T113&lt;&gt;""),IF(INDEX(Calc!$AL$3:$AL$122,$T113)="","—",INDEX(Calc!$AL$3:$AL$122,$T113)),"")</f>
        <v/>
      </c>
      <c r="T113">
        <f>IFERROR(MATCH(109,Calc!$AN$3:$AN$122,0),"")</f>
        <v/>
      </c>
    </row>
    <row r="114">
      <c r="A114" s="14">
        <f>IF(AND(ISNUMBER($T114),$T114&lt;&gt;""),INDEX(Calc!$S$3:$S$122,$T114),"")</f>
        <v/>
      </c>
      <c r="B114" s="15">
        <f>IF(AND(ISNUMBER($T114),$T114&lt;&gt;""),IF(INDEX(Calc!$T$3:$T$122,$T114)="","—",INDEX(Calc!$T$3:$T$122,$T114)),"")</f>
        <v/>
      </c>
      <c r="C114" s="15">
        <f>IF(AND(ISNUMBER($T114),$T114&lt;&gt;""),IF(INDEX(Calc!$U$3:$U$122,$T114)="","—",INDEX(Calc!$U$3:$U$122,$T114)),"")</f>
        <v/>
      </c>
      <c r="D114" s="15">
        <f>IF(AND(ISNUMBER($T114),$T114&lt;&gt;""),IF(INDEX(Calc!$V$3:$V$122,$T114)="","—",INDEX(Calc!$V$3:$V$122,$T114)),"")</f>
        <v/>
      </c>
      <c r="E114" s="15">
        <f>IF(AND(ISNUMBER($T114),$T114&lt;&gt;""),IF(INDEX(Calc!$W$3:$W$122,$T114)="","—",INDEX(Calc!$W$3:$W$122,$T114)),"")</f>
        <v/>
      </c>
      <c r="F114" s="15">
        <f>IF(AND(ISNUMBER($T114),$T114&lt;&gt;""),IF(INDEX(Calc!$X$3:$X$122,$T114)="","—",INDEX(Calc!$X$3:$X$122,$T114)),"")</f>
        <v/>
      </c>
      <c r="G114" s="15">
        <f>IF(AND(ISNUMBER($T114),$T114&lt;&gt;""),IF(INDEX(Calc!$Y$3:$Y$122,$T114)="","—",INDEX(Calc!$Y$3:$Y$122,$T114)),"")</f>
        <v/>
      </c>
      <c r="H114" s="15">
        <f>IF(AND(ISNUMBER($T114),$T114&lt;&gt;""),IF(INDEX(Calc!$Z$3:$Z$122,$T114)="","—",INDEX(Calc!$Z$3:$Z$122,$T114)),"")</f>
        <v/>
      </c>
      <c r="I114" s="15">
        <f>IF(AND(ISNUMBER($T114),$T114&lt;&gt;""),IF(INDEX(Calc!$AA$3:$AA$122,$T114)="","—",INDEX(Calc!$AA$3:$AA$122,$T114)),"")</f>
        <v/>
      </c>
      <c r="J114" s="15">
        <f>IF(AND(ISNUMBER($T114),$T114&lt;&gt;""),IF(INDEX(Calc!$AB$3:$AB$122,$T114)="","—",INDEX(Calc!$AB$3:$AB$122,$T114)),"")</f>
        <v/>
      </c>
      <c r="K114" s="15">
        <f>IF(AND(ISNUMBER($T114),$T114&lt;&gt;""),IF(INDEX(Calc!$AC$3:$AC$122,$T114)="","—",INDEX(Calc!$AC$3:$AC$122,$T114)),"")</f>
        <v/>
      </c>
      <c r="L114" s="15">
        <f>IF(AND(ISNUMBER($T114),$T114&lt;&gt;""),IF(INDEX(Calc!$AD$3:$AD$122,$T114)="","—",INDEX(Calc!$AD$3:$AD$122,$T114)),"")</f>
        <v/>
      </c>
      <c r="M114" s="15">
        <f>IF(AND(ISNUMBER($T114),$T114&lt;&gt;""),IF(INDEX(Calc!$AE$3:$AE$122,$T114)="","—",INDEX(Calc!$AE$3:$AE$122,$T114)),"")</f>
        <v/>
      </c>
      <c r="N114" s="15">
        <f>IF(AND(ISNUMBER($T114),$T114&lt;&gt;""),IF(INDEX(Calc!$AF$3:$AF$122,$T114)="","—",INDEX(Calc!$AF$3:$AF$122,$T114)),"")</f>
        <v/>
      </c>
      <c r="O114" s="15">
        <f>IF(AND(ISNUMBER($T114),$T114&lt;&gt;""),IF(INDEX(Calc!$AG$3:$AG$122,$T114)="","—",INDEX(Calc!$AG$3:$AG$122,$T114)),"")</f>
        <v/>
      </c>
      <c r="P114" s="16">
        <f>IF(AND(ISNUMBER($T114),$T114&lt;&gt;""),IF(INDEX(Calc!$AJ$3:$AJ$122,$T114)="","—",INDEX(Calc!$AJ$3:$AJ$122,$T114)),"")</f>
        <v/>
      </c>
      <c r="Q114" s="16">
        <f>IF(AND(ISNUMBER($T114),$T114&lt;&gt;""),IF(INDEX(Calc!$AK$3:$AK$122,$T114)="","—",INDEX(Calc!$AK$3:$AK$122,$T114)),"")</f>
        <v/>
      </c>
      <c r="R114" s="15">
        <f>IF(AND(ISNUMBER($T114),$T114&lt;&gt;""),IF(INDEX(Calc!$AL$3:$AL$122,$T114)="","—",INDEX(Calc!$AL$3:$AL$122,$T114)),"")</f>
        <v/>
      </c>
      <c r="T114">
        <f>IFERROR(MATCH(110,Calc!$AN$3:$AN$122,0),"")</f>
        <v/>
      </c>
    </row>
    <row r="115">
      <c r="A115" s="19">
        <f>IF(AND(ISNUMBER($T115),$T115&lt;&gt;""),INDEX(Calc!$S$3:$S$122,$T115),"")</f>
        <v/>
      </c>
      <c r="B115" s="20">
        <f>IF(AND(ISNUMBER($T115),$T115&lt;&gt;""),IF(INDEX(Calc!$T$3:$T$122,$T115)="","—",INDEX(Calc!$T$3:$T$122,$T115)),"")</f>
        <v/>
      </c>
      <c r="C115" s="20">
        <f>IF(AND(ISNUMBER($T115),$T115&lt;&gt;""),IF(INDEX(Calc!$U$3:$U$122,$T115)="","—",INDEX(Calc!$U$3:$U$122,$T115)),"")</f>
        <v/>
      </c>
      <c r="D115" s="20">
        <f>IF(AND(ISNUMBER($T115),$T115&lt;&gt;""),IF(INDEX(Calc!$V$3:$V$122,$T115)="","—",INDEX(Calc!$V$3:$V$122,$T115)),"")</f>
        <v/>
      </c>
      <c r="E115" s="20">
        <f>IF(AND(ISNUMBER($T115),$T115&lt;&gt;""),IF(INDEX(Calc!$W$3:$W$122,$T115)="","—",INDEX(Calc!$W$3:$W$122,$T115)),"")</f>
        <v/>
      </c>
      <c r="F115" s="20">
        <f>IF(AND(ISNUMBER($T115),$T115&lt;&gt;""),IF(INDEX(Calc!$X$3:$X$122,$T115)="","—",INDEX(Calc!$X$3:$X$122,$T115)),"")</f>
        <v/>
      </c>
      <c r="G115" s="20">
        <f>IF(AND(ISNUMBER($T115),$T115&lt;&gt;""),IF(INDEX(Calc!$Y$3:$Y$122,$T115)="","—",INDEX(Calc!$Y$3:$Y$122,$T115)),"")</f>
        <v/>
      </c>
      <c r="H115" s="20">
        <f>IF(AND(ISNUMBER($T115),$T115&lt;&gt;""),IF(INDEX(Calc!$Z$3:$Z$122,$T115)="","—",INDEX(Calc!$Z$3:$Z$122,$T115)),"")</f>
        <v/>
      </c>
      <c r="I115" s="20">
        <f>IF(AND(ISNUMBER($T115),$T115&lt;&gt;""),IF(INDEX(Calc!$AA$3:$AA$122,$T115)="","—",INDEX(Calc!$AA$3:$AA$122,$T115)),"")</f>
        <v/>
      </c>
      <c r="J115" s="20">
        <f>IF(AND(ISNUMBER($T115),$T115&lt;&gt;""),IF(INDEX(Calc!$AB$3:$AB$122,$T115)="","—",INDEX(Calc!$AB$3:$AB$122,$T115)),"")</f>
        <v/>
      </c>
      <c r="K115" s="20">
        <f>IF(AND(ISNUMBER($T115),$T115&lt;&gt;""),IF(INDEX(Calc!$AC$3:$AC$122,$T115)="","—",INDEX(Calc!$AC$3:$AC$122,$T115)),"")</f>
        <v/>
      </c>
      <c r="L115" s="20">
        <f>IF(AND(ISNUMBER($T115),$T115&lt;&gt;""),IF(INDEX(Calc!$AD$3:$AD$122,$T115)="","—",INDEX(Calc!$AD$3:$AD$122,$T115)),"")</f>
        <v/>
      </c>
      <c r="M115" s="20">
        <f>IF(AND(ISNUMBER($T115),$T115&lt;&gt;""),IF(INDEX(Calc!$AE$3:$AE$122,$T115)="","—",INDEX(Calc!$AE$3:$AE$122,$T115)),"")</f>
        <v/>
      </c>
      <c r="N115" s="20">
        <f>IF(AND(ISNUMBER($T115),$T115&lt;&gt;""),IF(INDEX(Calc!$AF$3:$AF$122,$T115)="","—",INDEX(Calc!$AF$3:$AF$122,$T115)),"")</f>
        <v/>
      </c>
      <c r="O115" s="20">
        <f>IF(AND(ISNUMBER($T115),$T115&lt;&gt;""),IF(INDEX(Calc!$AG$3:$AG$122,$T115)="","—",INDEX(Calc!$AG$3:$AG$122,$T115)),"")</f>
        <v/>
      </c>
      <c r="P115" s="21">
        <f>IF(AND(ISNUMBER($T115),$T115&lt;&gt;""),IF(INDEX(Calc!$AJ$3:$AJ$122,$T115)="","—",INDEX(Calc!$AJ$3:$AJ$122,$T115)),"")</f>
        <v/>
      </c>
      <c r="Q115" s="21">
        <f>IF(AND(ISNUMBER($T115),$T115&lt;&gt;""),IF(INDEX(Calc!$AK$3:$AK$122,$T115)="","—",INDEX(Calc!$AK$3:$AK$122,$T115)),"")</f>
        <v/>
      </c>
      <c r="R115" s="20">
        <f>IF(AND(ISNUMBER($T115),$T115&lt;&gt;""),IF(INDEX(Calc!$AL$3:$AL$122,$T115)="","—",INDEX(Calc!$AL$3:$AL$122,$T115)),"")</f>
        <v/>
      </c>
      <c r="T115">
        <f>IFERROR(MATCH(111,Calc!$AN$3:$AN$122,0),"")</f>
        <v/>
      </c>
    </row>
    <row r="116">
      <c r="A116" s="14">
        <f>IF(AND(ISNUMBER($T116),$T116&lt;&gt;""),INDEX(Calc!$S$3:$S$122,$T116),"")</f>
        <v/>
      </c>
      <c r="B116" s="15">
        <f>IF(AND(ISNUMBER($T116),$T116&lt;&gt;""),IF(INDEX(Calc!$T$3:$T$122,$T116)="","—",INDEX(Calc!$T$3:$T$122,$T116)),"")</f>
        <v/>
      </c>
      <c r="C116" s="15">
        <f>IF(AND(ISNUMBER($T116),$T116&lt;&gt;""),IF(INDEX(Calc!$U$3:$U$122,$T116)="","—",INDEX(Calc!$U$3:$U$122,$T116)),"")</f>
        <v/>
      </c>
      <c r="D116" s="15">
        <f>IF(AND(ISNUMBER($T116),$T116&lt;&gt;""),IF(INDEX(Calc!$V$3:$V$122,$T116)="","—",INDEX(Calc!$V$3:$V$122,$T116)),"")</f>
        <v/>
      </c>
      <c r="E116" s="15">
        <f>IF(AND(ISNUMBER($T116),$T116&lt;&gt;""),IF(INDEX(Calc!$W$3:$W$122,$T116)="","—",INDEX(Calc!$W$3:$W$122,$T116)),"")</f>
        <v/>
      </c>
      <c r="F116" s="15">
        <f>IF(AND(ISNUMBER($T116),$T116&lt;&gt;""),IF(INDEX(Calc!$X$3:$X$122,$T116)="","—",INDEX(Calc!$X$3:$X$122,$T116)),"")</f>
        <v/>
      </c>
      <c r="G116" s="15">
        <f>IF(AND(ISNUMBER($T116),$T116&lt;&gt;""),IF(INDEX(Calc!$Y$3:$Y$122,$T116)="","—",INDEX(Calc!$Y$3:$Y$122,$T116)),"")</f>
        <v/>
      </c>
      <c r="H116" s="15">
        <f>IF(AND(ISNUMBER($T116),$T116&lt;&gt;""),IF(INDEX(Calc!$Z$3:$Z$122,$T116)="","—",INDEX(Calc!$Z$3:$Z$122,$T116)),"")</f>
        <v/>
      </c>
      <c r="I116" s="15">
        <f>IF(AND(ISNUMBER($T116),$T116&lt;&gt;""),IF(INDEX(Calc!$AA$3:$AA$122,$T116)="","—",INDEX(Calc!$AA$3:$AA$122,$T116)),"")</f>
        <v/>
      </c>
      <c r="J116" s="15">
        <f>IF(AND(ISNUMBER($T116),$T116&lt;&gt;""),IF(INDEX(Calc!$AB$3:$AB$122,$T116)="","—",INDEX(Calc!$AB$3:$AB$122,$T116)),"")</f>
        <v/>
      </c>
      <c r="K116" s="15">
        <f>IF(AND(ISNUMBER($T116),$T116&lt;&gt;""),IF(INDEX(Calc!$AC$3:$AC$122,$T116)="","—",INDEX(Calc!$AC$3:$AC$122,$T116)),"")</f>
        <v/>
      </c>
      <c r="L116" s="15">
        <f>IF(AND(ISNUMBER($T116),$T116&lt;&gt;""),IF(INDEX(Calc!$AD$3:$AD$122,$T116)="","—",INDEX(Calc!$AD$3:$AD$122,$T116)),"")</f>
        <v/>
      </c>
      <c r="M116" s="15">
        <f>IF(AND(ISNUMBER($T116),$T116&lt;&gt;""),IF(INDEX(Calc!$AE$3:$AE$122,$T116)="","—",INDEX(Calc!$AE$3:$AE$122,$T116)),"")</f>
        <v/>
      </c>
      <c r="N116" s="15">
        <f>IF(AND(ISNUMBER($T116),$T116&lt;&gt;""),IF(INDEX(Calc!$AF$3:$AF$122,$T116)="","—",INDEX(Calc!$AF$3:$AF$122,$T116)),"")</f>
        <v/>
      </c>
      <c r="O116" s="15">
        <f>IF(AND(ISNUMBER($T116),$T116&lt;&gt;""),IF(INDEX(Calc!$AG$3:$AG$122,$T116)="","—",INDEX(Calc!$AG$3:$AG$122,$T116)),"")</f>
        <v/>
      </c>
      <c r="P116" s="16">
        <f>IF(AND(ISNUMBER($T116),$T116&lt;&gt;""),IF(INDEX(Calc!$AJ$3:$AJ$122,$T116)="","—",INDEX(Calc!$AJ$3:$AJ$122,$T116)),"")</f>
        <v/>
      </c>
      <c r="Q116" s="16">
        <f>IF(AND(ISNUMBER($T116),$T116&lt;&gt;""),IF(INDEX(Calc!$AK$3:$AK$122,$T116)="","—",INDEX(Calc!$AK$3:$AK$122,$T116)),"")</f>
        <v/>
      </c>
      <c r="R116" s="15">
        <f>IF(AND(ISNUMBER($T116),$T116&lt;&gt;""),IF(INDEX(Calc!$AL$3:$AL$122,$T116)="","—",INDEX(Calc!$AL$3:$AL$122,$T116)),"")</f>
        <v/>
      </c>
      <c r="T116">
        <f>IFERROR(MATCH(112,Calc!$AN$3:$AN$122,0),"")</f>
        <v/>
      </c>
    </row>
    <row r="117">
      <c r="A117" s="19">
        <f>IF(AND(ISNUMBER($T117),$T117&lt;&gt;""),INDEX(Calc!$S$3:$S$122,$T117),"")</f>
        <v/>
      </c>
      <c r="B117" s="20">
        <f>IF(AND(ISNUMBER($T117),$T117&lt;&gt;""),IF(INDEX(Calc!$T$3:$T$122,$T117)="","—",INDEX(Calc!$T$3:$T$122,$T117)),"")</f>
        <v/>
      </c>
      <c r="C117" s="20">
        <f>IF(AND(ISNUMBER($T117),$T117&lt;&gt;""),IF(INDEX(Calc!$U$3:$U$122,$T117)="","—",INDEX(Calc!$U$3:$U$122,$T117)),"")</f>
        <v/>
      </c>
      <c r="D117" s="20">
        <f>IF(AND(ISNUMBER($T117),$T117&lt;&gt;""),IF(INDEX(Calc!$V$3:$V$122,$T117)="","—",INDEX(Calc!$V$3:$V$122,$T117)),"")</f>
        <v/>
      </c>
      <c r="E117" s="20">
        <f>IF(AND(ISNUMBER($T117),$T117&lt;&gt;""),IF(INDEX(Calc!$W$3:$W$122,$T117)="","—",INDEX(Calc!$W$3:$W$122,$T117)),"")</f>
        <v/>
      </c>
      <c r="F117" s="20">
        <f>IF(AND(ISNUMBER($T117),$T117&lt;&gt;""),IF(INDEX(Calc!$X$3:$X$122,$T117)="","—",INDEX(Calc!$X$3:$X$122,$T117)),"")</f>
        <v/>
      </c>
      <c r="G117" s="20">
        <f>IF(AND(ISNUMBER($T117),$T117&lt;&gt;""),IF(INDEX(Calc!$Y$3:$Y$122,$T117)="","—",INDEX(Calc!$Y$3:$Y$122,$T117)),"")</f>
        <v/>
      </c>
      <c r="H117" s="20">
        <f>IF(AND(ISNUMBER($T117),$T117&lt;&gt;""),IF(INDEX(Calc!$Z$3:$Z$122,$T117)="","—",INDEX(Calc!$Z$3:$Z$122,$T117)),"")</f>
        <v/>
      </c>
      <c r="I117" s="20">
        <f>IF(AND(ISNUMBER($T117),$T117&lt;&gt;""),IF(INDEX(Calc!$AA$3:$AA$122,$T117)="","—",INDEX(Calc!$AA$3:$AA$122,$T117)),"")</f>
        <v/>
      </c>
      <c r="J117" s="20">
        <f>IF(AND(ISNUMBER($T117),$T117&lt;&gt;""),IF(INDEX(Calc!$AB$3:$AB$122,$T117)="","—",INDEX(Calc!$AB$3:$AB$122,$T117)),"")</f>
        <v/>
      </c>
      <c r="K117" s="20">
        <f>IF(AND(ISNUMBER($T117),$T117&lt;&gt;""),IF(INDEX(Calc!$AC$3:$AC$122,$T117)="","—",INDEX(Calc!$AC$3:$AC$122,$T117)),"")</f>
        <v/>
      </c>
      <c r="L117" s="20">
        <f>IF(AND(ISNUMBER($T117),$T117&lt;&gt;""),IF(INDEX(Calc!$AD$3:$AD$122,$T117)="","—",INDEX(Calc!$AD$3:$AD$122,$T117)),"")</f>
        <v/>
      </c>
      <c r="M117" s="20">
        <f>IF(AND(ISNUMBER($T117),$T117&lt;&gt;""),IF(INDEX(Calc!$AE$3:$AE$122,$T117)="","—",INDEX(Calc!$AE$3:$AE$122,$T117)),"")</f>
        <v/>
      </c>
      <c r="N117" s="20">
        <f>IF(AND(ISNUMBER($T117),$T117&lt;&gt;""),IF(INDEX(Calc!$AF$3:$AF$122,$T117)="","—",INDEX(Calc!$AF$3:$AF$122,$T117)),"")</f>
        <v/>
      </c>
      <c r="O117" s="20">
        <f>IF(AND(ISNUMBER($T117),$T117&lt;&gt;""),IF(INDEX(Calc!$AG$3:$AG$122,$T117)="","—",INDEX(Calc!$AG$3:$AG$122,$T117)),"")</f>
        <v/>
      </c>
      <c r="P117" s="21">
        <f>IF(AND(ISNUMBER($T117),$T117&lt;&gt;""),IF(INDEX(Calc!$AJ$3:$AJ$122,$T117)="","—",INDEX(Calc!$AJ$3:$AJ$122,$T117)),"")</f>
        <v/>
      </c>
      <c r="Q117" s="21">
        <f>IF(AND(ISNUMBER($T117),$T117&lt;&gt;""),IF(INDEX(Calc!$AK$3:$AK$122,$T117)="","—",INDEX(Calc!$AK$3:$AK$122,$T117)),"")</f>
        <v/>
      </c>
      <c r="R117" s="20">
        <f>IF(AND(ISNUMBER($T117),$T117&lt;&gt;""),IF(INDEX(Calc!$AL$3:$AL$122,$T117)="","—",INDEX(Calc!$AL$3:$AL$122,$T117)),"")</f>
        <v/>
      </c>
      <c r="T117">
        <f>IFERROR(MATCH(113,Calc!$AN$3:$AN$122,0),"")</f>
        <v/>
      </c>
    </row>
    <row r="118">
      <c r="A118" s="14">
        <f>IF(AND(ISNUMBER($T118),$T118&lt;&gt;""),INDEX(Calc!$S$3:$S$122,$T118),"")</f>
        <v/>
      </c>
      <c r="B118" s="15">
        <f>IF(AND(ISNUMBER($T118),$T118&lt;&gt;""),IF(INDEX(Calc!$T$3:$T$122,$T118)="","—",INDEX(Calc!$T$3:$T$122,$T118)),"")</f>
        <v/>
      </c>
      <c r="C118" s="15">
        <f>IF(AND(ISNUMBER($T118),$T118&lt;&gt;""),IF(INDEX(Calc!$U$3:$U$122,$T118)="","—",INDEX(Calc!$U$3:$U$122,$T118)),"")</f>
        <v/>
      </c>
      <c r="D118" s="15">
        <f>IF(AND(ISNUMBER($T118),$T118&lt;&gt;""),IF(INDEX(Calc!$V$3:$V$122,$T118)="","—",INDEX(Calc!$V$3:$V$122,$T118)),"")</f>
        <v/>
      </c>
      <c r="E118" s="15">
        <f>IF(AND(ISNUMBER($T118),$T118&lt;&gt;""),IF(INDEX(Calc!$W$3:$W$122,$T118)="","—",INDEX(Calc!$W$3:$W$122,$T118)),"")</f>
        <v/>
      </c>
      <c r="F118" s="15">
        <f>IF(AND(ISNUMBER($T118),$T118&lt;&gt;""),IF(INDEX(Calc!$X$3:$X$122,$T118)="","—",INDEX(Calc!$X$3:$X$122,$T118)),"")</f>
        <v/>
      </c>
      <c r="G118" s="15">
        <f>IF(AND(ISNUMBER($T118),$T118&lt;&gt;""),IF(INDEX(Calc!$Y$3:$Y$122,$T118)="","—",INDEX(Calc!$Y$3:$Y$122,$T118)),"")</f>
        <v/>
      </c>
      <c r="H118" s="15">
        <f>IF(AND(ISNUMBER($T118),$T118&lt;&gt;""),IF(INDEX(Calc!$Z$3:$Z$122,$T118)="","—",INDEX(Calc!$Z$3:$Z$122,$T118)),"")</f>
        <v/>
      </c>
      <c r="I118" s="15">
        <f>IF(AND(ISNUMBER($T118),$T118&lt;&gt;""),IF(INDEX(Calc!$AA$3:$AA$122,$T118)="","—",INDEX(Calc!$AA$3:$AA$122,$T118)),"")</f>
        <v/>
      </c>
      <c r="J118" s="15">
        <f>IF(AND(ISNUMBER($T118),$T118&lt;&gt;""),IF(INDEX(Calc!$AB$3:$AB$122,$T118)="","—",INDEX(Calc!$AB$3:$AB$122,$T118)),"")</f>
        <v/>
      </c>
      <c r="K118" s="15">
        <f>IF(AND(ISNUMBER($T118),$T118&lt;&gt;""),IF(INDEX(Calc!$AC$3:$AC$122,$T118)="","—",INDEX(Calc!$AC$3:$AC$122,$T118)),"")</f>
        <v/>
      </c>
      <c r="L118" s="15">
        <f>IF(AND(ISNUMBER($T118),$T118&lt;&gt;""),IF(INDEX(Calc!$AD$3:$AD$122,$T118)="","—",INDEX(Calc!$AD$3:$AD$122,$T118)),"")</f>
        <v/>
      </c>
      <c r="M118" s="15">
        <f>IF(AND(ISNUMBER($T118),$T118&lt;&gt;""),IF(INDEX(Calc!$AE$3:$AE$122,$T118)="","—",INDEX(Calc!$AE$3:$AE$122,$T118)),"")</f>
        <v/>
      </c>
      <c r="N118" s="15">
        <f>IF(AND(ISNUMBER($T118),$T118&lt;&gt;""),IF(INDEX(Calc!$AF$3:$AF$122,$T118)="","—",INDEX(Calc!$AF$3:$AF$122,$T118)),"")</f>
        <v/>
      </c>
      <c r="O118" s="15">
        <f>IF(AND(ISNUMBER($T118),$T118&lt;&gt;""),IF(INDEX(Calc!$AG$3:$AG$122,$T118)="","—",INDEX(Calc!$AG$3:$AG$122,$T118)),"")</f>
        <v/>
      </c>
      <c r="P118" s="16">
        <f>IF(AND(ISNUMBER($T118),$T118&lt;&gt;""),IF(INDEX(Calc!$AJ$3:$AJ$122,$T118)="","—",INDEX(Calc!$AJ$3:$AJ$122,$T118)),"")</f>
        <v/>
      </c>
      <c r="Q118" s="16">
        <f>IF(AND(ISNUMBER($T118),$T118&lt;&gt;""),IF(INDEX(Calc!$AK$3:$AK$122,$T118)="","—",INDEX(Calc!$AK$3:$AK$122,$T118)),"")</f>
        <v/>
      </c>
      <c r="R118" s="15">
        <f>IF(AND(ISNUMBER($T118),$T118&lt;&gt;""),IF(INDEX(Calc!$AL$3:$AL$122,$T118)="","—",INDEX(Calc!$AL$3:$AL$122,$T118)),"")</f>
        <v/>
      </c>
      <c r="T118">
        <f>IFERROR(MATCH(114,Calc!$AN$3:$AN$122,0),"")</f>
        <v/>
      </c>
    </row>
    <row r="119">
      <c r="A119" s="19">
        <f>IF(AND(ISNUMBER($T119),$T119&lt;&gt;""),INDEX(Calc!$S$3:$S$122,$T119),"")</f>
        <v/>
      </c>
      <c r="B119" s="20">
        <f>IF(AND(ISNUMBER($T119),$T119&lt;&gt;""),IF(INDEX(Calc!$T$3:$T$122,$T119)="","—",INDEX(Calc!$T$3:$T$122,$T119)),"")</f>
        <v/>
      </c>
      <c r="C119" s="20">
        <f>IF(AND(ISNUMBER($T119),$T119&lt;&gt;""),IF(INDEX(Calc!$U$3:$U$122,$T119)="","—",INDEX(Calc!$U$3:$U$122,$T119)),"")</f>
        <v/>
      </c>
      <c r="D119" s="20">
        <f>IF(AND(ISNUMBER($T119),$T119&lt;&gt;""),IF(INDEX(Calc!$V$3:$V$122,$T119)="","—",INDEX(Calc!$V$3:$V$122,$T119)),"")</f>
        <v/>
      </c>
      <c r="E119" s="20">
        <f>IF(AND(ISNUMBER($T119),$T119&lt;&gt;""),IF(INDEX(Calc!$W$3:$W$122,$T119)="","—",INDEX(Calc!$W$3:$W$122,$T119)),"")</f>
        <v/>
      </c>
      <c r="F119" s="20">
        <f>IF(AND(ISNUMBER($T119),$T119&lt;&gt;""),IF(INDEX(Calc!$X$3:$X$122,$T119)="","—",INDEX(Calc!$X$3:$X$122,$T119)),"")</f>
        <v/>
      </c>
      <c r="G119" s="20">
        <f>IF(AND(ISNUMBER($T119),$T119&lt;&gt;""),IF(INDEX(Calc!$Y$3:$Y$122,$T119)="","—",INDEX(Calc!$Y$3:$Y$122,$T119)),"")</f>
        <v/>
      </c>
      <c r="H119" s="20">
        <f>IF(AND(ISNUMBER($T119),$T119&lt;&gt;""),IF(INDEX(Calc!$Z$3:$Z$122,$T119)="","—",INDEX(Calc!$Z$3:$Z$122,$T119)),"")</f>
        <v/>
      </c>
      <c r="I119" s="20">
        <f>IF(AND(ISNUMBER($T119),$T119&lt;&gt;""),IF(INDEX(Calc!$AA$3:$AA$122,$T119)="","—",INDEX(Calc!$AA$3:$AA$122,$T119)),"")</f>
        <v/>
      </c>
      <c r="J119" s="20">
        <f>IF(AND(ISNUMBER($T119),$T119&lt;&gt;""),IF(INDEX(Calc!$AB$3:$AB$122,$T119)="","—",INDEX(Calc!$AB$3:$AB$122,$T119)),"")</f>
        <v/>
      </c>
      <c r="K119" s="20">
        <f>IF(AND(ISNUMBER($T119),$T119&lt;&gt;""),IF(INDEX(Calc!$AC$3:$AC$122,$T119)="","—",INDEX(Calc!$AC$3:$AC$122,$T119)),"")</f>
        <v/>
      </c>
      <c r="L119" s="20">
        <f>IF(AND(ISNUMBER($T119),$T119&lt;&gt;""),IF(INDEX(Calc!$AD$3:$AD$122,$T119)="","—",INDEX(Calc!$AD$3:$AD$122,$T119)),"")</f>
        <v/>
      </c>
      <c r="M119" s="20">
        <f>IF(AND(ISNUMBER($T119),$T119&lt;&gt;""),IF(INDEX(Calc!$AE$3:$AE$122,$T119)="","—",INDEX(Calc!$AE$3:$AE$122,$T119)),"")</f>
        <v/>
      </c>
      <c r="N119" s="20">
        <f>IF(AND(ISNUMBER($T119),$T119&lt;&gt;""),IF(INDEX(Calc!$AF$3:$AF$122,$T119)="","—",INDEX(Calc!$AF$3:$AF$122,$T119)),"")</f>
        <v/>
      </c>
      <c r="O119" s="20">
        <f>IF(AND(ISNUMBER($T119),$T119&lt;&gt;""),IF(INDEX(Calc!$AG$3:$AG$122,$T119)="","—",INDEX(Calc!$AG$3:$AG$122,$T119)),"")</f>
        <v/>
      </c>
      <c r="P119" s="21">
        <f>IF(AND(ISNUMBER($T119),$T119&lt;&gt;""),IF(INDEX(Calc!$AJ$3:$AJ$122,$T119)="","—",INDEX(Calc!$AJ$3:$AJ$122,$T119)),"")</f>
        <v/>
      </c>
      <c r="Q119" s="21">
        <f>IF(AND(ISNUMBER($T119),$T119&lt;&gt;""),IF(INDEX(Calc!$AK$3:$AK$122,$T119)="","—",INDEX(Calc!$AK$3:$AK$122,$T119)),"")</f>
        <v/>
      </c>
      <c r="R119" s="20">
        <f>IF(AND(ISNUMBER($T119),$T119&lt;&gt;""),IF(INDEX(Calc!$AL$3:$AL$122,$T119)="","—",INDEX(Calc!$AL$3:$AL$122,$T119)),"")</f>
        <v/>
      </c>
      <c r="T119">
        <f>IFERROR(MATCH(115,Calc!$AN$3:$AN$122,0),"")</f>
        <v/>
      </c>
    </row>
    <row r="120">
      <c r="A120" s="14">
        <f>IF(AND(ISNUMBER($T120),$T120&lt;&gt;""),INDEX(Calc!$S$3:$S$122,$T120),"")</f>
        <v/>
      </c>
      <c r="B120" s="15">
        <f>IF(AND(ISNUMBER($T120),$T120&lt;&gt;""),IF(INDEX(Calc!$T$3:$T$122,$T120)="","—",INDEX(Calc!$T$3:$T$122,$T120)),"")</f>
        <v/>
      </c>
      <c r="C120" s="15">
        <f>IF(AND(ISNUMBER($T120),$T120&lt;&gt;""),IF(INDEX(Calc!$U$3:$U$122,$T120)="","—",INDEX(Calc!$U$3:$U$122,$T120)),"")</f>
        <v/>
      </c>
      <c r="D120" s="15">
        <f>IF(AND(ISNUMBER($T120),$T120&lt;&gt;""),IF(INDEX(Calc!$V$3:$V$122,$T120)="","—",INDEX(Calc!$V$3:$V$122,$T120)),"")</f>
        <v/>
      </c>
      <c r="E120" s="15">
        <f>IF(AND(ISNUMBER($T120),$T120&lt;&gt;""),IF(INDEX(Calc!$W$3:$W$122,$T120)="","—",INDEX(Calc!$W$3:$W$122,$T120)),"")</f>
        <v/>
      </c>
      <c r="F120" s="15">
        <f>IF(AND(ISNUMBER($T120),$T120&lt;&gt;""),IF(INDEX(Calc!$X$3:$X$122,$T120)="","—",INDEX(Calc!$X$3:$X$122,$T120)),"")</f>
        <v/>
      </c>
      <c r="G120" s="15">
        <f>IF(AND(ISNUMBER($T120),$T120&lt;&gt;""),IF(INDEX(Calc!$Y$3:$Y$122,$T120)="","—",INDEX(Calc!$Y$3:$Y$122,$T120)),"")</f>
        <v/>
      </c>
      <c r="H120" s="15">
        <f>IF(AND(ISNUMBER($T120),$T120&lt;&gt;""),IF(INDEX(Calc!$Z$3:$Z$122,$T120)="","—",INDEX(Calc!$Z$3:$Z$122,$T120)),"")</f>
        <v/>
      </c>
      <c r="I120" s="15">
        <f>IF(AND(ISNUMBER($T120),$T120&lt;&gt;""),IF(INDEX(Calc!$AA$3:$AA$122,$T120)="","—",INDEX(Calc!$AA$3:$AA$122,$T120)),"")</f>
        <v/>
      </c>
      <c r="J120" s="15">
        <f>IF(AND(ISNUMBER($T120),$T120&lt;&gt;""),IF(INDEX(Calc!$AB$3:$AB$122,$T120)="","—",INDEX(Calc!$AB$3:$AB$122,$T120)),"")</f>
        <v/>
      </c>
      <c r="K120" s="15">
        <f>IF(AND(ISNUMBER($T120),$T120&lt;&gt;""),IF(INDEX(Calc!$AC$3:$AC$122,$T120)="","—",INDEX(Calc!$AC$3:$AC$122,$T120)),"")</f>
        <v/>
      </c>
      <c r="L120" s="15">
        <f>IF(AND(ISNUMBER($T120),$T120&lt;&gt;""),IF(INDEX(Calc!$AD$3:$AD$122,$T120)="","—",INDEX(Calc!$AD$3:$AD$122,$T120)),"")</f>
        <v/>
      </c>
      <c r="M120" s="15">
        <f>IF(AND(ISNUMBER($T120),$T120&lt;&gt;""),IF(INDEX(Calc!$AE$3:$AE$122,$T120)="","—",INDEX(Calc!$AE$3:$AE$122,$T120)),"")</f>
        <v/>
      </c>
      <c r="N120" s="15">
        <f>IF(AND(ISNUMBER($T120),$T120&lt;&gt;""),IF(INDEX(Calc!$AF$3:$AF$122,$T120)="","—",INDEX(Calc!$AF$3:$AF$122,$T120)),"")</f>
        <v/>
      </c>
      <c r="O120" s="15">
        <f>IF(AND(ISNUMBER($T120),$T120&lt;&gt;""),IF(INDEX(Calc!$AG$3:$AG$122,$T120)="","—",INDEX(Calc!$AG$3:$AG$122,$T120)),"")</f>
        <v/>
      </c>
      <c r="P120" s="16">
        <f>IF(AND(ISNUMBER($T120),$T120&lt;&gt;""),IF(INDEX(Calc!$AJ$3:$AJ$122,$T120)="","—",INDEX(Calc!$AJ$3:$AJ$122,$T120)),"")</f>
        <v/>
      </c>
      <c r="Q120" s="16">
        <f>IF(AND(ISNUMBER($T120),$T120&lt;&gt;""),IF(INDEX(Calc!$AK$3:$AK$122,$T120)="","—",INDEX(Calc!$AK$3:$AK$122,$T120)),"")</f>
        <v/>
      </c>
      <c r="R120" s="15">
        <f>IF(AND(ISNUMBER($T120),$T120&lt;&gt;""),IF(INDEX(Calc!$AL$3:$AL$122,$T120)="","—",INDEX(Calc!$AL$3:$AL$122,$T120)),"")</f>
        <v/>
      </c>
      <c r="T120">
        <f>IFERROR(MATCH(116,Calc!$AN$3:$AN$122,0),"")</f>
        <v/>
      </c>
    </row>
    <row r="121">
      <c r="A121" s="19">
        <f>IF(AND(ISNUMBER($T121),$T121&lt;&gt;""),INDEX(Calc!$S$3:$S$122,$T121),"")</f>
        <v/>
      </c>
      <c r="B121" s="20">
        <f>IF(AND(ISNUMBER($T121),$T121&lt;&gt;""),IF(INDEX(Calc!$T$3:$T$122,$T121)="","—",INDEX(Calc!$T$3:$T$122,$T121)),"")</f>
        <v/>
      </c>
      <c r="C121" s="20">
        <f>IF(AND(ISNUMBER($T121),$T121&lt;&gt;""),IF(INDEX(Calc!$U$3:$U$122,$T121)="","—",INDEX(Calc!$U$3:$U$122,$T121)),"")</f>
        <v/>
      </c>
      <c r="D121" s="20">
        <f>IF(AND(ISNUMBER($T121),$T121&lt;&gt;""),IF(INDEX(Calc!$V$3:$V$122,$T121)="","—",INDEX(Calc!$V$3:$V$122,$T121)),"")</f>
        <v/>
      </c>
      <c r="E121" s="20">
        <f>IF(AND(ISNUMBER($T121),$T121&lt;&gt;""),IF(INDEX(Calc!$W$3:$W$122,$T121)="","—",INDEX(Calc!$W$3:$W$122,$T121)),"")</f>
        <v/>
      </c>
      <c r="F121" s="20">
        <f>IF(AND(ISNUMBER($T121),$T121&lt;&gt;""),IF(INDEX(Calc!$X$3:$X$122,$T121)="","—",INDEX(Calc!$X$3:$X$122,$T121)),"")</f>
        <v/>
      </c>
      <c r="G121" s="20">
        <f>IF(AND(ISNUMBER($T121),$T121&lt;&gt;""),IF(INDEX(Calc!$Y$3:$Y$122,$T121)="","—",INDEX(Calc!$Y$3:$Y$122,$T121)),"")</f>
        <v/>
      </c>
      <c r="H121" s="20">
        <f>IF(AND(ISNUMBER($T121),$T121&lt;&gt;""),IF(INDEX(Calc!$Z$3:$Z$122,$T121)="","—",INDEX(Calc!$Z$3:$Z$122,$T121)),"")</f>
        <v/>
      </c>
      <c r="I121" s="20">
        <f>IF(AND(ISNUMBER($T121),$T121&lt;&gt;""),IF(INDEX(Calc!$AA$3:$AA$122,$T121)="","—",INDEX(Calc!$AA$3:$AA$122,$T121)),"")</f>
        <v/>
      </c>
      <c r="J121" s="20">
        <f>IF(AND(ISNUMBER($T121),$T121&lt;&gt;""),IF(INDEX(Calc!$AB$3:$AB$122,$T121)="","—",INDEX(Calc!$AB$3:$AB$122,$T121)),"")</f>
        <v/>
      </c>
      <c r="K121" s="20">
        <f>IF(AND(ISNUMBER($T121),$T121&lt;&gt;""),IF(INDEX(Calc!$AC$3:$AC$122,$T121)="","—",INDEX(Calc!$AC$3:$AC$122,$T121)),"")</f>
        <v/>
      </c>
      <c r="L121" s="20">
        <f>IF(AND(ISNUMBER($T121),$T121&lt;&gt;""),IF(INDEX(Calc!$AD$3:$AD$122,$T121)="","—",INDEX(Calc!$AD$3:$AD$122,$T121)),"")</f>
        <v/>
      </c>
      <c r="M121" s="20">
        <f>IF(AND(ISNUMBER($T121),$T121&lt;&gt;""),IF(INDEX(Calc!$AE$3:$AE$122,$T121)="","—",INDEX(Calc!$AE$3:$AE$122,$T121)),"")</f>
        <v/>
      </c>
      <c r="N121" s="20">
        <f>IF(AND(ISNUMBER($T121),$T121&lt;&gt;""),IF(INDEX(Calc!$AF$3:$AF$122,$T121)="","—",INDEX(Calc!$AF$3:$AF$122,$T121)),"")</f>
        <v/>
      </c>
      <c r="O121" s="20">
        <f>IF(AND(ISNUMBER($T121),$T121&lt;&gt;""),IF(INDEX(Calc!$AG$3:$AG$122,$T121)="","—",INDEX(Calc!$AG$3:$AG$122,$T121)),"")</f>
        <v/>
      </c>
      <c r="P121" s="21">
        <f>IF(AND(ISNUMBER($T121),$T121&lt;&gt;""),IF(INDEX(Calc!$AJ$3:$AJ$122,$T121)="","—",INDEX(Calc!$AJ$3:$AJ$122,$T121)),"")</f>
        <v/>
      </c>
      <c r="Q121" s="21">
        <f>IF(AND(ISNUMBER($T121),$T121&lt;&gt;""),IF(INDEX(Calc!$AK$3:$AK$122,$T121)="","—",INDEX(Calc!$AK$3:$AK$122,$T121)),"")</f>
        <v/>
      </c>
      <c r="R121" s="20">
        <f>IF(AND(ISNUMBER($T121),$T121&lt;&gt;""),IF(INDEX(Calc!$AL$3:$AL$122,$T121)="","—",INDEX(Calc!$AL$3:$AL$122,$T121)),"")</f>
        <v/>
      </c>
      <c r="T121">
        <f>IFERROR(MATCH(117,Calc!$AN$3:$AN$122,0),"")</f>
        <v/>
      </c>
    </row>
    <row r="122">
      <c r="A122" s="14">
        <f>IF(AND(ISNUMBER($T122),$T122&lt;&gt;""),INDEX(Calc!$S$3:$S$122,$T122),"")</f>
        <v/>
      </c>
      <c r="B122" s="15">
        <f>IF(AND(ISNUMBER($T122),$T122&lt;&gt;""),IF(INDEX(Calc!$T$3:$T$122,$T122)="","—",INDEX(Calc!$T$3:$T$122,$T122)),"")</f>
        <v/>
      </c>
      <c r="C122" s="15">
        <f>IF(AND(ISNUMBER($T122),$T122&lt;&gt;""),IF(INDEX(Calc!$U$3:$U$122,$T122)="","—",INDEX(Calc!$U$3:$U$122,$T122)),"")</f>
        <v/>
      </c>
      <c r="D122" s="15">
        <f>IF(AND(ISNUMBER($T122),$T122&lt;&gt;""),IF(INDEX(Calc!$V$3:$V$122,$T122)="","—",INDEX(Calc!$V$3:$V$122,$T122)),"")</f>
        <v/>
      </c>
      <c r="E122" s="15">
        <f>IF(AND(ISNUMBER($T122),$T122&lt;&gt;""),IF(INDEX(Calc!$W$3:$W$122,$T122)="","—",INDEX(Calc!$W$3:$W$122,$T122)),"")</f>
        <v/>
      </c>
      <c r="F122" s="15">
        <f>IF(AND(ISNUMBER($T122),$T122&lt;&gt;""),IF(INDEX(Calc!$X$3:$X$122,$T122)="","—",INDEX(Calc!$X$3:$X$122,$T122)),"")</f>
        <v/>
      </c>
      <c r="G122" s="15">
        <f>IF(AND(ISNUMBER($T122),$T122&lt;&gt;""),IF(INDEX(Calc!$Y$3:$Y$122,$T122)="","—",INDEX(Calc!$Y$3:$Y$122,$T122)),"")</f>
        <v/>
      </c>
      <c r="H122" s="15">
        <f>IF(AND(ISNUMBER($T122),$T122&lt;&gt;""),IF(INDEX(Calc!$Z$3:$Z$122,$T122)="","—",INDEX(Calc!$Z$3:$Z$122,$T122)),"")</f>
        <v/>
      </c>
      <c r="I122" s="15">
        <f>IF(AND(ISNUMBER($T122),$T122&lt;&gt;""),IF(INDEX(Calc!$AA$3:$AA$122,$T122)="","—",INDEX(Calc!$AA$3:$AA$122,$T122)),"")</f>
        <v/>
      </c>
      <c r="J122" s="15">
        <f>IF(AND(ISNUMBER($T122),$T122&lt;&gt;""),IF(INDEX(Calc!$AB$3:$AB$122,$T122)="","—",INDEX(Calc!$AB$3:$AB$122,$T122)),"")</f>
        <v/>
      </c>
      <c r="K122" s="15">
        <f>IF(AND(ISNUMBER($T122),$T122&lt;&gt;""),IF(INDEX(Calc!$AC$3:$AC$122,$T122)="","—",INDEX(Calc!$AC$3:$AC$122,$T122)),"")</f>
        <v/>
      </c>
      <c r="L122" s="15">
        <f>IF(AND(ISNUMBER($T122),$T122&lt;&gt;""),IF(INDEX(Calc!$AD$3:$AD$122,$T122)="","—",INDEX(Calc!$AD$3:$AD$122,$T122)),"")</f>
        <v/>
      </c>
      <c r="M122" s="15">
        <f>IF(AND(ISNUMBER($T122),$T122&lt;&gt;""),IF(INDEX(Calc!$AE$3:$AE$122,$T122)="","—",INDEX(Calc!$AE$3:$AE$122,$T122)),"")</f>
        <v/>
      </c>
      <c r="N122" s="15">
        <f>IF(AND(ISNUMBER($T122),$T122&lt;&gt;""),IF(INDEX(Calc!$AF$3:$AF$122,$T122)="","—",INDEX(Calc!$AF$3:$AF$122,$T122)),"")</f>
        <v/>
      </c>
      <c r="O122" s="15">
        <f>IF(AND(ISNUMBER($T122),$T122&lt;&gt;""),IF(INDEX(Calc!$AG$3:$AG$122,$T122)="","—",INDEX(Calc!$AG$3:$AG$122,$T122)),"")</f>
        <v/>
      </c>
      <c r="P122" s="16">
        <f>IF(AND(ISNUMBER($T122),$T122&lt;&gt;""),IF(INDEX(Calc!$AJ$3:$AJ$122,$T122)="","—",INDEX(Calc!$AJ$3:$AJ$122,$T122)),"")</f>
        <v/>
      </c>
      <c r="Q122" s="16">
        <f>IF(AND(ISNUMBER($T122),$T122&lt;&gt;""),IF(INDEX(Calc!$AK$3:$AK$122,$T122)="","—",INDEX(Calc!$AK$3:$AK$122,$T122)),"")</f>
        <v/>
      </c>
      <c r="R122" s="15">
        <f>IF(AND(ISNUMBER($T122),$T122&lt;&gt;""),IF(INDEX(Calc!$AL$3:$AL$122,$T122)="","—",INDEX(Calc!$AL$3:$AL$122,$T122)),"")</f>
        <v/>
      </c>
      <c r="T122">
        <f>IFERROR(MATCH(118,Calc!$AN$3:$AN$122,0),"")</f>
        <v/>
      </c>
    </row>
    <row r="123">
      <c r="A123" s="19">
        <f>IF(AND(ISNUMBER($T123),$T123&lt;&gt;""),INDEX(Calc!$S$3:$S$122,$T123),"")</f>
        <v/>
      </c>
      <c r="B123" s="20">
        <f>IF(AND(ISNUMBER($T123),$T123&lt;&gt;""),IF(INDEX(Calc!$T$3:$T$122,$T123)="","—",INDEX(Calc!$T$3:$T$122,$T123)),"")</f>
        <v/>
      </c>
      <c r="C123" s="20">
        <f>IF(AND(ISNUMBER($T123),$T123&lt;&gt;""),IF(INDEX(Calc!$U$3:$U$122,$T123)="","—",INDEX(Calc!$U$3:$U$122,$T123)),"")</f>
        <v/>
      </c>
      <c r="D123" s="20">
        <f>IF(AND(ISNUMBER($T123),$T123&lt;&gt;""),IF(INDEX(Calc!$V$3:$V$122,$T123)="","—",INDEX(Calc!$V$3:$V$122,$T123)),"")</f>
        <v/>
      </c>
      <c r="E123" s="20">
        <f>IF(AND(ISNUMBER($T123),$T123&lt;&gt;""),IF(INDEX(Calc!$W$3:$W$122,$T123)="","—",INDEX(Calc!$W$3:$W$122,$T123)),"")</f>
        <v/>
      </c>
      <c r="F123" s="20">
        <f>IF(AND(ISNUMBER($T123),$T123&lt;&gt;""),IF(INDEX(Calc!$X$3:$X$122,$T123)="","—",INDEX(Calc!$X$3:$X$122,$T123)),"")</f>
        <v/>
      </c>
      <c r="G123" s="20">
        <f>IF(AND(ISNUMBER($T123),$T123&lt;&gt;""),IF(INDEX(Calc!$Y$3:$Y$122,$T123)="","—",INDEX(Calc!$Y$3:$Y$122,$T123)),"")</f>
        <v/>
      </c>
      <c r="H123" s="20">
        <f>IF(AND(ISNUMBER($T123),$T123&lt;&gt;""),IF(INDEX(Calc!$Z$3:$Z$122,$T123)="","—",INDEX(Calc!$Z$3:$Z$122,$T123)),"")</f>
        <v/>
      </c>
      <c r="I123" s="20">
        <f>IF(AND(ISNUMBER($T123),$T123&lt;&gt;""),IF(INDEX(Calc!$AA$3:$AA$122,$T123)="","—",INDEX(Calc!$AA$3:$AA$122,$T123)),"")</f>
        <v/>
      </c>
      <c r="J123" s="20">
        <f>IF(AND(ISNUMBER($T123),$T123&lt;&gt;""),IF(INDEX(Calc!$AB$3:$AB$122,$T123)="","—",INDEX(Calc!$AB$3:$AB$122,$T123)),"")</f>
        <v/>
      </c>
      <c r="K123" s="20">
        <f>IF(AND(ISNUMBER($T123),$T123&lt;&gt;""),IF(INDEX(Calc!$AC$3:$AC$122,$T123)="","—",INDEX(Calc!$AC$3:$AC$122,$T123)),"")</f>
        <v/>
      </c>
      <c r="L123" s="20">
        <f>IF(AND(ISNUMBER($T123),$T123&lt;&gt;""),IF(INDEX(Calc!$AD$3:$AD$122,$T123)="","—",INDEX(Calc!$AD$3:$AD$122,$T123)),"")</f>
        <v/>
      </c>
      <c r="M123" s="20">
        <f>IF(AND(ISNUMBER($T123),$T123&lt;&gt;""),IF(INDEX(Calc!$AE$3:$AE$122,$T123)="","—",INDEX(Calc!$AE$3:$AE$122,$T123)),"")</f>
        <v/>
      </c>
      <c r="N123" s="20">
        <f>IF(AND(ISNUMBER($T123),$T123&lt;&gt;""),IF(INDEX(Calc!$AF$3:$AF$122,$T123)="","—",INDEX(Calc!$AF$3:$AF$122,$T123)),"")</f>
        <v/>
      </c>
      <c r="O123" s="20">
        <f>IF(AND(ISNUMBER($T123),$T123&lt;&gt;""),IF(INDEX(Calc!$AG$3:$AG$122,$T123)="","—",INDEX(Calc!$AG$3:$AG$122,$T123)),"")</f>
        <v/>
      </c>
      <c r="P123" s="21">
        <f>IF(AND(ISNUMBER($T123),$T123&lt;&gt;""),IF(INDEX(Calc!$AJ$3:$AJ$122,$T123)="","—",INDEX(Calc!$AJ$3:$AJ$122,$T123)),"")</f>
        <v/>
      </c>
      <c r="Q123" s="21">
        <f>IF(AND(ISNUMBER($T123),$T123&lt;&gt;""),IF(INDEX(Calc!$AK$3:$AK$122,$T123)="","—",INDEX(Calc!$AK$3:$AK$122,$T123)),"")</f>
        <v/>
      </c>
      <c r="R123" s="20">
        <f>IF(AND(ISNUMBER($T123),$T123&lt;&gt;""),IF(INDEX(Calc!$AL$3:$AL$122,$T123)="","—",INDEX(Calc!$AL$3:$AL$122,$T123)),"")</f>
        <v/>
      </c>
      <c r="T123">
        <f>IFERROR(MATCH(119,Calc!$AN$3:$AN$122,0),"")</f>
        <v/>
      </c>
    </row>
    <row r="124">
      <c r="A124" s="14">
        <f>IF(AND(ISNUMBER($T124),$T124&lt;&gt;""),INDEX(Calc!$S$3:$S$122,$T124),"")</f>
        <v/>
      </c>
      <c r="B124" s="15">
        <f>IF(AND(ISNUMBER($T124),$T124&lt;&gt;""),IF(INDEX(Calc!$T$3:$T$122,$T124)="","—",INDEX(Calc!$T$3:$T$122,$T124)),"")</f>
        <v/>
      </c>
      <c r="C124" s="15">
        <f>IF(AND(ISNUMBER($T124),$T124&lt;&gt;""),IF(INDEX(Calc!$U$3:$U$122,$T124)="","—",INDEX(Calc!$U$3:$U$122,$T124)),"")</f>
        <v/>
      </c>
      <c r="D124" s="15">
        <f>IF(AND(ISNUMBER($T124),$T124&lt;&gt;""),IF(INDEX(Calc!$V$3:$V$122,$T124)="","—",INDEX(Calc!$V$3:$V$122,$T124)),"")</f>
        <v/>
      </c>
      <c r="E124" s="15">
        <f>IF(AND(ISNUMBER($T124),$T124&lt;&gt;""),IF(INDEX(Calc!$W$3:$W$122,$T124)="","—",INDEX(Calc!$W$3:$W$122,$T124)),"")</f>
        <v/>
      </c>
      <c r="F124" s="15">
        <f>IF(AND(ISNUMBER($T124),$T124&lt;&gt;""),IF(INDEX(Calc!$X$3:$X$122,$T124)="","—",INDEX(Calc!$X$3:$X$122,$T124)),"")</f>
        <v/>
      </c>
      <c r="G124" s="15">
        <f>IF(AND(ISNUMBER($T124),$T124&lt;&gt;""),IF(INDEX(Calc!$Y$3:$Y$122,$T124)="","—",INDEX(Calc!$Y$3:$Y$122,$T124)),"")</f>
        <v/>
      </c>
      <c r="H124" s="15">
        <f>IF(AND(ISNUMBER($T124),$T124&lt;&gt;""),IF(INDEX(Calc!$Z$3:$Z$122,$T124)="","—",INDEX(Calc!$Z$3:$Z$122,$T124)),"")</f>
        <v/>
      </c>
      <c r="I124" s="15">
        <f>IF(AND(ISNUMBER($T124),$T124&lt;&gt;""),IF(INDEX(Calc!$AA$3:$AA$122,$T124)="","—",INDEX(Calc!$AA$3:$AA$122,$T124)),"")</f>
        <v/>
      </c>
      <c r="J124" s="15">
        <f>IF(AND(ISNUMBER($T124),$T124&lt;&gt;""),IF(INDEX(Calc!$AB$3:$AB$122,$T124)="","—",INDEX(Calc!$AB$3:$AB$122,$T124)),"")</f>
        <v/>
      </c>
      <c r="K124" s="15">
        <f>IF(AND(ISNUMBER($T124),$T124&lt;&gt;""),IF(INDEX(Calc!$AC$3:$AC$122,$T124)="","—",INDEX(Calc!$AC$3:$AC$122,$T124)),"")</f>
        <v/>
      </c>
      <c r="L124" s="15">
        <f>IF(AND(ISNUMBER($T124),$T124&lt;&gt;""),IF(INDEX(Calc!$AD$3:$AD$122,$T124)="","—",INDEX(Calc!$AD$3:$AD$122,$T124)),"")</f>
        <v/>
      </c>
      <c r="M124" s="15">
        <f>IF(AND(ISNUMBER($T124),$T124&lt;&gt;""),IF(INDEX(Calc!$AE$3:$AE$122,$T124)="","—",INDEX(Calc!$AE$3:$AE$122,$T124)),"")</f>
        <v/>
      </c>
      <c r="N124" s="15">
        <f>IF(AND(ISNUMBER($T124),$T124&lt;&gt;""),IF(INDEX(Calc!$AF$3:$AF$122,$T124)="","—",INDEX(Calc!$AF$3:$AF$122,$T124)),"")</f>
        <v/>
      </c>
      <c r="O124" s="15">
        <f>IF(AND(ISNUMBER($T124),$T124&lt;&gt;""),IF(INDEX(Calc!$AG$3:$AG$122,$T124)="","—",INDEX(Calc!$AG$3:$AG$122,$T124)),"")</f>
        <v/>
      </c>
      <c r="P124" s="16">
        <f>IF(AND(ISNUMBER($T124),$T124&lt;&gt;""),IF(INDEX(Calc!$AJ$3:$AJ$122,$T124)="","—",INDEX(Calc!$AJ$3:$AJ$122,$T124)),"")</f>
        <v/>
      </c>
      <c r="Q124" s="16">
        <f>IF(AND(ISNUMBER($T124),$T124&lt;&gt;""),IF(INDEX(Calc!$AK$3:$AK$122,$T124)="","—",INDEX(Calc!$AK$3:$AK$122,$T124)),"")</f>
        <v/>
      </c>
      <c r="R124" s="15">
        <f>IF(AND(ISNUMBER($T124),$T124&lt;&gt;""),IF(INDEX(Calc!$AL$3:$AL$122,$T124)="","—",INDEX(Calc!$AL$3:$AL$122,$T124)),"")</f>
        <v/>
      </c>
      <c r="T124">
        <f>IFERROR(MATCH(120,Calc!$AN$3:$AN$122,0),"")</f>
        <v/>
      </c>
    </row>
  </sheetData>
  <mergeCells count="1">
    <mergeCell ref="A2:R2"/>
  </mergeCells>
  <conditionalFormatting sqref="B5:Q124">
    <cfRule type="expression" priority="1" dxfId="0" stopIfTrue="1">
      <formula>AND(ISNUMBER(B5),B5=0)</formula>
    </cfRule>
    <cfRule type="expression" priority="2" dxfId="1" stopIfTrue="1">
      <formula>AND(ISNUMBER(B5),ABS(B5)&gt;=10)</formula>
    </cfRule>
    <cfRule type="expression" priority="3" dxfId="2" stopIfTrue="1">
      <formula>AND(ISNUMBER(B5),ABS(B5)&gt;=5)</formula>
    </cfRule>
    <cfRule type="expression" priority="4" dxfId="3" stopIfTrue="1">
      <formula>AND(ISNUMBER(B5),ABS(B5)&gt;=1)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L79"/>
  <sheetViews>
    <sheetView workbookViewId="0">
      <pane ySplit="9" topLeftCell="A10" activePane="bottomLeft" state="frozen"/>
      <selection pane="bottomLeft" activeCell="A1" sqref="A1"/>
    </sheetView>
  </sheetViews>
  <sheetFormatPr baseColWidth="8" defaultRowHeight="15"/>
  <cols>
    <col width="30" customWidth="1" min="1" max="1"/>
    <col width="11" customWidth="1" min="2" max="2"/>
    <col width="10" customWidth="1" min="3" max="3"/>
    <col width="11" customWidth="1" min="4" max="4"/>
    <col width="15" customWidth="1" min="5" max="5"/>
    <col width="13" customWidth="1" min="6" max="6"/>
    <col width="11" customWidth="1" min="7" max="7"/>
    <col width="13" customWidth="1" min="8" max="8"/>
    <col width="10" customWidth="1" min="9" max="9"/>
    <col width="15" customWidth="1" min="10" max="10"/>
    <col hidden="1" width="13" customWidth="1" min="12" max="12"/>
  </cols>
  <sheetData>
    <row r="1">
      <c r="A1" s="1" t="inlineStr">
        <is>
          <t>Lubes reconciliation</t>
        </is>
      </c>
      <c r="F1" s="2">
        <f>IF(COUNT(LubesData!$U:$U)=0,"No rows yet — no submitted lubes count, or the Lubes query is not attached",IF(COUNTIFS(LubesData!$R$2:$R$1048576,"&lt;&gt;",LubesData!$R$2:$R$1048576,"&lt;&gt;LUBES")&gt;0,"WRONG QUERY: this sheet has rows that are not LUBES — reattach Lubes","Safari · "&amp;COUNT(LubesCalc!$B$3:$B$62)&amp;" days loaded, latest "&amp;TEXT(MAX(LubesData!$B:$B),"dd mmm yyyy")))</f>
        <v/>
      </c>
      <c r="L1">
        <f>IFERROR(MATCH($B$3,LubesCalc!$B$3:$B$62,0),"")</f>
        <v/>
      </c>
    </row>
    <row r="2">
      <c r="A2" s="3" t="inlineStr">
        <is>
          <t>TRADING DAY (CLOSING)</t>
        </is>
      </c>
      <c r="D2" s="3" t="inlineStr">
        <is>
          <t>OPENING FROM</t>
        </is>
      </c>
      <c r="F2" s="3" t="inlineStr">
        <is>
          <t>COUNTED BY</t>
        </is>
      </c>
      <c r="H2" s="3" t="inlineStr">
        <is>
          <t>PRODUCTS</t>
        </is>
      </c>
    </row>
    <row r="3">
      <c r="A3" s="4" t="inlineStr">
        <is>
          <t>Show:</t>
        </is>
      </c>
      <c r="B3" s="5">
        <f>IFERROR(INDEX(LubesData!$B:$B,MATCH(1,LubesData!$U:$U,0)),"")</f>
        <v/>
      </c>
      <c r="D3" s="6">
        <f>IF($L$1="","—",IF(INDEX(LubesCalc!$D$3:$D$62,$L$1)="","—",INDEX(LubesCalc!$D$3:$D$62,$L$1)))</f>
        <v/>
      </c>
      <c r="F3" s="7">
        <f>IF($L$1="","—",IF(INDEX(LubesCalc!$C$3:$C$62,$L$1)="","—",INDEX(LubesCalc!$C$3:$C$62,$L$1)))</f>
        <v/>
      </c>
      <c r="H3" s="8">
        <f>IF($L$1="","—",IF(INDEX(LubesCalc!$E$3:$E$62,$L$1)="","—",INDEX(LubesCalc!$E$3:$E$62,$L$1)))</f>
        <v/>
      </c>
    </row>
    <row r="5">
      <c r="A5" s="3" t="inlineStr">
        <is>
          <t>PRODUCTS WITH VARIANCE</t>
        </is>
      </c>
      <c r="D5" s="3" t="inlineStr">
        <is>
          <t>TOTAL VARIANCE (PACKS)</t>
        </is>
      </c>
      <c r="F5" s="3" t="inlineStr">
        <is>
          <t>TOTAL VARIANCE (RM)</t>
        </is>
      </c>
      <c r="H5" s="3" t="inlineStr">
        <is>
          <t>POS SALES</t>
        </is>
      </c>
    </row>
    <row r="6">
      <c r="A6" s="9">
        <f>IF($L$1="","—",IF(INDEX(LubesCalc!$H$3:$H$62,$L$1)="","—",INDEX(LubesCalc!$H$3:$H$62,$L$1)))</f>
        <v/>
      </c>
      <c r="D6" s="9">
        <f>IF($L$1="","—",IF(INDEX(LubesCalc!$I$3:$I$62,$L$1)="","—",INDEX(LubesCalc!$I$3:$I$62,$L$1)))</f>
        <v/>
      </c>
      <c r="F6" s="10">
        <f>IF($L$1="","—",IF(INDEX(LubesCalc!$K$3:$K$62,$L$1)="","—",INDEX(LubesCalc!$K$3:$K$62,$L$1)))</f>
        <v/>
      </c>
      <c r="H6" s="7">
        <f>IF($L$1="","—",IF(INDEX(LubesCalc!$M$3:$M$62,$L$1)="","—",INDEX(LubesCalc!$M$3:$M$62,$L$1)))</f>
        <v/>
      </c>
    </row>
    <row r="7" ht="32" customHeight="1">
      <c r="A7" s="11">
        <f>IF(COUNT(LubesData!$U:$U)=0,"Nothing to show yet. Either no lubes count has been submitted, or the Lubes query is not attached — see the Setup sheet.",IF($L$1="","—",IF(INDEX(LubesCalc!$O$3:$O$62,$L$1)="","—",INDEX(LubesCalc!$O$3:$O$62,$L$1))))</f>
        <v/>
      </c>
    </row>
    <row r="9" ht="28" customHeight="1">
      <c r="A9" s="12" t="inlineStr">
        <is>
          <t>Product</t>
        </is>
      </c>
      <c r="B9" s="13" t="inlineStr">
        <is>
          <t>Opening</t>
        </is>
      </c>
      <c r="C9" s="13" t="inlineStr">
        <is>
          <t>Added</t>
        </is>
      </c>
      <c r="D9" s="13" t="inlineStr">
        <is>
          <t>Closing</t>
        </is>
      </c>
      <c r="E9" s="13" t="inlineStr">
        <is>
          <t>Sold (counted)</t>
        </is>
      </c>
      <c r="F9" s="13" t="inlineStr">
        <is>
          <t>Sold (POS)</t>
        </is>
      </c>
      <c r="G9" s="13" t="inlineStr">
        <is>
          <t>Variance</t>
        </is>
      </c>
      <c r="H9" s="13" t="inlineStr">
        <is>
          <t>Variance RM</t>
        </is>
      </c>
      <c r="I9" s="12" t="inlineStr">
        <is>
          <t>Item ID</t>
        </is>
      </c>
      <c r="J9" s="12" t="inlineStr">
        <is>
          <t>PLU</t>
        </is>
      </c>
    </row>
    <row r="10">
      <c r="A10" s="14">
        <f>IF(AND(ISNUMBER($L10),$L10&lt;&gt;""),INDEX(LubesData!$G:$G,$L10),"")</f>
        <v/>
      </c>
      <c r="B10" s="15">
        <f>IF(AND(ISNUMBER($L10),$L10&lt;&gt;""),IF(INDEX(LubesData!$I:$I,$L10)="","—",INDEX(LubesData!$I:$I,$L10)),"")</f>
        <v/>
      </c>
      <c r="C10" s="15">
        <f>IF(AND(ISNUMBER($L10),$L10&lt;&gt;""),INDEX(LubesData!$J:$J,$L10),"")</f>
        <v/>
      </c>
      <c r="D10" s="15">
        <f>IF(AND(ISNUMBER($L10),$L10&lt;&gt;""),INDEX(LubesData!$K:$K,$L10),"")</f>
        <v/>
      </c>
      <c r="E10" s="15">
        <f>IF(AND(ISNUMBER($L10),$L10&lt;&gt;""),IF(INDEX(LubesData!$L:$L,$L10)="","—",INDEX(LubesData!$L:$L,$L10)),"")</f>
        <v/>
      </c>
      <c r="F10" s="15">
        <f>IF(AND(ISNUMBER($L10),$L10&lt;&gt;""),IF(INDEX(LubesData!$M:$M,$L10)="","—",INDEX(LubesData!$M:$M,$L10)),"")</f>
        <v/>
      </c>
      <c r="G10" s="16">
        <f>IF(AND(ISNUMBER($L10),$L10&lt;&gt;""),IF(INDEX(LubesData!$N:$N,$L10)="","—",INDEX(LubesData!$N:$N,$L10)),"")</f>
        <v/>
      </c>
      <c r="H10" s="17">
        <f>IF(AND(ISNUMBER($L10),$L10&lt;&gt;""),IF(INDEX(LubesData!$Q:$Q,$L10)="","—",INDEX(LubesData!$Q:$Q,$L10)),"")</f>
        <v/>
      </c>
      <c r="I10" s="18">
        <f>IF(AND(ISNUMBER($L10),$L10&lt;&gt;""),INDEX(LubesData!$E:$E,$L10),"")</f>
        <v/>
      </c>
      <c r="J10" s="18">
        <f>IF(AND(ISNUMBER($L10),$L10&lt;&gt;""),INDEX(LubesData!$F:$F,$L10),"")</f>
        <v/>
      </c>
      <c r="L10">
        <f>IFERROR(MATCH((YEAR($B$3)*10000+MONTH($B$3)*100+DAY($B$3))*1000+1,LubesData!$W:$W,0),"")</f>
        <v/>
      </c>
    </row>
    <row r="11">
      <c r="A11" s="19">
        <f>IF(AND(ISNUMBER($L11),$L11&lt;&gt;""),INDEX(LubesData!$G:$G,$L11),"")</f>
        <v/>
      </c>
      <c r="B11" s="20">
        <f>IF(AND(ISNUMBER($L11),$L11&lt;&gt;""),IF(INDEX(LubesData!$I:$I,$L11)="","—",INDEX(LubesData!$I:$I,$L11)),"")</f>
        <v/>
      </c>
      <c r="C11" s="20">
        <f>IF(AND(ISNUMBER($L11),$L11&lt;&gt;""),INDEX(LubesData!$J:$J,$L11),"")</f>
        <v/>
      </c>
      <c r="D11" s="20">
        <f>IF(AND(ISNUMBER($L11),$L11&lt;&gt;""),INDEX(LubesData!$K:$K,$L11),"")</f>
        <v/>
      </c>
      <c r="E11" s="20">
        <f>IF(AND(ISNUMBER($L11),$L11&lt;&gt;""),IF(INDEX(LubesData!$L:$L,$L11)="","—",INDEX(LubesData!$L:$L,$L11)),"")</f>
        <v/>
      </c>
      <c r="F11" s="20">
        <f>IF(AND(ISNUMBER($L11),$L11&lt;&gt;""),IF(INDEX(LubesData!$M:$M,$L11)="","—",INDEX(LubesData!$M:$M,$L11)),"")</f>
        <v/>
      </c>
      <c r="G11" s="21">
        <f>IF(AND(ISNUMBER($L11),$L11&lt;&gt;""),IF(INDEX(LubesData!$N:$N,$L11)="","—",INDEX(LubesData!$N:$N,$L11)),"")</f>
        <v/>
      </c>
      <c r="H11" s="22">
        <f>IF(AND(ISNUMBER($L11),$L11&lt;&gt;""),IF(INDEX(LubesData!$Q:$Q,$L11)="","—",INDEX(LubesData!$Q:$Q,$L11)),"")</f>
        <v/>
      </c>
      <c r="I11" s="23">
        <f>IF(AND(ISNUMBER($L11),$L11&lt;&gt;""),INDEX(LubesData!$E:$E,$L11),"")</f>
        <v/>
      </c>
      <c r="J11" s="23">
        <f>IF(AND(ISNUMBER($L11),$L11&lt;&gt;""),INDEX(LubesData!$F:$F,$L11),"")</f>
        <v/>
      </c>
      <c r="L11">
        <f>IFERROR(MATCH((YEAR($B$3)*10000+MONTH($B$3)*100+DAY($B$3))*1000+2,LubesData!$W:$W,0),"")</f>
        <v/>
      </c>
    </row>
    <row r="12">
      <c r="A12" s="14">
        <f>IF(AND(ISNUMBER($L12),$L12&lt;&gt;""),INDEX(LubesData!$G:$G,$L12),"")</f>
        <v/>
      </c>
      <c r="B12" s="15">
        <f>IF(AND(ISNUMBER($L12),$L12&lt;&gt;""),IF(INDEX(LubesData!$I:$I,$L12)="","—",INDEX(LubesData!$I:$I,$L12)),"")</f>
        <v/>
      </c>
      <c r="C12" s="15">
        <f>IF(AND(ISNUMBER($L12),$L12&lt;&gt;""),INDEX(LubesData!$J:$J,$L12),"")</f>
        <v/>
      </c>
      <c r="D12" s="15">
        <f>IF(AND(ISNUMBER($L12),$L12&lt;&gt;""),INDEX(LubesData!$K:$K,$L12),"")</f>
        <v/>
      </c>
      <c r="E12" s="15">
        <f>IF(AND(ISNUMBER($L12),$L12&lt;&gt;""),IF(INDEX(LubesData!$L:$L,$L12)="","—",INDEX(LubesData!$L:$L,$L12)),"")</f>
        <v/>
      </c>
      <c r="F12" s="15">
        <f>IF(AND(ISNUMBER($L12),$L12&lt;&gt;""),IF(INDEX(LubesData!$M:$M,$L12)="","—",INDEX(LubesData!$M:$M,$L12)),"")</f>
        <v/>
      </c>
      <c r="G12" s="16">
        <f>IF(AND(ISNUMBER($L12),$L12&lt;&gt;""),IF(INDEX(LubesData!$N:$N,$L12)="","—",INDEX(LubesData!$N:$N,$L12)),"")</f>
        <v/>
      </c>
      <c r="H12" s="17">
        <f>IF(AND(ISNUMBER($L12),$L12&lt;&gt;""),IF(INDEX(LubesData!$Q:$Q,$L12)="","—",INDEX(LubesData!$Q:$Q,$L12)),"")</f>
        <v/>
      </c>
      <c r="I12" s="18">
        <f>IF(AND(ISNUMBER($L12),$L12&lt;&gt;""),INDEX(LubesData!$E:$E,$L12),"")</f>
        <v/>
      </c>
      <c r="J12" s="18">
        <f>IF(AND(ISNUMBER($L12),$L12&lt;&gt;""),INDEX(LubesData!$F:$F,$L12),"")</f>
        <v/>
      </c>
      <c r="L12">
        <f>IFERROR(MATCH((YEAR($B$3)*10000+MONTH($B$3)*100+DAY($B$3))*1000+3,LubesData!$W:$W,0),"")</f>
        <v/>
      </c>
    </row>
    <row r="13">
      <c r="A13" s="19">
        <f>IF(AND(ISNUMBER($L13),$L13&lt;&gt;""),INDEX(LubesData!$G:$G,$L13),"")</f>
        <v/>
      </c>
      <c r="B13" s="20">
        <f>IF(AND(ISNUMBER($L13),$L13&lt;&gt;""),IF(INDEX(LubesData!$I:$I,$L13)="","—",INDEX(LubesData!$I:$I,$L13)),"")</f>
        <v/>
      </c>
      <c r="C13" s="20">
        <f>IF(AND(ISNUMBER($L13),$L13&lt;&gt;""),INDEX(LubesData!$J:$J,$L13),"")</f>
        <v/>
      </c>
      <c r="D13" s="20">
        <f>IF(AND(ISNUMBER($L13),$L13&lt;&gt;""),INDEX(LubesData!$K:$K,$L13),"")</f>
        <v/>
      </c>
      <c r="E13" s="20">
        <f>IF(AND(ISNUMBER($L13),$L13&lt;&gt;""),IF(INDEX(LubesData!$L:$L,$L13)="","—",INDEX(LubesData!$L:$L,$L13)),"")</f>
        <v/>
      </c>
      <c r="F13" s="20">
        <f>IF(AND(ISNUMBER($L13),$L13&lt;&gt;""),IF(INDEX(LubesData!$M:$M,$L13)="","—",INDEX(LubesData!$M:$M,$L13)),"")</f>
        <v/>
      </c>
      <c r="G13" s="21">
        <f>IF(AND(ISNUMBER($L13),$L13&lt;&gt;""),IF(INDEX(LubesData!$N:$N,$L13)="","—",INDEX(LubesData!$N:$N,$L13)),"")</f>
        <v/>
      </c>
      <c r="H13" s="22">
        <f>IF(AND(ISNUMBER($L13),$L13&lt;&gt;""),IF(INDEX(LubesData!$Q:$Q,$L13)="","—",INDEX(LubesData!$Q:$Q,$L13)),"")</f>
        <v/>
      </c>
      <c r="I13" s="23">
        <f>IF(AND(ISNUMBER($L13),$L13&lt;&gt;""),INDEX(LubesData!$E:$E,$L13),"")</f>
        <v/>
      </c>
      <c r="J13" s="23">
        <f>IF(AND(ISNUMBER($L13),$L13&lt;&gt;""),INDEX(LubesData!$F:$F,$L13),"")</f>
        <v/>
      </c>
      <c r="L13">
        <f>IFERROR(MATCH((YEAR($B$3)*10000+MONTH($B$3)*100+DAY($B$3))*1000+4,LubesData!$W:$W,0),"")</f>
        <v/>
      </c>
    </row>
    <row r="14">
      <c r="A14" s="14">
        <f>IF(AND(ISNUMBER($L14),$L14&lt;&gt;""),INDEX(LubesData!$G:$G,$L14),"")</f>
        <v/>
      </c>
      <c r="B14" s="15">
        <f>IF(AND(ISNUMBER($L14),$L14&lt;&gt;""),IF(INDEX(LubesData!$I:$I,$L14)="","—",INDEX(LubesData!$I:$I,$L14)),"")</f>
        <v/>
      </c>
      <c r="C14" s="15">
        <f>IF(AND(ISNUMBER($L14),$L14&lt;&gt;""),INDEX(LubesData!$J:$J,$L14),"")</f>
        <v/>
      </c>
      <c r="D14" s="15">
        <f>IF(AND(ISNUMBER($L14),$L14&lt;&gt;""),INDEX(LubesData!$K:$K,$L14),"")</f>
        <v/>
      </c>
      <c r="E14" s="15">
        <f>IF(AND(ISNUMBER($L14),$L14&lt;&gt;""),IF(INDEX(LubesData!$L:$L,$L14)="","—",INDEX(LubesData!$L:$L,$L14)),"")</f>
        <v/>
      </c>
      <c r="F14" s="15">
        <f>IF(AND(ISNUMBER($L14),$L14&lt;&gt;""),IF(INDEX(LubesData!$M:$M,$L14)="","—",INDEX(LubesData!$M:$M,$L14)),"")</f>
        <v/>
      </c>
      <c r="G14" s="16">
        <f>IF(AND(ISNUMBER($L14),$L14&lt;&gt;""),IF(INDEX(LubesData!$N:$N,$L14)="","—",INDEX(LubesData!$N:$N,$L14)),"")</f>
        <v/>
      </c>
      <c r="H14" s="17">
        <f>IF(AND(ISNUMBER($L14),$L14&lt;&gt;""),IF(INDEX(LubesData!$Q:$Q,$L14)="","—",INDEX(LubesData!$Q:$Q,$L14)),"")</f>
        <v/>
      </c>
      <c r="I14" s="18">
        <f>IF(AND(ISNUMBER($L14),$L14&lt;&gt;""),INDEX(LubesData!$E:$E,$L14),"")</f>
        <v/>
      </c>
      <c r="J14" s="18">
        <f>IF(AND(ISNUMBER($L14),$L14&lt;&gt;""),INDEX(LubesData!$F:$F,$L14),"")</f>
        <v/>
      </c>
      <c r="L14">
        <f>IFERROR(MATCH((YEAR($B$3)*10000+MONTH($B$3)*100+DAY($B$3))*1000+5,LubesData!$W:$W,0),"")</f>
        <v/>
      </c>
    </row>
    <row r="15">
      <c r="A15" s="19">
        <f>IF(AND(ISNUMBER($L15),$L15&lt;&gt;""),INDEX(LubesData!$G:$G,$L15),"")</f>
        <v/>
      </c>
      <c r="B15" s="20">
        <f>IF(AND(ISNUMBER($L15),$L15&lt;&gt;""),IF(INDEX(LubesData!$I:$I,$L15)="","—",INDEX(LubesData!$I:$I,$L15)),"")</f>
        <v/>
      </c>
      <c r="C15" s="20">
        <f>IF(AND(ISNUMBER($L15),$L15&lt;&gt;""),INDEX(LubesData!$J:$J,$L15),"")</f>
        <v/>
      </c>
      <c r="D15" s="20">
        <f>IF(AND(ISNUMBER($L15),$L15&lt;&gt;""),INDEX(LubesData!$K:$K,$L15),"")</f>
        <v/>
      </c>
      <c r="E15" s="20">
        <f>IF(AND(ISNUMBER($L15),$L15&lt;&gt;""),IF(INDEX(LubesData!$L:$L,$L15)="","—",INDEX(LubesData!$L:$L,$L15)),"")</f>
        <v/>
      </c>
      <c r="F15" s="20">
        <f>IF(AND(ISNUMBER($L15),$L15&lt;&gt;""),IF(INDEX(LubesData!$M:$M,$L15)="","—",INDEX(LubesData!$M:$M,$L15)),"")</f>
        <v/>
      </c>
      <c r="G15" s="21">
        <f>IF(AND(ISNUMBER($L15),$L15&lt;&gt;""),IF(INDEX(LubesData!$N:$N,$L15)="","—",INDEX(LubesData!$N:$N,$L15)),"")</f>
        <v/>
      </c>
      <c r="H15" s="22">
        <f>IF(AND(ISNUMBER($L15),$L15&lt;&gt;""),IF(INDEX(LubesData!$Q:$Q,$L15)="","—",INDEX(LubesData!$Q:$Q,$L15)),"")</f>
        <v/>
      </c>
      <c r="I15" s="23">
        <f>IF(AND(ISNUMBER($L15),$L15&lt;&gt;""),INDEX(LubesData!$E:$E,$L15),"")</f>
        <v/>
      </c>
      <c r="J15" s="23">
        <f>IF(AND(ISNUMBER($L15),$L15&lt;&gt;""),INDEX(LubesData!$F:$F,$L15),"")</f>
        <v/>
      </c>
      <c r="L15">
        <f>IFERROR(MATCH((YEAR($B$3)*10000+MONTH($B$3)*100+DAY($B$3))*1000+6,LubesData!$W:$W,0),"")</f>
        <v/>
      </c>
    </row>
    <row r="16">
      <c r="A16" s="14">
        <f>IF(AND(ISNUMBER($L16),$L16&lt;&gt;""),INDEX(LubesData!$G:$G,$L16),"")</f>
        <v/>
      </c>
      <c r="B16" s="15">
        <f>IF(AND(ISNUMBER($L16),$L16&lt;&gt;""),IF(INDEX(LubesData!$I:$I,$L16)="","—",INDEX(LubesData!$I:$I,$L16)),"")</f>
        <v/>
      </c>
      <c r="C16" s="15">
        <f>IF(AND(ISNUMBER($L16),$L16&lt;&gt;""),INDEX(LubesData!$J:$J,$L16),"")</f>
        <v/>
      </c>
      <c r="D16" s="15">
        <f>IF(AND(ISNUMBER($L16),$L16&lt;&gt;""),INDEX(LubesData!$K:$K,$L16),"")</f>
        <v/>
      </c>
      <c r="E16" s="15">
        <f>IF(AND(ISNUMBER($L16),$L16&lt;&gt;""),IF(INDEX(LubesData!$L:$L,$L16)="","—",INDEX(LubesData!$L:$L,$L16)),"")</f>
        <v/>
      </c>
      <c r="F16" s="15">
        <f>IF(AND(ISNUMBER($L16),$L16&lt;&gt;""),IF(INDEX(LubesData!$M:$M,$L16)="","—",INDEX(LubesData!$M:$M,$L16)),"")</f>
        <v/>
      </c>
      <c r="G16" s="16">
        <f>IF(AND(ISNUMBER($L16),$L16&lt;&gt;""),IF(INDEX(LubesData!$N:$N,$L16)="","—",INDEX(LubesData!$N:$N,$L16)),"")</f>
        <v/>
      </c>
      <c r="H16" s="17">
        <f>IF(AND(ISNUMBER($L16),$L16&lt;&gt;""),IF(INDEX(LubesData!$Q:$Q,$L16)="","—",INDEX(LubesData!$Q:$Q,$L16)),"")</f>
        <v/>
      </c>
      <c r="I16" s="18">
        <f>IF(AND(ISNUMBER($L16),$L16&lt;&gt;""),INDEX(LubesData!$E:$E,$L16),"")</f>
        <v/>
      </c>
      <c r="J16" s="18">
        <f>IF(AND(ISNUMBER($L16),$L16&lt;&gt;""),INDEX(LubesData!$F:$F,$L16),"")</f>
        <v/>
      </c>
      <c r="L16">
        <f>IFERROR(MATCH((YEAR($B$3)*10000+MONTH($B$3)*100+DAY($B$3))*1000+7,LubesData!$W:$W,0),"")</f>
        <v/>
      </c>
    </row>
    <row r="17">
      <c r="A17" s="19">
        <f>IF(AND(ISNUMBER($L17),$L17&lt;&gt;""),INDEX(LubesData!$G:$G,$L17),"")</f>
        <v/>
      </c>
      <c r="B17" s="20">
        <f>IF(AND(ISNUMBER($L17),$L17&lt;&gt;""),IF(INDEX(LubesData!$I:$I,$L17)="","—",INDEX(LubesData!$I:$I,$L17)),"")</f>
        <v/>
      </c>
      <c r="C17" s="20">
        <f>IF(AND(ISNUMBER($L17),$L17&lt;&gt;""),INDEX(LubesData!$J:$J,$L17),"")</f>
        <v/>
      </c>
      <c r="D17" s="20">
        <f>IF(AND(ISNUMBER($L17),$L17&lt;&gt;""),INDEX(LubesData!$K:$K,$L17),"")</f>
        <v/>
      </c>
      <c r="E17" s="20">
        <f>IF(AND(ISNUMBER($L17),$L17&lt;&gt;""),IF(INDEX(LubesData!$L:$L,$L17)="","—",INDEX(LubesData!$L:$L,$L17)),"")</f>
        <v/>
      </c>
      <c r="F17" s="20">
        <f>IF(AND(ISNUMBER($L17),$L17&lt;&gt;""),IF(INDEX(LubesData!$M:$M,$L17)="","—",INDEX(LubesData!$M:$M,$L17)),"")</f>
        <v/>
      </c>
      <c r="G17" s="21">
        <f>IF(AND(ISNUMBER($L17),$L17&lt;&gt;""),IF(INDEX(LubesData!$N:$N,$L17)="","—",INDEX(LubesData!$N:$N,$L17)),"")</f>
        <v/>
      </c>
      <c r="H17" s="22">
        <f>IF(AND(ISNUMBER($L17),$L17&lt;&gt;""),IF(INDEX(LubesData!$Q:$Q,$L17)="","—",INDEX(LubesData!$Q:$Q,$L17)),"")</f>
        <v/>
      </c>
      <c r="I17" s="23">
        <f>IF(AND(ISNUMBER($L17),$L17&lt;&gt;""),INDEX(LubesData!$E:$E,$L17),"")</f>
        <v/>
      </c>
      <c r="J17" s="23">
        <f>IF(AND(ISNUMBER($L17),$L17&lt;&gt;""),INDEX(LubesData!$F:$F,$L17),"")</f>
        <v/>
      </c>
      <c r="L17">
        <f>IFERROR(MATCH((YEAR($B$3)*10000+MONTH($B$3)*100+DAY($B$3))*1000+8,LubesData!$W:$W,0),"")</f>
        <v/>
      </c>
    </row>
    <row r="18">
      <c r="A18" s="14">
        <f>IF(AND(ISNUMBER($L18),$L18&lt;&gt;""),INDEX(LubesData!$G:$G,$L18),"")</f>
        <v/>
      </c>
      <c r="B18" s="15">
        <f>IF(AND(ISNUMBER($L18),$L18&lt;&gt;""),IF(INDEX(LubesData!$I:$I,$L18)="","—",INDEX(LubesData!$I:$I,$L18)),"")</f>
        <v/>
      </c>
      <c r="C18" s="15">
        <f>IF(AND(ISNUMBER($L18),$L18&lt;&gt;""),INDEX(LubesData!$J:$J,$L18),"")</f>
        <v/>
      </c>
      <c r="D18" s="15">
        <f>IF(AND(ISNUMBER($L18),$L18&lt;&gt;""),INDEX(LubesData!$K:$K,$L18),"")</f>
        <v/>
      </c>
      <c r="E18" s="15">
        <f>IF(AND(ISNUMBER($L18),$L18&lt;&gt;""),IF(INDEX(LubesData!$L:$L,$L18)="","—",INDEX(LubesData!$L:$L,$L18)),"")</f>
        <v/>
      </c>
      <c r="F18" s="15">
        <f>IF(AND(ISNUMBER($L18),$L18&lt;&gt;""),IF(INDEX(LubesData!$M:$M,$L18)="","—",INDEX(LubesData!$M:$M,$L18)),"")</f>
        <v/>
      </c>
      <c r="G18" s="16">
        <f>IF(AND(ISNUMBER($L18),$L18&lt;&gt;""),IF(INDEX(LubesData!$N:$N,$L18)="","—",INDEX(LubesData!$N:$N,$L18)),"")</f>
        <v/>
      </c>
      <c r="H18" s="17">
        <f>IF(AND(ISNUMBER($L18),$L18&lt;&gt;""),IF(INDEX(LubesData!$Q:$Q,$L18)="","—",INDEX(LubesData!$Q:$Q,$L18)),"")</f>
        <v/>
      </c>
      <c r="I18" s="18">
        <f>IF(AND(ISNUMBER($L18),$L18&lt;&gt;""),INDEX(LubesData!$E:$E,$L18),"")</f>
        <v/>
      </c>
      <c r="J18" s="18">
        <f>IF(AND(ISNUMBER($L18),$L18&lt;&gt;""),INDEX(LubesData!$F:$F,$L18),"")</f>
        <v/>
      </c>
      <c r="L18">
        <f>IFERROR(MATCH((YEAR($B$3)*10000+MONTH($B$3)*100+DAY($B$3))*1000+9,LubesData!$W:$W,0),"")</f>
        <v/>
      </c>
    </row>
    <row r="19">
      <c r="A19" s="19">
        <f>IF(AND(ISNUMBER($L19),$L19&lt;&gt;""),INDEX(LubesData!$G:$G,$L19),"")</f>
        <v/>
      </c>
      <c r="B19" s="20">
        <f>IF(AND(ISNUMBER($L19),$L19&lt;&gt;""),IF(INDEX(LubesData!$I:$I,$L19)="","—",INDEX(LubesData!$I:$I,$L19)),"")</f>
        <v/>
      </c>
      <c r="C19" s="20">
        <f>IF(AND(ISNUMBER($L19),$L19&lt;&gt;""),INDEX(LubesData!$J:$J,$L19),"")</f>
        <v/>
      </c>
      <c r="D19" s="20">
        <f>IF(AND(ISNUMBER($L19),$L19&lt;&gt;""),INDEX(LubesData!$K:$K,$L19),"")</f>
        <v/>
      </c>
      <c r="E19" s="20">
        <f>IF(AND(ISNUMBER($L19),$L19&lt;&gt;""),IF(INDEX(LubesData!$L:$L,$L19)="","—",INDEX(LubesData!$L:$L,$L19)),"")</f>
        <v/>
      </c>
      <c r="F19" s="20">
        <f>IF(AND(ISNUMBER($L19),$L19&lt;&gt;""),IF(INDEX(LubesData!$M:$M,$L19)="","—",INDEX(LubesData!$M:$M,$L19)),"")</f>
        <v/>
      </c>
      <c r="G19" s="21">
        <f>IF(AND(ISNUMBER($L19),$L19&lt;&gt;""),IF(INDEX(LubesData!$N:$N,$L19)="","—",INDEX(LubesData!$N:$N,$L19)),"")</f>
        <v/>
      </c>
      <c r="H19" s="22">
        <f>IF(AND(ISNUMBER($L19),$L19&lt;&gt;""),IF(INDEX(LubesData!$Q:$Q,$L19)="","—",INDEX(LubesData!$Q:$Q,$L19)),"")</f>
        <v/>
      </c>
      <c r="I19" s="23">
        <f>IF(AND(ISNUMBER($L19),$L19&lt;&gt;""),INDEX(LubesData!$E:$E,$L19),"")</f>
        <v/>
      </c>
      <c r="J19" s="23">
        <f>IF(AND(ISNUMBER($L19),$L19&lt;&gt;""),INDEX(LubesData!$F:$F,$L19),"")</f>
        <v/>
      </c>
      <c r="L19">
        <f>IFERROR(MATCH((YEAR($B$3)*10000+MONTH($B$3)*100+DAY($B$3))*1000+10,LubesData!$W:$W,0),"")</f>
        <v/>
      </c>
    </row>
    <row r="20">
      <c r="A20" s="14">
        <f>IF(AND(ISNUMBER($L20),$L20&lt;&gt;""),INDEX(LubesData!$G:$G,$L20),"")</f>
        <v/>
      </c>
      <c r="B20" s="15">
        <f>IF(AND(ISNUMBER($L20),$L20&lt;&gt;""),IF(INDEX(LubesData!$I:$I,$L20)="","—",INDEX(LubesData!$I:$I,$L20)),"")</f>
        <v/>
      </c>
      <c r="C20" s="15">
        <f>IF(AND(ISNUMBER($L20),$L20&lt;&gt;""),INDEX(LubesData!$J:$J,$L20),"")</f>
        <v/>
      </c>
      <c r="D20" s="15">
        <f>IF(AND(ISNUMBER($L20),$L20&lt;&gt;""),INDEX(LubesData!$K:$K,$L20),"")</f>
        <v/>
      </c>
      <c r="E20" s="15">
        <f>IF(AND(ISNUMBER($L20),$L20&lt;&gt;""),IF(INDEX(LubesData!$L:$L,$L20)="","—",INDEX(LubesData!$L:$L,$L20)),"")</f>
        <v/>
      </c>
      <c r="F20" s="15">
        <f>IF(AND(ISNUMBER($L20),$L20&lt;&gt;""),IF(INDEX(LubesData!$M:$M,$L20)="","—",INDEX(LubesData!$M:$M,$L20)),"")</f>
        <v/>
      </c>
      <c r="G20" s="16">
        <f>IF(AND(ISNUMBER($L20),$L20&lt;&gt;""),IF(INDEX(LubesData!$N:$N,$L20)="","—",INDEX(LubesData!$N:$N,$L20)),"")</f>
        <v/>
      </c>
      <c r="H20" s="17">
        <f>IF(AND(ISNUMBER($L20),$L20&lt;&gt;""),IF(INDEX(LubesData!$Q:$Q,$L20)="","—",INDEX(LubesData!$Q:$Q,$L20)),"")</f>
        <v/>
      </c>
      <c r="I20" s="18">
        <f>IF(AND(ISNUMBER($L20),$L20&lt;&gt;""),INDEX(LubesData!$E:$E,$L20),"")</f>
        <v/>
      </c>
      <c r="J20" s="18">
        <f>IF(AND(ISNUMBER($L20),$L20&lt;&gt;""),INDEX(LubesData!$F:$F,$L20),"")</f>
        <v/>
      </c>
      <c r="L20">
        <f>IFERROR(MATCH((YEAR($B$3)*10000+MONTH($B$3)*100+DAY($B$3))*1000+11,LubesData!$W:$W,0),"")</f>
        <v/>
      </c>
    </row>
    <row r="21">
      <c r="A21" s="19">
        <f>IF(AND(ISNUMBER($L21),$L21&lt;&gt;""),INDEX(LubesData!$G:$G,$L21),"")</f>
        <v/>
      </c>
      <c r="B21" s="20">
        <f>IF(AND(ISNUMBER($L21),$L21&lt;&gt;""),IF(INDEX(LubesData!$I:$I,$L21)="","—",INDEX(LubesData!$I:$I,$L21)),"")</f>
        <v/>
      </c>
      <c r="C21" s="20">
        <f>IF(AND(ISNUMBER($L21),$L21&lt;&gt;""),INDEX(LubesData!$J:$J,$L21),"")</f>
        <v/>
      </c>
      <c r="D21" s="20">
        <f>IF(AND(ISNUMBER($L21),$L21&lt;&gt;""),INDEX(LubesData!$K:$K,$L21),"")</f>
        <v/>
      </c>
      <c r="E21" s="20">
        <f>IF(AND(ISNUMBER($L21),$L21&lt;&gt;""),IF(INDEX(LubesData!$L:$L,$L21)="","—",INDEX(LubesData!$L:$L,$L21)),"")</f>
        <v/>
      </c>
      <c r="F21" s="20">
        <f>IF(AND(ISNUMBER($L21),$L21&lt;&gt;""),IF(INDEX(LubesData!$M:$M,$L21)="","—",INDEX(LubesData!$M:$M,$L21)),"")</f>
        <v/>
      </c>
      <c r="G21" s="21">
        <f>IF(AND(ISNUMBER($L21),$L21&lt;&gt;""),IF(INDEX(LubesData!$N:$N,$L21)="","—",INDEX(LubesData!$N:$N,$L21)),"")</f>
        <v/>
      </c>
      <c r="H21" s="22">
        <f>IF(AND(ISNUMBER($L21),$L21&lt;&gt;""),IF(INDEX(LubesData!$Q:$Q,$L21)="","—",INDEX(LubesData!$Q:$Q,$L21)),"")</f>
        <v/>
      </c>
      <c r="I21" s="23">
        <f>IF(AND(ISNUMBER($L21),$L21&lt;&gt;""),INDEX(LubesData!$E:$E,$L21),"")</f>
        <v/>
      </c>
      <c r="J21" s="23">
        <f>IF(AND(ISNUMBER($L21),$L21&lt;&gt;""),INDEX(LubesData!$F:$F,$L21),"")</f>
        <v/>
      </c>
      <c r="L21">
        <f>IFERROR(MATCH((YEAR($B$3)*10000+MONTH($B$3)*100+DAY($B$3))*1000+12,LubesData!$W:$W,0),"")</f>
        <v/>
      </c>
    </row>
    <row r="22">
      <c r="A22" s="14">
        <f>IF(AND(ISNUMBER($L22),$L22&lt;&gt;""),INDEX(LubesData!$G:$G,$L22),"")</f>
        <v/>
      </c>
      <c r="B22" s="15">
        <f>IF(AND(ISNUMBER($L22),$L22&lt;&gt;""),IF(INDEX(LubesData!$I:$I,$L22)="","—",INDEX(LubesData!$I:$I,$L22)),"")</f>
        <v/>
      </c>
      <c r="C22" s="15">
        <f>IF(AND(ISNUMBER($L22),$L22&lt;&gt;""),INDEX(LubesData!$J:$J,$L22),"")</f>
        <v/>
      </c>
      <c r="D22" s="15">
        <f>IF(AND(ISNUMBER($L22),$L22&lt;&gt;""),INDEX(LubesData!$K:$K,$L22),"")</f>
        <v/>
      </c>
      <c r="E22" s="15">
        <f>IF(AND(ISNUMBER($L22),$L22&lt;&gt;""),IF(INDEX(LubesData!$L:$L,$L22)="","—",INDEX(LubesData!$L:$L,$L22)),"")</f>
        <v/>
      </c>
      <c r="F22" s="15">
        <f>IF(AND(ISNUMBER($L22),$L22&lt;&gt;""),IF(INDEX(LubesData!$M:$M,$L22)="","—",INDEX(LubesData!$M:$M,$L22)),"")</f>
        <v/>
      </c>
      <c r="G22" s="16">
        <f>IF(AND(ISNUMBER($L22),$L22&lt;&gt;""),IF(INDEX(LubesData!$N:$N,$L22)="","—",INDEX(LubesData!$N:$N,$L22)),"")</f>
        <v/>
      </c>
      <c r="H22" s="17">
        <f>IF(AND(ISNUMBER($L22),$L22&lt;&gt;""),IF(INDEX(LubesData!$Q:$Q,$L22)="","—",INDEX(LubesData!$Q:$Q,$L22)),"")</f>
        <v/>
      </c>
      <c r="I22" s="18">
        <f>IF(AND(ISNUMBER($L22),$L22&lt;&gt;""),INDEX(LubesData!$E:$E,$L22),"")</f>
        <v/>
      </c>
      <c r="J22" s="18">
        <f>IF(AND(ISNUMBER($L22),$L22&lt;&gt;""),INDEX(LubesData!$F:$F,$L22),"")</f>
        <v/>
      </c>
      <c r="L22">
        <f>IFERROR(MATCH((YEAR($B$3)*10000+MONTH($B$3)*100+DAY($B$3))*1000+13,LubesData!$W:$W,0),"")</f>
        <v/>
      </c>
    </row>
    <row r="23">
      <c r="A23" s="19">
        <f>IF(AND(ISNUMBER($L23),$L23&lt;&gt;""),INDEX(LubesData!$G:$G,$L23),"")</f>
        <v/>
      </c>
      <c r="B23" s="20">
        <f>IF(AND(ISNUMBER($L23),$L23&lt;&gt;""),IF(INDEX(LubesData!$I:$I,$L23)="","—",INDEX(LubesData!$I:$I,$L23)),"")</f>
        <v/>
      </c>
      <c r="C23" s="20">
        <f>IF(AND(ISNUMBER($L23),$L23&lt;&gt;""),INDEX(LubesData!$J:$J,$L23),"")</f>
        <v/>
      </c>
      <c r="D23" s="20">
        <f>IF(AND(ISNUMBER($L23),$L23&lt;&gt;""),INDEX(LubesData!$K:$K,$L23),"")</f>
        <v/>
      </c>
      <c r="E23" s="20">
        <f>IF(AND(ISNUMBER($L23),$L23&lt;&gt;""),IF(INDEX(LubesData!$L:$L,$L23)="","—",INDEX(LubesData!$L:$L,$L23)),"")</f>
        <v/>
      </c>
      <c r="F23" s="20">
        <f>IF(AND(ISNUMBER($L23),$L23&lt;&gt;""),IF(INDEX(LubesData!$M:$M,$L23)="","—",INDEX(LubesData!$M:$M,$L23)),"")</f>
        <v/>
      </c>
      <c r="G23" s="21">
        <f>IF(AND(ISNUMBER($L23),$L23&lt;&gt;""),IF(INDEX(LubesData!$N:$N,$L23)="","—",INDEX(LubesData!$N:$N,$L23)),"")</f>
        <v/>
      </c>
      <c r="H23" s="22">
        <f>IF(AND(ISNUMBER($L23),$L23&lt;&gt;""),IF(INDEX(LubesData!$Q:$Q,$L23)="","—",INDEX(LubesData!$Q:$Q,$L23)),"")</f>
        <v/>
      </c>
      <c r="I23" s="23">
        <f>IF(AND(ISNUMBER($L23),$L23&lt;&gt;""),INDEX(LubesData!$E:$E,$L23),"")</f>
        <v/>
      </c>
      <c r="J23" s="23">
        <f>IF(AND(ISNUMBER($L23),$L23&lt;&gt;""),INDEX(LubesData!$F:$F,$L23),"")</f>
        <v/>
      </c>
      <c r="L23">
        <f>IFERROR(MATCH((YEAR($B$3)*10000+MONTH($B$3)*100+DAY($B$3))*1000+14,LubesData!$W:$W,0),"")</f>
        <v/>
      </c>
    </row>
    <row r="24">
      <c r="A24" s="14">
        <f>IF(AND(ISNUMBER($L24),$L24&lt;&gt;""),INDEX(LubesData!$G:$G,$L24),"")</f>
        <v/>
      </c>
      <c r="B24" s="15">
        <f>IF(AND(ISNUMBER($L24),$L24&lt;&gt;""),IF(INDEX(LubesData!$I:$I,$L24)="","—",INDEX(LubesData!$I:$I,$L24)),"")</f>
        <v/>
      </c>
      <c r="C24" s="15">
        <f>IF(AND(ISNUMBER($L24),$L24&lt;&gt;""),INDEX(LubesData!$J:$J,$L24),"")</f>
        <v/>
      </c>
      <c r="D24" s="15">
        <f>IF(AND(ISNUMBER($L24),$L24&lt;&gt;""),INDEX(LubesData!$K:$K,$L24),"")</f>
        <v/>
      </c>
      <c r="E24" s="15">
        <f>IF(AND(ISNUMBER($L24),$L24&lt;&gt;""),IF(INDEX(LubesData!$L:$L,$L24)="","—",INDEX(LubesData!$L:$L,$L24)),"")</f>
        <v/>
      </c>
      <c r="F24" s="15">
        <f>IF(AND(ISNUMBER($L24),$L24&lt;&gt;""),IF(INDEX(LubesData!$M:$M,$L24)="","—",INDEX(LubesData!$M:$M,$L24)),"")</f>
        <v/>
      </c>
      <c r="G24" s="16">
        <f>IF(AND(ISNUMBER($L24),$L24&lt;&gt;""),IF(INDEX(LubesData!$N:$N,$L24)="","—",INDEX(LubesData!$N:$N,$L24)),"")</f>
        <v/>
      </c>
      <c r="H24" s="17">
        <f>IF(AND(ISNUMBER($L24),$L24&lt;&gt;""),IF(INDEX(LubesData!$Q:$Q,$L24)="","—",INDEX(LubesData!$Q:$Q,$L24)),"")</f>
        <v/>
      </c>
      <c r="I24" s="18">
        <f>IF(AND(ISNUMBER($L24),$L24&lt;&gt;""),INDEX(LubesData!$E:$E,$L24),"")</f>
        <v/>
      </c>
      <c r="J24" s="18">
        <f>IF(AND(ISNUMBER($L24),$L24&lt;&gt;""),INDEX(LubesData!$F:$F,$L24),"")</f>
        <v/>
      </c>
      <c r="L24">
        <f>IFERROR(MATCH((YEAR($B$3)*10000+MONTH($B$3)*100+DAY($B$3))*1000+15,LubesData!$W:$W,0),"")</f>
        <v/>
      </c>
    </row>
    <row r="25">
      <c r="A25" s="19">
        <f>IF(AND(ISNUMBER($L25),$L25&lt;&gt;""),INDEX(LubesData!$G:$G,$L25),"")</f>
        <v/>
      </c>
      <c r="B25" s="20">
        <f>IF(AND(ISNUMBER($L25),$L25&lt;&gt;""),IF(INDEX(LubesData!$I:$I,$L25)="","—",INDEX(LubesData!$I:$I,$L25)),"")</f>
        <v/>
      </c>
      <c r="C25" s="20">
        <f>IF(AND(ISNUMBER($L25),$L25&lt;&gt;""),INDEX(LubesData!$J:$J,$L25),"")</f>
        <v/>
      </c>
      <c r="D25" s="20">
        <f>IF(AND(ISNUMBER($L25),$L25&lt;&gt;""),INDEX(LubesData!$K:$K,$L25),"")</f>
        <v/>
      </c>
      <c r="E25" s="20">
        <f>IF(AND(ISNUMBER($L25),$L25&lt;&gt;""),IF(INDEX(LubesData!$L:$L,$L25)="","—",INDEX(LubesData!$L:$L,$L25)),"")</f>
        <v/>
      </c>
      <c r="F25" s="20">
        <f>IF(AND(ISNUMBER($L25),$L25&lt;&gt;""),IF(INDEX(LubesData!$M:$M,$L25)="","—",INDEX(LubesData!$M:$M,$L25)),"")</f>
        <v/>
      </c>
      <c r="G25" s="21">
        <f>IF(AND(ISNUMBER($L25),$L25&lt;&gt;""),IF(INDEX(LubesData!$N:$N,$L25)="","—",INDEX(LubesData!$N:$N,$L25)),"")</f>
        <v/>
      </c>
      <c r="H25" s="22">
        <f>IF(AND(ISNUMBER($L25),$L25&lt;&gt;""),IF(INDEX(LubesData!$Q:$Q,$L25)="","—",INDEX(LubesData!$Q:$Q,$L25)),"")</f>
        <v/>
      </c>
      <c r="I25" s="23">
        <f>IF(AND(ISNUMBER($L25),$L25&lt;&gt;""),INDEX(LubesData!$E:$E,$L25),"")</f>
        <v/>
      </c>
      <c r="J25" s="23">
        <f>IF(AND(ISNUMBER($L25),$L25&lt;&gt;""),INDEX(LubesData!$F:$F,$L25),"")</f>
        <v/>
      </c>
      <c r="L25">
        <f>IFERROR(MATCH((YEAR($B$3)*10000+MONTH($B$3)*100+DAY($B$3))*1000+16,LubesData!$W:$W,0),"")</f>
        <v/>
      </c>
    </row>
    <row r="26">
      <c r="A26" s="14">
        <f>IF(AND(ISNUMBER($L26),$L26&lt;&gt;""),INDEX(LubesData!$G:$G,$L26),"")</f>
        <v/>
      </c>
      <c r="B26" s="15">
        <f>IF(AND(ISNUMBER($L26),$L26&lt;&gt;""),IF(INDEX(LubesData!$I:$I,$L26)="","—",INDEX(LubesData!$I:$I,$L26)),"")</f>
        <v/>
      </c>
      <c r="C26" s="15">
        <f>IF(AND(ISNUMBER($L26),$L26&lt;&gt;""),INDEX(LubesData!$J:$J,$L26),"")</f>
        <v/>
      </c>
      <c r="D26" s="15">
        <f>IF(AND(ISNUMBER($L26),$L26&lt;&gt;""),INDEX(LubesData!$K:$K,$L26),"")</f>
        <v/>
      </c>
      <c r="E26" s="15">
        <f>IF(AND(ISNUMBER($L26),$L26&lt;&gt;""),IF(INDEX(LubesData!$L:$L,$L26)="","—",INDEX(LubesData!$L:$L,$L26)),"")</f>
        <v/>
      </c>
      <c r="F26" s="15">
        <f>IF(AND(ISNUMBER($L26),$L26&lt;&gt;""),IF(INDEX(LubesData!$M:$M,$L26)="","—",INDEX(LubesData!$M:$M,$L26)),"")</f>
        <v/>
      </c>
      <c r="G26" s="16">
        <f>IF(AND(ISNUMBER($L26),$L26&lt;&gt;""),IF(INDEX(LubesData!$N:$N,$L26)="","—",INDEX(LubesData!$N:$N,$L26)),"")</f>
        <v/>
      </c>
      <c r="H26" s="17">
        <f>IF(AND(ISNUMBER($L26),$L26&lt;&gt;""),IF(INDEX(LubesData!$Q:$Q,$L26)="","—",INDEX(LubesData!$Q:$Q,$L26)),"")</f>
        <v/>
      </c>
      <c r="I26" s="18">
        <f>IF(AND(ISNUMBER($L26),$L26&lt;&gt;""),INDEX(LubesData!$E:$E,$L26),"")</f>
        <v/>
      </c>
      <c r="J26" s="18">
        <f>IF(AND(ISNUMBER($L26),$L26&lt;&gt;""),INDEX(LubesData!$F:$F,$L26),"")</f>
        <v/>
      </c>
      <c r="L26">
        <f>IFERROR(MATCH((YEAR($B$3)*10000+MONTH($B$3)*100+DAY($B$3))*1000+17,LubesData!$W:$W,0),"")</f>
        <v/>
      </c>
    </row>
    <row r="27">
      <c r="A27" s="19">
        <f>IF(AND(ISNUMBER($L27),$L27&lt;&gt;""),INDEX(LubesData!$G:$G,$L27),"")</f>
        <v/>
      </c>
      <c r="B27" s="20">
        <f>IF(AND(ISNUMBER($L27),$L27&lt;&gt;""),IF(INDEX(LubesData!$I:$I,$L27)="","—",INDEX(LubesData!$I:$I,$L27)),"")</f>
        <v/>
      </c>
      <c r="C27" s="20">
        <f>IF(AND(ISNUMBER($L27),$L27&lt;&gt;""),INDEX(LubesData!$J:$J,$L27),"")</f>
        <v/>
      </c>
      <c r="D27" s="20">
        <f>IF(AND(ISNUMBER($L27),$L27&lt;&gt;""),INDEX(LubesData!$K:$K,$L27),"")</f>
        <v/>
      </c>
      <c r="E27" s="20">
        <f>IF(AND(ISNUMBER($L27),$L27&lt;&gt;""),IF(INDEX(LubesData!$L:$L,$L27)="","—",INDEX(LubesData!$L:$L,$L27)),"")</f>
        <v/>
      </c>
      <c r="F27" s="20">
        <f>IF(AND(ISNUMBER($L27),$L27&lt;&gt;""),IF(INDEX(LubesData!$M:$M,$L27)="","—",INDEX(LubesData!$M:$M,$L27)),"")</f>
        <v/>
      </c>
      <c r="G27" s="21">
        <f>IF(AND(ISNUMBER($L27),$L27&lt;&gt;""),IF(INDEX(LubesData!$N:$N,$L27)="","—",INDEX(LubesData!$N:$N,$L27)),"")</f>
        <v/>
      </c>
      <c r="H27" s="22">
        <f>IF(AND(ISNUMBER($L27),$L27&lt;&gt;""),IF(INDEX(LubesData!$Q:$Q,$L27)="","—",INDEX(LubesData!$Q:$Q,$L27)),"")</f>
        <v/>
      </c>
      <c r="I27" s="23">
        <f>IF(AND(ISNUMBER($L27),$L27&lt;&gt;""),INDEX(LubesData!$E:$E,$L27),"")</f>
        <v/>
      </c>
      <c r="J27" s="23">
        <f>IF(AND(ISNUMBER($L27),$L27&lt;&gt;""),INDEX(LubesData!$F:$F,$L27),"")</f>
        <v/>
      </c>
      <c r="L27">
        <f>IFERROR(MATCH((YEAR($B$3)*10000+MONTH($B$3)*100+DAY($B$3))*1000+18,LubesData!$W:$W,0),"")</f>
        <v/>
      </c>
    </row>
    <row r="28">
      <c r="A28" s="14">
        <f>IF(AND(ISNUMBER($L28),$L28&lt;&gt;""),INDEX(LubesData!$G:$G,$L28),"")</f>
        <v/>
      </c>
      <c r="B28" s="15">
        <f>IF(AND(ISNUMBER($L28),$L28&lt;&gt;""),IF(INDEX(LubesData!$I:$I,$L28)="","—",INDEX(LubesData!$I:$I,$L28)),"")</f>
        <v/>
      </c>
      <c r="C28" s="15">
        <f>IF(AND(ISNUMBER($L28),$L28&lt;&gt;""),INDEX(LubesData!$J:$J,$L28),"")</f>
        <v/>
      </c>
      <c r="D28" s="15">
        <f>IF(AND(ISNUMBER($L28),$L28&lt;&gt;""),INDEX(LubesData!$K:$K,$L28),"")</f>
        <v/>
      </c>
      <c r="E28" s="15">
        <f>IF(AND(ISNUMBER($L28),$L28&lt;&gt;""),IF(INDEX(LubesData!$L:$L,$L28)="","—",INDEX(LubesData!$L:$L,$L28)),"")</f>
        <v/>
      </c>
      <c r="F28" s="15">
        <f>IF(AND(ISNUMBER($L28),$L28&lt;&gt;""),IF(INDEX(LubesData!$M:$M,$L28)="","—",INDEX(LubesData!$M:$M,$L28)),"")</f>
        <v/>
      </c>
      <c r="G28" s="16">
        <f>IF(AND(ISNUMBER($L28),$L28&lt;&gt;""),IF(INDEX(LubesData!$N:$N,$L28)="","—",INDEX(LubesData!$N:$N,$L28)),"")</f>
        <v/>
      </c>
      <c r="H28" s="17">
        <f>IF(AND(ISNUMBER($L28),$L28&lt;&gt;""),IF(INDEX(LubesData!$Q:$Q,$L28)="","—",INDEX(LubesData!$Q:$Q,$L28)),"")</f>
        <v/>
      </c>
      <c r="I28" s="18">
        <f>IF(AND(ISNUMBER($L28),$L28&lt;&gt;""),INDEX(LubesData!$E:$E,$L28),"")</f>
        <v/>
      </c>
      <c r="J28" s="18">
        <f>IF(AND(ISNUMBER($L28),$L28&lt;&gt;""),INDEX(LubesData!$F:$F,$L28),"")</f>
        <v/>
      </c>
      <c r="L28">
        <f>IFERROR(MATCH((YEAR($B$3)*10000+MONTH($B$3)*100+DAY($B$3))*1000+19,LubesData!$W:$W,0),"")</f>
        <v/>
      </c>
    </row>
    <row r="29">
      <c r="A29" s="19">
        <f>IF(AND(ISNUMBER($L29),$L29&lt;&gt;""),INDEX(LubesData!$G:$G,$L29),"")</f>
        <v/>
      </c>
      <c r="B29" s="20">
        <f>IF(AND(ISNUMBER($L29),$L29&lt;&gt;""),IF(INDEX(LubesData!$I:$I,$L29)="","—",INDEX(LubesData!$I:$I,$L29)),"")</f>
        <v/>
      </c>
      <c r="C29" s="20">
        <f>IF(AND(ISNUMBER($L29),$L29&lt;&gt;""),INDEX(LubesData!$J:$J,$L29),"")</f>
        <v/>
      </c>
      <c r="D29" s="20">
        <f>IF(AND(ISNUMBER($L29),$L29&lt;&gt;""),INDEX(LubesData!$K:$K,$L29),"")</f>
        <v/>
      </c>
      <c r="E29" s="20">
        <f>IF(AND(ISNUMBER($L29),$L29&lt;&gt;""),IF(INDEX(LubesData!$L:$L,$L29)="","—",INDEX(LubesData!$L:$L,$L29)),"")</f>
        <v/>
      </c>
      <c r="F29" s="20">
        <f>IF(AND(ISNUMBER($L29),$L29&lt;&gt;""),IF(INDEX(LubesData!$M:$M,$L29)="","—",INDEX(LubesData!$M:$M,$L29)),"")</f>
        <v/>
      </c>
      <c r="G29" s="21">
        <f>IF(AND(ISNUMBER($L29),$L29&lt;&gt;""),IF(INDEX(LubesData!$N:$N,$L29)="","—",INDEX(LubesData!$N:$N,$L29)),"")</f>
        <v/>
      </c>
      <c r="H29" s="22">
        <f>IF(AND(ISNUMBER($L29),$L29&lt;&gt;""),IF(INDEX(LubesData!$Q:$Q,$L29)="","—",INDEX(LubesData!$Q:$Q,$L29)),"")</f>
        <v/>
      </c>
      <c r="I29" s="23">
        <f>IF(AND(ISNUMBER($L29),$L29&lt;&gt;""),INDEX(LubesData!$E:$E,$L29),"")</f>
        <v/>
      </c>
      <c r="J29" s="23">
        <f>IF(AND(ISNUMBER($L29),$L29&lt;&gt;""),INDEX(LubesData!$F:$F,$L29),"")</f>
        <v/>
      </c>
      <c r="L29">
        <f>IFERROR(MATCH((YEAR($B$3)*10000+MONTH($B$3)*100+DAY($B$3))*1000+20,LubesData!$W:$W,0),"")</f>
        <v/>
      </c>
    </row>
    <row r="30">
      <c r="A30" s="14">
        <f>IF(AND(ISNUMBER($L30),$L30&lt;&gt;""),INDEX(LubesData!$G:$G,$L30),"")</f>
        <v/>
      </c>
      <c r="B30" s="15">
        <f>IF(AND(ISNUMBER($L30),$L30&lt;&gt;""),IF(INDEX(LubesData!$I:$I,$L30)="","—",INDEX(LubesData!$I:$I,$L30)),"")</f>
        <v/>
      </c>
      <c r="C30" s="15">
        <f>IF(AND(ISNUMBER($L30),$L30&lt;&gt;""),INDEX(LubesData!$J:$J,$L30),"")</f>
        <v/>
      </c>
      <c r="D30" s="15">
        <f>IF(AND(ISNUMBER($L30),$L30&lt;&gt;""),INDEX(LubesData!$K:$K,$L30),"")</f>
        <v/>
      </c>
      <c r="E30" s="15">
        <f>IF(AND(ISNUMBER($L30),$L30&lt;&gt;""),IF(INDEX(LubesData!$L:$L,$L30)="","—",INDEX(LubesData!$L:$L,$L30)),"")</f>
        <v/>
      </c>
      <c r="F30" s="15">
        <f>IF(AND(ISNUMBER($L30),$L30&lt;&gt;""),IF(INDEX(LubesData!$M:$M,$L30)="","—",INDEX(LubesData!$M:$M,$L30)),"")</f>
        <v/>
      </c>
      <c r="G30" s="16">
        <f>IF(AND(ISNUMBER($L30),$L30&lt;&gt;""),IF(INDEX(LubesData!$N:$N,$L30)="","—",INDEX(LubesData!$N:$N,$L30)),"")</f>
        <v/>
      </c>
      <c r="H30" s="17">
        <f>IF(AND(ISNUMBER($L30),$L30&lt;&gt;""),IF(INDEX(LubesData!$Q:$Q,$L30)="","—",INDEX(LubesData!$Q:$Q,$L30)),"")</f>
        <v/>
      </c>
      <c r="I30" s="18">
        <f>IF(AND(ISNUMBER($L30),$L30&lt;&gt;""),INDEX(LubesData!$E:$E,$L30),"")</f>
        <v/>
      </c>
      <c r="J30" s="18">
        <f>IF(AND(ISNUMBER($L30),$L30&lt;&gt;""),INDEX(LubesData!$F:$F,$L30),"")</f>
        <v/>
      </c>
      <c r="L30">
        <f>IFERROR(MATCH((YEAR($B$3)*10000+MONTH($B$3)*100+DAY($B$3))*1000+21,LubesData!$W:$W,0),"")</f>
        <v/>
      </c>
    </row>
    <row r="31">
      <c r="A31" s="19">
        <f>IF(AND(ISNUMBER($L31),$L31&lt;&gt;""),INDEX(LubesData!$G:$G,$L31),"")</f>
        <v/>
      </c>
      <c r="B31" s="20">
        <f>IF(AND(ISNUMBER($L31),$L31&lt;&gt;""),IF(INDEX(LubesData!$I:$I,$L31)="","—",INDEX(LubesData!$I:$I,$L31)),"")</f>
        <v/>
      </c>
      <c r="C31" s="20">
        <f>IF(AND(ISNUMBER($L31),$L31&lt;&gt;""),INDEX(LubesData!$J:$J,$L31),"")</f>
        <v/>
      </c>
      <c r="D31" s="20">
        <f>IF(AND(ISNUMBER($L31),$L31&lt;&gt;""),INDEX(LubesData!$K:$K,$L31),"")</f>
        <v/>
      </c>
      <c r="E31" s="20">
        <f>IF(AND(ISNUMBER($L31),$L31&lt;&gt;""),IF(INDEX(LubesData!$L:$L,$L31)="","—",INDEX(LubesData!$L:$L,$L31)),"")</f>
        <v/>
      </c>
      <c r="F31" s="20">
        <f>IF(AND(ISNUMBER($L31),$L31&lt;&gt;""),IF(INDEX(LubesData!$M:$M,$L31)="","—",INDEX(LubesData!$M:$M,$L31)),"")</f>
        <v/>
      </c>
      <c r="G31" s="21">
        <f>IF(AND(ISNUMBER($L31),$L31&lt;&gt;""),IF(INDEX(LubesData!$N:$N,$L31)="","—",INDEX(LubesData!$N:$N,$L31)),"")</f>
        <v/>
      </c>
      <c r="H31" s="22">
        <f>IF(AND(ISNUMBER($L31),$L31&lt;&gt;""),IF(INDEX(LubesData!$Q:$Q,$L31)="","—",INDEX(LubesData!$Q:$Q,$L31)),"")</f>
        <v/>
      </c>
      <c r="I31" s="23">
        <f>IF(AND(ISNUMBER($L31),$L31&lt;&gt;""),INDEX(LubesData!$E:$E,$L31),"")</f>
        <v/>
      </c>
      <c r="J31" s="23">
        <f>IF(AND(ISNUMBER($L31),$L31&lt;&gt;""),INDEX(LubesData!$F:$F,$L31),"")</f>
        <v/>
      </c>
      <c r="L31">
        <f>IFERROR(MATCH((YEAR($B$3)*10000+MONTH($B$3)*100+DAY($B$3))*1000+22,LubesData!$W:$W,0),"")</f>
        <v/>
      </c>
    </row>
    <row r="32">
      <c r="A32" s="14">
        <f>IF(AND(ISNUMBER($L32),$L32&lt;&gt;""),INDEX(LubesData!$G:$G,$L32),"")</f>
        <v/>
      </c>
      <c r="B32" s="15">
        <f>IF(AND(ISNUMBER($L32),$L32&lt;&gt;""),IF(INDEX(LubesData!$I:$I,$L32)="","—",INDEX(LubesData!$I:$I,$L32)),"")</f>
        <v/>
      </c>
      <c r="C32" s="15">
        <f>IF(AND(ISNUMBER($L32),$L32&lt;&gt;""),INDEX(LubesData!$J:$J,$L32),"")</f>
        <v/>
      </c>
      <c r="D32" s="15">
        <f>IF(AND(ISNUMBER($L32),$L32&lt;&gt;""),INDEX(LubesData!$K:$K,$L32),"")</f>
        <v/>
      </c>
      <c r="E32" s="15">
        <f>IF(AND(ISNUMBER($L32),$L32&lt;&gt;""),IF(INDEX(LubesData!$L:$L,$L32)="","—",INDEX(LubesData!$L:$L,$L32)),"")</f>
        <v/>
      </c>
      <c r="F32" s="15">
        <f>IF(AND(ISNUMBER($L32),$L32&lt;&gt;""),IF(INDEX(LubesData!$M:$M,$L32)="","—",INDEX(LubesData!$M:$M,$L32)),"")</f>
        <v/>
      </c>
      <c r="G32" s="16">
        <f>IF(AND(ISNUMBER($L32),$L32&lt;&gt;""),IF(INDEX(LubesData!$N:$N,$L32)="","—",INDEX(LubesData!$N:$N,$L32)),"")</f>
        <v/>
      </c>
      <c r="H32" s="17">
        <f>IF(AND(ISNUMBER($L32),$L32&lt;&gt;""),IF(INDEX(LubesData!$Q:$Q,$L32)="","—",INDEX(LubesData!$Q:$Q,$L32)),"")</f>
        <v/>
      </c>
      <c r="I32" s="18">
        <f>IF(AND(ISNUMBER($L32),$L32&lt;&gt;""),INDEX(LubesData!$E:$E,$L32),"")</f>
        <v/>
      </c>
      <c r="J32" s="18">
        <f>IF(AND(ISNUMBER($L32),$L32&lt;&gt;""),INDEX(LubesData!$F:$F,$L32),"")</f>
        <v/>
      </c>
      <c r="L32">
        <f>IFERROR(MATCH((YEAR($B$3)*10000+MONTH($B$3)*100+DAY($B$3))*1000+23,LubesData!$W:$W,0),"")</f>
        <v/>
      </c>
    </row>
    <row r="33">
      <c r="A33" s="19">
        <f>IF(AND(ISNUMBER($L33),$L33&lt;&gt;""),INDEX(LubesData!$G:$G,$L33),"")</f>
        <v/>
      </c>
      <c r="B33" s="20">
        <f>IF(AND(ISNUMBER($L33),$L33&lt;&gt;""),IF(INDEX(LubesData!$I:$I,$L33)="","—",INDEX(LubesData!$I:$I,$L33)),"")</f>
        <v/>
      </c>
      <c r="C33" s="20">
        <f>IF(AND(ISNUMBER($L33),$L33&lt;&gt;""),INDEX(LubesData!$J:$J,$L33),"")</f>
        <v/>
      </c>
      <c r="D33" s="20">
        <f>IF(AND(ISNUMBER($L33),$L33&lt;&gt;""),INDEX(LubesData!$K:$K,$L33),"")</f>
        <v/>
      </c>
      <c r="E33" s="20">
        <f>IF(AND(ISNUMBER($L33),$L33&lt;&gt;""),IF(INDEX(LubesData!$L:$L,$L33)="","—",INDEX(LubesData!$L:$L,$L33)),"")</f>
        <v/>
      </c>
      <c r="F33" s="20">
        <f>IF(AND(ISNUMBER($L33),$L33&lt;&gt;""),IF(INDEX(LubesData!$M:$M,$L33)="","—",INDEX(LubesData!$M:$M,$L33)),"")</f>
        <v/>
      </c>
      <c r="G33" s="21">
        <f>IF(AND(ISNUMBER($L33),$L33&lt;&gt;""),IF(INDEX(LubesData!$N:$N,$L33)="","—",INDEX(LubesData!$N:$N,$L33)),"")</f>
        <v/>
      </c>
      <c r="H33" s="22">
        <f>IF(AND(ISNUMBER($L33),$L33&lt;&gt;""),IF(INDEX(LubesData!$Q:$Q,$L33)="","—",INDEX(LubesData!$Q:$Q,$L33)),"")</f>
        <v/>
      </c>
      <c r="I33" s="23">
        <f>IF(AND(ISNUMBER($L33),$L33&lt;&gt;""),INDEX(LubesData!$E:$E,$L33),"")</f>
        <v/>
      </c>
      <c r="J33" s="23">
        <f>IF(AND(ISNUMBER($L33),$L33&lt;&gt;""),INDEX(LubesData!$F:$F,$L33),"")</f>
        <v/>
      </c>
      <c r="L33">
        <f>IFERROR(MATCH((YEAR($B$3)*10000+MONTH($B$3)*100+DAY($B$3))*1000+24,LubesData!$W:$W,0),"")</f>
        <v/>
      </c>
    </row>
    <row r="34">
      <c r="A34" s="14">
        <f>IF(AND(ISNUMBER($L34),$L34&lt;&gt;""),INDEX(LubesData!$G:$G,$L34),"")</f>
        <v/>
      </c>
      <c r="B34" s="15">
        <f>IF(AND(ISNUMBER($L34),$L34&lt;&gt;""),IF(INDEX(LubesData!$I:$I,$L34)="","—",INDEX(LubesData!$I:$I,$L34)),"")</f>
        <v/>
      </c>
      <c r="C34" s="15">
        <f>IF(AND(ISNUMBER($L34),$L34&lt;&gt;""),INDEX(LubesData!$J:$J,$L34),"")</f>
        <v/>
      </c>
      <c r="D34" s="15">
        <f>IF(AND(ISNUMBER($L34),$L34&lt;&gt;""),INDEX(LubesData!$K:$K,$L34),"")</f>
        <v/>
      </c>
      <c r="E34" s="15">
        <f>IF(AND(ISNUMBER($L34),$L34&lt;&gt;""),IF(INDEX(LubesData!$L:$L,$L34)="","—",INDEX(LubesData!$L:$L,$L34)),"")</f>
        <v/>
      </c>
      <c r="F34" s="15">
        <f>IF(AND(ISNUMBER($L34),$L34&lt;&gt;""),IF(INDEX(LubesData!$M:$M,$L34)="","—",INDEX(LubesData!$M:$M,$L34)),"")</f>
        <v/>
      </c>
      <c r="G34" s="16">
        <f>IF(AND(ISNUMBER($L34),$L34&lt;&gt;""),IF(INDEX(LubesData!$N:$N,$L34)="","—",INDEX(LubesData!$N:$N,$L34)),"")</f>
        <v/>
      </c>
      <c r="H34" s="17">
        <f>IF(AND(ISNUMBER($L34),$L34&lt;&gt;""),IF(INDEX(LubesData!$Q:$Q,$L34)="","—",INDEX(LubesData!$Q:$Q,$L34)),"")</f>
        <v/>
      </c>
      <c r="I34" s="18">
        <f>IF(AND(ISNUMBER($L34),$L34&lt;&gt;""),INDEX(LubesData!$E:$E,$L34),"")</f>
        <v/>
      </c>
      <c r="J34" s="18">
        <f>IF(AND(ISNUMBER($L34),$L34&lt;&gt;""),INDEX(LubesData!$F:$F,$L34),"")</f>
        <v/>
      </c>
      <c r="L34">
        <f>IFERROR(MATCH((YEAR($B$3)*10000+MONTH($B$3)*100+DAY($B$3))*1000+25,LubesData!$W:$W,0),"")</f>
        <v/>
      </c>
    </row>
    <row r="35">
      <c r="A35" s="19">
        <f>IF(AND(ISNUMBER($L35),$L35&lt;&gt;""),INDEX(LubesData!$G:$G,$L35),"")</f>
        <v/>
      </c>
      <c r="B35" s="20">
        <f>IF(AND(ISNUMBER($L35),$L35&lt;&gt;""),IF(INDEX(LubesData!$I:$I,$L35)="","—",INDEX(LubesData!$I:$I,$L35)),"")</f>
        <v/>
      </c>
      <c r="C35" s="20">
        <f>IF(AND(ISNUMBER($L35),$L35&lt;&gt;""),INDEX(LubesData!$J:$J,$L35),"")</f>
        <v/>
      </c>
      <c r="D35" s="20">
        <f>IF(AND(ISNUMBER($L35),$L35&lt;&gt;""),INDEX(LubesData!$K:$K,$L35),"")</f>
        <v/>
      </c>
      <c r="E35" s="20">
        <f>IF(AND(ISNUMBER($L35),$L35&lt;&gt;""),IF(INDEX(LubesData!$L:$L,$L35)="","—",INDEX(LubesData!$L:$L,$L35)),"")</f>
        <v/>
      </c>
      <c r="F35" s="20">
        <f>IF(AND(ISNUMBER($L35),$L35&lt;&gt;""),IF(INDEX(LubesData!$M:$M,$L35)="","—",INDEX(LubesData!$M:$M,$L35)),"")</f>
        <v/>
      </c>
      <c r="G35" s="21">
        <f>IF(AND(ISNUMBER($L35),$L35&lt;&gt;""),IF(INDEX(LubesData!$N:$N,$L35)="","—",INDEX(LubesData!$N:$N,$L35)),"")</f>
        <v/>
      </c>
      <c r="H35" s="22">
        <f>IF(AND(ISNUMBER($L35),$L35&lt;&gt;""),IF(INDEX(LubesData!$Q:$Q,$L35)="","—",INDEX(LubesData!$Q:$Q,$L35)),"")</f>
        <v/>
      </c>
      <c r="I35" s="23">
        <f>IF(AND(ISNUMBER($L35),$L35&lt;&gt;""),INDEX(LubesData!$E:$E,$L35),"")</f>
        <v/>
      </c>
      <c r="J35" s="23">
        <f>IF(AND(ISNUMBER($L35),$L35&lt;&gt;""),INDEX(LubesData!$F:$F,$L35),"")</f>
        <v/>
      </c>
      <c r="L35">
        <f>IFERROR(MATCH((YEAR($B$3)*10000+MONTH($B$3)*100+DAY($B$3))*1000+26,LubesData!$W:$W,0),"")</f>
        <v/>
      </c>
    </row>
    <row r="36">
      <c r="A36" s="14">
        <f>IF(AND(ISNUMBER($L36),$L36&lt;&gt;""),INDEX(LubesData!$G:$G,$L36),"")</f>
        <v/>
      </c>
      <c r="B36" s="15">
        <f>IF(AND(ISNUMBER($L36),$L36&lt;&gt;""),IF(INDEX(LubesData!$I:$I,$L36)="","—",INDEX(LubesData!$I:$I,$L36)),"")</f>
        <v/>
      </c>
      <c r="C36" s="15">
        <f>IF(AND(ISNUMBER($L36),$L36&lt;&gt;""),INDEX(LubesData!$J:$J,$L36),"")</f>
        <v/>
      </c>
      <c r="D36" s="15">
        <f>IF(AND(ISNUMBER($L36),$L36&lt;&gt;""),INDEX(LubesData!$K:$K,$L36),"")</f>
        <v/>
      </c>
      <c r="E36" s="15">
        <f>IF(AND(ISNUMBER($L36),$L36&lt;&gt;""),IF(INDEX(LubesData!$L:$L,$L36)="","—",INDEX(LubesData!$L:$L,$L36)),"")</f>
        <v/>
      </c>
      <c r="F36" s="15">
        <f>IF(AND(ISNUMBER($L36),$L36&lt;&gt;""),IF(INDEX(LubesData!$M:$M,$L36)="","—",INDEX(LubesData!$M:$M,$L36)),"")</f>
        <v/>
      </c>
      <c r="G36" s="16">
        <f>IF(AND(ISNUMBER($L36),$L36&lt;&gt;""),IF(INDEX(LubesData!$N:$N,$L36)="","—",INDEX(LubesData!$N:$N,$L36)),"")</f>
        <v/>
      </c>
      <c r="H36" s="17">
        <f>IF(AND(ISNUMBER($L36),$L36&lt;&gt;""),IF(INDEX(LubesData!$Q:$Q,$L36)="","—",INDEX(LubesData!$Q:$Q,$L36)),"")</f>
        <v/>
      </c>
      <c r="I36" s="18">
        <f>IF(AND(ISNUMBER($L36),$L36&lt;&gt;""),INDEX(LubesData!$E:$E,$L36),"")</f>
        <v/>
      </c>
      <c r="J36" s="18">
        <f>IF(AND(ISNUMBER($L36),$L36&lt;&gt;""),INDEX(LubesData!$F:$F,$L36),"")</f>
        <v/>
      </c>
      <c r="L36">
        <f>IFERROR(MATCH((YEAR($B$3)*10000+MONTH($B$3)*100+DAY($B$3))*1000+27,LubesData!$W:$W,0),"")</f>
        <v/>
      </c>
    </row>
    <row r="37">
      <c r="A37" s="19">
        <f>IF(AND(ISNUMBER($L37),$L37&lt;&gt;""),INDEX(LubesData!$G:$G,$L37),"")</f>
        <v/>
      </c>
      <c r="B37" s="20">
        <f>IF(AND(ISNUMBER($L37),$L37&lt;&gt;""),IF(INDEX(LubesData!$I:$I,$L37)="","—",INDEX(LubesData!$I:$I,$L37)),"")</f>
        <v/>
      </c>
      <c r="C37" s="20">
        <f>IF(AND(ISNUMBER($L37),$L37&lt;&gt;""),INDEX(LubesData!$J:$J,$L37),"")</f>
        <v/>
      </c>
      <c r="D37" s="20">
        <f>IF(AND(ISNUMBER($L37),$L37&lt;&gt;""),INDEX(LubesData!$K:$K,$L37),"")</f>
        <v/>
      </c>
      <c r="E37" s="20">
        <f>IF(AND(ISNUMBER($L37),$L37&lt;&gt;""),IF(INDEX(LubesData!$L:$L,$L37)="","—",INDEX(LubesData!$L:$L,$L37)),"")</f>
        <v/>
      </c>
      <c r="F37" s="20">
        <f>IF(AND(ISNUMBER($L37),$L37&lt;&gt;""),IF(INDEX(LubesData!$M:$M,$L37)="","—",INDEX(LubesData!$M:$M,$L37)),"")</f>
        <v/>
      </c>
      <c r="G37" s="21">
        <f>IF(AND(ISNUMBER($L37),$L37&lt;&gt;""),IF(INDEX(LubesData!$N:$N,$L37)="","—",INDEX(LubesData!$N:$N,$L37)),"")</f>
        <v/>
      </c>
      <c r="H37" s="22">
        <f>IF(AND(ISNUMBER($L37),$L37&lt;&gt;""),IF(INDEX(LubesData!$Q:$Q,$L37)="","—",INDEX(LubesData!$Q:$Q,$L37)),"")</f>
        <v/>
      </c>
      <c r="I37" s="23">
        <f>IF(AND(ISNUMBER($L37),$L37&lt;&gt;""),INDEX(LubesData!$E:$E,$L37),"")</f>
        <v/>
      </c>
      <c r="J37" s="23">
        <f>IF(AND(ISNUMBER($L37),$L37&lt;&gt;""),INDEX(LubesData!$F:$F,$L37),"")</f>
        <v/>
      </c>
      <c r="L37">
        <f>IFERROR(MATCH((YEAR($B$3)*10000+MONTH($B$3)*100+DAY($B$3))*1000+28,LubesData!$W:$W,0),"")</f>
        <v/>
      </c>
    </row>
    <row r="38">
      <c r="A38" s="14">
        <f>IF(AND(ISNUMBER($L38),$L38&lt;&gt;""),INDEX(LubesData!$G:$G,$L38),"")</f>
        <v/>
      </c>
      <c r="B38" s="15">
        <f>IF(AND(ISNUMBER($L38),$L38&lt;&gt;""),IF(INDEX(LubesData!$I:$I,$L38)="","—",INDEX(LubesData!$I:$I,$L38)),"")</f>
        <v/>
      </c>
      <c r="C38" s="15">
        <f>IF(AND(ISNUMBER($L38),$L38&lt;&gt;""),INDEX(LubesData!$J:$J,$L38),"")</f>
        <v/>
      </c>
      <c r="D38" s="15">
        <f>IF(AND(ISNUMBER($L38),$L38&lt;&gt;""),INDEX(LubesData!$K:$K,$L38),"")</f>
        <v/>
      </c>
      <c r="E38" s="15">
        <f>IF(AND(ISNUMBER($L38),$L38&lt;&gt;""),IF(INDEX(LubesData!$L:$L,$L38)="","—",INDEX(LubesData!$L:$L,$L38)),"")</f>
        <v/>
      </c>
      <c r="F38" s="15">
        <f>IF(AND(ISNUMBER($L38),$L38&lt;&gt;""),IF(INDEX(LubesData!$M:$M,$L38)="","—",INDEX(LubesData!$M:$M,$L38)),"")</f>
        <v/>
      </c>
      <c r="G38" s="16">
        <f>IF(AND(ISNUMBER($L38),$L38&lt;&gt;""),IF(INDEX(LubesData!$N:$N,$L38)="","—",INDEX(LubesData!$N:$N,$L38)),"")</f>
        <v/>
      </c>
      <c r="H38" s="17">
        <f>IF(AND(ISNUMBER($L38),$L38&lt;&gt;""),IF(INDEX(LubesData!$Q:$Q,$L38)="","—",INDEX(LubesData!$Q:$Q,$L38)),"")</f>
        <v/>
      </c>
      <c r="I38" s="18">
        <f>IF(AND(ISNUMBER($L38),$L38&lt;&gt;""),INDEX(LubesData!$E:$E,$L38),"")</f>
        <v/>
      </c>
      <c r="J38" s="18">
        <f>IF(AND(ISNUMBER($L38),$L38&lt;&gt;""),INDEX(LubesData!$F:$F,$L38),"")</f>
        <v/>
      </c>
      <c r="L38">
        <f>IFERROR(MATCH((YEAR($B$3)*10000+MONTH($B$3)*100+DAY($B$3))*1000+29,LubesData!$W:$W,0),"")</f>
        <v/>
      </c>
    </row>
    <row r="39">
      <c r="A39" s="19">
        <f>IF(AND(ISNUMBER($L39),$L39&lt;&gt;""),INDEX(LubesData!$G:$G,$L39),"")</f>
        <v/>
      </c>
      <c r="B39" s="20">
        <f>IF(AND(ISNUMBER($L39),$L39&lt;&gt;""),IF(INDEX(LubesData!$I:$I,$L39)="","—",INDEX(LubesData!$I:$I,$L39)),"")</f>
        <v/>
      </c>
      <c r="C39" s="20">
        <f>IF(AND(ISNUMBER($L39),$L39&lt;&gt;""),INDEX(LubesData!$J:$J,$L39),"")</f>
        <v/>
      </c>
      <c r="D39" s="20">
        <f>IF(AND(ISNUMBER($L39),$L39&lt;&gt;""),INDEX(LubesData!$K:$K,$L39),"")</f>
        <v/>
      </c>
      <c r="E39" s="20">
        <f>IF(AND(ISNUMBER($L39),$L39&lt;&gt;""),IF(INDEX(LubesData!$L:$L,$L39)="","—",INDEX(LubesData!$L:$L,$L39)),"")</f>
        <v/>
      </c>
      <c r="F39" s="20">
        <f>IF(AND(ISNUMBER($L39),$L39&lt;&gt;""),IF(INDEX(LubesData!$M:$M,$L39)="","—",INDEX(LubesData!$M:$M,$L39)),"")</f>
        <v/>
      </c>
      <c r="G39" s="21">
        <f>IF(AND(ISNUMBER($L39),$L39&lt;&gt;""),IF(INDEX(LubesData!$N:$N,$L39)="","—",INDEX(LubesData!$N:$N,$L39)),"")</f>
        <v/>
      </c>
      <c r="H39" s="22">
        <f>IF(AND(ISNUMBER($L39),$L39&lt;&gt;""),IF(INDEX(LubesData!$Q:$Q,$L39)="","—",INDEX(LubesData!$Q:$Q,$L39)),"")</f>
        <v/>
      </c>
      <c r="I39" s="23">
        <f>IF(AND(ISNUMBER($L39),$L39&lt;&gt;""),INDEX(LubesData!$E:$E,$L39),"")</f>
        <v/>
      </c>
      <c r="J39" s="23">
        <f>IF(AND(ISNUMBER($L39),$L39&lt;&gt;""),INDEX(LubesData!$F:$F,$L39),"")</f>
        <v/>
      </c>
      <c r="L39">
        <f>IFERROR(MATCH((YEAR($B$3)*10000+MONTH($B$3)*100+DAY($B$3))*1000+30,LubesData!$W:$W,0),"")</f>
        <v/>
      </c>
    </row>
    <row r="40">
      <c r="A40" s="14">
        <f>IF(AND(ISNUMBER($L40),$L40&lt;&gt;""),INDEX(LubesData!$G:$G,$L40),"")</f>
        <v/>
      </c>
      <c r="B40" s="15">
        <f>IF(AND(ISNUMBER($L40),$L40&lt;&gt;""),IF(INDEX(LubesData!$I:$I,$L40)="","—",INDEX(LubesData!$I:$I,$L40)),"")</f>
        <v/>
      </c>
      <c r="C40" s="15">
        <f>IF(AND(ISNUMBER($L40),$L40&lt;&gt;""),INDEX(LubesData!$J:$J,$L40),"")</f>
        <v/>
      </c>
      <c r="D40" s="15">
        <f>IF(AND(ISNUMBER($L40),$L40&lt;&gt;""),INDEX(LubesData!$K:$K,$L40),"")</f>
        <v/>
      </c>
      <c r="E40" s="15">
        <f>IF(AND(ISNUMBER($L40),$L40&lt;&gt;""),IF(INDEX(LubesData!$L:$L,$L40)="","—",INDEX(LubesData!$L:$L,$L40)),"")</f>
        <v/>
      </c>
      <c r="F40" s="15">
        <f>IF(AND(ISNUMBER($L40),$L40&lt;&gt;""),IF(INDEX(LubesData!$M:$M,$L40)="","—",INDEX(LubesData!$M:$M,$L40)),"")</f>
        <v/>
      </c>
      <c r="G40" s="16">
        <f>IF(AND(ISNUMBER($L40),$L40&lt;&gt;""),IF(INDEX(LubesData!$N:$N,$L40)="","—",INDEX(LubesData!$N:$N,$L40)),"")</f>
        <v/>
      </c>
      <c r="H40" s="17">
        <f>IF(AND(ISNUMBER($L40),$L40&lt;&gt;""),IF(INDEX(LubesData!$Q:$Q,$L40)="","—",INDEX(LubesData!$Q:$Q,$L40)),"")</f>
        <v/>
      </c>
      <c r="I40" s="18">
        <f>IF(AND(ISNUMBER($L40),$L40&lt;&gt;""),INDEX(LubesData!$E:$E,$L40),"")</f>
        <v/>
      </c>
      <c r="J40" s="18">
        <f>IF(AND(ISNUMBER($L40),$L40&lt;&gt;""),INDEX(LubesData!$F:$F,$L40),"")</f>
        <v/>
      </c>
      <c r="L40">
        <f>IFERROR(MATCH((YEAR($B$3)*10000+MONTH($B$3)*100+DAY($B$3))*1000+31,LubesData!$W:$W,0),"")</f>
        <v/>
      </c>
    </row>
    <row r="41">
      <c r="A41" s="19">
        <f>IF(AND(ISNUMBER($L41),$L41&lt;&gt;""),INDEX(LubesData!$G:$G,$L41),"")</f>
        <v/>
      </c>
      <c r="B41" s="20">
        <f>IF(AND(ISNUMBER($L41),$L41&lt;&gt;""),IF(INDEX(LubesData!$I:$I,$L41)="","—",INDEX(LubesData!$I:$I,$L41)),"")</f>
        <v/>
      </c>
      <c r="C41" s="20">
        <f>IF(AND(ISNUMBER($L41),$L41&lt;&gt;""),INDEX(LubesData!$J:$J,$L41),"")</f>
        <v/>
      </c>
      <c r="D41" s="20">
        <f>IF(AND(ISNUMBER($L41),$L41&lt;&gt;""),INDEX(LubesData!$K:$K,$L41),"")</f>
        <v/>
      </c>
      <c r="E41" s="20">
        <f>IF(AND(ISNUMBER($L41),$L41&lt;&gt;""),IF(INDEX(LubesData!$L:$L,$L41)="","—",INDEX(LubesData!$L:$L,$L41)),"")</f>
        <v/>
      </c>
      <c r="F41" s="20">
        <f>IF(AND(ISNUMBER($L41),$L41&lt;&gt;""),IF(INDEX(LubesData!$M:$M,$L41)="","—",INDEX(LubesData!$M:$M,$L41)),"")</f>
        <v/>
      </c>
      <c r="G41" s="21">
        <f>IF(AND(ISNUMBER($L41),$L41&lt;&gt;""),IF(INDEX(LubesData!$N:$N,$L41)="","—",INDEX(LubesData!$N:$N,$L41)),"")</f>
        <v/>
      </c>
      <c r="H41" s="22">
        <f>IF(AND(ISNUMBER($L41),$L41&lt;&gt;""),IF(INDEX(LubesData!$Q:$Q,$L41)="","—",INDEX(LubesData!$Q:$Q,$L41)),"")</f>
        <v/>
      </c>
      <c r="I41" s="23">
        <f>IF(AND(ISNUMBER($L41),$L41&lt;&gt;""),INDEX(LubesData!$E:$E,$L41),"")</f>
        <v/>
      </c>
      <c r="J41" s="23">
        <f>IF(AND(ISNUMBER($L41),$L41&lt;&gt;""),INDEX(LubesData!$F:$F,$L41),"")</f>
        <v/>
      </c>
      <c r="L41">
        <f>IFERROR(MATCH((YEAR($B$3)*10000+MONTH($B$3)*100+DAY($B$3))*1000+32,LubesData!$W:$W,0),"")</f>
        <v/>
      </c>
    </row>
    <row r="42">
      <c r="A42" s="14">
        <f>IF(AND(ISNUMBER($L42),$L42&lt;&gt;""),INDEX(LubesData!$G:$G,$L42),"")</f>
        <v/>
      </c>
      <c r="B42" s="15">
        <f>IF(AND(ISNUMBER($L42),$L42&lt;&gt;""),IF(INDEX(LubesData!$I:$I,$L42)="","—",INDEX(LubesData!$I:$I,$L42)),"")</f>
        <v/>
      </c>
      <c r="C42" s="15">
        <f>IF(AND(ISNUMBER($L42),$L42&lt;&gt;""),INDEX(LubesData!$J:$J,$L42),"")</f>
        <v/>
      </c>
      <c r="D42" s="15">
        <f>IF(AND(ISNUMBER($L42),$L42&lt;&gt;""),INDEX(LubesData!$K:$K,$L42),"")</f>
        <v/>
      </c>
      <c r="E42" s="15">
        <f>IF(AND(ISNUMBER($L42),$L42&lt;&gt;""),IF(INDEX(LubesData!$L:$L,$L42)="","—",INDEX(LubesData!$L:$L,$L42)),"")</f>
        <v/>
      </c>
      <c r="F42" s="15">
        <f>IF(AND(ISNUMBER($L42),$L42&lt;&gt;""),IF(INDEX(LubesData!$M:$M,$L42)="","—",INDEX(LubesData!$M:$M,$L42)),"")</f>
        <v/>
      </c>
      <c r="G42" s="16">
        <f>IF(AND(ISNUMBER($L42),$L42&lt;&gt;""),IF(INDEX(LubesData!$N:$N,$L42)="","—",INDEX(LubesData!$N:$N,$L42)),"")</f>
        <v/>
      </c>
      <c r="H42" s="17">
        <f>IF(AND(ISNUMBER($L42),$L42&lt;&gt;""),IF(INDEX(LubesData!$Q:$Q,$L42)="","—",INDEX(LubesData!$Q:$Q,$L42)),"")</f>
        <v/>
      </c>
      <c r="I42" s="18">
        <f>IF(AND(ISNUMBER($L42),$L42&lt;&gt;""),INDEX(LubesData!$E:$E,$L42),"")</f>
        <v/>
      </c>
      <c r="J42" s="18">
        <f>IF(AND(ISNUMBER($L42),$L42&lt;&gt;""),INDEX(LubesData!$F:$F,$L42),"")</f>
        <v/>
      </c>
      <c r="L42">
        <f>IFERROR(MATCH((YEAR($B$3)*10000+MONTH($B$3)*100+DAY($B$3))*1000+33,LubesData!$W:$W,0),"")</f>
        <v/>
      </c>
    </row>
    <row r="43">
      <c r="A43" s="19">
        <f>IF(AND(ISNUMBER($L43),$L43&lt;&gt;""),INDEX(LubesData!$G:$G,$L43),"")</f>
        <v/>
      </c>
      <c r="B43" s="20">
        <f>IF(AND(ISNUMBER($L43),$L43&lt;&gt;""),IF(INDEX(LubesData!$I:$I,$L43)="","—",INDEX(LubesData!$I:$I,$L43)),"")</f>
        <v/>
      </c>
      <c r="C43" s="20">
        <f>IF(AND(ISNUMBER($L43),$L43&lt;&gt;""),INDEX(LubesData!$J:$J,$L43),"")</f>
        <v/>
      </c>
      <c r="D43" s="20">
        <f>IF(AND(ISNUMBER($L43),$L43&lt;&gt;""),INDEX(LubesData!$K:$K,$L43),"")</f>
        <v/>
      </c>
      <c r="E43" s="20">
        <f>IF(AND(ISNUMBER($L43),$L43&lt;&gt;""),IF(INDEX(LubesData!$L:$L,$L43)="","—",INDEX(LubesData!$L:$L,$L43)),"")</f>
        <v/>
      </c>
      <c r="F43" s="20">
        <f>IF(AND(ISNUMBER($L43),$L43&lt;&gt;""),IF(INDEX(LubesData!$M:$M,$L43)="","—",INDEX(LubesData!$M:$M,$L43)),"")</f>
        <v/>
      </c>
      <c r="G43" s="21">
        <f>IF(AND(ISNUMBER($L43),$L43&lt;&gt;""),IF(INDEX(LubesData!$N:$N,$L43)="","—",INDEX(LubesData!$N:$N,$L43)),"")</f>
        <v/>
      </c>
      <c r="H43" s="22">
        <f>IF(AND(ISNUMBER($L43),$L43&lt;&gt;""),IF(INDEX(LubesData!$Q:$Q,$L43)="","—",INDEX(LubesData!$Q:$Q,$L43)),"")</f>
        <v/>
      </c>
      <c r="I43" s="23">
        <f>IF(AND(ISNUMBER($L43),$L43&lt;&gt;""),INDEX(LubesData!$E:$E,$L43),"")</f>
        <v/>
      </c>
      <c r="J43" s="23">
        <f>IF(AND(ISNUMBER($L43),$L43&lt;&gt;""),INDEX(LubesData!$F:$F,$L43),"")</f>
        <v/>
      </c>
      <c r="L43">
        <f>IFERROR(MATCH((YEAR($B$3)*10000+MONTH($B$3)*100+DAY($B$3))*1000+34,LubesData!$W:$W,0),"")</f>
        <v/>
      </c>
    </row>
    <row r="44">
      <c r="A44" s="14">
        <f>IF(AND(ISNUMBER($L44),$L44&lt;&gt;""),INDEX(LubesData!$G:$G,$L44),"")</f>
        <v/>
      </c>
      <c r="B44" s="15">
        <f>IF(AND(ISNUMBER($L44),$L44&lt;&gt;""),IF(INDEX(LubesData!$I:$I,$L44)="","—",INDEX(LubesData!$I:$I,$L44)),"")</f>
        <v/>
      </c>
      <c r="C44" s="15">
        <f>IF(AND(ISNUMBER($L44),$L44&lt;&gt;""),INDEX(LubesData!$J:$J,$L44),"")</f>
        <v/>
      </c>
      <c r="D44" s="15">
        <f>IF(AND(ISNUMBER($L44),$L44&lt;&gt;""),INDEX(LubesData!$K:$K,$L44),"")</f>
        <v/>
      </c>
      <c r="E44" s="15">
        <f>IF(AND(ISNUMBER($L44),$L44&lt;&gt;""),IF(INDEX(LubesData!$L:$L,$L44)="","—",INDEX(LubesData!$L:$L,$L44)),"")</f>
        <v/>
      </c>
      <c r="F44" s="15">
        <f>IF(AND(ISNUMBER($L44),$L44&lt;&gt;""),IF(INDEX(LubesData!$M:$M,$L44)="","—",INDEX(LubesData!$M:$M,$L44)),"")</f>
        <v/>
      </c>
      <c r="G44" s="16">
        <f>IF(AND(ISNUMBER($L44),$L44&lt;&gt;""),IF(INDEX(LubesData!$N:$N,$L44)="","—",INDEX(LubesData!$N:$N,$L44)),"")</f>
        <v/>
      </c>
      <c r="H44" s="17">
        <f>IF(AND(ISNUMBER($L44),$L44&lt;&gt;""),IF(INDEX(LubesData!$Q:$Q,$L44)="","—",INDEX(LubesData!$Q:$Q,$L44)),"")</f>
        <v/>
      </c>
      <c r="I44" s="18">
        <f>IF(AND(ISNUMBER($L44),$L44&lt;&gt;""),INDEX(LubesData!$E:$E,$L44),"")</f>
        <v/>
      </c>
      <c r="J44" s="18">
        <f>IF(AND(ISNUMBER($L44),$L44&lt;&gt;""),INDEX(LubesData!$F:$F,$L44),"")</f>
        <v/>
      </c>
      <c r="L44">
        <f>IFERROR(MATCH((YEAR($B$3)*10000+MONTH($B$3)*100+DAY($B$3))*1000+35,LubesData!$W:$W,0),"")</f>
        <v/>
      </c>
    </row>
    <row r="45">
      <c r="A45" s="19">
        <f>IF(AND(ISNUMBER($L45),$L45&lt;&gt;""),INDEX(LubesData!$G:$G,$L45),"")</f>
        <v/>
      </c>
      <c r="B45" s="20">
        <f>IF(AND(ISNUMBER($L45),$L45&lt;&gt;""),IF(INDEX(LubesData!$I:$I,$L45)="","—",INDEX(LubesData!$I:$I,$L45)),"")</f>
        <v/>
      </c>
      <c r="C45" s="20">
        <f>IF(AND(ISNUMBER($L45),$L45&lt;&gt;""),INDEX(LubesData!$J:$J,$L45),"")</f>
        <v/>
      </c>
      <c r="D45" s="20">
        <f>IF(AND(ISNUMBER($L45),$L45&lt;&gt;""),INDEX(LubesData!$K:$K,$L45),"")</f>
        <v/>
      </c>
      <c r="E45" s="20">
        <f>IF(AND(ISNUMBER($L45),$L45&lt;&gt;""),IF(INDEX(LubesData!$L:$L,$L45)="","—",INDEX(LubesData!$L:$L,$L45)),"")</f>
        <v/>
      </c>
      <c r="F45" s="20">
        <f>IF(AND(ISNUMBER($L45),$L45&lt;&gt;""),IF(INDEX(LubesData!$M:$M,$L45)="","—",INDEX(LubesData!$M:$M,$L45)),"")</f>
        <v/>
      </c>
      <c r="G45" s="21">
        <f>IF(AND(ISNUMBER($L45),$L45&lt;&gt;""),IF(INDEX(LubesData!$N:$N,$L45)="","—",INDEX(LubesData!$N:$N,$L45)),"")</f>
        <v/>
      </c>
      <c r="H45" s="22">
        <f>IF(AND(ISNUMBER($L45),$L45&lt;&gt;""),IF(INDEX(LubesData!$Q:$Q,$L45)="","—",INDEX(LubesData!$Q:$Q,$L45)),"")</f>
        <v/>
      </c>
      <c r="I45" s="23">
        <f>IF(AND(ISNUMBER($L45),$L45&lt;&gt;""),INDEX(LubesData!$E:$E,$L45),"")</f>
        <v/>
      </c>
      <c r="J45" s="23">
        <f>IF(AND(ISNUMBER($L45),$L45&lt;&gt;""),INDEX(LubesData!$F:$F,$L45),"")</f>
        <v/>
      </c>
      <c r="L45">
        <f>IFERROR(MATCH((YEAR($B$3)*10000+MONTH($B$3)*100+DAY($B$3))*1000+36,LubesData!$W:$W,0),"")</f>
        <v/>
      </c>
    </row>
    <row r="46">
      <c r="A46" s="14">
        <f>IF(AND(ISNUMBER($L46),$L46&lt;&gt;""),INDEX(LubesData!$G:$G,$L46),"")</f>
        <v/>
      </c>
      <c r="B46" s="15">
        <f>IF(AND(ISNUMBER($L46),$L46&lt;&gt;""),IF(INDEX(LubesData!$I:$I,$L46)="","—",INDEX(LubesData!$I:$I,$L46)),"")</f>
        <v/>
      </c>
      <c r="C46" s="15">
        <f>IF(AND(ISNUMBER($L46),$L46&lt;&gt;""),INDEX(LubesData!$J:$J,$L46),"")</f>
        <v/>
      </c>
      <c r="D46" s="15">
        <f>IF(AND(ISNUMBER($L46),$L46&lt;&gt;""),INDEX(LubesData!$K:$K,$L46),"")</f>
        <v/>
      </c>
      <c r="E46" s="15">
        <f>IF(AND(ISNUMBER($L46),$L46&lt;&gt;""),IF(INDEX(LubesData!$L:$L,$L46)="","—",INDEX(LubesData!$L:$L,$L46)),"")</f>
        <v/>
      </c>
      <c r="F46" s="15">
        <f>IF(AND(ISNUMBER($L46),$L46&lt;&gt;""),IF(INDEX(LubesData!$M:$M,$L46)="","—",INDEX(LubesData!$M:$M,$L46)),"")</f>
        <v/>
      </c>
      <c r="G46" s="16">
        <f>IF(AND(ISNUMBER($L46),$L46&lt;&gt;""),IF(INDEX(LubesData!$N:$N,$L46)="","—",INDEX(LubesData!$N:$N,$L46)),"")</f>
        <v/>
      </c>
      <c r="H46" s="17">
        <f>IF(AND(ISNUMBER($L46),$L46&lt;&gt;""),IF(INDEX(LubesData!$Q:$Q,$L46)="","—",INDEX(LubesData!$Q:$Q,$L46)),"")</f>
        <v/>
      </c>
      <c r="I46" s="18">
        <f>IF(AND(ISNUMBER($L46),$L46&lt;&gt;""),INDEX(LubesData!$E:$E,$L46),"")</f>
        <v/>
      </c>
      <c r="J46" s="18">
        <f>IF(AND(ISNUMBER($L46),$L46&lt;&gt;""),INDEX(LubesData!$F:$F,$L46),"")</f>
        <v/>
      </c>
      <c r="L46">
        <f>IFERROR(MATCH((YEAR($B$3)*10000+MONTH($B$3)*100+DAY($B$3))*1000+37,LubesData!$W:$W,0),"")</f>
        <v/>
      </c>
    </row>
    <row r="47">
      <c r="A47" s="19">
        <f>IF(AND(ISNUMBER($L47),$L47&lt;&gt;""),INDEX(LubesData!$G:$G,$L47),"")</f>
        <v/>
      </c>
      <c r="B47" s="20">
        <f>IF(AND(ISNUMBER($L47),$L47&lt;&gt;""),IF(INDEX(LubesData!$I:$I,$L47)="","—",INDEX(LubesData!$I:$I,$L47)),"")</f>
        <v/>
      </c>
      <c r="C47" s="20">
        <f>IF(AND(ISNUMBER($L47),$L47&lt;&gt;""),INDEX(LubesData!$J:$J,$L47),"")</f>
        <v/>
      </c>
      <c r="D47" s="20">
        <f>IF(AND(ISNUMBER($L47),$L47&lt;&gt;""),INDEX(LubesData!$K:$K,$L47),"")</f>
        <v/>
      </c>
      <c r="E47" s="20">
        <f>IF(AND(ISNUMBER($L47),$L47&lt;&gt;""),IF(INDEX(LubesData!$L:$L,$L47)="","—",INDEX(LubesData!$L:$L,$L47)),"")</f>
        <v/>
      </c>
      <c r="F47" s="20">
        <f>IF(AND(ISNUMBER($L47),$L47&lt;&gt;""),IF(INDEX(LubesData!$M:$M,$L47)="","—",INDEX(LubesData!$M:$M,$L47)),"")</f>
        <v/>
      </c>
      <c r="G47" s="21">
        <f>IF(AND(ISNUMBER($L47),$L47&lt;&gt;""),IF(INDEX(LubesData!$N:$N,$L47)="","—",INDEX(LubesData!$N:$N,$L47)),"")</f>
        <v/>
      </c>
      <c r="H47" s="22">
        <f>IF(AND(ISNUMBER($L47),$L47&lt;&gt;""),IF(INDEX(LubesData!$Q:$Q,$L47)="","—",INDEX(LubesData!$Q:$Q,$L47)),"")</f>
        <v/>
      </c>
      <c r="I47" s="23">
        <f>IF(AND(ISNUMBER($L47),$L47&lt;&gt;""),INDEX(LubesData!$E:$E,$L47),"")</f>
        <v/>
      </c>
      <c r="J47" s="23">
        <f>IF(AND(ISNUMBER($L47),$L47&lt;&gt;""),INDEX(LubesData!$F:$F,$L47),"")</f>
        <v/>
      </c>
      <c r="L47">
        <f>IFERROR(MATCH((YEAR($B$3)*10000+MONTH($B$3)*100+DAY($B$3))*1000+38,LubesData!$W:$W,0),"")</f>
        <v/>
      </c>
    </row>
    <row r="48">
      <c r="A48" s="14">
        <f>IF(AND(ISNUMBER($L48),$L48&lt;&gt;""),INDEX(LubesData!$G:$G,$L48),"")</f>
        <v/>
      </c>
      <c r="B48" s="15">
        <f>IF(AND(ISNUMBER($L48),$L48&lt;&gt;""),IF(INDEX(LubesData!$I:$I,$L48)="","—",INDEX(LubesData!$I:$I,$L48)),"")</f>
        <v/>
      </c>
      <c r="C48" s="15">
        <f>IF(AND(ISNUMBER($L48),$L48&lt;&gt;""),INDEX(LubesData!$J:$J,$L48),"")</f>
        <v/>
      </c>
      <c r="D48" s="15">
        <f>IF(AND(ISNUMBER($L48),$L48&lt;&gt;""),INDEX(LubesData!$K:$K,$L48),"")</f>
        <v/>
      </c>
      <c r="E48" s="15">
        <f>IF(AND(ISNUMBER($L48),$L48&lt;&gt;""),IF(INDEX(LubesData!$L:$L,$L48)="","—",INDEX(LubesData!$L:$L,$L48)),"")</f>
        <v/>
      </c>
      <c r="F48" s="15">
        <f>IF(AND(ISNUMBER($L48),$L48&lt;&gt;""),IF(INDEX(LubesData!$M:$M,$L48)="","—",INDEX(LubesData!$M:$M,$L48)),"")</f>
        <v/>
      </c>
      <c r="G48" s="16">
        <f>IF(AND(ISNUMBER($L48),$L48&lt;&gt;""),IF(INDEX(LubesData!$N:$N,$L48)="","—",INDEX(LubesData!$N:$N,$L48)),"")</f>
        <v/>
      </c>
      <c r="H48" s="17">
        <f>IF(AND(ISNUMBER($L48),$L48&lt;&gt;""),IF(INDEX(LubesData!$Q:$Q,$L48)="","—",INDEX(LubesData!$Q:$Q,$L48)),"")</f>
        <v/>
      </c>
      <c r="I48" s="18">
        <f>IF(AND(ISNUMBER($L48),$L48&lt;&gt;""),INDEX(LubesData!$E:$E,$L48),"")</f>
        <v/>
      </c>
      <c r="J48" s="18">
        <f>IF(AND(ISNUMBER($L48),$L48&lt;&gt;""),INDEX(LubesData!$F:$F,$L48),"")</f>
        <v/>
      </c>
      <c r="L48">
        <f>IFERROR(MATCH((YEAR($B$3)*10000+MONTH($B$3)*100+DAY($B$3))*1000+39,LubesData!$W:$W,0),"")</f>
        <v/>
      </c>
    </row>
    <row r="49">
      <c r="A49" s="19">
        <f>IF(AND(ISNUMBER($L49),$L49&lt;&gt;""),INDEX(LubesData!$G:$G,$L49),"")</f>
        <v/>
      </c>
      <c r="B49" s="20">
        <f>IF(AND(ISNUMBER($L49),$L49&lt;&gt;""),IF(INDEX(LubesData!$I:$I,$L49)="","—",INDEX(LubesData!$I:$I,$L49)),"")</f>
        <v/>
      </c>
      <c r="C49" s="20">
        <f>IF(AND(ISNUMBER($L49),$L49&lt;&gt;""),INDEX(LubesData!$J:$J,$L49),"")</f>
        <v/>
      </c>
      <c r="D49" s="20">
        <f>IF(AND(ISNUMBER($L49),$L49&lt;&gt;""),INDEX(LubesData!$K:$K,$L49),"")</f>
        <v/>
      </c>
      <c r="E49" s="20">
        <f>IF(AND(ISNUMBER($L49),$L49&lt;&gt;""),IF(INDEX(LubesData!$L:$L,$L49)="","—",INDEX(LubesData!$L:$L,$L49)),"")</f>
        <v/>
      </c>
      <c r="F49" s="20">
        <f>IF(AND(ISNUMBER($L49),$L49&lt;&gt;""),IF(INDEX(LubesData!$M:$M,$L49)="","—",INDEX(LubesData!$M:$M,$L49)),"")</f>
        <v/>
      </c>
      <c r="G49" s="21">
        <f>IF(AND(ISNUMBER($L49),$L49&lt;&gt;""),IF(INDEX(LubesData!$N:$N,$L49)="","—",INDEX(LubesData!$N:$N,$L49)),"")</f>
        <v/>
      </c>
      <c r="H49" s="22">
        <f>IF(AND(ISNUMBER($L49),$L49&lt;&gt;""),IF(INDEX(LubesData!$Q:$Q,$L49)="","—",INDEX(LubesData!$Q:$Q,$L49)),"")</f>
        <v/>
      </c>
      <c r="I49" s="23">
        <f>IF(AND(ISNUMBER($L49),$L49&lt;&gt;""),INDEX(LubesData!$E:$E,$L49),"")</f>
        <v/>
      </c>
      <c r="J49" s="23">
        <f>IF(AND(ISNUMBER($L49),$L49&lt;&gt;""),INDEX(LubesData!$F:$F,$L49),"")</f>
        <v/>
      </c>
      <c r="L49">
        <f>IFERROR(MATCH((YEAR($B$3)*10000+MONTH($B$3)*100+DAY($B$3))*1000+40,LubesData!$W:$W,0),"")</f>
        <v/>
      </c>
    </row>
    <row r="50">
      <c r="A50" s="14">
        <f>IF(AND(ISNUMBER($L50),$L50&lt;&gt;""),INDEX(LubesData!$G:$G,$L50),"")</f>
        <v/>
      </c>
      <c r="B50" s="15">
        <f>IF(AND(ISNUMBER($L50),$L50&lt;&gt;""),IF(INDEX(LubesData!$I:$I,$L50)="","—",INDEX(LubesData!$I:$I,$L50)),"")</f>
        <v/>
      </c>
      <c r="C50" s="15">
        <f>IF(AND(ISNUMBER($L50),$L50&lt;&gt;""),INDEX(LubesData!$J:$J,$L50),"")</f>
        <v/>
      </c>
      <c r="D50" s="15">
        <f>IF(AND(ISNUMBER($L50),$L50&lt;&gt;""),INDEX(LubesData!$K:$K,$L50),"")</f>
        <v/>
      </c>
      <c r="E50" s="15">
        <f>IF(AND(ISNUMBER($L50),$L50&lt;&gt;""),IF(INDEX(LubesData!$L:$L,$L50)="","—",INDEX(LubesData!$L:$L,$L50)),"")</f>
        <v/>
      </c>
      <c r="F50" s="15">
        <f>IF(AND(ISNUMBER($L50),$L50&lt;&gt;""),IF(INDEX(LubesData!$M:$M,$L50)="","—",INDEX(LubesData!$M:$M,$L50)),"")</f>
        <v/>
      </c>
      <c r="G50" s="16">
        <f>IF(AND(ISNUMBER($L50),$L50&lt;&gt;""),IF(INDEX(LubesData!$N:$N,$L50)="","—",INDEX(LubesData!$N:$N,$L50)),"")</f>
        <v/>
      </c>
      <c r="H50" s="17">
        <f>IF(AND(ISNUMBER($L50),$L50&lt;&gt;""),IF(INDEX(LubesData!$Q:$Q,$L50)="","—",INDEX(LubesData!$Q:$Q,$L50)),"")</f>
        <v/>
      </c>
      <c r="I50" s="18">
        <f>IF(AND(ISNUMBER($L50),$L50&lt;&gt;""),INDEX(LubesData!$E:$E,$L50),"")</f>
        <v/>
      </c>
      <c r="J50" s="18">
        <f>IF(AND(ISNUMBER($L50),$L50&lt;&gt;""),INDEX(LubesData!$F:$F,$L50),"")</f>
        <v/>
      </c>
      <c r="L50">
        <f>IFERROR(MATCH((YEAR($B$3)*10000+MONTH($B$3)*100+DAY($B$3))*1000+41,LubesData!$W:$W,0),"")</f>
        <v/>
      </c>
    </row>
    <row r="51">
      <c r="A51" s="19">
        <f>IF(AND(ISNUMBER($L51),$L51&lt;&gt;""),INDEX(LubesData!$G:$G,$L51),"")</f>
        <v/>
      </c>
      <c r="B51" s="20">
        <f>IF(AND(ISNUMBER($L51),$L51&lt;&gt;""),IF(INDEX(LubesData!$I:$I,$L51)="","—",INDEX(LubesData!$I:$I,$L51)),"")</f>
        <v/>
      </c>
      <c r="C51" s="20">
        <f>IF(AND(ISNUMBER($L51),$L51&lt;&gt;""),INDEX(LubesData!$J:$J,$L51),"")</f>
        <v/>
      </c>
      <c r="D51" s="20">
        <f>IF(AND(ISNUMBER($L51),$L51&lt;&gt;""),INDEX(LubesData!$K:$K,$L51),"")</f>
        <v/>
      </c>
      <c r="E51" s="20">
        <f>IF(AND(ISNUMBER($L51),$L51&lt;&gt;""),IF(INDEX(LubesData!$L:$L,$L51)="","—",INDEX(LubesData!$L:$L,$L51)),"")</f>
        <v/>
      </c>
      <c r="F51" s="20">
        <f>IF(AND(ISNUMBER($L51),$L51&lt;&gt;""),IF(INDEX(LubesData!$M:$M,$L51)="","—",INDEX(LubesData!$M:$M,$L51)),"")</f>
        <v/>
      </c>
      <c r="G51" s="21">
        <f>IF(AND(ISNUMBER($L51),$L51&lt;&gt;""),IF(INDEX(LubesData!$N:$N,$L51)="","—",INDEX(LubesData!$N:$N,$L51)),"")</f>
        <v/>
      </c>
      <c r="H51" s="22">
        <f>IF(AND(ISNUMBER($L51),$L51&lt;&gt;""),IF(INDEX(LubesData!$Q:$Q,$L51)="","—",INDEX(LubesData!$Q:$Q,$L51)),"")</f>
        <v/>
      </c>
      <c r="I51" s="23">
        <f>IF(AND(ISNUMBER($L51),$L51&lt;&gt;""),INDEX(LubesData!$E:$E,$L51),"")</f>
        <v/>
      </c>
      <c r="J51" s="23">
        <f>IF(AND(ISNUMBER($L51),$L51&lt;&gt;""),INDEX(LubesData!$F:$F,$L51),"")</f>
        <v/>
      </c>
      <c r="L51">
        <f>IFERROR(MATCH((YEAR($B$3)*10000+MONTH($B$3)*100+DAY($B$3))*1000+42,LubesData!$W:$W,0),"")</f>
        <v/>
      </c>
    </row>
    <row r="52">
      <c r="A52" s="14">
        <f>IF(AND(ISNUMBER($L52),$L52&lt;&gt;""),INDEX(LubesData!$G:$G,$L52),"")</f>
        <v/>
      </c>
      <c r="B52" s="15">
        <f>IF(AND(ISNUMBER($L52),$L52&lt;&gt;""),IF(INDEX(LubesData!$I:$I,$L52)="","—",INDEX(LubesData!$I:$I,$L52)),"")</f>
        <v/>
      </c>
      <c r="C52" s="15">
        <f>IF(AND(ISNUMBER($L52),$L52&lt;&gt;""),INDEX(LubesData!$J:$J,$L52),"")</f>
        <v/>
      </c>
      <c r="D52" s="15">
        <f>IF(AND(ISNUMBER($L52),$L52&lt;&gt;""),INDEX(LubesData!$K:$K,$L52),"")</f>
        <v/>
      </c>
      <c r="E52" s="15">
        <f>IF(AND(ISNUMBER($L52),$L52&lt;&gt;""),IF(INDEX(LubesData!$L:$L,$L52)="","—",INDEX(LubesData!$L:$L,$L52)),"")</f>
        <v/>
      </c>
      <c r="F52" s="15">
        <f>IF(AND(ISNUMBER($L52),$L52&lt;&gt;""),IF(INDEX(LubesData!$M:$M,$L52)="","—",INDEX(LubesData!$M:$M,$L52)),"")</f>
        <v/>
      </c>
      <c r="G52" s="16">
        <f>IF(AND(ISNUMBER($L52),$L52&lt;&gt;""),IF(INDEX(LubesData!$N:$N,$L52)="","—",INDEX(LubesData!$N:$N,$L52)),"")</f>
        <v/>
      </c>
      <c r="H52" s="17">
        <f>IF(AND(ISNUMBER($L52),$L52&lt;&gt;""),IF(INDEX(LubesData!$Q:$Q,$L52)="","—",INDEX(LubesData!$Q:$Q,$L52)),"")</f>
        <v/>
      </c>
      <c r="I52" s="18">
        <f>IF(AND(ISNUMBER($L52),$L52&lt;&gt;""),INDEX(LubesData!$E:$E,$L52),"")</f>
        <v/>
      </c>
      <c r="J52" s="18">
        <f>IF(AND(ISNUMBER($L52),$L52&lt;&gt;""),INDEX(LubesData!$F:$F,$L52),"")</f>
        <v/>
      </c>
      <c r="L52">
        <f>IFERROR(MATCH((YEAR($B$3)*10000+MONTH($B$3)*100+DAY($B$3))*1000+43,LubesData!$W:$W,0),"")</f>
        <v/>
      </c>
    </row>
    <row r="53">
      <c r="A53" s="19">
        <f>IF(AND(ISNUMBER($L53),$L53&lt;&gt;""),INDEX(LubesData!$G:$G,$L53),"")</f>
        <v/>
      </c>
      <c r="B53" s="20">
        <f>IF(AND(ISNUMBER($L53),$L53&lt;&gt;""),IF(INDEX(LubesData!$I:$I,$L53)="","—",INDEX(LubesData!$I:$I,$L53)),"")</f>
        <v/>
      </c>
      <c r="C53" s="20">
        <f>IF(AND(ISNUMBER($L53),$L53&lt;&gt;""),INDEX(LubesData!$J:$J,$L53),"")</f>
        <v/>
      </c>
      <c r="D53" s="20">
        <f>IF(AND(ISNUMBER($L53),$L53&lt;&gt;""),INDEX(LubesData!$K:$K,$L53),"")</f>
        <v/>
      </c>
      <c r="E53" s="20">
        <f>IF(AND(ISNUMBER($L53),$L53&lt;&gt;""),IF(INDEX(LubesData!$L:$L,$L53)="","—",INDEX(LubesData!$L:$L,$L53)),"")</f>
        <v/>
      </c>
      <c r="F53" s="20">
        <f>IF(AND(ISNUMBER($L53),$L53&lt;&gt;""),IF(INDEX(LubesData!$M:$M,$L53)="","—",INDEX(LubesData!$M:$M,$L53)),"")</f>
        <v/>
      </c>
      <c r="G53" s="21">
        <f>IF(AND(ISNUMBER($L53),$L53&lt;&gt;""),IF(INDEX(LubesData!$N:$N,$L53)="","—",INDEX(LubesData!$N:$N,$L53)),"")</f>
        <v/>
      </c>
      <c r="H53" s="22">
        <f>IF(AND(ISNUMBER($L53),$L53&lt;&gt;""),IF(INDEX(LubesData!$Q:$Q,$L53)="","—",INDEX(LubesData!$Q:$Q,$L53)),"")</f>
        <v/>
      </c>
      <c r="I53" s="23">
        <f>IF(AND(ISNUMBER($L53),$L53&lt;&gt;""),INDEX(LubesData!$E:$E,$L53),"")</f>
        <v/>
      </c>
      <c r="J53" s="23">
        <f>IF(AND(ISNUMBER($L53),$L53&lt;&gt;""),INDEX(LubesData!$F:$F,$L53),"")</f>
        <v/>
      </c>
      <c r="L53">
        <f>IFERROR(MATCH((YEAR($B$3)*10000+MONTH($B$3)*100+DAY($B$3))*1000+44,LubesData!$W:$W,0),"")</f>
        <v/>
      </c>
    </row>
    <row r="54">
      <c r="A54" s="14">
        <f>IF(AND(ISNUMBER($L54),$L54&lt;&gt;""),INDEX(LubesData!$G:$G,$L54),"")</f>
        <v/>
      </c>
      <c r="B54" s="15">
        <f>IF(AND(ISNUMBER($L54),$L54&lt;&gt;""),IF(INDEX(LubesData!$I:$I,$L54)="","—",INDEX(LubesData!$I:$I,$L54)),"")</f>
        <v/>
      </c>
      <c r="C54" s="15">
        <f>IF(AND(ISNUMBER($L54),$L54&lt;&gt;""),INDEX(LubesData!$J:$J,$L54),"")</f>
        <v/>
      </c>
      <c r="D54" s="15">
        <f>IF(AND(ISNUMBER($L54),$L54&lt;&gt;""),INDEX(LubesData!$K:$K,$L54),"")</f>
        <v/>
      </c>
      <c r="E54" s="15">
        <f>IF(AND(ISNUMBER($L54),$L54&lt;&gt;""),IF(INDEX(LubesData!$L:$L,$L54)="","—",INDEX(LubesData!$L:$L,$L54)),"")</f>
        <v/>
      </c>
      <c r="F54" s="15">
        <f>IF(AND(ISNUMBER($L54),$L54&lt;&gt;""),IF(INDEX(LubesData!$M:$M,$L54)="","—",INDEX(LubesData!$M:$M,$L54)),"")</f>
        <v/>
      </c>
      <c r="G54" s="16">
        <f>IF(AND(ISNUMBER($L54),$L54&lt;&gt;""),IF(INDEX(LubesData!$N:$N,$L54)="","—",INDEX(LubesData!$N:$N,$L54)),"")</f>
        <v/>
      </c>
      <c r="H54" s="17">
        <f>IF(AND(ISNUMBER($L54),$L54&lt;&gt;""),IF(INDEX(LubesData!$Q:$Q,$L54)="","—",INDEX(LubesData!$Q:$Q,$L54)),"")</f>
        <v/>
      </c>
      <c r="I54" s="18">
        <f>IF(AND(ISNUMBER($L54),$L54&lt;&gt;""),INDEX(LubesData!$E:$E,$L54),"")</f>
        <v/>
      </c>
      <c r="J54" s="18">
        <f>IF(AND(ISNUMBER($L54),$L54&lt;&gt;""),INDEX(LubesData!$F:$F,$L54),"")</f>
        <v/>
      </c>
      <c r="L54">
        <f>IFERROR(MATCH((YEAR($B$3)*10000+MONTH($B$3)*100+DAY($B$3))*1000+45,LubesData!$W:$W,0),"")</f>
        <v/>
      </c>
    </row>
    <row r="55">
      <c r="A55" s="19">
        <f>IF(AND(ISNUMBER($L55),$L55&lt;&gt;""),INDEX(LubesData!$G:$G,$L55),"")</f>
        <v/>
      </c>
      <c r="B55" s="20">
        <f>IF(AND(ISNUMBER($L55),$L55&lt;&gt;""),IF(INDEX(LubesData!$I:$I,$L55)="","—",INDEX(LubesData!$I:$I,$L55)),"")</f>
        <v/>
      </c>
      <c r="C55" s="20">
        <f>IF(AND(ISNUMBER($L55),$L55&lt;&gt;""),INDEX(LubesData!$J:$J,$L55),"")</f>
        <v/>
      </c>
      <c r="D55" s="20">
        <f>IF(AND(ISNUMBER($L55),$L55&lt;&gt;""),INDEX(LubesData!$K:$K,$L55),"")</f>
        <v/>
      </c>
      <c r="E55" s="20">
        <f>IF(AND(ISNUMBER($L55),$L55&lt;&gt;""),IF(INDEX(LubesData!$L:$L,$L55)="","—",INDEX(LubesData!$L:$L,$L55)),"")</f>
        <v/>
      </c>
      <c r="F55" s="20">
        <f>IF(AND(ISNUMBER($L55),$L55&lt;&gt;""),IF(INDEX(LubesData!$M:$M,$L55)="","—",INDEX(LubesData!$M:$M,$L55)),"")</f>
        <v/>
      </c>
      <c r="G55" s="21">
        <f>IF(AND(ISNUMBER($L55),$L55&lt;&gt;""),IF(INDEX(LubesData!$N:$N,$L55)="","—",INDEX(LubesData!$N:$N,$L55)),"")</f>
        <v/>
      </c>
      <c r="H55" s="22">
        <f>IF(AND(ISNUMBER($L55),$L55&lt;&gt;""),IF(INDEX(LubesData!$Q:$Q,$L55)="","—",INDEX(LubesData!$Q:$Q,$L55)),"")</f>
        <v/>
      </c>
      <c r="I55" s="23">
        <f>IF(AND(ISNUMBER($L55),$L55&lt;&gt;""),INDEX(LubesData!$E:$E,$L55),"")</f>
        <v/>
      </c>
      <c r="J55" s="23">
        <f>IF(AND(ISNUMBER($L55),$L55&lt;&gt;""),INDEX(LubesData!$F:$F,$L55),"")</f>
        <v/>
      </c>
      <c r="L55">
        <f>IFERROR(MATCH((YEAR($B$3)*10000+MONTH($B$3)*100+DAY($B$3))*1000+46,LubesData!$W:$W,0),"")</f>
        <v/>
      </c>
    </row>
    <row r="56">
      <c r="A56" s="14">
        <f>IF(AND(ISNUMBER($L56),$L56&lt;&gt;""),INDEX(LubesData!$G:$G,$L56),"")</f>
        <v/>
      </c>
      <c r="B56" s="15">
        <f>IF(AND(ISNUMBER($L56),$L56&lt;&gt;""),IF(INDEX(LubesData!$I:$I,$L56)="","—",INDEX(LubesData!$I:$I,$L56)),"")</f>
        <v/>
      </c>
      <c r="C56" s="15">
        <f>IF(AND(ISNUMBER($L56),$L56&lt;&gt;""),INDEX(LubesData!$J:$J,$L56),"")</f>
        <v/>
      </c>
      <c r="D56" s="15">
        <f>IF(AND(ISNUMBER($L56),$L56&lt;&gt;""),INDEX(LubesData!$K:$K,$L56),"")</f>
        <v/>
      </c>
      <c r="E56" s="15">
        <f>IF(AND(ISNUMBER($L56),$L56&lt;&gt;""),IF(INDEX(LubesData!$L:$L,$L56)="","—",INDEX(LubesData!$L:$L,$L56)),"")</f>
        <v/>
      </c>
      <c r="F56" s="15">
        <f>IF(AND(ISNUMBER($L56),$L56&lt;&gt;""),IF(INDEX(LubesData!$M:$M,$L56)="","—",INDEX(LubesData!$M:$M,$L56)),"")</f>
        <v/>
      </c>
      <c r="G56" s="16">
        <f>IF(AND(ISNUMBER($L56),$L56&lt;&gt;""),IF(INDEX(LubesData!$N:$N,$L56)="","—",INDEX(LubesData!$N:$N,$L56)),"")</f>
        <v/>
      </c>
      <c r="H56" s="17">
        <f>IF(AND(ISNUMBER($L56),$L56&lt;&gt;""),IF(INDEX(LubesData!$Q:$Q,$L56)="","—",INDEX(LubesData!$Q:$Q,$L56)),"")</f>
        <v/>
      </c>
      <c r="I56" s="18">
        <f>IF(AND(ISNUMBER($L56),$L56&lt;&gt;""),INDEX(LubesData!$E:$E,$L56),"")</f>
        <v/>
      </c>
      <c r="J56" s="18">
        <f>IF(AND(ISNUMBER($L56),$L56&lt;&gt;""),INDEX(LubesData!$F:$F,$L56),"")</f>
        <v/>
      </c>
      <c r="L56">
        <f>IFERROR(MATCH((YEAR($B$3)*10000+MONTH($B$3)*100+DAY($B$3))*1000+47,LubesData!$W:$W,0),"")</f>
        <v/>
      </c>
    </row>
    <row r="57">
      <c r="A57" s="19">
        <f>IF(AND(ISNUMBER($L57),$L57&lt;&gt;""),INDEX(LubesData!$G:$G,$L57),"")</f>
        <v/>
      </c>
      <c r="B57" s="20">
        <f>IF(AND(ISNUMBER($L57),$L57&lt;&gt;""),IF(INDEX(LubesData!$I:$I,$L57)="","—",INDEX(LubesData!$I:$I,$L57)),"")</f>
        <v/>
      </c>
      <c r="C57" s="20">
        <f>IF(AND(ISNUMBER($L57),$L57&lt;&gt;""),INDEX(LubesData!$J:$J,$L57),"")</f>
        <v/>
      </c>
      <c r="D57" s="20">
        <f>IF(AND(ISNUMBER($L57),$L57&lt;&gt;""),INDEX(LubesData!$K:$K,$L57),"")</f>
        <v/>
      </c>
      <c r="E57" s="20">
        <f>IF(AND(ISNUMBER($L57),$L57&lt;&gt;""),IF(INDEX(LubesData!$L:$L,$L57)="","—",INDEX(LubesData!$L:$L,$L57)),"")</f>
        <v/>
      </c>
      <c r="F57" s="20">
        <f>IF(AND(ISNUMBER($L57),$L57&lt;&gt;""),IF(INDEX(LubesData!$M:$M,$L57)="","—",INDEX(LubesData!$M:$M,$L57)),"")</f>
        <v/>
      </c>
      <c r="G57" s="21">
        <f>IF(AND(ISNUMBER($L57),$L57&lt;&gt;""),IF(INDEX(LubesData!$N:$N,$L57)="","—",INDEX(LubesData!$N:$N,$L57)),"")</f>
        <v/>
      </c>
      <c r="H57" s="22">
        <f>IF(AND(ISNUMBER($L57),$L57&lt;&gt;""),IF(INDEX(LubesData!$Q:$Q,$L57)="","—",INDEX(LubesData!$Q:$Q,$L57)),"")</f>
        <v/>
      </c>
      <c r="I57" s="23">
        <f>IF(AND(ISNUMBER($L57),$L57&lt;&gt;""),INDEX(LubesData!$E:$E,$L57),"")</f>
        <v/>
      </c>
      <c r="J57" s="23">
        <f>IF(AND(ISNUMBER($L57),$L57&lt;&gt;""),INDEX(LubesData!$F:$F,$L57),"")</f>
        <v/>
      </c>
      <c r="L57">
        <f>IFERROR(MATCH((YEAR($B$3)*10000+MONTH($B$3)*100+DAY($B$3))*1000+48,LubesData!$W:$W,0),"")</f>
        <v/>
      </c>
    </row>
    <row r="58">
      <c r="A58" s="14">
        <f>IF(AND(ISNUMBER($L58),$L58&lt;&gt;""),INDEX(LubesData!$G:$G,$L58),"")</f>
        <v/>
      </c>
      <c r="B58" s="15">
        <f>IF(AND(ISNUMBER($L58),$L58&lt;&gt;""),IF(INDEX(LubesData!$I:$I,$L58)="","—",INDEX(LubesData!$I:$I,$L58)),"")</f>
        <v/>
      </c>
      <c r="C58" s="15">
        <f>IF(AND(ISNUMBER($L58),$L58&lt;&gt;""),INDEX(LubesData!$J:$J,$L58),"")</f>
        <v/>
      </c>
      <c r="D58" s="15">
        <f>IF(AND(ISNUMBER($L58),$L58&lt;&gt;""),INDEX(LubesData!$K:$K,$L58),"")</f>
        <v/>
      </c>
      <c r="E58" s="15">
        <f>IF(AND(ISNUMBER($L58),$L58&lt;&gt;""),IF(INDEX(LubesData!$L:$L,$L58)="","—",INDEX(LubesData!$L:$L,$L58)),"")</f>
        <v/>
      </c>
      <c r="F58" s="15">
        <f>IF(AND(ISNUMBER($L58),$L58&lt;&gt;""),IF(INDEX(LubesData!$M:$M,$L58)="","—",INDEX(LubesData!$M:$M,$L58)),"")</f>
        <v/>
      </c>
      <c r="G58" s="16">
        <f>IF(AND(ISNUMBER($L58),$L58&lt;&gt;""),IF(INDEX(LubesData!$N:$N,$L58)="","—",INDEX(LubesData!$N:$N,$L58)),"")</f>
        <v/>
      </c>
      <c r="H58" s="17">
        <f>IF(AND(ISNUMBER($L58),$L58&lt;&gt;""),IF(INDEX(LubesData!$Q:$Q,$L58)="","—",INDEX(LubesData!$Q:$Q,$L58)),"")</f>
        <v/>
      </c>
      <c r="I58" s="18">
        <f>IF(AND(ISNUMBER($L58),$L58&lt;&gt;""),INDEX(LubesData!$E:$E,$L58),"")</f>
        <v/>
      </c>
      <c r="J58" s="18">
        <f>IF(AND(ISNUMBER($L58),$L58&lt;&gt;""),INDEX(LubesData!$F:$F,$L58),"")</f>
        <v/>
      </c>
      <c r="L58">
        <f>IFERROR(MATCH((YEAR($B$3)*10000+MONTH($B$3)*100+DAY($B$3))*1000+49,LubesData!$W:$W,0),"")</f>
        <v/>
      </c>
    </row>
    <row r="59">
      <c r="A59" s="19">
        <f>IF(AND(ISNUMBER($L59),$L59&lt;&gt;""),INDEX(LubesData!$G:$G,$L59),"")</f>
        <v/>
      </c>
      <c r="B59" s="20">
        <f>IF(AND(ISNUMBER($L59),$L59&lt;&gt;""),IF(INDEX(LubesData!$I:$I,$L59)="","—",INDEX(LubesData!$I:$I,$L59)),"")</f>
        <v/>
      </c>
      <c r="C59" s="20">
        <f>IF(AND(ISNUMBER($L59),$L59&lt;&gt;""),INDEX(LubesData!$J:$J,$L59),"")</f>
        <v/>
      </c>
      <c r="D59" s="20">
        <f>IF(AND(ISNUMBER($L59),$L59&lt;&gt;""),INDEX(LubesData!$K:$K,$L59),"")</f>
        <v/>
      </c>
      <c r="E59" s="20">
        <f>IF(AND(ISNUMBER($L59),$L59&lt;&gt;""),IF(INDEX(LubesData!$L:$L,$L59)="","—",INDEX(LubesData!$L:$L,$L59)),"")</f>
        <v/>
      </c>
      <c r="F59" s="20">
        <f>IF(AND(ISNUMBER($L59),$L59&lt;&gt;""),IF(INDEX(LubesData!$M:$M,$L59)="","—",INDEX(LubesData!$M:$M,$L59)),"")</f>
        <v/>
      </c>
      <c r="G59" s="21">
        <f>IF(AND(ISNUMBER($L59),$L59&lt;&gt;""),IF(INDEX(LubesData!$N:$N,$L59)="","—",INDEX(LubesData!$N:$N,$L59)),"")</f>
        <v/>
      </c>
      <c r="H59" s="22">
        <f>IF(AND(ISNUMBER($L59),$L59&lt;&gt;""),IF(INDEX(LubesData!$Q:$Q,$L59)="","—",INDEX(LubesData!$Q:$Q,$L59)),"")</f>
        <v/>
      </c>
      <c r="I59" s="23">
        <f>IF(AND(ISNUMBER($L59),$L59&lt;&gt;""),INDEX(LubesData!$E:$E,$L59),"")</f>
        <v/>
      </c>
      <c r="J59" s="23">
        <f>IF(AND(ISNUMBER($L59),$L59&lt;&gt;""),INDEX(LubesData!$F:$F,$L59),"")</f>
        <v/>
      </c>
      <c r="L59">
        <f>IFERROR(MATCH((YEAR($B$3)*10000+MONTH($B$3)*100+DAY($B$3))*1000+50,LubesData!$W:$W,0),"")</f>
        <v/>
      </c>
    </row>
    <row r="60">
      <c r="A60" s="14">
        <f>IF(AND(ISNUMBER($L60),$L60&lt;&gt;""),INDEX(LubesData!$G:$G,$L60),"")</f>
        <v/>
      </c>
      <c r="B60" s="15">
        <f>IF(AND(ISNUMBER($L60),$L60&lt;&gt;""),IF(INDEX(LubesData!$I:$I,$L60)="","—",INDEX(LubesData!$I:$I,$L60)),"")</f>
        <v/>
      </c>
      <c r="C60" s="15">
        <f>IF(AND(ISNUMBER($L60),$L60&lt;&gt;""),INDEX(LubesData!$J:$J,$L60),"")</f>
        <v/>
      </c>
      <c r="D60" s="15">
        <f>IF(AND(ISNUMBER($L60),$L60&lt;&gt;""),INDEX(LubesData!$K:$K,$L60),"")</f>
        <v/>
      </c>
      <c r="E60" s="15">
        <f>IF(AND(ISNUMBER($L60),$L60&lt;&gt;""),IF(INDEX(LubesData!$L:$L,$L60)="","—",INDEX(LubesData!$L:$L,$L60)),"")</f>
        <v/>
      </c>
      <c r="F60" s="15">
        <f>IF(AND(ISNUMBER($L60),$L60&lt;&gt;""),IF(INDEX(LubesData!$M:$M,$L60)="","—",INDEX(LubesData!$M:$M,$L60)),"")</f>
        <v/>
      </c>
      <c r="G60" s="16">
        <f>IF(AND(ISNUMBER($L60),$L60&lt;&gt;""),IF(INDEX(LubesData!$N:$N,$L60)="","—",INDEX(LubesData!$N:$N,$L60)),"")</f>
        <v/>
      </c>
      <c r="H60" s="17">
        <f>IF(AND(ISNUMBER($L60),$L60&lt;&gt;""),IF(INDEX(LubesData!$Q:$Q,$L60)="","—",INDEX(LubesData!$Q:$Q,$L60)),"")</f>
        <v/>
      </c>
      <c r="I60" s="18">
        <f>IF(AND(ISNUMBER($L60),$L60&lt;&gt;""),INDEX(LubesData!$E:$E,$L60),"")</f>
        <v/>
      </c>
      <c r="J60" s="18">
        <f>IF(AND(ISNUMBER($L60),$L60&lt;&gt;""),INDEX(LubesData!$F:$F,$L60),"")</f>
        <v/>
      </c>
      <c r="L60">
        <f>IFERROR(MATCH((YEAR($B$3)*10000+MONTH($B$3)*100+DAY($B$3))*1000+51,LubesData!$W:$W,0),"")</f>
        <v/>
      </c>
    </row>
    <row r="61">
      <c r="A61" s="19">
        <f>IF(AND(ISNUMBER($L61),$L61&lt;&gt;""),INDEX(LubesData!$G:$G,$L61),"")</f>
        <v/>
      </c>
      <c r="B61" s="20">
        <f>IF(AND(ISNUMBER($L61),$L61&lt;&gt;""),IF(INDEX(LubesData!$I:$I,$L61)="","—",INDEX(LubesData!$I:$I,$L61)),"")</f>
        <v/>
      </c>
      <c r="C61" s="20">
        <f>IF(AND(ISNUMBER($L61),$L61&lt;&gt;""),INDEX(LubesData!$J:$J,$L61),"")</f>
        <v/>
      </c>
      <c r="D61" s="20">
        <f>IF(AND(ISNUMBER($L61),$L61&lt;&gt;""),INDEX(LubesData!$K:$K,$L61),"")</f>
        <v/>
      </c>
      <c r="E61" s="20">
        <f>IF(AND(ISNUMBER($L61),$L61&lt;&gt;""),IF(INDEX(LubesData!$L:$L,$L61)="","—",INDEX(LubesData!$L:$L,$L61)),"")</f>
        <v/>
      </c>
      <c r="F61" s="20">
        <f>IF(AND(ISNUMBER($L61),$L61&lt;&gt;""),IF(INDEX(LubesData!$M:$M,$L61)="","—",INDEX(LubesData!$M:$M,$L61)),"")</f>
        <v/>
      </c>
      <c r="G61" s="21">
        <f>IF(AND(ISNUMBER($L61),$L61&lt;&gt;""),IF(INDEX(LubesData!$N:$N,$L61)="","—",INDEX(LubesData!$N:$N,$L61)),"")</f>
        <v/>
      </c>
      <c r="H61" s="22">
        <f>IF(AND(ISNUMBER($L61),$L61&lt;&gt;""),IF(INDEX(LubesData!$Q:$Q,$L61)="","—",INDEX(LubesData!$Q:$Q,$L61)),"")</f>
        <v/>
      </c>
      <c r="I61" s="23">
        <f>IF(AND(ISNUMBER($L61),$L61&lt;&gt;""),INDEX(LubesData!$E:$E,$L61),"")</f>
        <v/>
      </c>
      <c r="J61" s="23">
        <f>IF(AND(ISNUMBER($L61),$L61&lt;&gt;""),INDEX(LubesData!$F:$F,$L61),"")</f>
        <v/>
      </c>
      <c r="L61">
        <f>IFERROR(MATCH((YEAR($B$3)*10000+MONTH($B$3)*100+DAY($B$3))*1000+52,LubesData!$W:$W,0),"")</f>
        <v/>
      </c>
    </row>
    <row r="62">
      <c r="A62" s="14">
        <f>IF(AND(ISNUMBER($L62),$L62&lt;&gt;""),INDEX(LubesData!$G:$G,$L62),"")</f>
        <v/>
      </c>
      <c r="B62" s="15">
        <f>IF(AND(ISNUMBER($L62),$L62&lt;&gt;""),IF(INDEX(LubesData!$I:$I,$L62)="","—",INDEX(LubesData!$I:$I,$L62)),"")</f>
        <v/>
      </c>
      <c r="C62" s="15">
        <f>IF(AND(ISNUMBER($L62),$L62&lt;&gt;""),INDEX(LubesData!$J:$J,$L62),"")</f>
        <v/>
      </c>
      <c r="D62" s="15">
        <f>IF(AND(ISNUMBER($L62),$L62&lt;&gt;""),INDEX(LubesData!$K:$K,$L62),"")</f>
        <v/>
      </c>
      <c r="E62" s="15">
        <f>IF(AND(ISNUMBER($L62),$L62&lt;&gt;""),IF(INDEX(LubesData!$L:$L,$L62)="","—",INDEX(LubesData!$L:$L,$L62)),"")</f>
        <v/>
      </c>
      <c r="F62" s="15">
        <f>IF(AND(ISNUMBER($L62),$L62&lt;&gt;""),IF(INDEX(LubesData!$M:$M,$L62)="","—",INDEX(LubesData!$M:$M,$L62)),"")</f>
        <v/>
      </c>
      <c r="G62" s="16">
        <f>IF(AND(ISNUMBER($L62),$L62&lt;&gt;""),IF(INDEX(LubesData!$N:$N,$L62)="","—",INDEX(LubesData!$N:$N,$L62)),"")</f>
        <v/>
      </c>
      <c r="H62" s="17">
        <f>IF(AND(ISNUMBER($L62),$L62&lt;&gt;""),IF(INDEX(LubesData!$Q:$Q,$L62)="","—",INDEX(LubesData!$Q:$Q,$L62)),"")</f>
        <v/>
      </c>
      <c r="I62" s="18">
        <f>IF(AND(ISNUMBER($L62),$L62&lt;&gt;""),INDEX(LubesData!$E:$E,$L62),"")</f>
        <v/>
      </c>
      <c r="J62" s="18">
        <f>IF(AND(ISNUMBER($L62),$L62&lt;&gt;""),INDEX(LubesData!$F:$F,$L62),"")</f>
        <v/>
      </c>
      <c r="L62">
        <f>IFERROR(MATCH((YEAR($B$3)*10000+MONTH($B$3)*100+DAY($B$3))*1000+53,LubesData!$W:$W,0),"")</f>
        <v/>
      </c>
    </row>
    <row r="63">
      <c r="A63" s="19">
        <f>IF(AND(ISNUMBER($L63),$L63&lt;&gt;""),INDEX(LubesData!$G:$G,$L63),"")</f>
        <v/>
      </c>
      <c r="B63" s="20">
        <f>IF(AND(ISNUMBER($L63),$L63&lt;&gt;""),IF(INDEX(LubesData!$I:$I,$L63)="","—",INDEX(LubesData!$I:$I,$L63)),"")</f>
        <v/>
      </c>
      <c r="C63" s="20">
        <f>IF(AND(ISNUMBER($L63),$L63&lt;&gt;""),INDEX(LubesData!$J:$J,$L63),"")</f>
        <v/>
      </c>
      <c r="D63" s="20">
        <f>IF(AND(ISNUMBER($L63),$L63&lt;&gt;""),INDEX(LubesData!$K:$K,$L63),"")</f>
        <v/>
      </c>
      <c r="E63" s="20">
        <f>IF(AND(ISNUMBER($L63),$L63&lt;&gt;""),IF(INDEX(LubesData!$L:$L,$L63)="","—",INDEX(LubesData!$L:$L,$L63)),"")</f>
        <v/>
      </c>
      <c r="F63" s="20">
        <f>IF(AND(ISNUMBER($L63),$L63&lt;&gt;""),IF(INDEX(LubesData!$M:$M,$L63)="","—",INDEX(LubesData!$M:$M,$L63)),"")</f>
        <v/>
      </c>
      <c r="G63" s="21">
        <f>IF(AND(ISNUMBER($L63),$L63&lt;&gt;""),IF(INDEX(LubesData!$N:$N,$L63)="","—",INDEX(LubesData!$N:$N,$L63)),"")</f>
        <v/>
      </c>
      <c r="H63" s="22">
        <f>IF(AND(ISNUMBER($L63),$L63&lt;&gt;""),IF(INDEX(LubesData!$Q:$Q,$L63)="","—",INDEX(LubesData!$Q:$Q,$L63)),"")</f>
        <v/>
      </c>
      <c r="I63" s="23">
        <f>IF(AND(ISNUMBER($L63),$L63&lt;&gt;""),INDEX(LubesData!$E:$E,$L63),"")</f>
        <v/>
      </c>
      <c r="J63" s="23">
        <f>IF(AND(ISNUMBER($L63),$L63&lt;&gt;""),INDEX(LubesData!$F:$F,$L63),"")</f>
        <v/>
      </c>
      <c r="L63">
        <f>IFERROR(MATCH((YEAR($B$3)*10000+MONTH($B$3)*100+DAY($B$3))*1000+54,LubesData!$W:$W,0),"")</f>
        <v/>
      </c>
    </row>
    <row r="64">
      <c r="A64" s="14">
        <f>IF(AND(ISNUMBER($L64),$L64&lt;&gt;""),INDEX(LubesData!$G:$G,$L64),"")</f>
        <v/>
      </c>
      <c r="B64" s="15">
        <f>IF(AND(ISNUMBER($L64),$L64&lt;&gt;""),IF(INDEX(LubesData!$I:$I,$L64)="","—",INDEX(LubesData!$I:$I,$L64)),"")</f>
        <v/>
      </c>
      <c r="C64" s="15">
        <f>IF(AND(ISNUMBER($L64),$L64&lt;&gt;""),INDEX(LubesData!$J:$J,$L64),"")</f>
        <v/>
      </c>
      <c r="D64" s="15">
        <f>IF(AND(ISNUMBER($L64),$L64&lt;&gt;""),INDEX(LubesData!$K:$K,$L64),"")</f>
        <v/>
      </c>
      <c r="E64" s="15">
        <f>IF(AND(ISNUMBER($L64),$L64&lt;&gt;""),IF(INDEX(LubesData!$L:$L,$L64)="","—",INDEX(LubesData!$L:$L,$L64)),"")</f>
        <v/>
      </c>
      <c r="F64" s="15">
        <f>IF(AND(ISNUMBER($L64),$L64&lt;&gt;""),IF(INDEX(LubesData!$M:$M,$L64)="","—",INDEX(LubesData!$M:$M,$L64)),"")</f>
        <v/>
      </c>
      <c r="G64" s="16">
        <f>IF(AND(ISNUMBER($L64),$L64&lt;&gt;""),IF(INDEX(LubesData!$N:$N,$L64)="","—",INDEX(LubesData!$N:$N,$L64)),"")</f>
        <v/>
      </c>
      <c r="H64" s="17">
        <f>IF(AND(ISNUMBER($L64),$L64&lt;&gt;""),IF(INDEX(LubesData!$Q:$Q,$L64)="","—",INDEX(LubesData!$Q:$Q,$L64)),"")</f>
        <v/>
      </c>
      <c r="I64" s="18">
        <f>IF(AND(ISNUMBER($L64),$L64&lt;&gt;""),INDEX(LubesData!$E:$E,$L64),"")</f>
        <v/>
      </c>
      <c r="J64" s="18">
        <f>IF(AND(ISNUMBER($L64),$L64&lt;&gt;""),INDEX(LubesData!$F:$F,$L64),"")</f>
        <v/>
      </c>
      <c r="L64">
        <f>IFERROR(MATCH((YEAR($B$3)*10000+MONTH($B$3)*100+DAY($B$3))*1000+55,LubesData!$W:$W,0),"")</f>
        <v/>
      </c>
    </row>
    <row r="65">
      <c r="A65" s="19">
        <f>IF(AND(ISNUMBER($L65),$L65&lt;&gt;""),INDEX(LubesData!$G:$G,$L65),"")</f>
        <v/>
      </c>
      <c r="B65" s="20">
        <f>IF(AND(ISNUMBER($L65),$L65&lt;&gt;""),IF(INDEX(LubesData!$I:$I,$L65)="","—",INDEX(LubesData!$I:$I,$L65)),"")</f>
        <v/>
      </c>
      <c r="C65" s="20">
        <f>IF(AND(ISNUMBER($L65),$L65&lt;&gt;""),INDEX(LubesData!$J:$J,$L65),"")</f>
        <v/>
      </c>
      <c r="D65" s="20">
        <f>IF(AND(ISNUMBER($L65),$L65&lt;&gt;""),INDEX(LubesData!$K:$K,$L65),"")</f>
        <v/>
      </c>
      <c r="E65" s="20">
        <f>IF(AND(ISNUMBER($L65),$L65&lt;&gt;""),IF(INDEX(LubesData!$L:$L,$L65)="","—",INDEX(LubesData!$L:$L,$L65)),"")</f>
        <v/>
      </c>
      <c r="F65" s="20">
        <f>IF(AND(ISNUMBER($L65),$L65&lt;&gt;""),IF(INDEX(LubesData!$M:$M,$L65)="","—",INDEX(LubesData!$M:$M,$L65)),"")</f>
        <v/>
      </c>
      <c r="G65" s="21">
        <f>IF(AND(ISNUMBER($L65),$L65&lt;&gt;""),IF(INDEX(LubesData!$N:$N,$L65)="","—",INDEX(LubesData!$N:$N,$L65)),"")</f>
        <v/>
      </c>
      <c r="H65" s="22">
        <f>IF(AND(ISNUMBER($L65),$L65&lt;&gt;""),IF(INDEX(LubesData!$Q:$Q,$L65)="","—",INDEX(LubesData!$Q:$Q,$L65)),"")</f>
        <v/>
      </c>
      <c r="I65" s="23">
        <f>IF(AND(ISNUMBER($L65),$L65&lt;&gt;""),INDEX(LubesData!$E:$E,$L65),"")</f>
        <v/>
      </c>
      <c r="J65" s="23">
        <f>IF(AND(ISNUMBER($L65),$L65&lt;&gt;""),INDEX(LubesData!$F:$F,$L65),"")</f>
        <v/>
      </c>
      <c r="L65">
        <f>IFERROR(MATCH((YEAR($B$3)*10000+MONTH($B$3)*100+DAY($B$3))*1000+56,LubesData!$W:$W,0),"")</f>
        <v/>
      </c>
    </row>
    <row r="66">
      <c r="A66" s="14">
        <f>IF(AND(ISNUMBER($L66),$L66&lt;&gt;""),INDEX(LubesData!$G:$G,$L66),"")</f>
        <v/>
      </c>
      <c r="B66" s="15">
        <f>IF(AND(ISNUMBER($L66),$L66&lt;&gt;""),IF(INDEX(LubesData!$I:$I,$L66)="","—",INDEX(LubesData!$I:$I,$L66)),"")</f>
        <v/>
      </c>
      <c r="C66" s="15">
        <f>IF(AND(ISNUMBER($L66),$L66&lt;&gt;""),INDEX(LubesData!$J:$J,$L66),"")</f>
        <v/>
      </c>
      <c r="D66" s="15">
        <f>IF(AND(ISNUMBER($L66),$L66&lt;&gt;""),INDEX(LubesData!$K:$K,$L66),"")</f>
        <v/>
      </c>
      <c r="E66" s="15">
        <f>IF(AND(ISNUMBER($L66),$L66&lt;&gt;""),IF(INDEX(LubesData!$L:$L,$L66)="","—",INDEX(LubesData!$L:$L,$L66)),"")</f>
        <v/>
      </c>
      <c r="F66" s="15">
        <f>IF(AND(ISNUMBER($L66),$L66&lt;&gt;""),IF(INDEX(LubesData!$M:$M,$L66)="","—",INDEX(LubesData!$M:$M,$L66)),"")</f>
        <v/>
      </c>
      <c r="G66" s="16">
        <f>IF(AND(ISNUMBER($L66),$L66&lt;&gt;""),IF(INDEX(LubesData!$N:$N,$L66)="","—",INDEX(LubesData!$N:$N,$L66)),"")</f>
        <v/>
      </c>
      <c r="H66" s="17">
        <f>IF(AND(ISNUMBER($L66),$L66&lt;&gt;""),IF(INDEX(LubesData!$Q:$Q,$L66)="","—",INDEX(LubesData!$Q:$Q,$L66)),"")</f>
        <v/>
      </c>
      <c r="I66" s="18">
        <f>IF(AND(ISNUMBER($L66),$L66&lt;&gt;""),INDEX(LubesData!$E:$E,$L66),"")</f>
        <v/>
      </c>
      <c r="J66" s="18">
        <f>IF(AND(ISNUMBER($L66),$L66&lt;&gt;""),INDEX(LubesData!$F:$F,$L66),"")</f>
        <v/>
      </c>
      <c r="L66">
        <f>IFERROR(MATCH((YEAR($B$3)*10000+MONTH($B$3)*100+DAY($B$3))*1000+57,LubesData!$W:$W,0),"")</f>
        <v/>
      </c>
    </row>
    <row r="67">
      <c r="A67" s="19">
        <f>IF(AND(ISNUMBER($L67),$L67&lt;&gt;""),INDEX(LubesData!$G:$G,$L67),"")</f>
        <v/>
      </c>
      <c r="B67" s="20">
        <f>IF(AND(ISNUMBER($L67),$L67&lt;&gt;""),IF(INDEX(LubesData!$I:$I,$L67)="","—",INDEX(LubesData!$I:$I,$L67)),"")</f>
        <v/>
      </c>
      <c r="C67" s="20">
        <f>IF(AND(ISNUMBER($L67),$L67&lt;&gt;""),INDEX(LubesData!$J:$J,$L67),"")</f>
        <v/>
      </c>
      <c r="D67" s="20">
        <f>IF(AND(ISNUMBER($L67),$L67&lt;&gt;""),INDEX(LubesData!$K:$K,$L67),"")</f>
        <v/>
      </c>
      <c r="E67" s="20">
        <f>IF(AND(ISNUMBER($L67),$L67&lt;&gt;""),IF(INDEX(LubesData!$L:$L,$L67)="","—",INDEX(LubesData!$L:$L,$L67)),"")</f>
        <v/>
      </c>
      <c r="F67" s="20">
        <f>IF(AND(ISNUMBER($L67),$L67&lt;&gt;""),IF(INDEX(LubesData!$M:$M,$L67)="","—",INDEX(LubesData!$M:$M,$L67)),"")</f>
        <v/>
      </c>
      <c r="G67" s="21">
        <f>IF(AND(ISNUMBER($L67),$L67&lt;&gt;""),IF(INDEX(LubesData!$N:$N,$L67)="","—",INDEX(LubesData!$N:$N,$L67)),"")</f>
        <v/>
      </c>
      <c r="H67" s="22">
        <f>IF(AND(ISNUMBER($L67),$L67&lt;&gt;""),IF(INDEX(LubesData!$Q:$Q,$L67)="","—",INDEX(LubesData!$Q:$Q,$L67)),"")</f>
        <v/>
      </c>
      <c r="I67" s="23">
        <f>IF(AND(ISNUMBER($L67),$L67&lt;&gt;""),INDEX(LubesData!$E:$E,$L67),"")</f>
        <v/>
      </c>
      <c r="J67" s="23">
        <f>IF(AND(ISNUMBER($L67),$L67&lt;&gt;""),INDEX(LubesData!$F:$F,$L67),"")</f>
        <v/>
      </c>
      <c r="L67">
        <f>IFERROR(MATCH((YEAR($B$3)*10000+MONTH($B$3)*100+DAY($B$3))*1000+58,LubesData!$W:$W,0),"")</f>
        <v/>
      </c>
    </row>
    <row r="68">
      <c r="A68" s="14">
        <f>IF(AND(ISNUMBER($L68),$L68&lt;&gt;""),INDEX(LubesData!$G:$G,$L68),"")</f>
        <v/>
      </c>
      <c r="B68" s="15">
        <f>IF(AND(ISNUMBER($L68),$L68&lt;&gt;""),IF(INDEX(LubesData!$I:$I,$L68)="","—",INDEX(LubesData!$I:$I,$L68)),"")</f>
        <v/>
      </c>
      <c r="C68" s="15">
        <f>IF(AND(ISNUMBER($L68),$L68&lt;&gt;""),INDEX(LubesData!$J:$J,$L68),"")</f>
        <v/>
      </c>
      <c r="D68" s="15">
        <f>IF(AND(ISNUMBER($L68),$L68&lt;&gt;""),INDEX(LubesData!$K:$K,$L68),"")</f>
        <v/>
      </c>
      <c r="E68" s="15">
        <f>IF(AND(ISNUMBER($L68),$L68&lt;&gt;""),IF(INDEX(LubesData!$L:$L,$L68)="","—",INDEX(LubesData!$L:$L,$L68)),"")</f>
        <v/>
      </c>
      <c r="F68" s="15">
        <f>IF(AND(ISNUMBER($L68),$L68&lt;&gt;""),IF(INDEX(LubesData!$M:$M,$L68)="","—",INDEX(LubesData!$M:$M,$L68)),"")</f>
        <v/>
      </c>
      <c r="G68" s="16">
        <f>IF(AND(ISNUMBER($L68),$L68&lt;&gt;""),IF(INDEX(LubesData!$N:$N,$L68)="","—",INDEX(LubesData!$N:$N,$L68)),"")</f>
        <v/>
      </c>
      <c r="H68" s="17">
        <f>IF(AND(ISNUMBER($L68),$L68&lt;&gt;""),IF(INDEX(LubesData!$Q:$Q,$L68)="","—",INDEX(LubesData!$Q:$Q,$L68)),"")</f>
        <v/>
      </c>
      <c r="I68" s="18">
        <f>IF(AND(ISNUMBER($L68),$L68&lt;&gt;""),INDEX(LubesData!$E:$E,$L68),"")</f>
        <v/>
      </c>
      <c r="J68" s="18">
        <f>IF(AND(ISNUMBER($L68),$L68&lt;&gt;""),INDEX(LubesData!$F:$F,$L68),"")</f>
        <v/>
      </c>
      <c r="L68">
        <f>IFERROR(MATCH((YEAR($B$3)*10000+MONTH($B$3)*100+DAY($B$3))*1000+59,LubesData!$W:$W,0),"")</f>
        <v/>
      </c>
    </row>
    <row r="69">
      <c r="A69" s="19">
        <f>IF(AND(ISNUMBER($L69),$L69&lt;&gt;""),INDEX(LubesData!$G:$G,$L69),"")</f>
        <v/>
      </c>
      <c r="B69" s="20">
        <f>IF(AND(ISNUMBER($L69),$L69&lt;&gt;""),IF(INDEX(LubesData!$I:$I,$L69)="","—",INDEX(LubesData!$I:$I,$L69)),"")</f>
        <v/>
      </c>
      <c r="C69" s="20">
        <f>IF(AND(ISNUMBER($L69),$L69&lt;&gt;""),INDEX(LubesData!$J:$J,$L69),"")</f>
        <v/>
      </c>
      <c r="D69" s="20">
        <f>IF(AND(ISNUMBER($L69),$L69&lt;&gt;""),INDEX(LubesData!$K:$K,$L69),"")</f>
        <v/>
      </c>
      <c r="E69" s="20">
        <f>IF(AND(ISNUMBER($L69),$L69&lt;&gt;""),IF(INDEX(LubesData!$L:$L,$L69)="","—",INDEX(LubesData!$L:$L,$L69)),"")</f>
        <v/>
      </c>
      <c r="F69" s="20">
        <f>IF(AND(ISNUMBER($L69),$L69&lt;&gt;""),IF(INDEX(LubesData!$M:$M,$L69)="","—",INDEX(LubesData!$M:$M,$L69)),"")</f>
        <v/>
      </c>
      <c r="G69" s="21">
        <f>IF(AND(ISNUMBER($L69),$L69&lt;&gt;""),IF(INDEX(LubesData!$N:$N,$L69)="","—",INDEX(LubesData!$N:$N,$L69)),"")</f>
        <v/>
      </c>
      <c r="H69" s="22">
        <f>IF(AND(ISNUMBER($L69),$L69&lt;&gt;""),IF(INDEX(LubesData!$Q:$Q,$L69)="","—",INDEX(LubesData!$Q:$Q,$L69)),"")</f>
        <v/>
      </c>
      <c r="I69" s="23">
        <f>IF(AND(ISNUMBER($L69),$L69&lt;&gt;""),INDEX(LubesData!$E:$E,$L69),"")</f>
        <v/>
      </c>
      <c r="J69" s="23">
        <f>IF(AND(ISNUMBER($L69),$L69&lt;&gt;""),INDEX(LubesData!$F:$F,$L69),"")</f>
        <v/>
      </c>
      <c r="L69">
        <f>IFERROR(MATCH((YEAR($B$3)*10000+MONTH($B$3)*100+DAY($B$3))*1000+60,LubesData!$W:$W,0),"")</f>
        <v/>
      </c>
    </row>
    <row r="70">
      <c r="A70" s="14">
        <f>IF(AND(ISNUMBER($L70),$L70&lt;&gt;""),INDEX(LubesData!$G:$G,$L70),"")</f>
        <v/>
      </c>
      <c r="B70" s="15">
        <f>IF(AND(ISNUMBER($L70),$L70&lt;&gt;""),IF(INDEX(LubesData!$I:$I,$L70)="","—",INDEX(LubesData!$I:$I,$L70)),"")</f>
        <v/>
      </c>
      <c r="C70" s="15">
        <f>IF(AND(ISNUMBER($L70),$L70&lt;&gt;""),INDEX(LubesData!$J:$J,$L70),"")</f>
        <v/>
      </c>
      <c r="D70" s="15">
        <f>IF(AND(ISNUMBER($L70),$L70&lt;&gt;""),INDEX(LubesData!$K:$K,$L70),"")</f>
        <v/>
      </c>
      <c r="E70" s="15">
        <f>IF(AND(ISNUMBER($L70),$L70&lt;&gt;""),IF(INDEX(LubesData!$L:$L,$L70)="","—",INDEX(LubesData!$L:$L,$L70)),"")</f>
        <v/>
      </c>
      <c r="F70" s="15">
        <f>IF(AND(ISNUMBER($L70),$L70&lt;&gt;""),IF(INDEX(LubesData!$M:$M,$L70)="","—",INDEX(LubesData!$M:$M,$L70)),"")</f>
        <v/>
      </c>
      <c r="G70" s="16">
        <f>IF(AND(ISNUMBER($L70),$L70&lt;&gt;""),IF(INDEX(LubesData!$N:$N,$L70)="","—",INDEX(LubesData!$N:$N,$L70)),"")</f>
        <v/>
      </c>
      <c r="H70" s="17">
        <f>IF(AND(ISNUMBER($L70),$L70&lt;&gt;""),IF(INDEX(LubesData!$Q:$Q,$L70)="","—",INDEX(LubesData!$Q:$Q,$L70)),"")</f>
        <v/>
      </c>
      <c r="I70" s="18">
        <f>IF(AND(ISNUMBER($L70),$L70&lt;&gt;""),INDEX(LubesData!$E:$E,$L70),"")</f>
        <v/>
      </c>
      <c r="J70" s="18">
        <f>IF(AND(ISNUMBER($L70),$L70&lt;&gt;""),INDEX(LubesData!$F:$F,$L70),"")</f>
        <v/>
      </c>
      <c r="L70">
        <f>IFERROR(MATCH((YEAR($B$3)*10000+MONTH($B$3)*100+DAY($B$3))*1000+61,LubesData!$W:$W,0),"")</f>
        <v/>
      </c>
    </row>
    <row r="71">
      <c r="A71" s="19">
        <f>IF(AND(ISNUMBER($L71),$L71&lt;&gt;""),INDEX(LubesData!$G:$G,$L71),"")</f>
        <v/>
      </c>
      <c r="B71" s="20">
        <f>IF(AND(ISNUMBER($L71),$L71&lt;&gt;""),IF(INDEX(LubesData!$I:$I,$L71)="","—",INDEX(LubesData!$I:$I,$L71)),"")</f>
        <v/>
      </c>
      <c r="C71" s="20">
        <f>IF(AND(ISNUMBER($L71),$L71&lt;&gt;""),INDEX(LubesData!$J:$J,$L71),"")</f>
        <v/>
      </c>
      <c r="D71" s="20">
        <f>IF(AND(ISNUMBER($L71),$L71&lt;&gt;""),INDEX(LubesData!$K:$K,$L71),"")</f>
        <v/>
      </c>
      <c r="E71" s="20">
        <f>IF(AND(ISNUMBER($L71),$L71&lt;&gt;""),IF(INDEX(LubesData!$L:$L,$L71)="","—",INDEX(LubesData!$L:$L,$L71)),"")</f>
        <v/>
      </c>
      <c r="F71" s="20">
        <f>IF(AND(ISNUMBER($L71),$L71&lt;&gt;""),IF(INDEX(LubesData!$M:$M,$L71)="","—",INDEX(LubesData!$M:$M,$L71)),"")</f>
        <v/>
      </c>
      <c r="G71" s="21">
        <f>IF(AND(ISNUMBER($L71),$L71&lt;&gt;""),IF(INDEX(LubesData!$N:$N,$L71)="","—",INDEX(LubesData!$N:$N,$L71)),"")</f>
        <v/>
      </c>
      <c r="H71" s="22">
        <f>IF(AND(ISNUMBER($L71),$L71&lt;&gt;""),IF(INDEX(LubesData!$Q:$Q,$L71)="","—",INDEX(LubesData!$Q:$Q,$L71)),"")</f>
        <v/>
      </c>
      <c r="I71" s="23">
        <f>IF(AND(ISNUMBER($L71),$L71&lt;&gt;""),INDEX(LubesData!$E:$E,$L71),"")</f>
        <v/>
      </c>
      <c r="J71" s="23">
        <f>IF(AND(ISNUMBER($L71),$L71&lt;&gt;""),INDEX(LubesData!$F:$F,$L71),"")</f>
        <v/>
      </c>
      <c r="L71">
        <f>IFERROR(MATCH((YEAR($B$3)*10000+MONTH($B$3)*100+DAY($B$3))*1000+62,LubesData!$W:$W,0),"")</f>
        <v/>
      </c>
    </row>
    <row r="72">
      <c r="A72" s="14">
        <f>IF(AND(ISNUMBER($L72),$L72&lt;&gt;""),INDEX(LubesData!$G:$G,$L72),"")</f>
        <v/>
      </c>
      <c r="B72" s="15">
        <f>IF(AND(ISNUMBER($L72),$L72&lt;&gt;""),IF(INDEX(LubesData!$I:$I,$L72)="","—",INDEX(LubesData!$I:$I,$L72)),"")</f>
        <v/>
      </c>
      <c r="C72" s="15">
        <f>IF(AND(ISNUMBER($L72),$L72&lt;&gt;""),INDEX(LubesData!$J:$J,$L72),"")</f>
        <v/>
      </c>
      <c r="D72" s="15">
        <f>IF(AND(ISNUMBER($L72),$L72&lt;&gt;""),INDEX(LubesData!$K:$K,$L72),"")</f>
        <v/>
      </c>
      <c r="E72" s="15">
        <f>IF(AND(ISNUMBER($L72),$L72&lt;&gt;""),IF(INDEX(LubesData!$L:$L,$L72)="","—",INDEX(LubesData!$L:$L,$L72)),"")</f>
        <v/>
      </c>
      <c r="F72" s="15">
        <f>IF(AND(ISNUMBER($L72),$L72&lt;&gt;""),IF(INDEX(LubesData!$M:$M,$L72)="","—",INDEX(LubesData!$M:$M,$L72)),"")</f>
        <v/>
      </c>
      <c r="G72" s="16">
        <f>IF(AND(ISNUMBER($L72),$L72&lt;&gt;""),IF(INDEX(LubesData!$N:$N,$L72)="","—",INDEX(LubesData!$N:$N,$L72)),"")</f>
        <v/>
      </c>
      <c r="H72" s="17">
        <f>IF(AND(ISNUMBER($L72),$L72&lt;&gt;""),IF(INDEX(LubesData!$Q:$Q,$L72)="","—",INDEX(LubesData!$Q:$Q,$L72)),"")</f>
        <v/>
      </c>
      <c r="I72" s="18">
        <f>IF(AND(ISNUMBER($L72),$L72&lt;&gt;""),INDEX(LubesData!$E:$E,$L72),"")</f>
        <v/>
      </c>
      <c r="J72" s="18">
        <f>IF(AND(ISNUMBER($L72),$L72&lt;&gt;""),INDEX(LubesData!$F:$F,$L72),"")</f>
        <v/>
      </c>
      <c r="L72">
        <f>IFERROR(MATCH((YEAR($B$3)*10000+MONTH($B$3)*100+DAY($B$3))*1000+63,LubesData!$W:$W,0),"")</f>
        <v/>
      </c>
    </row>
    <row r="73">
      <c r="A73" s="19">
        <f>IF(AND(ISNUMBER($L73),$L73&lt;&gt;""),INDEX(LubesData!$G:$G,$L73),"")</f>
        <v/>
      </c>
      <c r="B73" s="20">
        <f>IF(AND(ISNUMBER($L73),$L73&lt;&gt;""),IF(INDEX(LubesData!$I:$I,$L73)="","—",INDEX(LubesData!$I:$I,$L73)),"")</f>
        <v/>
      </c>
      <c r="C73" s="20">
        <f>IF(AND(ISNUMBER($L73),$L73&lt;&gt;""),INDEX(LubesData!$J:$J,$L73),"")</f>
        <v/>
      </c>
      <c r="D73" s="20">
        <f>IF(AND(ISNUMBER($L73),$L73&lt;&gt;""),INDEX(LubesData!$K:$K,$L73),"")</f>
        <v/>
      </c>
      <c r="E73" s="20">
        <f>IF(AND(ISNUMBER($L73),$L73&lt;&gt;""),IF(INDEX(LubesData!$L:$L,$L73)="","—",INDEX(LubesData!$L:$L,$L73)),"")</f>
        <v/>
      </c>
      <c r="F73" s="20">
        <f>IF(AND(ISNUMBER($L73),$L73&lt;&gt;""),IF(INDEX(LubesData!$M:$M,$L73)="","—",INDEX(LubesData!$M:$M,$L73)),"")</f>
        <v/>
      </c>
      <c r="G73" s="21">
        <f>IF(AND(ISNUMBER($L73),$L73&lt;&gt;""),IF(INDEX(LubesData!$N:$N,$L73)="","—",INDEX(LubesData!$N:$N,$L73)),"")</f>
        <v/>
      </c>
      <c r="H73" s="22">
        <f>IF(AND(ISNUMBER($L73),$L73&lt;&gt;""),IF(INDEX(LubesData!$Q:$Q,$L73)="","—",INDEX(LubesData!$Q:$Q,$L73)),"")</f>
        <v/>
      </c>
      <c r="I73" s="23">
        <f>IF(AND(ISNUMBER($L73),$L73&lt;&gt;""),INDEX(LubesData!$E:$E,$L73),"")</f>
        <v/>
      </c>
      <c r="J73" s="23">
        <f>IF(AND(ISNUMBER($L73),$L73&lt;&gt;""),INDEX(LubesData!$F:$F,$L73),"")</f>
        <v/>
      </c>
      <c r="L73">
        <f>IFERROR(MATCH((YEAR($B$3)*10000+MONTH($B$3)*100+DAY($B$3))*1000+64,LubesData!$W:$W,0),"")</f>
        <v/>
      </c>
    </row>
    <row r="74">
      <c r="A74" s="14">
        <f>IF(AND(ISNUMBER($L74),$L74&lt;&gt;""),INDEX(LubesData!$G:$G,$L74),"")</f>
        <v/>
      </c>
      <c r="B74" s="15">
        <f>IF(AND(ISNUMBER($L74),$L74&lt;&gt;""),IF(INDEX(LubesData!$I:$I,$L74)="","—",INDEX(LubesData!$I:$I,$L74)),"")</f>
        <v/>
      </c>
      <c r="C74" s="15">
        <f>IF(AND(ISNUMBER($L74),$L74&lt;&gt;""),INDEX(LubesData!$J:$J,$L74),"")</f>
        <v/>
      </c>
      <c r="D74" s="15">
        <f>IF(AND(ISNUMBER($L74),$L74&lt;&gt;""),INDEX(LubesData!$K:$K,$L74),"")</f>
        <v/>
      </c>
      <c r="E74" s="15">
        <f>IF(AND(ISNUMBER($L74),$L74&lt;&gt;""),IF(INDEX(LubesData!$L:$L,$L74)="","—",INDEX(LubesData!$L:$L,$L74)),"")</f>
        <v/>
      </c>
      <c r="F74" s="15">
        <f>IF(AND(ISNUMBER($L74),$L74&lt;&gt;""),IF(INDEX(LubesData!$M:$M,$L74)="","—",INDEX(LubesData!$M:$M,$L74)),"")</f>
        <v/>
      </c>
      <c r="G74" s="16">
        <f>IF(AND(ISNUMBER($L74),$L74&lt;&gt;""),IF(INDEX(LubesData!$N:$N,$L74)="","—",INDEX(LubesData!$N:$N,$L74)),"")</f>
        <v/>
      </c>
      <c r="H74" s="17">
        <f>IF(AND(ISNUMBER($L74),$L74&lt;&gt;""),IF(INDEX(LubesData!$Q:$Q,$L74)="","—",INDEX(LubesData!$Q:$Q,$L74)),"")</f>
        <v/>
      </c>
      <c r="I74" s="18">
        <f>IF(AND(ISNUMBER($L74),$L74&lt;&gt;""),INDEX(LubesData!$E:$E,$L74),"")</f>
        <v/>
      </c>
      <c r="J74" s="18">
        <f>IF(AND(ISNUMBER($L74),$L74&lt;&gt;""),INDEX(LubesData!$F:$F,$L74),"")</f>
        <v/>
      </c>
      <c r="L74">
        <f>IFERROR(MATCH((YEAR($B$3)*10000+MONTH($B$3)*100+DAY($B$3))*1000+65,LubesData!$W:$W,0),"")</f>
        <v/>
      </c>
    </row>
    <row r="75">
      <c r="A75" s="19">
        <f>IF(AND(ISNUMBER($L75),$L75&lt;&gt;""),INDEX(LubesData!$G:$G,$L75),"")</f>
        <v/>
      </c>
      <c r="B75" s="20">
        <f>IF(AND(ISNUMBER($L75),$L75&lt;&gt;""),IF(INDEX(LubesData!$I:$I,$L75)="","—",INDEX(LubesData!$I:$I,$L75)),"")</f>
        <v/>
      </c>
      <c r="C75" s="20">
        <f>IF(AND(ISNUMBER($L75),$L75&lt;&gt;""),INDEX(LubesData!$J:$J,$L75),"")</f>
        <v/>
      </c>
      <c r="D75" s="20">
        <f>IF(AND(ISNUMBER($L75),$L75&lt;&gt;""),INDEX(LubesData!$K:$K,$L75),"")</f>
        <v/>
      </c>
      <c r="E75" s="20">
        <f>IF(AND(ISNUMBER($L75),$L75&lt;&gt;""),IF(INDEX(LubesData!$L:$L,$L75)="","—",INDEX(LubesData!$L:$L,$L75)),"")</f>
        <v/>
      </c>
      <c r="F75" s="20">
        <f>IF(AND(ISNUMBER($L75),$L75&lt;&gt;""),IF(INDEX(LubesData!$M:$M,$L75)="","—",INDEX(LubesData!$M:$M,$L75)),"")</f>
        <v/>
      </c>
      <c r="G75" s="21">
        <f>IF(AND(ISNUMBER($L75),$L75&lt;&gt;""),IF(INDEX(LubesData!$N:$N,$L75)="","—",INDEX(LubesData!$N:$N,$L75)),"")</f>
        <v/>
      </c>
      <c r="H75" s="22">
        <f>IF(AND(ISNUMBER($L75),$L75&lt;&gt;""),IF(INDEX(LubesData!$Q:$Q,$L75)="","—",INDEX(LubesData!$Q:$Q,$L75)),"")</f>
        <v/>
      </c>
      <c r="I75" s="23">
        <f>IF(AND(ISNUMBER($L75),$L75&lt;&gt;""),INDEX(LubesData!$E:$E,$L75),"")</f>
        <v/>
      </c>
      <c r="J75" s="23">
        <f>IF(AND(ISNUMBER($L75),$L75&lt;&gt;""),INDEX(LubesData!$F:$F,$L75),"")</f>
        <v/>
      </c>
      <c r="L75">
        <f>IFERROR(MATCH((YEAR($B$3)*10000+MONTH($B$3)*100+DAY($B$3))*1000+66,LubesData!$W:$W,0),"")</f>
        <v/>
      </c>
    </row>
    <row r="76">
      <c r="A76" s="14">
        <f>IF(AND(ISNUMBER($L76),$L76&lt;&gt;""),INDEX(LubesData!$G:$G,$L76),"")</f>
        <v/>
      </c>
      <c r="B76" s="15">
        <f>IF(AND(ISNUMBER($L76),$L76&lt;&gt;""),IF(INDEX(LubesData!$I:$I,$L76)="","—",INDEX(LubesData!$I:$I,$L76)),"")</f>
        <v/>
      </c>
      <c r="C76" s="15">
        <f>IF(AND(ISNUMBER($L76),$L76&lt;&gt;""),INDEX(LubesData!$J:$J,$L76),"")</f>
        <v/>
      </c>
      <c r="D76" s="15">
        <f>IF(AND(ISNUMBER($L76),$L76&lt;&gt;""),INDEX(LubesData!$K:$K,$L76),"")</f>
        <v/>
      </c>
      <c r="E76" s="15">
        <f>IF(AND(ISNUMBER($L76),$L76&lt;&gt;""),IF(INDEX(LubesData!$L:$L,$L76)="","—",INDEX(LubesData!$L:$L,$L76)),"")</f>
        <v/>
      </c>
      <c r="F76" s="15">
        <f>IF(AND(ISNUMBER($L76),$L76&lt;&gt;""),IF(INDEX(LubesData!$M:$M,$L76)="","—",INDEX(LubesData!$M:$M,$L76)),"")</f>
        <v/>
      </c>
      <c r="G76" s="16">
        <f>IF(AND(ISNUMBER($L76),$L76&lt;&gt;""),IF(INDEX(LubesData!$N:$N,$L76)="","—",INDEX(LubesData!$N:$N,$L76)),"")</f>
        <v/>
      </c>
      <c r="H76" s="17">
        <f>IF(AND(ISNUMBER($L76),$L76&lt;&gt;""),IF(INDEX(LubesData!$Q:$Q,$L76)="","—",INDEX(LubesData!$Q:$Q,$L76)),"")</f>
        <v/>
      </c>
      <c r="I76" s="18">
        <f>IF(AND(ISNUMBER($L76),$L76&lt;&gt;""),INDEX(LubesData!$E:$E,$L76),"")</f>
        <v/>
      </c>
      <c r="J76" s="18">
        <f>IF(AND(ISNUMBER($L76),$L76&lt;&gt;""),INDEX(LubesData!$F:$F,$L76),"")</f>
        <v/>
      </c>
      <c r="L76">
        <f>IFERROR(MATCH((YEAR($B$3)*10000+MONTH($B$3)*100+DAY($B$3))*1000+67,LubesData!$W:$W,0),"")</f>
        <v/>
      </c>
    </row>
    <row r="77">
      <c r="A77" s="19">
        <f>IF(AND(ISNUMBER($L77),$L77&lt;&gt;""),INDEX(LubesData!$G:$G,$L77),"")</f>
        <v/>
      </c>
      <c r="B77" s="20">
        <f>IF(AND(ISNUMBER($L77),$L77&lt;&gt;""),IF(INDEX(LubesData!$I:$I,$L77)="","—",INDEX(LubesData!$I:$I,$L77)),"")</f>
        <v/>
      </c>
      <c r="C77" s="20">
        <f>IF(AND(ISNUMBER($L77),$L77&lt;&gt;""),INDEX(LubesData!$J:$J,$L77),"")</f>
        <v/>
      </c>
      <c r="D77" s="20">
        <f>IF(AND(ISNUMBER($L77),$L77&lt;&gt;""),INDEX(LubesData!$K:$K,$L77),"")</f>
        <v/>
      </c>
      <c r="E77" s="20">
        <f>IF(AND(ISNUMBER($L77),$L77&lt;&gt;""),IF(INDEX(LubesData!$L:$L,$L77)="","—",INDEX(LubesData!$L:$L,$L77)),"")</f>
        <v/>
      </c>
      <c r="F77" s="20">
        <f>IF(AND(ISNUMBER($L77),$L77&lt;&gt;""),IF(INDEX(LubesData!$M:$M,$L77)="","—",INDEX(LubesData!$M:$M,$L77)),"")</f>
        <v/>
      </c>
      <c r="G77" s="21">
        <f>IF(AND(ISNUMBER($L77),$L77&lt;&gt;""),IF(INDEX(LubesData!$N:$N,$L77)="","—",INDEX(LubesData!$N:$N,$L77)),"")</f>
        <v/>
      </c>
      <c r="H77" s="22">
        <f>IF(AND(ISNUMBER($L77),$L77&lt;&gt;""),IF(INDEX(LubesData!$Q:$Q,$L77)="","—",INDEX(LubesData!$Q:$Q,$L77)),"")</f>
        <v/>
      </c>
      <c r="I77" s="23">
        <f>IF(AND(ISNUMBER($L77),$L77&lt;&gt;""),INDEX(LubesData!$E:$E,$L77),"")</f>
        <v/>
      </c>
      <c r="J77" s="23">
        <f>IF(AND(ISNUMBER($L77),$L77&lt;&gt;""),INDEX(LubesData!$F:$F,$L77),"")</f>
        <v/>
      </c>
      <c r="L77">
        <f>IFERROR(MATCH((YEAR($B$3)*10000+MONTH($B$3)*100+DAY($B$3))*1000+68,LubesData!$W:$W,0),"")</f>
        <v/>
      </c>
    </row>
    <row r="78">
      <c r="A78" s="14">
        <f>IF(AND(ISNUMBER($L78),$L78&lt;&gt;""),INDEX(LubesData!$G:$G,$L78),"")</f>
        <v/>
      </c>
      <c r="B78" s="15">
        <f>IF(AND(ISNUMBER($L78),$L78&lt;&gt;""),IF(INDEX(LubesData!$I:$I,$L78)="","—",INDEX(LubesData!$I:$I,$L78)),"")</f>
        <v/>
      </c>
      <c r="C78" s="15">
        <f>IF(AND(ISNUMBER($L78),$L78&lt;&gt;""),INDEX(LubesData!$J:$J,$L78),"")</f>
        <v/>
      </c>
      <c r="D78" s="15">
        <f>IF(AND(ISNUMBER($L78),$L78&lt;&gt;""),INDEX(LubesData!$K:$K,$L78),"")</f>
        <v/>
      </c>
      <c r="E78" s="15">
        <f>IF(AND(ISNUMBER($L78),$L78&lt;&gt;""),IF(INDEX(LubesData!$L:$L,$L78)="","—",INDEX(LubesData!$L:$L,$L78)),"")</f>
        <v/>
      </c>
      <c r="F78" s="15">
        <f>IF(AND(ISNUMBER($L78),$L78&lt;&gt;""),IF(INDEX(LubesData!$M:$M,$L78)="","—",INDEX(LubesData!$M:$M,$L78)),"")</f>
        <v/>
      </c>
      <c r="G78" s="16">
        <f>IF(AND(ISNUMBER($L78),$L78&lt;&gt;""),IF(INDEX(LubesData!$N:$N,$L78)="","—",INDEX(LubesData!$N:$N,$L78)),"")</f>
        <v/>
      </c>
      <c r="H78" s="17">
        <f>IF(AND(ISNUMBER($L78),$L78&lt;&gt;""),IF(INDEX(LubesData!$Q:$Q,$L78)="","—",INDEX(LubesData!$Q:$Q,$L78)),"")</f>
        <v/>
      </c>
      <c r="I78" s="18">
        <f>IF(AND(ISNUMBER($L78),$L78&lt;&gt;""),INDEX(LubesData!$E:$E,$L78),"")</f>
        <v/>
      </c>
      <c r="J78" s="18">
        <f>IF(AND(ISNUMBER($L78),$L78&lt;&gt;""),INDEX(LubesData!$F:$F,$L78),"")</f>
        <v/>
      </c>
      <c r="L78">
        <f>IFERROR(MATCH((YEAR($B$3)*10000+MONTH($B$3)*100+DAY($B$3))*1000+69,LubesData!$W:$W,0),"")</f>
        <v/>
      </c>
    </row>
    <row r="79">
      <c r="A79" s="19">
        <f>IF(AND(ISNUMBER($L79),$L79&lt;&gt;""),INDEX(LubesData!$G:$G,$L79),"")</f>
        <v/>
      </c>
      <c r="B79" s="20">
        <f>IF(AND(ISNUMBER($L79),$L79&lt;&gt;""),IF(INDEX(LubesData!$I:$I,$L79)="","—",INDEX(LubesData!$I:$I,$L79)),"")</f>
        <v/>
      </c>
      <c r="C79" s="20">
        <f>IF(AND(ISNUMBER($L79),$L79&lt;&gt;""),INDEX(LubesData!$J:$J,$L79),"")</f>
        <v/>
      </c>
      <c r="D79" s="20">
        <f>IF(AND(ISNUMBER($L79),$L79&lt;&gt;""),INDEX(LubesData!$K:$K,$L79),"")</f>
        <v/>
      </c>
      <c r="E79" s="20">
        <f>IF(AND(ISNUMBER($L79),$L79&lt;&gt;""),IF(INDEX(LubesData!$L:$L,$L79)="","—",INDEX(LubesData!$L:$L,$L79)),"")</f>
        <v/>
      </c>
      <c r="F79" s="20">
        <f>IF(AND(ISNUMBER($L79),$L79&lt;&gt;""),IF(INDEX(LubesData!$M:$M,$L79)="","—",INDEX(LubesData!$M:$M,$L79)),"")</f>
        <v/>
      </c>
      <c r="G79" s="21">
        <f>IF(AND(ISNUMBER($L79),$L79&lt;&gt;""),IF(INDEX(LubesData!$N:$N,$L79)="","—",INDEX(LubesData!$N:$N,$L79)),"")</f>
        <v/>
      </c>
      <c r="H79" s="22">
        <f>IF(AND(ISNUMBER($L79),$L79&lt;&gt;""),IF(INDEX(LubesData!$Q:$Q,$L79)="","—",INDEX(LubesData!$Q:$Q,$L79)),"")</f>
        <v/>
      </c>
      <c r="I79" s="23">
        <f>IF(AND(ISNUMBER($L79),$L79&lt;&gt;""),INDEX(LubesData!$E:$E,$L79),"")</f>
        <v/>
      </c>
      <c r="J79" s="23">
        <f>IF(AND(ISNUMBER($L79),$L79&lt;&gt;""),INDEX(LubesData!$F:$F,$L79),"")</f>
        <v/>
      </c>
      <c r="L79">
        <f>IFERROR(MATCH((YEAR($B$3)*10000+MONTH($B$3)*100+DAY($B$3))*1000+70,LubesData!$W:$W,0),"")</f>
        <v/>
      </c>
    </row>
  </sheetData>
  <mergeCells count="3">
    <mergeCell ref="F1:J1"/>
    <mergeCell ref="A1:D1"/>
    <mergeCell ref="A7:J7"/>
  </mergeCells>
  <conditionalFormatting sqref="G10:H79">
    <cfRule type="expression" priority="1" dxfId="0" stopIfTrue="1">
      <formula>AND(ISNUMBER($G10),$G10=0)</formula>
    </cfRule>
    <cfRule type="expression" priority="2" dxfId="1" stopIfTrue="1">
      <formula>AND(ISNUMBER($G10),ABS($G10)&gt;=10)</formula>
    </cfRule>
    <cfRule type="expression" priority="3" dxfId="2" stopIfTrue="1">
      <formula>AND(ISNUMBER($G10),ABS($G10)&gt;=5)</formula>
    </cfRule>
    <cfRule type="expression" priority="4" dxfId="3" stopIfTrue="1">
      <formula>AND(ISNUMBER($G10),ABS($G10)&gt;=1)</formula>
    </cfRule>
  </conditionalFormatting>
  <dataValidations count="1">
    <dataValidation sqref="B3" showDropDown="0" showInputMessage="0" showErrorMessage="1" allowBlank="0" errorTitle="Not a counted day" error="Pick a trading day from the dropdown. Only days with a submitted count are in the list." type="list">
      <formula1>=LubesCalc!$B$3:$B$62</formula1>
    </dataValidation>
  </dataValidations>
  <printOptions horizontalCentered="1"/>
  <pageMargins left="0.4" right="0.4" top="0.5" bottom="0.5" header="0.5" footer="0.5"/>
  <pageSetup orientation="portrait" fitToHeight="1" fitToWidth="1"/>
  <headerFooter>
    <oddHeader/>
    <oddFooter>&amp;LLubes reconciliation — &amp;A&amp;RPage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T1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hidden="1" width="13" customWidth="1" min="20" max="20"/>
  </cols>
  <sheetData>
    <row r="1">
      <c r="A1" s="24" t="inlineStr">
        <is>
          <t>Lubes variance by product — last 14 counted days</t>
        </is>
      </c>
    </row>
    <row r="2">
      <c r="A2" s="25" t="inlineStr">
        <is>
          <t>Sorted by how many days the product disagreed with the POS, then by total. A product off a little every night sits above one that was off a lot once. A dash means no POS sales were loaded for that day.</t>
        </is>
      </c>
    </row>
    <row r="4" ht="26" customHeight="1">
      <c r="A4" s="12" t="inlineStr">
        <is>
          <t>Product</t>
        </is>
      </c>
      <c r="B4" s="26">
        <f>IF(LubesCalc!$B$3="","",TEXT(LubesCalc!$B$3,"dd mmm"))</f>
        <v/>
      </c>
      <c r="C4" s="26">
        <f>IF(LubesCalc!$B$4="","",TEXT(LubesCalc!$B$4,"dd mmm"))</f>
        <v/>
      </c>
      <c r="D4" s="26">
        <f>IF(LubesCalc!$B$5="","",TEXT(LubesCalc!$B$5,"dd mmm"))</f>
        <v/>
      </c>
      <c r="E4" s="26">
        <f>IF(LubesCalc!$B$6="","",TEXT(LubesCalc!$B$6,"dd mmm"))</f>
        <v/>
      </c>
      <c r="F4" s="26">
        <f>IF(LubesCalc!$B$7="","",TEXT(LubesCalc!$B$7,"dd mmm"))</f>
        <v/>
      </c>
      <c r="G4" s="26">
        <f>IF(LubesCalc!$B$8="","",TEXT(LubesCalc!$B$8,"dd mmm"))</f>
        <v/>
      </c>
      <c r="H4" s="26">
        <f>IF(LubesCalc!$B$9="","",TEXT(LubesCalc!$B$9,"dd mmm"))</f>
        <v/>
      </c>
      <c r="I4" s="26">
        <f>IF(LubesCalc!$B$10="","",TEXT(LubesCalc!$B$10,"dd mmm"))</f>
        <v/>
      </c>
      <c r="J4" s="26">
        <f>IF(LubesCalc!$B$11="","",TEXT(LubesCalc!$B$11,"dd mmm"))</f>
        <v/>
      </c>
      <c r="K4" s="26">
        <f>IF(LubesCalc!$B$12="","",TEXT(LubesCalc!$B$12,"dd mmm"))</f>
        <v/>
      </c>
      <c r="L4" s="26">
        <f>IF(LubesCalc!$B$13="","",TEXT(LubesCalc!$B$13,"dd mmm"))</f>
        <v/>
      </c>
      <c r="M4" s="26">
        <f>IF(LubesCalc!$B$14="","",TEXT(LubesCalc!$B$14,"dd mmm"))</f>
        <v/>
      </c>
      <c r="N4" s="26">
        <f>IF(LubesCalc!$B$15="","",TEXT(LubesCalc!$B$15,"dd mmm"))</f>
        <v/>
      </c>
      <c r="O4" s="26">
        <f>IF(LubesCalc!$B$16="","",TEXT(LubesCalc!$B$16,"dd mmm"))</f>
        <v/>
      </c>
      <c r="P4" s="26" t="inlineStr">
        <is>
          <t>Days off</t>
        </is>
      </c>
      <c r="Q4" s="26" t="inlineStr">
        <is>
          <t>Total</t>
        </is>
      </c>
      <c r="R4" s="26" t="inlineStr">
        <is>
          <t>Worst</t>
        </is>
      </c>
    </row>
    <row r="5">
      <c r="A5" s="19">
        <f>IF(AND(ISNUMBER($T5),$T5&lt;&gt;""),INDEX(LubesCalc!$S$3:$S$122,$T5),"")</f>
        <v/>
      </c>
      <c r="B5" s="20">
        <f>IF(AND(ISNUMBER($T5),$T5&lt;&gt;""),IF(INDEX(LubesCalc!$T$3:$T$122,$T5)="","—",INDEX(LubesCalc!$T$3:$T$122,$T5)),"")</f>
        <v/>
      </c>
      <c r="C5" s="20">
        <f>IF(AND(ISNUMBER($T5),$T5&lt;&gt;""),IF(INDEX(LubesCalc!$U$3:$U$122,$T5)="","—",INDEX(LubesCalc!$U$3:$U$122,$T5)),"")</f>
        <v/>
      </c>
      <c r="D5" s="20">
        <f>IF(AND(ISNUMBER($T5),$T5&lt;&gt;""),IF(INDEX(LubesCalc!$V$3:$V$122,$T5)="","—",INDEX(LubesCalc!$V$3:$V$122,$T5)),"")</f>
        <v/>
      </c>
      <c r="E5" s="20">
        <f>IF(AND(ISNUMBER($T5),$T5&lt;&gt;""),IF(INDEX(LubesCalc!$W$3:$W$122,$T5)="","—",INDEX(LubesCalc!$W$3:$W$122,$T5)),"")</f>
        <v/>
      </c>
      <c r="F5" s="20">
        <f>IF(AND(ISNUMBER($T5),$T5&lt;&gt;""),IF(INDEX(LubesCalc!$X$3:$X$122,$T5)="","—",INDEX(LubesCalc!$X$3:$X$122,$T5)),"")</f>
        <v/>
      </c>
      <c r="G5" s="20">
        <f>IF(AND(ISNUMBER($T5),$T5&lt;&gt;""),IF(INDEX(LubesCalc!$Y$3:$Y$122,$T5)="","—",INDEX(LubesCalc!$Y$3:$Y$122,$T5)),"")</f>
        <v/>
      </c>
      <c r="H5" s="20">
        <f>IF(AND(ISNUMBER($T5),$T5&lt;&gt;""),IF(INDEX(LubesCalc!$Z$3:$Z$122,$T5)="","—",INDEX(LubesCalc!$Z$3:$Z$122,$T5)),"")</f>
        <v/>
      </c>
      <c r="I5" s="20">
        <f>IF(AND(ISNUMBER($T5),$T5&lt;&gt;""),IF(INDEX(LubesCalc!$AA$3:$AA$122,$T5)="","—",INDEX(LubesCalc!$AA$3:$AA$122,$T5)),"")</f>
        <v/>
      </c>
      <c r="J5" s="20">
        <f>IF(AND(ISNUMBER($T5),$T5&lt;&gt;""),IF(INDEX(LubesCalc!$AB$3:$AB$122,$T5)="","—",INDEX(LubesCalc!$AB$3:$AB$122,$T5)),"")</f>
        <v/>
      </c>
      <c r="K5" s="20">
        <f>IF(AND(ISNUMBER($T5),$T5&lt;&gt;""),IF(INDEX(LubesCalc!$AC$3:$AC$122,$T5)="","—",INDEX(LubesCalc!$AC$3:$AC$122,$T5)),"")</f>
        <v/>
      </c>
      <c r="L5" s="20">
        <f>IF(AND(ISNUMBER($T5),$T5&lt;&gt;""),IF(INDEX(LubesCalc!$AD$3:$AD$122,$T5)="","—",INDEX(LubesCalc!$AD$3:$AD$122,$T5)),"")</f>
        <v/>
      </c>
      <c r="M5" s="20">
        <f>IF(AND(ISNUMBER($T5),$T5&lt;&gt;""),IF(INDEX(LubesCalc!$AE$3:$AE$122,$T5)="","—",INDEX(LubesCalc!$AE$3:$AE$122,$T5)),"")</f>
        <v/>
      </c>
      <c r="N5" s="20">
        <f>IF(AND(ISNUMBER($T5),$T5&lt;&gt;""),IF(INDEX(LubesCalc!$AF$3:$AF$122,$T5)="","—",INDEX(LubesCalc!$AF$3:$AF$122,$T5)),"")</f>
        <v/>
      </c>
      <c r="O5" s="20">
        <f>IF(AND(ISNUMBER($T5),$T5&lt;&gt;""),IF(INDEX(LubesCalc!$AG$3:$AG$122,$T5)="","—",INDEX(LubesCalc!$AG$3:$AG$122,$T5)),"")</f>
        <v/>
      </c>
      <c r="P5" s="21">
        <f>IF(AND(ISNUMBER($T5),$T5&lt;&gt;""),IF(INDEX(LubesCalc!$AJ$3:$AJ$122,$T5)="","—",INDEX(LubesCalc!$AJ$3:$AJ$122,$T5)),"")</f>
        <v/>
      </c>
      <c r="Q5" s="21">
        <f>IF(AND(ISNUMBER($T5),$T5&lt;&gt;""),IF(INDEX(LubesCalc!$AK$3:$AK$122,$T5)="","—",INDEX(LubesCalc!$AK$3:$AK$122,$T5)),"")</f>
        <v/>
      </c>
      <c r="R5" s="20">
        <f>IF(AND(ISNUMBER($T5),$T5&lt;&gt;""),IF(INDEX(LubesCalc!$AL$3:$AL$122,$T5)="","—",INDEX(LubesCalc!$AL$3:$AL$122,$T5)),"")</f>
        <v/>
      </c>
      <c r="T5">
        <f>IFERROR(MATCH(1,LubesCalc!$AN$3:$AN$122,0),"")</f>
        <v/>
      </c>
    </row>
    <row r="6">
      <c r="A6" s="14">
        <f>IF(AND(ISNUMBER($T6),$T6&lt;&gt;""),INDEX(LubesCalc!$S$3:$S$122,$T6),"")</f>
        <v/>
      </c>
      <c r="B6" s="15">
        <f>IF(AND(ISNUMBER($T6),$T6&lt;&gt;""),IF(INDEX(LubesCalc!$T$3:$T$122,$T6)="","—",INDEX(LubesCalc!$T$3:$T$122,$T6)),"")</f>
        <v/>
      </c>
      <c r="C6" s="15">
        <f>IF(AND(ISNUMBER($T6),$T6&lt;&gt;""),IF(INDEX(LubesCalc!$U$3:$U$122,$T6)="","—",INDEX(LubesCalc!$U$3:$U$122,$T6)),"")</f>
        <v/>
      </c>
      <c r="D6" s="15">
        <f>IF(AND(ISNUMBER($T6),$T6&lt;&gt;""),IF(INDEX(LubesCalc!$V$3:$V$122,$T6)="","—",INDEX(LubesCalc!$V$3:$V$122,$T6)),"")</f>
        <v/>
      </c>
      <c r="E6" s="15">
        <f>IF(AND(ISNUMBER($T6),$T6&lt;&gt;""),IF(INDEX(LubesCalc!$W$3:$W$122,$T6)="","—",INDEX(LubesCalc!$W$3:$W$122,$T6)),"")</f>
        <v/>
      </c>
      <c r="F6" s="15">
        <f>IF(AND(ISNUMBER($T6),$T6&lt;&gt;""),IF(INDEX(LubesCalc!$X$3:$X$122,$T6)="","—",INDEX(LubesCalc!$X$3:$X$122,$T6)),"")</f>
        <v/>
      </c>
      <c r="G6" s="15">
        <f>IF(AND(ISNUMBER($T6),$T6&lt;&gt;""),IF(INDEX(LubesCalc!$Y$3:$Y$122,$T6)="","—",INDEX(LubesCalc!$Y$3:$Y$122,$T6)),"")</f>
        <v/>
      </c>
      <c r="H6" s="15">
        <f>IF(AND(ISNUMBER($T6),$T6&lt;&gt;""),IF(INDEX(LubesCalc!$Z$3:$Z$122,$T6)="","—",INDEX(LubesCalc!$Z$3:$Z$122,$T6)),"")</f>
        <v/>
      </c>
      <c r="I6" s="15">
        <f>IF(AND(ISNUMBER($T6),$T6&lt;&gt;""),IF(INDEX(LubesCalc!$AA$3:$AA$122,$T6)="","—",INDEX(LubesCalc!$AA$3:$AA$122,$T6)),"")</f>
        <v/>
      </c>
      <c r="J6" s="15">
        <f>IF(AND(ISNUMBER($T6),$T6&lt;&gt;""),IF(INDEX(LubesCalc!$AB$3:$AB$122,$T6)="","—",INDEX(LubesCalc!$AB$3:$AB$122,$T6)),"")</f>
        <v/>
      </c>
      <c r="K6" s="15">
        <f>IF(AND(ISNUMBER($T6),$T6&lt;&gt;""),IF(INDEX(LubesCalc!$AC$3:$AC$122,$T6)="","—",INDEX(LubesCalc!$AC$3:$AC$122,$T6)),"")</f>
        <v/>
      </c>
      <c r="L6" s="15">
        <f>IF(AND(ISNUMBER($T6),$T6&lt;&gt;""),IF(INDEX(LubesCalc!$AD$3:$AD$122,$T6)="","—",INDEX(LubesCalc!$AD$3:$AD$122,$T6)),"")</f>
        <v/>
      </c>
      <c r="M6" s="15">
        <f>IF(AND(ISNUMBER($T6),$T6&lt;&gt;""),IF(INDEX(LubesCalc!$AE$3:$AE$122,$T6)="","—",INDEX(LubesCalc!$AE$3:$AE$122,$T6)),"")</f>
        <v/>
      </c>
      <c r="N6" s="15">
        <f>IF(AND(ISNUMBER($T6),$T6&lt;&gt;""),IF(INDEX(LubesCalc!$AF$3:$AF$122,$T6)="","—",INDEX(LubesCalc!$AF$3:$AF$122,$T6)),"")</f>
        <v/>
      </c>
      <c r="O6" s="15">
        <f>IF(AND(ISNUMBER($T6),$T6&lt;&gt;""),IF(INDEX(LubesCalc!$AG$3:$AG$122,$T6)="","—",INDEX(LubesCalc!$AG$3:$AG$122,$T6)),"")</f>
        <v/>
      </c>
      <c r="P6" s="16">
        <f>IF(AND(ISNUMBER($T6),$T6&lt;&gt;""),IF(INDEX(LubesCalc!$AJ$3:$AJ$122,$T6)="","—",INDEX(LubesCalc!$AJ$3:$AJ$122,$T6)),"")</f>
        <v/>
      </c>
      <c r="Q6" s="16">
        <f>IF(AND(ISNUMBER($T6),$T6&lt;&gt;""),IF(INDEX(LubesCalc!$AK$3:$AK$122,$T6)="","—",INDEX(LubesCalc!$AK$3:$AK$122,$T6)),"")</f>
        <v/>
      </c>
      <c r="R6" s="15">
        <f>IF(AND(ISNUMBER($T6),$T6&lt;&gt;""),IF(INDEX(LubesCalc!$AL$3:$AL$122,$T6)="","—",INDEX(LubesCalc!$AL$3:$AL$122,$T6)),"")</f>
        <v/>
      </c>
      <c r="T6">
        <f>IFERROR(MATCH(2,LubesCalc!$AN$3:$AN$122,0),"")</f>
        <v/>
      </c>
    </row>
    <row r="7">
      <c r="A7" s="19">
        <f>IF(AND(ISNUMBER($T7),$T7&lt;&gt;""),INDEX(LubesCalc!$S$3:$S$122,$T7),"")</f>
        <v/>
      </c>
      <c r="B7" s="20">
        <f>IF(AND(ISNUMBER($T7),$T7&lt;&gt;""),IF(INDEX(LubesCalc!$T$3:$T$122,$T7)="","—",INDEX(LubesCalc!$T$3:$T$122,$T7)),"")</f>
        <v/>
      </c>
      <c r="C7" s="20">
        <f>IF(AND(ISNUMBER($T7),$T7&lt;&gt;""),IF(INDEX(LubesCalc!$U$3:$U$122,$T7)="","—",INDEX(LubesCalc!$U$3:$U$122,$T7)),"")</f>
        <v/>
      </c>
      <c r="D7" s="20">
        <f>IF(AND(ISNUMBER($T7),$T7&lt;&gt;""),IF(INDEX(LubesCalc!$V$3:$V$122,$T7)="","—",INDEX(LubesCalc!$V$3:$V$122,$T7)),"")</f>
        <v/>
      </c>
      <c r="E7" s="20">
        <f>IF(AND(ISNUMBER($T7),$T7&lt;&gt;""),IF(INDEX(LubesCalc!$W$3:$W$122,$T7)="","—",INDEX(LubesCalc!$W$3:$W$122,$T7)),"")</f>
        <v/>
      </c>
      <c r="F7" s="20">
        <f>IF(AND(ISNUMBER($T7),$T7&lt;&gt;""),IF(INDEX(LubesCalc!$X$3:$X$122,$T7)="","—",INDEX(LubesCalc!$X$3:$X$122,$T7)),"")</f>
        <v/>
      </c>
      <c r="G7" s="20">
        <f>IF(AND(ISNUMBER($T7),$T7&lt;&gt;""),IF(INDEX(LubesCalc!$Y$3:$Y$122,$T7)="","—",INDEX(LubesCalc!$Y$3:$Y$122,$T7)),"")</f>
        <v/>
      </c>
      <c r="H7" s="20">
        <f>IF(AND(ISNUMBER($T7),$T7&lt;&gt;""),IF(INDEX(LubesCalc!$Z$3:$Z$122,$T7)="","—",INDEX(LubesCalc!$Z$3:$Z$122,$T7)),"")</f>
        <v/>
      </c>
      <c r="I7" s="20">
        <f>IF(AND(ISNUMBER($T7),$T7&lt;&gt;""),IF(INDEX(LubesCalc!$AA$3:$AA$122,$T7)="","—",INDEX(LubesCalc!$AA$3:$AA$122,$T7)),"")</f>
        <v/>
      </c>
      <c r="J7" s="20">
        <f>IF(AND(ISNUMBER($T7),$T7&lt;&gt;""),IF(INDEX(LubesCalc!$AB$3:$AB$122,$T7)="","—",INDEX(LubesCalc!$AB$3:$AB$122,$T7)),"")</f>
        <v/>
      </c>
      <c r="K7" s="20">
        <f>IF(AND(ISNUMBER($T7),$T7&lt;&gt;""),IF(INDEX(LubesCalc!$AC$3:$AC$122,$T7)="","—",INDEX(LubesCalc!$AC$3:$AC$122,$T7)),"")</f>
        <v/>
      </c>
      <c r="L7" s="20">
        <f>IF(AND(ISNUMBER($T7),$T7&lt;&gt;""),IF(INDEX(LubesCalc!$AD$3:$AD$122,$T7)="","—",INDEX(LubesCalc!$AD$3:$AD$122,$T7)),"")</f>
        <v/>
      </c>
      <c r="M7" s="20">
        <f>IF(AND(ISNUMBER($T7),$T7&lt;&gt;""),IF(INDEX(LubesCalc!$AE$3:$AE$122,$T7)="","—",INDEX(LubesCalc!$AE$3:$AE$122,$T7)),"")</f>
        <v/>
      </c>
      <c r="N7" s="20">
        <f>IF(AND(ISNUMBER($T7),$T7&lt;&gt;""),IF(INDEX(LubesCalc!$AF$3:$AF$122,$T7)="","—",INDEX(LubesCalc!$AF$3:$AF$122,$T7)),"")</f>
        <v/>
      </c>
      <c r="O7" s="20">
        <f>IF(AND(ISNUMBER($T7),$T7&lt;&gt;""),IF(INDEX(LubesCalc!$AG$3:$AG$122,$T7)="","—",INDEX(LubesCalc!$AG$3:$AG$122,$T7)),"")</f>
        <v/>
      </c>
      <c r="P7" s="21">
        <f>IF(AND(ISNUMBER($T7),$T7&lt;&gt;""),IF(INDEX(LubesCalc!$AJ$3:$AJ$122,$T7)="","—",INDEX(LubesCalc!$AJ$3:$AJ$122,$T7)),"")</f>
        <v/>
      </c>
      <c r="Q7" s="21">
        <f>IF(AND(ISNUMBER($T7),$T7&lt;&gt;""),IF(INDEX(LubesCalc!$AK$3:$AK$122,$T7)="","—",INDEX(LubesCalc!$AK$3:$AK$122,$T7)),"")</f>
        <v/>
      </c>
      <c r="R7" s="20">
        <f>IF(AND(ISNUMBER($T7),$T7&lt;&gt;""),IF(INDEX(LubesCalc!$AL$3:$AL$122,$T7)="","—",INDEX(LubesCalc!$AL$3:$AL$122,$T7)),"")</f>
        <v/>
      </c>
      <c r="T7">
        <f>IFERROR(MATCH(3,LubesCalc!$AN$3:$AN$122,0),"")</f>
        <v/>
      </c>
    </row>
    <row r="8">
      <c r="A8" s="14">
        <f>IF(AND(ISNUMBER($T8),$T8&lt;&gt;""),INDEX(LubesCalc!$S$3:$S$122,$T8),"")</f>
        <v/>
      </c>
      <c r="B8" s="15">
        <f>IF(AND(ISNUMBER($T8),$T8&lt;&gt;""),IF(INDEX(LubesCalc!$T$3:$T$122,$T8)="","—",INDEX(LubesCalc!$T$3:$T$122,$T8)),"")</f>
        <v/>
      </c>
      <c r="C8" s="15">
        <f>IF(AND(ISNUMBER($T8),$T8&lt;&gt;""),IF(INDEX(LubesCalc!$U$3:$U$122,$T8)="","—",INDEX(LubesCalc!$U$3:$U$122,$T8)),"")</f>
        <v/>
      </c>
      <c r="D8" s="15">
        <f>IF(AND(ISNUMBER($T8),$T8&lt;&gt;""),IF(INDEX(LubesCalc!$V$3:$V$122,$T8)="","—",INDEX(LubesCalc!$V$3:$V$122,$T8)),"")</f>
        <v/>
      </c>
      <c r="E8" s="15">
        <f>IF(AND(ISNUMBER($T8),$T8&lt;&gt;""),IF(INDEX(LubesCalc!$W$3:$W$122,$T8)="","—",INDEX(LubesCalc!$W$3:$W$122,$T8)),"")</f>
        <v/>
      </c>
      <c r="F8" s="15">
        <f>IF(AND(ISNUMBER($T8),$T8&lt;&gt;""),IF(INDEX(LubesCalc!$X$3:$X$122,$T8)="","—",INDEX(LubesCalc!$X$3:$X$122,$T8)),"")</f>
        <v/>
      </c>
      <c r="G8" s="15">
        <f>IF(AND(ISNUMBER($T8),$T8&lt;&gt;""),IF(INDEX(LubesCalc!$Y$3:$Y$122,$T8)="","—",INDEX(LubesCalc!$Y$3:$Y$122,$T8)),"")</f>
        <v/>
      </c>
      <c r="H8" s="15">
        <f>IF(AND(ISNUMBER($T8),$T8&lt;&gt;""),IF(INDEX(LubesCalc!$Z$3:$Z$122,$T8)="","—",INDEX(LubesCalc!$Z$3:$Z$122,$T8)),"")</f>
        <v/>
      </c>
      <c r="I8" s="15">
        <f>IF(AND(ISNUMBER($T8),$T8&lt;&gt;""),IF(INDEX(LubesCalc!$AA$3:$AA$122,$T8)="","—",INDEX(LubesCalc!$AA$3:$AA$122,$T8)),"")</f>
        <v/>
      </c>
      <c r="J8" s="15">
        <f>IF(AND(ISNUMBER($T8),$T8&lt;&gt;""),IF(INDEX(LubesCalc!$AB$3:$AB$122,$T8)="","—",INDEX(LubesCalc!$AB$3:$AB$122,$T8)),"")</f>
        <v/>
      </c>
      <c r="K8" s="15">
        <f>IF(AND(ISNUMBER($T8),$T8&lt;&gt;""),IF(INDEX(LubesCalc!$AC$3:$AC$122,$T8)="","—",INDEX(LubesCalc!$AC$3:$AC$122,$T8)),"")</f>
        <v/>
      </c>
      <c r="L8" s="15">
        <f>IF(AND(ISNUMBER($T8),$T8&lt;&gt;""),IF(INDEX(LubesCalc!$AD$3:$AD$122,$T8)="","—",INDEX(LubesCalc!$AD$3:$AD$122,$T8)),"")</f>
        <v/>
      </c>
      <c r="M8" s="15">
        <f>IF(AND(ISNUMBER($T8),$T8&lt;&gt;""),IF(INDEX(LubesCalc!$AE$3:$AE$122,$T8)="","—",INDEX(LubesCalc!$AE$3:$AE$122,$T8)),"")</f>
        <v/>
      </c>
      <c r="N8" s="15">
        <f>IF(AND(ISNUMBER($T8),$T8&lt;&gt;""),IF(INDEX(LubesCalc!$AF$3:$AF$122,$T8)="","—",INDEX(LubesCalc!$AF$3:$AF$122,$T8)),"")</f>
        <v/>
      </c>
      <c r="O8" s="15">
        <f>IF(AND(ISNUMBER($T8),$T8&lt;&gt;""),IF(INDEX(LubesCalc!$AG$3:$AG$122,$T8)="","—",INDEX(LubesCalc!$AG$3:$AG$122,$T8)),"")</f>
        <v/>
      </c>
      <c r="P8" s="16">
        <f>IF(AND(ISNUMBER($T8),$T8&lt;&gt;""),IF(INDEX(LubesCalc!$AJ$3:$AJ$122,$T8)="","—",INDEX(LubesCalc!$AJ$3:$AJ$122,$T8)),"")</f>
        <v/>
      </c>
      <c r="Q8" s="16">
        <f>IF(AND(ISNUMBER($T8),$T8&lt;&gt;""),IF(INDEX(LubesCalc!$AK$3:$AK$122,$T8)="","—",INDEX(LubesCalc!$AK$3:$AK$122,$T8)),"")</f>
        <v/>
      </c>
      <c r="R8" s="15">
        <f>IF(AND(ISNUMBER($T8),$T8&lt;&gt;""),IF(INDEX(LubesCalc!$AL$3:$AL$122,$T8)="","—",INDEX(LubesCalc!$AL$3:$AL$122,$T8)),"")</f>
        <v/>
      </c>
      <c r="T8">
        <f>IFERROR(MATCH(4,LubesCalc!$AN$3:$AN$122,0),"")</f>
        <v/>
      </c>
    </row>
    <row r="9">
      <c r="A9" s="19">
        <f>IF(AND(ISNUMBER($T9),$T9&lt;&gt;""),INDEX(LubesCalc!$S$3:$S$122,$T9),"")</f>
        <v/>
      </c>
      <c r="B9" s="20">
        <f>IF(AND(ISNUMBER($T9),$T9&lt;&gt;""),IF(INDEX(LubesCalc!$T$3:$T$122,$T9)="","—",INDEX(LubesCalc!$T$3:$T$122,$T9)),"")</f>
        <v/>
      </c>
      <c r="C9" s="20">
        <f>IF(AND(ISNUMBER($T9),$T9&lt;&gt;""),IF(INDEX(LubesCalc!$U$3:$U$122,$T9)="","—",INDEX(LubesCalc!$U$3:$U$122,$T9)),"")</f>
        <v/>
      </c>
      <c r="D9" s="20">
        <f>IF(AND(ISNUMBER($T9),$T9&lt;&gt;""),IF(INDEX(LubesCalc!$V$3:$V$122,$T9)="","—",INDEX(LubesCalc!$V$3:$V$122,$T9)),"")</f>
        <v/>
      </c>
      <c r="E9" s="20">
        <f>IF(AND(ISNUMBER($T9),$T9&lt;&gt;""),IF(INDEX(LubesCalc!$W$3:$W$122,$T9)="","—",INDEX(LubesCalc!$W$3:$W$122,$T9)),"")</f>
        <v/>
      </c>
      <c r="F9" s="20">
        <f>IF(AND(ISNUMBER($T9),$T9&lt;&gt;""),IF(INDEX(LubesCalc!$X$3:$X$122,$T9)="","—",INDEX(LubesCalc!$X$3:$X$122,$T9)),"")</f>
        <v/>
      </c>
      <c r="G9" s="20">
        <f>IF(AND(ISNUMBER($T9),$T9&lt;&gt;""),IF(INDEX(LubesCalc!$Y$3:$Y$122,$T9)="","—",INDEX(LubesCalc!$Y$3:$Y$122,$T9)),"")</f>
        <v/>
      </c>
      <c r="H9" s="20">
        <f>IF(AND(ISNUMBER($T9),$T9&lt;&gt;""),IF(INDEX(LubesCalc!$Z$3:$Z$122,$T9)="","—",INDEX(LubesCalc!$Z$3:$Z$122,$T9)),"")</f>
        <v/>
      </c>
      <c r="I9" s="20">
        <f>IF(AND(ISNUMBER($T9),$T9&lt;&gt;""),IF(INDEX(LubesCalc!$AA$3:$AA$122,$T9)="","—",INDEX(LubesCalc!$AA$3:$AA$122,$T9)),"")</f>
        <v/>
      </c>
      <c r="J9" s="20">
        <f>IF(AND(ISNUMBER($T9),$T9&lt;&gt;""),IF(INDEX(LubesCalc!$AB$3:$AB$122,$T9)="","—",INDEX(LubesCalc!$AB$3:$AB$122,$T9)),"")</f>
        <v/>
      </c>
      <c r="K9" s="20">
        <f>IF(AND(ISNUMBER($T9),$T9&lt;&gt;""),IF(INDEX(LubesCalc!$AC$3:$AC$122,$T9)="","—",INDEX(LubesCalc!$AC$3:$AC$122,$T9)),"")</f>
        <v/>
      </c>
      <c r="L9" s="20">
        <f>IF(AND(ISNUMBER($T9),$T9&lt;&gt;""),IF(INDEX(LubesCalc!$AD$3:$AD$122,$T9)="","—",INDEX(LubesCalc!$AD$3:$AD$122,$T9)),"")</f>
        <v/>
      </c>
      <c r="M9" s="20">
        <f>IF(AND(ISNUMBER($T9),$T9&lt;&gt;""),IF(INDEX(LubesCalc!$AE$3:$AE$122,$T9)="","—",INDEX(LubesCalc!$AE$3:$AE$122,$T9)),"")</f>
        <v/>
      </c>
      <c r="N9" s="20">
        <f>IF(AND(ISNUMBER($T9),$T9&lt;&gt;""),IF(INDEX(LubesCalc!$AF$3:$AF$122,$T9)="","—",INDEX(LubesCalc!$AF$3:$AF$122,$T9)),"")</f>
        <v/>
      </c>
      <c r="O9" s="20">
        <f>IF(AND(ISNUMBER($T9),$T9&lt;&gt;""),IF(INDEX(LubesCalc!$AG$3:$AG$122,$T9)="","—",INDEX(LubesCalc!$AG$3:$AG$122,$T9)),"")</f>
        <v/>
      </c>
      <c r="P9" s="21">
        <f>IF(AND(ISNUMBER($T9),$T9&lt;&gt;""),IF(INDEX(LubesCalc!$AJ$3:$AJ$122,$T9)="","—",INDEX(LubesCalc!$AJ$3:$AJ$122,$T9)),"")</f>
        <v/>
      </c>
      <c r="Q9" s="21">
        <f>IF(AND(ISNUMBER($T9),$T9&lt;&gt;""),IF(INDEX(LubesCalc!$AK$3:$AK$122,$T9)="","—",INDEX(LubesCalc!$AK$3:$AK$122,$T9)),"")</f>
        <v/>
      </c>
      <c r="R9" s="20">
        <f>IF(AND(ISNUMBER($T9),$T9&lt;&gt;""),IF(INDEX(LubesCalc!$AL$3:$AL$122,$T9)="","—",INDEX(LubesCalc!$AL$3:$AL$122,$T9)),"")</f>
        <v/>
      </c>
      <c r="T9">
        <f>IFERROR(MATCH(5,LubesCalc!$AN$3:$AN$122,0),"")</f>
        <v/>
      </c>
    </row>
    <row r="10">
      <c r="A10" s="14">
        <f>IF(AND(ISNUMBER($T10),$T10&lt;&gt;""),INDEX(LubesCalc!$S$3:$S$122,$T10),"")</f>
        <v/>
      </c>
      <c r="B10" s="15">
        <f>IF(AND(ISNUMBER($T10),$T10&lt;&gt;""),IF(INDEX(LubesCalc!$T$3:$T$122,$T10)="","—",INDEX(LubesCalc!$T$3:$T$122,$T10)),"")</f>
        <v/>
      </c>
      <c r="C10" s="15">
        <f>IF(AND(ISNUMBER($T10),$T10&lt;&gt;""),IF(INDEX(LubesCalc!$U$3:$U$122,$T10)="","—",INDEX(LubesCalc!$U$3:$U$122,$T10)),"")</f>
        <v/>
      </c>
      <c r="D10" s="15">
        <f>IF(AND(ISNUMBER($T10),$T10&lt;&gt;""),IF(INDEX(LubesCalc!$V$3:$V$122,$T10)="","—",INDEX(LubesCalc!$V$3:$V$122,$T10)),"")</f>
        <v/>
      </c>
      <c r="E10" s="15">
        <f>IF(AND(ISNUMBER($T10),$T10&lt;&gt;""),IF(INDEX(LubesCalc!$W$3:$W$122,$T10)="","—",INDEX(LubesCalc!$W$3:$W$122,$T10)),"")</f>
        <v/>
      </c>
      <c r="F10" s="15">
        <f>IF(AND(ISNUMBER($T10),$T10&lt;&gt;""),IF(INDEX(LubesCalc!$X$3:$X$122,$T10)="","—",INDEX(LubesCalc!$X$3:$X$122,$T10)),"")</f>
        <v/>
      </c>
      <c r="G10" s="15">
        <f>IF(AND(ISNUMBER($T10),$T10&lt;&gt;""),IF(INDEX(LubesCalc!$Y$3:$Y$122,$T10)="","—",INDEX(LubesCalc!$Y$3:$Y$122,$T10)),"")</f>
        <v/>
      </c>
      <c r="H10" s="15">
        <f>IF(AND(ISNUMBER($T10),$T10&lt;&gt;""),IF(INDEX(LubesCalc!$Z$3:$Z$122,$T10)="","—",INDEX(LubesCalc!$Z$3:$Z$122,$T10)),"")</f>
        <v/>
      </c>
      <c r="I10" s="15">
        <f>IF(AND(ISNUMBER($T10),$T10&lt;&gt;""),IF(INDEX(LubesCalc!$AA$3:$AA$122,$T10)="","—",INDEX(LubesCalc!$AA$3:$AA$122,$T10)),"")</f>
        <v/>
      </c>
      <c r="J10" s="15">
        <f>IF(AND(ISNUMBER($T10),$T10&lt;&gt;""),IF(INDEX(LubesCalc!$AB$3:$AB$122,$T10)="","—",INDEX(LubesCalc!$AB$3:$AB$122,$T10)),"")</f>
        <v/>
      </c>
      <c r="K10" s="15">
        <f>IF(AND(ISNUMBER($T10),$T10&lt;&gt;""),IF(INDEX(LubesCalc!$AC$3:$AC$122,$T10)="","—",INDEX(LubesCalc!$AC$3:$AC$122,$T10)),"")</f>
        <v/>
      </c>
      <c r="L10" s="15">
        <f>IF(AND(ISNUMBER($T10),$T10&lt;&gt;""),IF(INDEX(LubesCalc!$AD$3:$AD$122,$T10)="","—",INDEX(LubesCalc!$AD$3:$AD$122,$T10)),"")</f>
        <v/>
      </c>
      <c r="M10" s="15">
        <f>IF(AND(ISNUMBER($T10),$T10&lt;&gt;""),IF(INDEX(LubesCalc!$AE$3:$AE$122,$T10)="","—",INDEX(LubesCalc!$AE$3:$AE$122,$T10)),"")</f>
        <v/>
      </c>
      <c r="N10" s="15">
        <f>IF(AND(ISNUMBER($T10),$T10&lt;&gt;""),IF(INDEX(LubesCalc!$AF$3:$AF$122,$T10)="","—",INDEX(LubesCalc!$AF$3:$AF$122,$T10)),"")</f>
        <v/>
      </c>
      <c r="O10" s="15">
        <f>IF(AND(ISNUMBER($T10),$T10&lt;&gt;""),IF(INDEX(LubesCalc!$AG$3:$AG$122,$T10)="","—",INDEX(LubesCalc!$AG$3:$AG$122,$T10)),"")</f>
        <v/>
      </c>
      <c r="P10" s="16">
        <f>IF(AND(ISNUMBER($T10),$T10&lt;&gt;""),IF(INDEX(LubesCalc!$AJ$3:$AJ$122,$T10)="","—",INDEX(LubesCalc!$AJ$3:$AJ$122,$T10)),"")</f>
        <v/>
      </c>
      <c r="Q10" s="16">
        <f>IF(AND(ISNUMBER($T10),$T10&lt;&gt;""),IF(INDEX(LubesCalc!$AK$3:$AK$122,$T10)="","—",INDEX(LubesCalc!$AK$3:$AK$122,$T10)),"")</f>
        <v/>
      </c>
      <c r="R10" s="15">
        <f>IF(AND(ISNUMBER($T10),$T10&lt;&gt;""),IF(INDEX(LubesCalc!$AL$3:$AL$122,$T10)="","—",INDEX(LubesCalc!$AL$3:$AL$122,$T10)),"")</f>
        <v/>
      </c>
      <c r="T10">
        <f>IFERROR(MATCH(6,LubesCalc!$AN$3:$AN$122,0),"")</f>
        <v/>
      </c>
    </row>
    <row r="11">
      <c r="A11" s="19">
        <f>IF(AND(ISNUMBER($T11),$T11&lt;&gt;""),INDEX(LubesCalc!$S$3:$S$122,$T11),"")</f>
        <v/>
      </c>
      <c r="B11" s="20">
        <f>IF(AND(ISNUMBER($T11),$T11&lt;&gt;""),IF(INDEX(LubesCalc!$T$3:$T$122,$T11)="","—",INDEX(LubesCalc!$T$3:$T$122,$T11)),"")</f>
        <v/>
      </c>
      <c r="C11" s="20">
        <f>IF(AND(ISNUMBER($T11),$T11&lt;&gt;""),IF(INDEX(LubesCalc!$U$3:$U$122,$T11)="","—",INDEX(LubesCalc!$U$3:$U$122,$T11)),"")</f>
        <v/>
      </c>
      <c r="D11" s="20">
        <f>IF(AND(ISNUMBER($T11),$T11&lt;&gt;""),IF(INDEX(LubesCalc!$V$3:$V$122,$T11)="","—",INDEX(LubesCalc!$V$3:$V$122,$T11)),"")</f>
        <v/>
      </c>
      <c r="E11" s="20">
        <f>IF(AND(ISNUMBER($T11),$T11&lt;&gt;""),IF(INDEX(LubesCalc!$W$3:$W$122,$T11)="","—",INDEX(LubesCalc!$W$3:$W$122,$T11)),"")</f>
        <v/>
      </c>
      <c r="F11" s="20">
        <f>IF(AND(ISNUMBER($T11),$T11&lt;&gt;""),IF(INDEX(LubesCalc!$X$3:$X$122,$T11)="","—",INDEX(LubesCalc!$X$3:$X$122,$T11)),"")</f>
        <v/>
      </c>
      <c r="G11" s="20">
        <f>IF(AND(ISNUMBER($T11),$T11&lt;&gt;""),IF(INDEX(LubesCalc!$Y$3:$Y$122,$T11)="","—",INDEX(LubesCalc!$Y$3:$Y$122,$T11)),"")</f>
        <v/>
      </c>
      <c r="H11" s="20">
        <f>IF(AND(ISNUMBER($T11),$T11&lt;&gt;""),IF(INDEX(LubesCalc!$Z$3:$Z$122,$T11)="","—",INDEX(LubesCalc!$Z$3:$Z$122,$T11)),"")</f>
        <v/>
      </c>
      <c r="I11" s="20">
        <f>IF(AND(ISNUMBER($T11),$T11&lt;&gt;""),IF(INDEX(LubesCalc!$AA$3:$AA$122,$T11)="","—",INDEX(LubesCalc!$AA$3:$AA$122,$T11)),"")</f>
        <v/>
      </c>
      <c r="J11" s="20">
        <f>IF(AND(ISNUMBER($T11),$T11&lt;&gt;""),IF(INDEX(LubesCalc!$AB$3:$AB$122,$T11)="","—",INDEX(LubesCalc!$AB$3:$AB$122,$T11)),"")</f>
        <v/>
      </c>
      <c r="K11" s="20">
        <f>IF(AND(ISNUMBER($T11),$T11&lt;&gt;""),IF(INDEX(LubesCalc!$AC$3:$AC$122,$T11)="","—",INDEX(LubesCalc!$AC$3:$AC$122,$T11)),"")</f>
        <v/>
      </c>
      <c r="L11" s="20">
        <f>IF(AND(ISNUMBER($T11),$T11&lt;&gt;""),IF(INDEX(LubesCalc!$AD$3:$AD$122,$T11)="","—",INDEX(LubesCalc!$AD$3:$AD$122,$T11)),"")</f>
        <v/>
      </c>
      <c r="M11" s="20">
        <f>IF(AND(ISNUMBER($T11),$T11&lt;&gt;""),IF(INDEX(LubesCalc!$AE$3:$AE$122,$T11)="","—",INDEX(LubesCalc!$AE$3:$AE$122,$T11)),"")</f>
        <v/>
      </c>
      <c r="N11" s="20">
        <f>IF(AND(ISNUMBER($T11),$T11&lt;&gt;""),IF(INDEX(LubesCalc!$AF$3:$AF$122,$T11)="","—",INDEX(LubesCalc!$AF$3:$AF$122,$T11)),"")</f>
        <v/>
      </c>
      <c r="O11" s="20">
        <f>IF(AND(ISNUMBER($T11),$T11&lt;&gt;""),IF(INDEX(LubesCalc!$AG$3:$AG$122,$T11)="","—",INDEX(LubesCalc!$AG$3:$AG$122,$T11)),"")</f>
        <v/>
      </c>
      <c r="P11" s="21">
        <f>IF(AND(ISNUMBER($T11),$T11&lt;&gt;""),IF(INDEX(LubesCalc!$AJ$3:$AJ$122,$T11)="","—",INDEX(LubesCalc!$AJ$3:$AJ$122,$T11)),"")</f>
        <v/>
      </c>
      <c r="Q11" s="21">
        <f>IF(AND(ISNUMBER($T11),$T11&lt;&gt;""),IF(INDEX(LubesCalc!$AK$3:$AK$122,$T11)="","—",INDEX(LubesCalc!$AK$3:$AK$122,$T11)),"")</f>
        <v/>
      </c>
      <c r="R11" s="20">
        <f>IF(AND(ISNUMBER($T11),$T11&lt;&gt;""),IF(INDEX(LubesCalc!$AL$3:$AL$122,$T11)="","—",INDEX(LubesCalc!$AL$3:$AL$122,$T11)),"")</f>
        <v/>
      </c>
      <c r="T11">
        <f>IFERROR(MATCH(7,LubesCalc!$AN$3:$AN$122,0),"")</f>
        <v/>
      </c>
    </row>
    <row r="12">
      <c r="A12" s="14">
        <f>IF(AND(ISNUMBER($T12),$T12&lt;&gt;""),INDEX(LubesCalc!$S$3:$S$122,$T12),"")</f>
        <v/>
      </c>
      <c r="B12" s="15">
        <f>IF(AND(ISNUMBER($T12),$T12&lt;&gt;""),IF(INDEX(LubesCalc!$T$3:$T$122,$T12)="","—",INDEX(LubesCalc!$T$3:$T$122,$T12)),"")</f>
        <v/>
      </c>
      <c r="C12" s="15">
        <f>IF(AND(ISNUMBER($T12),$T12&lt;&gt;""),IF(INDEX(LubesCalc!$U$3:$U$122,$T12)="","—",INDEX(LubesCalc!$U$3:$U$122,$T12)),"")</f>
        <v/>
      </c>
      <c r="D12" s="15">
        <f>IF(AND(ISNUMBER($T12),$T12&lt;&gt;""),IF(INDEX(LubesCalc!$V$3:$V$122,$T12)="","—",INDEX(LubesCalc!$V$3:$V$122,$T12)),"")</f>
        <v/>
      </c>
      <c r="E12" s="15">
        <f>IF(AND(ISNUMBER($T12),$T12&lt;&gt;""),IF(INDEX(LubesCalc!$W$3:$W$122,$T12)="","—",INDEX(LubesCalc!$W$3:$W$122,$T12)),"")</f>
        <v/>
      </c>
      <c r="F12" s="15">
        <f>IF(AND(ISNUMBER($T12),$T12&lt;&gt;""),IF(INDEX(LubesCalc!$X$3:$X$122,$T12)="","—",INDEX(LubesCalc!$X$3:$X$122,$T12)),"")</f>
        <v/>
      </c>
      <c r="G12" s="15">
        <f>IF(AND(ISNUMBER($T12),$T12&lt;&gt;""),IF(INDEX(LubesCalc!$Y$3:$Y$122,$T12)="","—",INDEX(LubesCalc!$Y$3:$Y$122,$T12)),"")</f>
        <v/>
      </c>
      <c r="H12" s="15">
        <f>IF(AND(ISNUMBER($T12),$T12&lt;&gt;""),IF(INDEX(LubesCalc!$Z$3:$Z$122,$T12)="","—",INDEX(LubesCalc!$Z$3:$Z$122,$T12)),"")</f>
        <v/>
      </c>
      <c r="I12" s="15">
        <f>IF(AND(ISNUMBER($T12),$T12&lt;&gt;""),IF(INDEX(LubesCalc!$AA$3:$AA$122,$T12)="","—",INDEX(LubesCalc!$AA$3:$AA$122,$T12)),"")</f>
        <v/>
      </c>
      <c r="J12" s="15">
        <f>IF(AND(ISNUMBER($T12),$T12&lt;&gt;""),IF(INDEX(LubesCalc!$AB$3:$AB$122,$T12)="","—",INDEX(LubesCalc!$AB$3:$AB$122,$T12)),"")</f>
        <v/>
      </c>
      <c r="K12" s="15">
        <f>IF(AND(ISNUMBER($T12),$T12&lt;&gt;""),IF(INDEX(LubesCalc!$AC$3:$AC$122,$T12)="","—",INDEX(LubesCalc!$AC$3:$AC$122,$T12)),"")</f>
        <v/>
      </c>
      <c r="L12" s="15">
        <f>IF(AND(ISNUMBER($T12),$T12&lt;&gt;""),IF(INDEX(LubesCalc!$AD$3:$AD$122,$T12)="","—",INDEX(LubesCalc!$AD$3:$AD$122,$T12)),"")</f>
        <v/>
      </c>
      <c r="M12" s="15">
        <f>IF(AND(ISNUMBER($T12),$T12&lt;&gt;""),IF(INDEX(LubesCalc!$AE$3:$AE$122,$T12)="","—",INDEX(LubesCalc!$AE$3:$AE$122,$T12)),"")</f>
        <v/>
      </c>
      <c r="N12" s="15">
        <f>IF(AND(ISNUMBER($T12),$T12&lt;&gt;""),IF(INDEX(LubesCalc!$AF$3:$AF$122,$T12)="","—",INDEX(LubesCalc!$AF$3:$AF$122,$T12)),"")</f>
        <v/>
      </c>
      <c r="O12" s="15">
        <f>IF(AND(ISNUMBER($T12),$T12&lt;&gt;""),IF(INDEX(LubesCalc!$AG$3:$AG$122,$T12)="","—",INDEX(LubesCalc!$AG$3:$AG$122,$T12)),"")</f>
        <v/>
      </c>
      <c r="P12" s="16">
        <f>IF(AND(ISNUMBER($T12),$T12&lt;&gt;""),IF(INDEX(LubesCalc!$AJ$3:$AJ$122,$T12)="","—",INDEX(LubesCalc!$AJ$3:$AJ$122,$T12)),"")</f>
        <v/>
      </c>
      <c r="Q12" s="16">
        <f>IF(AND(ISNUMBER($T12),$T12&lt;&gt;""),IF(INDEX(LubesCalc!$AK$3:$AK$122,$T12)="","—",INDEX(LubesCalc!$AK$3:$AK$122,$T12)),"")</f>
        <v/>
      </c>
      <c r="R12" s="15">
        <f>IF(AND(ISNUMBER($T12),$T12&lt;&gt;""),IF(INDEX(LubesCalc!$AL$3:$AL$122,$T12)="","—",INDEX(LubesCalc!$AL$3:$AL$122,$T12)),"")</f>
        <v/>
      </c>
      <c r="T12">
        <f>IFERROR(MATCH(8,LubesCalc!$AN$3:$AN$122,0),"")</f>
        <v/>
      </c>
    </row>
    <row r="13">
      <c r="A13" s="19">
        <f>IF(AND(ISNUMBER($T13),$T13&lt;&gt;""),INDEX(LubesCalc!$S$3:$S$122,$T13),"")</f>
        <v/>
      </c>
      <c r="B13" s="20">
        <f>IF(AND(ISNUMBER($T13),$T13&lt;&gt;""),IF(INDEX(LubesCalc!$T$3:$T$122,$T13)="","—",INDEX(LubesCalc!$T$3:$T$122,$T13)),"")</f>
        <v/>
      </c>
      <c r="C13" s="20">
        <f>IF(AND(ISNUMBER($T13),$T13&lt;&gt;""),IF(INDEX(LubesCalc!$U$3:$U$122,$T13)="","—",INDEX(LubesCalc!$U$3:$U$122,$T13)),"")</f>
        <v/>
      </c>
      <c r="D13" s="20">
        <f>IF(AND(ISNUMBER($T13),$T13&lt;&gt;""),IF(INDEX(LubesCalc!$V$3:$V$122,$T13)="","—",INDEX(LubesCalc!$V$3:$V$122,$T13)),"")</f>
        <v/>
      </c>
      <c r="E13" s="20">
        <f>IF(AND(ISNUMBER($T13),$T13&lt;&gt;""),IF(INDEX(LubesCalc!$W$3:$W$122,$T13)="","—",INDEX(LubesCalc!$W$3:$W$122,$T13)),"")</f>
        <v/>
      </c>
      <c r="F13" s="20">
        <f>IF(AND(ISNUMBER($T13),$T13&lt;&gt;""),IF(INDEX(LubesCalc!$X$3:$X$122,$T13)="","—",INDEX(LubesCalc!$X$3:$X$122,$T13)),"")</f>
        <v/>
      </c>
      <c r="G13" s="20">
        <f>IF(AND(ISNUMBER($T13),$T13&lt;&gt;""),IF(INDEX(LubesCalc!$Y$3:$Y$122,$T13)="","—",INDEX(LubesCalc!$Y$3:$Y$122,$T13)),"")</f>
        <v/>
      </c>
      <c r="H13" s="20">
        <f>IF(AND(ISNUMBER($T13),$T13&lt;&gt;""),IF(INDEX(LubesCalc!$Z$3:$Z$122,$T13)="","—",INDEX(LubesCalc!$Z$3:$Z$122,$T13)),"")</f>
        <v/>
      </c>
      <c r="I13" s="20">
        <f>IF(AND(ISNUMBER($T13),$T13&lt;&gt;""),IF(INDEX(LubesCalc!$AA$3:$AA$122,$T13)="","—",INDEX(LubesCalc!$AA$3:$AA$122,$T13)),"")</f>
        <v/>
      </c>
      <c r="J13" s="20">
        <f>IF(AND(ISNUMBER($T13),$T13&lt;&gt;""),IF(INDEX(LubesCalc!$AB$3:$AB$122,$T13)="","—",INDEX(LubesCalc!$AB$3:$AB$122,$T13)),"")</f>
        <v/>
      </c>
      <c r="K13" s="20">
        <f>IF(AND(ISNUMBER($T13),$T13&lt;&gt;""),IF(INDEX(LubesCalc!$AC$3:$AC$122,$T13)="","—",INDEX(LubesCalc!$AC$3:$AC$122,$T13)),"")</f>
        <v/>
      </c>
      <c r="L13" s="20">
        <f>IF(AND(ISNUMBER($T13),$T13&lt;&gt;""),IF(INDEX(LubesCalc!$AD$3:$AD$122,$T13)="","—",INDEX(LubesCalc!$AD$3:$AD$122,$T13)),"")</f>
        <v/>
      </c>
      <c r="M13" s="20">
        <f>IF(AND(ISNUMBER($T13),$T13&lt;&gt;""),IF(INDEX(LubesCalc!$AE$3:$AE$122,$T13)="","—",INDEX(LubesCalc!$AE$3:$AE$122,$T13)),"")</f>
        <v/>
      </c>
      <c r="N13" s="20">
        <f>IF(AND(ISNUMBER($T13),$T13&lt;&gt;""),IF(INDEX(LubesCalc!$AF$3:$AF$122,$T13)="","—",INDEX(LubesCalc!$AF$3:$AF$122,$T13)),"")</f>
        <v/>
      </c>
      <c r="O13" s="20">
        <f>IF(AND(ISNUMBER($T13),$T13&lt;&gt;""),IF(INDEX(LubesCalc!$AG$3:$AG$122,$T13)="","—",INDEX(LubesCalc!$AG$3:$AG$122,$T13)),"")</f>
        <v/>
      </c>
      <c r="P13" s="21">
        <f>IF(AND(ISNUMBER($T13),$T13&lt;&gt;""),IF(INDEX(LubesCalc!$AJ$3:$AJ$122,$T13)="","—",INDEX(LubesCalc!$AJ$3:$AJ$122,$T13)),"")</f>
        <v/>
      </c>
      <c r="Q13" s="21">
        <f>IF(AND(ISNUMBER($T13),$T13&lt;&gt;""),IF(INDEX(LubesCalc!$AK$3:$AK$122,$T13)="","—",INDEX(LubesCalc!$AK$3:$AK$122,$T13)),"")</f>
        <v/>
      </c>
      <c r="R13" s="20">
        <f>IF(AND(ISNUMBER($T13),$T13&lt;&gt;""),IF(INDEX(LubesCalc!$AL$3:$AL$122,$T13)="","—",INDEX(LubesCalc!$AL$3:$AL$122,$T13)),"")</f>
        <v/>
      </c>
      <c r="T13">
        <f>IFERROR(MATCH(9,LubesCalc!$AN$3:$AN$122,0),"")</f>
        <v/>
      </c>
    </row>
    <row r="14">
      <c r="A14" s="14">
        <f>IF(AND(ISNUMBER($T14),$T14&lt;&gt;""),INDEX(LubesCalc!$S$3:$S$122,$T14),"")</f>
        <v/>
      </c>
      <c r="B14" s="15">
        <f>IF(AND(ISNUMBER($T14),$T14&lt;&gt;""),IF(INDEX(LubesCalc!$T$3:$T$122,$T14)="","—",INDEX(LubesCalc!$T$3:$T$122,$T14)),"")</f>
        <v/>
      </c>
      <c r="C14" s="15">
        <f>IF(AND(ISNUMBER($T14),$T14&lt;&gt;""),IF(INDEX(LubesCalc!$U$3:$U$122,$T14)="","—",INDEX(LubesCalc!$U$3:$U$122,$T14)),"")</f>
        <v/>
      </c>
      <c r="D14" s="15">
        <f>IF(AND(ISNUMBER($T14),$T14&lt;&gt;""),IF(INDEX(LubesCalc!$V$3:$V$122,$T14)="","—",INDEX(LubesCalc!$V$3:$V$122,$T14)),"")</f>
        <v/>
      </c>
      <c r="E14" s="15">
        <f>IF(AND(ISNUMBER($T14),$T14&lt;&gt;""),IF(INDEX(LubesCalc!$W$3:$W$122,$T14)="","—",INDEX(LubesCalc!$W$3:$W$122,$T14)),"")</f>
        <v/>
      </c>
      <c r="F14" s="15">
        <f>IF(AND(ISNUMBER($T14),$T14&lt;&gt;""),IF(INDEX(LubesCalc!$X$3:$X$122,$T14)="","—",INDEX(LubesCalc!$X$3:$X$122,$T14)),"")</f>
        <v/>
      </c>
      <c r="G14" s="15">
        <f>IF(AND(ISNUMBER($T14),$T14&lt;&gt;""),IF(INDEX(LubesCalc!$Y$3:$Y$122,$T14)="","—",INDEX(LubesCalc!$Y$3:$Y$122,$T14)),"")</f>
        <v/>
      </c>
      <c r="H14" s="15">
        <f>IF(AND(ISNUMBER($T14),$T14&lt;&gt;""),IF(INDEX(LubesCalc!$Z$3:$Z$122,$T14)="","—",INDEX(LubesCalc!$Z$3:$Z$122,$T14)),"")</f>
        <v/>
      </c>
      <c r="I14" s="15">
        <f>IF(AND(ISNUMBER($T14),$T14&lt;&gt;""),IF(INDEX(LubesCalc!$AA$3:$AA$122,$T14)="","—",INDEX(LubesCalc!$AA$3:$AA$122,$T14)),"")</f>
        <v/>
      </c>
      <c r="J14" s="15">
        <f>IF(AND(ISNUMBER($T14),$T14&lt;&gt;""),IF(INDEX(LubesCalc!$AB$3:$AB$122,$T14)="","—",INDEX(LubesCalc!$AB$3:$AB$122,$T14)),"")</f>
        <v/>
      </c>
      <c r="K14" s="15">
        <f>IF(AND(ISNUMBER($T14),$T14&lt;&gt;""),IF(INDEX(LubesCalc!$AC$3:$AC$122,$T14)="","—",INDEX(LubesCalc!$AC$3:$AC$122,$T14)),"")</f>
        <v/>
      </c>
      <c r="L14" s="15">
        <f>IF(AND(ISNUMBER($T14),$T14&lt;&gt;""),IF(INDEX(LubesCalc!$AD$3:$AD$122,$T14)="","—",INDEX(LubesCalc!$AD$3:$AD$122,$T14)),"")</f>
        <v/>
      </c>
      <c r="M14" s="15">
        <f>IF(AND(ISNUMBER($T14),$T14&lt;&gt;""),IF(INDEX(LubesCalc!$AE$3:$AE$122,$T14)="","—",INDEX(LubesCalc!$AE$3:$AE$122,$T14)),"")</f>
        <v/>
      </c>
      <c r="N14" s="15">
        <f>IF(AND(ISNUMBER($T14),$T14&lt;&gt;""),IF(INDEX(LubesCalc!$AF$3:$AF$122,$T14)="","—",INDEX(LubesCalc!$AF$3:$AF$122,$T14)),"")</f>
        <v/>
      </c>
      <c r="O14" s="15">
        <f>IF(AND(ISNUMBER($T14),$T14&lt;&gt;""),IF(INDEX(LubesCalc!$AG$3:$AG$122,$T14)="","—",INDEX(LubesCalc!$AG$3:$AG$122,$T14)),"")</f>
        <v/>
      </c>
      <c r="P14" s="16">
        <f>IF(AND(ISNUMBER($T14),$T14&lt;&gt;""),IF(INDEX(LubesCalc!$AJ$3:$AJ$122,$T14)="","—",INDEX(LubesCalc!$AJ$3:$AJ$122,$T14)),"")</f>
        <v/>
      </c>
      <c r="Q14" s="16">
        <f>IF(AND(ISNUMBER($T14),$T14&lt;&gt;""),IF(INDEX(LubesCalc!$AK$3:$AK$122,$T14)="","—",INDEX(LubesCalc!$AK$3:$AK$122,$T14)),"")</f>
        <v/>
      </c>
      <c r="R14" s="15">
        <f>IF(AND(ISNUMBER($T14),$T14&lt;&gt;""),IF(INDEX(LubesCalc!$AL$3:$AL$122,$T14)="","—",INDEX(LubesCalc!$AL$3:$AL$122,$T14)),"")</f>
        <v/>
      </c>
      <c r="T14">
        <f>IFERROR(MATCH(10,LubesCalc!$AN$3:$AN$122,0),"")</f>
        <v/>
      </c>
    </row>
    <row r="15">
      <c r="A15" s="19">
        <f>IF(AND(ISNUMBER($T15),$T15&lt;&gt;""),INDEX(LubesCalc!$S$3:$S$122,$T15),"")</f>
        <v/>
      </c>
      <c r="B15" s="20">
        <f>IF(AND(ISNUMBER($T15),$T15&lt;&gt;""),IF(INDEX(LubesCalc!$T$3:$T$122,$T15)="","—",INDEX(LubesCalc!$T$3:$T$122,$T15)),"")</f>
        <v/>
      </c>
      <c r="C15" s="20">
        <f>IF(AND(ISNUMBER($T15),$T15&lt;&gt;""),IF(INDEX(LubesCalc!$U$3:$U$122,$T15)="","—",INDEX(LubesCalc!$U$3:$U$122,$T15)),"")</f>
        <v/>
      </c>
      <c r="D15" s="20">
        <f>IF(AND(ISNUMBER($T15),$T15&lt;&gt;""),IF(INDEX(LubesCalc!$V$3:$V$122,$T15)="","—",INDEX(LubesCalc!$V$3:$V$122,$T15)),"")</f>
        <v/>
      </c>
      <c r="E15" s="20">
        <f>IF(AND(ISNUMBER($T15),$T15&lt;&gt;""),IF(INDEX(LubesCalc!$W$3:$W$122,$T15)="","—",INDEX(LubesCalc!$W$3:$W$122,$T15)),"")</f>
        <v/>
      </c>
      <c r="F15" s="20">
        <f>IF(AND(ISNUMBER($T15),$T15&lt;&gt;""),IF(INDEX(LubesCalc!$X$3:$X$122,$T15)="","—",INDEX(LubesCalc!$X$3:$X$122,$T15)),"")</f>
        <v/>
      </c>
      <c r="G15" s="20">
        <f>IF(AND(ISNUMBER($T15),$T15&lt;&gt;""),IF(INDEX(LubesCalc!$Y$3:$Y$122,$T15)="","—",INDEX(LubesCalc!$Y$3:$Y$122,$T15)),"")</f>
        <v/>
      </c>
      <c r="H15" s="20">
        <f>IF(AND(ISNUMBER($T15),$T15&lt;&gt;""),IF(INDEX(LubesCalc!$Z$3:$Z$122,$T15)="","—",INDEX(LubesCalc!$Z$3:$Z$122,$T15)),"")</f>
        <v/>
      </c>
      <c r="I15" s="20">
        <f>IF(AND(ISNUMBER($T15),$T15&lt;&gt;""),IF(INDEX(LubesCalc!$AA$3:$AA$122,$T15)="","—",INDEX(LubesCalc!$AA$3:$AA$122,$T15)),"")</f>
        <v/>
      </c>
      <c r="J15" s="20">
        <f>IF(AND(ISNUMBER($T15),$T15&lt;&gt;""),IF(INDEX(LubesCalc!$AB$3:$AB$122,$T15)="","—",INDEX(LubesCalc!$AB$3:$AB$122,$T15)),"")</f>
        <v/>
      </c>
      <c r="K15" s="20">
        <f>IF(AND(ISNUMBER($T15),$T15&lt;&gt;""),IF(INDEX(LubesCalc!$AC$3:$AC$122,$T15)="","—",INDEX(LubesCalc!$AC$3:$AC$122,$T15)),"")</f>
        <v/>
      </c>
      <c r="L15" s="20">
        <f>IF(AND(ISNUMBER($T15),$T15&lt;&gt;""),IF(INDEX(LubesCalc!$AD$3:$AD$122,$T15)="","—",INDEX(LubesCalc!$AD$3:$AD$122,$T15)),"")</f>
        <v/>
      </c>
      <c r="M15" s="20">
        <f>IF(AND(ISNUMBER($T15),$T15&lt;&gt;""),IF(INDEX(LubesCalc!$AE$3:$AE$122,$T15)="","—",INDEX(LubesCalc!$AE$3:$AE$122,$T15)),"")</f>
        <v/>
      </c>
      <c r="N15" s="20">
        <f>IF(AND(ISNUMBER($T15),$T15&lt;&gt;""),IF(INDEX(LubesCalc!$AF$3:$AF$122,$T15)="","—",INDEX(LubesCalc!$AF$3:$AF$122,$T15)),"")</f>
        <v/>
      </c>
      <c r="O15" s="20">
        <f>IF(AND(ISNUMBER($T15),$T15&lt;&gt;""),IF(INDEX(LubesCalc!$AG$3:$AG$122,$T15)="","—",INDEX(LubesCalc!$AG$3:$AG$122,$T15)),"")</f>
        <v/>
      </c>
      <c r="P15" s="21">
        <f>IF(AND(ISNUMBER($T15),$T15&lt;&gt;""),IF(INDEX(LubesCalc!$AJ$3:$AJ$122,$T15)="","—",INDEX(LubesCalc!$AJ$3:$AJ$122,$T15)),"")</f>
        <v/>
      </c>
      <c r="Q15" s="21">
        <f>IF(AND(ISNUMBER($T15),$T15&lt;&gt;""),IF(INDEX(LubesCalc!$AK$3:$AK$122,$T15)="","—",INDEX(LubesCalc!$AK$3:$AK$122,$T15)),"")</f>
        <v/>
      </c>
      <c r="R15" s="20">
        <f>IF(AND(ISNUMBER($T15),$T15&lt;&gt;""),IF(INDEX(LubesCalc!$AL$3:$AL$122,$T15)="","—",INDEX(LubesCalc!$AL$3:$AL$122,$T15)),"")</f>
        <v/>
      </c>
      <c r="T15">
        <f>IFERROR(MATCH(11,LubesCalc!$AN$3:$AN$122,0),"")</f>
        <v/>
      </c>
    </row>
    <row r="16">
      <c r="A16" s="14">
        <f>IF(AND(ISNUMBER($T16),$T16&lt;&gt;""),INDEX(LubesCalc!$S$3:$S$122,$T16),"")</f>
        <v/>
      </c>
      <c r="B16" s="15">
        <f>IF(AND(ISNUMBER($T16),$T16&lt;&gt;""),IF(INDEX(LubesCalc!$T$3:$T$122,$T16)="","—",INDEX(LubesCalc!$T$3:$T$122,$T16)),"")</f>
        <v/>
      </c>
      <c r="C16" s="15">
        <f>IF(AND(ISNUMBER($T16),$T16&lt;&gt;""),IF(INDEX(LubesCalc!$U$3:$U$122,$T16)="","—",INDEX(LubesCalc!$U$3:$U$122,$T16)),"")</f>
        <v/>
      </c>
      <c r="D16" s="15">
        <f>IF(AND(ISNUMBER($T16),$T16&lt;&gt;""),IF(INDEX(LubesCalc!$V$3:$V$122,$T16)="","—",INDEX(LubesCalc!$V$3:$V$122,$T16)),"")</f>
        <v/>
      </c>
      <c r="E16" s="15">
        <f>IF(AND(ISNUMBER($T16),$T16&lt;&gt;""),IF(INDEX(LubesCalc!$W$3:$W$122,$T16)="","—",INDEX(LubesCalc!$W$3:$W$122,$T16)),"")</f>
        <v/>
      </c>
      <c r="F16" s="15">
        <f>IF(AND(ISNUMBER($T16),$T16&lt;&gt;""),IF(INDEX(LubesCalc!$X$3:$X$122,$T16)="","—",INDEX(LubesCalc!$X$3:$X$122,$T16)),"")</f>
        <v/>
      </c>
      <c r="G16" s="15">
        <f>IF(AND(ISNUMBER($T16),$T16&lt;&gt;""),IF(INDEX(LubesCalc!$Y$3:$Y$122,$T16)="","—",INDEX(LubesCalc!$Y$3:$Y$122,$T16)),"")</f>
        <v/>
      </c>
      <c r="H16" s="15">
        <f>IF(AND(ISNUMBER($T16),$T16&lt;&gt;""),IF(INDEX(LubesCalc!$Z$3:$Z$122,$T16)="","—",INDEX(LubesCalc!$Z$3:$Z$122,$T16)),"")</f>
        <v/>
      </c>
      <c r="I16" s="15">
        <f>IF(AND(ISNUMBER($T16),$T16&lt;&gt;""),IF(INDEX(LubesCalc!$AA$3:$AA$122,$T16)="","—",INDEX(LubesCalc!$AA$3:$AA$122,$T16)),"")</f>
        <v/>
      </c>
      <c r="J16" s="15">
        <f>IF(AND(ISNUMBER($T16),$T16&lt;&gt;""),IF(INDEX(LubesCalc!$AB$3:$AB$122,$T16)="","—",INDEX(LubesCalc!$AB$3:$AB$122,$T16)),"")</f>
        <v/>
      </c>
      <c r="K16" s="15">
        <f>IF(AND(ISNUMBER($T16),$T16&lt;&gt;""),IF(INDEX(LubesCalc!$AC$3:$AC$122,$T16)="","—",INDEX(LubesCalc!$AC$3:$AC$122,$T16)),"")</f>
        <v/>
      </c>
      <c r="L16" s="15">
        <f>IF(AND(ISNUMBER($T16),$T16&lt;&gt;""),IF(INDEX(LubesCalc!$AD$3:$AD$122,$T16)="","—",INDEX(LubesCalc!$AD$3:$AD$122,$T16)),"")</f>
        <v/>
      </c>
      <c r="M16" s="15">
        <f>IF(AND(ISNUMBER($T16),$T16&lt;&gt;""),IF(INDEX(LubesCalc!$AE$3:$AE$122,$T16)="","—",INDEX(LubesCalc!$AE$3:$AE$122,$T16)),"")</f>
        <v/>
      </c>
      <c r="N16" s="15">
        <f>IF(AND(ISNUMBER($T16),$T16&lt;&gt;""),IF(INDEX(LubesCalc!$AF$3:$AF$122,$T16)="","—",INDEX(LubesCalc!$AF$3:$AF$122,$T16)),"")</f>
        <v/>
      </c>
      <c r="O16" s="15">
        <f>IF(AND(ISNUMBER($T16),$T16&lt;&gt;""),IF(INDEX(LubesCalc!$AG$3:$AG$122,$T16)="","—",INDEX(LubesCalc!$AG$3:$AG$122,$T16)),"")</f>
        <v/>
      </c>
      <c r="P16" s="16">
        <f>IF(AND(ISNUMBER($T16),$T16&lt;&gt;""),IF(INDEX(LubesCalc!$AJ$3:$AJ$122,$T16)="","—",INDEX(LubesCalc!$AJ$3:$AJ$122,$T16)),"")</f>
        <v/>
      </c>
      <c r="Q16" s="16">
        <f>IF(AND(ISNUMBER($T16),$T16&lt;&gt;""),IF(INDEX(LubesCalc!$AK$3:$AK$122,$T16)="","—",INDEX(LubesCalc!$AK$3:$AK$122,$T16)),"")</f>
        <v/>
      </c>
      <c r="R16" s="15">
        <f>IF(AND(ISNUMBER($T16),$T16&lt;&gt;""),IF(INDEX(LubesCalc!$AL$3:$AL$122,$T16)="","—",INDEX(LubesCalc!$AL$3:$AL$122,$T16)),"")</f>
        <v/>
      </c>
      <c r="T16">
        <f>IFERROR(MATCH(12,LubesCalc!$AN$3:$AN$122,0),"")</f>
        <v/>
      </c>
    </row>
    <row r="17">
      <c r="A17" s="19">
        <f>IF(AND(ISNUMBER($T17),$T17&lt;&gt;""),INDEX(LubesCalc!$S$3:$S$122,$T17),"")</f>
        <v/>
      </c>
      <c r="B17" s="20">
        <f>IF(AND(ISNUMBER($T17),$T17&lt;&gt;""),IF(INDEX(LubesCalc!$T$3:$T$122,$T17)="","—",INDEX(LubesCalc!$T$3:$T$122,$T17)),"")</f>
        <v/>
      </c>
      <c r="C17" s="20">
        <f>IF(AND(ISNUMBER($T17),$T17&lt;&gt;""),IF(INDEX(LubesCalc!$U$3:$U$122,$T17)="","—",INDEX(LubesCalc!$U$3:$U$122,$T17)),"")</f>
        <v/>
      </c>
      <c r="D17" s="20">
        <f>IF(AND(ISNUMBER($T17),$T17&lt;&gt;""),IF(INDEX(LubesCalc!$V$3:$V$122,$T17)="","—",INDEX(LubesCalc!$V$3:$V$122,$T17)),"")</f>
        <v/>
      </c>
      <c r="E17" s="20">
        <f>IF(AND(ISNUMBER($T17),$T17&lt;&gt;""),IF(INDEX(LubesCalc!$W$3:$W$122,$T17)="","—",INDEX(LubesCalc!$W$3:$W$122,$T17)),"")</f>
        <v/>
      </c>
      <c r="F17" s="20">
        <f>IF(AND(ISNUMBER($T17),$T17&lt;&gt;""),IF(INDEX(LubesCalc!$X$3:$X$122,$T17)="","—",INDEX(LubesCalc!$X$3:$X$122,$T17)),"")</f>
        <v/>
      </c>
      <c r="G17" s="20">
        <f>IF(AND(ISNUMBER($T17),$T17&lt;&gt;""),IF(INDEX(LubesCalc!$Y$3:$Y$122,$T17)="","—",INDEX(LubesCalc!$Y$3:$Y$122,$T17)),"")</f>
        <v/>
      </c>
      <c r="H17" s="20">
        <f>IF(AND(ISNUMBER($T17),$T17&lt;&gt;""),IF(INDEX(LubesCalc!$Z$3:$Z$122,$T17)="","—",INDEX(LubesCalc!$Z$3:$Z$122,$T17)),"")</f>
        <v/>
      </c>
      <c r="I17" s="20">
        <f>IF(AND(ISNUMBER($T17),$T17&lt;&gt;""),IF(INDEX(LubesCalc!$AA$3:$AA$122,$T17)="","—",INDEX(LubesCalc!$AA$3:$AA$122,$T17)),"")</f>
        <v/>
      </c>
      <c r="J17" s="20">
        <f>IF(AND(ISNUMBER($T17),$T17&lt;&gt;""),IF(INDEX(LubesCalc!$AB$3:$AB$122,$T17)="","—",INDEX(LubesCalc!$AB$3:$AB$122,$T17)),"")</f>
        <v/>
      </c>
      <c r="K17" s="20">
        <f>IF(AND(ISNUMBER($T17),$T17&lt;&gt;""),IF(INDEX(LubesCalc!$AC$3:$AC$122,$T17)="","—",INDEX(LubesCalc!$AC$3:$AC$122,$T17)),"")</f>
        <v/>
      </c>
      <c r="L17" s="20">
        <f>IF(AND(ISNUMBER($T17),$T17&lt;&gt;""),IF(INDEX(LubesCalc!$AD$3:$AD$122,$T17)="","—",INDEX(LubesCalc!$AD$3:$AD$122,$T17)),"")</f>
        <v/>
      </c>
      <c r="M17" s="20">
        <f>IF(AND(ISNUMBER($T17),$T17&lt;&gt;""),IF(INDEX(LubesCalc!$AE$3:$AE$122,$T17)="","—",INDEX(LubesCalc!$AE$3:$AE$122,$T17)),"")</f>
        <v/>
      </c>
      <c r="N17" s="20">
        <f>IF(AND(ISNUMBER($T17),$T17&lt;&gt;""),IF(INDEX(LubesCalc!$AF$3:$AF$122,$T17)="","—",INDEX(LubesCalc!$AF$3:$AF$122,$T17)),"")</f>
        <v/>
      </c>
      <c r="O17" s="20">
        <f>IF(AND(ISNUMBER($T17),$T17&lt;&gt;""),IF(INDEX(LubesCalc!$AG$3:$AG$122,$T17)="","—",INDEX(LubesCalc!$AG$3:$AG$122,$T17)),"")</f>
        <v/>
      </c>
      <c r="P17" s="21">
        <f>IF(AND(ISNUMBER($T17),$T17&lt;&gt;""),IF(INDEX(LubesCalc!$AJ$3:$AJ$122,$T17)="","—",INDEX(LubesCalc!$AJ$3:$AJ$122,$T17)),"")</f>
        <v/>
      </c>
      <c r="Q17" s="21">
        <f>IF(AND(ISNUMBER($T17),$T17&lt;&gt;""),IF(INDEX(LubesCalc!$AK$3:$AK$122,$T17)="","—",INDEX(LubesCalc!$AK$3:$AK$122,$T17)),"")</f>
        <v/>
      </c>
      <c r="R17" s="20">
        <f>IF(AND(ISNUMBER($T17),$T17&lt;&gt;""),IF(INDEX(LubesCalc!$AL$3:$AL$122,$T17)="","—",INDEX(LubesCalc!$AL$3:$AL$122,$T17)),"")</f>
        <v/>
      </c>
      <c r="T17">
        <f>IFERROR(MATCH(13,LubesCalc!$AN$3:$AN$122,0),"")</f>
        <v/>
      </c>
    </row>
    <row r="18">
      <c r="A18" s="14">
        <f>IF(AND(ISNUMBER($T18),$T18&lt;&gt;""),INDEX(LubesCalc!$S$3:$S$122,$T18),"")</f>
        <v/>
      </c>
      <c r="B18" s="15">
        <f>IF(AND(ISNUMBER($T18),$T18&lt;&gt;""),IF(INDEX(LubesCalc!$T$3:$T$122,$T18)="","—",INDEX(LubesCalc!$T$3:$T$122,$T18)),"")</f>
        <v/>
      </c>
      <c r="C18" s="15">
        <f>IF(AND(ISNUMBER($T18),$T18&lt;&gt;""),IF(INDEX(LubesCalc!$U$3:$U$122,$T18)="","—",INDEX(LubesCalc!$U$3:$U$122,$T18)),"")</f>
        <v/>
      </c>
      <c r="D18" s="15">
        <f>IF(AND(ISNUMBER($T18),$T18&lt;&gt;""),IF(INDEX(LubesCalc!$V$3:$V$122,$T18)="","—",INDEX(LubesCalc!$V$3:$V$122,$T18)),"")</f>
        <v/>
      </c>
      <c r="E18" s="15">
        <f>IF(AND(ISNUMBER($T18),$T18&lt;&gt;""),IF(INDEX(LubesCalc!$W$3:$W$122,$T18)="","—",INDEX(LubesCalc!$W$3:$W$122,$T18)),"")</f>
        <v/>
      </c>
      <c r="F18" s="15">
        <f>IF(AND(ISNUMBER($T18),$T18&lt;&gt;""),IF(INDEX(LubesCalc!$X$3:$X$122,$T18)="","—",INDEX(LubesCalc!$X$3:$X$122,$T18)),"")</f>
        <v/>
      </c>
      <c r="G18" s="15">
        <f>IF(AND(ISNUMBER($T18),$T18&lt;&gt;""),IF(INDEX(LubesCalc!$Y$3:$Y$122,$T18)="","—",INDEX(LubesCalc!$Y$3:$Y$122,$T18)),"")</f>
        <v/>
      </c>
      <c r="H18" s="15">
        <f>IF(AND(ISNUMBER($T18),$T18&lt;&gt;""),IF(INDEX(LubesCalc!$Z$3:$Z$122,$T18)="","—",INDEX(LubesCalc!$Z$3:$Z$122,$T18)),"")</f>
        <v/>
      </c>
      <c r="I18" s="15">
        <f>IF(AND(ISNUMBER($T18),$T18&lt;&gt;""),IF(INDEX(LubesCalc!$AA$3:$AA$122,$T18)="","—",INDEX(LubesCalc!$AA$3:$AA$122,$T18)),"")</f>
        <v/>
      </c>
      <c r="J18" s="15">
        <f>IF(AND(ISNUMBER($T18),$T18&lt;&gt;""),IF(INDEX(LubesCalc!$AB$3:$AB$122,$T18)="","—",INDEX(LubesCalc!$AB$3:$AB$122,$T18)),"")</f>
        <v/>
      </c>
      <c r="K18" s="15">
        <f>IF(AND(ISNUMBER($T18),$T18&lt;&gt;""),IF(INDEX(LubesCalc!$AC$3:$AC$122,$T18)="","—",INDEX(LubesCalc!$AC$3:$AC$122,$T18)),"")</f>
        <v/>
      </c>
      <c r="L18" s="15">
        <f>IF(AND(ISNUMBER($T18),$T18&lt;&gt;""),IF(INDEX(LubesCalc!$AD$3:$AD$122,$T18)="","—",INDEX(LubesCalc!$AD$3:$AD$122,$T18)),"")</f>
        <v/>
      </c>
      <c r="M18" s="15">
        <f>IF(AND(ISNUMBER($T18),$T18&lt;&gt;""),IF(INDEX(LubesCalc!$AE$3:$AE$122,$T18)="","—",INDEX(LubesCalc!$AE$3:$AE$122,$T18)),"")</f>
        <v/>
      </c>
      <c r="N18" s="15">
        <f>IF(AND(ISNUMBER($T18),$T18&lt;&gt;""),IF(INDEX(LubesCalc!$AF$3:$AF$122,$T18)="","—",INDEX(LubesCalc!$AF$3:$AF$122,$T18)),"")</f>
        <v/>
      </c>
      <c r="O18" s="15">
        <f>IF(AND(ISNUMBER($T18),$T18&lt;&gt;""),IF(INDEX(LubesCalc!$AG$3:$AG$122,$T18)="","—",INDEX(LubesCalc!$AG$3:$AG$122,$T18)),"")</f>
        <v/>
      </c>
      <c r="P18" s="16">
        <f>IF(AND(ISNUMBER($T18),$T18&lt;&gt;""),IF(INDEX(LubesCalc!$AJ$3:$AJ$122,$T18)="","—",INDEX(LubesCalc!$AJ$3:$AJ$122,$T18)),"")</f>
        <v/>
      </c>
      <c r="Q18" s="16">
        <f>IF(AND(ISNUMBER($T18),$T18&lt;&gt;""),IF(INDEX(LubesCalc!$AK$3:$AK$122,$T18)="","—",INDEX(LubesCalc!$AK$3:$AK$122,$T18)),"")</f>
        <v/>
      </c>
      <c r="R18" s="15">
        <f>IF(AND(ISNUMBER($T18),$T18&lt;&gt;""),IF(INDEX(LubesCalc!$AL$3:$AL$122,$T18)="","—",INDEX(LubesCalc!$AL$3:$AL$122,$T18)),"")</f>
        <v/>
      </c>
      <c r="T18">
        <f>IFERROR(MATCH(14,LubesCalc!$AN$3:$AN$122,0),"")</f>
        <v/>
      </c>
    </row>
    <row r="19">
      <c r="A19" s="19">
        <f>IF(AND(ISNUMBER($T19),$T19&lt;&gt;""),INDEX(LubesCalc!$S$3:$S$122,$T19),"")</f>
        <v/>
      </c>
      <c r="B19" s="20">
        <f>IF(AND(ISNUMBER($T19),$T19&lt;&gt;""),IF(INDEX(LubesCalc!$T$3:$T$122,$T19)="","—",INDEX(LubesCalc!$T$3:$T$122,$T19)),"")</f>
        <v/>
      </c>
      <c r="C19" s="20">
        <f>IF(AND(ISNUMBER($T19),$T19&lt;&gt;""),IF(INDEX(LubesCalc!$U$3:$U$122,$T19)="","—",INDEX(LubesCalc!$U$3:$U$122,$T19)),"")</f>
        <v/>
      </c>
      <c r="D19" s="20">
        <f>IF(AND(ISNUMBER($T19),$T19&lt;&gt;""),IF(INDEX(LubesCalc!$V$3:$V$122,$T19)="","—",INDEX(LubesCalc!$V$3:$V$122,$T19)),"")</f>
        <v/>
      </c>
      <c r="E19" s="20">
        <f>IF(AND(ISNUMBER($T19),$T19&lt;&gt;""),IF(INDEX(LubesCalc!$W$3:$W$122,$T19)="","—",INDEX(LubesCalc!$W$3:$W$122,$T19)),"")</f>
        <v/>
      </c>
      <c r="F19" s="20">
        <f>IF(AND(ISNUMBER($T19),$T19&lt;&gt;""),IF(INDEX(LubesCalc!$X$3:$X$122,$T19)="","—",INDEX(LubesCalc!$X$3:$X$122,$T19)),"")</f>
        <v/>
      </c>
      <c r="G19" s="20">
        <f>IF(AND(ISNUMBER($T19),$T19&lt;&gt;""),IF(INDEX(LubesCalc!$Y$3:$Y$122,$T19)="","—",INDEX(LubesCalc!$Y$3:$Y$122,$T19)),"")</f>
        <v/>
      </c>
      <c r="H19" s="20">
        <f>IF(AND(ISNUMBER($T19),$T19&lt;&gt;""),IF(INDEX(LubesCalc!$Z$3:$Z$122,$T19)="","—",INDEX(LubesCalc!$Z$3:$Z$122,$T19)),"")</f>
        <v/>
      </c>
      <c r="I19" s="20">
        <f>IF(AND(ISNUMBER($T19),$T19&lt;&gt;""),IF(INDEX(LubesCalc!$AA$3:$AA$122,$T19)="","—",INDEX(LubesCalc!$AA$3:$AA$122,$T19)),"")</f>
        <v/>
      </c>
      <c r="J19" s="20">
        <f>IF(AND(ISNUMBER($T19),$T19&lt;&gt;""),IF(INDEX(LubesCalc!$AB$3:$AB$122,$T19)="","—",INDEX(LubesCalc!$AB$3:$AB$122,$T19)),"")</f>
        <v/>
      </c>
      <c r="K19" s="20">
        <f>IF(AND(ISNUMBER($T19),$T19&lt;&gt;""),IF(INDEX(LubesCalc!$AC$3:$AC$122,$T19)="","—",INDEX(LubesCalc!$AC$3:$AC$122,$T19)),"")</f>
        <v/>
      </c>
      <c r="L19" s="20">
        <f>IF(AND(ISNUMBER($T19),$T19&lt;&gt;""),IF(INDEX(LubesCalc!$AD$3:$AD$122,$T19)="","—",INDEX(LubesCalc!$AD$3:$AD$122,$T19)),"")</f>
        <v/>
      </c>
      <c r="M19" s="20">
        <f>IF(AND(ISNUMBER($T19),$T19&lt;&gt;""),IF(INDEX(LubesCalc!$AE$3:$AE$122,$T19)="","—",INDEX(LubesCalc!$AE$3:$AE$122,$T19)),"")</f>
        <v/>
      </c>
      <c r="N19" s="20">
        <f>IF(AND(ISNUMBER($T19),$T19&lt;&gt;""),IF(INDEX(LubesCalc!$AF$3:$AF$122,$T19)="","—",INDEX(LubesCalc!$AF$3:$AF$122,$T19)),"")</f>
        <v/>
      </c>
      <c r="O19" s="20">
        <f>IF(AND(ISNUMBER($T19),$T19&lt;&gt;""),IF(INDEX(LubesCalc!$AG$3:$AG$122,$T19)="","—",INDEX(LubesCalc!$AG$3:$AG$122,$T19)),"")</f>
        <v/>
      </c>
      <c r="P19" s="21">
        <f>IF(AND(ISNUMBER($T19),$T19&lt;&gt;""),IF(INDEX(LubesCalc!$AJ$3:$AJ$122,$T19)="","—",INDEX(LubesCalc!$AJ$3:$AJ$122,$T19)),"")</f>
        <v/>
      </c>
      <c r="Q19" s="21">
        <f>IF(AND(ISNUMBER($T19),$T19&lt;&gt;""),IF(INDEX(LubesCalc!$AK$3:$AK$122,$T19)="","—",INDEX(LubesCalc!$AK$3:$AK$122,$T19)),"")</f>
        <v/>
      </c>
      <c r="R19" s="20">
        <f>IF(AND(ISNUMBER($T19),$T19&lt;&gt;""),IF(INDEX(LubesCalc!$AL$3:$AL$122,$T19)="","—",INDEX(LubesCalc!$AL$3:$AL$122,$T19)),"")</f>
        <v/>
      </c>
      <c r="T19">
        <f>IFERROR(MATCH(15,LubesCalc!$AN$3:$AN$122,0),"")</f>
        <v/>
      </c>
    </row>
    <row r="20">
      <c r="A20" s="14">
        <f>IF(AND(ISNUMBER($T20),$T20&lt;&gt;""),INDEX(LubesCalc!$S$3:$S$122,$T20),"")</f>
        <v/>
      </c>
      <c r="B20" s="15">
        <f>IF(AND(ISNUMBER($T20),$T20&lt;&gt;""),IF(INDEX(LubesCalc!$T$3:$T$122,$T20)="","—",INDEX(LubesCalc!$T$3:$T$122,$T20)),"")</f>
        <v/>
      </c>
      <c r="C20" s="15">
        <f>IF(AND(ISNUMBER($T20),$T20&lt;&gt;""),IF(INDEX(LubesCalc!$U$3:$U$122,$T20)="","—",INDEX(LubesCalc!$U$3:$U$122,$T20)),"")</f>
        <v/>
      </c>
      <c r="D20" s="15">
        <f>IF(AND(ISNUMBER($T20),$T20&lt;&gt;""),IF(INDEX(LubesCalc!$V$3:$V$122,$T20)="","—",INDEX(LubesCalc!$V$3:$V$122,$T20)),"")</f>
        <v/>
      </c>
      <c r="E20" s="15">
        <f>IF(AND(ISNUMBER($T20),$T20&lt;&gt;""),IF(INDEX(LubesCalc!$W$3:$W$122,$T20)="","—",INDEX(LubesCalc!$W$3:$W$122,$T20)),"")</f>
        <v/>
      </c>
      <c r="F20" s="15">
        <f>IF(AND(ISNUMBER($T20),$T20&lt;&gt;""),IF(INDEX(LubesCalc!$X$3:$X$122,$T20)="","—",INDEX(LubesCalc!$X$3:$X$122,$T20)),"")</f>
        <v/>
      </c>
      <c r="G20" s="15">
        <f>IF(AND(ISNUMBER($T20),$T20&lt;&gt;""),IF(INDEX(LubesCalc!$Y$3:$Y$122,$T20)="","—",INDEX(LubesCalc!$Y$3:$Y$122,$T20)),"")</f>
        <v/>
      </c>
      <c r="H20" s="15">
        <f>IF(AND(ISNUMBER($T20),$T20&lt;&gt;""),IF(INDEX(LubesCalc!$Z$3:$Z$122,$T20)="","—",INDEX(LubesCalc!$Z$3:$Z$122,$T20)),"")</f>
        <v/>
      </c>
      <c r="I20" s="15">
        <f>IF(AND(ISNUMBER($T20),$T20&lt;&gt;""),IF(INDEX(LubesCalc!$AA$3:$AA$122,$T20)="","—",INDEX(LubesCalc!$AA$3:$AA$122,$T20)),"")</f>
        <v/>
      </c>
      <c r="J20" s="15">
        <f>IF(AND(ISNUMBER($T20),$T20&lt;&gt;""),IF(INDEX(LubesCalc!$AB$3:$AB$122,$T20)="","—",INDEX(LubesCalc!$AB$3:$AB$122,$T20)),"")</f>
        <v/>
      </c>
      <c r="K20" s="15">
        <f>IF(AND(ISNUMBER($T20),$T20&lt;&gt;""),IF(INDEX(LubesCalc!$AC$3:$AC$122,$T20)="","—",INDEX(LubesCalc!$AC$3:$AC$122,$T20)),"")</f>
        <v/>
      </c>
      <c r="L20" s="15">
        <f>IF(AND(ISNUMBER($T20),$T20&lt;&gt;""),IF(INDEX(LubesCalc!$AD$3:$AD$122,$T20)="","—",INDEX(LubesCalc!$AD$3:$AD$122,$T20)),"")</f>
        <v/>
      </c>
      <c r="M20" s="15">
        <f>IF(AND(ISNUMBER($T20),$T20&lt;&gt;""),IF(INDEX(LubesCalc!$AE$3:$AE$122,$T20)="","—",INDEX(LubesCalc!$AE$3:$AE$122,$T20)),"")</f>
        <v/>
      </c>
      <c r="N20" s="15">
        <f>IF(AND(ISNUMBER($T20),$T20&lt;&gt;""),IF(INDEX(LubesCalc!$AF$3:$AF$122,$T20)="","—",INDEX(LubesCalc!$AF$3:$AF$122,$T20)),"")</f>
        <v/>
      </c>
      <c r="O20" s="15">
        <f>IF(AND(ISNUMBER($T20),$T20&lt;&gt;""),IF(INDEX(LubesCalc!$AG$3:$AG$122,$T20)="","—",INDEX(LubesCalc!$AG$3:$AG$122,$T20)),"")</f>
        <v/>
      </c>
      <c r="P20" s="16">
        <f>IF(AND(ISNUMBER($T20),$T20&lt;&gt;""),IF(INDEX(LubesCalc!$AJ$3:$AJ$122,$T20)="","—",INDEX(LubesCalc!$AJ$3:$AJ$122,$T20)),"")</f>
        <v/>
      </c>
      <c r="Q20" s="16">
        <f>IF(AND(ISNUMBER($T20),$T20&lt;&gt;""),IF(INDEX(LubesCalc!$AK$3:$AK$122,$T20)="","—",INDEX(LubesCalc!$AK$3:$AK$122,$T20)),"")</f>
        <v/>
      </c>
      <c r="R20" s="15">
        <f>IF(AND(ISNUMBER($T20),$T20&lt;&gt;""),IF(INDEX(LubesCalc!$AL$3:$AL$122,$T20)="","—",INDEX(LubesCalc!$AL$3:$AL$122,$T20)),"")</f>
        <v/>
      </c>
      <c r="T20">
        <f>IFERROR(MATCH(16,LubesCalc!$AN$3:$AN$122,0),"")</f>
        <v/>
      </c>
    </row>
    <row r="21">
      <c r="A21" s="19">
        <f>IF(AND(ISNUMBER($T21),$T21&lt;&gt;""),INDEX(LubesCalc!$S$3:$S$122,$T21),"")</f>
        <v/>
      </c>
      <c r="B21" s="20">
        <f>IF(AND(ISNUMBER($T21),$T21&lt;&gt;""),IF(INDEX(LubesCalc!$T$3:$T$122,$T21)="","—",INDEX(LubesCalc!$T$3:$T$122,$T21)),"")</f>
        <v/>
      </c>
      <c r="C21" s="20">
        <f>IF(AND(ISNUMBER($T21),$T21&lt;&gt;""),IF(INDEX(LubesCalc!$U$3:$U$122,$T21)="","—",INDEX(LubesCalc!$U$3:$U$122,$T21)),"")</f>
        <v/>
      </c>
      <c r="D21" s="20">
        <f>IF(AND(ISNUMBER($T21),$T21&lt;&gt;""),IF(INDEX(LubesCalc!$V$3:$V$122,$T21)="","—",INDEX(LubesCalc!$V$3:$V$122,$T21)),"")</f>
        <v/>
      </c>
      <c r="E21" s="20">
        <f>IF(AND(ISNUMBER($T21),$T21&lt;&gt;""),IF(INDEX(LubesCalc!$W$3:$W$122,$T21)="","—",INDEX(LubesCalc!$W$3:$W$122,$T21)),"")</f>
        <v/>
      </c>
      <c r="F21" s="20">
        <f>IF(AND(ISNUMBER($T21),$T21&lt;&gt;""),IF(INDEX(LubesCalc!$X$3:$X$122,$T21)="","—",INDEX(LubesCalc!$X$3:$X$122,$T21)),"")</f>
        <v/>
      </c>
      <c r="G21" s="20">
        <f>IF(AND(ISNUMBER($T21),$T21&lt;&gt;""),IF(INDEX(LubesCalc!$Y$3:$Y$122,$T21)="","—",INDEX(LubesCalc!$Y$3:$Y$122,$T21)),"")</f>
        <v/>
      </c>
      <c r="H21" s="20">
        <f>IF(AND(ISNUMBER($T21),$T21&lt;&gt;""),IF(INDEX(LubesCalc!$Z$3:$Z$122,$T21)="","—",INDEX(LubesCalc!$Z$3:$Z$122,$T21)),"")</f>
        <v/>
      </c>
      <c r="I21" s="20">
        <f>IF(AND(ISNUMBER($T21),$T21&lt;&gt;""),IF(INDEX(LubesCalc!$AA$3:$AA$122,$T21)="","—",INDEX(LubesCalc!$AA$3:$AA$122,$T21)),"")</f>
        <v/>
      </c>
      <c r="J21" s="20">
        <f>IF(AND(ISNUMBER($T21),$T21&lt;&gt;""),IF(INDEX(LubesCalc!$AB$3:$AB$122,$T21)="","—",INDEX(LubesCalc!$AB$3:$AB$122,$T21)),"")</f>
        <v/>
      </c>
      <c r="K21" s="20">
        <f>IF(AND(ISNUMBER($T21),$T21&lt;&gt;""),IF(INDEX(LubesCalc!$AC$3:$AC$122,$T21)="","—",INDEX(LubesCalc!$AC$3:$AC$122,$T21)),"")</f>
        <v/>
      </c>
      <c r="L21" s="20">
        <f>IF(AND(ISNUMBER($T21),$T21&lt;&gt;""),IF(INDEX(LubesCalc!$AD$3:$AD$122,$T21)="","—",INDEX(LubesCalc!$AD$3:$AD$122,$T21)),"")</f>
        <v/>
      </c>
      <c r="M21" s="20">
        <f>IF(AND(ISNUMBER($T21),$T21&lt;&gt;""),IF(INDEX(LubesCalc!$AE$3:$AE$122,$T21)="","—",INDEX(LubesCalc!$AE$3:$AE$122,$T21)),"")</f>
        <v/>
      </c>
      <c r="N21" s="20">
        <f>IF(AND(ISNUMBER($T21),$T21&lt;&gt;""),IF(INDEX(LubesCalc!$AF$3:$AF$122,$T21)="","—",INDEX(LubesCalc!$AF$3:$AF$122,$T21)),"")</f>
        <v/>
      </c>
      <c r="O21" s="20">
        <f>IF(AND(ISNUMBER($T21),$T21&lt;&gt;""),IF(INDEX(LubesCalc!$AG$3:$AG$122,$T21)="","—",INDEX(LubesCalc!$AG$3:$AG$122,$T21)),"")</f>
        <v/>
      </c>
      <c r="P21" s="21">
        <f>IF(AND(ISNUMBER($T21),$T21&lt;&gt;""),IF(INDEX(LubesCalc!$AJ$3:$AJ$122,$T21)="","—",INDEX(LubesCalc!$AJ$3:$AJ$122,$T21)),"")</f>
        <v/>
      </c>
      <c r="Q21" s="21">
        <f>IF(AND(ISNUMBER($T21),$T21&lt;&gt;""),IF(INDEX(LubesCalc!$AK$3:$AK$122,$T21)="","—",INDEX(LubesCalc!$AK$3:$AK$122,$T21)),"")</f>
        <v/>
      </c>
      <c r="R21" s="20">
        <f>IF(AND(ISNUMBER($T21),$T21&lt;&gt;""),IF(INDEX(LubesCalc!$AL$3:$AL$122,$T21)="","—",INDEX(LubesCalc!$AL$3:$AL$122,$T21)),"")</f>
        <v/>
      </c>
      <c r="T21">
        <f>IFERROR(MATCH(17,LubesCalc!$AN$3:$AN$122,0),"")</f>
        <v/>
      </c>
    </row>
    <row r="22">
      <c r="A22" s="14">
        <f>IF(AND(ISNUMBER($T22),$T22&lt;&gt;""),INDEX(LubesCalc!$S$3:$S$122,$T22),"")</f>
        <v/>
      </c>
      <c r="B22" s="15">
        <f>IF(AND(ISNUMBER($T22),$T22&lt;&gt;""),IF(INDEX(LubesCalc!$T$3:$T$122,$T22)="","—",INDEX(LubesCalc!$T$3:$T$122,$T22)),"")</f>
        <v/>
      </c>
      <c r="C22" s="15">
        <f>IF(AND(ISNUMBER($T22),$T22&lt;&gt;""),IF(INDEX(LubesCalc!$U$3:$U$122,$T22)="","—",INDEX(LubesCalc!$U$3:$U$122,$T22)),"")</f>
        <v/>
      </c>
      <c r="D22" s="15">
        <f>IF(AND(ISNUMBER($T22),$T22&lt;&gt;""),IF(INDEX(LubesCalc!$V$3:$V$122,$T22)="","—",INDEX(LubesCalc!$V$3:$V$122,$T22)),"")</f>
        <v/>
      </c>
      <c r="E22" s="15">
        <f>IF(AND(ISNUMBER($T22),$T22&lt;&gt;""),IF(INDEX(LubesCalc!$W$3:$W$122,$T22)="","—",INDEX(LubesCalc!$W$3:$W$122,$T22)),"")</f>
        <v/>
      </c>
      <c r="F22" s="15">
        <f>IF(AND(ISNUMBER($T22),$T22&lt;&gt;""),IF(INDEX(LubesCalc!$X$3:$X$122,$T22)="","—",INDEX(LubesCalc!$X$3:$X$122,$T22)),"")</f>
        <v/>
      </c>
      <c r="G22" s="15">
        <f>IF(AND(ISNUMBER($T22),$T22&lt;&gt;""),IF(INDEX(LubesCalc!$Y$3:$Y$122,$T22)="","—",INDEX(LubesCalc!$Y$3:$Y$122,$T22)),"")</f>
        <v/>
      </c>
      <c r="H22" s="15">
        <f>IF(AND(ISNUMBER($T22),$T22&lt;&gt;""),IF(INDEX(LubesCalc!$Z$3:$Z$122,$T22)="","—",INDEX(LubesCalc!$Z$3:$Z$122,$T22)),"")</f>
        <v/>
      </c>
      <c r="I22" s="15">
        <f>IF(AND(ISNUMBER($T22),$T22&lt;&gt;""),IF(INDEX(LubesCalc!$AA$3:$AA$122,$T22)="","—",INDEX(LubesCalc!$AA$3:$AA$122,$T22)),"")</f>
        <v/>
      </c>
      <c r="J22" s="15">
        <f>IF(AND(ISNUMBER($T22),$T22&lt;&gt;""),IF(INDEX(LubesCalc!$AB$3:$AB$122,$T22)="","—",INDEX(LubesCalc!$AB$3:$AB$122,$T22)),"")</f>
        <v/>
      </c>
      <c r="K22" s="15">
        <f>IF(AND(ISNUMBER($T22),$T22&lt;&gt;""),IF(INDEX(LubesCalc!$AC$3:$AC$122,$T22)="","—",INDEX(LubesCalc!$AC$3:$AC$122,$T22)),"")</f>
        <v/>
      </c>
      <c r="L22" s="15">
        <f>IF(AND(ISNUMBER($T22),$T22&lt;&gt;""),IF(INDEX(LubesCalc!$AD$3:$AD$122,$T22)="","—",INDEX(LubesCalc!$AD$3:$AD$122,$T22)),"")</f>
        <v/>
      </c>
      <c r="M22" s="15">
        <f>IF(AND(ISNUMBER($T22),$T22&lt;&gt;""),IF(INDEX(LubesCalc!$AE$3:$AE$122,$T22)="","—",INDEX(LubesCalc!$AE$3:$AE$122,$T22)),"")</f>
        <v/>
      </c>
      <c r="N22" s="15">
        <f>IF(AND(ISNUMBER($T22),$T22&lt;&gt;""),IF(INDEX(LubesCalc!$AF$3:$AF$122,$T22)="","—",INDEX(LubesCalc!$AF$3:$AF$122,$T22)),"")</f>
        <v/>
      </c>
      <c r="O22" s="15">
        <f>IF(AND(ISNUMBER($T22),$T22&lt;&gt;""),IF(INDEX(LubesCalc!$AG$3:$AG$122,$T22)="","—",INDEX(LubesCalc!$AG$3:$AG$122,$T22)),"")</f>
        <v/>
      </c>
      <c r="P22" s="16">
        <f>IF(AND(ISNUMBER($T22),$T22&lt;&gt;""),IF(INDEX(LubesCalc!$AJ$3:$AJ$122,$T22)="","—",INDEX(LubesCalc!$AJ$3:$AJ$122,$T22)),"")</f>
        <v/>
      </c>
      <c r="Q22" s="16">
        <f>IF(AND(ISNUMBER($T22),$T22&lt;&gt;""),IF(INDEX(LubesCalc!$AK$3:$AK$122,$T22)="","—",INDEX(LubesCalc!$AK$3:$AK$122,$T22)),"")</f>
        <v/>
      </c>
      <c r="R22" s="15">
        <f>IF(AND(ISNUMBER($T22),$T22&lt;&gt;""),IF(INDEX(LubesCalc!$AL$3:$AL$122,$T22)="","—",INDEX(LubesCalc!$AL$3:$AL$122,$T22)),"")</f>
        <v/>
      </c>
      <c r="T22">
        <f>IFERROR(MATCH(18,LubesCalc!$AN$3:$AN$122,0),"")</f>
        <v/>
      </c>
    </row>
    <row r="23">
      <c r="A23" s="19">
        <f>IF(AND(ISNUMBER($T23),$T23&lt;&gt;""),INDEX(LubesCalc!$S$3:$S$122,$T23),"")</f>
        <v/>
      </c>
      <c r="B23" s="20">
        <f>IF(AND(ISNUMBER($T23),$T23&lt;&gt;""),IF(INDEX(LubesCalc!$T$3:$T$122,$T23)="","—",INDEX(LubesCalc!$T$3:$T$122,$T23)),"")</f>
        <v/>
      </c>
      <c r="C23" s="20">
        <f>IF(AND(ISNUMBER($T23),$T23&lt;&gt;""),IF(INDEX(LubesCalc!$U$3:$U$122,$T23)="","—",INDEX(LubesCalc!$U$3:$U$122,$T23)),"")</f>
        <v/>
      </c>
      <c r="D23" s="20">
        <f>IF(AND(ISNUMBER($T23),$T23&lt;&gt;""),IF(INDEX(LubesCalc!$V$3:$V$122,$T23)="","—",INDEX(LubesCalc!$V$3:$V$122,$T23)),"")</f>
        <v/>
      </c>
      <c r="E23" s="20">
        <f>IF(AND(ISNUMBER($T23),$T23&lt;&gt;""),IF(INDEX(LubesCalc!$W$3:$W$122,$T23)="","—",INDEX(LubesCalc!$W$3:$W$122,$T23)),"")</f>
        <v/>
      </c>
      <c r="F23" s="20">
        <f>IF(AND(ISNUMBER($T23),$T23&lt;&gt;""),IF(INDEX(LubesCalc!$X$3:$X$122,$T23)="","—",INDEX(LubesCalc!$X$3:$X$122,$T23)),"")</f>
        <v/>
      </c>
      <c r="G23" s="20">
        <f>IF(AND(ISNUMBER($T23),$T23&lt;&gt;""),IF(INDEX(LubesCalc!$Y$3:$Y$122,$T23)="","—",INDEX(LubesCalc!$Y$3:$Y$122,$T23)),"")</f>
        <v/>
      </c>
      <c r="H23" s="20">
        <f>IF(AND(ISNUMBER($T23),$T23&lt;&gt;""),IF(INDEX(LubesCalc!$Z$3:$Z$122,$T23)="","—",INDEX(LubesCalc!$Z$3:$Z$122,$T23)),"")</f>
        <v/>
      </c>
      <c r="I23" s="20">
        <f>IF(AND(ISNUMBER($T23),$T23&lt;&gt;""),IF(INDEX(LubesCalc!$AA$3:$AA$122,$T23)="","—",INDEX(LubesCalc!$AA$3:$AA$122,$T23)),"")</f>
        <v/>
      </c>
      <c r="J23" s="20">
        <f>IF(AND(ISNUMBER($T23),$T23&lt;&gt;""),IF(INDEX(LubesCalc!$AB$3:$AB$122,$T23)="","—",INDEX(LubesCalc!$AB$3:$AB$122,$T23)),"")</f>
        <v/>
      </c>
      <c r="K23" s="20">
        <f>IF(AND(ISNUMBER($T23),$T23&lt;&gt;""),IF(INDEX(LubesCalc!$AC$3:$AC$122,$T23)="","—",INDEX(LubesCalc!$AC$3:$AC$122,$T23)),"")</f>
        <v/>
      </c>
      <c r="L23" s="20">
        <f>IF(AND(ISNUMBER($T23),$T23&lt;&gt;""),IF(INDEX(LubesCalc!$AD$3:$AD$122,$T23)="","—",INDEX(LubesCalc!$AD$3:$AD$122,$T23)),"")</f>
        <v/>
      </c>
      <c r="M23" s="20">
        <f>IF(AND(ISNUMBER($T23),$T23&lt;&gt;""),IF(INDEX(LubesCalc!$AE$3:$AE$122,$T23)="","—",INDEX(LubesCalc!$AE$3:$AE$122,$T23)),"")</f>
        <v/>
      </c>
      <c r="N23" s="20">
        <f>IF(AND(ISNUMBER($T23),$T23&lt;&gt;""),IF(INDEX(LubesCalc!$AF$3:$AF$122,$T23)="","—",INDEX(LubesCalc!$AF$3:$AF$122,$T23)),"")</f>
        <v/>
      </c>
      <c r="O23" s="20">
        <f>IF(AND(ISNUMBER($T23),$T23&lt;&gt;""),IF(INDEX(LubesCalc!$AG$3:$AG$122,$T23)="","—",INDEX(LubesCalc!$AG$3:$AG$122,$T23)),"")</f>
        <v/>
      </c>
      <c r="P23" s="21">
        <f>IF(AND(ISNUMBER($T23),$T23&lt;&gt;""),IF(INDEX(LubesCalc!$AJ$3:$AJ$122,$T23)="","—",INDEX(LubesCalc!$AJ$3:$AJ$122,$T23)),"")</f>
        <v/>
      </c>
      <c r="Q23" s="21">
        <f>IF(AND(ISNUMBER($T23),$T23&lt;&gt;""),IF(INDEX(LubesCalc!$AK$3:$AK$122,$T23)="","—",INDEX(LubesCalc!$AK$3:$AK$122,$T23)),"")</f>
        <v/>
      </c>
      <c r="R23" s="20">
        <f>IF(AND(ISNUMBER($T23),$T23&lt;&gt;""),IF(INDEX(LubesCalc!$AL$3:$AL$122,$T23)="","—",INDEX(LubesCalc!$AL$3:$AL$122,$T23)),"")</f>
        <v/>
      </c>
      <c r="T23">
        <f>IFERROR(MATCH(19,LubesCalc!$AN$3:$AN$122,0),"")</f>
        <v/>
      </c>
    </row>
    <row r="24">
      <c r="A24" s="14">
        <f>IF(AND(ISNUMBER($T24),$T24&lt;&gt;""),INDEX(LubesCalc!$S$3:$S$122,$T24),"")</f>
        <v/>
      </c>
      <c r="B24" s="15">
        <f>IF(AND(ISNUMBER($T24),$T24&lt;&gt;""),IF(INDEX(LubesCalc!$T$3:$T$122,$T24)="","—",INDEX(LubesCalc!$T$3:$T$122,$T24)),"")</f>
        <v/>
      </c>
      <c r="C24" s="15">
        <f>IF(AND(ISNUMBER($T24),$T24&lt;&gt;""),IF(INDEX(LubesCalc!$U$3:$U$122,$T24)="","—",INDEX(LubesCalc!$U$3:$U$122,$T24)),"")</f>
        <v/>
      </c>
      <c r="D24" s="15">
        <f>IF(AND(ISNUMBER($T24),$T24&lt;&gt;""),IF(INDEX(LubesCalc!$V$3:$V$122,$T24)="","—",INDEX(LubesCalc!$V$3:$V$122,$T24)),"")</f>
        <v/>
      </c>
      <c r="E24" s="15">
        <f>IF(AND(ISNUMBER($T24),$T24&lt;&gt;""),IF(INDEX(LubesCalc!$W$3:$W$122,$T24)="","—",INDEX(LubesCalc!$W$3:$W$122,$T24)),"")</f>
        <v/>
      </c>
      <c r="F24" s="15">
        <f>IF(AND(ISNUMBER($T24),$T24&lt;&gt;""),IF(INDEX(LubesCalc!$X$3:$X$122,$T24)="","—",INDEX(LubesCalc!$X$3:$X$122,$T24)),"")</f>
        <v/>
      </c>
      <c r="G24" s="15">
        <f>IF(AND(ISNUMBER($T24),$T24&lt;&gt;""),IF(INDEX(LubesCalc!$Y$3:$Y$122,$T24)="","—",INDEX(LubesCalc!$Y$3:$Y$122,$T24)),"")</f>
        <v/>
      </c>
      <c r="H24" s="15">
        <f>IF(AND(ISNUMBER($T24),$T24&lt;&gt;""),IF(INDEX(LubesCalc!$Z$3:$Z$122,$T24)="","—",INDEX(LubesCalc!$Z$3:$Z$122,$T24)),"")</f>
        <v/>
      </c>
      <c r="I24" s="15">
        <f>IF(AND(ISNUMBER($T24),$T24&lt;&gt;""),IF(INDEX(LubesCalc!$AA$3:$AA$122,$T24)="","—",INDEX(LubesCalc!$AA$3:$AA$122,$T24)),"")</f>
        <v/>
      </c>
      <c r="J24" s="15">
        <f>IF(AND(ISNUMBER($T24),$T24&lt;&gt;""),IF(INDEX(LubesCalc!$AB$3:$AB$122,$T24)="","—",INDEX(LubesCalc!$AB$3:$AB$122,$T24)),"")</f>
        <v/>
      </c>
      <c r="K24" s="15">
        <f>IF(AND(ISNUMBER($T24),$T24&lt;&gt;""),IF(INDEX(LubesCalc!$AC$3:$AC$122,$T24)="","—",INDEX(LubesCalc!$AC$3:$AC$122,$T24)),"")</f>
        <v/>
      </c>
      <c r="L24" s="15">
        <f>IF(AND(ISNUMBER($T24),$T24&lt;&gt;""),IF(INDEX(LubesCalc!$AD$3:$AD$122,$T24)="","—",INDEX(LubesCalc!$AD$3:$AD$122,$T24)),"")</f>
        <v/>
      </c>
      <c r="M24" s="15">
        <f>IF(AND(ISNUMBER($T24),$T24&lt;&gt;""),IF(INDEX(LubesCalc!$AE$3:$AE$122,$T24)="","—",INDEX(LubesCalc!$AE$3:$AE$122,$T24)),"")</f>
        <v/>
      </c>
      <c r="N24" s="15">
        <f>IF(AND(ISNUMBER($T24),$T24&lt;&gt;""),IF(INDEX(LubesCalc!$AF$3:$AF$122,$T24)="","—",INDEX(LubesCalc!$AF$3:$AF$122,$T24)),"")</f>
        <v/>
      </c>
      <c r="O24" s="15">
        <f>IF(AND(ISNUMBER($T24),$T24&lt;&gt;""),IF(INDEX(LubesCalc!$AG$3:$AG$122,$T24)="","—",INDEX(LubesCalc!$AG$3:$AG$122,$T24)),"")</f>
        <v/>
      </c>
      <c r="P24" s="16">
        <f>IF(AND(ISNUMBER($T24),$T24&lt;&gt;""),IF(INDEX(LubesCalc!$AJ$3:$AJ$122,$T24)="","—",INDEX(LubesCalc!$AJ$3:$AJ$122,$T24)),"")</f>
        <v/>
      </c>
      <c r="Q24" s="16">
        <f>IF(AND(ISNUMBER($T24),$T24&lt;&gt;""),IF(INDEX(LubesCalc!$AK$3:$AK$122,$T24)="","—",INDEX(LubesCalc!$AK$3:$AK$122,$T24)),"")</f>
        <v/>
      </c>
      <c r="R24" s="15">
        <f>IF(AND(ISNUMBER($T24),$T24&lt;&gt;""),IF(INDEX(LubesCalc!$AL$3:$AL$122,$T24)="","—",INDEX(LubesCalc!$AL$3:$AL$122,$T24)),"")</f>
        <v/>
      </c>
      <c r="T24">
        <f>IFERROR(MATCH(20,LubesCalc!$AN$3:$AN$122,0),"")</f>
        <v/>
      </c>
    </row>
    <row r="25">
      <c r="A25" s="19">
        <f>IF(AND(ISNUMBER($T25),$T25&lt;&gt;""),INDEX(LubesCalc!$S$3:$S$122,$T25),"")</f>
        <v/>
      </c>
      <c r="B25" s="20">
        <f>IF(AND(ISNUMBER($T25),$T25&lt;&gt;""),IF(INDEX(LubesCalc!$T$3:$T$122,$T25)="","—",INDEX(LubesCalc!$T$3:$T$122,$T25)),"")</f>
        <v/>
      </c>
      <c r="C25" s="20">
        <f>IF(AND(ISNUMBER($T25),$T25&lt;&gt;""),IF(INDEX(LubesCalc!$U$3:$U$122,$T25)="","—",INDEX(LubesCalc!$U$3:$U$122,$T25)),"")</f>
        <v/>
      </c>
      <c r="D25" s="20">
        <f>IF(AND(ISNUMBER($T25),$T25&lt;&gt;""),IF(INDEX(LubesCalc!$V$3:$V$122,$T25)="","—",INDEX(LubesCalc!$V$3:$V$122,$T25)),"")</f>
        <v/>
      </c>
      <c r="E25" s="20">
        <f>IF(AND(ISNUMBER($T25),$T25&lt;&gt;""),IF(INDEX(LubesCalc!$W$3:$W$122,$T25)="","—",INDEX(LubesCalc!$W$3:$W$122,$T25)),"")</f>
        <v/>
      </c>
      <c r="F25" s="20">
        <f>IF(AND(ISNUMBER($T25),$T25&lt;&gt;""),IF(INDEX(LubesCalc!$X$3:$X$122,$T25)="","—",INDEX(LubesCalc!$X$3:$X$122,$T25)),"")</f>
        <v/>
      </c>
      <c r="G25" s="20">
        <f>IF(AND(ISNUMBER($T25),$T25&lt;&gt;""),IF(INDEX(LubesCalc!$Y$3:$Y$122,$T25)="","—",INDEX(LubesCalc!$Y$3:$Y$122,$T25)),"")</f>
        <v/>
      </c>
      <c r="H25" s="20">
        <f>IF(AND(ISNUMBER($T25),$T25&lt;&gt;""),IF(INDEX(LubesCalc!$Z$3:$Z$122,$T25)="","—",INDEX(LubesCalc!$Z$3:$Z$122,$T25)),"")</f>
        <v/>
      </c>
      <c r="I25" s="20">
        <f>IF(AND(ISNUMBER($T25),$T25&lt;&gt;""),IF(INDEX(LubesCalc!$AA$3:$AA$122,$T25)="","—",INDEX(LubesCalc!$AA$3:$AA$122,$T25)),"")</f>
        <v/>
      </c>
      <c r="J25" s="20">
        <f>IF(AND(ISNUMBER($T25),$T25&lt;&gt;""),IF(INDEX(LubesCalc!$AB$3:$AB$122,$T25)="","—",INDEX(LubesCalc!$AB$3:$AB$122,$T25)),"")</f>
        <v/>
      </c>
      <c r="K25" s="20">
        <f>IF(AND(ISNUMBER($T25),$T25&lt;&gt;""),IF(INDEX(LubesCalc!$AC$3:$AC$122,$T25)="","—",INDEX(LubesCalc!$AC$3:$AC$122,$T25)),"")</f>
        <v/>
      </c>
      <c r="L25" s="20">
        <f>IF(AND(ISNUMBER($T25),$T25&lt;&gt;""),IF(INDEX(LubesCalc!$AD$3:$AD$122,$T25)="","—",INDEX(LubesCalc!$AD$3:$AD$122,$T25)),"")</f>
        <v/>
      </c>
      <c r="M25" s="20">
        <f>IF(AND(ISNUMBER($T25),$T25&lt;&gt;""),IF(INDEX(LubesCalc!$AE$3:$AE$122,$T25)="","—",INDEX(LubesCalc!$AE$3:$AE$122,$T25)),"")</f>
        <v/>
      </c>
      <c r="N25" s="20">
        <f>IF(AND(ISNUMBER($T25),$T25&lt;&gt;""),IF(INDEX(LubesCalc!$AF$3:$AF$122,$T25)="","—",INDEX(LubesCalc!$AF$3:$AF$122,$T25)),"")</f>
        <v/>
      </c>
      <c r="O25" s="20">
        <f>IF(AND(ISNUMBER($T25),$T25&lt;&gt;""),IF(INDEX(LubesCalc!$AG$3:$AG$122,$T25)="","—",INDEX(LubesCalc!$AG$3:$AG$122,$T25)),"")</f>
        <v/>
      </c>
      <c r="P25" s="21">
        <f>IF(AND(ISNUMBER($T25),$T25&lt;&gt;""),IF(INDEX(LubesCalc!$AJ$3:$AJ$122,$T25)="","—",INDEX(LubesCalc!$AJ$3:$AJ$122,$T25)),"")</f>
        <v/>
      </c>
      <c r="Q25" s="21">
        <f>IF(AND(ISNUMBER($T25),$T25&lt;&gt;""),IF(INDEX(LubesCalc!$AK$3:$AK$122,$T25)="","—",INDEX(LubesCalc!$AK$3:$AK$122,$T25)),"")</f>
        <v/>
      </c>
      <c r="R25" s="20">
        <f>IF(AND(ISNUMBER($T25),$T25&lt;&gt;""),IF(INDEX(LubesCalc!$AL$3:$AL$122,$T25)="","—",INDEX(LubesCalc!$AL$3:$AL$122,$T25)),"")</f>
        <v/>
      </c>
      <c r="T25">
        <f>IFERROR(MATCH(21,LubesCalc!$AN$3:$AN$122,0),"")</f>
        <v/>
      </c>
    </row>
    <row r="26">
      <c r="A26" s="14">
        <f>IF(AND(ISNUMBER($T26),$T26&lt;&gt;""),INDEX(LubesCalc!$S$3:$S$122,$T26),"")</f>
        <v/>
      </c>
      <c r="B26" s="15">
        <f>IF(AND(ISNUMBER($T26),$T26&lt;&gt;""),IF(INDEX(LubesCalc!$T$3:$T$122,$T26)="","—",INDEX(LubesCalc!$T$3:$T$122,$T26)),"")</f>
        <v/>
      </c>
      <c r="C26" s="15">
        <f>IF(AND(ISNUMBER($T26),$T26&lt;&gt;""),IF(INDEX(LubesCalc!$U$3:$U$122,$T26)="","—",INDEX(LubesCalc!$U$3:$U$122,$T26)),"")</f>
        <v/>
      </c>
      <c r="D26" s="15">
        <f>IF(AND(ISNUMBER($T26),$T26&lt;&gt;""),IF(INDEX(LubesCalc!$V$3:$V$122,$T26)="","—",INDEX(LubesCalc!$V$3:$V$122,$T26)),"")</f>
        <v/>
      </c>
      <c r="E26" s="15">
        <f>IF(AND(ISNUMBER($T26),$T26&lt;&gt;""),IF(INDEX(LubesCalc!$W$3:$W$122,$T26)="","—",INDEX(LubesCalc!$W$3:$W$122,$T26)),"")</f>
        <v/>
      </c>
      <c r="F26" s="15">
        <f>IF(AND(ISNUMBER($T26),$T26&lt;&gt;""),IF(INDEX(LubesCalc!$X$3:$X$122,$T26)="","—",INDEX(LubesCalc!$X$3:$X$122,$T26)),"")</f>
        <v/>
      </c>
      <c r="G26" s="15">
        <f>IF(AND(ISNUMBER($T26),$T26&lt;&gt;""),IF(INDEX(LubesCalc!$Y$3:$Y$122,$T26)="","—",INDEX(LubesCalc!$Y$3:$Y$122,$T26)),"")</f>
        <v/>
      </c>
      <c r="H26" s="15">
        <f>IF(AND(ISNUMBER($T26),$T26&lt;&gt;""),IF(INDEX(LubesCalc!$Z$3:$Z$122,$T26)="","—",INDEX(LubesCalc!$Z$3:$Z$122,$T26)),"")</f>
        <v/>
      </c>
      <c r="I26" s="15">
        <f>IF(AND(ISNUMBER($T26),$T26&lt;&gt;""),IF(INDEX(LubesCalc!$AA$3:$AA$122,$T26)="","—",INDEX(LubesCalc!$AA$3:$AA$122,$T26)),"")</f>
        <v/>
      </c>
      <c r="J26" s="15">
        <f>IF(AND(ISNUMBER($T26),$T26&lt;&gt;""),IF(INDEX(LubesCalc!$AB$3:$AB$122,$T26)="","—",INDEX(LubesCalc!$AB$3:$AB$122,$T26)),"")</f>
        <v/>
      </c>
      <c r="K26" s="15">
        <f>IF(AND(ISNUMBER($T26),$T26&lt;&gt;""),IF(INDEX(LubesCalc!$AC$3:$AC$122,$T26)="","—",INDEX(LubesCalc!$AC$3:$AC$122,$T26)),"")</f>
        <v/>
      </c>
      <c r="L26" s="15">
        <f>IF(AND(ISNUMBER($T26),$T26&lt;&gt;""),IF(INDEX(LubesCalc!$AD$3:$AD$122,$T26)="","—",INDEX(LubesCalc!$AD$3:$AD$122,$T26)),"")</f>
        <v/>
      </c>
      <c r="M26" s="15">
        <f>IF(AND(ISNUMBER($T26),$T26&lt;&gt;""),IF(INDEX(LubesCalc!$AE$3:$AE$122,$T26)="","—",INDEX(LubesCalc!$AE$3:$AE$122,$T26)),"")</f>
        <v/>
      </c>
      <c r="N26" s="15">
        <f>IF(AND(ISNUMBER($T26),$T26&lt;&gt;""),IF(INDEX(LubesCalc!$AF$3:$AF$122,$T26)="","—",INDEX(LubesCalc!$AF$3:$AF$122,$T26)),"")</f>
        <v/>
      </c>
      <c r="O26" s="15">
        <f>IF(AND(ISNUMBER($T26),$T26&lt;&gt;""),IF(INDEX(LubesCalc!$AG$3:$AG$122,$T26)="","—",INDEX(LubesCalc!$AG$3:$AG$122,$T26)),"")</f>
        <v/>
      </c>
      <c r="P26" s="16">
        <f>IF(AND(ISNUMBER($T26),$T26&lt;&gt;""),IF(INDEX(LubesCalc!$AJ$3:$AJ$122,$T26)="","—",INDEX(LubesCalc!$AJ$3:$AJ$122,$T26)),"")</f>
        <v/>
      </c>
      <c r="Q26" s="16">
        <f>IF(AND(ISNUMBER($T26),$T26&lt;&gt;""),IF(INDEX(LubesCalc!$AK$3:$AK$122,$T26)="","—",INDEX(LubesCalc!$AK$3:$AK$122,$T26)),"")</f>
        <v/>
      </c>
      <c r="R26" s="15">
        <f>IF(AND(ISNUMBER($T26),$T26&lt;&gt;""),IF(INDEX(LubesCalc!$AL$3:$AL$122,$T26)="","—",INDEX(LubesCalc!$AL$3:$AL$122,$T26)),"")</f>
        <v/>
      </c>
      <c r="T26">
        <f>IFERROR(MATCH(22,LubesCalc!$AN$3:$AN$122,0),"")</f>
        <v/>
      </c>
    </row>
    <row r="27">
      <c r="A27" s="19">
        <f>IF(AND(ISNUMBER($T27),$T27&lt;&gt;""),INDEX(LubesCalc!$S$3:$S$122,$T27),"")</f>
        <v/>
      </c>
      <c r="B27" s="20">
        <f>IF(AND(ISNUMBER($T27),$T27&lt;&gt;""),IF(INDEX(LubesCalc!$T$3:$T$122,$T27)="","—",INDEX(LubesCalc!$T$3:$T$122,$T27)),"")</f>
        <v/>
      </c>
      <c r="C27" s="20">
        <f>IF(AND(ISNUMBER($T27),$T27&lt;&gt;""),IF(INDEX(LubesCalc!$U$3:$U$122,$T27)="","—",INDEX(LubesCalc!$U$3:$U$122,$T27)),"")</f>
        <v/>
      </c>
      <c r="D27" s="20">
        <f>IF(AND(ISNUMBER($T27),$T27&lt;&gt;""),IF(INDEX(LubesCalc!$V$3:$V$122,$T27)="","—",INDEX(LubesCalc!$V$3:$V$122,$T27)),"")</f>
        <v/>
      </c>
      <c r="E27" s="20">
        <f>IF(AND(ISNUMBER($T27),$T27&lt;&gt;""),IF(INDEX(LubesCalc!$W$3:$W$122,$T27)="","—",INDEX(LubesCalc!$W$3:$W$122,$T27)),"")</f>
        <v/>
      </c>
      <c r="F27" s="20">
        <f>IF(AND(ISNUMBER($T27),$T27&lt;&gt;""),IF(INDEX(LubesCalc!$X$3:$X$122,$T27)="","—",INDEX(LubesCalc!$X$3:$X$122,$T27)),"")</f>
        <v/>
      </c>
      <c r="G27" s="20">
        <f>IF(AND(ISNUMBER($T27),$T27&lt;&gt;""),IF(INDEX(LubesCalc!$Y$3:$Y$122,$T27)="","—",INDEX(LubesCalc!$Y$3:$Y$122,$T27)),"")</f>
        <v/>
      </c>
      <c r="H27" s="20">
        <f>IF(AND(ISNUMBER($T27),$T27&lt;&gt;""),IF(INDEX(LubesCalc!$Z$3:$Z$122,$T27)="","—",INDEX(LubesCalc!$Z$3:$Z$122,$T27)),"")</f>
        <v/>
      </c>
      <c r="I27" s="20">
        <f>IF(AND(ISNUMBER($T27),$T27&lt;&gt;""),IF(INDEX(LubesCalc!$AA$3:$AA$122,$T27)="","—",INDEX(LubesCalc!$AA$3:$AA$122,$T27)),"")</f>
        <v/>
      </c>
      <c r="J27" s="20">
        <f>IF(AND(ISNUMBER($T27),$T27&lt;&gt;""),IF(INDEX(LubesCalc!$AB$3:$AB$122,$T27)="","—",INDEX(LubesCalc!$AB$3:$AB$122,$T27)),"")</f>
        <v/>
      </c>
      <c r="K27" s="20">
        <f>IF(AND(ISNUMBER($T27),$T27&lt;&gt;""),IF(INDEX(LubesCalc!$AC$3:$AC$122,$T27)="","—",INDEX(LubesCalc!$AC$3:$AC$122,$T27)),"")</f>
        <v/>
      </c>
      <c r="L27" s="20">
        <f>IF(AND(ISNUMBER($T27),$T27&lt;&gt;""),IF(INDEX(LubesCalc!$AD$3:$AD$122,$T27)="","—",INDEX(LubesCalc!$AD$3:$AD$122,$T27)),"")</f>
        <v/>
      </c>
      <c r="M27" s="20">
        <f>IF(AND(ISNUMBER($T27),$T27&lt;&gt;""),IF(INDEX(LubesCalc!$AE$3:$AE$122,$T27)="","—",INDEX(LubesCalc!$AE$3:$AE$122,$T27)),"")</f>
        <v/>
      </c>
      <c r="N27" s="20">
        <f>IF(AND(ISNUMBER($T27),$T27&lt;&gt;""),IF(INDEX(LubesCalc!$AF$3:$AF$122,$T27)="","—",INDEX(LubesCalc!$AF$3:$AF$122,$T27)),"")</f>
        <v/>
      </c>
      <c r="O27" s="20">
        <f>IF(AND(ISNUMBER($T27),$T27&lt;&gt;""),IF(INDEX(LubesCalc!$AG$3:$AG$122,$T27)="","—",INDEX(LubesCalc!$AG$3:$AG$122,$T27)),"")</f>
        <v/>
      </c>
      <c r="P27" s="21">
        <f>IF(AND(ISNUMBER($T27),$T27&lt;&gt;""),IF(INDEX(LubesCalc!$AJ$3:$AJ$122,$T27)="","—",INDEX(LubesCalc!$AJ$3:$AJ$122,$T27)),"")</f>
        <v/>
      </c>
      <c r="Q27" s="21">
        <f>IF(AND(ISNUMBER($T27),$T27&lt;&gt;""),IF(INDEX(LubesCalc!$AK$3:$AK$122,$T27)="","—",INDEX(LubesCalc!$AK$3:$AK$122,$T27)),"")</f>
        <v/>
      </c>
      <c r="R27" s="20">
        <f>IF(AND(ISNUMBER($T27),$T27&lt;&gt;""),IF(INDEX(LubesCalc!$AL$3:$AL$122,$T27)="","—",INDEX(LubesCalc!$AL$3:$AL$122,$T27)),"")</f>
        <v/>
      </c>
      <c r="T27">
        <f>IFERROR(MATCH(23,LubesCalc!$AN$3:$AN$122,0),"")</f>
        <v/>
      </c>
    </row>
    <row r="28">
      <c r="A28" s="14">
        <f>IF(AND(ISNUMBER($T28),$T28&lt;&gt;""),INDEX(LubesCalc!$S$3:$S$122,$T28),"")</f>
        <v/>
      </c>
      <c r="B28" s="15">
        <f>IF(AND(ISNUMBER($T28),$T28&lt;&gt;""),IF(INDEX(LubesCalc!$T$3:$T$122,$T28)="","—",INDEX(LubesCalc!$T$3:$T$122,$T28)),"")</f>
        <v/>
      </c>
      <c r="C28" s="15">
        <f>IF(AND(ISNUMBER($T28),$T28&lt;&gt;""),IF(INDEX(LubesCalc!$U$3:$U$122,$T28)="","—",INDEX(LubesCalc!$U$3:$U$122,$T28)),"")</f>
        <v/>
      </c>
      <c r="D28" s="15">
        <f>IF(AND(ISNUMBER($T28),$T28&lt;&gt;""),IF(INDEX(LubesCalc!$V$3:$V$122,$T28)="","—",INDEX(LubesCalc!$V$3:$V$122,$T28)),"")</f>
        <v/>
      </c>
      <c r="E28" s="15">
        <f>IF(AND(ISNUMBER($T28),$T28&lt;&gt;""),IF(INDEX(LubesCalc!$W$3:$W$122,$T28)="","—",INDEX(LubesCalc!$W$3:$W$122,$T28)),"")</f>
        <v/>
      </c>
      <c r="F28" s="15">
        <f>IF(AND(ISNUMBER($T28),$T28&lt;&gt;""),IF(INDEX(LubesCalc!$X$3:$X$122,$T28)="","—",INDEX(LubesCalc!$X$3:$X$122,$T28)),"")</f>
        <v/>
      </c>
      <c r="G28" s="15">
        <f>IF(AND(ISNUMBER($T28),$T28&lt;&gt;""),IF(INDEX(LubesCalc!$Y$3:$Y$122,$T28)="","—",INDEX(LubesCalc!$Y$3:$Y$122,$T28)),"")</f>
        <v/>
      </c>
      <c r="H28" s="15">
        <f>IF(AND(ISNUMBER($T28),$T28&lt;&gt;""),IF(INDEX(LubesCalc!$Z$3:$Z$122,$T28)="","—",INDEX(LubesCalc!$Z$3:$Z$122,$T28)),"")</f>
        <v/>
      </c>
      <c r="I28" s="15">
        <f>IF(AND(ISNUMBER($T28),$T28&lt;&gt;""),IF(INDEX(LubesCalc!$AA$3:$AA$122,$T28)="","—",INDEX(LubesCalc!$AA$3:$AA$122,$T28)),"")</f>
        <v/>
      </c>
      <c r="J28" s="15">
        <f>IF(AND(ISNUMBER($T28),$T28&lt;&gt;""),IF(INDEX(LubesCalc!$AB$3:$AB$122,$T28)="","—",INDEX(LubesCalc!$AB$3:$AB$122,$T28)),"")</f>
        <v/>
      </c>
      <c r="K28" s="15">
        <f>IF(AND(ISNUMBER($T28),$T28&lt;&gt;""),IF(INDEX(LubesCalc!$AC$3:$AC$122,$T28)="","—",INDEX(LubesCalc!$AC$3:$AC$122,$T28)),"")</f>
        <v/>
      </c>
      <c r="L28" s="15">
        <f>IF(AND(ISNUMBER($T28),$T28&lt;&gt;""),IF(INDEX(LubesCalc!$AD$3:$AD$122,$T28)="","—",INDEX(LubesCalc!$AD$3:$AD$122,$T28)),"")</f>
        <v/>
      </c>
      <c r="M28" s="15">
        <f>IF(AND(ISNUMBER($T28),$T28&lt;&gt;""),IF(INDEX(LubesCalc!$AE$3:$AE$122,$T28)="","—",INDEX(LubesCalc!$AE$3:$AE$122,$T28)),"")</f>
        <v/>
      </c>
      <c r="N28" s="15">
        <f>IF(AND(ISNUMBER($T28),$T28&lt;&gt;""),IF(INDEX(LubesCalc!$AF$3:$AF$122,$T28)="","—",INDEX(LubesCalc!$AF$3:$AF$122,$T28)),"")</f>
        <v/>
      </c>
      <c r="O28" s="15">
        <f>IF(AND(ISNUMBER($T28),$T28&lt;&gt;""),IF(INDEX(LubesCalc!$AG$3:$AG$122,$T28)="","—",INDEX(LubesCalc!$AG$3:$AG$122,$T28)),"")</f>
        <v/>
      </c>
      <c r="P28" s="16">
        <f>IF(AND(ISNUMBER($T28),$T28&lt;&gt;""),IF(INDEX(LubesCalc!$AJ$3:$AJ$122,$T28)="","—",INDEX(LubesCalc!$AJ$3:$AJ$122,$T28)),"")</f>
        <v/>
      </c>
      <c r="Q28" s="16">
        <f>IF(AND(ISNUMBER($T28),$T28&lt;&gt;""),IF(INDEX(LubesCalc!$AK$3:$AK$122,$T28)="","—",INDEX(LubesCalc!$AK$3:$AK$122,$T28)),"")</f>
        <v/>
      </c>
      <c r="R28" s="15">
        <f>IF(AND(ISNUMBER($T28),$T28&lt;&gt;""),IF(INDEX(LubesCalc!$AL$3:$AL$122,$T28)="","—",INDEX(LubesCalc!$AL$3:$AL$122,$T28)),"")</f>
        <v/>
      </c>
      <c r="T28">
        <f>IFERROR(MATCH(24,LubesCalc!$AN$3:$AN$122,0),"")</f>
        <v/>
      </c>
    </row>
    <row r="29">
      <c r="A29" s="19">
        <f>IF(AND(ISNUMBER($T29),$T29&lt;&gt;""),INDEX(LubesCalc!$S$3:$S$122,$T29),"")</f>
        <v/>
      </c>
      <c r="B29" s="20">
        <f>IF(AND(ISNUMBER($T29),$T29&lt;&gt;""),IF(INDEX(LubesCalc!$T$3:$T$122,$T29)="","—",INDEX(LubesCalc!$T$3:$T$122,$T29)),"")</f>
        <v/>
      </c>
      <c r="C29" s="20">
        <f>IF(AND(ISNUMBER($T29),$T29&lt;&gt;""),IF(INDEX(LubesCalc!$U$3:$U$122,$T29)="","—",INDEX(LubesCalc!$U$3:$U$122,$T29)),"")</f>
        <v/>
      </c>
      <c r="D29" s="20">
        <f>IF(AND(ISNUMBER($T29),$T29&lt;&gt;""),IF(INDEX(LubesCalc!$V$3:$V$122,$T29)="","—",INDEX(LubesCalc!$V$3:$V$122,$T29)),"")</f>
        <v/>
      </c>
      <c r="E29" s="20">
        <f>IF(AND(ISNUMBER($T29),$T29&lt;&gt;""),IF(INDEX(LubesCalc!$W$3:$W$122,$T29)="","—",INDEX(LubesCalc!$W$3:$W$122,$T29)),"")</f>
        <v/>
      </c>
      <c r="F29" s="20">
        <f>IF(AND(ISNUMBER($T29),$T29&lt;&gt;""),IF(INDEX(LubesCalc!$X$3:$X$122,$T29)="","—",INDEX(LubesCalc!$X$3:$X$122,$T29)),"")</f>
        <v/>
      </c>
      <c r="G29" s="20">
        <f>IF(AND(ISNUMBER($T29),$T29&lt;&gt;""),IF(INDEX(LubesCalc!$Y$3:$Y$122,$T29)="","—",INDEX(LubesCalc!$Y$3:$Y$122,$T29)),"")</f>
        <v/>
      </c>
      <c r="H29" s="20">
        <f>IF(AND(ISNUMBER($T29),$T29&lt;&gt;""),IF(INDEX(LubesCalc!$Z$3:$Z$122,$T29)="","—",INDEX(LubesCalc!$Z$3:$Z$122,$T29)),"")</f>
        <v/>
      </c>
      <c r="I29" s="20">
        <f>IF(AND(ISNUMBER($T29),$T29&lt;&gt;""),IF(INDEX(LubesCalc!$AA$3:$AA$122,$T29)="","—",INDEX(LubesCalc!$AA$3:$AA$122,$T29)),"")</f>
        <v/>
      </c>
      <c r="J29" s="20">
        <f>IF(AND(ISNUMBER($T29),$T29&lt;&gt;""),IF(INDEX(LubesCalc!$AB$3:$AB$122,$T29)="","—",INDEX(LubesCalc!$AB$3:$AB$122,$T29)),"")</f>
        <v/>
      </c>
      <c r="K29" s="20">
        <f>IF(AND(ISNUMBER($T29),$T29&lt;&gt;""),IF(INDEX(LubesCalc!$AC$3:$AC$122,$T29)="","—",INDEX(LubesCalc!$AC$3:$AC$122,$T29)),"")</f>
        <v/>
      </c>
      <c r="L29" s="20">
        <f>IF(AND(ISNUMBER($T29),$T29&lt;&gt;""),IF(INDEX(LubesCalc!$AD$3:$AD$122,$T29)="","—",INDEX(LubesCalc!$AD$3:$AD$122,$T29)),"")</f>
        <v/>
      </c>
      <c r="M29" s="20">
        <f>IF(AND(ISNUMBER($T29),$T29&lt;&gt;""),IF(INDEX(LubesCalc!$AE$3:$AE$122,$T29)="","—",INDEX(LubesCalc!$AE$3:$AE$122,$T29)),"")</f>
        <v/>
      </c>
      <c r="N29" s="20">
        <f>IF(AND(ISNUMBER($T29),$T29&lt;&gt;""),IF(INDEX(LubesCalc!$AF$3:$AF$122,$T29)="","—",INDEX(LubesCalc!$AF$3:$AF$122,$T29)),"")</f>
        <v/>
      </c>
      <c r="O29" s="20">
        <f>IF(AND(ISNUMBER($T29),$T29&lt;&gt;""),IF(INDEX(LubesCalc!$AG$3:$AG$122,$T29)="","—",INDEX(LubesCalc!$AG$3:$AG$122,$T29)),"")</f>
        <v/>
      </c>
      <c r="P29" s="21">
        <f>IF(AND(ISNUMBER($T29),$T29&lt;&gt;""),IF(INDEX(LubesCalc!$AJ$3:$AJ$122,$T29)="","—",INDEX(LubesCalc!$AJ$3:$AJ$122,$T29)),"")</f>
        <v/>
      </c>
      <c r="Q29" s="21">
        <f>IF(AND(ISNUMBER($T29),$T29&lt;&gt;""),IF(INDEX(LubesCalc!$AK$3:$AK$122,$T29)="","—",INDEX(LubesCalc!$AK$3:$AK$122,$T29)),"")</f>
        <v/>
      </c>
      <c r="R29" s="20">
        <f>IF(AND(ISNUMBER($T29),$T29&lt;&gt;""),IF(INDEX(LubesCalc!$AL$3:$AL$122,$T29)="","—",INDEX(LubesCalc!$AL$3:$AL$122,$T29)),"")</f>
        <v/>
      </c>
      <c r="T29">
        <f>IFERROR(MATCH(25,LubesCalc!$AN$3:$AN$122,0),"")</f>
        <v/>
      </c>
    </row>
    <row r="30">
      <c r="A30" s="14">
        <f>IF(AND(ISNUMBER($T30),$T30&lt;&gt;""),INDEX(LubesCalc!$S$3:$S$122,$T30),"")</f>
        <v/>
      </c>
      <c r="B30" s="15">
        <f>IF(AND(ISNUMBER($T30),$T30&lt;&gt;""),IF(INDEX(LubesCalc!$T$3:$T$122,$T30)="","—",INDEX(LubesCalc!$T$3:$T$122,$T30)),"")</f>
        <v/>
      </c>
      <c r="C30" s="15">
        <f>IF(AND(ISNUMBER($T30),$T30&lt;&gt;""),IF(INDEX(LubesCalc!$U$3:$U$122,$T30)="","—",INDEX(LubesCalc!$U$3:$U$122,$T30)),"")</f>
        <v/>
      </c>
      <c r="D30" s="15">
        <f>IF(AND(ISNUMBER($T30),$T30&lt;&gt;""),IF(INDEX(LubesCalc!$V$3:$V$122,$T30)="","—",INDEX(LubesCalc!$V$3:$V$122,$T30)),"")</f>
        <v/>
      </c>
      <c r="E30" s="15">
        <f>IF(AND(ISNUMBER($T30),$T30&lt;&gt;""),IF(INDEX(LubesCalc!$W$3:$W$122,$T30)="","—",INDEX(LubesCalc!$W$3:$W$122,$T30)),"")</f>
        <v/>
      </c>
      <c r="F30" s="15">
        <f>IF(AND(ISNUMBER($T30),$T30&lt;&gt;""),IF(INDEX(LubesCalc!$X$3:$X$122,$T30)="","—",INDEX(LubesCalc!$X$3:$X$122,$T30)),"")</f>
        <v/>
      </c>
      <c r="G30" s="15">
        <f>IF(AND(ISNUMBER($T30),$T30&lt;&gt;""),IF(INDEX(LubesCalc!$Y$3:$Y$122,$T30)="","—",INDEX(LubesCalc!$Y$3:$Y$122,$T30)),"")</f>
        <v/>
      </c>
      <c r="H30" s="15">
        <f>IF(AND(ISNUMBER($T30),$T30&lt;&gt;""),IF(INDEX(LubesCalc!$Z$3:$Z$122,$T30)="","—",INDEX(LubesCalc!$Z$3:$Z$122,$T30)),"")</f>
        <v/>
      </c>
      <c r="I30" s="15">
        <f>IF(AND(ISNUMBER($T30),$T30&lt;&gt;""),IF(INDEX(LubesCalc!$AA$3:$AA$122,$T30)="","—",INDEX(LubesCalc!$AA$3:$AA$122,$T30)),"")</f>
        <v/>
      </c>
      <c r="J30" s="15">
        <f>IF(AND(ISNUMBER($T30),$T30&lt;&gt;""),IF(INDEX(LubesCalc!$AB$3:$AB$122,$T30)="","—",INDEX(LubesCalc!$AB$3:$AB$122,$T30)),"")</f>
        <v/>
      </c>
      <c r="K30" s="15">
        <f>IF(AND(ISNUMBER($T30),$T30&lt;&gt;""),IF(INDEX(LubesCalc!$AC$3:$AC$122,$T30)="","—",INDEX(LubesCalc!$AC$3:$AC$122,$T30)),"")</f>
        <v/>
      </c>
      <c r="L30" s="15">
        <f>IF(AND(ISNUMBER($T30),$T30&lt;&gt;""),IF(INDEX(LubesCalc!$AD$3:$AD$122,$T30)="","—",INDEX(LubesCalc!$AD$3:$AD$122,$T30)),"")</f>
        <v/>
      </c>
      <c r="M30" s="15">
        <f>IF(AND(ISNUMBER($T30),$T30&lt;&gt;""),IF(INDEX(LubesCalc!$AE$3:$AE$122,$T30)="","—",INDEX(LubesCalc!$AE$3:$AE$122,$T30)),"")</f>
        <v/>
      </c>
      <c r="N30" s="15">
        <f>IF(AND(ISNUMBER($T30),$T30&lt;&gt;""),IF(INDEX(LubesCalc!$AF$3:$AF$122,$T30)="","—",INDEX(LubesCalc!$AF$3:$AF$122,$T30)),"")</f>
        <v/>
      </c>
      <c r="O30" s="15">
        <f>IF(AND(ISNUMBER($T30),$T30&lt;&gt;""),IF(INDEX(LubesCalc!$AG$3:$AG$122,$T30)="","—",INDEX(LubesCalc!$AG$3:$AG$122,$T30)),"")</f>
        <v/>
      </c>
      <c r="P30" s="16">
        <f>IF(AND(ISNUMBER($T30),$T30&lt;&gt;""),IF(INDEX(LubesCalc!$AJ$3:$AJ$122,$T30)="","—",INDEX(LubesCalc!$AJ$3:$AJ$122,$T30)),"")</f>
        <v/>
      </c>
      <c r="Q30" s="16">
        <f>IF(AND(ISNUMBER($T30),$T30&lt;&gt;""),IF(INDEX(LubesCalc!$AK$3:$AK$122,$T30)="","—",INDEX(LubesCalc!$AK$3:$AK$122,$T30)),"")</f>
        <v/>
      </c>
      <c r="R30" s="15">
        <f>IF(AND(ISNUMBER($T30),$T30&lt;&gt;""),IF(INDEX(LubesCalc!$AL$3:$AL$122,$T30)="","—",INDEX(LubesCalc!$AL$3:$AL$122,$T30)),"")</f>
        <v/>
      </c>
      <c r="T30">
        <f>IFERROR(MATCH(26,LubesCalc!$AN$3:$AN$122,0),"")</f>
        <v/>
      </c>
    </row>
    <row r="31">
      <c r="A31" s="19">
        <f>IF(AND(ISNUMBER($T31),$T31&lt;&gt;""),INDEX(LubesCalc!$S$3:$S$122,$T31),"")</f>
        <v/>
      </c>
      <c r="B31" s="20">
        <f>IF(AND(ISNUMBER($T31),$T31&lt;&gt;""),IF(INDEX(LubesCalc!$T$3:$T$122,$T31)="","—",INDEX(LubesCalc!$T$3:$T$122,$T31)),"")</f>
        <v/>
      </c>
      <c r="C31" s="20">
        <f>IF(AND(ISNUMBER($T31),$T31&lt;&gt;""),IF(INDEX(LubesCalc!$U$3:$U$122,$T31)="","—",INDEX(LubesCalc!$U$3:$U$122,$T31)),"")</f>
        <v/>
      </c>
      <c r="D31" s="20">
        <f>IF(AND(ISNUMBER($T31),$T31&lt;&gt;""),IF(INDEX(LubesCalc!$V$3:$V$122,$T31)="","—",INDEX(LubesCalc!$V$3:$V$122,$T31)),"")</f>
        <v/>
      </c>
      <c r="E31" s="20">
        <f>IF(AND(ISNUMBER($T31),$T31&lt;&gt;""),IF(INDEX(LubesCalc!$W$3:$W$122,$T31)="","—",INDEX(LubesCalc!$W$3:$W$122,$T31)),"")</f>
        <v/>
      </c>
      <c r="F31" s="20">
        <f>IF(AND(ISNUMBER($T31),$T31&lt;&gt;""),IF(INDEX(LubesCalc!$X$3:$X$122,$T31)="","—",INDEX(LubesCalc!$X$3:$X$122,$T31)),"")</f>
        <v/>
      </c>
      <c r="G31" s="20">
        <f>IF(AND(ISNUMBER($T31),$T31&lt;&gt;""),IF(INDEX(LubesCalc!$Y$3:$Y$122,$T31)="","—",INDEX(LubesCalc!$Y$3:$Y$122,$T31)),"")</f>
        <v/>
      </c>
      <c r="H31" s="20">
        <f>IF(AND(ISNUMBER($T31),$T31&lt;&gt;""),IF(INDEX(LubesCalc!$Z$3:$Z$122,$T31)="","—",INDEX(LubesCalc!$Z$3:$Z$122,$T31)),"")</f>
        <v/>
      </c>
      <c r="I31" s="20">
        <f>IF(AND(ISNUMBER($T31),$T31&lt;&gt;""),IF(INDEX(LubesCalc!$AA$3:$AA$122,$T31)="","—",INDEX(LubesCalc!$AA$3:$AA$122,$T31)),"")</f>
        <v/>
      </c>
      <c r="J31" s="20">
        <f>IF(AND(ISNUMBER($T31),$T31&lt;&gt;""),IF(INDEX(LubesCalc!$AB$3:$AB$122,$T31)="","—",INDEX(LubesCalc!$AB$3:$AB$122,$T31)),"")</f>
        <v/>
      </c>
      <c r="K31" s="20">
        <f>IF(AND(ISNUMBER($T31),$T31&lt;&gt;""),IF(INDEX(LubesCalc!$AC$3:$AC$122,$T31)="","—",INDEX(LubesCalc!$AC$3:$AC$122,$T31)),"")</f>
        <v/>
      </c>
      <c r="L31" s="20">
        <f>IF(AND(ISNUMBER($T31),$T31&lt;&gt;""),IF(INDEX(LubesCalc!$AD$3:$AD$122,$T31)="","—",INDEX(LubesCalc!$AD$3:$AD$122,$T31)),"")</f>
        <v/>
      </c>
      <c r="M31" s="20">
        <f>IF(AND(ISNUMBER($T31),$T31&lt;&gt;""),IF(INDEX(LubesCalc!$AE$3:$AE$122,$T31)="","—",INDEX(LubesCalc!$AE$3:$AE$122,$T31)),"")</f>
        <v/>
      </c>
      <c r="N31" s="20">
        <f>IF(AND(ISNUMBER($T31),$T31&lt;&gt;""),IF(INDEX(LubesCalc!$AF$3:$AF$122,$T31)="","—",INDEX(LubesCalc!$AF$3:$AF$122,$T31)),"")</f>
        <v/>
      </c>
      <c r="O31" s="20">
        <f>IF(AND(ISNUMBER($T31),$T31&lt;&gt;""),IF(INDEX(LubesCalc!$AG$3:$AG$122,$T31)="","—",INDEX(LubesCalc!$AG$3:$AG$122,$T31)),"")</f>
        <v/>
      </c>
      <c r="P31" s="21">
        <f>IF(AND(ISNUMBER($T31),$T31&lt;&gt;""),IF(INDEX(LubesCalc!$AJ$3:$AJ$122,$T31)="","—",INDEX(LubesCalc!$AJ$3:$AJ$122,$T31)),"")</f>
        <v/>
      </c>
      <c r="Q31" s="21">
        <f>IF(AND(ISNUMBER($T31),$T31&lt;&gt;""),IF(INDEX(LubesCalc!$AK$3:$AK$122,$T31)="","—",INDEX(LubesCalc!$AK$3:$AK$122,$T31)),"")</f>
        <v/>
      </c>
      <c r="R31" s="20">
        <f>IF(AND(ISNUMBER($T31),$T31&lt;&gt;""),IF(INDEX(LubesCalc!$AL$3:$AL$122,$T31)="","—",INDEX(LubesCalc!$AL$3:$AL$122,$T31)),"")</f>
        <v/>
      </c>
      <c r="T31">
        <f>IFERROR(MATCH(27,LubesCalc!$AN$3:$AN$122,0),"")</f>
        <v/>
      </c>
    </row>
    <row r="32">
      <c r="A32" s="14">
        <f>IF(AND(ISNUMBER($T32),$T32&lt;&gt;""),INDEX(LubesCalc!$S$3:$S$122,$T32),"")</f>
        <v/>
      </c>
      <c r="B32" s="15">
        <f>IF(AND(ISNUMBER($T32),$T32&lt;&gt;""),IF(INDEX(LubesCalc!$T$3:$T$122,$T32)="","—",INDEX(LubesCalc!$T$3:$T$122,$T32)),"")</f>
        <v/>
      </c>
      <c r="C32" s="15">
        <f>IF(AND(ISNUMBER($T32),$T32&lt;&gt;""),IF(INDEX(LubesCalc!$U$3:$U$122,$T32)="","—",INDEX(LubesCalc!$U$3:$U$122,$T32)),"")</f>
        <v/>
      </c>
      <c r="D32" s="15">
        <f>IF(AND(ISNUMBER($T32),$T32&lt;&gt;""),IF(INDEX(LubesCalc!$V$3:$V$122,$T32)="","—",INDEX(LubesCalc!$V$3:$V$122,$T32)),"")</f>
        <v/>
      </c>
      <c r="E32" s="15">
        <f>IF(AND(ISNUMBER($T32),$T32&lt;&gt;""),IF(INDEX(LubesCalc!$W$3:$W$122,$T32)="","—",INDEX(LubesCalc!$W$3:$W$122,$T32)),"")</f>
        <v/>
      </c>
      <c r="F32" s="15">
        <f>IF(AND(ISNUMBER($T32),$T32&lt;&gt;""),IF(INDEX(LubesCalc!$X$3:$X$122,$T32)="","—",INDEX(LubesCalc!$X$3:$X$122,$T32)),"")</f>
        <v/>
      </c>
      <c r="G32" s="15">
        <f>IF(AND(ISNUMBER($T32),$T32&lt;&gt;""),IF(INDEX(LubesCalc!$Y$3:$Y$122,$T32)="","—",INDEX(LubesCalc!$Y$3:$Y$122,$T32)),"")</f>
        <v/>
      </c>
      <c r="H32" s="15">
        <f>IF(AND(ISNUMBER($T32),$T32&lt;&gt;""),IF(INDEX(LubesCalc!$Z$3:$Z$122,$T32)="","—",INDEX(LubesCalc!$Z$3:$Z$122,$T32)),"")</f>
        <v/>
      </c>
      <c r="I32" s="15">
        <f>IF(AND(ISNUMBER($T32),$T32&lt;&gt;""),IF(INDEX(LubesCalc!$AA$3:$AA$122,$T32)="","—",INDEX(LubesCalc!$AA$3:$AA$122,$T32)),"")</f>
        <v/>
      </c>
      <c r="J32" s="15">
        <f>IF(AND(ISNUMBER($T32),$T32&lt;&gt;""),IF(INDEX(LubesCalc!$AB$3:$AB$122,$T32)="","—",INDEX(LubesCalc!$AB$3:$AB$122,$T32)),"")</f>
        <v/>
      </c>
      <c r="K32" s="15">
        <f>IF(AND(ISNUMBER($T32),$T32&lt;&gt;""),IF(INDEX(LubesCalc!$AC$3:$AC$122,$T32)="","—",INDEX(LubesCalc!$AC$3:$AC$122,$T32)),"")</f>
        <v/>
      </c>
      <c r="L32" s="15">
        <f>IF(AND(ISNUMBER($T32),$T32&lt;&gt;""),IF(INDEX(LubesCalc!$AD$3:$AD$122,$T32)="","—",INDEX(LubesCalc!$AD$3:$AD$122,$T32)),"")</f>
        <v/>
      </c>
      <c r="M32" s="15">
        <f>IF(AND(ISNUMBER($T32),$T32&lt;&gt;""),IF(INDEX(LubesCalc!$AE$3:$AE$122,$T32)="","—",INDEX(LubesCalc!$AE$3:$AE$122,$T32)),"")</f>
        <v/>
      </c>
      <c r="N32" s="15">
        <f>IF(AND(ISNUMBER($T32),$T32&lt;&gt;""),IF(INDEX(LubesCalc!$AF$3:$AF$122,$T32)="","—",INDEX(LubesCalc!$AF$3:$AF$122,$T32)),"")</f>
        <v/>
      </c>
      <c r="O32" s="15">
        <f>IF(AND(ISNUMBER($T32),$T32&lt;&gt;""),IF(INDEX(LubesCalc!$AG$3:$AG$122,$T32)="","—",INDEX(LubesCalc!$AG$3:$AG$122,$T32)),"")</f>
        <v/>
      </c>
      <c r="P32" s="16">
        <f>IF(AND(ISNUMBER($T32),$T32&lt;&gt;""),IF(INDEX(LubesCalc!$AJ$3:$AJ$122,$T32)="","—",INDEX(LubesCalc!$AJ$3:$AJ$122,$T32)),"")</f>
        <v/>
      </c>
      <c r="Q32" s="16">
        <f>IF(AND(ISNUMBER($T32),$T32&lt;&gt;""),IF(INDEX(LubesCalc!$AK$3:$AK$122,$T32)="","—",INDEX(LubesCalc!$AK$3:$AK$122,$T32)),"")</f>
        <v/>
      </c>
      <c r="R32" s="15">
        <f>IF(AND(ISNUMBER($T32),$T32&lt;&gt;""),IF(INDEX(LubesCalc!$AL$3:$AL$122,$T32)="","—",INDEX(LubesCalc!$AL$3:$AL$122,$T32)),"")</f>
        <v/>
      </c>
      <c r="T32">
        <f>IFERROR(MATCH(28,LubesCalc!$AN$3:$AN$122,0),"")</f>
        <v/>
      </c>
    </row>
    <row r="33">
      <c r="A33" s="19">
        <f>IF(AND(ISNUMBER($T33),$T33&lt;&gt;""),INDEX(LubesCalc!$S$3:$S$122,$T33),"")</f>
        <v/>
      </c>
      <c r="B33" s="20">
        <f>IF(AND(ISNUMBER($T33),$T33&lt;&gt;""),IF(INDEX(LubesCalc!$T$3:$T$122,$T33)="","—",INDEX(LubesCalc!$T$3:$T$122,$T33)),"")</f>
        <v/>
      </c>
      <c r="C33" s="20">
        <f>IF(AND(ISNUMBER($T33),$T33&lt;&gt;""),IF(INDEX(LubesCalc!$U$3:$U$122,$T33)="","—",INDEX(LubesCalc!$U$3:$U$122,$T33)),"")</f>
        <v/>
      </c>
      <c r="D33" s="20">
        <f>IF(AND(ISNUMBER($T33),$T33&lt;&gt;""),IF(INDEX(LubesCalc!$V$3:$V$122,$T33)="","—",INDEX(LubesCalc!$V$3:$V$122,$T33)),"")</f>
        <v/>
      </c>
      <c r="E33" s="20">
        <f>IF(AND(ISNUMBER($T33),$T33&lt;&gt;""),IF(INDEX(LubesCalc!$W$3:$W$122,$T33)="","—",INDEX(LubesCalc!$W$3:$W$122,$T33)),"")</f>
        <v/>
      </c>
      <c r="F33" s="20">
        <f>IF(AND(ISNUMBER($T33),$T33&lt;&gt;""),IF(INDEX(LubesCalc!$X$3:$X$122,$T33)="","—",INDEX(LubesCalc!$X$3:$X$122,$T33)),"")</f>
        <v/>
      </c>
      <c r="G33" s="20">
        <f>IF(AND(ISNUMBER($T33),$T33&lt;&gt;""),IF(INDEX(LubesCalc!$Y$3:$Y$122,$T33)="","—",INDEX(LubesCalc!$Y$3:$Y$122,$T33)),"")</f>
        <v/>
      </c>
      <c r="H33" s="20">
        <f>IF(AND(ISNUMBER($T33),$T33&lt;&gt;""),IF(INDEX(LubesCalc!$Z$3:$Z$122,$T33)="","—",INDEX(LubesCalc!$Z$3:$Z$122,$T33)),"")</f>
        <v/>
      </c>
      <c r="I33" s="20">
        <f>IF(AND(ISNUMBER($T33),$T33&lt;&gt;""),IF(INDEX(LubesCalc!$AA$3:$AA$122,$T33)="","—",INDEX(LubesCalc!$AA$3:$AA$122,$T33)),"")</f>
        <v/>
      </c>
      <c r="J33" s="20">
        <f>IF(AND(ISNUMBER($T33),$T33&lt;&gt;""),IF(INDEX(LubesCalc!$AB$3:$AB$122,$T33)="","—",INDEX(LubesCalc!$AB$3:$AB$122,$T33)),"")</f>
        <v/>
      </c>
      <c r="K33" s="20">
        <f>IF(AND(ISNUMBER($T33),$T33&lt;&gt;""),IF(INDEX(LubesCalc!$AC$3:$AC$122,$T33)="","—",INDEX(LubesCalc!$AC$3:$AC$122,$T33)),"")</f>
        <v/>
      </c>
      <c r="L33" s="20">
        <f>IF(AND(ISNUMBER($T33),$T33&lt;&gt;""),IF(INDEX(LubesCalc!$AD$3:$AD$122,$T33)="","—",INDEX(LubesCalc!$AD$3:$AD$122,$T33)),"")</f>
        <v/>
      </c>
      <c r="M33" s="20">
        <f>IF(AND(ISNUMBER($T33),$T33&lt;&gt;""),IF(INDEX(LubesCalc!$AE$3:$AE$122,$T33)="","—",INDEX(LubesCalc!$AE$3:$AE$122,$T33)),"")</f>
        <v/>
      </c>
      <c r="N33" s="20">
        <f>IF(AND(ISNUMBER($T33),$T33&lt;&gt;""),IF(INDEX(LubesCalc!$AF$3:$AF$122,$T33)="","—",INDEX(LubesCalc!$AF$3:$AF$122,$T33)),"")</f>
        <v/>
      </c>
      <c r="O33" s="20">
        <f>IF(AND(ISNUMBER($T33),$T33&lt;&gt;""),IF(INDEX(LubesCalc!$AG$3:$AG$122,$T33)="","—",INDEX(LubesCalc!$AG$3:$AG$122,$T33)),"")</f>
        <v/>
      </c>
      <c r="P33" s="21">
        <f>IF(AND(ISNUMBER($T33),$T33&lt;&gt;""),IF(INDEX(LubesCalc!$AJ$3:$AJ$122,$T33)="","—",INDEX(LubesCalc!$AJ$3:$AJ$122,$T33)),"")</f>
        <v/>
      </c>
      <c r="Q33" s="21">
        <f>IF(AND(ISNUMBER($T33),$T33&lt;&gt;""),IF(INDEX(LubesCalc!$AK$3:$AK$122,$T33)="","—",INDEX(LubesCalc!$AK$3:$AK$122,$T33)),"")</f>
        <v/>
      </c>
      <c r="R33" s="20">
        <f>IF(AND(ISNUMBER($T33),$T33&lt;&gt;""),IF(INDEX(LubesCalc!$AL$3:$AL$122,$T33)="","—",INDEX(LubesCalc!$AL$3:$AL$122,$T33)),"")</f>
        <v/>
      </c>
      <c r="T33">
        <f>IFERROR(MATCH(29,LubesCalc!$AN$3:$AN$122,0),"")</f>
        <v/>
      </c>
    </row>
    <row r="34">
      <c r="A34" s="14">
        <f>IF(AND(ISNUMBER($T34),$T34&lt;&gt;""),INDEX(LubesCalc!$S$3:$S$122,$T34),"")</f>
        <v/>
      </c>
      <c r="B34" s="15">
        <f>IF(AND(ISNUMBER($T34),$T34&lt;&gt;""),IF(INDEX(LubesCalc!$T$3:$T$122,$T34)="","—",INDEX(LubesCalc!$T$3:$T$122,$T34)),"")</f>
        <v/>
      </c>
      <c r="C34" s="15">
        <f>IF(AND(ISNUMBER($T34),$T34&lt;&gt;""),IF(INDEX(LubesCalc!$U$3:$U$122,$T34)="","—",INDEX(LubesCalc!$U$3:$U$122,$T34)),"")</f>
        <v/>
      </c>
      <c r="D34" s="15">
        <f>IF(AND(ISNUMBER($T34),$T34&lt;&gt;""),IF(INDEX(LubesCalc!$V$3:$V$122,$T34)="","—",INDEX(LubesCalc!$V$3:$V$122,$T34)),"")</f>
        <v/>
      </c>
      <c r="E34" s="15">
        <f>IF(AND(ISNUMBER($T34),$T34&lt;&gt;""),IF(INDEX(LubesCalc!$W$3:$W$122,$T34)="","—",INDEX(LubesCalc!$W$3:$W$122,$T34)),"")</f>
        <v/>
      </c>
      <c r="F34" s="15">
        <f>IF(AND(ISNUMBER($T34),$T34&lt;&gt;""),IF(INDEX(LubesCalc!$X$3:$X$122,$T34)="","—",INDEX(LubesCalc!$X$3:$X$122,$T34)),"")</f>
        <v/>
      </c>
      <c r="G34" s="15">
        <f>IF(AND(ISNUMBER($T34),$T34&lt;&gt;""),IF(INDEX(LubesCalc!$Y$3:$Y$122,$T34)="","—",INDEX(LubesCalc!$Y$3:$Y$122,$T34)),"")</f>
        <v/>
      </c>
      <c r="H34" s="15">
        <f>IF(AND(ISNUMBER($T34),$T34&lt;&gt;""),IF(INDEX(LubesCalc!$Z$3:$Z$122,$T34)="","—",INDEX(LubesCalc!$Z$3:$Z$122,$T34)),"")</f>
        <v/>
      </c>
      <c r="I34" s="15">
        <f>IF(AND(ISNUMBER($T34),$T34&lt;&gt;""),IF(INDEX(LubesCalc!$AA$3:$AA$122,$T34)="","—",INDEX(LubesCalc!$AA$3:$AA$122,$T34)),"")</f>
        <v/>
      </c>
      <c r="J34" s="15">
        <f>IF(AND(ISNUMBER($T34),$T34&lt;&gt;""),IF(INDEX(LubesCalc!$AB$3:$AB$122,$T34)="","—",INDEX(LubesCalc!$AB$3:$AB$122,$T34)),"")</f>
        <v/>
      </c>
      <c r="K34" s="15">
        <f>IF(AND(ISNUMBER($T34),$T34&lt;&gt;""),IF(INDEX(LubesCalc!$AC$3:$AC$122,$T34)="","—",INDEX(LubesCalc!$AC$3:$AC$122,$T34)),"")</f>
        <v/>
      </c>
      <c r="L34" s="15">
        <f>IF(AND(ISNUMBER($T34),$T34&lt;&gt;""),IF(INDEX(LubesCalc!$AD$3:$AD$122,$T34)="","—",INDEX(LubesCalc!$AD$3:$AD$122,$T34)),"")</f>
        <v/>
      </c>
      <c r="M34" s="15">
        <f>IF(AND(ISNUMBER($T34),$T34&lt;&gt;""),IF(INDEX(LubesCalc!$AE$3:$AE$122,$T34)="","—",INDEX(LubesCalc!$AE$3:$AE$122,$T34)),"")</f>
        <v/>
      </c>
      <c r="N34" s="15">
        <f>IF(AND(ISNUMBER($T34),$T34&lt;&gt;""),IF(INDEX(LubesCalc!$AF$3:$AF$122,$T34)="","—",INDEX(LubesCalc!$AF$3:$AF$122,$T34)),"")</f>
        <v/>
      </c>
      <c r="O34" s="15">
        <f>IF(AND(ISNUMBER($T34),$T34&lt;&gt;""),IF(INDEX(LubesCalc!$AG$3:$AG$122,$T34)="","—",INDEX(LubesCalc!$AG$3:$AG$122,$T34)),"")</f>
        <v/>
      </c>
      <c r="P34" s="16">
        <f>IF(AND(ISNUMBER($T34),$T34&lt;&gt;""),IF(INDEX(LubesCalc!$AJ$3:$AJ$122,$T34)="","—",INDEX(LubesCalc!$AJ$3:$AJ$122,$T34)),"")</f>
        <v/>
      </c>
      <c r="Q34" s="16">
        <f>IF(AND(ISNUMBER($T34),$T34&lt;&gt;""),IF(INDEX(LubesCalc!$AK$3:$AK$122,$T34)="","—",INDEX(LubesCalc!$AK$3:$AK$122,$T34)),"")</f>
        <v/>
      </c>
      <c r="R34" s="15">
        <f>IF(AND(ISNUMBER($T34),$T34&lt;&gt;""),IF(INDEX(LubesCalc!$AL$3:$AL$122,$T34)="","—",INDEX(LubesCalc!$AL$3:$AL$122,$T34)),"")</f>
        <v/>
      </c>
      <c r="T34">
        <f>IFERROR(MATCH(30,LubesCalc!$AN$3:$AN$122,0),"")</f>
        <v/>
      </c>
    </row>
    <row r="35">
      <c r="A35" s="19">
        <f>IF(AND(ISNUMBER($T35),$T35&lt;&gt;""),INDEX(LubesCalc!$S$3:$S$122,$T35),"")</f>
        <v/>
      </c>
      <c r="B35" s="20">
        <f>IF(AND(ISNUMBER($T35),$T35&lt;&gt;""),IF(INDEX(LubesCalc!$T$3:$T$122,$T35)="","—",INDEX(LubesCalc!$T$3:$T$122,$T35)),"")</f>
        <v/>
      </c>
      <c r="C35" s="20">
        <f>IF(AND(ISNUMBER($T35),$T35&lt;&gt;""),IF(INDEX(LubesCalc!$U$3:$U$122,$T35)="","—",INDEX(LubesCalc!$U$3:$U$122,$T35)),"")</f>
        <v/>
      </c>
      <c r="D35" s="20">
        <f>IF(AND(ISNUMBER($T35),$T35&lt;&gt;""),IF(INDEX(LubesCalc!$V$3:$V$122,$T35)="","—",INDEX(LubesCalc!$V$3:$V$122,$T35)),"")</f>
        <v/>
      </c>
      <c r="E35" s="20">
        <f>IF(AND(ISNUMBER($T35),$T35&lt;&gt;""),IF(INDEX(LubesCalc!$W$3:$W$122,$T35)="","—",INDEX(LubesCalc!$W$3:$W$122,$T35)),"")</f>
        <v/>
      </c>
      <c r="F35" s="20">
        <f>IF(AND(ISNUMBER($T35),$T35&lt;&gt;""),IF(INDEX(LubesCalc!$X$3:$X$122,$T35)="","—",INDEX(LubesCalc!$X$3:$X$122,$T35)),"")</f>
        <v/>
      </c>
      <c r="G35" s="20">
        <f>IF(AND(ISNUMBER($T35),$T35&lt;&gt;""),IF(INDEX(LubesCalc!$Y$3:$Y$122,$T35)="","—",INDEX(LubesCalc!$Y$3:$Y$122,$T35)),"")</f>
        <v/>
      </c>
      <c r="H35" s="20">
        <f>IF(AND(ISNUMBER($T35),$T35&lt;&gt;""),IF(INDEX(LubesCalc!$Z$3:$Z$122,$T35)="","—",INDEX(LubesCalc!$Z$3:$Z$122,$T35)),"")</f>
        <v/>
      </c>
      <c r="I35" s="20">
        <f>IF(AND(ISNUMBER($T35),$T35&lt;&gt;""),IF(INDEX(LubesCalc!$AA$3:$AA$122,$T35)="","—",INDEX(LubesCalc!$AA$3:$AA$122,$T35)),"")</f>
        <v/>
      </c>
      <c r="J35" s="20">
        <f>IF(AND(ISNUMBER($T35),$T35&lt;&gt;""),IF(INDEX(LubesCalc!$AB$3:$AB$122,$T35)="","—",INDEX(LubesCalc!$AB$3:$AB$122,$T35)),"")</f>
        <v/>
      </c>
      <c r="K35" s="20">
        <f>IF(AND(ISNUMBER($T35),$T35&lt;&gt;""),IF(INDEX(LubesCalc!$AC$3:$AC$122,$T35)="","—",INDEX(LubesCalc!$AC$3:$AC$122,$T35)),"")</f>
        <v/>
      </c>
      <c r="L35" s="20">
        <f>IF(AND(ISNUMBER($T35),$T35&lt;&gt;""),IF(INDEX(LubesCalc!$AD$3:$AD$122,$T35)="","—",INDEX(LubesCalc!$AD$3:$AD$122,$T35)),"")</f>
        <v/>
      </c>
      <c r="M35" s="20">
        <f>IF(AND(ISNUMBER($T35),$T35&lt;&gt;""),IF(INDEX(LubesCalc!$AE$3:$AE$122,$T35)="","—",INDEX(LubesCalc!$AE$3:$AE$122,$T35)),"")</f>
        <v/>
      </c>
      <c r="N35" s="20">
        <f>IF(AND(ISNUMBER($T35),$T35&lt;&gt;""),IF(INDEX(LubesCalc!$AF$3:$AF$122,$T35)="","—",INDEX(LubesCalc!$AF$3:$AF$122,$T35)),"")</f>
        <v/>
      </c>
      <c r="O35" s="20">
        <f>IF(AND(ISNUMBER($T35),$T35&lt;&gt;""),IF(INDEX(LubesCalc!$AG$3:$AG$122,$T35)="","—",INDEX(LubesCalc!$AG$3:$AG$122,$T35)),"")</f>
        <v/>
      </c>
      <c r="P35" s="21">
        <f>IF(AND(ISNUMBER($T35),$T35&lt;&gt;""),IF(INDEX(LubesCalc!$AJ$3:$AJ$122,$T35)="","—",INDEX(LubesCalc!$AJ$3:$AJ$122,$T35)),"")</f>
        <v/>
      </c>
      <c r="Q35" s="21">
        <f>IF(AND(ISNUMBER($T35),$T35&lt;&gt;""),IF(INDEX(LubesCalc!$AK$3:$AK$122,$T35)="","—",INDEX(LubesCalc!$AK$3:$AK$122,$T35)),"")</f>
        <v/>
      </c>
      <c r="R35" s="20">
        <f>IF(AND(ISNUMBER($T35),$T35&lt;&gt;""),IF(INDEX(LubesCalc!$AL$3:$AL$122,$T35)="","—",INDEX(LubesCalc!$AL$3:$AL$122,$T35)),"")</f>
        <v/>
      </c>
      <c r="T35">
        <f>IFERROR(MATCH(31,LubesCalc!$AN$3:$AN$122,0),"")</f>
        <v/>
      </c>
    </row>
    <row r="36">
      <c r="A36" s="14">
        <f>IF(AND(ISNUMBER($T36),$T36&lt;&gt;""),INDEX(LubesCalc!$S$3:$S$122,$T36),"")</f>
        <v/>
      </c>
      <c r="B36" s="15">
        <f>IF(AND(ISNUMBER($T36),$T36&lt;&gt;""),IF(INDEX(LubesCalc!$T$3:$T$122,$T36)="","—",INDEX(LubesCalc!$T$3:$T$122,$T36)),"")</f>
        <v/>
      </c>
      <c r="C36" s="15">
        <f>IF(AND(ISNUMBER($T36),$T36&lt;&gt;""),IF(INDEX(LubesCalc!$U$3:$U$122,$T36)="","—",INDEX(LubesCalc!$U$3:$U$122,$T36)),"")</f>
        <v/>
      </c>
      <c r="D36" s="15">
        <f>IF(AND(ISNUMBER($T36),$T36&lt;&gt;""),IF(INDEX(LubesCalc!$V$3:$V$122,$T36)="","—",INDEX(LubesCalc!$V$3:$V$122,$T36)),"")</f>
        <v/>
      </c>
      <c r="E36" s="15">
        <f>IF(AND(ISNUMBER($T36),$T36&lt;&gt;""),IF(INDEX(LubesCalc!$W$3:$W$122,$T36)="","—",INDEX(LubesCalc!$W$3:$W$122,$T36)),"")</f>
        <v/>
      </c>
      <c r="F36" s="15">
        <f>IF(AND(ISNUMBER($T36),$T36&lt;&gt;""),IF(INDEX(LubesCalc!$X$3:$X$122,$T36)="","—",INDEX(LubesCalc!$X$3:$X$122,$T36)),"")</f>
        <v/>
      </c>
      <c r="G36" s="15">
        <f>IF(AND(ISNUMBER($T36),$T36&lt;&gt;""),IF(INDEX(LubesCalc!$Y$3:$Y$122,$T36)="","—",INDEX(LubesCalc!$Y$3:$Y$122,$T36)),"")</f>
        <v/>
      </c>
      <c r="H36" s="15">
        <f>IF(AND(ISNUMBER($T36),$T36&lt;&gt;""),IF(INDEX(LubesCalc!$Z$3:$Z$122,$T36)="","—",INDEX(LubesCalc!$Z$3:$Z$122,$T36)),"")</f>
        <v/>
      </c>
      <c r="I36" s="15">
        <f>IF(AND(ISNUMBER($T36),$T36&lt;&gt;""),IF(INDEX(LubesCalc!$AA$3:$AA$122,$T36)="","—",INDEX(LubesCalc!$AA$3:$AA$122,$T36)),"")</f>
        <v/>
      </c>
      <c r="J36" s="15">
        <f>IF(AND(ISNUMBER($T36),$T36&lt;&gt;""),IF(INDEX(LubesCalc!$AB$3:$AB$122,$T36)="","—",INDEX(LubesCalc!$AB$3:$AB$122,$T36)),"")</f>
        <v/>
      </c>
      <c r="K36" s="15">
        <f>IF(AND(ISNUMBER($T36),$T36&lt;&gt;""),IF(INDEX(LubesCalc!$AC$3:$AC$122,$T36)="","—",INDEX(LubesCalc!$AC$3:$AC$122,$T36)),"")</f>
        <v/>
      </c>
      <c r="L36" s="15">
        <f>IF(AND(ISNUMBER($T36),$T36&lt;&gt;""),IF(INDEX(LubesCalc!$AD$3:$AD$122,$T36)="","—",INDEX(LubesCalc!$AD$3:$AD$122,$T36)),"")</f>
        <v/>
      </c>
      <c r="M36" s="15">
        <f>IF(AND(ISNUMBER($T36),$T36&lt;&gt;""),IF(INDEX(LubesCalc!$AE$3:$AE$122,$T36)="","—",INDEX(LubesCalc!$AE$3:$AE$122,$T36)),"")</f>
        <v/>
      </c>
      <c r="N36" s="15">
        <f>IF(AND(ISNUMBER($T36),$T36&lt;&gt;""),IF(INDEX(LubesCalc!$AF$3:$AF$122,$T36)="","—",INDEX(LubesCalc!$AF$3:$AF$122,$T36)),"")</f>
        <v/>
      </c>
      <c r="O36" s="15">
        <f>IF(AND(ISNUMBER($T36),$T36&lt;&gt;""),IF(INDEX(LubesCalc!$AG$3:$AG$122,$T36)="","—",INDEX(LubesCalc!$AG$3:$AG$122,$T36)),"")</f>
        <v/>
      </c>
      <c r="P36" s="16">
        <f>IF(AND(ISNUMBER($T36),$T36&lt;&gt;""),IF(INDEX(LubesCalc!$AJ$3:$AJ$122,$T36)="","—",INDEX(LubesCalc!$AJ$3:$AJ$122,$T36)),"")</f>
        <v/>
      </c>
      <c r="Q36" s="16">
        <f>IF(AND(ISNUMBER($T36),$T36&lt;&gt;""),IF(INDEX(LubesCalc!$AK$3:$AK$122,$T36)="","—",INDEX(LubesCalc!$AK$3:$AK$122,$T36)),"")</f>
        <v/>
      </c>
      <c r="R36" s="15">
        <f>IF(AND(ISNUMBER($T36),$T36&lt;&gt;""),IF(INDEX(LubesCalc!$AL$3:$AL$122,$T36)="","—",INDEX(LubesCalc!$AL$3:$AL$122,$T36)),"")</f>
        <v/>
      </c>
      <c r="T36">
        <f>IFERROR(MATCH(32,LubesCalc!$AN$3:$AN$122,0),"")</f>
        <v/>
      </c>
    </row>
    <row r="37">
      <c r="A37" s="19">
        <f>IF(AND(ISNUMBER($T37),$T37&lt;&gt;""),INDEX(LubesCalc!$S$3:$S$122,$T37),"")</f>
        <v/>
      </c>
      <c r="B37" s="20">
        <f>IF(AND(ISNUMBER($T37),$T37&lt;&gt;""),IF(INDEX(LubesCalc!$T$3:$T$122,$T37)="","—",INDEX(LubesCalc!$T$3:$T$122,$T37)),"")</f>
        <v/>
      </c>
      <c r="C37" s="20">
        <f>IF(AND(ISNUMBER($T37),$T37&lt;&gt;""),IF(INDEX(LubesCalc!$U$3:$U$122,$T37)="","—",INDEX(LubesCalc!$U$3:$U$122,$T37)),"")</f>
        <v/>
      </c>
      <c r="D37" s="20">
        <f>IF(AND(ISNUMBER($T37),$T37&lt;&gt;""),IF(INDEX(LubesCalc!$V$3:$V$122,$T37)="","—",INDEX(LubesCalc!$V$3:$V$122,$T37)),"")</f>
        <v/>
      </c>
      <c r="E37" s="20">
        <f>IF(AND(ISNUMBER($T37),$T37&lt;&gt;""),IF(INDEX(LubesCalc!$W$3:$W$122,$T37)="","—",INDEX(LubesCalc!$W$3:$W$122,$T37)),"")</f>
        <v/>
      </c>
      <c r="F37" s="20">
        <f>IF(AND(ISNUMBER($T37),$T37&lt;&gt;""),IF(INDEX(LubesCalc!$X$3:$X$122,$T37)="","—",INDEX(LubesCalc!$X$3:$X$122,$T37)),"")</f>
        <v/>
      </c>
      <c r="G37" s="20">
        <f>IF(AND(ISNUMBER($T37),$T37&lt;&gt;""),IF(INDEX(LubesCalc!$Y$3:$Y$122,$T37)="","—",INDEX(LubesCalc!$Y$3:$Y$122,$T37)),"")</f>
        <v/>
      </c>
      <c r="H37" s="20">
        <f>IF(AND(ISNUMBER($T37),$T37&lt;&gt;""),IF(INDEX(LubesCalc!$Z$3:$Z$122,$T37)="","—",INDEX(LubesCalc!$Z$3:$Z$122,$T37)),"")</f>
        <v/>
      </c>
      <c r="I37" s="20">
        <f>IF(AND(ISNUMBER($T37),$T37&lt;&gt;""),IF(INDEX(LubesCalc!$AA$3:$AA$122,$T37)="","—",INDEX(LubesCalc!$AA$3:$AA$122,$T37)),"")</f>
        <v/>
      </c>
      <c r="J37" s="20">
        <f>IF(AND(ISNUMBER($T37),$T37&lt;&gt;""),IF(INDEX(LubesCalc!$AB$3:$AB$122,$T37)="","—",INDEX(LubesCalc!$AB$3:$AB$122,$T37)),"")</f>
        <v/>
      </c>
      <c r="K37" s="20">
        <f>IF(AND(ISNUMBER($T37),$T37&lt;&gt;""),IF(INDEX(LubesCalc!$AC$3:$AC$122,$T37)="","—",INDEX(LubesCalc!$AC$3:$AC$122,$T37)),"")</f>
        <v/>
      </c>
      <c r="L37" s="20">
        <f>IF(AND(ISNUMBER($T37),$T37&lt;&gt;""),IF(INDEX(LubesCalc!$AD$3:$AD$122,$T37)="","—",INDEX(LubesCalc!$AD$3:$AD$122,$T37)),"")</f>
        <v/>
      </c>
      <c r="M37" s="20">
        <f>IF(AND(ISNUMBER($T37),$T37&lt;&gt;""),IF(INDEX(LubesCalc!$AE$3:$AE$122,$T37)="","—",INDEX(LubesCalc!$AE$3:$AE$122,$T37)),"")</f>
        <v/>
      </c>
      <c r="N37" s="20">
        <f>IF(AND(ISNUMBER($T37),$T37&lt;&gt;""),IF(INDEX(LubesCalc!$AF$3:$AF$122,$T37)="","—",INDEX(LubesCalc!$AF$3:$AF$122,$T37)),"")</f>
        <v/>
      </c>
      <c r="O37" s="20">
        <f>IF(AND(ISNUMBER($T37),$T37&lt;&gt;""),IF(INDEX(LubesCalc!$AG$3:$AG$122,$T37)="","—",INDEX(LubesCalc!$AG$3:$AG$122,$T37)),"")</f>
        <v/>
      </c>
      <c r="P37" s="21">
        <f>IF(AND(ISNUMBER($T37),$T37&lt;&gt;""),IF(INDEX(LubesCalc!$AJ$3:$AJ$122,$T37)="","—",INDEX(LubesCalc!$AJ$3:$AJ$122,$T37)),"")</f>
        <v/>
      </c>
      <c r="Q37" s="21">
        <f>IF(AND(ISNUMBER($T37),$T37&lt;&gt;""),IF(INDEX(LubesCalc!$AK$3:$AK$122,$T37)="","—",INDEX(LubesCalc!$AK$3:$AK$122,$T37)),"")</f>
        <v/>
      </c>
      <c r="R37" s="20">
        <f>IF(AND(ISNUMBER($T37),$T37&lt;&gt;""),IF(INDEX(LubesCalc!$AL$3:$AL$122,$T37)="","—",INDEX(LubesCalc!$AL$3:$AL$122,$T37)),"")</f>
        <v/>
      </c>
      <c r="T37">
        <f>IFERROR(MATCH(33,LubesCalc!$AN$3:$AN$122,0),"")</f>
        <v/>
      </c>
    </row>
    <row r="38">
      <c r="A38" s="14">
        <f>IF(AND(ISNUMBER($T38),$T38&lt;&gt;""),INDEX(LubesCalc!$S$3:$S$122,$T38),"")</f>
        <v/>
      </c>
      <c r="B38" s="15">
        <f>IF(AND(ISNUMBER($T38),$T38&lt;&gt;""),IF(INDEX(LubesCalc!$T$3:$T$122,$T38)="","—",INDEX(LubesCalc!$T$3:$T$122,$T38)),"")</f>
        <v/>
      </c>
      <c r="C38" s="15">
        <f>IF(AND(ISNUMBER($T38),$T38&lt;&gt;""),IF(INDEX(LubesCalc!$U$3:$U$122,$T38)="","—",INDEX(LubesCalc!$U$3:$U$122,$T38)),"")</f>
        <v/>
      </c>
      <c r="D38" s="15">
        <f>IF(AND(ISNUMBER($T38),$T38&lt;&gt;""),IF(INDEX(LubesCalc!$V$3:$V$122,$T38)="","—",INDEX(LubesCalc!$V$3:$V$122,$T38)),"")</f>
        <v/>
      </c>
      <c r="E38" s="15">
        <f>IF(AND(ISNUMBER($T38),$T38&lt;&gt;""),IF(INDEX(LubesCalc!$W$3:$W$122,$T38)="","—",INDEX(LubesCalc!$W$3:$W$122,$T38)),"")</f>
        <v/>
      </c>
      <c r="F38" s="15">
        <f>IF(AND(ISNUMBER($T38),$T38&lt;&gt;""),IF(INDEX(LubesCalc!$X$3:$X$122,$T38)="","—",INDEX(LubesCalc!$X$3:$X$122,$T38)),"")</f>
        <v/>
      </c>
      <c r="G38" s="15">
        <f>IF(AND(ISNUMBER($T38),$T38&lt;&gt;""),IF(INDEX(LubesCalc!$Y$3:$Y$122,$T38)="","—",INDEX(LubesCalc!$Y$3:$Y$122,$T38)),"")</f>
        <v/>
      </c>
      <c r="H38" s="15">
        <f>IF(AND(ISNUMBER($T38),$T38&lt;&gt;""),IF(INDEX(LubesCalc!$Z$3:$Z$122,$T38)="","—",INDEX(LubesCalc!$Z$3:$Z$122,$T38)),"")</f>
        <v/>
      </c>
      <c r="I38" s="15">
        <f>IF(AND(ISNUMBER($T38),$T38&lt;&gt;""),IF(INDEX(LubesCalc!$AA$3:$AA$122,$T38)="","—",INDEX(LubesCalc!$AA$3:$AA$122,$T38)),"")</f>
        <v/>
      </c>
      <c r="J38" s="15">
        <f>IF(AND(ISNUMBER($T38),$T38&lt;&gt;""),IF(INDEX(LubesCalc!$AB$3:$AB$122,$T38)="","—",INDEX(LubesCalc!$AB$3:$AB$122,$T38)),"")</f>
        <v/>
      </c>
      <c r="K38" s="15">
        <f>IF(AND(ISNUMBER($T38),$T38&lt;&gt;""),IF(INDEX(LubesCalc!$AC$3:$AC$122,$T38)="","—",INDEX(LubesCalc!$AC$3:$AC$122,$T38)),"")</f>
        <v/>
      </c>
      <c r="L38" s="15">
        <f>IF(AND(ISNUMBER($T38),$T38&lt;&gt;""),IF(INDEX(LubesCalc!$AD$3:$AD$122,$T38)="","—",INDEX(LubesCalc!$AD$3:$AD$122,$T38)),"")</f>
        <v/>
      </c>
      <c r="M38" s="15">
        <f>IF(AND(ISNUMBER($T38),$T38&lt;&gt;""),IF(INDEX(LubesCalc!$AE$3:$AE$122,$T38)="","—",INDEX(LubesCalc!$AE$3:$AE$122,$T38)),"")</f>
        <v/>
      </c>
      <c r="N38" s="15">
        <f>IF(AND(ISNUMBER($T38),$T38&lt;&gt;""),IF(INDEX(LubesCalc!$AF$3:$AF$122,$T38)="","—",INDEX(LubesCalc!$AF$3:$AF$122,$T38)),"")</f>
        <v/>
      </c>
      <c r="O38" s="15">
        <f>IF(AND(ISNUMBER($T38),$T38&lt;&gt;""),IF(INDEX(LubesCalc!$AG$3:$AG$122,$T38)="","—",INDEX(LubesCalc!$AG$3:$AG$122,$T38)),"")</f>
        <v/>
      </c>
      <c r="P38" s="16">
        <f>IF(AND(ISNUMBER($T38),$T38&lt;&gt;""),IF(INDEX(LubesCalc!$AJ$3:$AJ$122,$T38)="","—",INDEX(LubesCalc!$AJ$3:$AJ$122,$T38)),"")</f>
        <v/>
      </c>
      <c r="Q38" s="16">
        <f>IF(AND(ISNUMBER($T38),$T38&lt;&gt;""),IF(INDEX(LubesCalc!$AK$3:$AK$122,$T38)="","—",INDEX(LubesCalc!$AK$3:$AK$122,$T38)),"")</f>
        <v/>
      </c>
      <c r="R38" s="15">
        <f>IF(AND(ISNUMBER($T38),$T38&lt;&gt;""),IF(INDEX(LubesCalc!$AL$3:$AL$122,$T38)="","—",INDEX(LubesCalc!$AL$3:$AL$122,$T38)),"")</f>
        <v/>
      </c>
      <c r="T38">
        <f>IFERROR(MATCH(34,LubesCalc!$AN$3:$AN$122,0),"")</f>
        <v/>
      </c>
    </row>
    <row r="39">
      <c r="A39" s="19">
        <f>IF(AND(ISNUMBER($T39),$T39&lt;&gt;""),INDEX(LubesCalc!$S$3:$S$122,$T39),"")</f>
        <v/>
      </c>
      <c r="B39" s="20">
        <f>IF(AND(ISNUMBER($T39),$T39&lt;&gt;""),IF(INDEX(LubesCalc!$T$3:$T$122,$T39)="","—",INDEX(LubesCalc!$T$3:$T$122,$T39)),"")</f>
        <v/>
      </c>
      <c r="C39" s="20">
        <f>IF(AND(ISNUMBER($T39),$T39&lt;&gt;""),IF(INDEX(LubesCalc!$U$3:$U$122,$T39)="","—",INDEX(LubesCalc!$U$3:$U$122,$T39)),"")</f>
        <v/>
      </c>
      <c r="D39" s="20">
        <f>IF(AND(ISNUMBER($T39),$T39&lt;&gt;""),IF(INDEX(LubesCalc!$V$3:$V$122,$T39)="","—",INDEX(LubesCalc!$V$3:$V$122,$T39)),"")</f>
        <v/>
      </c>
      <c r="E39" s="20">
        <f>IF(AND(ISNUMBER($T39),$T39&lt;&gt;""),IF(INDEX(LubesCalc!$W$3:$W$122,$T39)="","—",INDEX(LubesCalc!$W$3:$W$122,$T39)),"")</f>
        <v/>
      </c>
      <c r="F39" s="20">
        <f>IF(AND(ISNUMBER($T39),$T39&lt;&gt;""),IF(INDEX(LubesCalc!$X$3:$X$122,$T39)="","—",INDEX(LubesCalc!$X$3:$X$122,$T39)),"")</f>
        <v/>
      </c>
      <c r="G39" s="20">
        <f>IF(AND(ISNUMBER($T39),$T39&lt;&gt;""),IF(INDEX(LubesCalc!$Y$3:$Y$122,$T39)="","—",INDEX(LubesCalc!$Y$3:$Y$122,$T39)),"")</f>
        <v/>
      </c>
      <c r="H39" s="20">
        <f>IF(AND(ISNUMBER($T39),$T39&lt;&gt;""),IF(INDEX(LubesCalc!$Z$3:$Z$122,$T39)="","—",INDEX(LubesCalc!$Z$3:$Z$122,$T39)),"")</f>
        <v/>
      </c>
      <c r="I39" s="20">
        <f>IF(AND(ISNUMBER($T39),$T39&lt;&gt;""),IF(INDEX(LubesCalc!$AA$3:$AA$122,$T39)="","—",INDEX(LubesCalc!$AA$3:$AA$122,$T39)),"")</f>
        <v/>
      </c>
      <c r="J39" s="20">
        <f>IF(AND(ISNUMBER($T39),$T39&lt;&gt;""),IF(INDEX(LubesCalc!$AB$3:$AB$122,$T39)="","—",INDEX(LubesCalc!$AB$3:$AB$122,$T39)),"")</f>
        <v/>
      </c>
      <c r="K39" s="20">
        <f>IF(AND(ISNUMBER($T39),$T39&lt;&gt;""),IF(INDEX(LubesCalc!$AC$3:$AC$122,$T39)="","—",INDEX(LubesCalc!$AC$3:$AC$122,$T39)),"")</f>
        <v/>
      </c>
      <c r="L39" s="20">
        <f>IF(AND(ISNUMBER($T39),$T39&lt;&gt;""),IF(INDEX(LubesCalc!$AD$3:$AD$122,$T39)="","—",INDEX(LubesCalc!$AD$3:$AD$122,$T39)),"")</f>
        <v/>
      </c>
      <c r="M39" s="20">
        <f>IF(AND(ISNUMBER($T39),$T39&lt;&gt;""),IF(INDEX(LubesCalc!$AE$3:$AE$122,$T39)="","—",INDEX(LubesCalc!$AE$3:$AE$122,$T39)),"")</f>
        <v/>
      </c>
      <c r="N39" s="20">
        <f>IF(AND(ISNUMBER($T39),$T39&lt;&gt;""),IF(INDEX(LubesCalc!$AF$3:$AF$122,$T39)="","—",INDEX(LubesCalc!$AF$3:$AF$122,$T39)),"")</f>
        <v/>
      </c>
      <c r="O39" s="20">
        <f>IF(AND(ISNUMBER($T39),$T39&lt;&gt;""),IF(INDEX(LubesCalc!$AG$3:$AG$122,$T39)="","—",INDEX(LubesCalc!$AG$3:$AG$122,$T39)),"")</f>
        <v/>
      </c>
      <c r="P39" s="21">
        <f>IF(AND(ISNUMBER($T39),$T39&lt;&gt;""),IF(INDEX(LubesCalc!$AJ$3:$AJ$122,$T39)="","—",INDEX(LubesCalc!$AJ$3:$AJ$122,$T39)),"")</f>
        <v/>
      </c>
      <c r="Q39" s="21">
        <f>IF(AND(ISNUMBER($T39),$T39&lt;&gt;""),IF(INDEX(LubesCalc!$AK$3:$AK$122,$T39)="","—",INDEX(LubesCalc!$AK$3:$AK$122,$T39)),"")</f>
        <v/>
      </c>
      <c r="R39" s="20">
        <f>IF(AND(ISNUMBER($T39),$T39&lt;&gt;""),IF(INDEX(LubesCalc!$AL$3:$AL$122,$T39)="","—",INDEX(LubesCalc!$AL$3:$AL$122,$T39)),"")</f>
        <v/>
      </c>
      <c r="T39">
        <f>IFERROR(MATCH(35,LubesCalc!$AN$3:$AN$122,0),"")</f>
        <v/>
      </c>
    </row>
    <row r="40">
      <c r="A40" s="14">
        <f>IF(AND(ISNUMBER($T40),$T40&lt;&gt;""),INDEX(LubesCalc!$S$3:$S$122,$T40),"")</f>
        <v/>
      </c>
      <c r="B40" s="15">
        <f>IF(AND(ISNUMBER($T40),$T40&lt;&gt;""),IF(INDEX(LubesCalc!$T$3:$T$122,$T40)="","—",INDEX(LubesCalc!$T$3:$T$122,$T40)),"")</f>
        <v/>
      </c>
      <c r="C40" s="15">
        <f>IF(AND(ISNUMBER($T40),$T40&lt;&gt;""),IF(INDEX(LubesCalc!$U$3:$U$122,$T40)="","—",INDEX(LubesCalc!$U$3:$U$122,$T40)),"")</f>
        <v/>
      </c>
      <c r="D40" s="15">
        <f>IF(AND(ISNUMBER($T40),$T40&lt;&gt;""),IF(INDEX(LubesCalc!$V$3:$V$122,$T40)="","—",INDEX(LubesCalc!$V$3:$V$122,$T40)),"")</f>
        <v/>
      </c>
      <c r="E40" s="15">
        <f>IF(AND(ISNUMBER($T40),$T40&lt;&gt;""),IF(INDEX(LubesCalc!$W$3:$W$122,$T40)="","—",INDEX(LubesCalc!$W$3:$W$122,$T40)),"")</f>
        <v/>
      </c>
      <c r="F40" s="15">
        <f>IF(AND(ISNUMBER($T40),$T40&lt;&gt;""),IF(INDEX(LubesCalc!$X$3:$X$122,$T40)="","—",INDEX(LubesCalc!$X$3:$X$122,$T40)),"")</f>
        <v/>
      </c>
      <c r="G40" s="15">
        <f>IF(AND(ISNUMBER($T40),$T40&lt;&gt;""),IF(INDEX(LubesCalc!$Y$3:$Y$122,$T40)="","—",INDEX(LubesCalc!$Y$3:$Y$122,$T40)),"")</f>
        <v/>
      </c>
      <c r="H40" s="15">
        <f>IF(AND(ISNUMBER($T40),$T40&lt;&gt;""),IF(INDEX(LubesCalc!$Z$3:$Z$122,$T40)="","—",INDEX(LubesCalc!$Z$3:$Z$122,$T40)),"")</f>
        <v/>
      </c>
      <c r="I40" s="15">
        <f>IF(AND(ISNUMBER($T40),$T40&lt;&gt;""),IF(INDEX(LubesCalc!$AA$3:$AA$122,$T40)="","—",INDEX(LubesCalc!$AA$3:$AA$122,$T40)),"")</f>
        <v/>
      </c>
      <c r="J40" s="15">
        <f>IF(AND(ISNUMBER($T40),$T40&lt;&gt;""),IF(INDEX(LubesCalc!$AB$3:$AB$122,$T40)="","—",INDEX(LubesCalc!$AB$3:$AB$122,$T40)),"")</f>
        <v/>
      </c>
      <c r="K40" s="15">
        <f>IF(AND(ISNUMBER($T40),$T40&lt;&gt;""),IF(INDEX(LubesCalc!$AC$3:$AC$122,$T40)="","—",INDEX(LubesCalc!$AC$3:$AC$122,$T40)),"")</f>
        <v/>
      </c>
      <c r="L40" s="15">
        <f>IF(AND(ISNUMBER($T40),$T40&lt;&gt;""),IF(INDEX(LubesCalc!$AD$3:$AD$122,$T40)="","—",INDEX(LubesCalc!$AD$3:$AD$122,$T40)),"")</f>
        <v/>
      </c>
      <c r="M40" s="15">
        <f>IF(AND(ISNUMBER($T40),$T40&lt;&gt;""),IF(INDEX(LubesCalc!$AE$3:$AE$122,$T40)="","—",INDEX(LubesCalc!$AE$3:$AE$122,$T40)),"")</f>
        <v/>
      </c>
      <c r="N40" s="15">
        <f>IF(AND(ISNUMBER($T40),$T40&lt;&gt;""),IF(INDEX(LubesCalc!$AF$3:$AF$122,$T40)="","—",INDEX(LubesCalc!$AF$3:$AF$122,$T40)),"")</f>
        <v/>
      </c>
      <c r="O40" s="15">
        <f>IF(AND(ISNUMBER($T40),$T40&lt;&gt;""),IF(INDEX(LubesCalc!$AG$3:$AG$122,$T40)="","—",INDEX(LubesCalc!$AG$3:$AG$122,$T40)),"")</f>
        <v/>
      </c>
      <c r="P40" s="16">
        <f>IF(AND(ISNUMBER($T40),$T40&lt;&gt;""),IF(INDEX(LubesCalc!$AJ$3:$AJ$122,$T40)="","—",INDEX(LubesCalc!$AJ$3:$AJ$122,$T40)),"")</f>
        <v/>
      </c>
      <c r="Q40" s="16">
        <f>IF(AND(ISNUMBER($T40),$T40&lt;&gt;""),IF(INDEX(LubesCalc!$AK$3:$AK$122,$T40)="","—",INDEX(LubesCalc!$AK$3:$AK$122,$T40)),"")</f>
        <v/>
      </c>
      <c r="R40" s="15">
        <f>IF(AND(ISNUMBER($T40),$T40&lt;&gt;""),IF(INDEX(LubesCalc!$AL$3:$AL$122,$T40)="","—",INDEX(LubesCalc!$AL$3:$AL$122,$T40)),"")</f>
        <v/>
      </c>
      <c r="T40">
        <f>IFERROR(MATCH(36,LubesCalc!$AN$3:$AN$122,0),"")</f>
        <v/>
      </c>
    </row>
    <row r="41">
      <c r="A41" s="19">
        <f>IF(AND(ISNUMBER($T41),$T41&lt;&gt;""),INDEX(LubesCalc!$S$3:$S$122,$T41),"")</f>
        <v/>
      </c>
      <c r="B41" s="20">
        <f>IF(AND(ISNUMBER($T41),$T41&lt;&gt;""),IF(INDEX(LubesCalc!$T$3:$T$122,$T41)="","—",INDEX(LubesCalc!$T$3:$T$122,$T41)),"")</f>
        <v/>
      </c>
      <c r="C41" s="20">
        <f>IF(AND(ISNUMBER($T41),$T41&lt;&gt;""),IF(INDEX(LubesCalc!$U$3:$U$122,$T41)="","—",INDEX(LubesCalc!$U$3:$U$122,$T41)),"")</f>
        <v/>
      </c>
      <c r="D41" s="20">
        <f>IF(AND(ISNUMBER($T41),$T41&lt;&gt;""),IF(INDEX(LubesCalc!$V$3:$V$122,$T41)="","—",INDEX(LubesCalc!$V$3:$V$122,$T41)),"")</f>
        <v/>
      </c>
      <c r="E41" s="20">
        <f>IF(AND(ISNUMBER($T41),$T41&lt;&gt;""),IF(INDEX(LubesCalc!$W$3:$W$122,$T41)="","—",INDEX(LubesCalc!$W$3:$W$122,$T41)),"")</f>
        <v/>
      </c>
      <c r="F41" s="20">
        <f>IF(AND(ISNUMBER($T41),$T41&lt;&gt;""),IF(INDEX(LubesCalc!$X$3:$X$122,$T41)="","—",INDEX(LubesCalc!$X$3:$X$122,$T41)),"")</f>
        <v/>
      </c>
      <c r="G41" s="20">
        <f>IF(AND(ISNUMBER($T41),$T41&lt;&gt;""),IF(INDEX(LubesCalc!$Y$3:$Y$122,$T41)="","—",INDEX(LubesCalc!$Y$3:$Y$122,$T41)),"")</f>
        <v/>
      </c>
      <c r="H41" s="20">
        <f>IF(AND(ISNUMBER($T41),$T41&lt;&gt;""),IF(INDEX(LubesCalc!$Z$3:$Z$122,$T41)="","—",INDEX(LubesCalc!$Z$3:$Z$122,$T41)),"")</f>
        <v/>
      </c>
      <c r="I41" s="20">
        <f>IF(AND(ISNUMBER($T41),$T41&lt;&gt;""),IF(INDEX(LubesCalc!$AA$3:$AA$122,$T41)="","—",INDEX(LubesCalc!$AA$3:$AA$122,$T41)),"")</f>
        <v/>
      </c>
      <c r="J41" s="20">
        <f>IF(AND(ISNUMBER($T41),$T41&lt;&gt;""),IF(INDEX(LubesCalc!$AB$3:$AB$122,$T41)="","—",INDEX(LubesCalc!$AB$3:$AB$122,$T41)),"")</f>
        <v/>
      </c>
      <c r="K41" s="20">
        <f>IF(AND(ISNUMBER($T41),$T41&lt;&gt;""),IF(INDEX(LubesCalc!$AC$3:$AC$122,$T41)="","—",INDEX(LubesCalc!$AC$3:$AC$122,$T41)),"")</f>
        <v/>
      </c>
      <c r="L41" s="20">
        <f>IF(AND(ISNUMBER($T41),$T41&lt;&gt;""),IF(INDEX(LubesCalc!$AD$3:$AD$122,$T41)="","—",INDEX(LubesCalc!$AD$3:$AD$122,$T41)),"")</f>
        <v/>
      </c>
      <c r="M41" s="20">
        <f>IF(AND(ISNUMBER($T41),$T41&lt;&gt;""),IF(INDEX(LubesCalc!$AE$3:$AE$122,$T41)="","—",INDEX(LubesCalc!$AE$3:$AE$122,$T41)),"")</f>
        <v/>
      </c>
      <c r="N41" s="20">
        <f>IF(AND(ISNUMBER($T41),$T41&lt;&gt;""),IF(INDEX(LubesCalc!$AF$3:$AF$122,$T41)="","—",INDEX(LubesCalc!$AF$3:$AF$122,$T41)),"")</f>
        <v/>
      </c>
      <c r="O41" s="20">
        <f>IF(AND(ISNUMBER($T41),$T41&lt;&gt;""),IF(INDEX(LubesCalc!$AG$3:$AG$122,$T41)="","—",INDEX(LubesCalc!$AG$3:$AG$122,$T41)),"")</f>
        <v/>
      </c>
      <c r="P41" s="21">
        <f>IF(AND(ISNUMBER($T41),$T41&lt;&gt;""),IF(INDEX(LubesCalc!$AJ$3:$AJ$122,$T41)="","—",INDEX(LubesCalc!$AJ$3:$AJ$122,$T41)),"")</f>
        <v/>
      </c>
      <c r="Q41" s="21">
        <f>IF(AND(ISNUMBER($T41),$T41&lt;&gt;""),IF(INDEX(LubesCalc!$AK$3:$AK$122,$T41)="","—",INDEX(LubesCalc!$AK$3:$AK$122,$T41)),"")</f>
        <v/>
      </c>
      <c r="R41" s="20">
        <f>IF(AND(ISNUMBER($T41),$T41&lt;&gt;""),IF(INDEX(LubesCalc!$AL$3:$AL$122,$T41)="","—",INDEX(LubesCalc!$AL$3:$AL$122,$T41)),"")</f>
        <v/>
      </c>
      <c r="T41">
        <f>IFERROR(MATCH(37,LubesCalc!$AN$3:$AN$122,0),"")</f>
        <v/>
      </c>
    </row>
    <row r="42">
      <c r="A42" s="14">
        <f>IF(AND(ISNUMBER($T42),$T42&lt;&gt;""),INDEX(LubesCalc!$S$3:$S$122,$T42),"")</f>
        <v/>
      </c>
      <c r="B42" s="15">
        <f>IF(AND(ISNUMBER($T42),$T42&lt;&gt;""),IF(INDEX(LubesCalc!$T$3:$T$122,$T42)="","—",INDEX(LubesCalc!$T$3:$T$122,$T42)),"")</f>
        <v/>
      </c>
      <c r="C42" s="15">
        <f>IF(AND(ISNUMBER($T42),$T42&lt;&gt;""),IF(INDEX(LubesCalc!$U$3:$U$122,$T42)="","—",INDEX(LubesCalc!$U$3:$U$122,$T42)),"")</f>
        <v/>
      </c>
      <c r="D42" s="15">
        <f>IF(AND(ISNUMBER($T42),$T42&lt;&gt;""),IF(INDEX(LubesCalc!$V$3:$V$122,$T42)="","—",INDEX(LubesCalc!$V$3:$V$122,$T42)),"")</f>
        <v/>
      </c>
      <c r="E42" s="15">
        <f>IF(AND(ISNUMBER($T42),$T42&lt;&gt;""),IF(INDEX(LubesCalc!$W$3:$W$122,$T42)="","—",INDEX(LubesCalc!$W$3:$W$122,$T42)),"")</f>
        <v/>
      </c>
      <c r="F42" s="15">
        <f>IF(AND(ISNUMBER($T42),$T42&lt;&gt;""),IF(INDEX(LubesCalc!$X$3:$X$122,$T42)="","—",INDEX(LubesCalc!$X$3:$X$122,$T42)),"")</f>
        <v/>
      </c>
      <c r="G42" s="15">
        <f>IF(AND(ISNUMBER($T42),$T42&lt;&gt;""),IF(INDEX(LubesCalc!$Y$3:$Y$122,$T42)="","—",INDEX(LubesCalc!$Y$3:$Y$122,$T42)),"")</f>
        <v/>
      </c>
      <c r="H42" s="15">
        <f>IF(AND(ISNUMBER($T42),$T42&lt;&gt;""),IF(INDEX(LubesCalc!$Z$3:$Z$122,$T42)="","—",INDEX(LubesCalc!$Z$3:$Z$122,$T42)),"")</f>
        <v/>
      </c>
      <c r="I42" s="15">
        <f>IF(AND(ISNUMBER($T42),$T42&lt;&gt;""),IF(INDEX(LubesCalc!$AA$3:$AA$122,$T42)="","—",INDEX(LubesCalc!$AA$3:$AA$122,$T42)),"")</f>
        <v/>
      </c>
      <c r="J42" s="15">
        <f>IF(AND(ISNUMBER($T42),$T42&lt;&gt;""),IF(INDEX(LubesCalc!$AB$3:$AB$122,$T42)="","—",INDEX(LubesCalc!$AB$3:$AB$122,$T42)),"")</f>
        <v/>
      </c>
      <c r="K42" s="15">
        <f>IF(AND(ISNUMBER($T42),$T42&lt;&gt;""),IF(INDEX(LubesCalc!$AC$3:$AC$122,$T42)="","—",INDEX(LubesCalc!$AC$3:$AC$122,$T42)),"")</f>
        <v/>
      </c>
      <c r="L42" s="15">
        <f>IF(AND(ISNUMBER($T42),$T42&lt;&gt;""),IF(INDEX(LubesCalc!$AD$3:$AD$122,$T42)="","—",INDEX(LubesCalc!$AD$3:$AD$122,$T42)),"")</f>
        <v/>
      </c>
      <c r="M42" s="15">
        <f>IF(AND(ISNUMBER($T42),$T42&lt;&gt;""),IF(INDEX(LubesCalc!$AE$3:$AE$122,$T42)="","—",INDEX(LubesCalc!$AE$3:$AE$122,$T42)),"")</f>
        <v/>
      </c>
      <c r="N42" s="15">
        <f>IF(AND(ISNUMBER($T42),$T42&lt;&gt;""),IF(INDEX(LubesCalc!$AF$3:$AF$122,$T42)="","—",INDEX(LubesCalc!$AF$3:$AF$122,$T42)),"")</f>
        <v/>
      </c>
      <c r="O42" s="15">
        <f>IF(AND(ISNUMBER($T42),$T42&lt;&gt;""),IF(INDEX(LubesCalc!$AG$3:$AG$122,$T42)="","—",INDEX(LubesCalc!$AG$3:$AG$122,$T42)),"")</f>
        <v/>
      </c>
      <c r="P42" s="16">
        <f>IF(AND(ISNUMBER($T42),$T42&lt;&gt;""),IF(INDEX(LubesCalc!$AJ$3:$AJ$122,$T42)="","—",INDEX(LubesCalc!$AJ$3:$AJ$122,$T42)),"")</f>
        <v/>
      </c>
      <c r="Q42" s="16">
        <f>IF(AND(ISNUMBER($T42),$T42&lt;&gt;""),IF(INDEX(LubesCalc!$AK$3:$AK$122,$T42)="","—",INDEX(LubesCalc!$AK$3:$AK$122,$T42)),"")</f>
        <v/>
      </c>
      <c r="R42" s="15">
        <f>IF(AND(ISNUMBER($T42),$T42&lt;&gt;""),IF(INDEX(LubesCalc!$AL$3:$AL$122,$T42)="","—",INDEX(LubesCalc!$AL$3:$AL$122,$T42)),"")</f>
        <v/>
      </c>
      <c r="T42">
        <f>IFERROR(MATCH(38,LubesCalc!$AN$3:$AN$122,0),"")</f>
        <v/>
      </c>
    </row>
    <row r="43">
      <c r="A43" s="19">
        <f>IF(AND(ISNUMBER($T43),$T43&lt;&gt;""),INDEX(LubesCalc!$S$3:$S$122,$T43),"")</f>
        <v/>
      </c>
      <c r="B43" s="20">
        <f>IF(AND(ISNUMBER($T43),$T43&lt;&gt;""),IF(INDEX(LubesCalc!$T$3:$T$122,$T43)="","—",INDEX(LubesCalc!$T$3:$T$122,$T43)),"")</f>
        <v/>
      </c>
      <c r="C43" s="20">
        <f>IF(AND(ISNUMBER($T43),$T43&lt;&gt;""),IF(INDEX(LubesCalc!$U$3:$U$122,$T43)="","—",INDEX(LubesCalc!$U$3:$U$122,$T43)),"")</f>
        <v/>
      </c>
      <c r="D43" s="20">
        <f>IF(AND(ISNUMBER($T43),$T43&lt;&gt;""),IF(INDEX(LubesCalc!$V$3:$V$122,$T43)="","—",INDEX(LubesCalc!$V$3:$V$122,$T43)),"")</f>
        <v/>
      </c>
      <c r="E43" s="20">
        <f>IF(AND(ISNUMBER($T43),$T43&lt;&gt;""),IF(INDEX(LubesCalc!$W$3:$W$122,$T43)="","—",INDEX(LubesCalc!$W$3:$W$122,$T43)),"")</f>
        <v/>
      </c>
      <c r="F43" s="20">
        <f>IF(AND(ISNUMBER($T43),$T43&lt;&gt;""),IF(INDEX(LubesCalc!$X$3:$X$122,$T43)="","—",INDEX(LubesCalc!$X$3:$X$122,$T43)),"")</f>
        <v/>
      </c>
      <c r="G43" s="20">
        <f>IF(AND(ISNUMBER($T43),$T43&lt;&gt;""),IF(INDEX(LubesCalc!$Y$3:$Y$122,$T43)="","—",INDEX(LubesCalc!$Y$3:$Y$122,$T43)),"")</f>
        <v/>
      </c>
      <c r="H43" s="20">
        <f>IF(AND(ISNUMBER($T43),$T43&lt;&gt;""),IF(INDEX(LubesCalc!$Z$3:$Z$122,$T43)="","—",INDEX(LubesCalc!$Z$3:$Z$122,$T43)),"")</f>
        <v/>
      </c>
      <c r="I43" s="20">
        <f>IF(AND(ISNUMBER($T43),$T43&lt;&gt;""),IF(INDEX(LubesCalc!$AA$3:$AA$122,$T43)="","—",INDEX(LubesCalc!$AA$3:$AA$122,$T43)),"")</f>
        <v/>
      </c>
      <c r="J43" s="20">
        <f>IF(AND(ISNUMBER($T43),$T43&lt;&gt;""),IF(INDEX(LubesCalc!$AB$3:$AB$122,$T43)="","—",INDEX(LubesCalc!$AB$3:$AB$122,$T43)),"")</f>
        <v/>
      </c>
      <c r="K43" s="20">
        <f>IF(AND(ISNUMBER($T43),$T43&lt;&gt;""),IF(INDEX(LubesCalc!$AC$3:$AC$122,$T43)="","—",INDEX(LubesCalc!$AC$3:$AC$122,$T43)),"")</f>
        <v/>
      </c>
      <c r="L43" s="20">
        <f>IF(AND(ISNUMBER($T43),$T43&lt;&gt;""),IF(INDEX(LubesCalc!$AD$3:$AD$122,$T43)="","—",INDEX(LubesCalc!$AD$3:$AD$122,$T43)),"")</f>
        <v/>
      </c>
      <c r="M43" s="20">
        <f>IF(AND(ISNUMBER($T43),$T43&lt;&gt;""),IF(INDEX(LubesCalc!$AE$3:$AE$122,$T43)="","—",INDEX(LubesCalc!$AE$3:$AE$122,$T43)),"")</f>
        <v/>
      </c>
      <c r="N43" s="20">
        <f>IF(AND(ISNUMBER($T43),$T43&lt;&gt;""),IF(INDEX(LubesCalc!$AF$3:$AF$122,$T43)="","—",INDEX(LubesCalc!$AF$3:$AF$122,$T43)),"")</f>
        <v/>
      </c>
      <c r="O43" s="20">
        <f>IF(AND(ISNUMBER($T43),$T43&lt;&gt;""),IF(INDEX(LubesCalc!$AG$3:$AG$122,$T43)="","—",INDEX(LubesCalc!$AG$3:$AG$122,$T43)),"")</f>
        <v/>
      </c>
      <c r="P43" s="21">
        <f>IF(AND(ISNUMBER($T43),$T43&lt;&gt;""),IF(INDEX(LubesCalc!$AJ$3:$AJ$122,$T43)="","—",INDEX(LubesCalc!$AJ$3:$AJ$122,$T43)),"")</f>
        <v/>
      </c>
      <c r="Q43" s="21">
        <f>IF(AND(ISNUMBER($T43),$T43&lt;&gt;""),IF(INDEX(LubesCalc!$AK$3:$AK$122,$T43)="","—",INDEX(LubesCalc!$AK$3:$AK$122,$T43)),"")</f>
        <v/>
      </c>
      <c r="R43" s="20">
        <f>IF(AND(ISNUMBER($T43),$T43&lt;&gt;""),IF(INDEX(LubesCalc!$AL$3:$AL$122,$T43)="","—",INDEX(LubesCalc!$AL$3:$AL$122,$T43)),"")</f>
        <v/>
      </c>
      <c r="T43">
        <f>IFERROR(MATCH(39,LubesCalc!$AN$3:$AN$122,0),"")</f>
        <v/>
      </c>
    </row>
    <row r="44">
      <c r="A44" s="14">
        <f>IF(AND(ISNUMBER($T44),$T44&lt;&gt;""),INDEX(LubesCalc!$S$3:$S$122,$T44),"")</f>
        <v/>
      </c>
      <c r="B44" s="15">
        <f>IF(AND(ISNUMBER($T44),$T44&lt;&gt;""),IF(INDEX(LubesCalc!$T$3:$T$122,$T44)="","—",INDEX(LubesCalc!$T$3:$T$122,$T44)),"")</f>
        <v/>
      </c>
      <c r="C44" s="15">
        <f>IF(AND(ISNUMBER($T44),$T44&lt;&gt;""),IF(INDEX(LubesCalc!$U$3:$U$122,$T44)="","—",INDEX(LubesCalc!$U$3:$U$122,$T44)),"")</f>
        <v/>
      </c>
      <c r="D44" s="15">
        <f>IF(AND(ISNUMBER($T44),$T44&lt;&gt;""),IF(INDEX(LubesCalc!$V$3:$V$122,$T44)="","—",INDEX(LubesCalc!$V$3:$V$122,$T44)),"")</f>
        <v/>
      </c>
      <c r="E44" s="15">
        <f>IF(AND(ISNUMBER($T44),$T44&lt;&gt;""),IF(INDEX(LubesCalc!$W$3:$W$122,$T44)="","—",INDEX(LubesCalc!$W$3:$W$122,$T44)),"")</f>
        <v/>
      </c>
      <c r="F44" s="15">
        <f>IF(AND(ISNUMBER($T44),$T44&lt;&gt;""),IF(INDEX(LubesCalc!$X$3:$X$122,$T44)="","—",INDEX(LubesCalc!$X$3:$X$122,$T44)),"")</f>
        <v/>
      </c>
      <c r="G44" s="15">
        <f>IF(AND(ISNUMBER($T44),$T44&lt;&gt;""),IF(INDEX(LubesCalc!$Y$3:$Y$122,$T44)="","—",INDEX(LubesCalc!$Y$3:$Y$122,$T44)),"")</f>
        <v/>
      </c>
      <c r="H44" s="15">
        <f>IF(AND(ISNUMBER($T44),$T44&lt;&gt;""),IF(INDEX(LubesCalc!$Z$3:$Z$122,$T44)="","—",INDEX(LubesCalc!$Z$3:$Z$122,$T44)),"")</f>
        <v/>
      </c>
      <c r="I44" s="15">
        <f>IF(AND(ISNUMBER($T44),$T44&lt;&gt;""),IF(INDEX(LubesCalc!$AA$3:$AA$122,$T44)="","—",INDEX(LubesCalc!$AA$3:$AA$122,$T44)),"")</f>
        <v/>
      </c>
      <c r="J44" s="15">
        <f>IF(AND(ISNUMBER($T44),$T44&lt;&gt;""),IF(INDEX(LubesCalc!$AB$3:$AB$122,$T44)="","—",INDEX(LubesCalc!$AB$3:$AB$122,$T44)),"")</f>
        <v/>
      </c>
      <c r="K44" s="15">
        <f>IF(AND(ISNUMBER($T44),$T44&lt;&gt;""),IF(INDEX(LubesCalc!$AC$3:$AC$122,$T44)="","—",INDEX(LubesCalc!$AC$3:$AC$122,$T44)),"")</f>
        <v/>
      </c>
      <c r="L44" s="15">
        <f>IF(AND(ISNUMBER($T44),$T44&lt;&gt;""),IF(INDEX(LubesCalc!$AD$3:$AD$122,$T44)="","—",INDEX(LubesCalc!$AD$3:$AD$122,$T44)),"")</f>
        <v/>
      </c>
      <c r="M44" s="15">
        <f>IF(AND(ISNUMBER($T44),$T44&lt;&gt;""),IF(INDEX(LubesCalc!$AE$3:$AE$122,$T44)="","—",INDEX(LubesCalc!$AE$3:$AE$122,$T44)),"")</f>
        <v/>
      </c>
      <c r="N44" s="15">
        <f>IF(AND(ISNUMBER($T44),$T44&lt;&gt;""),IF(INDEX(LubesCalc!$AF$3:$AF$122,$T44)="","—",INDEX(LubesCalc!$AF$3:$AF$122,$T44)),"")</f>
        <v/>
      </c>
      <c r="O44" s="15">
        <f>IF(AND(ISNUMBER($T44),$T44&lt;&gt;""),IF(INDEX(LubesCalc!$AG$3:$AG$122,$T44)="","—",INDEX(LubesCalc!$AG$3:$AG$122,$T44)),"")</f>
        <v/>
      </c>
      <c r="P44" s="16">
        <f>IF(AND(ISNUMBER($T44),$T44&lt;&gt;""),IF(INDEX(LubesCalc!$AJ$3:$AJ$122,$T44)="","—",INDEX(LubesCalc!$AJ$3:$AJ$122,$T44)),"")</f>
        <v/>
      </c>
      <c r="Q44" s="16">
        <f>IF(AND(ISNUMBER($T44),$T44&lt;&gt;""),IF(INDEX(LubesCalc!$AK$3:$AK$122,$T44)="","—",INDEX(LubesCalc!$AK$3:$AK$122,$T44)),"")</f>
        <v/>
      </c>
      <c r="R44" s="15">
        <f>IF(AND(ISNUMBER($T44),$T44&lt;&gt;""),IF(INDEX(LubesCalc!$AL$3:$AL$122,$T44)="","—",INDEX(LubesCalc!$AL$3:$AL$122,$T44)),"")</f>
        <v/>
      </c>
      <c r="T44">
        <f>IFERROR(MATCH(40,LubesCalc!$AN$3:$AN$122,0),"")</f>
        <v/>
      </c>
    </row>
    <row r="45">
      <c r="A45" s="19">
        <f>IF(AND(ISNUMBER($T45),$T45&lt;&gt;""),INDEX(LubesCalc!$S$3:$S$122,$T45),"")</f>
        <v/>
      </c>
      <c r="B45" s="20">
        <f>IF(AND(ISNUMBER($T45),$T45&lt;&gt;""),IF(INDEX(LubesCalc!$T$3:$T$122,$T45)="","—",INDEX(LubesCalc!$T$3:$T$122,$T45)),"")</f>
        <v/>
      </c>
      <c r="C45" s="20">
        <f>IF(AND(ISNUMBER($T45),$T45&lt;&gt;""),IF(INDEX(LubesCalc!$U$3:$U$122,$T45)="","—",INDEX(LubesCalc!$U$3:$U$122,$T45)),"")</f>
        <v/>
      </c>
      <c r="D45" s="20">
        <f>IF(AND(ISNUMBER($T45),$T45&lt;&gt;""),IF(INDEX(LubesCalc!$V$3:$V$122,$T45)="","—",INDEX(LubesCalc!$V$3:$V$122,$T45)),"")</f>
        <v/>
      </c>
      <c r="E45" s="20">
        <f>IF(AND(ISNUMBER($T45),$T45&lt;&gt;""),IF(INDEX(LubesCalc!$W$3:$W$122,$T45)="","—",INDEX(LubesCalc!$W$3:$W$122,$T45)),"")</f>
        <v/>
      </c>
      <c r="F45" s="20">
        <f>IF(AND(ISNUMBER($T45),$T45&lt;&gt;""),IF(INDEX(LubesCalc!$X$3:$X$122,$T45)="","—",INDEX(LubesCalc!$X$3:$X$122,$T45)),"")</f>
        <v/>
      </c>
      <c r="G45" s="20">
        <f>IF(AND(ISNUMBER($T45),$T45&lt;&gt;""),IF(INDEX(LubesCalc!$Y$3:$Y$122,$T45)="","—",INDEX(LubesCalc!$Y$3:$Y$122,$T45)),"")</f>
        <v/>
      </c>
      <c r="H45" s="20">
        <f>IF(AND(ISNUMBER($T45),$T45&lt;&gt;""),IF(INDEX(LubesCalc!$Z$3:$Z$122,$T45)="","—",INDEX(LubesCalc!$Z$3:$Z$122,$T45)),"")</f>
        <v/>
      </c>
      <c r="I45" s="20">
        <f>IF(AND(ISNUMBER($T45),$T45&lt;&gt;""),IF(INDEX(LubesCalc!$AA$3:$AA$122,$T45)="","—",INDEX(LubesCalc!$AA$3:$AA$122,$T45)),"")</f>
        <v/>
      </c>
      <c r="J45" s="20">
        <f>IF(AND(ISNUMBER($T45),$T45&lt;&gt;""),IF(INDEX(LubesCalc!$AB$3:$AB$122,$T45)="","—",INDEX(LubesCalc!$AB$3:$AB$122,$T45)),"")</f>
        <v/>
      </c>
      <c r="K45" s="20">
        <f>IF(AND(ISNUMBER($T45),$T45&lt;&gt;""),IF(INDEX(LubesCalc!$AC$3:$AC$122,$T45)="","—",INDEX(LubesCalc!$AC$3:$AC$122,$T45)),"")</f>
        <v/>
      </c>
      <c r="L45" s="20">
        <f>IF(AND(ISNUMBER($T45),$T45&lt;&gt;""),IF(INDEX(LubesCalc!$AD$3:$AD$122,$T45)="","—",INDEX(LubesCalc!$AD$3:$AD$122,$T45)),"")</f>
        <v/>
      </c>
      <c r="M45" s="20">
        <f>IF(AND(ISNUMBER($T45),$T45&lt;&gt;""),IF(INDEX(LubesCalc!$AE$3:$AE$122,$T45)="","—",INDEX(LubesCalc!$AE$3:$AE$122,$T45)),"")</f>
        <v/>
      </c>
      <c r="N45" s="20">
        <f>IF(AND(ISNUMBER($T45),$T45&lt;&gt;""),IF(INDEX(LubesCalc!$AF$3:$AF$122,$T45)="","—",INDEX(LubesCalc!$AF$3:$AF$122,$T45)),"")</f>
        <v/>
      </c>
      <c r="O45" s="20">
        <f>IF(AND(ISNUMBER($T45),$T45&lt;&gt;""),IF(INDEX(LubesCalc!$AG$3:$AG$122,$T45)="","—",INDEX(LubesCalc!$AG$3:$AG$122,$T45)),"")</f>
        <v/>
      </c>
      <c r="P45" s="21">
        <f>IF(AND(ISNUMBER($T45),$T45&lt;&gt;""),IF(INDEX(LubesCalc!$AJ$3:$AJ$122,$T45)="","—",INDEX(LubesCalc!$AJ$3:$AJ$122,$T45)),"")</f>
        <v/>
      </c>
      <c r="Q45" s="21">
        <f>IF(AND(ISNUMBER($T45),$T45&lt;&gt;""),IF(INDEX(LubesCalc!$AK$3:$AK$122,$T45)="","—",INDEX(LubesCalc!$AK$3:$AK$122,$T45)),"")</f>
        <v/>
      </c>
      <c r="R45" s="20">
        <f>IF(AND(ISNUMBER($T45),$T45&lt;&gt;""),IF(INDEX(LubesCalc!$AL$3:$AL$122,$T45)="","—",INDEX(LubesCalc!$AL$3:$AL$122,$T45)),"")</f>
        <v/>
      </c>
      <c r="T45">
        <f>IFERROR(MATCH(41,LubesCalc!$AN$3:$AN$122,0),"")</f>
        <v/>
      </c>
    </row>
    <row r="46">
      <c r="A46" s="14">
        <f>IF(AND(ISNUMBER($T46),$T46&lt;&gt;""),INDEX(LubesCalc!$S$3:$S$122,$T46),"")</f>
        <v/>
      </c>
      <c r="B46" s="15">
        <f>IF(AND(ISNUMBER($T46),$T46&lt;&gt;""),IF(INDEX(LubesCalc!$T$3:$T$122,$T46)="","—",INDEX(LubesCalc!$T$3:$T$122,$T46)),"")</f>
        <v/>
      </c>
      <c r="C46" s="15">
        <f>IF(AND(ISNUMBER($T46),$T46&lt;&gt;""),IF(INDEX(LubesCalc!$U$3:$U$122,$T46)="","—",INDEX(LubesCalc!$U$3:$U$122,$T46)),"")</f>
        <v/>
      </c>
      <c r="D46" s="15">
        <f>IF(AND(ISNUMBER($T46),$T46&lt;&gt;""),IF(INDEX(LubesCalc!$V$3:$V$122,$T46)="","—",INDEX(LubesCalc!$V$3:$V$122,$T46)),"")</f>
        <v/>
      </c>
      <c r="E46" s="15">
        <f>IF(AND(ISNUMBER($T46),$T46&lt;&gt;""),IF(INDEX(LubesCalc!$W$3:$W$122,$T46)="","—",INDEX(LubesCalc!$W$3:$W$122,$T46)),"")</f>
        <v/>
      </c>
      <c r="F46" s="15">
        <f>IF(AND(ISNUMBER($T46),$T46&lt;&gt;""),IF(INDEX(LubesCalc!$X$3:$X$122,$T46)="","—",INDEX(LubesCalc!$X$3:$X$122,$T46)),"")</f>
        <v/>
      </c>
      <c r="G46" s="15">
        <f>IF(AND(ISNUMBER($T46),$T46&lt;&gt;""),IF(INDEX(LubesCalc!$Y$3:$Y$122,$T46)="","—",INDEX(LubesCalc!$Y$3:$Y$122,$T46)),"")</f>
        <v/>
      </c>
      <c r="H46" s="15">
        <f>IF(AND(ISNUMBER($T46),$T46&lt;&gt;""),IF(INDEX(LubesCalc!$Z$3:$Z$122,$T46)="","—",INDEX(LubesCalc!$Z$3:$Z$122,$T46)),"")</f>
        <v/>
      </c>
      <c r="I46" s="15">
        <f>IF(AND(ISNUMBER($T46),$T46&lt;&gt;""),IF(INDEX(LubesCalc!$AA$3:$AA$122,$T46)="","—",INDEX(LubesCalc!$AA$3:$AA$122,$T46)),"")</f>
        <v/>
      </c>
      <c r="J46" s="15">
        <f>IF(AND(ISNUMBER($T46),$T46&lt;&gt;""),IF(INDEX(LubesCalc!$AB$3:$AB$122,$T46)="","—",INDEX(LubesCalc!$AB$3:$AB$122,$T46)),"")</f>
        <v/>
      </c>
      <c r="K46" s="15">
        <f>IF(AND(ISNUMBER($T46),$T46&lt;&gt;""),IF(INDEX(LubesCalc!$AC$3:$AC$122,$T46)="","—",INDEX(LubesCalc!$AC$3:$AC$122,$T46)),"")</f>
        <v/>
      </c>
      <c r="L46" s="15">
        <f>IF(AND(ISNUMBER($T46),$T46&lt;&gt;""),IF(INDEX(LubesCalc!$AD$3:$AD$122,$T46)="","—",INDEX(LubesCalc!$AD$3:$AD$122,$T46)),"")</f>
        <v/>
      </c>
      <c r="M46" s="15">
        <f>IF(AND(ISNUMBER($T46),$T46&lt;&gt;""),IF(INDEX(LubesCalc!$AE$3:$AE$122,$T46)="","—",INDEX(LubesCalc!$AE$3:$AE$122,$T46)),"")</f>
        <v/>
      </c>
      <c r="N46" s="15">
        <f>IF(AND(ISNUMBER($T46),$T46&lt;&gt;""),IF(INDEX(LubesCalc!$AF$3:$AF$122,$T46)="","—",INDEX(LubesCalc!$AF$3:$AF$122,$T46)),"")</f>
        <v/>
      </c>
      <c r="O46" s="15">
        <f>IF(AND(ISNUMBER($T46),$T46&lt;&gt;""),IF(INDEX(LubesCalc!$AG$3:$AG$122,$T46)="","—",INDEX(LubesCalc!$AG$3:$AG$122,$T46)),"")</f>
        <v/>
      </c>
      <c r="P46" s="16">
        <f>IF(AND(ISNUMBER($T46),$T46&lt;&gt;""),IF(INDEX(LubesCalc!$AJ$3:$AJ$122,$T46)="","—",INDEX(LubesCalc!$AJ$3:$AJ$122,$T46)),"")</f>
        <v/>
      </c>
      <c r="Q46" s="16">
        <f>IF(AND(ISNUMBER($T46),$T46&lt;&gt;""),IF(INDEX(LubesCalc!$AK$3:$AK$122,$T46)="","—",INDEX(LubesCalc!$AK$3:$AK$122,$T46)),"")</f>
        <v/>
      </c>
      <c r="R46" s="15">
        <f>IF(AND(ISNUMBER($T46),$T46&lt;&gt;""),IF(INDEX(LubesCalc!$AL$3:$AL$122,$T46)="","—",INDEX(LubesCalc!$AL$3:$AL$122,$T46)),"")</f>
        <v/>
      </c>
      <c r="T46">
        <f>IFERROR(MATCH(42,LubesCalc!$AN$3:$AN$122,0),"")</f>
        <v/>
      </c>
    </row>
    <row r="47">
      <c r="A47" s="19">
        <f>IF(AND(ISNUMBER($T47),$T47&lt;&gt;""),INDEX(LubesCalc!$S$3:$S$122,$T47),"")</f>
        <v/>
      </c>
      <c r="B47" s="20">
        <f>IF(AND(ISNUMBER($T47),$T47&lt;&gt;""),IF(INDEX(LubesCalc!$T$3:$T$122,$T47)="","—",INDEX(LubesCalc!$T$3:$T$122,$T47)),"")</f>
        <v/>
      </c>
      <c r="C47" s="20">
        <f>IF(AND(ISNUMBER($T47),$T47&lt;&gt;""),IF(INDEX(LubesCalc!$U$3:$U$122,$T47)="","—",INDEX(LubesCalc!$U$3:$U$122,$T47)),"")</f>
        <v/>
      </c>
      <c r="D47" s="20">
        <f>IF(AND(ISNUMBER($T47),$T47&lt;&gt;""),IF(INDEX(LubesCalc!$V$3:$V$122,$T47)="","—",INDEX(LubesCalc!$V$3:$V$122,$T47)),"")</f>
        <v/>
      </c>
      <c r="E47" s="20">
        <f>IF(AND(ISNUMBER($T47),$T47&lt;&gt;""),IF(INDEX(LubesCalc!$W$3:$W$122,$T47)="","—",INDEX(LubesCalc!$W$3:$W$122,$T47)),"")</f>
        <v/>
      </c>
      <c r="F47" s="20">
        <f>IF(AND(ISNUMBER($T47),$T47&lt;&gt;""),IF(INDEX(LubesCalc!$X$3:$X$122,$T47)="","—",INDEX(LubesCalc!$X$3:$X$122,$T47)),"")</f>
        <v/>
      </c>
      <c r="G47" s="20">
        <f>IF(AND(ISNUMBER($T47),$T47&lt;&gt;""),IF(INDEX(LubesCalc!$Y$3:$Y$122,$T47)="","—",INDEX(LubesCalc!$Y$3:$Y$122,$T47)),"")</f>
        <v/>
      </c>
      <c r="H47" s="20">
        <f>IF(AND(ISNUMBER($T47),$T47&lt;&gt;""),IF(INDEX(LubesCalc!$Z$3:$Z$122,$T47)="","—",INDEX(LubesCalc!$Z$3:$Z$122,$T47)),"")</f>
        <v/>
      </c>
      <c r="I47" s="20">
        <f>IF(AND(ISNUMBER($T47),$T47&lt;&gt;""),IF(INDEX(LubesCalc!$AA$3:$AA$122,$T47)="","—",INDEX(LubesCalc!$AA$3:$AA$122,$T47)),"")</f>
        <v/>
      </c>
      <c r="J47" s="20">
        <f>IF(AND(ISNUMBER($T47),$T47&lt;&gt;""),IF(INDEX(LubesCalc!$AB$3:$AB$122,$T47)="","—",INDEX(LubesCalc!$AB$3:$AB$122,$T47)),"")</f>
        <v/>
      </c>
      <c r="K47" s="20">
        <f>IF(AND(ISNUMBER($T47),$T47&lt;&gt;""),IF(INDEX(LubesCalc!$AC$3:$AC$122,$T47)="","—",INDEX(LubesCalc!$AC$3:$AC$122,$T47)),"")</f>
        <v/>
      </c>
      <c r="L47" s="20">
        <f>IF(AND(ISNUMBER($T47),$T47&lt;&gt;""),IF(INDEX(LubesCalc!$AD$3:$AD$122,$T47)="","—",INDEX(LubesCalc!$AD$3:$AD$122,$T47)),"")</f>
        <v/>
      </c>
      <c r="M47" s="20">
        <f>IF(AND(ISNUMBER($T47),$T47&lt;&gt;""),IF(INDEX(LubesCalc!$AE$3:$AE$122,$T47)="","—",INDEX(LubesCalc!$AE$3:$AE$122,$T47)),"")</f>
        <v/>
      </c>
      <c r="N47" s="20">
        <f>IF(AND(ISNUMBER($T47),$T47&lt;&gt;""),IF(INDEX(LubesCalc!$AF$3:$AF$122,$T47)="","—",INDEX(LubesCalc!$AF$3:$AF$122,$T47)),"")</f>
        <v/>
      </c>
      <c r="O47" s="20">
        <f>IF(AND(ISNUMBER($T47),$T47&lt;&gt;""),IF(INDEX(LubesCalc!$AG$3:$AG$122,$T47)="","—",INDEX(LubesCalc!$AG$3:$AG$122,$T47)),"")</f>
        <v/>
      </c>
      <c r="P47" s="21">
        <f>IF(AND(ISNUMBER($T47),$T47&lt;&gt;""),IF(INDEX(LubesCalc!$AJ$3:$AJ$122,$T47)="","—",INDEX(LubesCalc!$AJ$3:$AJ$122,$T47)),"")</f>
        <v/>
      </c>
      <c r="Q47" s="21">
        <f>IF(AND(ISNUMBER($T47),$T47&lt;&gt;""),IF(INDEX(LubesCalc!$AK$3:$AK$122,$T47)="","—",INDEX(LubesCalc!$AK$3:$AK$122,$T47)),"")</f>
        <v/>
      </c>
      <c r="R47" s="20">
        <f>IF(AND(ISNUMBER($T47),$T47&lt;&gt;""),IF(INDEX(LubesCalc!$AL$3:$AL$122,$T47)="","—",INDEX(LubesCalc!$AL$3:$AL$122,$T47)),"")</f>
        <v/>
      </c>
      <c r="T47">
        <f>IFERROR(MATCH(43,LubesCalc!$AN$3:$AN$122,0),"")</f>
        <v/>
      </c>
    </row>
    <row r="48">
      <c r="A48" s="14">
        <f>IF(AND(ISNUMBER($T48),$T48&lt;&gt;""),INDEX(LubesCalc!$S$3:$S$122,$T48),"")</f>
        <v/>
      </c>
      <c r="B48" s="15">
        <f>IF(AND(ISNUMBER($T48),$T48&lt;&gt;""),IF(INDEX(LubesCalc!$T$3:$T$122,$T48)="","—",INDEX(LubesCalc!$T$3:$T$122,$T48)),"")</f>
        <v/>
      </c>
      <c r="C48" s="15">
        <f>IF(AND(ISNUMBER($T48),$T48&lt;&gt;""),IF(INDEX(LubesCalc!$U$3:$U$122,$T48)="","—",INDEX(LubesCalc!$U$3:$U$122,$T48)),"")</f>
        <v/>
      </c>
      <c r="D48" s="15">
        <f>IF(AND(ISNUMBER($T48),$T48&lt;&gt;""),IF(INDEX(LubesCalc!$V$3:$V$122,$T48)="","—",INDEX(LubesCalc!$V$3:$V$122,$T48)),"")</f>
        <v/>
      </c>
      <c r="E48" s="15">
        <f>IF(AND(ISNUMBER($T48),$T48&lt;&gt;""),IF(INDEX(LubesCalc!$W$3:$W$122,$T48)="","—",INDEX(LubesCalc!$W$3:$W$122,$T48)),"")</f>
        <v/>
      </c>
      <c r="F48" s="15">
        <f>IF(AND(ISNUMBER($T48),$T48&lt;&gt;""),IF(INDEX(LubesCalc!$X$3:$X$122,$T48)="","—",INDEX(LubesCalc!$X$3:$X$122,$T48)),"")</f>
        <v/>
      </c>
      <c r="G48" s="15">
        <f>IF(AND(ISNUMBER($T48),$T48&lt;&gt;""),IF(INDEX(LubesCalc!$Y$3:$Y$122,$T48)="","—",INDEX(LubesCalc!$Y$3:$Y$122,$T48)),"")</f>
        <v/>
      </c>
      <c r="H48" s="15">
        <f>IF(AND(ISNUMBER($T48),$T48&lt;&gt;""),IF(INDEX(LubesCalc!$Z$3:$Z$122,$T48)="","—",INDEX(LubesCalc!$Z$3:$Z$122,$T48)),"")</f>
        <v/>
      </c>
      <c r="I48" s="15">
        <f>IF(AND(ISNUMBER($T48),$T48&lt;&gt;""),IF(INDEX(LubesCalc!$AA$3:$AA$122,$T48)="","—",INDEX(LubesCalc!$AA$3:$AA$122,$T48)),"")</f>
        <v/>
      </c>
      <c r="J48" s="15">
        <f>IF(AND(ISNUMBER($T48),$T48&lt;&gt;""),IF(INDEX(LubesCalc!$AB$3:$AB$122,$T48)="","—",INDEX(LubesCalc!$AB$3:$AB$122,$T48)),"")</f>
        <v/>
      </c>
      <c r="K48" s="15">
        <f>IF(AND(ISNUMBER($T48),$T48&lt;&gt;""),IF(INDEX(LubesCalc!$AC$3:$AC$122,$T48)="","—",INDEX(LubesCalc!$AC$3:$AC$122,$T48)),"")</f>
        <v/>
      </c>
      <c r="L48" s="15">
        <f>IF(AND(ISNUMBER($T48),$T48&lt;&gt;""),IF(INDEX(LubesCalc!$AD$3:$AD$122,$T48)="","—",INDEX(LubesCalc!$AD$3:$AD$122,$T48)),"")</f>
        <v/>
      </c>
      <c r="M48" s="15">
        <f>IF(AND(ISNUMBER($T48),$T48&lt;&gt;""),IF(INDEX(LubesCalc!$AE$3:$AE$122,$T48)="","—",INDEX(LubesCalc!$AE$3:$AE$122,$T48)),"")</f>
        <v/>
      </c>
      <c r="N48" s="15">
        <f>IF(AND(ISNUMBER($T48),$T48&lt;&gt;""),IF(INDEX(LubesCalc!$AF$3:$AF$122,$T48)="","—",INDEX(LubesCalc!$AF$3:$AF$122,$T48)),"")</f>
        <v/>
      </c>
      <c r="O48" s="15">
        <f>IF(AND(ISNUMBER($T48),$T48&lt;&gt;""),IF(INDEX(LubesCalc!$AG$3:$AG$122,$T48)="","—",INDEX(LubesCalc!$AG$3:$AG$122,$T48)),"")</f>
        <v/>
      </c>
      <c r="P48" s="16">
        <f>IF(AND(ISNUMBER($T48),$T48&lt;&gt;""),IF(INDEX(LubesCalc!$AJ$3:$AJ$122,$T48)="","—",INDEX(LubesCalc!$AJ$3:$AJ$122,$T48)),"")</f>
        <v/>
      </c>
      <c r="Q48" s="16">
        <f>IF(AND(ISNUMBER($T48),$T48&lt;&gt;""),IF(INDEX(LubesCalc!$AK$3:$AK$122,$T48)="","—",INDEX(LubesCalc!$AK$3:$AK$122,$T48)),"")</f>
        <v/>
      </c>
      <c r="R48" s="15">
        <f>IF(AND(ISNUMBER($T48),$T48&lt;&gt;""),IF(INDEX(LubesCalc!$AL$3:$AL$122,$T48)="","—",INDEX(LubesCalc!$AL$3:$AL$122,$T48)),"")</f>
        <v/>
      </c>
      <c r="T48">
        <f>IFERROR(MATCH(44,LubesCalc!$AN$3:$AN$122,0),"")</f>
        <v/>
      </c>
    </row>
    <row r="49">
      <c r="A49" s="19">
        <f>IF(AND(ISNUMBER($T49),$T49&lt;&gt;""),INDEX(LubesCalc!$S$3:$S$122,$T49),"")</f>
        <v/>
      </c>
      <c r="B49" s="20">
        <f>IF(AND(ISNUMBER($T49),$T49&lt;&gt;""),IF(INDEX(LubesCalc!$T$3:$T$122,$T49)="","—",INDEX(LubesCalc!$T$3:$T$122,$T49)),"")</f>
        <v/>
      </c>
      <c r="C49" s="20">
        <f>IF(AND(ISNUMBER($T49),$T49&lt;&gt;""),IF(INDEX(LubesCalc!$U$3:$U$122,$T49)="","—",INDEX(LubesCalc!$U$3:$U$122,$T49)),"")</f>
        <v/>
      </c>
      <c r="D49" s="20">
        <f>IF(AND(ISNUMBER($T49),$T49&lt;&gt;""),IF(INDEX(LubesCalc!$V$3:$V$122,$T49)="","—",INDEX(LubesCalc!$V$3:$V$122,$T49)),"")</f>
        <v/>
      </c>
      <c r="E49" s="20">
        <f>IF(AND(ISNUMBER($T49),$T49&lt;&gt;""),IF(INDEX(LubesCalc!$W$3:$W$122,$T49)="","—",INDEX(LubesCalc!$W$3:$W$122,$T49)),"")</f>
        <v/>
      </c>
      <c r="F49" s="20">
        <f>IF(AND(ISNUMBER($T49),$T49&lt;&gt;""),IF(INDEX(LubesCalc!$X$3:$X$122,$T49)="","—",INDEX(LubesCalc!$X$3:$X$122,$T49)),"")</f>
        <v/>
      </c>
      <c r="G49" s="20">
        <f>IF(AND(ISNUMBER($T49),$T49&lt;&gt;""),IF(INDEX(LubesCalc!$Y$3:$Y$122,$T49)="","—",INDEX(LubesCalc!$Y$3:$Y$122,$T49)),"")</f>
        <v/>
      </c>
      <c r="H49" s="20">
        <f>IF(AND(ISNUMBER($T49),$T49&lt;&gt;""),IF(INDEX(LubesCalc!$Z$3:$Z$122,$T49)="","—",INDEX(LubesCalc!$Z$3:$Z$122,$T49)),"")</f>
        <v/>
      </c>
      <c r="I49" s="20">
        <f>IF(AND(ISNUMBER($T49),$T49&lt;&gt;""),IF(INDEX(LubesCalc!$AA$3:$AA$122,$T49)="","—",INDEX(LubesCalc!$AA$3:$AA$122,$T49)),"")</f>
        <v/>
      </c>
      <c r="J49" s="20">
        <f>IF(AND(ISNUMBER($T49),$T49&lt;&gt;""),IF(INDEX(LubesCalc!$AB$3:$AB$122,$T49)="","—",INDEX(LubesCalc!$AB$3:$AB$122,$T49)),"")</f>
        <v/>
      </c>
      <c r="K49" s="20">
        <f>IF(AND(ISNUMBER($T49),$T49&lt;&gt;""),IF(INDEX(LubesCalc!$AC$3:$AC$122,$T49)="","—",INDEX(LubesCalc!$AC$3:$AC$122,$T49)),"")</f>
        <v/>
      </c>
      <c r="L49" s="20">
        <f>IF(AND(ISNUMBER($T49),$T49&lt;&gt;""),IF(INDEX(LubesCalc!$AD$3:$AD$122,$T49)="","—",INDEX(LubesCalc!$AD$3:$AD$122,$T49)),"")</f>
        <v/>
      </c>
      <c r="M49" s="20">
        <f>IF(AND(ISNUMBER($T49),$T49&lt;&gt;""),IF(INDEX(LubesCalc!$AE$3:$AE$122,$T49)="","—",INDEX(LubesCalc!$AE$3:$AE$122,$T49)),"")</f>
        <v/>
      </c>
      <c r="N49" s="20">
        <f>IF(AND(ISNUMBER($T49),$T49&lt;&gt;""),IF(INDEX(LubesCalc!$AF$3:$AF$122,$T49)="","—",INDEX(LubesCalc!$AF$3:$AF$122,$T49)),"")</f>
        <v/>
      </c>
      <c r="O49" s="20">
        <f>IF(AND(ISNUMBER($T49),$T49&lt;&gt;""),IF(INDEX(LubesCalc!$AG$3:$AG$122,$T49)="","—",INDEX(LubesCalc!$AG$3:$AG$122,$T49)),"")</f>
        <v/>
      </c>
      <c r="P49" s="21">
        <f>IF(AND(ISNUMBER($T49),$T49&lt;&gt;""),IF(INDEX(LubesCalc!$AJ$3:$AJ$122,$T49)="","—",INDEX(LubesCalc!$AJ$3:$AJ$122,$T49)),"")</f>
        <v/>
      </c>
      <c r="Q49" s="21">
        <f>IF(AND(ISNUMBER($T49),$T49&lt;&gt;""),IF(INDEX(LubesCalc!$AK$3:$AK$122,$T49)="","—",INDEX(LubesCalc!$AK$3:$AK$122,$T49)),"")</f>
        <v/>
      </c>
      <c r="R49" s="20">
        <f>IF(AND(ISNUMBER($T49),$T49&lt;&gt;""),IF(INDEX(LubesCalc!$AL$3:$AL$122,$T49)="","—",INDEX(LubesCalc!$AL$3:$AL$122,$T49)),"")</f>
        <v/>
      </c>
      <c r="T49">
        <f>IFERROR(MATCH(45,LubesCalc!$AN$3:$AN$122,0),"")</f>
        <v/>
      </c>
    </row>
    <row r="50">
      <c r="A50" s="14">
        <f>IF(AND(ISNUMBER($T50),$T50&lt;&gt;""),INDEX(LubesCalc!$S$3:$S$122,$T50),"")</f>
        <v/>
      </c>
      <c r="B50" s="15">
        <f>IF(AND(ISNUMBER($T50),$T50&lt;&gt;""),IF(INDEX(LubesCalc!$T$3:$T$122,$T50)="","—",INDEX(LubesCalc!$T$3:$T$122,$T50)),"")</f>
        <v/>
      </c>
      <c r="C50" s="15">
        <f>IF(AND(ISNUMBER($T50),$T50&lt;&gt;""),IF(INDEX(LubesCalc!$U$3:$U$122,$T50)="","—",INDEX(LubesCalc!$U$3:$U$122,$T50)),"")</f>
        <v/>
      </c>
      <c r="D50" s="15">
        <f>IF(AND(ISNUMBER($T50),$T50&lt;&gt;""),IF(INDEX(LubesCalc!$V$3:$V$122,$T50)="","—",INDEX(LubesCalc!$V$3:$V$122,$T50)),"")</f>
        <v/>
      </c>
      <c r="E50" s="15">
        <f>IF(AND(ISNUMBER($T50),$T50&lt;&gt;""),IF(INDEX(LubesCalc!$W$3:$W$122,$T50)="","—",INDEX(LubesCalc!$W$3:$W$122,$T50)),"")</f>
        <v/>
      </c>
      <c r="F50" s="15">
        <f>IF(AND(ISNUMBER($T50),$T50&lt;&gt;""),IF(INDEX(LubesCalc!$X$3:$X$122,$T50)="","—",INDEX(LubesCalc!$X$3:$X$122,$T50)),"")</f>
        <v/>
      </c>
      <c r="G50" s="15">
        <f>IF(AND(ISNUMBER($T50),$T50&lt;&gt;""),IF(INDEX(LubesCalc!$Y$3:$Y$122,$T50)="","—",INDEX(LubesCalc!$Y$3:$Y$122,$T50)),"")</f>
        <v/>
      </c>
      <c r="H50" s="15">
        <f>IF(AND(ISNUMBER($T50),$T50&lt;&gt;""),IF(INDEX(LubesCalc!$Z$3:$Z$122,$T50)="","—",INDEX(LubesCalc!$Z$3:$Z$122,$T50)),"")</f>
        <v/>
      </c>
      <c r="I50" s="15">
        <f>IF(AND(ISNUMBER($T50),$T50&lt;&gt;""),IF(INDEX(LubesCalc!$AA$3:$AA$122,$T50)="","—",INDEX(LubesCalc!$AA$3:$AA$122,$T50)),"")</f>
        <v/>
      </c>
      <c r="J50" s="15">
        <f>IF(AND(ISNUMBER($T50),$T50&lt;&gt;""),IF(INDEX(LubesCalc!$AB$3:$AB$122,$T50)="","—",INDEX(LubesCalc!$AB$3:$AB$122,$T50)),"")</f>
        <v/>
      </c>
      <c r="K50" s="15">
        <f>IF(AND(ISNUMBER($T50),$T50&lt;&gt;""),IF(INDEX(LubesCalc!$AC$3:$AC$122,$T50)="","—",INDEX(LubesCalc!$AC$3:$AC$122,$T50)),"")</f>
        <v/>
      </c>
      <c r="L50" s="15">
        <f>IF(AND(ISNUMBER($T50),$T50&lt;&gt;""),IF(INDEX(LubesCalc!$AD$3:$AD$122,$T50)="","—",INDEX(LubesCalc!$AD$3:$AD$122,$T50)),"")</f>
        <v/>
      </c>
      <c r="M50" s="15">
        <f>IF(AND(ISNUMBER($T50),$T50&lt;&gt;""),IF(INDEX(LubesCalc!$AE$3:$AE$122,$T50)="","—",INDEX(LubesCalc!$AE$3:$AE$122,$T50)),"")</f>
        <v/>
      </c>
      <c r="N50" s="15">
        <f>IF(AND(ISNUMBER($T50),$T50&lt;&gt;""),IF(INDEX(LubesCalc!$AF$3:$AF$122,$T50)="","—",INDEX(LubesCalc!$AF$3:$AF$122,$T50)),"")</f>
        <v/>
      </c>
      <c r="O50" s="15">
        <f>IF(AND(ISNUMBER($T50),$T50&lt;&gt;""),IF(INDEX(LubesCalc!$AG$3:$AG$122,$T50)="","—",INDEX(LubesCalc!$AG$3:$AG$122,$T50)),"")</f>
        <v/>
      </c>
      <c r="P50" s="16">
        <f>IF(AND(ISNUMBER($T50),$T50&lt;&gt;""),IF(INDEX(LubesCalc!$AJ$3:$AJ$122,$T50)="","—",INDEX(LubesCalc!$AJ$3:$AJ$122,$T50)),"")</f>
        <v/>
      </c>
      <c r="Q50" s="16">
        <f>IF(AND(ISNUMBER($T50),$T50&lt;&gt;""),IF(INDEX(LubesCalc!$AK$3:$AK$122,$T50)="","—",INDEX(LubesCalc!$AK$3:$AK$122,$T50)),"")</f>
        <v/>
      </c>
      <c r="R50" s="15">
        <f>IF(AND(ISNUMBER($T50),$T50&lt;&gt;""),IF(INDEX(LubesCalc!$AL$3:$AL$122,$T50)="","—",INDEX(LubesCalc!$AL$3:$AL$122,$T50)),"")</f>
        <v/>
      </c>
      <c r="T50">
        <f>IFERROR(MATCH(46,LubesCalc!$AN$3:$AN$122,0),"")</f>
        <v/>
      </c>
    </row>
    <row r="51">
      <c r="A51" s="19">
        <f>IF(AND(ISNUMBER($T51),$T51&lt;&gt;""),INDEX(LubesCalc!$S$3:$S$122,$T51),"")</f>
        <v/>
      </c>
      <c r="B51" s="20">
        <f>IF(AND(ISNUMBER($T51),$T51&lt;&gt;""),IF(INDEX(LubesCalc!$T$3:$T$122,$T51)="","—",INDEX(LubesCalc!$T$3:$T$122,$T51)),"")</f>
        <v/>
      </c>
      <c r="C51" s="20">
        <f>IF(AND(ISNUMBER($T51),$T51&lt;&gt;""),IF(INDEX(LubesCalc!$U$3:$U$122,$T51)="","—",INDEX(LubesCalc!$U$3:$U$122,$T51)),"")</f>
        <v/>
      </c>
      <c r="D51" s="20">
        <f>IF(AND(ISNUMBER($T51),$T51&lt;&gt;""),IF(INDEX(LubesCalc!$V$3:$V$122,$T51)="","—",INDEX(LubesCalc!$V$3:$V$122,$T51)),"")</f>
        <v/>
      </c>
      <c r="E51" s="20">
        <f>IF(AND(ISNUMBER($T51),$T51&lt;&gt;""),IF(INDEX(LubesCalc!$W$3:$W$122,$T51)="","—",INDEX(LubesCalc!$W$3:$W$122,$T51)),"")</f>
        <v/>
      </c>
      <c r="F51" s="20">
        <f>IF(AND(ISNUMBER($T51),$T51&lt;&gt;""),IF(INDEX(LubesCalc!$X$3:$X$122,$T51)="","—",INDEX(LubesCalc!$X$3:$X$122,$T51)),"")</f>
        <v/>
      </c>
      <c r="G51" s="20">
        <f>IF(AND(ISNUMBER($T51),$T51&lt;&gt;""),IF(INDEX(LubesCalc!$Y$3:$Y$122,$T51)="","—",INDEX(LubesCalc!$Y$3:$Y$122,$T51)),"")</f>
        <v/>
      </c>
      <c r="H51" s="20">
        <f>IF(AND(ISNUMBER($T51),$T51&lt;&gt;""),IF(INDEX(LubesCalc!$Z$3:$Z$122,$T51)="","—",INDEX(LubesCalc!$Z$3:$Z$122,$T51)),"")</f>
        <v/>
      </c>
      <c r="I51" s="20">
        <f>IF(AND(ISNUMBER($T51),$T51&lt;&gt;""),IF(INDEX(LubesCalc!$AA$3:$AA$122,$T51)="","—",INDEX(LubesCalc!$AA$3:$AA$122,$T51)),"")</f>
        <v/>
      </c>
      <c r="J51" s="20">
        <f>IF(AND(ISNUMBER($T51),$T51&lt;&gt;""),IF(INDEX(LubesCalc!$AB$3:$AB$122,$T51)="","—",INDEX(LubesCalc!$AB$3:$AB$122,$T51)),"")</f>
        <v/>
      </c>
      <c r="K51" s="20">
        <f>IF(AND(ISNUMBER($T51),$T51&lt;&gt;""),IF(INDEX(LubesCalc!$AC$3:$AC$122,$T51)="","—",INDEX(LubesCalc!$AC$3:$AC$122,$T51)),"")</f>
        <v/>
      </c>
      <c r="L51" s="20">
        <f>IF(AND(ISNUMBER($T51),$T51&lt;&gt;""),IF(INDEX(LubesCalc!$AD$3:$AD$122,$T51)="","—",INDEX(LubesCalc!$AD$3:$AD$122,$T51)),"")</f>
        <v/>
      </c>
      <c r="M51" s="20">
        <f>IF(AND(ISNUMBER($T51),$T51&lt;&gt;""),IF(INDEX(LubesCalc!$AE$3:$AE$122,$T51)="","—",INDEX(LubesCalc!$AE$3:$AE$122,$T51)),"")</f>
        <v/>
      </c>
      <c r="N51" s="20">
        <f>IF(AND(ISNUMBER($T51),$T51&lt;&gt;""),IF(INDEX(LubesCalc!$AF$3:$AF$122,$T51)="","—",INDEX(LubesCalc!$AF$3:$AF$122,$T51)),"")</f>
        <v/>
      </c>
      <c r="O51" s="20">
        <f>IF(AND(ISNUMBER($T51),$T51&lt;&gt;""),IF(INDEX(LubesCalc!$AG$3:$AG$122,$T51)="","—",INDEX(LubesCalc!$AG$3:$AG$122,$T51)),"")</f>
        <v/>
      </c>
      <c r="P51" s="21">
        <f>IF(AND(ISNUMBER($T51),$T51&lt;&gt;""),IF(INDEX(LubesCalc!$AJ$3:$AJ$122,$T51)="","—",INDEX(LubesCalc!$AJ$3:$AJ$122,$T51)),"")</f>
        <v/>
      </c>
      <c r="Q51" s="21">
        <f>IF(AND(ISNUMBER($T51),$T51&lt;&gt;""),IF(INDEX(LubesCalc!$AK$3:$AK$122,$T51)="","—",INDEX(LubesCalc!$AK$3:$AK$122,$T51)),"")</f>
        <v/>
      </c>
      <c r="R51" s="20">
        <f>IF(AND(ISNUMBER($T51),$T51&lt;&gt;""),IF(INDEX(LubesCalc!$AL$3:$AL$122,$T51)="","—",INDEX(LubesCalc!$AL$3:$AL$122,$T51)),"")</f>
        <v/>
      </c>
      <c r="T51">
        <f>IFERROR(MATCH(47,LubesCalc!$AN$3:$AN$122,0),"")</f>
        <v/>
      </c>
    </row>
    <row r="52">
      <c r="A52" s="14">
        <f>IF(AND(ISNUMBER($T52),$T52&lt;&gt;""),INDEX(LubesCalc!$S$3:$S$122,$T52),"")</f>
        <v/>
      </c>
      <c r="B52" s="15">
        <f>IF(AND(ISNUMBER($T52),$T52&lt;&gt;""),IF(INDEX(LubesCalc!$T$3:$T$122,$T52)="","—",INDEX(LubesCalc!$T$3:$T$122,$T52)),"")</f>
        <v/>
      </c>
      <c r="C52" s="15">
        <f>IF(AND(ISNUMBER($T52),$T52&lt;&gt;""),IF(INDEX(LubesCalc!$U$3:$U$122,$T52)="","—",INDEX(LubesCalc!$U$3:$U$122,$T52)),"")</f>
        <v/>
      </c>
      <c r="D52" s="15">
        <f>IF(AND(ISNUMBER($T52),$T52&lt;&gt;""),IF(INDEX(LubesCalc!$V$3:$V$122,$T52)="","—",INDEX(LubesCalc!$V$3:$V$122,$T52)),"")</f>
        <v/>
      </c>
      <c r="E52" s="15">
        <f>IF(AND(ISNUMBER($T52),$T52&lt;&gt;""),IF(INDEX(LubesCalc!$W$3:$W$122,$T52)="","—",INDEX(LubesCalc!$W$3:$W$122,$T52)),"")</f>
        <v/>
      </c>
      <c r="F52" s="15">
        <f>IF(AND(ISNUMBER($T52),$T52&lt;&gt;""),IF(INDEX(LubesCalc!$X$3:$X$122,$T52)="","—",INDEX(LubesCalc!$X$3:$X$122,$T52)),"")</f>
        <v/>
      </c>
      <c r="G52" s="15">
        <f>IF(AND(ISNUMBER($T52),$T52&lt;&gt;""),IF(INDEX(LubesCalc!$Y$3:$Y$122,$T52)="","—",INDEX(LubesCalc!$Y$3:$Y$122,$T52)),"")</f>
        <v/>
      </c>
      <c r="H52" s="15">
        <f>IF(AND(ISNUMBER($T52),$T52&lt;&gt;""),IF(INDEX(LubesCalc!$Z$3:$Z$122,$T52)="","—",INDEX(LubesCalc!$Z$3:$Z$122,$T52)),"")</f>
        <v/>
      </c>
      <c r="I52" s="15">
        <f>IF(AND(ISNUMBER($T52),$T52&lt;&gt;""),IF(INDEX(LubesCalc!$AA$3:$AA$122,$T52)="","—",INDEX(LubesCalc!$AA$3:$AA$122,$T52)),"")</f>
        <v/>
      </c>
      <c r="J52" s="15">
        <f>IF(AND(ISNUMBER($T52),$T52&lt;&gt;""),IF(INDEX(LubesCalc!$AB$3:$AB$122,$T52)="","—",INDEX(LubesCalc!$AB$3:$AB$122,$T52)),"")</f>
        <v/>
      </c>
      <c r="K52" s="15">
        <f>IF(AND(ISNUMBER($T52),$T52&lt;&gt;""),IF(INDEX(LubesCalc!$AC$3:$AC$122,$T52)="","—",INDEX(LubesCalc!$AC$3:$AC$122,$T52)),"")</f>
        <v/>
      </c>
      <c r="L52" s="15">
        <f>IF(AND(ISNUMBER($T52),$T52&lt;&gt;""),IF(INDEX(LubesCalc!$AD$3:$AD$122,$T52)="","—",INDEX(LubesCalc!$AD$3:$AD$122,$T52)),"")</f>
        <v/>
      </c>
      <c r="M52" s="15">
        <f>IF(AND(ISNUMBER($T52),$T52&lt;&gt;""),IF(INDEX(LubesCalc!$AE$3:$AE$122,$T52)="","—",INDEX(LubesCalc!$AE$3:$AE$122,$T52)),"")</f>
        <v/>
      </c>
      <c r="N52" s="15">
        <f>IF(AND(ISNUMBER($T52),$T52&lt;&gt;""),IF(INDEX(LubesCalc!$AF$3:$AF$122,$T52)="","—",INDEX(LubesCalc!$AF$3:$AF$122,$T52)),"")</f>
        <v/>
      </c>
      <c r="O52" s="15">
        <f>IF(AND(ISNUMBER($T52),$T52&lt;&gt;""),IF(INDEX(LubesCalc!$AG$3:$AG$122,$T52)="","—",INDEX(LubesCalc!$AG$3:$AG$122,$T52)),"")</f>
        <v/>
      </c>
      <c r="P52" s="16">
        <f>IF(AND(ISNUMBER($T52),$T52&lt;&gt;""),IF(INDEX(LubesCalc!$AJ$3:$AJ$122,$T52)="","—",INDEX(LubesCalc!$AJ$3:$AJ$122,$T52)),"")</f>
        <v/>
      </c>
      <c r="Q52" s="16">
        <f>IF(AND(ISNUMBER($T52),$T52&lt;&gt;""),IF(INDEX(LubesCalc!$AK$3:$AK$122,$T52)="","—",INDEX(LubesCalc!$AK$3:$AK$122,$T52)),"")</f>
        <v/>
      </c>
      <c r="R52" s="15">
        <f>IF(AND(ISNUMBER($T52),$T52&lt;&gt;""),IF(INDEX(LubesCalc!$AL$3:$AL$122,$T52)="","—",INDEX(LubesCalc!$AL$3:$AL$122,$T52)),"")</f>
        <v/>
      </c>
      <c r="T52">
        <f>IFERROR(MATCH(48,LubesCalc!$AN$3:$AN$122,0),"")</f>
        <v/>
      </c>
    </row>
    <row r="53">
      <c r="A53" s="19">
        <f>IF(AND(ISNUMBER($T53),$T53&lt;&gt;""),INDEX(LubesCalc!$S$3:$S$122,$T53),"")</f>
        <v/>
      </c>
      <c r="B53" s="20">
        <f>IF(AND(ISNUMBER($T53),$T53&lt;&gt;""),IF(INDEX(LubesCalc!$T$3:$T$122,$T53)="","—",INDEX(LubesCalc!$T$3:$T$122,$T53)),"")</f>
        <v/>
      </c>
      <c r="C53" s="20">
        <f>IF(AND(ISNUMBER($T53),$T53&lt;&gt;""),IF(INDEX(LubesCalc!$U$3:$U$122,$T53)="","—",INDEX(LubesCalc!$U$3:$U$122,$T53)),"")</f>
        <v/>
      </c>
      <c r="D53" s="20">
        <f>IF(AND(ISNUMBER($T53),$T53&lt;&gt;""),IF(INDEX(LubesCalc!$V$3:$V$122,$T53)="","—",INDEX(LubesCalc!$V$3:$V$122,$T53)),"")</f>
        <v/>
      </c>
      <c r="E53" s="20">
        <f>IF(AND(ISNUMBER($T53),$T53&lt;&gt;""),IF(INDEX(LubesCalc!$W$3:$W$122,$T53)="","—",INDEX(LubesCalc!$W$3:$W$122,$T53)),"")</f>
        <v/>
      </c>
      <c r="F53" s="20">
        <f>IF(AND(ISNUMBER($T53),$T53&lt;&gt;""),IF(INDEX(LubesCalc!$X$3:$X$122,$T53)="","—",INDEX(LubesCalc!$X$3:$X$122,$T53)),"")</f>
        <v/>
      </c>
      <c r="G53" s="20">
        <f>IF(AND(ISNUMBER($T53),$T53&lt;&gt;""),IF(INDEX(LubesCalc!$Y$3:$Y$122,$T53)="","—",INDEX(LubesCalc!$Y$3:$Y$122,$T53)),"")</f>
        <v/>
      </c>
      <c r="H53" s="20">
        <f>IF(AND(ISNUMBER($T53),$T53&lt;&gt;""),IF(INDEX(LubesCalc!$Z$3:$Z$122,$T53)="","—",INDEX(LubesCalc!$Z$3:$Z$122,$T53)),"")</f>
        <v/>
      </c>
      <c r="I53" s="20">
        <f>IF(AND(ISNUMBER($T53),$T53&lt;&gt;""),IF(INDEX(LubesCalc!$AA$3:$AA$122,$T53)="","—",INDEX(LubesCalc!$AA$3:$AA$122,$T53)),"")</f>
        <v/>
      </c>
      <c r="J53" s="20">
        <f>IF(AND(ISNUMBER($T53),$T53&lt;&gt;""),IF(INDEX(LubesCalc!$AB$3:$AB$122,$T53)="","—",INDEX(LubesCalc!$AB$3:$AB$122,$T53)),"")</f>
        <v/>
      </c>
      <c r="K53" s="20">
        <f>IF(AND(ISNUMBER($T53),$T53&lt;&gt;""),IF(INDEX(LubesCalc!$AC$3:$AC$122,$T53)="","—",INDEX(LubesCalc!$AC$3:$AC$122,$T53)),"")</f>
        <v/>
      </c>
      <c r="L53" s="20">
        <f>IF(AND(ISNUMBER($T53),$T53&lt;&gt;""),IF(INDEX(LubesCalc!$AD$3:$AD$122,$T53)="","—",INDEX(LubesCalc!$AD$3:$AD$122,$T53)),"")</f>
        <v/>
      </c>
      <c r="M53" s="20">
        <f>IF(AND(ISNUMBER($T53),$T53&lt;&gt;""),IF(INDEX(LubesCalc!$AE$3:$AE$122,$T53)="","—",INDEX(LubesCalc!$AE$3:$AE$122,$T53)),"")</f>
        <v/>
      </c>
      <c r="N53" s="20">
        <f>IF(AND(ISNUMBER($T53),$T53&lt;&gt;""),IF(INDEX(LubesCalc!$AF$3:$AF$122,$T53)="","—",INDEX(LubesCalc!$AF$3:$AF$122,$T53)),"")</f>
        <v/>
      </c>
      <c r="O53" s="20">
        <f>IF(AND(ISNUMBER($T53),$T53&lt;&gt;""),IF(INDEX(LubesCalc!$AG$3:$AG$122,$T53)="","—",INDEX(LubesCalc!$AG$3:$AG$122,$T53)),"")</f>
        <v/>
      </c>
      <c r="P53" s="21">
        <f>IF(AND(ISNUMBER($T53),$T53&lt;&gt;""),IF(INDEX(LubesCalc!$AJ$3:$AJ$122,$T53)="","—",INDEX(LubesCalc!$AJ$3:$AJ$122,$T53)),"")</f>
        <v/>
      </c>
      <c r="Q53" s="21">
        <f>IF(AND(ISNUMBER($T53),$T53&lt;&gt;""),IF(INDEX(LubesCalc!$AK$3:$AK$122,$T53)="","—",INDEX(LubesCalc!$AK$3:$AK$122,$T53)),"")</f>
        <v/>
      </c>
      <c r="R53" s="20">
        <f>IF(AND(ISNUMBER($T53),$T53&lt;&gt;""),IF(INDEX(LubesCalc!$AL$3:$AL$122,$T53)="","—",INDEX(LubesCalc!$AL$3:$AL$122,$T53)),"")</f>
        <v/>
      </c>
      <c r="T53">
        <f>IFERROR(MATCH(49,LubesCalc!$AN$3:$AN$122,0),"")</f>
        <v/>
      </c>
    </row>
    <row r="54">
      <c r="A54" s="14">
        <f>IF(AND(ISNUMBER($T54),$T54&lt;&gt;""),INDEX(LubesCalc!$S$3:$S$122,$T54),"")</f>
        <v/>
      </c>
      <c r="B54" s="15">
        <f>IF(AND(ISNUMBER($T54),$T54&lt;&gt;""),IF(INDEX(LubesCalc!$T$3:$T$122,$T54)="","—",INDEX(LubesCalc!$T$3:$T$122,$T54)),"")</f>
        <v/>
      </c>
      <c r="C54" s="15">
        <f>IF(AND(ISNUMBER($T54),$T54&lt;&gt;""),IF(INDEX(LubesCalc!$U$3:$U$122,$T54)="","—",INDEX(LubesCalc!$U$3:$U$122,$T54)),"")</f>
        <v/>
      </c>
      <c r="D54" s="15">
        <f>IF(AND(ISNUMBER($T54),$T54&lt;&gt;""),IF(INDEX(LubesCalc!$V$3:$V$122,$T54)="","—",INDEX(LubesCalc!$V$3:$V$122,$T54)),"")</f>
        <v/>
      </c>
      <c r="E54" s="15">
        <f>IF(AND(ISNUMBER($T54),$T54&lt;&gt;""),IF(INDEX(LubesCalc!$W$3:$W$122,$T54)="","—",INDEX(LubesCalc!$W$3:$W$122,$T54)),"")</f>
        <v/>
      </c>
      <c r="F54" s="15">
        <f>IF(AND(ISNUMBER($T54),$T54&lt;&gt;""),IF(INDEX(LubesCalc!$X$3:$X$122,$T54)="","—",INDEX(LubesCalc!$X$3:$X$122,$T54)),"")</f>
        <v/>
      </c>
      <c r="G54" s="15">
        <f>IF(AND(ISNUMBER($T54),$T54&lt;&gt;""),IF(INDEX(LubesCalc!$Y$3:$Y$122,$T54)="","—",INDEX(LubesCalc!$Y$3:$Y$122,$T54)),"")</f>
        <v/>
      </c>
      <c r="H54" s="15">
        <f>IF(AND(ISNUMBER($T54),$T54&lt;&gt;""),IF(INDEX(LubesCalc!$Z$3:$Z$122,$T54)="","—",INDEX(LubesCalc!$Z$3:$Z$122,$T54)),"")</f>
        <v/>
      </c>
      <c r="I54" s="15">
        <f>IF(AND(ISNUMBER($T54),$T54&lt;&gt;""),IF(INDEX(LubesCalc!$AA$3:$AA$122,$T54)="","—",INDEX(LubesCalc!$AA$3:$AA$122,$T54)),"")</f>
        <v/>
      </c>
      <c r="J54" s="15">
        <f>IF(AND(ISNUMBER($T54),$T54&lt;&gt;""),IF(INDEX(LubesCalc!$AB$3:$AB$122,$T54)="","—",INDEX(LubesCalc!$AB$3:$AB$122,$T54)),"")</f>
        <v/>
      </c>
      <c r="K54" s="15">
        <f>IF(AND(ISNUMBER($T54),$T54&lt;&gt;""),IF(INDEX(LubesCalc!$AC$3:$AC$122,$T54)="","—",INDEX(LubesCalc!$AC$3:$AC$122,$T54)),"")</f>
        <v/>
      </c>
      <c r="L54" s="15">
        <f>IF(AND(ISNUMBER($T54),$T54&lt;&gt;""),IF(INDEX(LubesCalc!$AD$3:$AD$122,$T54)="","—",INDEX(LubesCalc!$AD$3:$AD$122,$T54)),"")</f>
        <v/>
      </c>
      <c r="M54" s="15">
        <f>IF(AND(ISNUMBER($T54),$T54&lt;&gt;""),IF(INDEX(LubesCalc!$AE$3:$AE$122,$T54)="","—",INDEX(LubesCalc!$AE$3:$AE$122,$T54)),"")</f>
        <v/>
      </c>
      <c r="N54" s="15">
        <f>IF(AND(ISNUMBER($T54),$T54&lt;&gt;""),IF(INDEX(LubesCalc!$AF$3:$AF$122,$T54)="","—",INDEX(LubesCalc!$AF$3:$AF$122,$T54)),"")</f>
        <v/>
      </c>
      <c r="O54" s="15">
        <f>IF(AND(ISNUMBER($T54),$T54&lt;&gt;""),IF(INDEX(LubesCalc!$AG$3:$AG$122,$T54)="","—",INDEX(LubesCalc!$AG$3:$AG$122,$T54)),"")</f>
        <v/>
      </c>
      <c r="P54" s="16">
        <f>IF(AND(ISNUMBER($T54),$T54&lt;&gt;""),IF(INDEX(LubesCalc!$AJ$3:$AJ$122,$T54)="","—",INDEX(LubesCalc!$AJ$3:$AJ$122,$T54)),"")</f>
        <v/>
      </c>
      <c r="Q54" s="16">
        <f>IF(AND(ISNUMBER($T54),$T54&lt;&gt;""),IF(INDEX(LubesCalc!$AK$3:$AK$122,$T54)="","—",INDEX(LubesCalc!$AK$3:$AK$122,$T54)),"")</f>
        <v/>
      </c>
      <c r="R54" s="15">
        <f>IF(AND(ISNUMBER($T54),$T54&lt;&gt;""),IF(INDEX(LubesCalc!$AL$3:$AL$122,$T54)="","—",INDEX(LubesCalc!$AL$3:$AL$122,$T54)),"")</f>
        <v/>
      </c>
      <c r="T54">
        <f>IFERROR(MATCH(50,LubesCalc!$AN$3:$AN$122,0),"")</f>
        <v/>
      </c>
    </row>
    <row r="55">
      <c r="A55" s="19">
        <f>IF(AND(ISNUMBER($T55),$T55&lt;&gt;""),INDEX(LubesCalc!$S$3:$S$122,$T55),"")</f>
        <v/>
      </c>
      <c r="B55" s="20">
        <f>IF(AND(ISNUMBER($T55),$T55&lt;&gt;""),IF(INDEX(LubesCalc!$T$3:$T$122,$T55)="","—",INDEX(LubesCalc!$T$3:$T$122,$T55)),"")</f>
        <v/>
      </c>
      <c r="C55" s="20">
        <f>IF(AND(ISNUMBER($T55),$T55&lt;&gt;""),IF(INDEX(LubesCalc!$U$3:$U$122,$T55)="","—",INDEX(LubesCalc!$U$3:$U$122,$T55)),"")</f>
        <v/>
      </c>
      <c r="D55" s="20">
        <f>IF(AND(ISNUMBER($T55),$T55&lt;&gt;""),IF(INDEX(LubesCalc!$V$3:$V$122,$T55)="","—",INDEX(LubesCalc!$V$3:$V$122,$T55)),"")</f>
        <v/>
      </c>
      <c r="E55" s="20">
        <f>IF(AND(ISNUMBER($T55),$T55&lt;&gt;""),IF(INDEX(LubesCalc!$W$3:$W$122,$T55)="","—",INDEX(LubesCalc!$W$3:$W$122,$T55)),"")</f>
        <v/>
      </c>
      <c r="F55" s="20">
        <f>IF(AND(ISNUMBER($T55),$T55&lt;&gt;""),IF(INDEX(LubesCalc!$X$3:$X$122,$T55)="","—",INDEX(LubesCalc!$X$3:$X$122,$T55)),"")</f>
        <v/>
      </c>
      <c r="G55" s="20">
        <f>IF(AND(ISNUMBER($T55),$T55&lt;&gt;""),IF(INDEX(LubesCalc!$Y$3:$Y$122,$T55)="","—",INDEX(LubesCalc!$Y$3:$Y$122,$T55)),"")</f>
        <v/>
      </c>
      <c r="H55" s="20">
        <f>IF(AND(ISNUMBER($T55),$T55&lt;&gt;""),IF(INDEX(LubesCalc!$Z$3:$Z$122,$T55)="","—",INDEX(LubesCalc!$Z$3:$Z$122,$T55)),"")</f>
        <v/>
      </c>
      <c r="I55" s="20">
        <f>IF(AND(ISNUMBER($T55),$T55&lt;&gt;""),IF(INDEX(LubesCalc!$AA$3:$AA$122,$T55)="","—",INDEX(LubesCalc!$AA$3:$AA$122,$T55)),"")</f>
        <v/>
      </c>
      <c r="J55" s="20">
        <f>IF(AND(ISNUMBER($T55),$T55&lt;&gt;""),IF(INDEX(LubesCalc!$AB$3:$AB$122,$T55)="","—",INDEX(LubesCalc!$AB$3:$AB$122,$T55)),"")</f>
        <v/>
      </c>
      <c r="K55" s="20">
        <f>IF(AND(ISNUMBER($T55),$T55&lt;&gt;""),IF(INDEX(LubesCalc!$AC$3:$AC$122,$T55)="","—",INDEX(LubesCalc!$AC$3:$AC$122,$T55)),"")</f>
        <v/>
      </c>
      <c r="L55" s="20">
        <f>IF(AND(ISNUMBER($T55),$T55&lt;&gt;""),IF(INDEX(LubesCalc!$AD$3:$AD$122,$T55)="","—",INDEX(LubesCalc!$AD$3:$AD$122,$T55)),"")</f>
        <v/>
      </c>
      <c r="M55" s="20">
        <f>IF(AND(ISNUMBER($T55),$T55&lt;&gt;""),IF(INDEX(LubesCalc!$AE$3:$AE$122,$T55)="","—",INDEX(LubesCalc!$AE$3:$AE$122,$T55)),"")</f>
        <v/>
      </c>
      <c r="N55" s="20">
        <f>IF(AND(ISNUMBER($T55),$T55&lt;&gt;""),IF(INDEX(LubesCalc!$AF$3:$AF$122,$T55)="","—",INDEX(LubesCalc!$AF$3:$AF$122,$T55)),"")</f>
        <v/>
      </c>
      <c r="O55" s="20">
        <f>IF(AND(ISNUMBER($T55),$T55&lt;&gt;""),IF(INDEX(LubesCalc!$AG$3:$AG$122,$T55)="","—",INDEX(LubesCalc!$AG$3:$AG$122,$T55)),"")</f>
        <v/>
      </c>
      <c r="P55" s="21">
        <f>IF(AND(ISNUMBER($T55),$T55&lt;&gt;""),IF(INDEX(LubesCalc!$AJ$3:$AJ$122,$T55)="","—",INDEX(LubesCalc!$AJ$3:$AJ$122,$T55)),"")</f>
        <v/>
      </c>
      <c r="Q55" s="21">
        <f>IF(AND(ISNUMBER($T55),$T55&lt;&gt;""),IF(INDEX(LubesCalc!$AK$3:$AK$122,$T55)="","—",INDEX(LubesCalc!$AK$3:$AK$122,$T55)),"")</f>
        <v/>
      </c>
      <c r="R55" s="20">
        <f>IF(AND(ISNUMBER($T55),$T55&lt;&gt;""),IF(INDEX(LubesCalc!$AL$3:$AL$122,$T55)="","—",INDEX(LubesCalc!$AL$3:$AL$122,$T55)),"")</f>
        <v/>
      </c>
      <c r="T55">
        <f>IFERROR(MATCH(51,LubesCalc!$AN$3:$AN$122,0),"")</f>
        <v/>
      </c>
    </row>
    <row r="56">
      <c r="A56" s="14">
        <f>IF(AND(ISNUMBER($T56),$T56&lt;&gt;""),INDEX(LubesCalc!$S$3:$S$122,$T56),"")</f>
        <v/>
      </c>
      <c r="B56" s="15">
        <f>IF(AND(ISNUMBER($T56),$T56&lt;&gt;""),IF(INDEX(LubesCalc!$T$3:$T$122,$T56)="","—",INDEX(LubesCalc!$T$3:$T$122,$T56)),"")</f>
        <v/>
      </c>
      <c r="C56" s="15">
        <f>IF(AND(ISNUMBER($T56),$T56&lt;&gt;""),IF(INDEX(LubesCalc!$U$3:$U$122,$T56)="","—",INDEX(LubesCalc!$U$3:$U$122,$T56)),"")</f>
        <v/>
      </c>
      <c r="D56" s="15">
        <f>IF(AND(ISNUMBER($T56),$T56&lt;&gt;""),IF(INDEX(LubesCalc!$V$3:$V$122,$T56)="","—",INDEX(LubesCalc!$V$3:$V$122,$T56)),"")</f>
        <v/>
      </c>
      <c r="E56" s="15">
        <f>IF(AND(ISNUMBER($T56),$T56&lt;&gt;""),IF(INDEX(LubesCalc!$W$3:$W$122,$T56)="","—",INDEX(LubesCalc!$W$3:$W$122,$T56)),"")</f>
        <v/>
      </c>
      <c r="F56" s="15">
        <f>IF(AND(ISNUMBER($T56),$T56&lt;&gt;""),IF(INDEX(LubesCalc!$X$3:$X$122,$T56)="","—",INDEX(LubesCalc!$X$3:$X$122,$T56)),"")</f>
        <v/>
      </c>
      <c r="G56" s="15">
        <f>IF(AND(ISNUMBER($T56),$T56&lt;&gt;""),IF(INDEX(LubesCalc!$Y$3:$Y$122,$T56)="","—",INDEX(LubesCalc!$Y$3:$Y$122,$T56)),"")</f>
        <v/>
      </c>
      <c r="H56" s="15">
        <f>IF(AND(ISNUMBER($T56),$T56&lt;&gt;""),IF(INDEX(LubesCalc!$Z$3:$Z$122,$T56)="","—",INDEX(LubesCalc!$Z$3:$Z$122,$T56)),"")</f>
        <v/>
      </c>
      <c r="I56" s="15">
        <f>IF(AND(ISNUMBER($T56),$T56&lt;&gt;""),IF(INDEX(LubesCalc!$AA$3:$AA$122,$T56)="","—",INDEX(LubesCalc!$AA$3:$AA$122,$T56)),"")</f>
        <v/>
      </c>
      <c r="J56" s="15">
        <f>IF(AND(ISNUMBER($T56),$T56&lt;&gt;""),IF(INDEX(LubesCalc!$AB$3:$AB$122,$T56)="","—",INDEX(LubesCalc!$AB$3:$AB$122,$T56)),"")</f>
        <v/>
      </c>
      <c r="K56" s="15">
        <f>IF(AND(ISNUMBER($T56),$T56&lt;&gt;""),IF(INDEX(LubesCalc!$AC$3:$AC$122,$T56)="","—",INDEX(LubesCalc!$AC$3:$AC$122,$T56)),"")</f>
        <v/>
      </c>
      <c r="L56" s="15">
        <f>IF(AND(ISNUMBER($T56),$T56&lt;&gt;""),IF(INDEX(LubesCalc!$AD$3:$AD$122,$T56)="","—",INDEX(LubesCalc!$AD$3:$AD$122,$T56)),"")</f>
        <v/>
      </c>
      <c r="M56" s="15">
        <f>IF(AND(ISNUMBER($T56),$T56&lt;&gt;""),IF(INDEX(LubesCalc!$AE$3:$AE$122,$T56)="","—",INDEX(LubesCalc!$AE$3:$AE$122,$T56)),"")</f>
        <v/>
      </c>
      <c r="N56" s="15">
        <f>IF(AND(ISNUMBER($T56),$T56&lt;&gt;""),IF(INDEX(LubesCalc!$AF$3:$AF$122,$T56)="","—",INDEX(LubesCalc!$AF$3:$AF$122,$T56)),"")</f>
        <v/>
      </c>
      <c r="O56" s="15">
        <f>IF(AND(ISNUMBER($T56),$T56&lt;&gt;""),IF(INDEX(LubesCalc!$AG$3:$AG$122,$T56)="","—",INDEX(LubesCalc!$AG$3:$AG$122,$T56)),"")</f>
        <v/>
      </c>
      <c r="P56" s="16">
        <f>IF(AND(ISNUMBER($T56),$T56&lt;&gt;""),IF(INDEX(LubesCalc!$AJ$3:$AJ$122,$T56)="","—",INDEX(LubesCalc!$AJ$3:$AJ$122,$T56)),"")</f>
        <v/>
      </c>
      <c r="Q56" s="16">
        <f>IF(AND(ISNUMBER($T56),$T56&lt;&gt;""),IF(INDEX(LubesCalc!$AK$3:$AK$122,$T56)="","—",INDEX(LubesCalc!$AK$3:$AK$122,$T56)),"")</f>
        <v/>
      </c>
      <c r="R56" s="15">
        <f>IF(AND(ISNUMBER($T56),$T56&lt;&gt;""),IF(INDEX(LubesCalc!$AL$3:$AL$122,$T56)="","—",INDEX(LubesCalc!$AL$3:$AL$122,$T56)),"")</f>
        <v/>
      </c>
      <c r="T56">
        <f>IFERROR(MATCH(52,LubesCalc!$AN$3:$AN$122,0),"")</f>
        <v/>
      </c>
    </row>
    <row r="57">
      <c r="A57" s="19">
        <f>IF(AND(ISNUMBER($T57),$T57&lt;&gt;""),INDEX(LubesCalc!$S$3:$S$122,$T57),"")</f>
        <v/>
      </c>
      <c r="B57" s="20">
        <f>IF(AND(ISNUMBER($T57),$T57&lt;&gt;""),IF(INDEX(LubesCalc!$T$3:$T$122,$T57)="","—",INDEX(LubesCalc!$T$3:$T$122,$T57)),"")</f>
        <v/>
      </c>
      <c r="C57" s="20">
        <f>IF(AND(ISNUMBER($T57),$T57&lt;&gt;""),IF(INDEX(LubesCalc!$U$3:$U$122,$T57)="","—",INDEX(LubesCalc!$U$3:$U$122,$T57)),"")</f>
        <v/>
      </c>
      <c r="D57" s="20">
        <f>IF(AND(ISNUMBER($T57),$T57&lt;&gt;""),IF(INDEX(LubesCalc!$V$3:$V$122,$T57)="","—",INDEX(LubesCalc!$V$3:$V$122,$T57)),"")</f>
        <v/>
      </c>
      <c r="E57" s="20">
        <f>IF(AND(ISNUMBER($T57),$T57&lt;&gt;""),IF(INDEX(LubesCalc!$W$3:$W$122,$T57)="","—",INDEX(LubesCalc!$W$3:$W$122,$T57)),"")</f>
        <v/>
      </c>
      <c r="F57" s="20">
        <f>IF(AND(ISNUMBER($T57),$T57&lt;&gt;""),IF(INDEX(LubesCalc!$X$3:$X$122,$T57)="","—",INDEX(LubesCalc!$X$3:$X$122,$T57)),"")</f>
        <v/>
      </c>
      <c r="G57" s="20">
        <f>IF(AND(ISNUMBER($T57),$T57&lt;&gt;""),IF(INDEX(LubesCalc!$Y$3:$Y$122,$T57)="","—",INDEX(LubesCalc!$Y$3:$Y$122,$T57)),"")</f>
        <v/>
      </c>
      <c r="H57" s="20">
        <f>IF(AND(ISNUMBER($T57),$T57&lt;&gt;""),IF(INDEX(LubesCalc!$Z$3:$Z$122,$T57)="","—",INDEX(LubesCalc!$Z$3:$Z$122,$T57)),"")</f>
        <v/>
      </c>
      <c r="I57" s="20">
        <f>IF(AND(ISNUMBER($T57),$T57&lt;&gt;""),IF(INDEX(LubesCalc!$AA$3:$AA$122,$T57)="","—",INDEX(LubesCalc!$AA$3:$AA$122,$T57)),"")</f>
        <v/>
      </c>
      <c r="J57" s="20">
        <f>IF(AND(ISNUMBER($T57),$T57&lt;&gt;""),IF(INDEX(LubesCalc!$AB$3:$AB$122,$T57)="","—",INDEX(LubesCalc!$AB$3:$AB$122,$T57)),"")</f>
        <v/>
      </c>
      <c r="K57" s="20">
        <f>IF(AND(ISNUMBER($T57),$T57&lt;&gt;""),IF(INDEX(LubesCalc!$AC$3:$AC$122,$T57)="","—",INDEX(LubesCalc!$AC$3:$AC$122,$T57)),"")</f>
        <v/>
      </c>
      <c r="L57" s="20">
        <f>IF(AND(ISNUMBER($T57),$T57&lt;&gt;""),IF(INDEX(LubesCalc!$AD$3:$AD$122,$T57)="","—",INDEX(LubesCalc!$AD$3:$AD$122,$T57)),"")</f>
        <v/>
      </c>
      <c r="M57" s="20">
        <f>IF(AND(ISNUMBER($T57),$T57&lt;&gt;""),IF(INDEX(LubesCalc!$AE$3:$AE$122,$T57)="","—",INDEX(LubesCalc!$AE$3:$AE$122,$T57)),"")</f>
        <v/>
      </c>
      <c r="N57" s="20">
        <f>IF(AND(ISNUMBER($T57),$T57&lt;&gt;""),IF(INDEX(LubesCalc!$AF$3:$AF$122,$T57)="","—",INDEX(LubesCalc!$AF$3:$AF$122,$T57)),"")</f>
        <v/>
      </c>
      <c r="O57" s="20">
        <f>IF(AND(ISNUMBER($T57),$T57&lt;&gt;""),IF(INDEX(LubesCalc!$AG$3:$AG$122,$T57)="","—",INDEX(LubesCalc!$AG$3:$AG$122,$T57)),"")</f>
        <v/>
      </c>
      <c r="P57" s="21">
        <f>IF(AND(ISNUMBER($T57),$T57&lt;&gt;""),IF(INDEX(LubesCalc!$AJ$3:$AJ$122,$T57)="","—",INDEX(LubesCalc!$AJ$3:$AJ$122,$T57)),"")</f>
        <v/>
      </c>
      <c r="Q57" s="21">
        <f>IF(AND(ISNUMBER($T57),$T57&lt;&gt;""),IF(INDEX(LubesCalc!$AK$3:$AK$122,$T57)="","—",INDEX(LubesCalc!$AK$3:$AK$122,$T57)),"")</f>
        <v/>
      </c>
      <c r="R57" s="20">
        <f>IF(AND(ISNUMBER($T57),$T57&lt;&gt;""),IF(INDEX(LubesCalc!$AL$3:$AL$122,$T57)="","—",INDEX(LubesCalc!$AL$3:$AL$122,$T57)),"")</f>
        <v/>
      </c>
      <c r="T57">
        <f>IFERROR(MATCH(53,LubesCalc!$AN$3:$AN$122,0),"")</f>
        <v/>
      </c>
    </row>
    <row r="58">
      <c r="A58" s="14">
        <f>IF(AND(ISNUMBER($T58),$T58&lt;&gt;""),INDEX(LubesCalc!$S$3:$S$122,$T58),"")</f>
        <v/>
      </c>
      <c r="B58" s="15">
        <f>IF(AND(ISNUMBER($T58),$T58&lt;&gt;""),IF(INDEX(LubesCalc!$T$3:$T$122,$T58)="","—",INDEX(LubesCalc!$T$3:$T$122,$T58)),"")</f>
        <v/>
      </c>
      <c r="C58" s="15">
        <f>IF(AND(ISNUMBER($T58),$T58&lt;&gt;""),IF(INDEX(LubesCalc!$U$3:$U$122,$T58)="","—",INDEX(LubesCalc!$U$3:$U$122,$T58)),"")</f>
        <v/>
      </c>
      <c r="D58" s="15">
        <f>IF(AND(ISNUMBER($T58),$T58&lt;&gt;""),IF(INDEX(LubesCalc!$V$3:$V$122,$T58)="","—",INDEX(LubesCalc!$V$3:$V$122,$T58)),"")</f>
        <v/>
      </c>
      <c r="E58" s="15">
        <f>IF(AND(ISNUMBER($T58),$T58&lt;&gt;""),IF(INDEX(LubesCalc!$W$3:$W$122,$T58)="","—",INDEX(LubesCalc!$W$3:$W$122,$T58)),"")</f>
        <v/>
      </c>
      <c r="F58" s="15">
        <f>IF(AND(ISNUMBER($T58),$T58&lt;&gt;""),IF(INDEX(LubesCalc!$X$3:$X$122,$T58)="","—",INDEX(LubesCalc!$X$3:$X$122,$T58)),"")</f>
        <v/>
      </c>
      <c r="G58" s="15">
        <f>IF(AND(ISNUMBER($T58),$T58&lt;&gt;""),IF(INDEX(LubesCalc!$Y$3:$Y$122,$T58)="","—",INDEX(LubesCalc!$Y$3:$Y$122,$T58)),"")</f>
        <v/>
      </c>
      <c r="H58" s="15">
        <f>IF(AND(ISNUMBER($T58),$T58&lt;&gt;""),IF(INDEX(LubesCalc!$Z$3:$Z$122,$T58)="","—",INDEX(LubesCalc!$Z$3:$Z$122,$T58)),"")</f>
        <v/>
      </c>
      <c r="I58" s="15">
        <f>IF(AND(ISNUMBER($T58),$T58&lt;&gt;""),IF(INDEX(LubesCalc!$AA$3:$AA$122,$T58)="","—",INDEX(LubesCalc!$AA$3:$AA$122,$T58)),"")</f>
        <v/>
      </c>
      <c r="J58" s="15">
        <f>IF(AND(ISNUMBER($T58),$T58&lt;&gt;""),IF(INDEX(LubesCalc!$AB$3:$AB$122,$T58)="","—",INDEX(LubesCalc!$AB$3:$AB$122,$T58)),"")</f>
        <v/>
      </c>
      <c r="K58" s="15">
        <f>IF(AND(ISNUMBER($T58),$T58&lt;&gt;""),IF(INDEX(LubesCalc!$AC$3:$AC$122,$T58)="","—",INDEX(LubesCalc!$AC$3:$AC$122,$T58)),"")</f>
        <v/>
      </c>
      <c r="L58" s="15">
        <f>IF(AND(ISNUMBER($T58),$T58&lt;&gt;""),IF(INDEX(LubesCalc!$AD$3:$AD$122,$T58)="","—",INDEX(LubesCalc!$AD$3:$AD$122,$T58)),"")</f>
        <v/>
      </c>
      <c r="M58" s="15">
        <f>IF(AND(ISNUMBER($T58),$T58&lt;&gt;""),IF(INDEX(LubesCalc!$AE$3:$AE$122,$T58)="","—",INDEX(LubesCalc!$AE$3:$AE$122,$T58)),"")</f>
        <v/>
      </c>
      <c r="N58" s="15">
        <f>IF(AND(ISNUMBER($T58),$T58&lt;&gt;""),IF(INDEX(LubesCalc!$AF$3:$AF$122,$T58)="","—",INDEX(LubesCalc!$AF$3:$AF$122,$T58)),"")</f>
        <v/>
      </c>
      <c r="O58" s="15">
        <f>IF(AND(ISNUMBER($T58),$T58&lt;&gt;""),IF(INDEX(LubesCalc!$AG$3:$AG$122,$T58)="","—",INDEX(LubesCalc!$AG$3:$AG$122,$T58)),"")</f>
        <v/>
      </c>
      <c r="P58" s="16">
        <f>IF(AND(ISNUMBER($T58),$T58&lt;&gt;""),IF(INDEX(LubesCalc!$AJ$3:$AJ$122,$T58)="","—",INDEX(LubesCalc!$AJ$3:$AJ$122,$T58)),"")</f>
        <v/>
      </c>
      <c r="Q58" s="16">
        <f>IF(AND(ISNUMBER($T58),$T58&lt;&gt;""),IF(INDEX(LubesCalc!$AK$3:$AK$122,$T58)="","—",INDEX(LubesCalc!$AK$3:$AK$122,$T58)),"")</f>
        <v/>
      </c>
      <c r="R58" s="15">
        <f>IF(AND(ISNUMBER($T58),$T58&lt;&gt;""),IF(INDEX(LubesCalc!$AL$3:$AL$122,$T58)="","—",INDEX(LubesCalc!$AL$3:$AL$122,$T58)),"")</f>
        <v/>
      </c>
      <c r="T58">
        <f>IFERROR(MATCH(54,LubesCalc!$AN$3:$AN$122,0),"")</f>
        <v/>
      </c>
    </row>
    <row r="59">
      <c r="A59" s="19">
        <f>IF(AND(ISNUMBER($T59),$T59&lt;&gt;""),INDEX(LubesCalc!$S$3:$S$122,$T59),"")</f>
        <v/>
      </c>
      <c r="B59" s="20">
        <f>IF(AND(ISNUMBER($T59),$T59&lt;&gt;""),IF(INDEX(LubesCalc!$T$3:$T$122,$T59)="","—",INDEX(LubesCalc!$T$3:$T$122,$T59)),"")</f>
        <v/>
      </c>
      <c r="C59" s="20">
        <f>IF(AND(ISNUMBER($T59),$T59&lt;&gt;""),IF(INDEX(LubesCalc!$U$3:$U$122,$T59)="","—",INDEX(LubesCalc!$U$3:$U$122,$T59)),"")</f>
        <v/>
      </c>
      <c r="D59" s="20">
        <f>IF(AND(ISNUMBER($T59),$T59&lt;&gt;""),IF(INDEX(LubesCalc!$V$3:$V$122,$T59)="","—",INDEX(LubesCalc!$V$3:$V$122,$T59)),"")</f>
        <v/>
      </c>
      <c r="E59" s="20">
        <f>IF(AND(ISNUMBER($T59),$T59&lt;&gt;""),IF(INDEX(LubesCalc!$W$3:$W$122,$T59)="","—",INDEX(LubesCalc!$W$3:$W$122,$T59)),"")</f>
        <v/>
      </c>
      <c r="F59" s="20">
        <f>IF(AND(ISNUMBER($T59),$T59&lt;&gt;""),IF(INDEX(LubesCalc!$X$3:$X$122,$T59)="","—",INDEX(LubesCalc!$X$3:$X$122,$T59)),"")</f>
        <v/>
      </c>
      <c r="G59" s="20">
        <f>IF(AND(ISNUMBER($T59),$T59&lt;&gt;""),IF(INDEX(LubesCalc!$Y$3:$Y$122,$T59)="","—",INDEX(LubesCalc!$Y$3:$Y$122,$T59)),"")</f>
        <v/>
      </c>
      <c r="H59" s="20">
        <f>IF(AND(ISNUMBER($T59),$T59&lt;&gt;""),IF(INDEX(LubesCalc!$Z$3:$Z$122,$T59)="","—",INDEX(LubesCalc!$Z$3:$Z$122,$T59)),"")</f>
        <v/>
      </c>
      <c r="I59" s="20">
        <f>IF(AND(ISNUMBER($T59),$T59&lt;&gt;""),IF(INDEX(LubesCalc!$AA$3:$AA$122,$T59)="","—",INDEX(LubesCalc!$AA$3:$AA$122,$T59)),"")</f>
        <v/>
      </c>
      <c r="J59" s="20">
        <f>IF(AND(ISNUMBER($T59),$T59&lt;&gt;""),IF(INDEX(LubesCalc!$AB$3:$AB$122,$T59)="","—",INDEX(LubesCalc!$AB$3:$AB$122,$T59)),"")</f>
        <v/>
      </c>
      <c r="K59" s="20">
        <f>IF(AND(ISNUMBER($T59),$T59&lt;&gt;""),IF(INDEX(LubesCalc!$AC$3:$AC$122,$T59)="","—",INDEX(LubesCalc!$AC$3:$AC$122,$T59)),"")</f>
        <v/>
      </c>
      <c r="L59" s="20">
        <f>IF(AND(ISNUMBER($T59),$T59&lt;&gt;""),IF(INDEX(LubesCalc!$AD$3:$AD$122,$T59)="","—",INDEX(LubesCalc!$AD$3:$AD$122,$T59)),"")</f>
        <v/>
      </c>
      <c r="M59" s="20">
        <f>IF(AND(ISNUMBER($T59),$T59&lt;&gt;""),IF(INDEX(LubesCalc!$AE$3:$AE$122,$T59)="","—",INDEX(LubesCalc!$AE$3:$AE$122,$T59)),"")</f>
        <v/>
      </c>
      <c r="N59" s="20">
        <f>IF(AND(ISNUMBER($T59),$T59&lt;&gt;""),IF(INDEX(LubesCalc!$AF$3:$AF$122,$T59)="","—",INDEX(LubesCalc!$AF$3:$AF$122,$T59)),"")</f>
        <v/>
      </c>
      <c r="O59" s="20">
        <f>IF(AND(ISNUMBER($T59),$T59&lt;&gt;""),IF(INDEX(LubesCalc!$AG$3:$AG$122,$T59)="","—",INDEX(LubesCalc!$AG$3:$AG$122,$T59)),"")</f>
        <v/>
      </c>
      <c r="P59" s="21">
        <f>IF(AND(ISNUMBER($T59),$T59&lt;&gt;""),IF(INDEX(LubesCalc!$AJ$3:$AJ$122,$T59)="","—",INDEX(LubesCalc!$AJ$3:$AJ$122,$T59)),"")</f>
        <v/>
      </c>
      <c r="Q59" s="21">
        <f>IF(AND(ISNUMBER($T59),$T59&lt;&gt;""),IF(INDEX(LubesCalc!$AK$3:$AK$122,$T59)="","—",INDEX(LubesCalc!$AK$3:$AK$122,$T59)),"")</f>
        <v/>
      </c>
      <c r="R59" s="20">
        <f>IF(AND(ISNUMBER($T59),$T59&lt;&gt;""),IF(INDEX(LubesCalc!$AL$3:$AL$122,$T59)="","—",INDEX(LubesCalc!$AL$3:$AL$122,$T59)),"")</f>
        <v/>
      </c>
      <c r="T59">
        <f>IFERROR(MATCH(55,LubesCalc!$AN$3:$AN$122,0),"")</f>
        <v/>
      </c>
    </row>
    <row r="60">
      <c r="A60" s="14">
        <f>IF(AND(ISNUMBER($T60),$T60&lt;&gt;""),INDEX(LubesCalc!$S$3:$S$122,$T60),"")</f>
        <v/>
      </c>
      <c r="B60" s="15">
        <f>IF(AND(ISNUMBER($T60),$T60&lt;&gt;""),IF(INDEX(LubesCalc!$T$3:$T$122,$T60)="","—",INDEX(LubesCalc!$T$3:$T$122,$T60)),"")</f>
        <v/>
      </c>
      <c r="C60" s="15">
        <f>IF(AND(ISNUMBER($T60),$T60&lt;&gt;""),IF(INDEX(LubesCalc!$U$3:$U$122,$T60)="","—",INDEX(LubesCalc!$U$3:$U$122,$T60)),"")</f>
        <v/>
      </c>
      <c r="D60" s="15">
        <f>IF(AND(ISNUMBER($T60),$T60&lt;&gt;""),IF(INDEX(LubesCalc!$V$3:$V$122,$T60)="","—",INDEX(LubesCalc!$V$3:$V$122,$T60)),"")</f>
        <v/>
      </c>
      <c r="E60" s="15">
        <f>IF(AND(ISNUMBER($T60),$T60&lt;&gt;""),IF(INDEX(LubesCalc!$W$3:$W$122,$T60)="","—",INDEX(LubesCalc!$W$3:$W$122,$T60)),"")</f>
        <v/>
      </c>
      <c r="F60" s="15">
        <f>IF(AND(ISNUMBER($T60),$T60&lt;&gt;""),IF(INDEX(LubesCalc!$X$3:$X$122,$T60)="","—",INDEX(LubesCalc!$X$3:$X$122,$T60)),"")</f>
        <v/>
      </c>
      <c r="G60" s="15">
        <f>IF(AND(ISNUMBER($T60),$T60&lt;&gt;""),IF(INDEX(LubesCalc!$Y$3:$Y$122,$T60)="","—",INDEX(LubesCalc!$Y$3:$Y$122,$T60)),"")</f>
        <v/>
      </c>
      <c r="H60" s="15">
        <f>IF(AND(ISNUMBER($T60),$T60&lt;&gt;""),IF(INDEX(LubesCalc!$Z$3:$Z$122,$T60)="","—",INDEX(LubesCalc!$Z$3:$Z$122,$T60)),"")</f>
        <v/>
      </c>
      <c r="I60" s="15">
        <f>IF(AND(ISNUMBER($T60),$T60&lt;&gt;""),IF(INDEX(LubesCalc!$AA$3:$AA$122,$T60)="","—",INDEX(LubesCalc!$AA$3:$AA$122,$T60)),"")</f>
        <v/>
      </c>
      <c r="J60" s="15">
        <f>IF(AND(ISNUMBER($T60),$T60&lt;&gt;""),IF(INDEX(LubesCalc!$AB$3:$AB$122,$T60)="","—",INDEX(LubesCalc!$AB$3:$AB$122,$T60)),"")</f>
        <v/>
      </c>
      <c r="K60" s="15">
        <f>IF(AND(ISNUMBER($T60),$T60&lt;&gt;""),IF(INDEX(LubesCalc!$AC$3:$AC$122,$T60)="","—",INDEX(LubesCalc!$AC$3:$AC$122,$T60)),"")</f>
        <v/>
      </c>
      <c r="L60" s="15">
        <f>IF(AND(ISNUMBER($T60),$T60&lt;&gt;""),IF(INDEX(LubesCalc!$AD$3:$AD$122,$T60)="","—",INDEX(LubesCalc!$AD$3:$AD$122,$T60)),"")</f>
        <v/>
      </c>
      <c r="M60" s="15">
        <f>IF(AND(ISNUMBER($T60),$T60&lt;&gt;""),IF(INDEX(LubesCalc!$AE$3:$AE$122,$T60)="","—",INDEX(LubesCalc!$AE$3:$AE$122,$T60)),"")</f>
        <v/>
      </c>
      <c r="N60" s="15">
        <f>IF(AND(ISNUMBER($T60),$T60&lt;&gt;""),IF(INDEX(LubesCalc!$AF$3:$AF$122,$T60)="","—",INDEX(LubesCalc!$AF$3:$AF$122,$T60)),"")</f>
        <v/>
      </c>
      <c r="O60" s="15">
        <f>IF(AND(ISNUMBER($T60),$T60&lt;&gt;""),IF(INDEX(LubesCalc!$AG$3:$AG$122,$T60)="","—",INDEX(LubesCalc!$AG$3:$AG$122,$T60)),"")</f>
        <v/>
      </c>
      <c r="P60" s="16">
        <f>IF(AND(ISNUMBER($T60),$T60&lt;&gt;""),IF(INDEX(LubesCalc!$AJ$3:$AJ$122,$T60)="","—",INDEX(LubesCalc!$AJ$3:$AJ$122,$T60)),"")</f>
        <v/>
      </c>
      <c r="Q60" s="16">
        <f>IF(AND(ISNUMBER($T60),$T60&lt;&gt;""),IF(INDEX(LubesCalc!$AK$3:$AK$122,$T60)="","—",INDEX(LubesCalc!$AK$3:$AK$122,$T60)),"")</f>
        <v/>
      </c>
      <c r="R60" s="15">
        <f>IF(AND(ISNUMBER($T60),$T60&lt;&gt;""),IF(INDEX(LubesCalc!$AL$3:$AL$122,$T60)="","—",INDEX(LubesCalc!$AL$3:$AL$122,$T60)),"")</f>
        <v/>
      </c>
      <c r="T60">
        <f>IFERROR(MATCH(56,LubesCalc!$AN$3:$AN$122,0),"")</f>
        <v/>
      </c>
    </row>
    <row r="61">
      <c r="A61" s="19">
        <f>IF(AND(ISNUMBER($T61),$T61&lt;&gt;""),INDEX(LubesCalc!$S$3:$S$122,$T61),"")</f>
        <v/>
      </c>
      <c r="B61" s="20">
        <f>IF(AND(ISNUMBER($T61),$T61&lt;&gt;""),IF(INDEX(LubesCalc!$T$3:$T$122,$T61)="","—",INDEX(LubesCalc!$T$3:$T$122,$T61)),"")</f>
        <v/>
      </c>
      <c r="C61" s="20">
        <f>IF(AND(ISNUMBER($T61),$T61&lt;&gt;""),IF(INDEX(LubesCalc!$U$3:$U$122,$T61)="","—",INDEX(LubesCalc!$U$3:$U$122,$T61)),"")</f>
        <v/>
      </c>
      <c r="D61" s="20">
        <f>IF(AND(ISNUMBER($T61),$T61&lt;&gt;""),IF(INDEX(LubesCalc!$V$3:$V$122,$T61)="","—",INDEX(LubesCalc!$V$3:$V$122,$T61)),"")</f>
        <v/>
      </c>
      <c r="E61" s="20">
        <f>IF(AND(ISNUMBER($T61),$T61&lt;&gt;""),IF(INDEX(LubesCalc!$W$3:$W$122,$T61)="","—",INDEX(LubesCalc!$W$3:$W$122,$T61)),"")</f>
        <v/>
      </c>
      <c r="F61" s="20">
        <f>IF(AND(ISNUMBER($T61),$T61&lt;&gt;""),IF(INDEX(LubesCalc!$X$3:$X$122,$T61)="","—",INDEX(LubesCalc!$X$3:$X$122,$T61)),"")</f>
        <v/>
      </c>
      <c r="G61" s="20">
        <f>IF(AND(ISNUMBER($T61),$T61&lt;&gt;""),IF(INDEX(LubesCalc!$Y$3:$Y$122,$T61)="","—",INDEX(LubesCalc!$Y$3:$Y$122,$T61)),"")</f>
        <v/>
      </c>
      <c r="H61" s="20">
        <f>IF(AND(ISNUMBER($T61),$T61&lt;&gt;""),IF(INDEX(LubesCalc!$Z$3:$Z$122,$T61)="","—",INDEX(LubesCalc!$Z$3:$Z$122,$T61)),"")</f>
        <v/>
      </c>
      <c r="I61" s="20">
        <f>IF(AND(ISNUMBER($T61),$T61&lt;&gt;""),IF(INDEX(LubesCalc!$AA$3:$AA$122,$T61)="","—",INDEX(LubesCalc!$AA$3:$AA$122,$T61)),"")</f>
        <v/>
      </c>
      <c r="J61" s="20">
        <f>IF(AND(ISNUMBER($T61),$T61&lt;&gt;""),IF(INDEX(LubesCalc!$AB$3:$AB$122,$T61)="","—",INDEX(LubesCalc!$AB$3:$AB$122,$T61)),"")</f>
        <v/>
      </c>
      <c r="K61" s="20">
        <f>IF(AND(ISNUMBER($T61),$T61&lt;&gt;""),IF(INDEX(LubesCalc!$AC$3:$AC$122,$T61)="","—",INDEX(LubesCalc!$AC$3:$AC$122,$T61)),"")</f>
        <v/>
      </c>
      <c r="L61" s="20">
        <f>IF(AND(ISNUMBER($T61),$T61&lt;&gt;""),IF(INDEX(LubesCalc!$AD$3:$AD$122,$T61)="","—",INDEX(LubesCalc!$AD$3:$AD$122,$T61)),"")</f>
        <v/>
      </c>
      <c r="M61" s="20">
        <f>IF(AND(ISNUMBER($T61),$T61&lt;&gt;""),IF(INDEX(LubesCalc!$AE$3:$AE$122,$T61)="","—",INDEX(LubesCalc!$AE$3:$AE$122,$T61)),"")</f>
        <v/>
      </c>
      <c r="N61" s="20">
        <f>IF(AND(ISNUMBER($T61),$T61&lt;&gt;""),IF(INDEX(LubesCalc!$AF$3:$AF$122,$T61)="","—",INDEX(LubesCalc!$AF$3:$AF$122,$T61)),"")</f>
        <v/>
      </c>
      <c r="O61" s="20">
        <f>IF(AND(ISNUMBER($T61),$T61&lt;&gt;""),IF(INDEX(LubesCalc!$AG$3:$AG$122,$T61)="","—",INDEX(LubesCalc!$AG$3:$AG$122,$T61)),"")</f>
        <v/>
      </c>
      <c r="P61" s="21">
        <f>IF(AND(ISNUMBER($T61),$T61&lt;&gt;""),IF(INDEX(LubesCalc!$AJ$3:$AJ$122,$T61)="","—",INDEX(LubesCalc!$AJ$3:$AJ$122,$T61)),"")</f>
        <v/>
      </c>
      <c r="Q61" s="21">
        <f>IF(AND(ISNUMBER($T61),$T61&lt;&gt;""),IF(INDEX(LubesCalc!$AK$3:$AK$122,$T61)="","—",INDEX(LubesCalc!$AK$3:$AK$122,$T61)),"")</f>
        <v/>
      </c>
      <c r="R61" s="20">
        <f>IF(AND(ISNUMBER($T61),$T61&lt;&gt;""),IF(INDEX(LubesCalc!$AL$3:$AL$122,$T61)="","—",INDEX(LubesCalc!$AL$3:$AL$122,$T61)),"")</f>
        <v/>
      </c>
      <c r="T61">
        <f>IFERROR(MATCH(57,LubesCalc!$AN$3:$AN$122,0),"")</f>
        <v/>
      </c>
    </row>
    <row r="62">
      <c r="A62" s="14">
        <f>IF(AND(ISNUMBER($T62),$T62&lt;&gt;""),INDEX(LubesCalc!$S$3:$S$122,$T62),"")</f>
        <v/>
      </c>
      <c r="B62" s="15">
        <f>IF(AND(ISNUMBER($T62),$T62&lt;&gt;""),IF(INDEX(LubesCalc!$T$3:$T$122,$T62)="","—",INDEX(LubesCalc!$T$3:$T$122,$T62)),"")</f>
        <v/>
      </c>
      <c r="C62" s="15">
        <f>IF(AND(ISNUMBER($T62),$T62&lt;&gt;""),IF(INDEX(LubesCalc!$U$3:$U$122,$T62)="","—",INDEX(LubesCalc!$U$3:$U$122,$T62)),"")</f>
        <v/>
      </c>
      <c r="D62" s="15">
        <f>IF(AND(ISNUMBER($T62),$T62&lt;&gt;""),IF(INDEX(LubesCalc!$V$3:$V$122,$T62)="","—",INDEX(LubesCalc!$V$3:$V$122,$T62)),"")</f>
        <v/>
      </c>
      <c r="E62" s="15">
        <f>IF(AND(ISNUMBER($T62),$T62&lt;&gt;""),IF(INDEX(LubesCalc!$W$3:$W$122,$T62)="","—",INDEX(LubesCalc!$W$3:$W$122,$T62)),"")</f>
        <v/>
      </c>
      <c r="F62" s="15">
        <f>IF(AND(ISNUMBER($T62),$T62&lt;&gt;""),IF(INDEX(LubesCalc!$X$3:$X$122,$T62)="","—",INDEX(LubesCalc!$X$3:$X$122,$T62)),"")</f>
        <v/>
      </c>
      <c r="G62" s="15">
        <f>IF(AND(ISNUMBER($T62),$T62&lt;&gt;""),IF(INDEX(LubesCalc!$Y$3:$Y$122,$T62)="","—",INDEX(LubesCalc!$Y$3:$Y$122,$T62)),"")</f>
        <v/>
      </c>
      <c r="H62" s="15">
        <f>IF(AND(ISNUMBER($T62),$T62&lt;&gt;""),IF(INDEX(LubesCalc!$Z$3:$Z$122,$T62)="","—",INDEX(LubesCalc!$Z$3:$Z$122,$T62)),"")</f>
        <v/>
      </c>
      <c r="I62" s="15">
        <f>IF(AND(ISNUMBER($T62),$T62&lt;&gt;""),IF(INDEX(LubesCalc!$AA$3:$AA$122,$T62)="","—",INDEX(LubesCalc!$AA$3:$AA$122,$T62)),"")</f>
        <v/>
      </c>
      <c r="J62" s="15">
        <f>IF(AND(ISNUMBER($T62),$T62&lt;&gt;""),IF(INDEX(LubesCalc!$AB$3:$AB$122,$T62)="","—",INDEX(LubesCalc!$AB$3:$AB$122,$T62)),"")</f>
        <v/>
      </c>
      <c r="K62" s="15">
        <f>IF(AND(ISNUMBER($T62),$T62&lt;&gt;""),IF(INDEX(LubesCalc!$AC$3:$AC$122,$T62)="","—",INDEX(LubesCalc!$AC$3:$AC$122,$T62)),"")</f>
        <v/>
      </c>
      <c r="L62" s="15">
        <f>IF(AND(ISNUMBER($T62),$T62&lt;&gt;""),IF(INDEX(LubesCalc!$AD$3:$AD$122,$T62)="","—",INDEX(LubesCalc!$AD$3:$AD$122,$T62)),"")</f>
        <v/>
      </c>
      <c r="M62" s="15">
        <f>IF(AND(ISNUMBER($T62),$T62&lt;&gt;""),IF(INDEX(LubesCalc!$AE$3:$AE$122,$T62)="","—",INDEX(LubesCalc!$AE$3:$AE$122,$T62)),"")</f>
        <v/>
      </c>
      <c r="N62" s="15">
        <f>IF(AND(ISNUMBER($T62),$T62&lt;&gt;""),IF(INDEX(LubesCalc!$AF$3:$AF$122,$T62)="","—",INDEX(LubesCalc!$AF$3:$AF$122,$T62)),"")</f>
        <v/>
      </c>
      <c r="O62" s="15">
        <f>IF(AND(ISNUMBER($T62),$T62&lt;&gt;""),IF(INDEX(LubesCalc!$AG$3:$AG$122,$T62)="","—",INDEX(LubesCalc!$AG$3:$AG$122,$T62)),"")</f>
        <v/>
      </c>
      <c r="P62" s="16">
        <f>IF(AND(ISNUMBER($T62),$T62&lt;&gt;""),IF(INDEX(LubesCalc!$AJ$3:$AJ$122,$T62)="","—",INDEX(LubesCalc!$AJ$3:$AJ$122,$T62)),"")</f>
        <v/>
      </c>
      <c r="Q62" s="16">
        <f>IF(AND(ISNUMBER($T62),$T62&lt;&gt;""),IF(INDEX(LubesCalc!$AK$3:$AK$122,$T62)="","—",INDEX(LubesCalc!$AK$3:$AK$122,$T62)),"")</f>
        <v/>
      </c>
      <c r="R62" s="15">
        <f>IF(AND(ISNUMBER($T62),$T62&lt;&gt;""),IF(INDEX(LubesCalc!$AL$3:$AL$122,$T62)="","—",INDEX(LubesCalc!$AL$3:$AL$122,$T62)),"")</f>
        <v/>
      </c>
      <c r="T62">
        <f>IFERROR(MATCH(58,LubesCalc!$AN$3:$AN$122,0),"")</f>
        <v/>
      </c>
    </row>
    <row r="63">
      <c r="A63" s="19">
        <f>IF(AND(ISNUMBER($T63),$T63&lt;&gt;""),INDEX(LubesCalc!$S$3:$S$122,$T63),"")</f>
        <v/>
      </c>
      <c r="B63" s="20">
        <f>IF(AND(ISNUMBER($T63),$T63&lt;&gt;""),IF(INDEX(LubesCalc!$T$3:$T$122,$T63)="","—",INDEX(LubesCalc!$T$3:$T$122,$T63)),"")</f>
        <v/>
      </c>
      <c r="C63" s="20">
        <f>IF(AND(ISNUMBER($T63),$T63&lt;&gt;""),IF(INDEX(LubesCalc!$U$3:$U$122,$T63)="","—",INDEX(LubesCalc!$U$3:$U$122,$T63)),"")</f>
        <v/>
      </c>
      <c r="D63" s="20">
        <f>IF(AND(ISNUMBER($T63),$T63&lt;&gt;""),IF(INDEX(LubesCalc!$V$3:$V$122,$T63)="","—",INDEX(LubesCalc!$V$3:$V$122,$T63)),"")</f>
        <v/>
      </c>
      <c r="E63" s="20">
        <f>IF(AND(ISNUMBER($T63),$T63&lt;&gt;""),IF(INDEX(LubesCalc!$W$3:$W$122,$T63)="","—",INDEX(LubesCalc!$W$3:$W$122,$T63)),"")</f>
        <v/>
      </c>
      <c r="F63" s="20">
        <f>IF(AND(ISNUMBER($T63),$T63&lt;&gt;""),IF(INDEX(LubesCalc!$X$3:$X$122,$T63)="","—",INDEX(LubesCalc!$X$3:$X$122,$T63)),"")</f>
        <v/>
      </c>
      <c r="G63" s="20">
        <f>IF(AND(ISNUMBER($T63),$T63&lt;&gt;""),IF(INDEX(LubesCalc!$Y$3:$Y$122,$T63)="","—",INDEX(LubesCalc!$Y$3:$Y$122,$T63)),"")</f>
        <v/>
      </c>
      <c r="H63" s="20">
        <f>IF(AND(ISNUMBER($T63),$T63&lt;&gt;""),IF(INDEX(LubesCalc!$Z$3:$Z$122,$T63)="","—",INDEX(LubesCalc!$Z$3:$Z$122,$T63)),"")</f>
        <v/>
      </c>
      <c r="I63" s="20">
        <f>IF(AND(ISNUMBER($T63),$T63&lt;&gt;""),IF(INDEX(LubesCalc!$AA$3:$AA$122,$T63)="","—",INDEX(LubesCalc!$AA$3:$AA$122,$T63)),"")</f>
        <v/>
      </c>
      <c r="J63" s="20">
        <f>IF(AND(ISNUMBER($T63),$T63&lt;&gt;""),IF(INDEX(LubesCalc!$AB$3:$AB$122,$T63)="","—",INDEX(LubesCalc!$AB$3:$AB$122,$T63)),"")</f>
        <v/>
      </c>
      <c r="K63" s="20">
        <f>IF(AND(ISNUMBER($T63),$T63&lt;&gt;""),IF(INDEX(LubesCalc!$AC$3:$AC$122,$T63)="","—",INDEX(LubesCalc!$AC$3:$AC$122,$T63)),"")</f>
        <v/>
      </c>
      <c r="L63" s="20">
        <f>IF(AND(ISNUMBER($T63),$T63&lt;&gt;""),IF(INDEX(LubesCalc!$AD$3:$AD$122,$T63)="","—",INDEX(LubesCalc!$AD$3:$AD$122,$T63)),"")</f>
        <v/>
      </c>
      <c r="M63" s="20">
        <f>IF(AND(ISNUMBER($T63),$T63&lt;&gt;""),IF(INDEX(LubesCalc!$AE$3:$AE$122,$T63)="","—",INDEX(LubesCalc!$AE$3:$AE$122,$T63)),"")</f>
        <v/>
      </c>
      <c r="N63" s="20">
        <f>IF(AND(ISNUMBER($T63),$T63&lt;&gt;""),IF(INDEX(LubesCalc!$AF$3:$AF$122,$T63)="","—",INDEX(LubesCalc!$AF$3:$AF$122,$T63)),"")</f>
        <v/>
      </c>
      <c r="O63" s="20">
        <f>IF(AND(ISNUMBER($T63),$T63&lt;&gt;""),IF(INDEX(LubesCalc!$AG$3:$AG$122,$T63)="","—",INDEX(LubesCalc!$AG$3:$AG$122,$T63)),"")</f>
        <v/>
      </c>
      <c r="P63" s="21">
        <f>IF(AND(ISNUMBER($T63),$T63&lt;&gt;""),IF(INDEX(LubesCalc!$AJ$3:$AJ$122,$T63)="","—",INDEX(LubesCalc!$AJ$3:$AJ$122,$T63)),"")</f>
        <v/>
      </c>
      <c r="Q63" s="21">
        <f>IF(AND(ISNUMBER($T63),$T63&lt;&gt;""),IF(INDEX(LubesCalc!$AK$3:$AK$122,$T63)="","—",INDEX(LubesCalc!$AK$3:$AK$122,$T63)),"")</f>
        <v/>
      </c>
      <c r="R63" s="20">
        <f>IF(AND(ISNUMBER($T63),$T63&lt;&gt;""),IF(INDEX(LubesCalc!$AL$3:$AL$122,$T63)="","—",INDEX(LubesCalc!$AL$3:$AL$122,$T63)),"")</f>
        <v/>
      </c>
      <c r="T63">
        <f>IFERROR(MATCH(59,LubesCalc!$AN$3:$AN$122,0),"")</f>
        <v/>
      </c>
    </row>
    <row r="64">
      <c r="A64" s="14">
        <f>IF(AND(ISNUMBER($T64),$T64&lt;&gt;""),INDEX(LubesCalc!$S$3:$S$122,$T64),"")</f>
        <v/>
      </c>
      <c r="B64" s="15">
        <f>IF(AND(ISNUMBER($T64),$T64&lt;&gt;""),IF(INDEX(LubesCalc!$T$3:$T$122,$T64)="","—",INDEX(LubesCalc!$T$3:$T$122,$T64)),"")</f>
        <v/>
      </c>
      <c r="C64" s="15">
        <f>IF(AND(ISNUMBER($T64),$T64&lt;&gt;""),IF(INDEX(LubesCalc!$U$3:$U$122,$T64)="","—",INDEX(LubesCalc!$U$3:$U$122,$T64)),"")</f>
        <v/>
      </c>
      <c r="D64" s="15">
        <f>IF(AND(ISNUMBER($T64),$T64&lt;&gt;""),IF(INDEX(LubesCalc!$V$3:$V$122,$T64)="","—",INDEX(LubesCalc!$V$3:$V$122,$T64)),"")</f>
        <v/>
      </c>
      <c r="E64" s="15">
        <f>IF(AND(ISNUMBER($T64),$T64&lt;&gt;""),IF(INDEX(LubesCalc!$W$3:$W$122,$T64)="","—",INDEX(LubesCalc!$W$3:$W$122,$T64)),"")</f>
        <v/>
      </c>
      <c r="F64" s="15">
        <f>IF(AND(ISNUMBER($T64),$T64&lt;&gt;""),IF(INDEX(LubesCalc!$X$3:$X$122,$T64)="","—",INDEX(LubesCalc!$X$3:$X$122,$T64)),"")</f>
        <v/>
      </c>
      <c r="G64" s="15">
        <f>IF(AND(ISNUMBER($T64),$T64&lt;&gt;""),IF(INDEX(LubesCalc!$Y$3:$Y$122,$T64)="","—",INDEX(LubesCalc!$Y$3:$Y$122,$T64)),"")</f>
        <v/>
      </c>
      <c r="H64" s="15">
        <f>IF(AND(ISNUMBER($T64),$T64&lt;&gt;""),IF(INDEX(LubesCalc!$Z$3:$Z$122,$T64)="","—",INDEX(LubesCalc!$Z$3:$Z$122,$T64)),"")</f>
        <v/>
      </c>
      <c r="I64" s="15">
        <f>IF(AND(ISNUMBER($T64),$T64&lt;&gt;""),IF(INDEX(LubesCalc!$AA$3:$AA$122,$T64)="","—",INDEX(LubesCalc!$AA$3:$AA$122,$T64)),"")</f>
        <v/>
      </c>
      <c r="J64" s="15">
        <f>IF(AND(ISNUMBER($T64),$T64&lt;&gt;""),IF(INDEX(LubesCalc!$AB$3:$AB$122,$T64)="","—",INDEX(LubesCalc!$AB$3:$AB$122,$T64)),"")</f>
        <v/>
      </c>
      <c r="K64" s="15">
        <f>IF(AND(ISNUMBER($T64),$T64&lt;&gt;""),IF(INDEX(LubesCalc!$AC$3:$AC$122,$T64)="","—",INDEX(LubesCalc!$AC$3:$AC$122,$T64)),"")</f>
        <v/>
      </c>
      <c r="L64" s="15">
        <f>IF(AND(ISNUMBER($T64),$T64&lt;&gt;""),IF(INDEX(LubesCalc!$AD$3:$AD$122,$T64)="","—",INDEX(LubesCalc!$AD$3:$AD$122,$T64)),"")</f>
        <v/>
      </c>
      <c r="M64" s="15">
        <f>IF(AND(ISNUMBER($T64),$T64&lt;&gt;""),IF(INDEX(LubesCalc!$AE$3:$AE$122,$T64)="","—",INDEX(LubesCalc!$AE$3:$AE$122,$T64)),"")</f>
        <v/>
      </c>
      <c r="N64" s="15">
        <f>IF(AND(ISNUMBER($T64),$T64&lt;&gt;""),IF(INDEX(LubesCalc!$AF$3:$AF$122,$T64)="","—",INDEX(LubesCalc!$AF$3:$AF$122,$T64)),"")</f>
        <v/>
      </c>
      <c r="O64" s="15">
        <f>IF(AND(ISNUMBER($T64),$T64&lt;&gt;""),IF(INDEX(LubesCalc!$AG$3:$AG$122,$T64)="","—",INDEX(LubesCalc!$AG$3:$AG$122,$T64)),"")</f>
        <v/>
      </c>
      <c r="P64" s="16">
        <f>IF(AND(ISNUMBER($T64),$T64&lt;&gt;""),IF(INDEX(LubesCalc!$AJ$3:$AJ$122,$T64)="","—",INDEX(LubesCalc!$AJ$3:$AJ$122,$T64)),"")</f>
        <v/>
      </c>
      <c r="Q64" s="16">
        <f>IF(AND(ISNUMBER($T64),$T64&lt;&gt;""),IF(INDEX(LubesCalc!$AK$3:$AK$122,$T64)="","—",INDEX(LubesCalc!$AK$3:$AK$122,$T64)),"")</f>
        <v/>
      </c>
      <c r="R64" s="15">
        <f>IF(AND(ISNUMBER($T64),$T64&lt;&gt;""),IF(INDEX(LubesCalc!$AL$3:$AL$122,$T64)="","—",INDEX(LubesCalc!$AL$3:$AL$122,$T64)),"")</f>
        <v/>
      </c>
      <c r="T64">
        <f>IFERROR(MATCH(60,LubesCalc!$AN$3:$AN$122,0),"")</f>
        <v/>
      </c>
    </row>
    <row r="65">
      <c r="A65" s="19">
        <f>IF(AND(ISNUMBER($T65),$T65&lt;&gt;""),INDEX(LubesCalc!$S$3:$S$122,$T65),"")</f>
        <v/>
      </c>
      <c r="B65" s="20">
        <f>IF(AND(ISNUMBER($T65),$T65&lt;&gt;""),IF(INDEX(LubesCalc!$T$3:$T$122,$T65)="","—",INDEX(LubesCalc!$T$3:$T$122,$T65)),"")</f>
        <v/>
      </c>
      <c r="C65" s="20">
        <f>IF(AND(ISNUMBER($T65),$T65&lt;&gt;""),IF(INDEX(LubesCalc!$U$3:$U$122,$T65)="","—",INDEX(LubesCalc!$U$3:$U$122,$T65)),"")</f>
        <v/>
      </c>
      <c r="D65" s="20">
        <f>IF(AND(ISNUMBER($T65),$T65&lt;&gt;""),IF(INDEX(LubesCalc!$V$3:$V$122,$T65)="","—",INDEX(LubesCalc!$V$3:$V$122,$T65)),"")</f>
        <v/>
      </c>
      <c r="E65" s="20">
        <f>IF(AND(ISNUMBER($T65),$T65&lt;&gt;""),IF(INDEX(LubesCalc!$W$3:$W$122,$T65)="","—",INDEX(LubesCalc!$W$3:$W$122,$T65)),"")</f>
        <v/>
      </c>
      <c r="F65" s="20">
        <f>IF(AND(ISNUMBER($T65),$T65&lt;&gt;""),IF(INDEX(LubesCalc!$X$3:$X$122,$T65)="","—",INDEX(LubesCalc!$X$3:$X$122,$T65)),"")</f>
        <v/>
      </c>
      <c r="G65" s="20">
        <f>IF(AND(ISNUMBER($T65),$T65&lt;&gt;""),IF(INDEX(LubesCalc!$Y$3:$Y$122,$T65)="","—",INDEX(LubesCalc!$Y$3:$Y$122,$T65)),"")</f>
        <v/>
      </c>
      <c r="H65" s="20">
        <f>IF(AND(ISNUMBER($T65),$T65&lt;&gt;""),IF(INDEX(LubesCalc!$Z$3:$Z$122,$T65)="","—",INDEX(LubesCalc!$Z$3:$Z$122,$T65)),"")</f>
        <v/>
      </c>
      <c r="I65" s="20">
        <f>IF(AND(ISNUMBER($T65),$T65&lt;&gt;""),IF(INDEX(LubesCalc!$AA$3:$AA$122,$T65)="","—",INDEX(LubesCalc!$AA$3:$AA$122,$T65)),"")</f>
        <v/>
      </c>
      <c r="J65" s="20">
        <f>IF(AND(ISNUMBER($T65),$T65&lt;&gt;""),IF(INDEX(LubesCalc!$AB$3:$AB$122,$T65)="","—",INDEX(LubesCalc!$AB$3:$AB$122,$T65)),"")</f>
        <v/>
      </c>
      <c r="K65" s="20">
        <f>IF(AND(ISNUMBER($T65),$T65&lt;&gt;""),IF(INDEX(LubesCalc!$AC$3:$AC$122,$T65)="","—",INDEX(LubesCalc!$AC$3:$AC$122,$T65)),"")</f>
        <v/>
      </c>
      <c r="L65" s="20">
        <f>IF(AND(ISNUMBER($T65),$T65&lt;&gt;""),IF(INDEX(LubesCalc!$AD$3:$AD$122,$T65)="","—",INDEX(LubesCalc!$AD$3:$AD$122,$T65)),"")</f>
        <v/>
      </c>
      <c r="M65" s="20">
        <f>IF(AND(ISNUMBER($T65),$T65&lt;&gt;""),IF(INDEX(LubesCalc!$AE$3:$AE$122,$T65)="","—",INDEX(LubesCalc!$AE$3:$AE$122,$T65)),"")</f>
        <v/>
      </c>
      <c r="N65" s="20">
        <f>IF(AND(ISNUMBER($T65),$T65&lt;&gt;""),IF(INDEX(LubesCalc!$AF$3:$AF$122,$T65)="","—",INDEX(LubesCalc!$AF$3:$AF$122,$T65)),"")</f>
        <v/>
      </c>
      <c r="O65" s="20">
        <f>IF(AND(ISNUMBER($T65),$T65&lt;&gt;""),IF(INDEX(LubesCalc!$AG$3:$AG$122,$T65)="","—",INDEX(LubesCalc!$AG$3:$AG$122,$T65)),"")</f>
        <v/>
      </c>
      <c r="P65" s="21">
        <f>IF(AND(ISNUMBER($T65),$T65&lt;&gt;""),IF(INDEX(LubesCalc!$AJ$3:$AJ$122,$T65)="","—",INDEX(LubesCalc!$AJ$3:$AJ$122,$T65)),"")</f>
        <v/>
      </c>
      <c r="Q65" s="21">
        <f>IF(AND(ISNUMBER($T65),$T65&lt;&gt;""),IF(INDEX(LubesCalc!$AK$3:$AK$122,$T65)="","—",INDEX(LubesCalc!$AK$3:$AK$122,$T65)),"")</f>
        <v/>
      </c>
      <c r="R65" s="20">
        <f>IF(AND(ISNUMBER($T65),$T65&lt;&gt;""),IF(INDEX(LubesCalc!$AL$3:$AL$122,$T65)="","—",INDEX(LubesCalc!$AL$3:$AL$122,$T65)),"")</f>
        <v/>
      </c>
      <c r="T65">
        <f>IFERROR(MATCH(61,LubesCalc!$AN$3:$AN$122,0),"")</f>
        <v/>
      </c>
    </row>
    <row r="66">
      <c r="A66" s="14">
        <f>IF(AND(ISNUMBER($T66),$T66&lt;&gt;""),INDEX(LubesCalc!$S$3:$S$122,$T66),"")</f>
        <v/>
      </c>
      <c r="B66" s="15">
        <f>IF(AND(ISNUMBER($T66),$T66&lt;&gt;""),IF(INDEX(LubesCalc!$T$3:$T$122,$T66)="","—",INDEX(LubesCalc!$T$3:$T$122,$T66)),"")</f>
        <v/>
      </c>
      <c r="C66" s="15">
        <f>IF(AND(ISNUMBER($T66),$T66&lt;&gt;""),IF(INDEX(LubesCalc!$U$3:$U$122,$T66)="","—",INDEX(LubesCalc!$U$3:$U$122,$T66)),"")</f>
        <v/>
      </c>
      <c r="D66" s="15">
        <f>IF(AND(ISNUMBER($T66),$T66&lt;&gt;""),IF(INDEX(LubesCalc!$V$3:$V$122,$T66)="","—",INDEX(LubesCalc!$V$3:$V$122,$T66)),"")</f>
        <v/>
      </c>
      <c r="E66" s="15">
        <f>IF(AND(ISNUMBER($T66),$T66&lt;&gt;""),IF(INDEX(LubesCalc!$W$3:$W$122,$T66)="","—",INDEX(LubesCalc!$W$3:$W$122,$T66)),"")</f>
        <v/>
      </c>
      <c r="F66" s="15">
        <f>IF(AND(ISNUMBER($T66),$T66&lt;&gt;""),IF(INDEX(LubesCalc!$X$3:$X$122,$T66)="","—",INDEX(LubesCalc!$X$3:$X$122,$T66)),"")</f>
        <v/>
      </c>
      <c r="G66" s="15">
        <f>IF(AND(ISNUMBER($T66),$T66&lt;&gt;""),IF(INDEX(LubesCalc!$Y$3:$Y$122,$T66)="","—",INDEX(LubesCalc!$Y$3:$Y$122,$T66)),"")</f>
        <v/>
      </c>
      <c r="H66" s="15">
        <f>IF(AND(ISNUMBER($T66),$T66&lt;&gt;""),IF(INDEX(LubesCalc!$Z$3:$Z$122,$T66)="","—",INDEX(LubesCalc!$Z$3:$Z$122,$T66)),"")</f>
        <v/>
      </c>
      <c r="I66" s="15">
        <f>IF(AND(ISNUMBER($T66),$T66&lt;&gt;""),IF(INDEX(LubesCalc!$AA$3:$AA$122,$T66)="","—",INDEX(LubesCalc!$AA$3:$AA$122,$T66)),"")</f>
        <v/>
      </c>
      <c r="J66" s="15">
        <f>IF(AND(ISNUMBER($T66),$T66&lt;&gt;""),IF(INDEX(LubesCalc!$AB$3:$AB$122,$T66)="","—",INDEX(LubesCalc!$AB$3:$AB$122,$T66)),"")</f>
        <v/>
      </c>
      <c r="K66" s="15">
        <f>IF(AND(ISNUMBER($T66),$T66&lt;&gt;""),IF(INDEX(LubesCalc!$AC$3:$AC$122,$T66)="","—",INDEX(LubesCalc!$AC$3:$AC$122,$T66)),"")</f>
        <v/>
      </c>
      <c r="L66" s="15">
        <f>IF(AND(ISNUMBER($T66),$T66&lt;&gt;""),IF(INDEX(LubesCalc!$AD$3:$AD$122,$T66)="","—",INDEX(LubesCalc!$AD$3:$AD$122,$T66)),"")</f>
        <v/>
      </c>
      <c r="M66" s="15">
        <f>IF(AND(ISNUMBER($T66),$T66&lt;&gt;""),IF(INDEX(LubesCalc!$AE$3:$AE$122,$T66)="","—",INDEX(LubesCalc!$AE$3:$AE$122,$T66)),"")</f>
        <v/>
      </c>
      <c r="N66" s="15">
        <f>IF(AND(ISNUMBER($T66),$T66&lt;&gt;""),IF(INDEX(LubesCalc!$AF$3:$AF$122,$T66)="","—",INDEX(LubesCalc!$AF$3:$AF$122,$T66)),"")</f>
        <v/>
      </c>
      <c r="O66" s="15">
        <f>IF(AND(ISNUMBER($T66),$T66&lt;&gt;""),IF(INDEX(LubesCalc!$AG$3:$AG$122,$T66)="","—",INDEX(LubesCalc!$AG$3:$AG$122,$T66)),"")</f>
        <v/>
      </c>
      <c r="P66" s="16">
        <f>IF(AND(ISNUMBER($T66),$T66&lt;&gt;""),IF(INDEX(LubesCalc!$AJ$3:$AJ$122,$T66)="","—",INDEX(LubesCalc!$AJ$3:$AJ$122,$T66)),"")</f>
        <v/>
      </c>
      <c r="Q66" s="16">
        <f>IF(AND(ISNUMBER($T66),$T66&lt;&gt;""),IF(INDEX(LubesCalc!$AK$3:$AK$122,$T66)="","—",INDEX(LubesCalc!$AK$3:$AK$122,$T66)),"")</f>
        <v/>
      </c>
      <c r="R66" s="15">
        <f>IF(AND(ISNUMBER($T66),$T66&lt;&gt;""),IF(INDEX(LubesCalc!$AL$3:$AL$122,$T66)="","—",INDEX(LubesCalc!$AL$3:$AL$122,$T66)),"")</f>
        <v/>
      </c>
      <c r="T66">
        <f>IFERROR(MATCH(62,LubesCalc!$AN$3:$AN$122,0),"")</f>
        <v/>
      </c>
    </row>
    <row r="67">
      <c r="A67" s="19">
        <f>IF(AND(ISNUMBER($T67),$T67&lt;&gt;""),INDEX(LubesCalc!$S$3:$S$122,$T67),"")</f>
        <v/>
      </c>
      <c r="B67" s="20">
        <f>IF(AND(ISNUMBER($T67),$T67&lt;&gt;""),IF(INDEX(LubesCalc!$T$3:$T$122,$T67)="","—",INDEX(LubesCalc!$T$3:$T$122,$T67)),"")</f>
        <v/>
      </c>
      <c r="C67" s="20">
        <f>IF(AND(ISNUMBER($T67),$T67&lt;&gt;""),IF(INDEX(LubesCalc!$U$3:$U$122,$T67)="","—",INDEX(LubesCalc!$U$3:$U$122,$T67)),"")</f>
        <v/>
      </c>
      <c r="D67" s="20">
        <f>IF(AND(ISNUMBER($T67),$T67&lt;&gt;""),IF(INDEX(LubesCalc!$V$3:$V$122,$T67)="","—",INDEX(LubesCalc!$V$3:$V$122,$T67)),"")</f>
        <v/>
      </c>
      <c r="E67" s="20">
        <f>IF(AND(ISNUMBER($T67),$T67&lt;&gt;""),IF(INDEX(LubesCalc!$W$3:$W$122,$T67)="","—",INDEX(LubesCalc!$W$3:$W$122,$T67)),"")</f>
        <v/>
      </c>
      <c r="F67" s="20">
        <f>IF(AND(ISNUMBER($T67),$T67&lt;&gt;""),IF(INDEX(LubesCalc!$X$3:$X$122,$T67)="","—",INDEX(LubesCalc!$X$3:$X$122,$T67)),"")</f>
        <v/>
      </c>
      <c r="G67" s="20">
        <f>IF(AND(ISNUMBER($T67),$T67&lt;&gt;""),IF(INDEX(LubesCalc!$Y$3:$Y$122,$T67)="","—",INDEX(LubesCalc!$Y$3:$Y$122,$T67)),"")</f>
        <v/>
      </c>
      <c r="H67" s="20">
        <f>IF(AND(ISNUMBER($T67),$T67&lt;&gt;""),IF(INDEX(LubesCalc!$Z$3:$Z$122,$T67)="","—",INDEX(LubesCalc!$Z$3:$Z$122,$T67)),"")</f>
        <v/>
      </c>
      <c r="I67" s="20">
        <f>IF(AND(ISNUMBER($T67),$T67&lt;&gt;""),IF(INDEX(LubesCalc!$AA$3:$AA$122,$T67)="","—",INDEX(LubesCalc!$AA$3:$AA$122,$T67)),"")</f>
        <v/>
      </c>
      <c r="J67" s="20">
        <f>IF(AND(ISNUMBER($T67),$T67&lt;&gt;""),IF(INDEX(LubesCalc!$AB$3:$AB$122,$T67)="","—",INDEX(LubesCalc!$AB$3:$AB$122,$T67)),"")</f>
        <v/>
      </c>
      <c r="K67" s="20">
        <f>IF(AND(ISNUMBER($T67),$T67&lt;&gt;""),IF(INDEX(LubesCalc!$AC$3:$AC$122,$T67)="","—",INDEX(LubesCalc!$AC$3:$AC$122,$T67)),"")</f>
        <v/>
      </c>
      <c r="L67" s="20">
        <f>IF(AND(ISNUMBER($T67),$T67&lt;&gt;""),IF(INDEX(LubesCalc!$AD$3:$AD$122,$T67)="","—",INDEX(LubesCalc!$AD$3:$AD$122,$T67)),"")</f>
        <v/>
      </c>
      <c r="M67" s="20">
        <f>IF(AND(ISNUMBER($T67),$T67&lt;&gt;""),IF(INDEX(LubesCalc!$AE$3:$AE$122,$T67)="","—",INDEX(LubesCalc!$AE$3:$AE$122,$T67)),"")</f>
        <v/>
      </c>
      <c r="N67" s="20">
        <f>IF(AND(ISNUMBER($T67),$T67&lt;&gt;""),IF(INDEX(LubesCalc!$AF$3:$AF$122,$T67)="","—",INDEX(LubesCalc!$AF$3:$AF$122,$T67)),"")</f>
        <v/>
      </c>
      <c r="O67" s="20">
        <f>IF(AND(ISNUMBER($T67),$T67&lt;&gt;""),IF(INDEX(LubesCalc!$AG$3:$AG$122,$T67)="","—",INDEX(LubesCalc!$AG$3:$AG$122,$T67)),"")</f>
        <v/>
      </c>
      <c r="P67" s="21">
        <f>IF(AND(ISNUMBER($T67),$T67&lt;&gt;""),IF(INDEX(LubesCalc!$AJ$3:$AJ$122,$T67)="","—",INDEX(LubesCalc!$AJ$3:$AJ$122,$T67)),"")</f>
        <v/>
      </c>
      <c r="Q67" s="21">
        <f>IF(AND(ISNUMBER($T67),$T67&lt;&gt;""),IF(INDEX(LubesCalc!$AK$3:$AK$122,$T67)="","—",INDEX(LubesCalc!$AK$3:$AK$122,$T67)),"")</f>
        <v/>
      </c>
      <c r="R67" s="20">
        <f>IF(AND(ISNUMBER($T67),$T67&lt;&gt;""),IF(INDEX(LubesCalc!$AL$3:$AL$122,$T67)="","—",INDEX(LubesCalc!$AL$3:$AL$122,$T67)),"")</f>
        <v/>
      </c>
      <c r="T67">
        <f>IFERROR(MATCH(63,LubesCalc!$AN$3:$AN$122,0),"")</f>
        <v/>
      </c>
    </row>
    <row r="68">
      <c r="A68" s="14">
        <f>IF(AND(ISNUMBER($T68),$T68&lt;&gt;""),INDEX(LubesCalc!$S$3:$S$122,$T68),"")</f>
        <v/>
      </c>
      <c r="B68" s="15">
        <f>IF(AND(ISNUMBER($T68),$T68&lt;&gt;""),IF(INDEX(LubesCalc!$T$3:$T$122,$T68)="","—",INDEX(LubesCalc!$T$3:$T$122,$T68)),"")</f>
        <v/>
      </c>
      <c r="C68" s="15">
        <f>IF(AND(ISNUMBER($T68),$T68&lt;&gt;""),IF(INDEX(LubesCalc!$U$3:$U$122,$T68)="","—",INDEX(LubesCalc!$U$3:$U$122,$T68)),"")</f>
        <v/>
      </c>
      <c r="D68" s="15">
        <f>IF(AND(ISNUMBER($T68),$T68&lt;&gt;""),IF(INDEX(LubesCalc!$V$3:$V$122,$T68)="","—",INDEX(LubesCalc!$V$3:$V$122,$T68)),"")</f>
        <v/>
      </c>
      <c r="E68" s="15">
        <f>IF(AND(ISNUMBER($T68),$T68&lt;&gt;""),IF(INDEX(LubesCalc!$W$3:$W$122,$T68)="","—",INDEX(LubesCalc!$W$3:$W$122,$T68)),"")</f>
        <v/>
      </c>
      <c r="F68" s="15">
        <f>IF(AND(ISNUMBER($T68),$T68&lt;&gt;""),IF(INDEX(LubesCalc!$X$3:$X$122,$T68)="","—",INDEX(LubesCalc!$X$3:$X$122,$T68)),"")</f>
        <v/>
      </c>
      <c r="G68" s="15">
        <f>IF(AND(ISNUMBER($T68),$T68&lt;&gt;""),IF(INDEX(LubesCalc!$Y$3:$Y$122,$T68)="","—",INDEX(LubesCalc!$Y$3:$Y$122,$T68)),"")</f>
        <v/>
      </c>
      <c r="H68" s="15">
        <f>IF(AND(ISNUMBER($T68),$T68&lt;&gt;""),IF(INDEX(LubesCalc!$Z$3:$Z$122,$T68)="","—",INDEX(LubesCalc!$Z$3:$Z$122,$T68)),"")</f>
        <v/>
      </c>
      <c r="I68" s="15">
        <f>IF(AND(ISNUMBER($T68),$T68&lt;&gt;""),IF(INDEX(LubesCalc!$AA$3:$AA$122,$T68)="","—",INDEX(LubesCalc!$AA$3:$AA$122,$T68)),"")</f>
        <v/>
      </c>
      <c r="J68" s="15">
        <f>IF(AND(ISNUMBER($T68),$T68&lt;&gt;""),IF(INDEX(LubesCalc!$AB$3:$AB$122,$T68)="","—",INDEX(LubesCalc!$AB$3:$AB$122,$T68)),"")</f>
        <v/>
      </c>
      <c r="K68" s="15">
        <f>IF(AND(ISNUMBER($T68),$T68&lt;&gt;""),IF(INDEX(LubesCalc!$AC$3:$AC$122,$T68)="","—",INDEX(LubesCalc!$AC$3:$AC$122,$T68)),"")</f>
        <v/>
      </c>
      <c r="L68" s="15">
        <f>IF(AND(ISNUMBER($T68),$T68&lt;&gt;""),IF(INDEX(LubesCalc!$AD$3:$AD$122,$T68)="","—",INDEX(LubesCalc!$AD$3:$AD$122,$T68)),"")</f>
        <v/>
      </c>
      <c r="M68" s="15">
        <f>IF(AND(ISNUMBER($T68),$T68&lt;&gt;""),IF(INDEX(LubesCalc!$AE$3:$AE$122,$T68)="","—",INDEX(LubesCalc!$AE$3:$AE$122,$T68)),"")</f>
        <v/>
      </c>
      <c r="N68" s="15">
        <f>IF(AND(ISNUMBER($T68),$T68&lt;&gt;""),IF(INDEX(LubesCalc!$AF$3:$AF$122,$T68)="","—",INDEX(LubesCalc!$AF$3:$AF$122,$T68)),"")</f>
        <v/>
      </c>
      <c r="O68" s="15">
        <f>IF(AND(ISNUMBER($T68),$T68&lt;&gt;""),IF(INDEX(LubesCalc!$AG$3:$AG$122,$T68)="","—",INDEX(LubesCalc!$AG$3:$AG$122,$T68)),"")</f>
        <v/>
      </c>
      <c r="P68" s="16">
        <f>IF(AND(ISNUMBER($T68),$T68&lt;&gt;""),IF(INDEX(LubesCalc!$AJ$3:$AJ$122,$T68)="","—",INDEX(LubesCalc!$AJ$3:$AJ$122,$T68)),"")</f>
        <v/>
      </c>
      <c r="Q68" s="16">
        <f>IF(AND(ISNUMBER($T68),$T68&lt;&gt;""),IF(INDEX(LubesCalc!$AK$3:$AK$122,$T68)="","—",INDEX(LubesCalc!$AK$3:$AK$122,$T68)),"")</f>
        <v/>
      </c>
      <c r="R68" s="15">
        <f>IF(AND(ISNUMBER($T68),$T68&lt;&gt;""),IF(INDEX(LubesCalc!$AL$3:$AL$122,$T68)="","—",INDEX(LubesCalc!$AL$3:$AL$122,$T68)),"")</f>
        <v/>
      </c>
      <c r="T68">
        <f>IFERROR(MATCH(64,LubesCalc!$AN$3:$AN$122,0),"")</f>
        <v/>
      </c>
    </row>
    <row r="69">
      <c r="A69" s="19">
        <f>IF(AND(ISNUMBER($T69),$T69&lt;&gt;""),INDEX(LubesCalc!$S$3:$S$122,$T69),"")</f>
        <v/>
      </c>
      <c r="B69" s="20">
        <f>IF(AND(ISNUMBER($T69),$T69&lt;&gt;""),IF(INDEX(LubesCalc!$T$3:$T$122,$T69)="","—",INDEX(LubesCalc!$T$3:$T$122,$T69)),"")</f>
        <v/>
      </c>
      <c r="C69" s="20">
        <f>IF(AND(ISNUMBER($T69),$T69&lt;&gt;""),IF(INDEX(LubesCalc!$U$3:$U$122,$T69)="","—",INDEX(LubesCalc!$U$3:$U$122,$T69)),"")</f>
        <v/>
      </c>
      <c r="D69" s="20">
        <f>IF(AND(ISNUMBER($T69),$T69&lt;&gt;""),IF(INDEX(LubesCalc!$V$3:$V$122,$T69)="","—",INDEX(LubesCalc!$V$3:$V$122,$T69)),"")</f>
        <v/>
      </c>
      <c r="E69" s="20">
        <f>IF(AND(ISNUMBER($T69),$T69&lt;&gt;""),IF(INDEX(LubesCalc!$W$3:$W$122,$T69)="","—",INDEX(LubesCalc!$W$3:$W$122,$T69)),"")</f>
        <v/>
      </c>
      <c r="F69" s="20">
        <f>IF(AND(ISNUMBER($T69),$T69&lt;&gt;""),IF(INDEX(LubesCalc!$X$3:$X$122,$T69)="","—",INDEX(LubesCalc!$X$3:$X$122,$T69)),"")</f>
        <v/>
      </c>
      <c r="G69" s="20">
        <f>IF(AND(ISNUMBER($T69),$T69&lt;&gt;""),IF(INDEX(LubesCalc!$Y$3:$Y$122,$T69)="","—",INDEX(LubesCalc!$Y$3:$Y$122,$T69)),"")</f>
        <v/>
      </c>
      <c r="H69" s="20">
        <f>IF(AND(ISNUMBER($T69),$T69&lt;&gt;""),IF(INDEX(LubesCalc!$Z$3:$Z$122,$T69)="","—",INDEX(LubesCalc!$Z$3:$Z$122,$T69)),"")</f>
        <v/>
      </c>
      <c r="I69" s="20">
        <f>IF(AND(ISNUMBER($T69),$T69&lt;&gt;""),IF(INDEX(LubesCalc!$AA$3:$AA$122,$T69)="","—",INDEX(LubesCalc!$AA$3:$AA$122,$T69)),"")</f>
        <v/>
      </c>
      <c r="J69" s="20">
        <f>IF(AND(ISNUMBER($T69),$T69&lt;&gt;""),IF(INDEX(LubesCalc!$AB$3:$AB$122,$T69)="","—",INDEX(LubesCalc!$AB$3:$AB$122,$T69)),"")</f>
        <v/>
      </c>
      <c r="K69" s="20">
        <f>IF(AND(ISNUMBER($T69),$T69&lt;&gt;""),IF(INDEX(LubesCalc!$AC$3:$AC$122,$T69)="","—",INDEX(LubesCalc!$AC$3:$AC$122,$T69)),"")</f>
        <v/>
      </c>
      <c r="L69" s="20">
        <f>IF(AND(ISNUMBER($T69),$T69&lt;&gt;""),IF(INDEX(LubesCalc!$AD$3:$AD$122,$T69)="","—",INDEX(LubesCalc!$AD$3:$AD$122,$T69)),"")</f>
        <v/>
      </c>
      <c r="M69" s="20">
        <f>IF(AND(ISNUMBER($T69),$T69&lt;&gt;""),IF(INDEX(LubesCalc!$AE$3:$AE$122,$T69)="","—",INDEX(LubesCalc!$AE$3:$AE$122,$T69)),"")</f>
        <v/>
      </c>
      <c r="N69" s="20">
        <f>IF(AND(ISNUMBER($T69),$T69&lt;&gt;""),IF(INDEX(LubesCalc!$AF$3:$AF$122,$T69)="","—",INDEX(LubesCalc!$AF$3:$AF$122,$T69)),"")</f>
        <v/>
      </c>
      <c r="O69" s="20">
        <f>IF(AND(ISNUMBER($T69),$T69&lt;&gt;""),IF(INDEX(LubesCalc!$AG$3:$AG$122,$T69)="","—",INDEX(LubesCalc!$AG$3:$AG$122,$T69)),"")</f>
        <v/>
      </c>
      <c r="P69" s="21">
        <f>IF(AND(ISNUMBER($T69),$T69&lt;&gt;""),IF(INDEX(LubesCalc!$AJ$3:$AJ$122,$T69)="","—",INDEX(LubesCalc!$AJ$3:$AJ$122,$T69)),"")</f>
        <v/>
      </c>
      <c r="Q69" s="21">
        <f>IF(AND(ISNUMBER($T69),$T69&lt;&gt;""),IF(INDEX(LubesCalc!$AK$3:$AK$122,$T69)="","—",INDEX(LubesCalc!$AK$3:$AK$122,$T69)),"")</f>
        <v/>
      </c>
      <c r="R69" s="20">
        <f>IF(AND(ISNUMBER($T69),$T69&lt;&gt;""),IF(INDEX(LubesCalc!$AL$3:$AL$122,$T69)="","—",INDEX(LubesCalc!$AL$3:$AL$122,$T69)),"")</f>
        <v/>
      </c>
      <c r="T69">
        <f>IFERROR(MATCH(65,LubesCalc!$AN$3:$AN$122,0),"")</f>
        <v/>
      </c>
    </row>
    <row r="70">
      <c r="A70" s="14">
        <f>IF(AND(ISNUMBER($T70),$T70&lt;&gt;""),INDEX(LubesCalc!$S$3:$S$122,$T70),"")</f>
        <v/>
      </c>
      <c r="B70" s="15">
        <f>IF(AND(ISNUMBER($T70),$T70&lt;&gt;""),IF(INDEX(LubesCalc!$T$3:$T$122,$T70)="","—",INDEX(LubesCalc!$T$3:$T$122,$T70)),"")</f>
        <v/>
      </c>
      <c r="C70" s="15">
        <f>IF(AND(ISNUMBER($T70),$T70&lt;&gt;""),IF(INDEX(LubesCalc!$U$3:$U$122,$T70)="","—",INDEX(LubesCalc!$U$3:$U$122,$T70)),"")</f>
        <v/>
      </c>
      <c r="D70" s="15">
        <f>IF(AND(ISNUMBER($T70),$T70&lt;&gt;""),IF(INDEX(LubesCalc!$V$3:$V$122,$T70)="","—",INDEX(LubesCalc!$V$3:$V$122,$T70)),"")</f>
        <v/>
      </c>
      <c r="E70" s="15">
        <f>IF(AND(ISNUMBER($T70),$T70&lt;&gt;""),IF(INDEX(LubesCalc!$W$3:$W$122,$T70)="","—",INDEX(LubesCalc!$W$3:$W$122,$T70)),"")</f>
        <v/>
      </c>
      <c r="F70" s="15">
        <f>IF(AND(ISNUMBER($T70),$T70&lt;&gt;""),IF(INDEX(LubesCalc!$X$3:$X$122,$T70)="","—",INDEX(LubesCalc!$X$3:$X$122,$T70)),"")</f>
        <v/>
      </c>
      <c r="G70" s="15">
        <f>IF(AND(ISNUMBER($T70),$T70&lt;&gt;""),IF(INDEX(LubesCalc!$Y$3:$Y$122,$T70)="","—",INDEX(LubesCalc!$Y$3:$Y$122,$T70)),"")</f>
        <v/>
      </c>
      <c r="H70" s="15">
        <f>IF(AND(ISNUMBER($T70),$T70&lt;&gt;""),IF(INDEX(LubesCalc!$Z$3:$Z$122,$T70)="","—",INDEX(LubesCalc!$Z$3:$Z$122,$T70)),"")</f>
        <v/>
      </c>
      <c r="I70" s="15">
        <f>IF(AND(ISNUMBER($T70),$T70&lt;&gt;""),IF(INDEX(LubesCalc!$AA$3:$AA$122,$T70)="","—",INDEX(LubesCalc!$AA$3:$AA$122,$T70)),"")</f>
        <v/>
      </c>
      <c r="J70" s="15">
        <f>IF(AND(ISNUMBER($T70),$T70&lt;&gt;""),IF(INDEX(LubesCalc!$AB$3:$AB$122,$T70)="","—",INDEX(LubesCalc!$AB$3:$AB$122,$T70)),"")</f>
        <v/>
      </c>
      <c r="K70" s="15">
        <f>IF(AND(ISNUMBER($T70),$T70&lt;&gt;""),IF(INDEX(LubesCalc!$AC$3:$AC$122,$T70)="","—",INDEX(LubesCalc!$AC$3:$AC$122,$T70)),"")</f>
        <v/>
      </c>
      <c r="L70" s="15">
        <f>IF(AND(ISNUMBER($T70),$T70&lt;&gt;""),IF(INDEX(LubesCalc!$AD$3:$AD$122,$T70)="","—",INDEX(LubesCalc!$AD$3:$AD$122,$T70)),"")</f>
        <v/>
      </c>
      <c r="M70" s="15">
        <f>IF(AND(ISNUMBER($T70),$T70&lt;&gt;""),IF(INDEX(LubesCalc!$AE$3:$AE$122,$T70)="","—",INDEX(LubesCalc!$AE$3:$AE$122,$T70)),"")</f>
        <v/>
      </c>
      <c r="N70" s="15">
        <f>IF(AND(ISNUMBER($T70),$T70&lt;&gt;""),IF(INDEX(LubesCalc!$AF$3:$AF$122,$T70)="","—",INDEX(LubesCalc!$AF$3:$AF$122,$T70)),"")</f>
        <v/>
      </c>
      <c r="O70" s="15">
        <f>IF(AND(ISNUMBER($T70),$T70&lt;&gt;""),IF(INDEX(LubesCalc!$AG$3:$AG$122,$T70)="","—",INDEX(LubesCalc!$AG$3:$AG$122,$T70)),"")</f>
        <v/>
      </c>
      <c r="P70" s="16">
        <f>IF(AND(ISNUMBER($T70),$T70&lt;&gt;""),IF(INDEX(LubesCalc!$AJ$3:$AJ$122,$T70)="","—",INDEX(LubesCalc!$AJ$3:$AJ$122,$T70)),"")</f>
        <v/>
      </c>
      <c r="Q70" s="16">
        <f>IF(AND(ISNUMBER($T70),$T70&lt;&gt;""),IF(INDEX(LubesCalc!$AK$3:$AK$122,$T70)="","—",INDEX(LubesCalc!$AK$3:$AK$122,$T70)),"")</f>
        <v/>
      </c>
      <c r="R70" s="15">
        <f>IF(AND(ISNUMBER($T70),$T70&lt;&gt;""),IF(INDEX(LubesCalc!$AL$3:$AL$122,$T70)="","—",INDEX(LubesCalc!$AL$3:$AL$122,$T70)),"")</f>
        <v/>
      </c>
      <c r="T70">
        <f>IFERROR(MATCH(66,LubesCalc!$AN$3:$AN$122,0),"")</f>
        <v/>
      </c>
    </row>
    <row r="71">
      <c r="A71" s="19">
        <f>IF(AND(ISNUMBER($T71),$T71&lt;&gt;""),INDEX(LubesCalc!$S$3:$S$122,$T71),"")</f>
        <v/>
      </c>
      <c r="B71" s="20">
        <f>IF(AND(ISNUMBER($T71),$T71&lt;&gt;""),IF(INDEX(LubesCalc!$T$3:$T$122,$T71)="","—",INDEX(LubesCalc!$T$3:$T$122,$T71)),"")</f>
        <v/>
      </c>
      <c r="C71" s="20">
        <f>IF(AND(ISNUMBER($T71),$T71&lt;&gt;""),IF(INDEX(LubesCalc!$U$3:$U$122,$T71)="","—",INDEX(LubesCalc!$U$3:$U$122,$T71)),"")</f>
        <v/>
      </c>
      <c r="D71" s="20">
        <f>IF(AND(ISNUMBER($T71),$T71&lt;&gt;""),IF(INDEX(LubesCalc!$V$3:$V$122,$T71)="","—",INDEX(LubesCalc!$V$3:$V$122,$T71)),"")</f>
        <v/>
      </c>
      <c r="E71" s="20">
        <f>IF(AND(ISNUMBER($T71),$T71&lt;&gt;""),IF(INDEX(LubesCalc!$W$3:$W$122,$T71)="","—",INDEX(LubesCalc!$W$3:$W$122,$T71)),"")</f>
        <v/>
      </c>
      <c r="F71" s="20">
        <f>IF(AND(ISNUMBER($T71),$T71&lt;&gt;""),IF(INDEX(LubesCalc!$X$3:$X$122,$T71)="","—",INDEX(LubesCalc!$X$3:$X$122,$T71)),"")</f>
        <v/>
      </c>
      <c r="G71" s="20">
        <f>IF(AND(ISNUMBER($T71),$T71&lt;&gt;""),IF(INDEX(LubesCalc!$Y$3:$Y$122,$T71)="","—",INDEX(LubesCalc!$Y$3:$Y$122,$T71)),"")</f>
        <v/>
      </c>
      <c r="H71" s="20">
        <f>IF(AND(ISNUMBER($T71),$T71&lt;&gt;""),IF(INDEX(LubesCalc!$Z$3:$Z$122,$T71)="","—",INDEX(LubesCalc!$Z$3:$Z$122,$T71)),"")</f>
        <v/>
      </c>
      <c r="I71" s="20">
        <f>IF(AND(ISNUMBER($T71),$T71&lt;&gt;""),IF(INDEX(LubesCalc!$AA$3:$AA$122,$T71)="","—",INDEX(LubesCalc!$AA$3:$AA$122,$T71)),"")</f>
        <v/>
      </c>
      <c r="J71" s="20">
        <f>IF(AND(ISNUMBER($T71),$T71&lt;&gt;""),IF(INDEX(LubesCalc!$AB$3:$AB$122,$T71)="","—",INDEX(LubesCalc!$AB$3:$AB$122,$T71)),"")</f>
        <v/>
      </c>
      <c r="K71" s="20">
        <f>IF(AND(ISNUMBER($T71),$T71&lt;&gt;""),IF(INDEX(LubesCalc!$AC$3:$AC$122,$T71)="","—",INDEX(LubesCalc!$AC$3:$AC$122,$T71)),"")</f>
        <v/>
      </c>
      <c r="L71" s="20">
        <f>IF(AND(ISNUMBER($T71),$T71&lt;&gt;""),IF(INDEX(LubesCalc!$AD$3:$AD$122,$T71)="","—",INDEX(LubesCalc!$AD$3:$AD$122,$T71)),"")</f>
        <v/>
      </c>
      <c r="M71" s="20">
        <f>IF(AND(ISNUMBER($T71),$T71&lt;&gt;""),IF(INDEX(LubesCalc!$AE$3:$AE$122,$T71)="","—",INDEX(LubesCalc!$AE$3:$AE$122,$T71)),"")</f>
        <v/>
      </c>
      <c r="N71" s="20">
        <f>IF(AND(ISNUMBER($T71),$T71&lt;&gt;""),IF(INDEX(LubesCalc!$AF$3:$AF$122,$T71)="","—",INDEX(LubesCalc!$AF$3:$AF$122,$T71)),"")</f>
        <v/>
      </c>
      <c r="O71" s="20">
        <f>IF(AND(ISNUMBER($T71),$T71&lt;&gt;""),IF(INDEX(LubesCalc!$AG$3:$AG$122,$T71)="","—",INDEX(LubesCalc!$AG$3:$AG$122,$T71)),"")</f>
        <v/>
      </c>
      <c r="P71" s="21">
        <f>IF(AND(ISNUMBER($T71),$T71&lt;&gt;""),IF(INDEX(LubesCalc!$AJ$3:$AJ$122,$T71)="","—",INDEX(LubesCalc!$AJ$3:$AJ$122,$T71)),"")</f>
        <v/>
      </c>
      <c r="Q71" s="21">
        <f>IF(AND(ISNUMBER($T71),$T71&lt;&gt;""),IF(INDEX(LubesCalc!$AK$3:$AK$122,$T71)="","—",INDEX(LubesCalc!$AK$3:$AK$122,$T71)),"")</f>
        <v/>
      </c>
      <c r="R71" s="20">
        <f>IF(AND(ISNUMBER($T71),$T71&lt;&gt;""),IF(INDEX(LubesCalc!$AL$3:$AL$122,$T71)="","—",INDEX(LubesCalc!$AL$3:$AL$122,$T71)),"")</f>
        <v/>
      </c>
      <c r="T71">
        <f>IFERROR(MATCH(67,LubesCalc!$AN$3:$AN$122,0),"")</f>
        <v/>
      </c>
    </row>
    <row r="72">
      <c r="A72" s="14">
        <f>IF(AND(ISNUMBER($T72),$T72&lt;&gt;""),INDEX(LubesCalc!$S$3:$S$122,$T72),"")</f>
        <v/>
      </c>
      <c r="B72" s="15">
        <f>IF(AND(ISNUMBER($T72),$T72&lt;&gt;""),IF(INDEX(LubesCalc!$T$3:$T$122,$T72)="","—",INDEX(LubesCalc!$T$3:$T$122,$T72)),"")</f>
        <v/>
      </c>
      <c r="C72" s="15">
        <f>IF(AND(ISNUMBER($T72),$T72&lt;&gt;""),IF(INDEX(LubesCalc!$U$3:$U$122,$T72)="","—",INDEX(LubesCalc!$U$3:$U$122,$T72)),"")</f>
        <v/>
      </c>
      <c r="D72" s="15">
        <f>IF(AND(ISNUMBER($T72),$T72&lt;&gt;""),IF(INDEX(LubesCalc!$V$3:$V$122,$T72)="","—",INDEX(LubesCalc!$V$3:$V$122,$T72)),"")</f>
        <v/>
      </c>
      <c r="E72" s="15">
        <f>IF(AND(ISNUMBER($T72),$T72&lt;&gt;""),IF(INDEX(LubesCalc!$W$3:$W$122,$T72)="","—",INDEX(LubesCalc!$W$3:$W$122,$T72)),"")</f>
        <v/>
      </c>
      <c r="F72" s="15">
        <f>IF(AND(ISNUMBER($T72),$T72&lt;&gt;""),IF(INDEX(LubesCalc!$X$3:$X$122,$T72)="","—",INDEX(LubesCalc!$X$3:$X$122,$T72)),"")</f>
        <v/>
      </c>
      <c r="G72" s="15">
        <f>IF(AND(ISNUMBER($T72),$T72&lt;&gt;""),IF(INDEX(LubesCalc!$Y$3:$Y$122,$T72)="","—",INDEX(LubesCalc!$Y$3:$Y$122,$T72)),"")</f>
        <v/>
      </c>
      <c r="H72" s="15">
        <f>IF(AND(ISNUMBER($T72),$T72&lt;&gt;""),IF(INDEX(LubesCalc!$Z$3:$Z$122,$T72)="","—",INDEX(LubesCalc!$Z$3:$Z$122,$T72)),"")</f>
        <v/>
      </c>
      <c r="I72" s="15">
        <f>IF(AND(ISNUMBER($T72),$T72&lt;&gt;""),IF(INDEX(LubesCalc!$AA$3:$AA$122,$T72)="","—",INDEX(LubesCalc!$AA$3:$AA$122,$T72)),"")</f>
        <v/>
      </c>
      <c r="J72" s="15">
        <f>IF(AND(ISNUMBER($T72),$T72&lt;&gt;""),IF(INDEX(LubesCalc!$AB$3:$AB$122,$T72)="","—",INDEX(LubesCalc!$AB$3:$AB$122,$T72)),"")</f>
        <v/>
      </c>
      <c r="K72" s="15">
        <f>IF(AND(ISNUMBER($T72),$T72&lt;&gt;""),IF(INDEX(LubesCalc!$AC$3:$AC$122,$T72)="","—",INDEX(LubesCalc!$AC$3:$AC$122,$T72)),"")</f>
        <v/>
      </c>
      <c r="L72" s="15">
        <f>IF(AND(ISNUMBER($T72),$T72&lt;&gt;""),IF(INDEX(LubesCalc!$AD$3:$AD$122,$T72)="","—",INDEX(LubesCalc!$AD$3:$AD$122,$T72)),"")</f>
        <v/>
      </c>
      <c r="M72" s="15">
        <f>IF(AND(ISNUMBER($T72),$T72&lt;&gt;""),IF(INDEX(LubesCalc!$AE$3:$AE$122,$T72)="","—",INDEX(LubesCalc!$AE$3:$AE$122,$T72)),"")</f>
        <v/>
      </c>
      <c r="N72" s="15">
        <f>IF(AND(ISNUMBER($T72),$T72&lt;&gt;""),IF(INDEX(LubesCalc!$AF$3:$AF$122,$T72)="","—",INDEX(LubesCalc!$AF$3:$AF$122,$T72)),"")</f>
        <v/>
      </c>
      <c r="O72" s="15">
        <f>IF(AND(ISNUMBER($T72),$T72&lt;&gt;""),IF(INDEX(LubesCalc!$AG$3:$AG$122,$T72)="","—",INDEX(LubesCalc!$AG$3:$AG$122,$T72)),"")</f>
        <v/>
      </c>
      <c r="P72" s="16">
        <f>IF(AND(ISNUMBER($T72),$T72&lt;&gt;""),IF(INDEX(LubesCalc!$AJ$3:$AJ$122,$T72)="","—",INDEX(LubesCalc!$AJ$3:$AJ$122,$T72)),"")</f>
        <v/>
      </c>
      <c r="Q72" s="16">
        <f>IF(AND(ISNUMBER($T72),$T72&lt;&gt;""),IF(INDEX(LubesCalc!$AK$3:$AK$122,$T72)="","—",INDEX(LubesCalc!$AK$3:$AK$122,$T72)),"")</f>
        <v/>
      </c>
      <c r="R72" s="15">
        <f>IF(AND(ISNUMBER($T72),$T72&lt;&gt;""),IF(INDEX(LubesCalc!$AL$3:$AL$122,$T72)="","—",INDEX(LubesCalc!$AL$3:$AL$122,$T72)),"")</f>
        <v/>
      </c>
      <c r="T72">
        <f>IFERROR(MATCH(68,LubesCalc!$AN$3:$AN$122,0),"")</f>
        <v/>
      </c>
    </row>
    <row r="73">
      <c r="A73" s="19">
        <f>IF(AND(ISNUMBER($T73),$T73&lt;&gt;""),INDEX(LubesCalc!$S$3:$S$122,$T73),"")</f>
        <v/>
      </c>
      <c r="B73" s="20">
        <f>IF(AND(ISNUMBER($T73),$T73&lt;&gt;""),IF(INDEX(LubesCalc!$T$3:$T$122,$T73)="","—",INDEX(LubesCalc!$T$3:$T$122,$T73)),"")</f>
        <v/>
      </c>
      <c r="C73" s="20">
        <f>IF(AND(ISNUMBER($T73),$T73&lt;&gt;""),IF(INDEX(LubesCalc!$U$3:$U$122,$T73)="","—",INDEX(LubesCalc!$U$3:$U$122,$T73)),"")</f>
        <v/>
      </c>
      <c r="D73" s="20">
        <f>IF(AND(ISNUMBER($T73),$T73&lt;&gt;""),IF(INDEX(LubesCalc!$V$3:$V$122,$T73)="","—",INDEX(LubesCalc!$V$3:$V$122,$T73)),"")</f>
        <v/>
      </c>
      <c r="E73" s="20">
        <f>IF(AND(ISNUMBER($T73),$T73&lt;&gt;""),IF(INDEX(LubesCalc!$W$3:$W$122,$T73)="","—",INDEX(LubesCalc!$W$3:$W$122,$T73)),"")</f>
        <v/>
      </c>
      <c r="F73" s="20">
        <f>IF(AND(ISNUMBER($T73),$T73&lt;&gt;""),IF(INDEX(LubesCalc!$X$3:$X$122,$T73)="","—",INDEX(LubesCalc!$X$3:$X$122,$T73)),"")</f>
        <v/>
      </c>
      <c r="G73" s="20">
        <f>IF(AND(ISNUMBER($T73),$T73&lt;&gt;""),IF(INDEX(LubesCalc!$Y$3:$Y$122,$T73)="","—",INDEX(LubesCalc!$Y$3:$Y$122,$T73)),"")</f>
        <v/>
      </c>
      <c r="H73" s="20">
        <f>IF(AND(ISNUMBER($T73),$T73&lt;&gt;""),IF(INDEX(LubesCalc!$Z$3:$Z$122,$T73)="","—",INDEX(LubesCalc!$Z$3:$Z$122,$T73)),"")</f>
        <v/>
      </c>
      <c r="I73" s="20">
        <f>IF(AND(ISNUMBER($T73),$T73&lt;&gt;""),IF(INDEX(LubesCalc!$AA$3:$AA$122,$T73)="","—",INDEX(LubesCalc!$AA$3:$AA$122,$T73)),"")</f>
        <v/>
      </c>
      <c r="J73" s="20">
        <f>IF(AND(ISNUMBER($T73),$T73&lt;&gt;""),IF(INDEX(LubesCalc!$AB$3:$AB$122,$T73)="","—",INDEX(LubesCalc!$AB$3:$AB$122,$T73)),"")</f>
        <v/>
      </c>
      <c r="K73" s="20">
        <f>IF(AND(ISNUMBER($T73),$T73&lt;&gt;""),IF(INDEX(LubesCalc!$AC$3:$AC$122,$T73)="","—",INDEX(LubesCalc!$AC$3:$AC$122,$T73)),"")</f>
        <v/>
      </c>
      <c r="L73" s="20">
        <f>IF(AND(ISNUMBER($T73),$T73&lt;&gt;""),IF(INDEX(LubesCalc!$AD$3:$AD$122,$T73)="","—",INDEX(LubesCalc!$AD$3:$AD$122,$T73)),"")</f>
        <v/>
      </c>
      <c r="M73" s="20">
        <f>IF(AND(ISNUMBER($T73),$T73&lt;&gt;""),IF(INDEX(LubesCalc!$AE$3:$AE$122,$T73)="","—",INDEX(LubesCalc!$AE$3:$AE$122,$T73)),"")</f>
        <v/>
      </c>
      <c r="N73" s="20">
        <f>IF(AND(ISNUMBER($T73),$T73&lt;&gt;""),IF(INDEX(LubesCalc!$AF$3:$AF$122,$T73)="","—",INDEX(LubesCalc!$AF$3:$AF$122,$T73)),"")</f>
        <v/>
      </c>
      <c r="O73" s="20">
        <f>IF(AND(ISNUMBER($T73),$T73&lt;&gt;""),IF(INDEX(LubesCalc!$AG$3:$AG$122,$T73)="","—",INDEX(LubesCalc!$AG$3:$AG$122,$T73)),"")</f>
        <v/>
      </c>
      <c r="P73" s="21">
        <f>IF(AND(ISNUMBER($T73),$T73&lt;&gt;""),IF(INDEX(LubesCalc!$AJ$3:$AJ$122,$T73)="","—",INDEX(LubesCalc!$AJ$3:$AJ$122,$T73)),"")</f>
        <v/>
      </c>
      <c r="Q73" s="21">
        <f>IF(AND(ISNUMBER($T73),$T73&lt;&gt;""),IF(INDEX(LubesCalc!$AK$3:$AK$122,$T73)="","—",INDEX(LubesCalc!$AK$3:$AK$122,$T73)),"")</f>
        <v/>
      </c>
      <c r="R73" s="20">
        <f>IF(AND(ISNUMBER($T73),$T73&lt;&gt;""),IF(INDEX(LubesCalc!$AL$3:$AL$122,$T73)="","—",INDEX(LubesCalc!$AL$3:$AL$122,$T73)),"")</f>
        <v/>
      </c>
      <c r="T73">
        <f>IFERROR(MATCH(69,LubesCalc!$AN$3:$AN$122,0),"")</f>
        <v/>
      </c>
    </row>
    <row r="74">
      <c r="A74" s="14">
        <f>IF(AND(ISNUMBER($T74),$T74&lt;&gt;""),INDEX(LubesCalc!$S$3:$S$122,$T74),"")</f>
        <v/>
      </c>
      <c r="B74" s="15">
        <f>IF(AND(ISNUMBER($T74),$T74&lt;&gt;""),IF(INDEX(LubesCalc!$T$3:$T$122,$T74)="","—",INDEX(LubesCalc!$T$3:$T$122,$T74)),"")</f>
        <v/>
      </c>
      <c r="C74" s="15">
        <f>IF(AND(ISNUMBER($T74),$T74&lt;&gt;""),IF(INDEX(LubesCalc!$U$3:$U$122,$T74)="","—",INDEX(LubesCalc!$U$3:$U$122,$T74)),"")</f>
        <v/>
      </c>
      <c r="D74" s="15">
        <f>IF(AND(ISNUMBER($T74),$T74&lt;&gt;""),IF(INDEX(LubesCalc!$V$3:$V$122,$T74)="","—",INDEX(LubesCalc!$V$3:$V$122,$T74)),"")</f>
        <v/>
      </c>
      <c r="E74" s="15">
        <f>IF(AND(ISNUMBER($T74),$T74&lt;&gt;""),IF(INDEX(LubesCalc!$W$3:$W$122,$T74)="","—",INDEX(LubesCalc!$W$3:$W$122,$T74)),"")</f>
        <v/>
      </c>
      <c r="F74" s="15">
        <f>IF(AND(ISNUMBER($T74),$T74&lt;&gt;""),IF(INDEX(LubesCalc!$X$3:$X$122,$T74)="","—",INDEX(LubesCalc!$X$3:$X$122,$T74)),"")</f>
        <v/>
      </c>
      <c r="G74" s="15">
        <f>IF(AND(ISNUMBER($T74),$T74&lt;&gt;""),IF(INDEX(LubesCalc!$Y$3:$Y$122,$T74)="","—",INDEX(LubesCalc!$Y$3:$Y$122,$T74)),"")</f>
        <v/>
      </c>
      <c r="H74" s="15">
        <f>IF(AND(ISNUMBER($T74),$T74&lt;&gt;""),IF(INDEX(LubesCalc!$Z$3:$Z$122,$T74)="","—",INDEX(LubesCalc!$Z$3:$Z$122,$T74)),"")</f>
        <v/>
      </c>
      <c r="I74" s="15">
        <f>IF(AND(ISNUMBER($T74),$T74&lt;&gt;""),IF(INDEX(LubesCalc!$AA$3:$AA$122,$T74)="","—",INDEX(LubesCalc!$AA$3:$AA$122,$T74)),"")</f>
        <v/>
      </c>
      <c r="J74" s="15">
        <f>IF(AND(ISNUMBER($T74),$T74&lt;&gt;""),IF(INDEX(LubesCalc!$AB$3:$AB$122,$T74)="","—",INDEX(LubesCalc!$AB$3:$AB$122,$T74)),"")</f>
        <v/>
      </c>
      <c r="K74" s="15">
        <f>IF(AND(ISNUMBER($T74),$T74&lt;&gt;""),IF(INDEX(LubesCalc!$AC$3:$AC$122,$T74)="","—",INDEX(LubesCalc!$AC$3:$AC$122,$T74)),"")</f>
        <v/>
      </c>
      <c r="L74" s="15">
        <f>IF(AND(ISNUMBER($T74),$T74&lt;&gt;""),IF(INDEX(LubesCalc!$AD$3:$AD$122,$T74)="","—",INDEX(LubesCalc!$AD$3:$AD$122,$T74)),"")</f>
        <v/>
      </c>
      <c r="M74" s="15">
        <f>IF(AND(ISNUMBER($T74),$T74&lt;&gt;""),IF(INDEX(LubesCalc!$AE$3:$AE$122,$T74)="","—",INDEX(LubesCalc!$AE$3:$AE$122,$T74)),"")</f>
        <v/>
      </c>
      <c r="N74" s="15">
        <f>IF(AND(ISNUMBER($T74),$T74&lt;&gt;""),IF(INDEX(LubesCalc!$AF$3:$AF$122,$T74)="","—",INDEX(LubesCalc!$AF$3:$AF$122,$T74)),"")</f>
        <v/>
      </c>
      <c r="O74" s="15">
        <f>IF(AND(ISNUMBER($T74),$T74&lt;&gt;""),IF(INDEX(LubesCalc!$AG$3:$AG$122,$T74)="","—",INDEX(LubesCalc!$AG$3:$AG$122,$T74)),"")</f>
        <v/>
      </c>
      <c r="P74" s="16">
        <f>IF(AND(ISNUMBER($T74),$T74&lt;&gt;""),IF(INDEX(LubesCalc!$AJ$3:$AJ$122,$T74)="","—",INDEX(LubesCalc!$AJ$3:$AJ$122,$T74)),"")</f>
        <v/>
      </c>
      <c r="Q74" s="16">
        <f>IF(AND(ISNUMBER($T74),$T74&lt;&gt;""),IF(INDEX(LubesCalc!$AK$3:$AK$122,$T74)="","—",INDEX(LubesCalc!$AK$3:$AK$122,$T74)),"")</f>
        <v/>
      </c>
      <c r="R74" s="15">
        <f>IF(AND(ISNUMBER($T74),$T74&lt;&gt;""),IF(INDEX(LubesCalc!$AL$3:$AL$122,$T74)="","—",INDEX(LubesCalc!$AL$3:$AL$122,$T74)),"")</f>
        <v/>
      </c>
      <c r="T74">
        <f>IFERROR(MATCH(70,LubesCalc!$AN$3:$AN$122,0),"")</f>
        <v/>
      </c>
    </row>
    <row r="75">
      <c r="A75" s="19">
        <f>IF(AND(ISNUMBER($T75),$T75&lt;&gt;""),INDEX(LubesCalc!$S$3:$S$122,$T75),"")</f>
        <v/>
      </c>
      <c r="B75" s="20">
        <f>IF(AND(ISNUMBER($T75),$T75&lt;&gt;""),IF(INDEX(LubesCalc!$T$3:$T$122,$T75)="","—",INDEX(LubesCalc!$T$3:$T$122,$T75)),"")</f>
        <v/>
      </c>
      <c r="C75" s="20">
        <f>IF(AND(ISNUMBER($T75),$T75&lt;&gt;""),IF(INDEX(LubesCalc!$U$3:$U$122,$T75)="","—",INDEX(LubesCalc!$U$3:$U$122,$T75)),"")</f>
        <v/>
      </c>
      <c r="D75" s="20">
        <f>IF(AND(ISNUMBER($T75),$T75&lt;&gt;""),IF(INDEX(LubesCalc!$V$3:$V$122,$T75)="","—",INDEX(LubesCalc!$V$3:$V$122,$T75)),"")</f>
        <v/>
      </c>
      <c r="E75" s="20">
        <f>IF(AND(ISNUMBER($T75),$T75&lt;&gt;""),IF(INDEX(LubesCalc!$W$3:$W$122,$T75)="","—",INDEX(LubesCalc!$W$3:$W$122,$T75)),"")</f>
        <v/>
      </c>
      <c r="F75" s="20">
        <f>IF(AND(ISNUMBER($T75),$T75&lt;&gt;""),IF(INDEX(LubesCalc!$X$3:$X$122,$T75)="","—",INDEX(LubesCalc!$X$3:$X$122,$T75)),"")</f>
        <v/>
      </c>
      <c r="G75" s="20">
        <f>IF(AND(ISNUMBER($T75),$T75&lt;&gt;""),IF(INDEX(LubesCalc!$Y$3:$Y$122,$T75)="","—",INDEX(LubesCalc!$Y$3:$Y$122,$T75)),"")</f>
        <v/>
      </c>
      <c r="H75" s="20">
        <f>IF(AND(ISNUMBER($T75),$T75&lt;&gt;""),IF(INDEX(LubesCalc!$Z$3:$Z$122,$T75)="","—",INDEX(LubesCalc!$Z$3:$Z$122,$T75)),"")</f>
        <v/>
      </c>
      <c r="I75" s="20">
        <f>IF(AND(ISNUMBER($T75),$T75&lt;&gt;""),IF(INDEX(LubesCalc!$AA$3:$AA$122,$T75)="","—",INDEX(LubesCalc!$AA$3:$AA$122,$T75)),"")</f>
        <v/>
      </c>
      <c r="J75" s="20">
        <f>IF(AND(ISNUMBER($T75),$T75&lt;&gt;""),IF(INDEX(LubesCalc!$AB$3:$AB$122,$T75)="","—",INDEX(LubesCalc!$AB$3:$AB$122,$T75)),"")</f>
        <v/>
      </c>
      <c r="K75" s="20">
        <f>IF(AND(ISNUMBER($T75),$T75&lt;&gt;""),IF(INDEX(LubesCalc!$AC$3:$AC$122,$T75)="","—",INDEX(LubesCalc!$AC$3:$AC$122,$T75)),"")</f>
        <v/>
      </c>
      <c r="L75" s="20">
        <f>IF(AND(ISNUMBER($T75),$T75&lt;&gt;""),IF(INDEX(LubesCalc!$AD$3:$AD$122,$T75)="","—",INDEX(LubesCalc!$AD$3:$AD$122,$T75)),"")</f>
        <v/>
      </c>
      <c r="M75" s="20">
        <f>IF(AND(ISNUMBER($T75),$T75&lt;&gt;""),IF(INDEX(LubesCalc!$AE$3:$AE$122,$T75)="","—",INDEX(LubesCalc!$AE$3:$AE$122,$T75)),"")</f>
        <v/>
      </c>
      <c r="N75" s="20">
        <f>IF(AND(ISNUMBER($T75),$T75&lt;&gt;""),IF(INDEX(LubesCalc!$AF$3:$AF$122,$T75)="","—",INDEX(LubesCalc!$AF$3:$AF$122,$T75)),"")</f>
        <v/>
      </c>
      <c r="O75" s="20">
        <f>IF(AND(ISNUMBER($T75),$T75&lt;&gt;""),IF(INDEX(LubesCalc!$AG$3:$AG$122,$T75)="","—",INDEX(LubesCalc!$AG$3:$AG$122,$T75)),"")</f>
        <v/>
      </c>
      <c r="P75" s="21">
        <f>IF(AND(ISNUMBER($T75),$T75&lt;&gt;""),IF(INDEX(LubesCalc!$AJ$3:$AJ$122,$T75)="","—",INDEX(LubesCalc!$AJ$3:$AJ$122,$T75)),"")</f>
        <v/>
      </c>
      <c r="Q75" s="21">
        <f>IF(AND(ISNUMBER($T75),$T75&lt;&gt;""),IF(INDEX(LubesCalc!$AK$3:$AK$122,$T75)="","—",INDEX(LubesCalc!$AK$3:$AK$122,$T75)),"")</f>
        <v/>
      </c>
      <c r="R75" s="20">
        <f>IF(AND(ISNUMBER($T75),$T75&lt;&gt;""),IF(INDEX(LubesCalc!$AL$3:$AL$122,$T75)="","—",INDEX(LubesCalc!$AL$3:$AL$122,$T75)),"")</f>
        <v/>
      </c>
      <c r="T75">
        <f>IFERROR(MATCH(71,LubesCalc!$AN$3:$AN$122,0),"")</f>
        <v/>
      </c>
    </row>
    <row r="76">
      <c r="A76" s="14">
        <f>IF(AND(ISNUMBER($T76),$T76&lt;&gt;""),INDEX(LubesCalc!$S$3:$S$122,$T76),"")</f>
        <v/>
      </c>
      <c r="B76" s="15">
        <f>IF(AND(ISNUMBER($T76),$T76&lt;&gt;""),IF(INDEX(LubesCalc!$T$3:$T$122,$T76)="","—",INDEX(LubesCalc!$T$3:$T$122,$T76)),"")</f>
        <v/>
      </c>
      <c r="C76" s="15">
        <f>IF(AND(ISNUMBER($T76),$T76&lt;&gt;""),IF(INDEX(LubesCalc!$U$3:$U$122,$T76)="","—",INDEX(LubesCalc!$U$3:$U$122,$T76)),"")</f>
        <v/>
      </c>
      <c r="D76" s="15">
        <f>IF(AND(ISNUMBER($T76),$T76&lt;&gt;""),IF(INDEX(LubesCalc!$V$3:$V$122,$T76)="","—",INDEX(LubesCalc!$V$3:$V$122,$T76)),"")</f>
        <v/>
      </c>
      <c r="E76" s="15">
        <f>IF(AND(ISNUMBER($T76),$T76&lt;&gt;""),IF(INDEX(LubesCalc!$W$3:$W$122,$T76)="","—",INDEX(LubesCalc!$W$3:$W$122,$T76)),"")</f>
        <v/>
      </c>
      <c r="F76" s="15">
        <f>IF(AND(ISNUMBER($T76),$T76&lt;&gt;""),IF(INDEX(LubesCalc!$X$3:$X$122,$T76)="","—",INDEX(LubesCalc!$X$3:$X$122,$T76)),"")</f>
        <v/>
      </c>
      <c r="G76" s="15">
        <f>IF(AND(ISNUMBER($T76),$T76&lt;&gt;""),IF(INDEX(LubesCalc!$Y$3:$Y$122,$T76)="","—",INDEX(LubesCalc!$Y$3:$Y$122,$T76)),"")</f>
        <v/>
      </c>
      <c r="H76" s="15">
        <f>IF(AND(ISNUMBER($T76),$T76&lt;&gt;""),IF(INDEX(LubesCalc!$Z$3:$Z$122,$T76)="","—",INDEX(LubesCalc!$Z$3:$Z$122,$T76)),"")</f>
        <v/>
      </c>
      <c r="I76" s="15">
        <f>IF(AND(ISNUMBER($T76),$T76&lt;&gt;""),IF(INDEX(LubesCalc!$AA$3:$AA$122,$T76)="","—",INDEX(LubesCalc!$AA$3:$AA$122,$T76)),"")</f>
        <v/>
      </c>
      <c r="J76" s="15">
        <f>IF(AND(ISNUMBER($T76),$T76&lt;&gt;""),IF(INDEX(LubesCalc!$AB$3:$AB$122,$T76)="","—",INDEX(LubesCalc!$AB$3:$AB$122,$T76)),"")</f>
        <v/>
      </c>
      <c r="K76" s="15">
        <f>IF(AND(ISNUMBER($T76),$T76&lt;&gt;""),IF(INDEX(LubesCalc!$AC$3:$AC$122,$T76)="","—",INDEX(LubesCalc!$AC$3:$AC$122,$T76)),"")</f>
        <v/>
      </c>
      <c r="L76" s="15">
        <f>IF(AND(ISNUMBER($T76),$T76&lt;&gt;""),IF(INDEX(LubesCalc!$AD$3:$AD$122,$T76)="","—",INDEX(LubesCalc!$AD$3:$AD$122,$T76)),"")</f>
        <v/>
      </c>
      <c r="M76" s="15">
        <f>IF(AND(ISNUMBER($T76),$T76&lt;&gt;""),IF(INDEX(LubesCalc!$AE$3:$AE$122,$T76)="","—",INDEX(LubesCalc!$AE$3:$AE$122,$T76)),"")</f>
        <v/>
      </c>
      <c r="N76" s="15">
        <f>IF(AND(ISNUMBER($T76),$T76&lt;&gt;""),IF(INDEX(LubesCalc!$AF$3:$AF$122,$T76)="","—",INDEX(LubesCalc!$AF$3:$AF$122,$T76)),"")</f>
        <v/>
      </c>
      <c r="O76" s="15">
        <f>IF(AND(ISNUMBER($T76),$T76&lt;&gt;""),IF(INDEX(LubesCalc!$AG$3:$AG$122,$T76)="","—",INDEX(LubesCalc!$AG$3:$AG$122,$T76)),"")</f>
        <v/>
      </c>
      <c r="P76" s="16">
        <f>IF(AND(ISNUMBER($T76),$T76&lt;&gt;""),IF(INDEX(LubesCalc!$AJ$3:$AJ$122,$T76)="","—",INDEX(LubesCalc!$AJ$3:$AJ$122,$T76)),"")</f>
        <v/>
      </c>
      <c r="Q76" s="16">
        <f>IF(AND(ISNUMBER($T76),$T76&lt;&gt;""),IF(INDEX(LubesCalc!$AK$3:$AK$122,$T76)="","—",INDEX(LubesCalc!$AK$3:$AK$122,$T76)),"")</f>
        <v/>
      </c>
      <c r="R76" s="15">
        <f>IF(AND(ISNUMBER($T76),$T76&lt;&gt;""),IF(INDEX(LubesCalc!$AL$3:$AL$122,$T76)="","—",INDEX(LubesCalc!$AL$3:$AL$122,$T76)),"")</f>
        <v/>
      </c>
      <c r="T76">
        <f>IFERROR(MATCH(72,LubesCalc!$AN$3:$AN$122,0),"")</f>
        <v/>
      </c>
    </row>
    <row r="77">
      <c r="A77" s="19">
        <f>IF(AND(ISNUMBER($T77),$T77&lt;&gt;""),INDEX(LubesCalc!$S$3:$S$122,$T77),"")</f>
        <v/>
      </c>
      <c r="B77" s="20">
        <f>IF(AND(ISNUMBER($T77),$T77&lt;&gt;""),IF(INDEX(LubesCalc!$T$3:$T$122,$T77)="","—",INDEX(LubesCalc!$T$3:$T$122,$T77)),"")</f>
        <v/>
      </c>
      <c r="C77" s="20">
        <f>IF(AND(ISNUMBER($T77),$T77&lt;&gt;""),IF(INDEX(LubesCalc!$U$3:$U$122,$T77)="","—",INDEX(LubesCalc!$U$3:$U$122,$T77)),"")</f>
        <v/>
      </c>
      <c r="D77" s="20">
        <f>IF(AND(ISNUMBER($T77),$T77&lt;&gt;""),IF(INDEX(LubesCalc!$V$3:$V$122,$T77)="","—",INDEX(LubesCalc!$V$3:$V$122,$T77)),"")</f>
        <v/>
      </c>
      <c r="E77" s="20">
        <f>IF(AND(ISNUMBER($T77),$T77&lt;&gt;""),IF(INDEX(LubesCalc!$W$3:$W$122,$T77)="","—",INDEX(LubesCalc!$W$3:$W$122,$T77)),"")</f>
        <v/>
      </c>
      <c r="F77" s="20">
        <f>IF(AND(ISNUMBER($T77),$T77&lt;&gt;""),IF(INDEX(LubesCalc!$X$3:$X$122,$T77)="","—",INDEX(LubesCalc!$X$3:$X$122,$T77)),"")</f>
        <v/>
      </c>
      <c r="G77" s="20">
        <f>IF(AND(ISNUMBER($T77),$T77&lt;&gt;""),IF(INDEX(LubesCalc!$Y$3:$Y$122,$T77)="","—",INDEX(LubesCalc!$Y$3:$Y$122,$T77)),"")</f>
        <v/>
      </c>
      <c r="H77" s="20">
        <f>IF(AND(ISNUMBER($T77),$T77&lt;&gt;""),IF(INDEX(LubesCalc!$Z$3:$Z$122,$T77)="","—",INDEX(LubesCalc!$Z$3:$Z$122,$T77)),"")</f>
        <v/>
      </c>
      <c r="I77" s="20">
        <f>IF(AND(ISNUMBER($T77),$T77&lt;&gt;""),IF(INDEX(LubesCalc!$AA$3:$AA$122,$T77)="","—",INDEX(LubesCalc!$AA$3:$AA$122,$T77)),"")</f>
        <v/>
      </c>
      <c r="J77" s="20">
        <f>IF(AND(ISNUMBER($T77),$T77&lt;&gt;""),IF(INDEX(LubesCalc!$AB$3:$AB$122,$T77)="","—",INDEX(LubesCalc!$AB$3:$AB$122,$T77)),"")</f>
        <v/>
      </c>
      <c r="K77" s="20">
        <f>IF(AND(ISNUMBER($T77),$T77&lt;&gt;""),IF(INDEX(LubesCalc!$AC$3:$AC$122,$T77)="","—",INDEX(LubesCalc!$AC$3:$AC$122,$T77)),"")</f>
        <v/>
      </c>
      <c r="L77" s="20">
        <f>IF(AND(ISNUMBER($T77),$T77&lt;&gt;""),IF(INDEX(LubesCalc!$AD$3:$AD$122,$T77)="","—",INDEX(LubesCalc!$AD$3:$AD$122,$T77)),"")</f>
        <v/>
      </c>
      <c r="M77" s="20">
        <f>IF(AND(ISNUMBER($T77),$T77&lt;&gt;""),IF(INDEX(LubesCalc!$AE$3:$AE$122,$T77)="","—",INDEX(LubesCalc!$AE$3:$AE$122,$T77)),"")</f>
        <v/>
      </c>
      <c r="N77" s="20">
        <f>IF(AND(ISNUMBER($T77),$T77&lt;&gt;""),IF(INDEX(LubesCalc!$AF$3:$AF$122,$T77)="","—",INDEX(LubesCalc!$AF$3:$AF$122,$T77)),"")</f>
        <v/>
      </c>
      <c r="O77" s="20">
        <f>IF(AND(ISNUMBER($T77),$T77&lt;&gt;""),IF(INDEX(LubesCalc!$AG$3:$AG$122,$T77)="","—",INDEX(LubesCalc!$AG$3:$AG$122,$T77)),"")</f>
        <v/>
      </c>
      <c r="P77" s="21">
        <f>IF(AND(ISNUMBER($T77),$T77&lt;&gt;""),IF(INDEX(LubesCalc!$AJ$3:$AJ$122,$T77)="","—",INDEX(LubesCalc!$AJ$3:$AJ$122,$T77)),"")</f>
        <v/>
      </c>
      <c r="Q77" s="21">
        <f>IF(AND(ISNUMBER($T77),$T77&lt;&gt;""),IF(INDEX(LubesCalc!$AK$3:$AK$122,$T77)="","—",INDEX(LubesCalc!$AK$3:$AK$122,$T77)),"")</f>
        <v/>
      </c>
      <c r="R77" s="20">
        <f>IF(AND(ISNUMBER($T77),$T77&lt;&gt;""),IF(INDEX(LubesCalc!$AL$3:$AL$122,$T77)="","—",INDEX(LubesCalc!$AL$3:$AL$122,$T77)),"")</f>
        <v/>
      </c>
      <c r="T77">
        <f>IFERROR(MATCH(73,LubesCalc!$AN$3:$AN$122,0),"")</f>
        <v/>
      </c>
    </row>
    <row r="78">
      <c r="A78" s="14">
        <f>IF(AND(ISNUMBER($T78),$T78&lt;&gt;""),INDEX(LubesCalc!$S$3:$S$122,$T78),"")</f>
        <v/>
      </c>
      <c r="B78" s="15">
        <f>IF(AND(ISNUMBER($T78),$T78&lt;&gt;""),IF(INDEX(LubesCalc!$T$3:$T$122,$T78)="","—",INDEX(LubesCalc!$T$3:$T$122,$T78)),"")</f>
        <v/>
      </c>
      <c r="C78" s="15">
        <f>IF(AND(ISNUMBER($T78),$T78&lt;&gt;""),IF(INDEX(LubesCalc!$U$3:$U$122,$T78)="","—",INDEX(LubesCalc!$U$3:$U$122,$T78)),"")</f>
        <v/>
      </c>
      <c r="D78" s="15">
        <f>IF(AND(ISNUMBER($T78),$T78&lt;&gt;""),IF(INDEX(LubesCalc!$V$3:$V$122,$T78)="","—",INDEX(LubesCalc!$V$3:$V$122,$T78)),"")</f>
        <v/>
      </c>
      <c r="E78" s="15">
        <f>IF(AND(ISNUMBER($T78),$T78&lt;&gt;""),IF(INDEX(LubesCalc!$W$3:$W$122,$T78)="","—",INDEX(LubesCalc!$W$3:$W$122,$T78)),"")</f>
        <v/>
      </c>
      <c r="F78" s="15">
        <f>IF(AND(ISNUMBER($T78),$T78&lt;&gt;""),IF(INDEX(LubesCalc!$X$3:$X$122,$T78)="","—",INDEX(LubesCalc!$X$3:$X$122,$T78)),"")</f>
        <v/>
      </c>
      <c r="G78" s="15">
        <f>IF(AND(ISNUMBER($T78),$T78&lt;&gt;""),IF(INDEX(LubesCalc!$Y$3:$Y$122,$T78)="","—",INDEX(LubesCalc!$Y$3:$Y$122,$T78)),"")</f>
        <v/>
      </c>
      <c r="H78" s="15">
        <f>IF(AND(ISNUMBER($T78),$T78&lt;&gt;""),IF(INDEX(LubesCalc!$Z$3:$Z$122,$T78)="","—",INDEX(LubesCalc!$Z$3:$Z$122,$T78)),"")</f>
        <v/>
      </c>
      <c r="I78" s="15">
        <f>IF(AND(ISNUMBER($T78),$T78&lt;&gt;""),IF(INDEX(LubesCalc!$AA$3:$AA$122,$T78)="","—",INDEX(LubesCalc!$AA$3:$AA$122,$T78)),"")</f>
        <v/>
      </c>
      <c r="J78" s="15">
        <f>IF(AND(ISNUMBER($T78),$T78&lt;&gt;""),IF(INDEX(LubesCalc!$AB$3:$AB$122,$T78)="","—",INDEX(LubesCalc!$AB$3:$AB$122,$T78)),"")</f>
        <v/>
      </c>
      <c r="K78" s="15">
        <f>IF(AND(ISNUMBER($T78),$T78&lt;&gt;""),IF(INDEX(LubesCalc!$AC$3:$AC$122,$T78)="","—",INDEX(LubesCalc!$AC$3:$AC$122,$T78)),"")</f>
        <v/>
      </c>
      <c r="L78" s="15">
        <f>IF(AND(ISNUMBER($T78),$T78&lt;&gt;""),IF(INDEX(LubesCalc!$AD$3:$AD$122,$T78)="","—",INDEX(LubesCalc!$AD$3:$AD$122,$T78)),"")</f>
        <v/>
      </c>
      <c r="M78" s="15">
        <f>IF(AND(ISNUMBER($T78),$T78&lt;&gt;""),IF(INDEX(LubesCalc!$AE$3:$AE$122,$T78)="","—",INDEX(LubesCalc!$AE$3:$AE$122,$T78)),"")</f>
        <v/>
      </c>
      <c r="N78" s="15">
        <f>IF(AND(ISNUMBER($T78),$T78&lt;&gt;""),IF(INDEX(LubesCalc!$AF$3:$AF$122,$T78)="","—",INDEX(LubesCalc!$AF$3:$AF$122,$T78)),"")</f>
        <v/>
      </c>
      <c r="O78" s="15">
        <f>IF(AND(ISNUMBER($T78),$T78&lt;&gt;""),IF(INDEX(LubesCalc!$AG$3:$AG$122,$T78)="","—",INDEX(LubesCalc!$AG$3:$AG$122,$T78)),"")</f>
        <v/>
      </c>
      <c r="P78" s="16">
        <f>IF(AND(ISNUMBER($T78),$T78&lt;&gt;""),IF(INDEX(LubesCalc!$AJ$3:$AJ$122,$T78)="","—",INDEX(LubesCalc!$AJ$3:$AJ$122,$T78)),"")</f>
        <v/>
      </c>
      <c r="Q78" s="16">
        <f>IF(AND(ISNUMBER($T78),$T78&lt;&gt;""),IF(INDEX(LubesCalc!$AK$3:$AK$122,$T78)="","—",INDEX(LubesCalc!$AK$3:$AK$122,$T78)),"")</f>
        <v/>
      </c>
      <c r="R78" s="15">
        <f>IF(AND(ISNUMBER($T78),$T78&lt;&gt;""),IF(INDEX(LubesCalc!$AL$3:$AL$122,$T78)="","—",INDEX(LubesCalc!$AL$3:$AL$122,$T78)),"")</f>
        <v/>
      </c>
      <c r="T78">
        <f>IFERROR(MATCH(74,LubesCalc!$AN$3:$AN$122,0),"")</f>
        <v/>
      </c>
    </row>
    <row r="79">
      <c r="A79" s="19">
        <f>IF(AND(ISNUMBER($T79),$T79&lt;&gt;""),INDEX(LubesCalc!$S$3:$S$122,$T79),"")</f>
        <v/>
      </c>
      <c r="B79" s="20">
        <f>IF(AND(ISNUMBER($T79),$T79&lt;&gt;""),IF(INDEX(LubesCalc!$T$3:$T$122,$T79)="","—",INDEX(LubesCalc!$T$3:$T$122,$T79)),"")</f>
        <v/>
      </c>
      <c r="C79" s="20">
        <f>IF(AND(ISNUMBER($T79),$T79&lt;&gt;""),IF(INDEX(LubesCalc!$U$3:$U$122,$T79)="","—",INDEX(LubesCalc!$U$3:$U$122,$T79)),"")</f>
        <v/>
      </c>
      <c r="D79" s="20">
        <f>IF(AND(ISNUMBER($T79),$T79&lt;&gt;""),IF(INDEX(LubesCalc!$V$3:$V$122,$T79)="","—",INDEX(LubesCalc!$V$3:$V$122,$T79)),"")</f>
        <v/>
      </c>
      <c r="E79" s="20">
        <f>IF(AND(ISNUMBER($T79),$T79&lt;&gt;""),IF(INDEX(LubesCalc!$W$3:$W$122,$T79)="","—",INDEX(LubesCalc!$W$3:$W$122,$T79)),"")</f>
        <v/>
      </c>
      <c r="F79" s="20">
        <f>IF(AND(ISNUMBER($T79),$T79&lt;&gt;""),IF(INDEX(LubesCalc!$X$3:$X$122,$T79)="","—",INDEX(LubesCalc!$X$3:$X$122,$T79)),"")</f>
        <v/>
      </c>
      <c r="G79" s="20">
        <f>IF(AND(ISNUMBER($T79),$T79&lt;&gt;""),IF(INDEX(LubesCalc!$Y$3:$Y$122,$T79)="","—",INDEX(LubesCalc!$Y$3:$Y$122,$T79)),"")</f>
        <v/>
      </c>
      <c r="H79" s="20">
        <f>IF(AND(ISNUMBER($T79),$T79&lt;&gt;""),IF(INDEX(LubesCalc!$Z$3:$Z$122,$T79)="","—",INDEX(LubesCalc!$Z$3:$Z$122,$T79)),"")</f>
        <v/>
      </c>
      <c r="I79" s="20">
        <f>IF(AND(ISNUMBER($T79),$T79&lt;&gt;""),IF(INDEX(LubesCalc!$AA$3:$AA$122,$T79)="","—",INDEX(LubesCalc!$AA$3:$AA$122,$T79)),"")</f>
        <v/>
      </c>
      <c r="J79" s="20">
        <f>IF(AND(ISNUMBER($T79),$T79&lt;&gt;""),IF(INDEX(LubesCalc!$AB$3:$AB$122,$T79)="","—",INDEX(LubesCalc!$AB$3:$AB$122,$T79)),"")</f>
        <v/>
      </c>
      <c r="K79" s="20">
        <f>IF(AND(ISNUMBER($T79),$T79&lt;&gt;""),IF(INDEX(LubesCalc!$AC$3:$AC$122,$T79)="","—",INDEX(LubesCalc!$AC$3:$AC$122,$T79)),"")</f>
        <v/>
      </c>
      <c r="L79" s="20">
        <f>IF(AND(ISNUMBER($T79),$T79&lt;&gt;""),IF(INDEX(LubesCalc!$AD$3:$AD$122,$T79)="","—",INDEX(LubesCalc!$AD$3:$AD$122,$T79)),"")</f>
        <v/>
      </c>
      <c r="M79" s="20">
        <f>IF(AND(ISNUMBER($T79),$T79&lt;&gt;""),IF(INDEX(LubesCalc!$AE$3:$AE$122,$T79)="","—",INDEX(LubesCalc!$AE$3:$AE$122,$T79)),"")</f>
        <v/>
      </c>
      <c r="N79" s="20">
        <f>IF(AND(ISNUMBER($T79),$T79&lt;&gt;""),IF(INDEX(LubesCalc!$AF$3:$AF$122,$T79)="","—",INDEX(LubesCalc!$AF$3:$AF$122,$T79)),"")</f>
        <v/>
      </c>
      <c r="O79" s="20">
        <f>IF(AND(ISNUMBER($T79),$T79&lt;&gt;""),IF(INDEX(LubesCalc!$AG$3:$AG$122,$T79)="","—",INDEX(LubesCalc!$AG$3:$AG$122,$T79)),"")</f>
        <v/>
      </c>
      <c r="P79" s="21">
        <f>IF(AND(ISNUMBER($T79),$T79&lt;&gt;""),IF(INDEX(LubesCalc!$AJ$3:$AJ$122,$T79)="","—",INDEX(LubesCalc!$AJ$3:$AJ$122,$T79)),"")</f>
        <v/>
      </c>
      <c r="Q79" s="21">
        <f>IF(AND(ISNUMBER($T79),$T79&lt;&gt;""),IF(INDEX(LubesCalc!$AK$3:$AK$122,$T79)="","—",INDEX(LubesCalc!$AK$3:$AK$122,$T79)),"")</f>
        <v/>
      </c>
      <c r="R79" s="20">
        <f>IF(AND(ISNUMBER($T79),$T79&lt;&gt;""),IF(INDEX(LubesCalc!$AL$3:$AL$122,$T79)="","—",INDEX(LubesCalc!$AL$3:$AL$122,$T79)),"")</f>
        <v/>
      </c>
      <c r="T79">
        <f>IFERROR(MATCH(75,LubesCalc!$AN$3:$AN$122,0),"")</f>
        <v/>
      </c>
    </row>
    <row r="80">
      <c r="A80" s="14">
        <f>IF(AND(ISNUMBER($T80),$T80&lt;&gt;""),INDEX(LubesCalc!$S$3:$S$122,$T80),"")</f>
        <v/>
      </c>
      <c r="B80" s="15">
        <f>IF(AND(ISNUMBER($T80),$T80&lt;&gt;""),IF(INDEX(LubesCalc!$T$3:$T$122,$T80)="","—",INDEX(LubesCalc!$T$3:$T$122,$T80)),"")</f>
        <v/>
      </c>
      <c r="C80" s="15">
        <f>IF(AND(ISNUMBER($T80),$T80&lt;&gt;""),IF(INDEX(LubesCalc!$U$3:$U$122,$T80)="","—",INDEX(LubesCalc!$U$3:$U$122,$T80)),"")</f>
        <v/>
      </c>
      <c r="D80" s="15">
        <f>IF(AND(ISNUMBER($T80),$T80&lt;&gt;""),IF(INDEX(LubesCalc!$V$3:$V$122,$T80)="","—",INDEX(LubesCalc!$V$3:$V$122,$T80)),"")</f>
        <v/>
      </c>
      <c r="E80" s="15">
        <f>IF(AND(ISNUMBER($T80),$T80&lt;&gt;""),IF(INDEX(LubesCalc!$W$3:$W$122,$T80)="","—",INDEX(LubesCalc!$W$3:$W$122,$T80)),"")</f>
        <v/>
      </c>
      <c r="F80" s="15">
        <f>IF(AND(ISNUMBER($T80),$T80&lt;&gt;""),IF(INDEX(LubesCalc!$X$3:$X$122,$T80)="","—",INDEX(LubesCalc!$X$3:$X$122,$T80)),"")</f>
        <v/>
      </c>
      <c r="G80" s="15">
        <f>IF(AND(ISNUMBER($T80),$T80&lt;&gt;""),IF(INDEX(LubesCalc!$Y$3:$Y$122,$T80)="","—",INDEX(LubesCalc!$Y$3:$Y$122,$T80)),"")</f>
        <v/>
      </c>
      <c r="H80" s="15">
        <f>IF(AND(ISNUMBER($T80),$T80&lt;&gt;""),IF(INDEX(LubesCalc!$Z$3:$Z$122,$T80)="","—",INDEX(LubesCalc!$Z$3:$Z$122,$T80)),"")</f>
        <v/>
      </c>
      <c r="I80" s="15">
        <f>IF(AND(ISNUMBER($T80),$T80&lt;&gt;""),IF(INDEX(LubesCalc!$AA$3:$AA$122,$T80)="","—",INDEX(LubesCalc!$AA$3:$AA$122,$T80)),"")</f>
        <v/>
      </c>
      <c r="J80" s="15">
        <f>IF(AND(ISNUMBER($T80),$T80&lt;&gt;""),IF(INDEX(LubesCalc!$AB$3:$AB$122,$T80)="","—",INDEX(LubesCalc!$AB$3:$AB$122,$T80)),"")</f>
        <v/>
      </c>
      <c r="K80" s="15">
        <f>IF(AND(ISNUMBER($T80),$T80&lt;&gt;""),IF(INDEX(LubesCalc!$AC$3:$AC$122,$T80)="","—",INDEX(LubesCalc!$AC$3:$AC$122,$T80)),"")</f>
        <v/>
      </c>
      <c r="L80" s="15">
        <f>IF(AND(ISNUMBER($T80),$T80&lt;&gt;""),IF(INDEX(LubesCalc!$AD$3:$AD$122,$T80)="","—",INDEX(LubesCalc!$AD$3:$AD$122,$T80)),"")</f>
        <v/>
      </c>
      <c r="M80" s="15">
        <f>IF(AND(ISNUMBER($T80),$T80&lt;&gt;""),IF(INDEX(LubesCalc!$AE$3:$AE$122,$T80)="","—",INDEX(LubesCalc!$AE$3:$AE$122,$T80)),"")</f>
        <v/>
      </c>
      <c r="N80" s="15">
        <f>IF(AND(ISNUMBER($T80),$T80&lt;&gt;""),IF(INDEX(LubesCalc!$AF$3:$AF$122,$T80)="","—",INDEX(LubesCalc!$AF$3:$AF$122,$T80)),"")</f>
        <v/>
      </c>
      <c r="O80" s="15">
        <f>IF(AND(ISNUMBER($T80),$T80&lt;&gt;""),IF(INDEX(LubesCalc!$AG$3:$AG$122,$T80)="","—",INDEX(LubesCalc!$AG$3:$AG$122,$T80)),"")</f>
        <v/>
      </c>
      <c r="P80" s="16">
        <f>IF(AND(ISNUMBER($T80),$T80&lt;&gt;""),IF(INDEX(LubesCalc!$AJ$3:$AJ$122,$T80)="","—",INDEX(LubesCalc!$AJ$3:$AJ$122,$T80)),"")</f>
        <v/>
      </c>
      <c r="Q80" s="16">
        <f>IF(AND(ISNUMBER($T80),$T80&lt;&gt;""),IF(INDEX(LubesCalc!$AK$3:$AK$122,$T80)="","—",INDEX(LubesCalc!$AK$3:$AK$122,$T80)),"")</f>
        <v/>
      </c>
      <c r="R80" s="15">
        <f>IF(AND(ISNUMBER($T80),$T80&lt;&gt;""),IF(INDEX(LubesCalc!$AL$3:$AL$122,$T80)="","—",INDEX(LubesCalc!$AL$3:$AL$122,$T80)),"")</f>
        <v/>
      </c>
      <c r="T80">
        <f>IFERROR(MATCH(76,LubesCalc!$AN$3:$AN$122,0),"")</f>
        <v/>
      </c>
    </row>
    <row r="81">
      <c r="A81" s="19">
        <f>IF(AND(ISNUMBER($T81),$T81&lt;&gt;""),INDEX(LubesCalc!$S$3:$S$122,$T81),"")</f>
        <v/>
      </c>
      <c r="B81" s="20">
        <f>IF(AND(ISNUMBER($T81),$T81&lt;&gt;""),IF(INDEX(LubesCalc!$T$3:$T$122,$T81)="","—",INDEX(LubesCalc!$T$3:$T$122,$T81)),"")</f>
        <v/>
      </c>
      <c r="C81" s="20">
        <f>IF(AND(ISNUMBER($T81),$T81&lt;&gt;""),IF(INDEX(LubesCalc!$U$3:$U$122,$T81)="","—",INDEX(LubesCalc!$U$3:$U$122,$T81)),"")</f>
        <v/>
      </c>
      <c r="D81" s="20">
        <f>IF(AND(ISNUMBER($T81),$T81&lt;&gt;""),IF(INDEX(LubesCalc!$V$3:$V$122,$T81)="","—",INDEX(LubesCalc!$V$3:$V$122,$T81)),"")</f>
        <v/>
      </c>
      <c r="E81" s="20">
        <f>IF(AND(ISNUMBER($T81),$T81&lt;&gt;""),IF(INDEX(LubesCalc!$W$3:$W$122,$T81)="","—",INDEX(LubesCalc!$W$3:$W$122,$T81)),"")</f>
        <v/>
      </c>
      <c r="F81" s="20">
        <f>IF(AND(ISNUMBER($T81),$T81&lt;&gt;""),IF(INDEX(LubesCalc!$X$3:$X$122,$T81)="","—",INDEX(LubesCalc!$X$3:$X$122,$T81)),"")</f>
        <v/>
      </c>
      <c r="G81" s="20">
        <f>IF(AND(ISNUMBER($T81),$T81&lt;&gt;""),IF(INDEX(LubesCalc!$Y$3:$Y$122,$T81)="","—",INDEX(LubesCalc!$Y$3:$Y$122,$T81)),"")</f>
        <v/>
      </c>
      <c r="H81" s="20">
        <f>IF(AND(ISNUMBER($T81),$T81&lt;&gt;""),IF(INDEX(LubesCalc!$Z$3:$Z$122,$T81)="","—",INDEX(LubesCalc!$Z$3:$Z$122,$T81)),"")</f>
        <v/>
      </c>
      <c r="I81" s="20">
        <f>IF(AND(ISNUMBER($T81),$T81&lt;&gt;""),IF(INDEX(LubesCalc!$AA$3:$AA$122,$T81)="","—",INDEX(LubesCalc!$AA$3:$AA$122,$T81)),"")</f>
        <v/>
      </c>
      <c r="J81" s="20">
        <f>IF(AND(ISNUMBER($T81),$T81&lt;&gt;""),IF(INDEX(LubesCalc!$AB$3:$AB$122,$T81)="","—",INDEX(LubesCalc!$AB$3:$AB$122,$T81)),"")</f>
        <v/>
      </c>
      <c r="K81" s="20">
        <f>IF(AND(ISNUMBER($T81),$T81&lt;&gt;""),IF(INDEX(LubesCalc!$AC$3:$AC$122,$T81)="","—",INDEX(LubesCalc!$AC$3:$AC$122,$T81)),"")</f>
        <v/>
      </c>
      <c r="L81" s="20">
        <f>IF(AND(ISNUMBER($T81),$T81&lt;&gt;""),IF(INDEX(LubesCalc!$AD$3:$AD$122,$T81)="","—",INDEX(LubesCalc!$AD$3:$AD$122,$T81)),"")</f>
        <v/>
      </c>
      <c r="M81" s="20">
        <f>IF(AND(ISNUMBER($T81),$T81&lt;&gt;""),IF(INDEX(LubesCalc!$AE$3:$AE$122,$T81)="","—",INDEX(LubesCalc!$AE$3:$AE$122,$T81)),"")</f>
        <v/>
      </c>
      <c r="N81" s="20">
        <f>IF(AND(ISNUMBER($T81),$T81&lt;&gt;""),IF(INDEX(LubesCalc!$AF$3:$AF$122,$T81)="","—",INDEX(LubesCalc!$AF$3:$AF$122,$T81)),"")</f>
        <v/>
      </c>
      <c r="O81" s="20">
        <f>IF(AND(ISNUMBER($T81),$T81&lt;&gt;""),IF(INDEX(LubesCalc!$AG$3:$AG$122,$T81)="","—",INDEX(LubesCalc!$AG$3:$AG$122,$T81)),"")</f>
        <v/>
      </c>
      <c r="P81" s="21">
        <f>IF(AND(ISNUMBER($T81),$T81&lt;&gt;""),IF(INDEX(LubesCalc!$AJ$3:$AJ$122,$T81)="","—",INDEX(LubesCalc!$AJ$3:$AJ$122,$T81)),"")</f>
        <v/>
      </c>
      <c r="Q81" s="21">
        <f>IF(AND(ISNUMBER($T81),$T81&lt;&gt;""),IF(INDEX(LubesCalc!$AK$3:$AK$122,$T81)="","—",INDEX(LubesCalc!$AK$3:$AK$122,$T81)),"")</f>
        <v/>
      </c>
      <c r="R81" s="20">
        <f>IF(AND(ISNUMBER($T81),$T81&lt;&gt;""),IF(INDEX(LubesCalc!$AL$3:$AL$122,$T81)="","—",INDEX(LubesCalc!$AL$3:$AL$122,$T81)),"")</f>
        <v/>
      </c>
      <c r="T81">
        <f>IFERROR(MATCH(77,LubesCalc!$AN$3:$AN$122,0),"")</f>
        <v/>
      </c>
    </row>
    <row r="82">
      <c r="A82" s="14">
        <f>IF(AND(ISNUMBER($T82),$T82&lt;&gt;""),INDEX(LubesCalc!$S$3:$S$122,$T82),"")</f>
        <v/>
      </c>
      <c r="B82" s="15">
        <f>IF(AND(ISNUMBER($T82),$T82&lt;&gt;""),IF(INDEX(LubesCalc!$T$3:$T$122,$T82)="","—",INDEX(LubesCalc!$T$3:$T$122,$T82)),"")</f>
        <v/>
      </c>
      <c r="C82" s="15">
        <f>IF(AND(ISNUMBER($T82),$T82&lt;&gt;""),IF(INDEX(LubesCalc!$U$3:$U$122,$T82)="","—",INDEX(LubesCalc!$U$3:$U$122,$T82)),"")</f>
        <v/>
      </c>
      <c r="D82" s="15">
        <f>IF(AND(ISNUMBER($T82),$T82&lt;&gt;""),IF(INDEX(LubesCalc!$V$3:$V$122,$T82)="","—",INDEX(LubesCalc!$V$3:$V$122,$T82)),"")</f>
        <v/>
      </c>
      <c r="E82" s="15">
        <f>IF(AND(ISNUMBER($T82),$T82&lt;&gt;""),IF(INDEX(LubesCalc!$W$3:$W$122,$T82)="","—",INDEX(LubesCalc!$W$3:$W$122,$T82)),"")</f>
        <v/>
      </c>
      <c r="F82" s="15">
        <f>IF(AND(ISNUMBER($T82),$T82&lt;&gt;""),IF(INDEX(LubesCalc!$X$3:$X$122,$T82)="","—",INDEX(LubesCalc!$X$3:$X$122,$T82)),"")</f>
        <v/>
      </c>
      <c r="G82" s="15">
        <f>IF(AND(ISNUMBER($T82),$T82&lt;&gt;""),IF(INDEX(LubesCalc!$Y$3:$Y$122,$T82)="","—",INDEX(LubesCalc!$Y$3:$Y$122,$T82)),"")</f>
        <v/>
      </c>
      <c r="H82" s="15">
        <f>IF(AND(ISNUMBER($T82),$T82&lt;&gt;""),IF(INDEX(LubesCalc!$Z$3:$Z$122,$T82)="","—",INDEX(LubesCalc!$Z$3:$Z$122,$T82)),"")</f>
        <v/>
      </c>
      <c r="I82" s="15">
        <f>IF(AND(ISNUMBER($T82),$T82&lt;&gt;""),IF(INDEX(LubesCalc!$AA$3:$AA$122,$T82)="","—",INDEX(LubesCalc!$AA$3:$AA$122,$T82)),"")</f>
        <v/>
      </c>
      <c r="J82" s="15">
        <f>IF(AND(ISNUMBER($T82),$T82&lt;&gt;""),IF(INDEX(LubesCalc!$AB$3:$AB$122,$T82)="","—",INDEX(LubesCalc!$AB$3:$AB$122,$T82)),"")</f>
        <v/>
      </c>
      <c r="K82" s="15">
        <f>IF(AND(ISNUMBER($T82),$T82&lt;&gt;""),IF(INDEX(LubesCalc!$AC$3:$AC$122,$T82)="","—",INDEX(LubesCalc!$AC$3:$AC$122,$T82)),"")</f>
        <v/>
      </c>
      <c r="L82" s="15">
        <f>IF(AND(ISNUMBER($T82),$T82&lt;&gt;""),IF(INDEX(LubesCalc!$AD$3:$AD$122,$T82)="","—",INDEX(LubesCalc!$AD$3:$AD$122,$T82)),"")</f>
        <v/>
      </c>
      <c r="M82" s="15">
        <f>IF(AND(ISNUMBER($T82),$T82&lt;&gt;""),IF(INDEX(LubesCalc!$AE$3:$AE$122,$T82)="","—",INDEX(LubesCalc!$AE$3:$AE$122,$T82)),"")</f>
        <v/>
      </c>
      <c r="N82" s="15">
        <f>IF(AND(ISNUMBER($T82),$T82&lt;&gt;""),IF(INDEX(LubesCalc!$AF$3:$AF$122,$T82)="","—",INDEX(LubesCalc!$AF$3:$AF$122,$T82)),"")</f>
        <v/>
      </c>
      <c r="O82" s="15">
        <f>IF(AND(ISNUMBER($T82),$T82&lt;&gt;""),IF(INDEX(LubesCalc!$AG$3:$AG$122,$T82)="","—",INDEX(LubesCalc!$AG$3:$AG$122,$T82)),"")</f>
        <v/>
      </c>
      <c r="P82" s="16">
        <f>IF(AND(ISNUMBER($T82),$T82&lt;&gt;""),IF(INDEX(LubesCalc!$AJ$3:$AJ$122,$T82)="","—",INDEX(LubesCalc!$AJ$3:$AJ$122,$T82)),"")</f>
        <v/>
      </c>
      <c r="Q82" s="16">
        <f>IF(AND(ISNUMBER($T82),$T82&lt;&gt;""),IF(INDEX(LubesCalc!$AK$3:$AK$122,$T82)="","—",INDEX(LubesCalc!$AK$3:$AK$122,$T82)),"")</f>
        <v/>
      </c>
      <c r="R82" s="15">
        <f>IF(AND(ISNUMBER($T82),$T82&lt;&gt;""),IF(INDEX(LubesCalc!$AL$3:$AL$122,$T82)="","—",INDEX(LubesCalc!$AL$3:$AL$122,$T82)),"")</f>
        <v/>
      </c>
      <c r="T82">
        <f>IFERROR(MATCH(78,LubesCalc!$AN$3:$AN$122,0),"")</f>
        <v/>
      </c>
    </row>
    <row r="83">
      <c r="A83" s="19">
        <f>IF(AND(ISNUMBER($T83),$T83&lt;&gt;""),INDEX(LubesCalc!$S$3:$S$122,$T83),"")</f>
        <v/>
      </c>
      <c r="B83" s="20">
        <f>IF(AND(ISNUMBER($T83),$T83&lt;&gt;""),IF(INDEX(LubesCalc!$T$3:$T$122,$T83)="","—",INDEX(LubesCalc!$T$3:$T$122,$T83)),"")</f>
        <v/>
      </c>
      <c r="C83" s="20">
        <f>IF(AND(ISNUMBER($T83),$T83&lt;&gt;""),IF(INDEX(LubesCalc!$U$3:$U$122,$T83)="","—",INDEX(LubesCalc!$U$3:$U$122,$T83)),"")</f>
        <v/>
      </c>
      <c r="D83" s="20">
        <f>IF(AND(ISNUMBER($T83),$T83&lt;&gt;""),IF(INDEX(LubesCalc!$V$3:$V$122,$T83)="","—",INDEX(LubesCalc!$V$3:$V$122,$T83)),"")</f>
        <v/>
      </c>
      <c r="E83" s="20">
        <f>IF(AND(ISNUMBER($T83),$T83&lt;&gt;""),IF(INDEX(LubesCalc!$W$3:$W$122,$T83)="","—",INDEX(LubesCalc!$W$3:$W$122,$T83)),"")</f>
        <v/>
      </c>
      <c r="F83" s="20">
        <f>IF(AND(ISNUMBER($T83),$T83&lt;&gt;""),IF(INDEX(LubesCalc!$X$3:$X$122,$T83)="","—",INDEX(LubesCalc!$X$3:$X$122,$T83)),"")</f>
        <v/>
      </c>
      <c r="G83" s="20">
        <f>IF(AND(ISNUMBER($T83),$T83&lt;&gt;""),IF(INDEX(LubesCalc!$Y$3:$Y$122,$T83)="","—",INDEX(LubesCalc!$Y$3:$Y$122,$T83)),"")</f>
        <v/>
      </c>
      <c r="H83" s="20">
        <f>IF(AND(ISNUMBER($T83),$T83&lt;&gt;""),IF(INDEX(LubesCalc!$Z$3:$Z$122,$T83)="","—",INDEX(LubesCalc!$Z$3:$Z$122,$T83)),"")</f>
        <v/>
      </c>
      <c r="I83" s="20">
        <f>IF(AND(ISNUMBER($T83),$T83&lt;&gt;""),IF(INDEX(LubesCalc!$AA$3:$AA$122,$T83)="","—",INDEX(LubesCalc!$AA$3:$AA$122,$T83)),"")</f>
        <v/>
      </c>
      <c r="J83" s="20">
        <f>IF(AND(ISNUMBER($T83),$T83&lt;&gt;""),IF(INDEX(LubesCalc!$AB$3:$AB$122,$T83)="","—",INDEX(LubesCalc!$AB$3:$AB$122,$T83)),"")</f>
        <v/>
      </c>
      <c r="K83" s="20">
        <f>IF(AND(ISNUMBER($T83),$T83&lt;&gt;""),IF(INDEX(LubesCalc!$AC$3:$AC$122,$T83)="","—",INDEX(LubesCalc!$AC$3:$AC$122,$T83)),"")</f>
        <v/>
      </c>
      <c r="L83" s="20">
        <f>IF(AND(ISNUMBER($T83),$T83&lt;&gt;""),IF(INDEX(LubesCalc!$AD$3:$AD$122,$T83)="","—",INDEX(LubesCalc!$AD$3:$AD$122,$T83)),"")</f>
        <v/>
      </c>
      <c r="M83" s="20">
        <f>IF(AND(ISNUMBER($T83),$T83&lt;&gt;""),IF(INDEX(LubesCalc!$AE$3:$AE$122,$T83)="","—",INDEX(LubesCalc!$AE$3:$AE$122,$T83)),"")</f>
        <v/>
      </c>
      <c r="N83" s="20">
        <f>IF(AND(ISNUMBER($T83),$T83&lt;&gt;""),IF(INDEX(LubesCalc!$AF$3:$AF$122,$T83)="","—",INDEX(LubesCalc!$AF$3:$AF$122,$T83)),"")</f>
        <v/>
      </c>
      <c r="O83" s="20">
        <f>IF(AND(ISNUMBER($T83),$T83&lt;&gt;""),IF(INDEX(LubesCalc!$AG$3:$AG$122,$T83)="","—",INDEX(LubesCalc!$AG$3:$AG$122,$T83)),"")</f>
        <v/>
      </c>
      <c r="P83" s="21">
        <f>IF(AND(ISNUMBER($T83),$T83&lt;&gt;""),IF(INDEX(LubesCalc!$AJ$3:$AJ$122,$T83)="","—",INDEX(LubesCalc!$AJ$3:$AJ$122,$T83)),"")</f>
        <v/>
      </c>
      <c r="Q83" s="21">
        <f>IF(AND(ISNUMBER($T83),$T83&lt;&gt;""),IF(INDEX(LubesCalc!$AK$3:$AK$122,$T83)="","—",INDEX(LubesCalc!$AK$3:$AK$122,$T83)),"")</f>
        <v/>
      </c>
      <c r="R83" s="20">
        <f>IF(AND(ISNUMBER($T83),$T83&lt;&gt;""),IF(INDEX(LubesCalc!$AL$3:$AL$122,$T83)="","—",INDEX(LubesCalc!$AL$3:$AL$122,$T83)),"")</f>
        <v/>
      </c>
      <c r="T83">
        <f>IFERROR(MATCH(79,LubesCalc!$AN$3:$AN$122,0),"")</f>
        <v/>
      </c>
    </row>
    <row r="84">
      <c r="A84" s="14">
        <f>IF(AND(ISNUMBER($T84),$T84&lt;&gt;""),INDEX(LubesCalc!$S$3:$S$122,$T84),"")</f>
        <v/>
      </c>
      <c r="B84" s="15">
        <f>IF(AND(ISNUMBER($T84),$T84&lt;&gt;""),IF(INDEX(LubesCalc!$T$3:$T$122,$T84)="","—",INDEX(LubesCalc!$T$3:$T$122,$T84)),"")</f>
        <v/>
      </c>
      <c r="C84" s="15">
        <f>IF(AND(ISNUMBER($T84),$T84&lt;&gt;""),IF(INDEX(LubesCalc!$U$3:$U$122,$T84)="","—",INDEX(LubesCalc!$U$3:$U$122,$T84)),"")</f>
        <v/>
      </c>
      <c r="D84" s="15">
        <f>IF(AND(ISNUMBER($T84),$T84&lt;&gt;""),IF(INDEX(LubesCalc!$V$3:$V$122,$T84)="","—",INDEX(LubesCalc!$V$3:$V$122,$T84)),"")</f>
        <v/>
      </c>
      <c r="E84" s="15">
        <f>IF(AND(ISNUMBER($T84),$T84&lt;&gt;""),IF(INDEX(LubesCalc!$W$3:$W$122,$T84)="","—",INDEX(LubesCalc!$W$3:$W$122,$T84)),"")</f>
        <v/>
      </c>
      <c r="F84" s="15">
        <f>IF(AND(ISNUMBER($T84),$T84&lt;&gt;""),IF(INDEX(LubesCalc!$X$3:$X$122,$T84)="","—",INDEX(LubesCalc!$X$3:$X$122,$T84)),"")</f>
        <v/>
      </c>
      <c r="G84" s="15">
        <f>IF(AND(ISNUMBER($T84),$T84&lt;&gt;""),IF(INDEX(LubesCalc!$Y$3:$Y$122,$T84)="","—",INDEX(LubesCalc!$Y$3:$Y$122,$T84)),"")</f>
        <v/>
      </c>
      <c r="H84" s="15">
        <f>IF(AND(ISNUMBER($T84),$T84&lt;&gt;""),IF(INDEX(LubesCalc!$Z$3:$Z$122,$T84)="","—",INDEX(LubesCalc!$Z$3:$Z$122,$T84)),"")</f>
        <v/>
      </c>
      <c r="I84" s="15">
        <f>IF(AND(ISNUMBER($T84),$T84&lt;&gt;""),IF(INDEX(LubesCalc!$AA$3:$AA$122,$T84)="","—",INDEX(LubesCalc!$AA$3:$AA$122,$T84)),"")</f>
        <v/>
      </c>
      <c r="J84" s="15">
        <f>IF(AND(ISNUMBER($T84),$T84&lt;&gt;""),IF(INDEX(LubesCalc!$AB$3:$AB$122,$T84)="","—",INDEX(LubesCalc!$AB$3:$AB$122,$T84)),"")</f>
        <v/>
      </c>
      <c r="K84" s="15">
        <f>IF(AND(ISNUMBER($T84),$T84&lt;&gt;""),IF(INDEX(LubesCalc!$AC$3:$AC$122,$T84)="","—",INDEX(LubesCalc!$AC$3:$AC$122,$T84)),"")</f>
        <v/>
      </c>
      <c r="L84" s="15">
        <f>IF(AND(ISNUMBER($T84),$T84&lt;&gt;""),IF(INDEX(LubesCalc!$AD$3:$AD$122,$T84)="","—",INDEX(LubesCalc!$AD$3:$AD$122,$T84)),"")</f>
        <v/>
      </c>
      <c r="M84" s="15">
        <f>IF(AND(ISNUMBER($T84),$T84&lt;&gt;""),IF(INDEX(LubesCalc!$AE$3:$AE$122,$T84)="","—",INDEX(LubesCalc!$AE$3:$AE$122,$T84)),"")</f>
        <v/>
      </c>
      <c r="N84" s="15">
        <f>IF(AND(ISNUMBER($T84),$T84&lt;&gt;""),IF(INDEX(LubesCalc!$AF$3:$AF$122,$T84)="","—",INDEX(LubesCalc!$AF$3:$AF$122,$T84)),"")</f>
        <v/>
      </c>
      <c r="O84" s="15">
        <f>IF(AND(ISNUMBER($T84),$T84&lt;&gt;""),IF(INDEX(LubesCalc!$AG$3:$AG$122,$T84)="","—",INDEX(LubesCalc!$AG$3:$AG$122,$T84)),"")</f>
        <v/>
      </c>
      <c r="P84" s="16">
        <f>IF(AND(ISNUMBER($T84),$T84&lt;&gt;""),IF(INDEX(LubesCalc!$AJ$3:$AJ$122,$T84)="","—",INDEX(LubesCalc!$AJ$3:$AJ$122,$T84)),"")</f>
        <v/>
      </c>
      <c r="Q84" s="16">
        <f>IF(AND(ISNUMBER($T84),$T84&lt;&gt;""),IF(INDEX(LubesCalc!$AK$3:$AK$122,$T84)="","—",INDEX(LubesCalc!$AK$3:$AK$122,$T84)),"")</f>
        <v/>
      </c>
      <c r="R84" s="15">
        <f>IF(AND(ISNUMBER($T84),$T84&lt;&gt;""),IF(INDEX(LubesCalc!$AL$3:$AL$122,$T84)="","—",INDEX(LubesCalc!$AL$3:$AL$122,$T84)),"")</f>
        <v/>
      </c>
      <c r="T84">
        <f>IFERROR(MATCH(80,LubesCalc!$AN$3:$AN$122,0),"")</f>
        <v/>
      </c>
    </row>
    <row r="85">
      <c r="A85" s="19">
        <f>IF(AND(ISNUMBER($T85),$T85&lt;&gt;""),INDEX(LubesCalc!$S$3:$S$122,$T85),"")</f>
        <v/>
      </c>
      <c r="B85" s="20">
        <f>IF(AND(ISNUMBER($T85),$T85&lt;&gt;""),IF(INDEX(LubesCalc!$T$3:$T$122,$T85)="","—",INDEX(LubesCalc!$T$3:$T$122,$T85)),"")</f>
        <v/>
      </c>
      <c r="C85" s="20">
        <f>IF(AND(ISNUMBER($T85),$T85&lt;&gt;""),IF(INDEX(LubesCalc!$U$3:$U$122,$T85)="","—",INDEX(LubesCalc!$U$3:$U$122,$T85)),"")</f>
        <v/>
      </c>
      <c r="D85" s="20">
        <f>IF(AND(ISNUMBER($T85),$T85&lt;&gt;""),IF(INDEX(LubesCalc!$V$3:$V$122,$T85)="","—",INDEX(LubesCalc!$V$3:$V$122,$T85)),"")</f>
        <v/>
      </c>
      <c r="E85" s="20">
        <f>IF(AND(ISNUMBER($T85),$T85&lt;&gt;""),IF(INDEX(LubesCalc!$W$3:$W$122,$T85)="","—",INDEX(LubesCalc!$W$3:$W$122,$T85)),"")</f>
        <v/>
      </c>
      <c r="F85" s="20">
        <f>IF(AND(ISNUMBER($T85),$T85&lt;&gt;""),IF(INDEX(LubesCalc!$X$3:$X$122,$T85)="","—",INDEX(LubesCalc!$X$3:$X$122,$T85)),"")</f>
        <v/>
      </c>
      <c r="G85" s="20">
        <f>IF(AND(ISNUMBER($T85),$T85&lt;&gt;""),IF(INDEX(LubesCalc!$Y$3:$Y$122,$T85)="","—",INDEX(LubesCalc!$Y$3:$Y$122,$T85)),"")</f>
        <v/>
      </c>
      <c r="H85" s="20">
        <f>IF(AND(ISNUMBER($T85),$T85&lt;&gt;""),IF(INDEX(LubesCalc!$Z$3:$Z$122,$T85)="","—",INDEX(LubesCalc!$Z$3:$Z$122,$T85)),"")</f>
        <v/>
      </c>
      <c r="I85" s="20">
        <f>IF(AND(ISNUMBER($T85),$T85&lt;&gt;""),IF(INDEX(LubesCalc!$AA$3:$AA$122,$T85)="","—",INDEX(LubesCalc!$AA$3:$AA$122,$T85)),"")</f>
        <v/>
      </c>
      <c r="J85" s="20">
        <f>IF(AND(ISNUMBER($T85),$T85&lt;&gt;""),IF(INDEX(LubesCalc!$AB$3:$AB$122,$T85)="","—",INDEX(LubesCalc!$AB$3:$AB$122,$T85)),"")</f>
        <v/>
      </c>
      <c r="K85" s="20">
        <f>IF(AND(ISNUMBER($T85),$T85&lt;&gt;""),IF(INDEX(LubesCalc!$AC$3:$AC$122,$T85)="","—",INDEX(LubesCalc!$AC$3:$AC$122,$T85)),"")</f>
        <v/>
      </c>
      <c r="L85" s="20">
        <f>IF(AND(ISNUMBER($T85),$T85&lt;&gt;""),IF(INDEX(LubesCalc!$AD$3:$AD$122,$T85)="","—",INDEX(LubesCalc!$AD$3:$AD$122,$T85)),"")</f>
        <v/>
      </c>
      <c r="M85" s="20">
        <f>IF(AND(ISNUMBER($T85),$T85&lt;&gt;""),IF(INDEX(LubesCalc!$AE$3:$AE$122,$T85)="","—",INDEX(LubesCalc!$AE$3:$AE$122,$T85)),"")</f>
        <v/>
      </c>
      <c r="N85" s="20">
        <f>IF(AND(ISNUMBER($T85),$T85&lt;&gt;""),IF(INDEX(LubesCalc!$AF$3:$AF$122,$T85)="","—",INDEX(LubesCalc!$AF$3:$AF$122,$T85)),"")</f>
        <v/>
      </c>
      <c r="O85" s="20">
        <f>IF(AND(ISNUMBER($T85),$T85&lt;&gt;""),IF(INDEX(LubesCalc!$AG$3:$AG$122,$T85)="","—",INDEX(LubesCalc!$AG$3:$AG$122,$T85)),"")</f>
        <v/>
      </c>
      <c r="P85" s="21">
        <f>IF(AND(ISNUMBER($T85),$T85&lt;&gt;""),IF(INDEX(LubesCalc!$AJ$3:$AJ$122,$T85)="","—",INDEX(LubesCalc!$AJ$3:$AJ$122,$T85)),"")</f>
        <v/>
      </c>
      <c r="Q85" s="21">
        <f>IF(AND(ISNUMBER($T85),$T85&lt;&gt;""),IF(INDEX(LubesCalc!$AK$3:$AK$122,$T85)="","—",INDEX(LubesCalc!$AK$3:$AK$122,$T85)),"")</f>
        <v/>
      </c>
      <c r="R85" s="20">
        <f>IF(AND(ISNUMBER($T85),$T85&lt;&gt;""),IF(INDEX(LubesCalc!$AL$3:$AL$122,$T85)="","—",INDEX(LubesCalc!$AL$3:$AL$122,$T85)),"")</f>
        <v/>
      </c>
      <c r="T85">
        <f>IFERROR(MATCH(81,LubesCalc!$AN$3:$AN$122,0),"")</f>
        <v/>
      </c>
    </row>
    <row r="86">
      <c r="A86" s="14">
        <f>IF(AND(ISNUMBER($T86),$T86&lt;&gt;""),INDEX(LubesCalc!$S$3:$S$122,$T86),"")</f>
        <v/>
      </c>
      <c r="B86" s="15">
        <f>IF(AND(ISNUMBER($T86),$T86&lt;&gt;""),IF(INDEX(LubesCalc!$T$3:$T$122,$T86)="","—",INDEX(LubesCalc!$T$3:$T$122,$T86)),"")</f>
        <v/>
      </c>
      <c r="C86" s="15">
        <f>IF(AND(ISNUMBER($T86),$T86&lt;&gt;""),IF(INDEX(LubesCalc!$U$3:$U$122,$T86)="","—",INDEX(LubesCalc!$U$3:$U$122,$T86)),"")</f>
        <v/>
      </c>
      <c r="D86" s="15">
        <f>IF(AND(ISNUMBER($T86),$T86&lt;&gt;""),IF(INDEX(LubesCalc!$V$3:$V$122,$T86)="","—",INDEX(LubesCalc!$V$3:$V$122,$T86)),"")</f>
        <v/>
      </c>
      <c r="E86" s="15">
        <f>IF(AND(ISNUMBER($T86),$T86&lt;&gt;""),IF(INDEX(LubesCalc!$W$3:$W$122,$T86)="","—",INDEX(LubesCalc!$W$3:$W$122,$T86)),"")</f>
        <v/>
      </c>
      <c r="F86" s="15">
        <f>IF(AND(ISNUMBER($T86),$T86&lt;&gt;""),IF(INDEX(LubesCalc!$X$3:$X$122,$T86)="","—",INDEX(LubesCalc!$X$3:$X$122,$T86)),"")</f>
        <v/>
      </c>
      <c r="G86" s="15">
        <f>IF(AND(ISNUMBER($T86),$T86&lt;&gt;""),IF(INDEX(LubesCalc!$Y$3:$Y$122,$T86)="","—",INDEX(LubesCalc!$Y$3:$Y$122,$T86)),"")</f>
        <v/>
      </c>
      <c r="H86" s="15">
        <f>IF(AND(ISNUMBER($T86),$T86&lt;&gt;""),IF(INDEX(LubesCalc!$Z$3:$Z$122,$T86)="","—",INDEX(LubesCalc!$Z$3:$Z$122,$T86)),"")</f>
        <v/>
      </c>
      <c r="I86" s="15">
        <f>IF(AND(ISNUMBER($T86),$T86&lt;&gt;""),IF(INDEX(LubesCalc!$AA$3:$AA$122,$T86)="","—",INDEX(LubesCalc!$AA$3:$AA$122,$T86)),"")</f>
        <v/>
      </c>
      <c r="J86" s="15">
        <f>IF(AND(ISNUMBER($T86),$T86&lt;&gt;""),IF(INDEX(LubesCalc!$AB$3:$AB$122,$T86)="","—",INDEX(LubesCalc!$AB$3:$AB$122,$T86)),"")</f>
        <v/>
      </c>
      <c r="K86" s="15">
        <f>IF(AND(ISNUMBER($T86),$T86&lt;&gt;""),IF(INDEX(LubesCalc!$AC$3:$AC$122,$T86)="","—",INDEX(LubesCalc!$AC$3:$AC$122,$T86)),"")</f>
        <v/>
      </c>
      <c r="L86" s="15">
        <f>IF(AND(ISNUMBER($T86),$T86&lt;&gt;""),IF(INDEX(LubesCalc!$AD$3:$AD$122,$T86)="","—",INDEX(LubesCalc!$AD$3:$AD$122,$T86)),"")</f>
        <v/>
      </c>
      <c r="M86" s="15">
        <f>IF(AND(ISNUMBER($T86),$T86&lt;&gt;""),IF(INDEX(LubesCalc!$AE$3:$AE$122,$T86)="","—",INDEX(LubesCalc!$AE$3:$AE$122,$T86)),"")</f>
        <v/>
      </c>
      <c r="N86" s="15">
        <f>IF(AND(ISNUMBER($T86),$T86&lt;&gt;""),IF(INDEX(LubesCalc!$AF$3:$AF$122,$T86)="","—",INDEX(LubesCalc!$AF$3:$AF$122,$T86)),"")</f>
        <v/>
      </c>
      <c r="O86" s="15">
        <f>IF(AND(ISNUMBER($T86),$T86&lt;&gt;""),IF(INDEX(LubesCalc!$AG$3:$AG$122,$T86)="","—",INDEX(LubesCalc!$AG$3:$AG$122,$T86)),"")</f>
        <v/>
      </c>
      <c r="P86" s="16">
        <f>IF(AND(ISNUMBER($T86),$T86&lt;&gt;""),IF(INDEX(LubesCalc!$AJ$3:$AJ$122,$T86)="","—",INDEX(LubesCalc!$AJ$3:$AJ$122,$T86)),"")</f>
        <v/>
      </c>
      <c r="Q86" s="16">
        <f>IF(AND(ISNUMBER($T86),$T86&lt;&gt;""),IF(INDEX(LubesCalc!$AK$3:$AK$122,$T86)="","—",INDEX(LubesCalc!$AK$3:$AK$122,$T86)),"")</f>
        <v/>
      </c>
      <c r="R86" s="15">
        <f>IF(AND(ISNUMBER($T86),$T86&lt;&gt;""),IF(INDEX(LubesCalc!$AL$3:$AL$122,$T86)="","—",INDEX(LubesCalc!$AL$3:$AL$122,$T86)),"")</f>
        <v/>
      </c>
      <c r="T86">
        <f>IFERROR(MATCH(82,LubesCalc!$AN$3:$AN$122,0),"")</f>
        <v/>
      </c>
    </row>
    <row r="87">
      <c r="A87" s="19">
        <f>IF(AND(ISNUMBER($T87),$T87&lt;&gt;""),INDEX(LubesCalc!$S$3:$S$122,$T87),"")</f>
        <v/>
      </c>
      <c r="B87" s="20">
        <f>IF(AND(ISNUMBER($T87),$T87&lt;&gt;""),IF(INDEX(LubesCalc!$T$3:$T$122,$T87)="","—",INDEX(LubesCalc!$T$3:$T$122,$T87)),"")</f>
        <v/>
      </c>
      <c r="C87" s="20">
        <f>IF(AND(ISNUMBER($T87),$T87&lt;&gt;""),IF(INDEX(LubesCalc!$U$3:$U$122,$T87)="","—",INDEX(LubesCalc!$U$3:$U$122,$T87)),"")</f>
        <v/>
      </c>
      <c r="D87" s="20">
        <f>IF(AND(ISNUMBER($T87),$T87&lt;&gt;""),IF(INDEX(LubesCalc!$V$3:$V$122,$T87)="","—",INDEX(LubesCalc!$V$3:$V$122,$T87)),"")</f>
        <v/>
      </c>
      <c r="E87" s="20">
        <f>IF(AND(ISNUMBER($T87),$T87&lt;&gt;""),IF(INDEX(LubesCalc!$W$3:$W$122,$T87)="","—",INDEX(LubesCalc!$W$3:$W$122,$T87)),"")</f>
        <v/>
      </c>
      <c r="F87" s="20">
        <f>IF(AND(ISNUMBER($T87),$T87&lt;&gt;""),IF(INDEX(LubesCalc!$X$3:$X$122,$T87)="","—",INDEX(LubesCalc!$X$3:$X$122,$T87)),"")</f>
        <v/>
      </c>
      <c r="G87" s="20">
        <f>IF(AND(ISNUMBER($T87),$T87&lt;&gt;""),IF(INDEX(LubesCalc!$Y$3:$Y$122,$T87)="","—",INDEX(LubesCalc!$Y$3:$Y$122,$T87)),"")</f>
        <v/>
      </c>
      <c r="H87" s="20">
        <f>IF(AND(ISNUMBER($T87),$T87&lt;&gt;""),IF(INDEX(LubesCalc!$Z$3:$Z$122,$T87)="","—",INDEX(LubesCalc!$Z$3:$Z$122,$T87)),"")</f>
        <v/>
      </c>
      <c r="I87" s="20">
        <f>IF(AND(ISNUMBER($T87),$T87&lt;&gt;""),IF(INDEX(LubesCalc!$AA$3:$AA$122,$T87)="","—",INDEX(LubesCalc!$AA$3:$AA$122,$T87)),"")</f>
        <v/>
      </c>
      <c r="J87" s="20">
        <f>IF(AND(ISNUMBER($T87),$T87&lt;&gt;""),IF(INDEX(LubesCalc!$AB$3:$AB$122,$T87)="","—",INDEX(LubesCalc!$AB$3:$AB$122,$T87)),"")</f>
        <v/>
      </c>
      <c r="K87" s="20">
        <f>IF(AND(ISNUMBER($T87),$T87&lt;&gt;""),IF(INDEX(LubesCalc!$AC$3:$AC$122,$T87)="","—",INDEX(LubesCalc!$AC$3:$AC$122,$T87)),"")</f>
        <v/>
      </c>
      <c r="L87" s="20">
        <f>IF(AND(ISNUMBER($T87),$T87&lt;&gt;""),IF(INDEX(LubesCalc!$AD$3:$AD$122,$T87)="","—",INDEX(LubesCalc!$AD$3:$AD$122,$T87)),"")</f>
        <v/>
      </c>
      <c r="M87" s="20">
        <f>IF(AND(ISNUMBER($T87),$T87&lt;&gt;""),IF(INDEX(LubesCalc!$AE$3:$AE$122,$T87)="","—",INDEX(LubesCalc!$AE$3:$AE$122,$T87)),"")</f>
        <v/>
      </c>
      <c r="N87" s="20">
        <f>IF(AND(ISNUMBER($T87),$T87&lt;&gt;""),IF(INDEX(LubesCalc!$AF$3:$AF$122,$T87)="","—",INDEX(LubesCalc!$AF$3:$AF$122,$T87)),"")</f>
        <v/>
      </c>
      <c r="O87" s="20">
        <f>IF(AND(ISNUMBER($T87),$T87&lt;&gt;""),IF(INDEX(LubesCalc!$AG$3:$AG$122,$T87)="","—",INDEX(LubesCalc!$AG$3:$AG$122,$T87)),"")</f>
        <v/>
      </c>
      <c r="P87" s="21">
        <f>IF(AND(ISNUMBER($T87),$T87&lt;&gt;""),IF(INDEX(LubesCalc!$AJ$3:$AJ$122,$T87)="","—",INDEX(LubesCalc!$AJ$3:$AJ$122,$T87)),"")</f>
        <v/>
      </c>
      <c r="Q87" s="21">
        <f>IF(AND(ISNUMBER($T87),$T87&lt;&gt;""),IF(INDEX(LubesCalc!$AK$3:$AK$122,$T87)="","—",INDEX(LubesCalc!$AK$3:$AK$122,$T87)),"")</f>
        <v/>
      </c>
      <c r="R87" s="20">
        <f>IF(AND(ISNUMBER($T87),$T87&lt;&gt;""),IF(INDEX(LubesCalc!$AL$3:$AL$122,$T87)="","—",INDEX(LubesCalc!$AL$3:$AL$122,$T87)),"")</f>
        <v/>
      </c>
      <c r="T87">
        <f>IFERROR(MATCH(83,LubesCalc!$AN$3:$AN$122,0),"")</f>
        <v/>
      </c>
    </row>
    <row r="88">
      <c r="A88" s="14">
        <f>IF(AND(ISNUMBER($T88),$T88&lt;&gt;""),INDEX(LubesCalc!$S$3:$S$122,$T88),"")</f>
        <v/>
      </c>
      <c r="B88" s="15">
        <f>IF(AND(ISNUMBER($T88),$T88&lt;&gt;""),IF(INDEX(LubesCalc!$T$3:$T$122,$T88)="","—",INDEX(LubesCalc!$T$3:$T$122,$T88)),"")</f>
        <v/>
      </c>
      <c r="C88" s="15">
        <f>IF(AND(ISNUMBER($T88),$T88&lt;&gt;""),IF(INDEX(LubesCalc!$U$3:$U$122,$T88)="","—",INDEX(LubesCalc!$U$3:$U$122,$T88)),"")</f>
        <v/>
      </c>
      <c r="D88" s="15">
        <f>IF(AND(ISNUMBER($T88),$T88&lt;&gt;""),IF(INDEX(LubesCalc!$V$3:$V$122,$T88)="","—",INDEX(LubesCalc!$V$3:$V$122,$T88)),"")</f>
        <v/>
      </c>
      <c r="E88" s="15">
        <f>IF(AND(ISNUMBER($T88),$T88&lt;&gt;""),IF(INDEX(LubesCalc!$W$3:$W$122,$T88)="","—",INDEX(LubesCalc!$W$3:$W$122,$T88)),"")</f>
        <v/>
      </c>
      <c r="F88" s="15">
        <f>IF(AND(ISNUMBER($T88),$T88&lt;&gt;""),IF(INDEX(LubesCalc!$X$3:$X$122,$T88)="","—",INDEX(LubesCalc!$X$3:$X$122,$T88)),"")</f>
        <v/>
      </c>
      <c r="G88" s="15">
        <f>IF(AND(ISNUMBER($T88),$T88&lt;&gt;""),IF(INDEX(LubesCalc!$Y$3:$Y$122,$T88)="","—",INDEX(LubesCalc!$Y$3:$Y$122,$T88)),"")</f>
        <v/>
      </c>
      <c r="H88" s="15">
        <f>IF(AND(ISNUMBER($T88),$T88&lt;&gt;""),IF(INDEX(LubesCalc!$Z$3:$Z$122,$T88)="","—",INDEX(LubesCalc!$Z$3:$Z$122,$T88)),"")</f>
        <v/>
      </c>
      <c r="I88" s="15">
        <f>IF(AND(ISNUMBER($T88),$T88&lt;&gt;""),IF(INDEX(LubesCalc!$AA$3:$AA$122,$T88)="","—",INDEX(LubesCalc!$AA$3:$AA$122,$T88)),"")</f>
        <v/>
      </c>
      <c r="J88" s="15">
        <f>IF(AND(ISNUMBER($T88),$T88&lt;&gt;""),IF(INDEX(LubesCalc!$AB$3:$AB$122,$T88)="","—",INDEX(LubesCalc!$AB$3:$AB$122,$T88)),"")</f>
        <v/>
      </c>
      <c r="K88" s="15">
        <f>IF(AND(ISNUMBER($T88),$T88&lt;&gt;""),IF(INDEX(LubesCalc!$AC$3:$AC$122,$T88)="","—",INDEX(LubesCalc!$AC$3:$AC$122,$T88)),"")</f>
        <v/>
      </c>
      <c r="L88" s="15">
        <f>IF(AND(ISNUMBER($T88),$T88&lt;&gt;""),IF(INDEX(LubesCalc!$AD$3:$AD$122,$T88)="","—",INDEX(LubesCalc!$AD$3:$AD$122,$T88)),"")</f>
        <v/>
      </c>
      <c r="M88" s="15">
        <f>IF(AND(ISNUMBER($T88),$T88&lt;&gt;""),IF(INDEX(LubesCalc!$AE$3:$AE$122,$T88)="","—",INDEX(LubesCalc!$AE$3:$AE$122,$T88)),"")</f>
        <v/>
      </c>
      <c r="N88" s="15">
        <f>IF(AND(ISNUMBER($T88),$T88&lt;&gt;""),IF(INDEX(LubesCalc!$AF$3:$AF$122,$T88)="","—",INDEX(LubesCalc!$AF$3:$AF$122,$T88)),"")</f>
        <v/>
      </c>
      <c r="O88" s="15">
        <f>IF(AND(ISNUMBER($T88),$T88&lt;&gt;""),IF(INDEX(LubesCalc!$AG$3:$AG$122,$T88)="","—",INDEX(LubesCalc!$AG$3:$AG$122,$T88)),"")</f>
        <v/>
      </c>
      <c r="P88" s="16">
        <f>IF(AND(ISNUMBER($T88),$T88&lt;&gt;""),IF(INDEX(LubesCalc!$AJ$3:$AJ$122,$T88)="","—",INDEX(LubesCalc!$AJ$3:$AJ$122,$T88)),"")</f>
        <v/>
      </c>
      <c r="Q88" s="16">
        <f>IF(AND(ISNUMBER($T88),$T88&lt;&gt;""),IF(INDEX(LubesCalc!$AK$3:$AK$122,$T88)="","—",INDEX(LubesCalc!$AK$3:$AK$122,$T88)),"")</f>
        <v/>
      </c>
      <c r="R88" s="15">
        <f>IF(AND(ISNUMBER($T88),$T88&lt;&gt;""),IF(INDEX(LubesCalc!$AL$3:$AL$122,$T88)="","—",INDEX(LubesCalc!$AL$3:$AL$122,$T88)),"")</f>
        <v/>
      </c>
      <c r="T88">
        <f>IFERROR(MATCH(84,LubesCalc!$AN$3:$AN$122,0),"")</f>
        <v/>
      </c>
    </row>
    <row r="89">
      <c r="A89" s="19">
        <f>IF(AND(ISNUMBER($T89),$T89&lt;&gt;""),INDEX(LubesCalc!$S$3:$S$122,$T89),"")</f>
        <v/>
      </c>
      <c r="B89" s="20">
        <f>IF(AND(ISNUMBER($T89),$T89&lt;&gt;""),IF(INDEX(LubesCalc!$T$3:$T$122,$T89)="","—",INDEX(LubesCalc!$T$3:$T$122,$T89)),"")</f>
        <v/>
      </c>
      <c r="C89" s="20">
        <f>IF(AND(ISNUMBER($T89),$T89&lt;&gt;""),IF(INDEX(LubesCalc!$U$3:$U$122,$T89)="","—",INDEX(LubesCalc!$U$3:$U$122,$T89)),"")</f>
        <v/>
      </c>
      <c r="D89" s="20">
        <f>IF(AND(ISNUMBER($T89),$T89&lt;&gt;""),IF(INDEX(LubesCalc!$V$3:$V$122,$T89)="","—",INDEX(LubesCalc!$V$3:$V$122,$T89)),"")</f>
        <v/>
      </c>
      <c r="E89" s="20">
        <f>IF(AND(ISNUMBER($T89),$T89&lt;&gt;""),IF(INDEX(LubesCalc!$W$3:$W$122,$T89)="","—",INDEX(LubesCalc!$W$3:$W$122,$T89)),"")</f>
        <v/>
      </c>
      <c r="F89" s="20">
        <f>IF(AND(ISNUMBER($T89),$T89&lt;&gt;""),IF(INDEX(LubesCalc!$X$3:$X$122,$T89)="","—",INDEX(LubesCalc!$X$3:$X$122,$T89)),"")</f>
        <v/>
      </c>
      <c r="G89" s="20">
        <f>IF(AND(ISNUMBER($T89),$T89&lt;&gt;""),IF(INDEX(LubesCalc!$Y$3:$Y$122,$T89)="","—",INDEX(LubesCalc!$Y$3:$Y$122,$T89)),"")</f>
        <v/>
      </c>
      <c r="H89" s="20">
        <f>IF(AND(ISNUMBER($T89),$T89&lt;&gt;""),IF(INDEX(LubesCalc!$Z$3:$Z$122,$T89)="","—",INDEX(LubesCalc!$Z$3:$Z$122,$T89)),"")</f>
        <v/>
      </c>
      <c r="I89" s="20">
        <f>IF(AND(ISNUMBER($T89),$T89&lt;&gt;""),IF(INDEX(LubesCalc!$AA$3:$AA$122,$T89)="","—",INDEX(LubesCalc!$AA$3:$AA$122,$T89)),"")</f>
        <v/>
      </c>
      <c r="J89" s="20">
        <f>IF(AND(ISNUMBER($T89),$T89&lt;&gt;""),IF(INDEX(LubesCalc!$AB$3:$AB$122,$T89)="","—",INDEX(LubesCalc!$AB$3:$AB$122,$T89)),"")</f>
        <v/>
      </c>
      <c r="K89" s="20">
        <f>IF(AND(ISNUMBER($T89),$T89&lt;&gt;""),IF(INDEX(LubesCalc!$AC$3:$AC$122,$T89)="","—",INDEX(LubesCalc!$AC$3:$AC$122,$T89)),"")</f>
        <v/>
      </c>
      <c r="L89" s="20">
        <f>IF(AND(ISNUMBER($T89),$T89&lt;&gt;""),IF(INDEX(LubesCalc!$AD$3:$AD$122,$T89)="","—",INDEX(LubesCalc!$AD$3:$AD$122,$T89)),"")</f>
        <v/>
      </c>
      <c r="M89" s="20">
        <f>IF(AND(ISNUMBER($T89),$T89&lt;&gt;""),IF(INDEX(LubesCalc!$AE$3:$AE$122,$T89)="","—",INDEX(LubesCalc!$AE$3:$AE$122,$T89)),"")</f>
        <v/>
      </c>
      <c r="N89" s="20">
        <f>IF(AND(ISNUMBER($T89),$T89&lt;&gt;""),IF(INDEX(LubesCalc!$AF$3:$AF$122,$T89)="","—",INDEX(LubesCalc!$AF$3:$AF$122,$T89)),"")</f>
        <v/>
      </c>
      <c r="O89" s="20">
        <f>IF(AND(ISNUMBER($T89),$T89&lt;&gt;""),IF(INDEX(LubesCalc!$AG$3:$AG$122,$T89)="","—",INDEX(LubesCalc!$AG$3:$AG$122,$T89)),"")</f>
        <v/>
      </c>
      <c r="P89" s="21">
        <f>IF(AND(ISNUMBER($T89),$T89&lt;&gt;""),IF(INDEX(LubesCalc!$AJ$3:$AJ$122,$T89)="","—",INDEX(LubesCalc!$AJ$3:$AJ$122,$T89)),"")</f>
        <v/>
      </c>
      <c r="Q89" s="21">
        <f>IF(AND(ISNUMBER($T89),$T89&lt;&gt;""),IF(INDEX(LubesCalc!$AK$3:$AK$122,$T89)="","—",INDEX(LubesCalc!$AK$3:$AK$122,$T89)),"")</f>
        <v/>
      </c>
      <c r="R89" s="20">
        <f>IF(AND(ISNUMBER($T89),$T89&lt;&gt;""),IF(INDEX(LubesCalc!$AL$3:$AL$122,$T89)="","—",INDEX(LubesCalc!$AL$3:$AL$122,$T89)),"")</f>
        <v/>
      </c>
      <c r="T89">
        <f>IFERROR(MATCH(85,LubesCalc!$AN$3:$AN$122,0),"")</f>
        <v/>
      </c>
    </row>
    <row r="90">
      <c r="A90" s="14">
        <f>IF(AND(ISNUMBER($T90),$T90&lt;&gt;""),INDEX(LubesCalc!$S$3:$S$122,$T90),"")</f>
        <v/>
      </c>
      <c r="B90" s="15">
        <f>IF(AND(ISNUMBER($T90),$T90&lt;&gt;""),IF(INDEX(LubesCalc!$T$3:$T$122,$T90)="","—",INDEX(LubesCalc!$T$3:$T$122,$T90)),"")</f>
        <v/>
      </c>
      <c r="C90" s="15">
        <f>IF(AND(ISNUMBER($T90),$T90&lt;&gt;""),IF(INDEX(LubesCalc!$U$3:$U$122,$T90)="","—",INDEX(LubesCalc!$U$3:$U$122,$T90)),"")</f>
        <v/>
      </c>
      <c r="D90" s="15">
        <f>IF(AND(ISNUMBER($T90),$T90&lt;&gt;""),IF(INDEX(LubesCalc!$V$3:$V$122,$T90)="","—",INDEX(LubesCalc!$V$3:$V$122,$T90)),"")</f>
        <v/>
      </c>
      <c r="E90" s="15">
        <f>IF(AND(ISNUMBER($T90),$T90&lt;&gt;""),IF(INDEX(LubesCalc!$W$3:$W$122,$T90)="","—",INDEX(LubesCalc!$W$3:$W$122,$T90)),"")</f>
        <v/>
      </c>
      <c r="F90" s="15">
        <f>IF(AND(ISNUMBER($T90),$T90&lt;&gt;""),IF(INDEX(LubesCalc!$X$3:$X$122,$T90)="","—",INDEX(LubesCalc!$X$3:$X$122,$T90)),"")</f>
        <v/>
      </c>
      <c r="G90" s="15">
        <f>IF(AND(ISNUMBER($T90),$T90&lt;&gt;""),IF(INDEX(LubesCalc!$Y$3:$Y$122,$T90)="","—",INDEX(LubesCalc!$Y$3:$Y$122,$T90)),"")</f>
        <v/>
      </c>
      <c r="H90" s="15">
        <f>IF(AND(ISNUMBER($T90),$T90&lt;&gt;""),IF(INDEX(LubesCalc!$Z$3:$Z$122,$T90)="","—",INDEX(LubesCalc!$Z$3:$Z$122,$T90)),"")</f>
        <v/>
      </c>
      <c r="I90" s="15">
        <f>IF(AND(ISNUMBER($T90),$T90&lt;&gt;""),IF(INDEX(LubesCalc!$AA$3:$AA$122,$T90)="","—",INDEX(LubesCalc!$AA$3:$AA$122,$T90)),"")</f>
        <v/>
      </c>
      <c r="J90" s="15">
        <f>IF(AND(ISNUMBER($T90),$T90&lt;&gt;""),IF(INDEX(LubesCalc!$AB$3:$AB$122,$T90)="","—",INDEX(LubesCalc!$AB$3:$AB$122,$T90)),"")</f>
        <v/>
      </c>
      <c r="K90" s="15">
        <f>IF(AND(ISNUMBER($T90),$T90&lt;&gt;""),IF(INDEX(LubesCalc!$AC$3:$AC$122,$T90)="","—",INDEX(LubesCalc!$AC$3:$AC$122,$T90)),"")</f>
        <v/>
      </c>
      <c r="L90" s="15">
        <f>IF(AND(ISNUMBER($T90),$T90&lt;&gt;""),IF(INDEX(LubesCalc!$AD$3:$AD$122,$T90)="","—",INDEX(LubesCalc!$AD$3:$AD$122,$T90)),"")</f>
        <v/>
      </c>
      <c r="M90" s="15">
        <f>IF(AND(ISNUMBER($T90),$T90&lt;&gt;""),IF(INDEX(LubesCalc!$AE$3:$AE$122,$T90)="","—",INDEX(LubesCalc!$AE$3:$AE$122,$T90)),"")</f>
        <v/>
      </c>
      <c r="N90" s="15">
        <f>IF(AND(ISNUMBER($T90),$T90&lt;&gt;""),IF(INDEX(LubesCalc!$AF$3:$AF$122,$T90)="","—",INDEX(LubesCalc!$AF$3:$AF$122,$T90)),"")</f>
        <v/>
      </c>
      <c r="O90" s="15">
        <f>IF(AND(ISNUMBER($T90),$T90&lt;&gt;""),IF(INDEX(LubesCalc!$AG$3:$AG$122,$T90)="","—",INDEX(LubesCalc!$AG$3:$AG$122,$T90)),"")</f>
        <v/>
      </c>
      <c r="P90" s="16">
        <f>IF(AND(ISNUMBER($T90),$T90&lt;&gt;""),IF(INDEX(LubesCalc!$AJ$3:$AJ$122,$T90)="","—",INDEX(LubesCalc!$AJ$3:$AJ$122,$T90)),"")</f>
        <v/>
      </c>
      <c r="Q90" s="16">
        <f>IF(AND(ISNUMBER($T90),$T90&lt;&gt;""),IF(INDEX(LubesCalc!$AK$3:$AK$122,$T90)="","—",INDEX(LubesCalc!$AK$3:$AK$122,$T90)),"")</f>
        <v/>
      </c>
      <c r="R90" s="15">
        <f>IF(AND(ISNUMBER($T90),$T90&lt;&gt;""),IF(INDEX(LubesCalc!$AL$3:$AL$122,$T90)="","—",INDEX(LubesCalc!$AL$3:$AL$122,$T90)),"")</f>
        <v/>
      </c>
      <c r="T90">
        <f>IFERROR(MATCH(86,LubesCalc!$AN$3:$AN$122,0),"")</f>
        <v/>
      </c>
    </row>
    <row r="91">
      <c r="A91" s="19">
        <f>IF(AND(ISNUMBER($T91),$T91&lt;&gt;""),INDEX(LubesCalc!$S$3:$S$122,$T91),"")</f>
        <v/>
      </c>
      <c r="B91" s="20">
        <f>IF(AND(ISNUMBER($T91),$T91&lt;&gt;""),IF(INDEX(LubesCalc!$T$3:$T$122,$T91)="","—",INDEX(LubesCalc!$T$3:$T$122,$T91)),"")</f>
        <v/>
      </c>
      <c r="C91" s="20">
        <f>IF(AND(ISNUMBER($T91),$T91&lt;&gt;""),IF(INDEX(LubesCalc!$U$3:$U$122,$T91)="","—",INDEX(LubesCalc!$U$3:$U$122,$T91)),"")</f>
        <v/>
      </c>
      <c r="D91" s="20">
        <f>IF(AND(ISNUMBER($T91),$T91&lt;&gt;""),IF(INDEX(LubesCalc!$V$3:$V$122,$T91)="","—",INDEX(LubesCalc!$V$3:$V$122,$T91)),"")</f>
        <v/>
      </c>
      <c r="E91" s="20">
        <f>IF(AND(ISNUMBER($T91),$T91&lt;&gt;""),IF(INDEX(LubesCalc!$W$3:$W$122,$T91)="","—",INDEX(LubesCalc!$W$3:$W$122,$T91)),"")</f>
        <v/>
      </c>
      <c r="F91" s="20">
        <f>IF(AND(ISNUMBER($T91),$T91&lt;&gt;""),IF(INDEX(LubesCalc!$X$3:$X$122,$T91)="","—",INDEX(LubesCalc!$X$3:$X$122,$T91)),"")</f>
        <v/>
      </c>
      <c r="G91" s="20">
        <f>IF(AND(ISNUMBER($T91),$T91&lt;&gt;""),IF(INDEX(LubesCalc!$Y$3:$Y$122,$T91)="","—",INDEX(LubesCalc!$Y$3:$Y$122,$T91)),"")</f>
        <v/>
      </c>
      <c r="H91" s="20">
        <f>IF(AND(ISNUMBER($T91),$T91&lt;&gt;""),IF(INDEX(LubesCalc!$Z$3:$Z$122,$T91)="","—",INDEX(LubesCalc!$Z$3:$Z$122,$T91)),"")</f>
        <v/>
      </c>
      <c r="I91" s="20">
        <f>IF(AND(ISNUMBER($T91),$T91&lt;&gt;""),IF(INDEX(LubesCalc!$AA$3:$AA$122,$T91)="","—",INDEX(LubesCalc!$AA$3:$AA$122,$T91)),"")</f>
        <v/>
      </c>
      <c r="J91" s="20">
        <f>IF(AND(ISNUMBER($T91),$T91&lt;&gt;""),IF(INDEX(LubesCalc!$AB$3:$AB$122,$T91)="","—",INDEX(LubesCalc!$AB$3:$AB$122,$T91)),"")</f>
        <v/>
      </c>
      <c r="K91" s="20">
        <f>IF(AND(ISNUMBER($T91),$T91&lt;&gt;""),IF(INDEX(LubesCalc!$AC$3:$AC$122,$T91)="","—",INDEX(LubesCalc!$AC$3:$AC$122,$T91)),"")</f>
        <v/>
      </c>
      <c r="L91" s="20">
        <f>IF(AND(ISNUMBER($T91),$T91&lt;&gt;""),IF(INDEX(LubesCalc!$AD$3:$AD$122,$T91)="","—",INDEX(LubesCalc!$AD$3:$AD$122,$T91)),"")</f>
        <v/>
      </c>
      <c r="M91" s="20">
        <f>IF(AND(ISNUMBER($T91),$T91&lt;&gt;""),IF(INDEX(LubesCalc!$AE$3:$AE$122,$T91)="","—",INDEX(LubesCalc!$AE$3:$AE$122,$T91)),"")</f>
        <v/>
      </c>
      <c r="N91" s="20">
        <f>IF(AND(ISNUMBER($T91),$T91&lt;&gt;""),IF(INDEX(LubesCalc!$AF$3:$AF$122,$T91)="","—",INDEX(LubesCalc!$AF$3:$AF$122,$T91)),"")</f>
        <v/>
      </c>
      <c r="O91" s="20">
        <f>IF(AND(ISNUMBER($T91),$T91&lt;&gt;""),IF(INDEX(LubesCalc!$AG$3:$AG$122,$T91)="","—",INDEX(LubesCalc!$AG$3:$AG$122,$T91)),"")</f>
        <v/>
      </c>
      <c r="P91" s="21">
        <f>IF(AND(ISNUMBER($T91),$T91&lt;&gt;""),IF(INDEX(LubesCalc!$AJ$3:$AJ$122,$T91)="","—",INDEX(LubesCalc!$AJ$3:$AJ$122,$T91)),"")</f>
        <v/>
      </c>
      <c r="Q91" s="21">
        <f>IF(AND(ISNUMBER($T91),$T91&lt;&gt;""),IF(INDEX(LubesCalc!$AK$3:$AK$122,$T91)="","—",INDEX(LubesCalc!$AK$3:$AK$122,$T91)),"")</f>
        <v/>
      </c>
      <c r="R91" s="20">
        <f>IF(AND(ISNUMBER($T91),$T91&lt;&gt;""),IF(INDEX(LubesCalc!$AL$3:$AL$122,$T91)="","—",INDEX(LubesCalc!$AL$3:$AL$122,$T91)),"")</f>
        <v/>
      </c>
      <c r="T91">
        <f>IFERROR(MATCH(87,LubesCalc!$AN$3:$AN$122,0),"")</f>
        <v/>
      </c>
    </row>
    <row r="92">
      <c r="A92" s="14">
        <f>IF(AND(ISNUMBER($T92),$T92&lt;&gt;""),INDEX(LubesCalc!$S$3:$S$122,$T92),"")</f>
        <v/>
      </c>
      <c r="B92" s="15">
        <f>IF(AND(ISNUMBER($T92),$T92&lt;&gt;""),IF(INDEX(LubesCalc!$T$3:$T$122,$T92)="","—",INDEX(LubesCalc!$T$3:$T$122,$T92)),"")</f>
        <v/>
      </c>
      <c r="C92" s="15">
        <f>IF(AND(ISNUMBER($T92),$T92&lt;&gt;""),IF(INDEX(LubesCalc!$U$3:$U$122,$T92)="","—",INDEX(LubesCalc!$U$3:$U$122,$T92)),"")</f>
        <v/>
      </c>
      <c r="D92" s="15">
        <f>IF(AND(ISNUMBER($T92),$T92&lt;&gt;""),IF(INDEX(LubesCalc!$V$3:$V$122,$T92)="","—",INDEX(LubesCalc!$V$3:$V$122,$T92)),"")</f>
        <v/>
      </c>
      <c r="E92" s="15">
        <f>IF(AND(ISNUMBER($T92),$T92&lt;&gt;""),IF(INDEX(LubesCalc!$W$3:$W$122,$T92)="","—",INDEX(LubesCalc!$W$3:$W$122,$T92)),"")</f>
        <v/>
      </c>
      <c r="F92" s="15">
        <f>IF(AND(ISNUMBER($T92),$T92&lt;&gt;""),IF(INDEX(LubesCalc!$X$3:$X$122,$T92)="","—",INDEX(LubesCalc!$X$3:$X$122,$T92)),"")</f>
        <v/>
      </c>
      <c r="G92" s="15">
        <f>IF(AND(ISNUMBER($T92),$T92&lt;&gt;""),IF(INDEX(LubesCalc!$Y$3:$Y$122,$T92)="","—",INDEX(LubesCalc!$Y$3:$Y$122,$T92)),"")</f>
        <v/>
      </c>
      <c r="H92" s="15">
        <f>IF(AND(ISNUMBER($T92),$T92&lt;&gt;""),IF(INDEX(LubesCalc!$Z$3:$Z$122,$T92)="","—",INDEX(LubesCalc!$Z$3:$Z$122,$T92)),"")</f>
        <v/>
      </c>
      <c r="I92" s="15">
        <f>IF(AND(ISNUMBER($T92),$T92&lt;&gt;""),IF(INDEX(LubesCalc!$AA$3:$AA$122,$T92)="","—",INDEX(LubesCalc!$AA$3:$AA$122,$T92)),"")</f>
        <v/>
      </c>
      <c r="J92" s="15">
        <f>IF(AND(ISNUMBER($T92),$T92&lt;&gt;""),IF(INDEX(LubesCalc!$AB$3:$AB$122,$T92)="","—",INDEX(LubesCalc!$AB$3:$AB$122,$T92)),"")</f>
        <v/>
      </c>
      <c r="K92" s="15">
        <f>IF(AND(ISNUMBER($T92),$T92&lt;&gt;""),IF(INDEX(LubesCalc!$AC$3:$AC$122,$T92)="","—",INDEX(LubesCalc!$AC$3:$AC$122,$T92)),"")</f>
        <v/>
      </c>
      <c r="L92" s="15">
        <f>IF(AND(ISNUMBER($T92),$T92&lt;&gt;""),IF(INDEX(LubesCalc!$AD$3:$AD$122,$T92)="","—",INDEX(LubesCalc!$AD$3:$AD$122,$T92)),"")</f>
        <v/>
      </c>
      <c r="M92" s="15">
        <f>IF(AND(ISNUMBER($T92),$T92&lt;&gt;""),IF(INDEX(LubesCalc!$AE$3:$AE$122,$T92)="","—",INDEX(LubesCalc!$AE$3:$AE$122,$T92)),"")</f>
        <v/>
      </c>
      <c r="N92" s="15">
        <f>IF(AND(ISNUMBER($T92),$T92&lt;&gt;""),IF(INDEX(LubesCalc!$AF$3:$AF$122,$T92)="","—",INDEX(LubesCalc!$AF$3:$AF$122,$T92)),"")</f>
        <v/>
      </c>
      <c r="O92" s="15">
        <f>IF(AND(ISNUMBER($T92),$T92&lt;&gt;""),IF(INDEX(LubesCalc!$AG$3:$AG$122,$T92)="","—",INDEX(LubesCalc!$AG$3:$AG$122,$T92)),"")</f>
        <v/>
      </c>
      <c r="P92" s="16">
        <f>IF(AND(ISNUMBER($T92),$T92&lt;&gt;""),IF(INDEX(LubesCalc!$AJ$3:$AJ$122,$T92)="","—",INDEX(LubesCalc!$AJ$3:$AJ$122,$T92)),"")</f>
        <v/>
      </c>
      <c r="Q92" s="16">
        <f>IF(AND(ISNUMBER($T92),$T92&lt;&gt;""),IF(INDEX(LubesCalc!$AK$3:$AK$122,$T92)="","—",INDEX(LubesCalc!$AK$3:$AK$122,$T92)),"")</f>
        <v/>
      </c>
      <c r="R92" s="15">
        <f>IF(AND(ISNUMBER($T92),$T92&lt;&gt;""),IF(INDEX(LubesCalc!$AL$3:$AL$122,$T92)="","—",INDEX(LubesCalc!$AL$3:$AL$122,$T92)),"")</f>
        <v/>
      </c>
      <c r="T92">
        <f>IFERROR(MATCH(88,LubesCalc!$AN$3:$AN$122,0),"")</f>
        <v/>
      </c>
    </row>
    <row r="93">
      <c r="A93" s="19">
        <f>IF(AND(ISNUMBER($T93),$T93&lt;&gt;""),INDEX(LubesCalc!$S$3:$S$122,$T93),"")</f>
        <v/>
      </c>
      <c r="B93" s="20">
        <f>IF(AND(ISNUMBER($T93),$T93&lt;&gt;""),IF(INDEX(LubesCalc!$T$3:$T$122,$T93)="","—",INDEX(LubesCalc!$T$3:$T$122,$T93)),"")</f>
        <v/>
      </c>
      <c r="C93" s="20">
        <f>IF(AND(ISNUMBER($T93),$T93&lt;&gt;""),IF(INDEX(LubesCalc!$U$3:$U$122,$T93)="","—",INDEX(LubesCalc!$U$3:$U$122,$T93)),"")</f>
        <v/>
      </c>
      <c r="D93" s="20">
        <f>IF(AND(ISNUMBER($T93),$T93&lt;&gt;""),IF(INDEX(LubesCalc!$V$3:$V$122,$T93)="","—",INDEX(LubesCalc!$V$3:$V$122,$T93)),"")</f>
        <v/>
      </c>
      <c r="E93" s="20">
        <f>IF(AND(ISNUMBER($T93),$T93&lt;&gt;""),IF(INDEX(LubesCalc!$W$3:$W$122,$T93)="","—",INDEX(LubesCalc!$W$3:$W$122,$T93)),"")</f>
        <v/>
      </c>
      <c r="F93" s="20">
        <f>IF(AND(ISNUMBER($T93),$T93&lt;&gt;""),IF(INDEX(LubesCalc!$X$3:$X$122,$T93)="","—",INDEX(LubesCalc!$X$3:$X$122,$T93)),"")</f>
        <v/>
      </c>
      <c r="G93" s="20">
        <f>IF(AND(ISNUMBER($T93),$T93&lt;&gt;""),IF(INDEX(LubesCalc!$Y$3:$Y$122,$T93)="","—",INDEX(LubesCalc!$Y$3:$Y$122,$T93)),"")</f>
        <v/>
      </c>
      <c r="H93" s="20">
        <f>IF(AND(ISNUMBER($T93),$T93&lt;&gt;""),IF(INDEX(LubesCalc!$Z$3:$Z$122,$T93)="","—",INDEX(LubesCalc!$Z$3:$Z$122,$T93)),"")</f>
        <v/>
      </c>
      <c r="I93" s="20">
        <f>IF(AND(ISNUMBER($T93),$T93&lt;&gt;""),IF(INDEX(LubesCalc!$AA$3:$AA$122,$T93)="","—",INDEX(LubesCalc!$AA$3:$AA$122,$T93)),"")</f>
        <v/>
      </c>
      <c r="J93" s="20">
        <f>IF(AND(ISNUMBER($T93),$T93&lt;&gt;""),IF(INDEX(LubesCalc!$AB$3:$AB$122,$T93)="","—",INDEX(LubesCalc!$AB$3:$AB$122,$T93)),"")</f>
        <v/>
      </c>
      <c r="K93" s="20">
        <f>IF(AND(ISNUMBER($T93),$T93&lt;&gt;""),IF(INDEX(LubesCalc!$AC$3:$AC$122,$T93)="","—",INDEX(LubesCalc!$AC$3:$AC$122,$T93)),"")</f>
        <v/>
      </c>
      <c r="L93" s="20">
        <f>IF(AND(ISNUMBER($T93),$T93&lt;&gt;""),IF(INDEX(LubesCalc!$AD$3:$AD$122,$T93)="","—",INDEX(LubesCalc!$AD$3:$AD$122,$T93)),"")</f>
        <v/>
      </c>
      <c r="M93" s="20">
        <f>IF(AND(ISNUMBER($T93),$T93&lt;&gt;""),IF(INDEX(LubesCalc!$AE$3:$AE$122,$T93)="","—",INDEX(LubesCalc!$AE$3:$AE$122,$T93)),"")</f>
        <v/>
      </c>
      <c r="N93" s="20">
        <f>IF(AND(ISNUMBER($T93),$T93&lt;&gt;""),IF(INDEX(LubesCalc!$AF$3:$AF$122,$T93)="","—",INDEX(LubesCalc!$AF$3:$AF$122,$T93)),"")</f>
        <v/>
      </c>
      <c r="O93" s="20">
        <f>IF(AND(ISNUMBER($T93),$T93&lt;&gt;""),IF(INDEX(LubesCalc!$AG$3:$AG$122,$T93)="","—",INDEX(LubesCalc!$AG$3:$AG$122,$T93)),"")</f>
        <v/>
      </c>
      <c r="P93" s="21">
        <f>IF(AND(ISNUMBER($T93),$T93&lt;&gt;""),IF(INDEX(LubesCalc!$AJ$3:$AJ$122,$T93)="","—",INDEX(LubesCalc!$AJ$3:$AJ$122,$T93)),"")</f>
        <v/>
      </c>
      <c r="Q93" s="21">
        <f>IF(AND(ISNUMBER($T93),$T93&lt;&gt;""),IF(INDEX(LubesCalc!$AK$3:$AK$122,$T93)="","—",INDEX(LubesCalc!$AK$3:$AK$122,$T93)),"")</f>
        <v/>
      </c>
      <c r="R93" s="20">
        <f>IF(AND(ISNUMBER($T93),$T93&lt;&gt;""),IF(INDEX(LubesCalc!$AL$3:$AL$122,$T93)="","—",INDEX(LubesCalc!$AL$3:$AL$122,$T93)),"")</f>
        <v/>
      </c>
      <c r="T93">
        <f>IFERROR(MATCH(89,LubesCalc!$AN$3:$AN$122,0),"")</f>
        <v/>
      </c>
    </row>
    <row r="94">
      <c r="A94" s="14">
        <f>IF(AND(ISNUMBER($T94),$T94&lt;&gt;""),INDEX(LubesCalc!$S$3:$S$122,$T94),"")</f>
        <v/>
      </c>
      <c r="B94" s="15">
        <f>IF(AND(ISNUMBER($T94),$T94&lt;&gt;""),IF(INDEX(LubesCalc!$T$3:$T$122,$T94)="","—",INDEX(LubesCalc!$T$3:$T$122,$T94)),"")</f>
        <v/>
      </c>
      <c r="C94" s="15">
        <f>IF(AND(ISNUMBER($T94),$T94&lt;&gt;""),IF(INDEX(LubesCalc!$U$3:$U$122,$T94)="","—",INDEX(LubesCalc!$U$3:$U$122,$T94)),"")</f>
        <v/>
      </c>
      <c r="D94" s="15">
        <f>IF(AND(ISNUMBER($T94),$T94&lt;&gt;""),IF(INDEX(LubesCalc!$V$3:$V$122,$T94)="","—",INDEX(LubesCalc!$V$3:$V$122,$T94)),"")</f>
        <v/>
      </c>
      <c r="E94" s="15">
        <f>IF(AND(ISNUMBER($T94),$T94&lt;&gt;""),IF(INDEX(LubesCalc!$W$3:$W$122,$T94)="","—",INDEX(LubesCalc!$W$3:$W$122,$T94)),"")</f>
        <v/>
      </c>
      <c r="F94" s="15">
        <f>IF(AND(ISNUMBER($T94),$T94&lt;&gt;""),IF(INDEX(LubesCalc!$X$3:$X$122,$T94)="","—",INDEX(LubesCalc!$X$3:$X$122,$T94)),"")</f>
        <v/>
      </c>
      <c r="G94" s="15">
        <f>IF(AND(ISNUMBER($T94),$T94&lt;&gt;""),IF(INDEX(LubesCalc!$Y$3:$Y$122,$T94)="","—",INDEX(LubesCalc!$Y$3:$Y$122,$T94)),"")</f>
        <v/>
      </c>
      <c r="H94" s="15">
        <f>IF(AND(ISNUMBER($T94),$T94&lt;&gt;""),IF(INDEX(LubesCalc!$Z$3:$Z$122,$T94)="","—",INDEX(LubesCalc!$Z$3:$Z$122,$T94)),"")</f>
        <v/>
      </c>
      <c r="I94" s="15">
        <f>IF(AND(ISNUMBER($T94),$T94&lt;&gt;""),IF(INDEX(LubesCalc!$AA$3:$AA$122,$T94)="","—",INDEX(LubesCalc!$AA$3:$AA$122,$T94)),"")</f>
        <v/>
      </c>
      <c r="J94" s="15">
        <f>IF(AND(ISNUMBER($T94),$T94&lt;&gt;""),IF(INDEX(LubesCalc!$AB$3:$AB$122,$T94)="","—",INDEX(LubesCalc!$AB$3:$AB$122,$T94)),"")</f>
        <v/>
      </c>
      <c r="K94" s="15">
        <f>IF(AND(ISNUMBER($T94),$T94&lt;&gt;""),IF(INDEX(LubesCalc!$AC$3:$AC$122,$T94)="","—",INDEX(LubesCalc!$AC$3:$AC$122,$T94)),"")</f>
        <v/>
      </c>
      <c r="L94" s="15">
        <f>IF(AND(ISNUMBER($T94),$T94&lt;&gt;""),IF(INDEX(LubesCalc!$AD$3:$AD$122,$T94)="","—",INDEX(LubesCalc!$AD$3:$AD$122,$T94)),"")</f>
        <v/>
      </c>
      <c r="M94" s="15">
        <f>IF(AND(ISNUMBER($T94),$T94&lt;&gt;""),IF(INDEX(LubesCalc!$AE$3:$AE$122,$T94)="","—",INDEX(LubesCalc!$AE$3:$AE$122,$T94)),"")</f>
        <v/>
      </c>
      <c r="N94" s="15">
        <f>IF(AND(ISNUMBER($T94),$T94&lt;&gt;""),IF(INDEX(LubesCalc!$AF$3:$AF$122,$T94)="","—",INDEX(LubesCalc!$AF$3:$AF$122,$T94)),"")</f>
        <v/>
      </c>
      <c r="O94" s="15">
        <f>IF(AND(ISNUMBER($T94),$T94&lt;&gt;""),IF(INDEX(LubesCalc!$AG$3:$AG$122,$T94)="","—",INDEX(LubesCalc!$AG$3:$AG$122,$T94)),"")</f>
        <v/>
      </c>
      <c r="P94" s="16">
        <f>IF(AND(ISNUMBER($T94),$T94&lt;&gt;""),IF(INDEX(LubesCalc!$AJ$3:$AJ$122,$T94)="","—",INDEX(LubesCalc!$AJ$3:$AJ$122,$T94)),"")</f>
        <v/>
      </c>
      <c r="Q94" s="16">
        <f>IF(AND(ISNUMBER($T94),$T94&lt;&gt;""),IF(INDEX(LubesCalc!$AK$3:$AK$122,$T94)="","—",INDEX(LubesCalc!$AK$3:$AK$122,$T94)),"")</f>
        <v/>
      </c>
      <c r="R94" s="15">
        <f>IF(AND(ISNUMBER($T94),$T94&lt;&gt;""),IF(INDEX(LubesCalc!$AL$3:$AL$122,$T94)="","—",INDEX(LubesCalc!$AL$3:$AL$122,$T94)),"")</f>
        <v/>
      </c>
      <c r="T94">
        <f>IFERROR(MATCH(90,LubesCalc!$AN$3:$AN$122,0),"")</f>
        <v/>
      </c>
    </row>
    <row r="95">
      <c r="A95" s="19">
        <f>IF(AND(ISNUMBER($T95),$T95&lt;&gt;""),INDEX(LubesCalc!$S$3:$S$122,$T95),"")</f>
        <v/>
      </c>
      <c r="B95" s="20">
        <f>IF(AND(ISNUMBER($T95),$T95&lt;&gt;""),IF(INDEX(LubesCalc!$T$3:$T$122,$T95)="","—",INDEX(LubesCalc!$T$3:$T$122,$T95)),"")</f>
        <v/>
      </c>
      <c r="C95" s="20">
        <f>IF(AND(ISNUMBER($T95),$T95&lt;&gt;""),IF(INDEX(LubesCalc!$U$3:$U$122,$T95)="","—",INDEX(LubesCalc!$U$3:$U$122,$T95)),"")</f>
        <v/>
      </c>
      <c r="D95" s="20">
        <f>IF(AND(ISNUMBER($T95),$T95&lt;&gt;""),IF(INDEX(LubesCalc!$V$3:$V$122,$T95)="","—",INDEX(LubesCalc!$V$3:$V$122,$T95)),"")</f>
        <v/>
      </c>
      <c r="E95" s="20">
        <f>IF(AND(ISNUMBER($T95),$T95&lt;&gt;""),IF(INDEX(LubesCalc!$W$3:$W$122,$T95)="","—",INDEX(LubesCalc!$W$3:$W$122,$T95)),"")</f>
        <v/>
      </c>
      <c r="F95" s="20">
        <f>IF(AND(ISNUMBER($T95),$T95&lt;&gt;""),IF(INDEX(LubesCalc!$X$3:$X$122,$T95)="","—",INDEX(LubesCalc!$X$3:$X$122,$T95)),"")</f>
        <v/>
      </c>
      <c r="G95" s="20">
        <f>IF(AND(ISNUMBER($T95),$T95&lt;&gt;""),IF(INDEX(LubesCalc!$Y$3:$Y$122,$T95)="","—",INDEX(LubesCalc!$Y$3:$Y$122,$T95)),"")</f>
        <v/>
      </c>
      <c r="H95" s="20">
        <f>IF(AND(ISNUMBER($T95),$T95&lt;&gt;""),IF(INDEX(LubesCalc!$Z$3:$Z$122,$T95)="","—",INDEX(LubesCalc!$Z$3:$Z$122,$T95)),"")</f>
        <v/>
      </c>
      <c r="I95" s="20">
        <f>IF(AND(ISNUMBER($T95),$T95&lt;&gt;""),IF(INDEX(LubesCalc!$AA$3:$AA$122,$T95)="","—",INDEX(LubesCalc!$AA$3:$AA$122,$T95)),"")</f>
        <v/>
      </c>
      <c r="J95" s="20">
        <f>IF(AND(ISNUMBER($T95),$T95&lt;&gt;""),IF(INDEX(LubesCalc!$AB$3:$AB$122,$T95)="","—",INDEX(LubesCalc!$AB$3:$AB$122,$T95)),"")</f>
        <v/>
      </c>
      <c r="K95" s="20">
        <f>IF(AND(ISNUMBER($T95),$T95&lt;&gt;""),IF(INDEX(LubesCalc!$AC$3:$AC$122,$T95)="","—",INDEX(LubesCalc!$AC$3:$AC$122,$T95)),"")</f>
        <v/>
      </c>
      <c r="L95" s="20">
        <f>IF(AND(ISNUMBER($T95),$T95&lt;&gt;""),IF(INDEX(LubesCalc!$AD$3:$AD$122,$T95)="","—",INDEX(LubesCalc!$AD$3:$AD$122,$T95)),"")</f>
        <v/>
      </c>
      <c r="M95" s="20">
        <f>IF(AND(ISNUMBER($T95),$T95&lt;&gt;""),IF(INDEX(LubesCalc!$AE$3:$AE$122,$T95)="","—",INDEX(LubesCalc!$AE$3:$AE$122,$T95)),"")</f>
        <v/>
      </c>
      <c r="N95" s="20">
        <f>IF(AND(ISNUMBER($T95),$T95&lt;&gt;""),IF(INDEX(LubesCalc!$AF$3:$AF$122,$T95)="","—",INDEX(LubesCalc!$AF$3:$AF$122,$T95)),"")</f>
        <v/>
      </c>
      <c r="O95" s="20">
        <f>IF(AND(ISNUMBER($T95),$T95&lt;&gt;""),IF(INDEX(LubesCalc!$AG$3:$AG$122,$T95)="","—",INDEX(LubesCalc!$AG$3:$AG$122,$T95)),"")</f>
        <v/>
      </c>
      <c r="P95" s="21">
        <f>IF(AND(ISNUMBER($T95),$T95&lt;&gt;""),IF(INDEX(LubesCalc!$AJ$3:$AJ$122,$T95)="","—",INDEX(LubesCalc!$AJ$3:$AJ$122,$T95)),"")</f>
        <v/>
      </c>
      <c r="Q95" s="21">
        <f>IF(AND(ISNUMBER($T95),$T95&lt;&gt;""),IF(INDEX(LubesCalc!$AK$3:$AK$122,$T95)="","—",INDEX(LubesCalc!$AK$3:$AK$122,$T95)),"")</f>
        <v/>
      </c>
      <c r="R95" s="20">
        <f>IF(AND(ISNUMBER($T95),$T95&lt;&gt;""),IF(INDEX(LubesCalc!$AL$3:$AL$122,$T95)="","—",INDEX(LubesCalc!$AL$3:$AL$122,$T95)),"")</f>
        <v/>
      </c>
      <c r="T95">
        <f>IFERROR(MATCH(91,LubesCalc!$AN$3:$AN$122,0),"")</f>
        <v/>
      </c>
    </row>
    <row r="96">
      <c r="A96" s="14">
        <f>IF(AND(ISNUMBER($T96),$T96&lt;&gt;""),INDEX(LubesCalc!$S$3:$S$122,$T96),"")</f>
        <v/>
      </c>
      <c r="B96" s="15">
        <f>IF(AND(ISNUMBER($T96),$T96&lt;&gt;""),IF(INDEX(LubesCalc!$T$3:$T$122,$T96)="","—",INDEX(LubesCalc!$T$3:$T$122,$T96)),"")</f>
        <v/>
      </c>
      <c r="C96" s="15">
        <f>IF(AND(ISNUMBER($T96),$T96&lt;&gt;""),IF(INDEX(LubesCalc!$U$3:$U$122,$T96)="","—",INDEX(LubesCalc!$U$3:$U$122,$T96)),"")</f>
        <v/>
      </c>
      <c r="D96" s="15">
        <f>IF(AND(ISNUMBER($T96),$T96&lt;&gt;""),IF(INDEX(LubesCalc!$V$3:$V$122,$T96)="","—",INDEX(LubesCalc!$V$3:$V$122,$T96)),"")</f>
        <v/>
      </c>
      <c r="E96" s="15">
        <f>IF(AND(ISNUMBER($T96),$T96&lt;&gt;""),IF(INDEX(LubesCalc!$W$3:$W$122,$T96)="","—",INDEX(LubesCalc!$W$3:$W$122,$T96)),"")</f>
        <v/>
      </c>
      <c r="F96" s="15">
        <f>IF(AND(ISNUMBER($T96),$T96&lt;&gt;""),IF(INDEX(LubesCalc!$X$3:$X$122,$T96)="","—",INDEX(LubesCalc!$X$3:$X$122,$T96)),"")</f>
        <v/>
      </c>
      <c r="G96" s="15">
        <f>IF(AND(ISNUMBER($T96),$T96&lt;&gt;""),IF(INDEX(LubesCalc!$Y$3:$Y$122,$T96)="","—",INDEX(LubesCalc!$Y$3:$Y$122,$T96)),"")</f>
        <v/>
      </c>
      <c r="H96" s="15">
        <f>IF(AND(ISNUMBER($T96),$T96&lt;&gt;""),IF(INDEX(LubesCalc!$Z$3:$Z$122,$T96)="","—",INDEX(LubesCalc!$Z$3:$Z$122,$T96)),"")</f>
        <v/>
      </c>
      <c r="I96" s="15">
        <f>IF(AND(ISNUMBER($T96),$T96&lt;&gt;""),IF(INDEX(LubesCalc!$AA$3:$AA$122,$T96)="","—",INDEX(LubesCalc!$AA$3:$AA$122,$T96)),"")</f>
        <v/>
      </c>
      <c r="J96" s="15">
        <f>IF(AND(ISNUMBER($T96),$T96&lt;&gt;""),IF(INDEX(LubesCalc!$AB$3:$AB$122,$T96)="","—",INDEX(LubesCalc!$AB$3:$AB$122,$T96)),"")</f>
        <v/>
      </c>
      <c r="K96" s="15">
        <f>IF(AND(ISNUMBER($T96),$T96&lt;&gt;""),IF(INDEX(LubesCalc!$AC$3:$AC$122,$T96)="","—",INDEX(LubesCalc!$AC$3:$AC$122,$T96)),"")</f>
        <v/>
      </c>
      <c r="L96" s="15">
        <f>IF(AND(ISNUMBER($T96),$T96&lt;&gt;""),IF(INDEX(LubesCalc!$AD$3:$AD$122,$T96)="","—",INDEX(LubesCalc!$AD$3:$AD$122,$T96)),"")</f>
        <v/>
      </c>
      <c r="M96" s="15">
        <f>IF(AND(ISNUMBER($T96),$T96&lt;&gt;""),IF(INDEX(LubesCalc!$AE$3:$AE$122,$T96)="","—",INDEX(LubesCalc!$AE$3:$AE$122,$T96)),"")</f>
        <v/>
      </c>
      <c r="N96" s="15">
        <f>IF(AND(ISNUMBER($T96),$T96&lt;&gt;""),IF(INDEX(LubesCalc!$AF$3:$AF$122,$T96)="","—",INDEX(LubesCalc!$AF$3:$AF$122,$T96)),"")</f>
        <v/>
      </c>
      <c r="O96" s="15">
        <f>IF(AND(ISNUMBER($T96),$T96&lt;&gt;""),IF(INDEX(LubesCalc!$AG$3:$AG$122,$T96)="","—",INDEX(LubesCalc!$AG$3:$AG$122,$T96)),"")</f>
        <v/>
      </c>
      <c r="P96" s="16">
        <f>IF(AND(ISNUMBER($T96),$T96&lt;&gt;""),IF(INDEX(LubesCalc!$AJ$3:$AJ$122,$T96)="","—",INDEX(LubesCalc!$AJ$3:$AJ$122,$T96)),"")</f>
        <v/>
      </c>
      <c r="Q96" s="16">
        <f>IF(AND(ISNUMBER($T96),$T96&lt;&gt;""),IF(INDEX(LubesCalc!$AK$3:$AK$122,$T96)="","—",INDEX(LubesCalc!$AK$3:$AK$122,$T96)),"")</f>
        <v/>
      </c>
      <c r="R96" s="15">
        <f>IF(AND(ISNUMBER($T96),$T96&lt;&gt;""),IF(INDEX(LubesCalc!$AL$3:$AL$122,$T96)="","—",INDEX(LubesCalc!$AL$3:$AL$122,$T96)),"")</f>
        <v/>
      </c>
      <c r="T96">
        <f>IFERROR(MATCH(92,LubesCalc!$AN$3:$AN$122,0),"")</f>
        <v/>
      </c>
    </row>
    <row r="97">
      <c r="A97" s="19">
        <f>IF(AND(ISNUMBER($T97),$T97&lt;&gt;""),INDEX(LubesCalc!$S$3:$S$122,$T97),"")</f>
        <v/>
      </c>
      <c r="B97" s="20">
        <f>IF(AND(ISNUMBER($T97),$T97&lt;&gt;""),IF(INDEX(LubesCalc!$T$3:$T$122,$T97)="","—",INDEX(LubesCalc!$T$3:$T$122,$T97)),"")</f>
        <v/>
      </c>
      <c r="C97" s="20">
        <f>IF(AND(ISNUMBER($T97),$T97&lt;&gt;""),IF(INDEX(LubesCalc!$U$3:$U$122,$T97)="","—",INDEX(LubesCalc!$U$3:$U$122,$T97)),"")</f>
        <v/>
      </c>
      <c r="D97" s="20">
        <f>IF(AND(ISNUMBER($T97),$T97&lt;&gt;""),IF(INDEX(LubesCalc!$V$3:$V$122,$T97)="","—",INDEX(LubesCalc!$V$3:$V$122,$T97)),"")</f>
        <v/>
      </c>
      <c r="E97" s="20">
        <f>IF(AND(ISNUMBER($T97),$T97&lt;&gt;""),IF(INDEX(LubesCalc!$W$3:$W$122,$T97)="","—",INDEX(LubesCalc!$W$3:$W$122,$T97)),"")</f>
        <v/>
      </c>
      <c r="F97" s="20">
        <f>IF(AND(ISNUMBER($T97),$T97&lt;&gt;""),IF(INDEX(LubesCalc!$X$3:$X$122,$T97)="","—",INDEX(LubesCalc!$X$3:$X$122,$T97)),"")</f>
        <v/>
      </c>
      <c r="G97" s="20">
        <f>IF(AND(ISNUMBER($T97),$T97&lt;&gt;""),IF(INDEX(LubesCalc!$Y$3:$Y$122,$T97)="","—",INDEX(LubesCalc!$Y$3:$Y$122,$T97)),"")</f>
        <v/>
      </c>
      <c r="H97" s="20">
        <f>IF(AND(ISNUMBER($T97),$T97&lt;&gt;""),IF(INDEX(LubesCalc!$Z$3:$Z$122,$T97)="","—",INDEX(LubesCalc!$Z$3:$Z$122,$T97)),"")</f>
        <v/>
      </c>
      <c r="I97" s="20">
        <f>IF(AND(ISNUMBER($T97),$T97&lt;&gt;""),IF(INDEX(LubesCalc!$AA$3:$AA$122,$T97)="","—",INDEX(LubesCalc!$AA$3:$AA$122,$T97)),"")</f>
        <v/>
      </c>
      <c r="J97" s="20">
        <f>IF(AND(ISNUMBER($T97),$T97&lt;&gt;""),IF(INDEX(LubesCalc!$AB$3:$AB$122,$T97)="","—",INDEX(LubesCalc!$AB$3:$AB$122,$T97)),"")</f>
        <v/>
      </c>
      <c r="K97" s="20">
        <f>IF(AND(ISNUMBER($T97),$T97&lt;&gt;""),IF(INDEX(LubesCalc!$AC$3:$AC$122,$T97)="","—",INDEX(LubesCalc!$AC$3:$AC$122,$T97)),"")</f>
        <v/>
      </c>
      <c r="L97" s="20">
        <f>IF(AND(ISNUMBER($T97),$T97&lt;&gt;""),IF(INDEX(LubesCalc!$AD$3:$AD$122,$T97)="","—",INDEX(LubesCalc!$AD$3:$AD$122,$T97)),"")</f>
        <v/>
      </c>
      <c r="M97" s="20">
        <f>IF(AND(ISNUMBER($T97),$T97&lt;&gt;""),IF(INDEX(LubesCalc!$AE$3:$AE$122,$T97)="","—",INDEX(LubesCalc!$AE$3:$AE$122,$T97)),"")</f>
        <v/>
      </c>
      <c r="N97" s="20">
        <f>IF(AND(ISNUMBER($T97),$T97&lt;&gt;""),IF(INDEX(LubesCalc!$AF$3:$AF$122,$T97)="","—",INDEX(LubesCalc!$AF$3:$AF$122,$T97)),"")</f>
        <v/>
      </c>
      <c r="O97" s="20">
        <f>IF(AND(ISNUMBER($T97),$T97&lt;&gt;""),IF(INDEX(LubesCalc!$AG$3:$AG$122,$T97)="","—",INDEX(LubesCalc!$AG$3:$AG$122,$T97)),"")</f>
        <v/>
      </c>
      <c r="P97" s="21">
        <f>IF(AND(ISNUMBER($T97),$T97&lt;&gt;""),IF(INDEX(LubesCalc!$AJ$3:$AJ$122,$T97)="","—",INDEX(LubesCalc!$AJ$3:$AJ$122,$T97)),"")</f>
        <v/>
      </c>
      <c r="Q97" s="21">
        <f>IF(AND(ISNUMBER($T97),$T97&lt;&gt;""),IF(INDEX(LubesCalc!$AK$3:$AK$122,$T97)="","—",INDEX(LubesCalc!$AK$3:$AK$122,$T97)),"")</f>
        <v/>
      </c>
      <c r="R97" s="20">
        <f>IF(AND(ISNUMBER($T97),$T97&lt;&gt;""),IF(INDEX(LubesCalc!$AL$3:$AL$122,$T97)="","—",INDEX(LubesCalc!$AL$3:$AL$122,$T97)),"")</f>
        <v/>
      </c>
      <c r="T97">
        <f>IFERROR(MATCH(93,LubesCalc!$AN$3:$AN$122,0),"")</f>
        <v/>
      </c>
    </row>
    <row r="98">
      <c r="A98" s="14">
        <f>IF(AND(ISNUMBER($T98),$T98&lt;&gt;""),INDEX(LubesCalc!$S$3:$S$122,$T98),"")</f>
        <v/>
      </c>
      <c r="B98" s="15">
        <f>IF(AND(ISNUMBER($T98),$T98&lt;&gt;""),IF(INDEX(LubesCalc!$T$3:$T$122,$T98)="","—",INDEX(LubesCalc!$T$3:$T$122,$T98)),"")</f>
        <v/>
      </c>
      <c r="C98" s="15">
        <f>IF(AND(ISNUMBER($T98),$T98&lt;&gt;""),IF(INDEX(LubesCalc!$U$3:$U$122,$T98)="","—",INDEX(LubesCalc!$U$3:$U$122,$T98)),"")</f>
        <v/>
      </c>
      <c r="D98" s="15">
        <f>IF(AND(ISNUMBER($T98),$T98&lt;&gt;""),IF(INDEX(LubesCalc!$V$3:$V$122,$T98)="","—",INDEX(LubesCalc!$V$3:$V$122,$T98)),"")</f>
        <v/>
      </c>
      <c r="E98" s="15">
        <f>IF(AND(ISNUMBER($T98),$T98&lt;&gt;""),IF(INDEX(LubesCalc!$W$3:$W$122,$T98)="","—",INDEX(LubesCalc!$W$3:$W$122,$T98)),"")</f>
        <v/>
      </c>
      <c r="F98" s="15">
        <f>IF(AND(ISNUMBER($T98),$T98&lt;&gt;""),IF(INDEX(LubesCalc!$X$3:$X$122,$T98)="","—",INDEX(LubesCalc!$X$3:$X$122,$T98)),"")</f>
        <v/>
      </c>
      <c r="G98" s="15">
        <f>IF(AND(ISNUMBER($T98),$T98&lt;&gt;""),IF(INDEX(LubesCalc!$Y$3:$Y$122,$T98)="","—",INDEX(LubesCalc!$Y$3:$Y$122,$T98)),"")</f>
        <v/>
      </c>
      <c r="H98" s="15">
        <f>IF(AND(ISNUMBER($T98),$T98&lt;&gt;""),IF(INDEX(LubesCalc!$Z$3:$Z$122,$T98)="","—",INDEX(LubesCalc!$Z$3:$Z$122,$T98)),"")</f>
        <v/>
      </c>
      <c r="I98" s="15">
        <f>IF(AND(ISNUMBER($T98),$T98&lt;&gt;""),IF(INDEX(LubesCalc!$AA$3:$AA$122,$T98)="","—",INDEX(LubesCalc!$AA$3:$AA$122,$T98)),"")</f>
        <v/>
      </c>
      <c r="J98" s="15">
        <f>IF(AND(ISNUMBER($T98),$T98&lt;&gt;""),IF(INDEX(LubesCalc!$AB$3:$AB$122,$T98)="","—",INDEX(LubesCalc!$AB$3:$AB$122,$T98)),"")</f>
        <v/>
      </c>
      <c r="K98" s="15">
        <f>IF(AND(ISNUMBER($T98),$T98&lt;&gt;""),IF(INDEX(LubesCalc!$AC$3:$AC$122,$T98)="","—",INDEX(LubesCalc!$AC$3:$AC$122,$T98)),"")</f>
        <v/>
      </c>
      <c r="L98" s="15">
        <f>IF(AND(ISNUMBER($T98),$T98&lt;&gt;""),IF(INDEX(LubesCalc!$AD$3:$AD$122,$T98)="","—",INDEX(LubesCalc!$AD$3:$AD$122,$T98)),"")</f>
        <v/>
      </c>
      <c r="M98" s="15">
        <f>IF(AND(ISNUMBER($T98),$T98&lt;&gt;""),IF(INDEX(LubesCalc!$AE$3:$AE$122,$T98)="","—",INDEX(LubesCalc!$AE$3:$AE$122,$T98)),"")</f>
        <v/>
      </c>
      <c r="N98" s="15">
        <f>IF(AND(ISNUMBER($T98),$T98&lt;&gt;""),IF(INDEX(LubesCalc!$AF$3:$AF$122,$T98)="","—",INDEX(LubesCalc!$AF$3:$AF$122,$T98)),"")</f>
        <v/>
      </c>
      <c r="O98" s="15">
        <f>IF(AND(ISNUMBER($T98),$T98&lt;&gt;""),IF(INDEX(LubesCalc!$AG$3:$AG$122,$T98)="","—",INDEX(LubesCalc!$AG$3:$AG$122,$T98)),"")</f>
        <v/>
      </c>
      <c r="P98" s="16">
        <f>IF(AND(ISNUMBER($T98),$T98&lt;&gt;""),IF(INDEX(LubesCalc!$AJ$3:$AJ$122,$T98)="","—",INDEX(LubesCalc!$AJ$3:$AJ$122,$T98)),"")</f>
        <v/>
      </c>
      <c r="Q98" s="16">
        <f>IF(AND(ISNUMBER($T98),$T98&lt;&gt;""),IF(INDEX(LubesCalc!$AK$3:$AK$122,$T98)="","—",INDEX(LubesCalc!$AK$3:$AK$122,$T98)),"")</f>
        <v/>
      </c>
      <c r="R98" s="15">
        <f>IF(AND(ISNUMBER($T98),$T98&lt;&gt;""),IF(INDEX(LubesCalc!$AL$3:$AL$122,$T98)="","—",INDEX(LubesCalc!$AL$3:$AL$122,$T98)),"")</f>
        <v/>
      </c>
      <c r="T98">
        <f>IFERROR(MATCH(94,LubesCalc!$AN$3:$AN$122,0),"")</f>
        <v/>
      </c>
    </row>
    <row r="99">
      <c r="A99" s="19">
        <f>IF(AND(ISNUMBER($T99),$T99&lt;&gt;""),INDEX(LubesCalc!$S$3:$S$122,$T99),"")</f>
        <v/>
      </c>
      <c r="B99" s="20">
        <f>IF(AND(ISNUMBER($T99),$T99&lt;&gt;""),IF(INDEX(LubesCalc!$T$3:$T$122,$T99)="","—",INDEX(LubesCalc!$T$3:$T$122,$T99)),"")</f>
        <v/>
      </c>
      <c r="C99" s="20">
        <f>IF(AND(ISNUMBER($T99),$T99&lt;&gt;""),IF(INDEX(LubesCalc!$U$3:$U$122,$T99)="","—",INDEX(LubesCalc!$U$3:$U$122,$T99)),"")</f>
        <v/>
      </c>
      <c r="D99" s="20">
        <f>IF(AND(ISNUMBER($T99),$T99&lt;&gt;""),IF(INDEX(LubesCalc!$V$3:$V$122,$T99)="","—",INDEX(LubesCalc!$V$3:$V$122,$T99)),"")</f>
        <v/>
      </c>
      <c r="E99" s="20">
        <f>IF(AND(ISNUMBER($T99),$T99&lt;&gt;""),IF(INDEX(LubesCalc!$W$3:$W$122,$T99)="","—",INDEX(LubesCalc!$W$3:$W$122,$T99)),"")</f>
        <v/>
      </c>
      <c r="F99" s="20">
        <f>IF(AND(ISNUMBER($T99),$T99&lt;&gt;""),IF(INDEX(LubesCalc!$X$3:$X$122,$T99)="","—",INDEX(LubesCalc!$X$3:$X$122,$T99)),"")</f>
        <v/>
      </c>
      <c r="G99" s="20">
        <f>IF(AND(ISNUMBER($T99),$T99&lt;&gt;""),IF(INDEX(LubesCalc!$Y$3:$Y$122,$T99)="","—",INDEX(LubesCalc!$Y$3:$Y$122,$T99)),"")</f>
        <v/>
      </c>
      <c r="H99" s="20">
        <f>IF(AND(ISNUMBER($T99),$T99&lt;&gt;""),IF(INDEX(LubesCalc!$Z$3:$Z$122,$T99)="","—",INDEX(LubesCalc!$Z$3:$Z$122,$T99)),"")</f>
        <v/>
      </c>
      <c r="I99" s="20">
        <f>IF(AND(ISNUMBER($T99),$T99&lt;&gt;""),IF(INDEX(LubesCalc!$AA$3:$AA$122,$T99)="","—",INDEX(LubesCalc!$AA$3:$AA$122,$T99)),"")</f>
        <v/>
      </c>
      <c r="J99" s="20">
        <f>IF(AND(ISNUMBER($T99),$T99&lt;&gt;""),IF(INDEX(LubesCalc!$AB$3:$AB$122,$T99)="","—",INDEX(LubesCalc!$AB$3:$AB$122,$T99)),"")</f>
        <v/>
      </c>
      <c r="K99" s="20">
        <f>IF(AND(ISNUMBER($T99),$T99&lt;&gt;""),IF(INDEX(LubesCalc!$AC$3:$AC$122,$T99)="","—",INDEX(LubesCalc!$AC$3:$AC$122,$T99)),"")</f>
        <v/>
      </c>
      <c r="L99" s="20">
        <f>IF(AND(ISNUMBER($T99),$T99&lt;&gt;""),IF(INDEX(LubesCalc!$AD$3:$AD$122,$T99)="","—",INDEX(LubesCalc!$AD$3:$AD$122,$T99)),"")</f>
        <v/>
      </c>
      <c r="M99" s="20">
        <f>IF(AND(ISNUMBER($T99),$T99&lt;&gt;""),IF(INDEX(LubesCalc!$AE$3:$AE$122,$T99)="","—",INDEX(LubesCalc!$AE$3:$AE$122,$T99)),"")</f>
        <v/>
      </c>
      <c r="N99" s="20">
        <f>IF(AND(ISNUMBER($T99),$T99&lt;&gt;""),IF(INDEX(LubesCalc!$AF$3:$AF$122,$T99)="","—",INDEX(LubesCalc!$AF$3:$AF$122,$T99)),"")</f>
        <v/>
      </c>
      <c r="O99" s="20">
        <f>IF(AND(ISNUMBER($T99),$T99&lt;&gt;""),IF(INDEX(LubesCalc!$AG$3:$AG$122,$T99)="","—",INDEX(LubesCalc!$AG$3:$AG$122,$T99)),"")</f>
        <v/>
      </c>
      <c r="P99" s="21">
        <f>IF(AND(ISNUMBER($T99),$T99&lt;&gt;""),IF(INDEX(LubesCalc!$AJ$3:$AJ$122,$T99)="","—",INDEX(LubesCalc!$AJ$3:$AJ$122,$T99)),"")</f>
        <v/>
      </c>
      <c r="Q99" s="21">
        <f>IF(AND(ISNUMBER($T99),$T99&lt;&gt;""),IF(INDEX(LubesCalc!$AK$3:$AK$122,$T99)="","—",INDEX(LubesCalc!$AK$3:$AK$122,$T99)),"")</f>
        <v/>
      </c>
      <c r="R99" s="20">
        <f>IF(AND(ISNUMBER($T99),$T99&lt;&gt;""),IF(INDEX(LubesCalc!$AL$3:$AL$122,$T99)="","—",INDEX(LubesCalc!$AL$3:$AL$122,$T99)),"")</f>
        <v/>
      </c>
      <c r="T99">
        <f>IFERROR(MATCH(95,LubesCalc!$AN$3:$AN$122,0),"")</f>
        <v/>
      </c>
    </row>
    <row r="100">
      <c r="A100" s="14">
        <f>IF(AND(ISNUMBER($T100),$T100&lt;&gt;""),INDEX(LubesCalc!$S$3:$S$122,$T100),"")</f>
        <v/>
      </c>
      <c r="B100" s="15">
        <f>IF(AND(ISNUMBER($T100),$T100&lt;&gt;""),IF(INDEX(LubesCalc!$T$3:$T$122,$T100)="","—",INDEX(LubesCalc!$T$3:$T$122,$T100)),"")</f>
        <v/>
      </c>
      <c r="C100" s="15">
        <f>IF(AND(ISNUMBER($T100),$T100&lt;&gt;""),IF(INDEX(LubesCalc!$U$3:$U$122,$T100)="","—",INDEX(LubesCalc!$U$3:$U$122,$T100)),"")</f>
        <v/>
      </c>
      <c r="D100" s="15">
        <f>IF(AND(ISNUMBER($T100),$T100&lt;&gt;""),IF(INDEX(LubesCalc!$V$3:$V$122,$T100)="","—",INDEX(LubesCalc!$V$3:$V$122,$T100)),"")</f>
        <v/>
      </c>
      <c r="E100" s="15">
        <f>IF(AND(ISNUMBER($T100),$T100&lt;&gt;""),IF(INDEX(LubesCalc!$W$3:$W$122,$T100)="","—",INDEX(LubesCalc!$W$3:$W$122,$T100)),"")</f>
        <v/>
      </c>
      <c r="F100" s="15">
        <f>IF(AND(ISNUMBER($T100),$T100&lt;&gt;""),IF(INDEX(LubesCalc!$X$3:$X$122,$T100)="","—",INDEX(LubesCalc!$X$3:$X$122,$T100)),"")</f>
        <v/>
      </c>
      <c r="G100" s="15">
        <f>IF(AND(ISNUMBER($T100),$T100&lt;&gt;""),IF(INDEX(LubesCalc!$Y$3:$Y$122,$T100)="","—",INDEX(LubesCalc!$Y$3:$Y$122,$T100)),"")</f>
        <v/>
      </c>
      <c r="H100" s="15">
        <f>IF(AND(ISNUMBER($T100),$T100&lt;&gt;""),IF(INDEX(LubesCalc!$Z$3:$Z$122,$T100)="","—",INDEX(LubesCalc!$Z$3:$Z$122,$T100)),"")</f>
        <v/>
      </c>
      <c r="I100" s="15">
        <f>IF(AND(ISNUMBER($T100),$T100&lt;&gt;""),IF(INDEX(LubesCalc!$AA$3:$AA$122,$T100)="","—",INDEX(LubesCalc!$AA$3:$AA$122,$T100)),"")</f>
        <v/>
      </c>
      <c r="J100" s="15">
        <f>IF(AND(ISNUMBER($T100),$T100&lt;&gt;""),IF(INDEX(LubesCalc!$AB$3:$AB$122,$T100)="","—",INDEX(LubesCalc!$AB$3:$AB$122,$T100)),"")</f>
        <v/>
      </c>
      <c r="K100" s="15">
        <f>IF(AND(ISNUMBER($T100),$T100&lt;&gt;""),IF(INDEX(LubesCalc!$AC$3:$AC$122,$T100)="","—",INDEX(LubesCalc!$AC$3:$AC$122,$T100)),"")</f>
        <v/>
      </c>
      <c r="L100" s="15">
        <f>IF(AND(ISNUMBER($T100),$T100&lt;&gt;""),IF(INDEX(LubesCalc!$AD$3:$AD$122,$T100)="","—",INDEX(LubesCalc!$AD$3:$AD$122,$T100)),"")</f>
        <v/>
      </c>
      <c r="M100" s="15">
        <f>IF(AND(ISNUMBER($T100),$T100&lt;&gt;""),IF(INDEX(LubesCalc!$AE$3:$AE$122,$T100)="","—",INDEX(LubesCalc!$AE$3:$AE$122,$T100)),"")</f>
        <v/>
      </c>
      <c r="N100" s="15">
        <f>IF(AND(ISNUMBER($T100),$T100&lt;&gt;""),IF(INDEX(LubesCalc!$AF$3:$AF$122,$T100)="","—",INDEX(LubesCalc!$AF$3:$AF$122,$T100)),"")</f>
        <v/>
      </c>
      <c r="O100" s="15">
        <f>IF(AND(ISNUMBER($T100),$T100&lt;&gt;""),IF(INDEX(LubesCalc!$AG$3:$AG$122,$T100)="","—",INDEX(LubesCalc!$AG$3:$AG$122,$T100)),"")</f>
        <v/>
      </c>
      <c r="P100" s="16">
        <f>IF(AND(ISNUMBER($T100),$T100&lt;&gt;""),IF(INDEX(LubesCalc!$AJ$3:$AJ$122,$T100)="","—",INDEX(LubesCalc!$AJ$3:$AJ$122,$T100)),"")</f>
        <v/>
      </c>
      <c r="Q100" s="16">
        <f>IF(AND(ISNUMBER($T100),$T100&lt;&gt;""),IF(INDEX(LubesCalc!$AK$3:$AK$122,$T100)="","—",INDEX(LubesCalc!$AK$3:$AK$122,$T100)),"")</f>
        <v/>
      </c>
      <c r="R100" s="15">
        <f>IF(AND(ISNUMBER($T100),$T100&lt;&gt;""),IF(INDEX(LubesCalc!$AL$3:$AL$122,$T100)="","—",INDEX(LubesCalc!$AL$3:$AL$122,$T100)),"")</f>
        <v/>
      </c>
      <c r="T100">
        <f>IFERROR(MATCH(96,LubesCalc!$AN$3:$AN$122,0),"")</f>
        <v/>
      </c>
    </row>
    <row r="101">
      <c r="A101" s="19">
        <f>IF(AND(ISNUMBER($T101),$T101&lt;&gt;""),INDEX(LubesCalc!$S$3:$S$122,$T101),"")</f>
        <v/>
      </c>
      <c r="B101" s="20">
        <f>IF(AND(ISNUMBER($T101),$T101&lt;&gt;""),IF(INDEX(LubesCalc!$T$3:$T$122,$T101)="","—",INDEX(LubesCalc!$T$3:$T$122,$T101)),"")</f>
        <v/>
      </c>
      <c r="C101" s="20">
        <f>IF(AND(ISNUMBER($T101),$T101&lt;&gt;""),IF(INDEX(LubesCalc!$U$3:$U$122,$T101)="","—",INDEX(LubesCalc!$U$3:$U$122,$T101)),"")</f>
        <v/>
      </c>
      <c r="D101" s="20">
        <f>IF(AND(ISNUMBER($T101),$T101&lt;&gt;""),IF(INDEX(LubesCalc!$V$3:$V$122,$T101)="","—",INDEX(LubesCalc!$V$3:$V$122,$T101)),"")</f>
        <v/>
      </c>
      <c r="E101" s="20">
        <f>IF(AND(ISNUMBER($T101),$T101&lt;&gt;""),IF(INDEX(LubesCalc!$W$3:$W$122,$T101)="","—",INDEX(LubesCalc!$W$3:$W$122,$T101)),"")</f>
        <v/>
      </c>
      <c r="F101" s="20">
        <f>IF(AND(ISNUMBER($T101),$T101&lt;&gt;""),IF(INDEX(LubesCalc!$X$3:$X$122,$T101)="","—",INDEX(LubesCalc!$X$3:$X$122,$T101)),"")</f>
        <v/>
      </c>
      <c r="G101" s="20">
        <f>IF(AND(ISNUMBER($T101),$T101&lt;&gt;""),IF(INDEX(LubesCalc!$Y$3:$Y$122,$T101)="","—",INDEX(LubesCalc!$Y$3:$Y$122,$T101)),"")</f>
        <v/>
      </c>
      <c r="H101" s="20">
        <f>IF(AND(ISNUMBER($T101),$T101&lt;&gt;""),IF(INDEX(LubesCalc!$Z$3:$Z$122,$T101)="","—",INDEX(LubesCalc!$Z$3:$Z$122,$T101)),"")</f>
        <v/>
      </c>
      <c r="I101" s="20">
        <f>IF(AND(ISNUMBER($T101),$T101&lt;&gt;""),IF(INDEX(LubesCalc!$AA$3:$AA$122,$T101)="","—",INDEX(LubesCalc!$AA$3:$AA$122,$T101)),"")</f>
        <v/>
      </c>
      <c r="J101" s="20">
        <f>IF(AND(ISNUMBER($T101),$T101&lt;&gt;""),IF(INDEX(LubesCalc!$AB$3:$AB$122,$T101)="","—",INDEX(LubesCalc!$AB$3:$AB$122,$T101)),"")</f>
        <v/>
      </c>
      <c r="K101" s="20">
        <f>IF(AND(ISNUMBER($T101),$T101&lt;&gt;""),IF(INDEX(LubesCalc!$AC$3:$AC$122,$T101)="","—",INDEX(LubesCalc!$AC$3:$AC$122,$T101)),"")</f>
        <v/>
      </c>
      <c r="L101" s="20">
        <f>IF(AND(ISNUMBER($T101),$T101&lt;&gt;""),IF(INDEX(LubesCalc!$AD$3:$AD$122,$T101)="","—",INDEX(LubesCalc!$AD$3:$AD$122,$T101)),"")</f>
        <v/>
      </c>
      <c r="M101" s="20">
        <f>IF(AND(ISNUMBER($T101),$T101&lt;&gt;""),IF(INDEX(LubesCalc!$AE$3:$AE$122,$T101)="","—",INDEX(LubesCalc!$AE$3:$AE$122,$T101)),"")</f>
        <v/>
      </c>
      <c r="N101" s="20">
        <f>IF(AND(ISNUMBER($T101),$T101&lt;&gt;""),IF(INDEX(LubesCalc!$AF$3:$AF$122,$T101)="","—",INDEX(LubesCalc!$AF$3:$AF$122,$T101)),"")</f>
        <v/>
      </c>
      <c r="O101" s="20">
        <f>IF(AND(ISNUMBER($T101),$T101&lt;&gt;""),IF(INDEX(LubesCalc!$AG$3:$AG$122,$T101)="","—",INDEX(LubesCalc!$AG$3:$AG$122,$T101)),"")</f>
        <v/>
      </c>
      <c r="P101" s="21">
        <f>IF(AND(ISNUMBER($T101),$T101&lt;&gt;""),IF(INDEX(LubesCalc!$AJ$3:$AJ$122,$T101)="","—",INDEX(LubesCalc!$AJ$3:$AJ$122,$T101)),"")</f>
        <v/>
      </c>
      <c r="Q101" s="21">
        <f>IF(AND(ISNUMBER($T101),$T101&lt;&gt;""),IF(INDEX(LubesCalc!$AK$3:$AK$122,$T101)="","—",INDEX(LubesCalc!$AK$3:$AK$122,$T101)),"")</f>
        <v/>
      </c>
      <c r="R101" s="20">
        <f>IF(AND(ISNUMBER($T101),$T101&lt;&gt;""),IF(INDEX(LubesCalc!$AL$3:$AL$122,$T101)="","—",INDEX(LubesCalc!$AL$3:$AL$122,$T101)),"")</f>
        <v/>
      </c>
      <c r="T101">
        <f>IFERROR(MATCH(97,LubesCalc!$AN$3:$AN$122,0),"")</f>
        <v/>
      </c>
    </row>
    <row r="102">
      <c r="A102" s="14">
        <f>IF(AND(ISNUMBER($T102),$T102&lt;&gt;""),INDEX(LubesCalc!$S$3:$S$122,$T102),"")</f>
        <v/>
      </c>
      <c r="B102" s="15">
        <f>IF(AND(ISNUMBER($T102),$T102&lt;&gt;""),IF(INDEX(LubesCalc!$T$3:$T$122,$T102)="","—",INDEX(LubesCalc!$T$3:$T$122,$T102)),"")</f>
        <v/>
      </c>
      <c r="C102" s="15">
        <f>IF(AND(ISNUMBER($T102),$T102&lt;&gt;""),IF(INDEX(LubesCalc!$U$3:$U$122,$T102)="","—",INDEX(LubesCalc!$U$3:$U$122,$T102)),"")</f>
        <v/>
      </c>
      <c r="D102" s="15">
        <f>IF(AND(ISNUMBER($T102),$T102&lt;&gt;""),IF(INDEX(LubesCalc!$V$3:$V$122,$T102)="","—",INDEX(LubesCalc!$V$3:$V$122,$T102)),"")</f>
        <v/>
      </c>
      <c r="E102" s="15">
        <f>IF(AND(ISNUMBER($T102),$T102&lt;&gt;""),IF(INDEX(LubesCalc!$W$3:$W$122,$T102)="","—",INDEX(LubesCalc!$W$3:$W$122,$T102)),"")</f>
        <v/>
      </c>
      <c r="F102" s="15">
        <f>IF(AND(ISNUMBER($T102),$T102&lt;&gt;""),IF(INDEX(LubesCalc!$X$3:$X$122,$T102)="","—",INDEX(LubesCalc!$X$3:$X$122,$T102)),"")</f>
        <v/>
      </c>
      <c r="G102" s="15">
        <f>IF(AND(ISNUMBER($T102),$T102&lt;&gt;""),IF(INDEX(LubesCalc!$Y$3:$Y$122,$T102)="","—",INDEX(LubesCalc!$Y$3:$Y$122,$T102)),"")</f>
        <v/>
      </c>
      <c r="H102" s="15">
        <f>IF(AND(ISNUMBER($T102),$T102&lt;&gt;""),IF(INDEX(LubesCalc!$Z$3:$Z$122,$T102)="","—",INDEX(LubesCalc!$Z$3:$Z$122,$T102)),"")</f>
        <v/>
      </c>
      <c r="I102" s="15">
        <f>IF(AND(ISNUMBER($T102),$T102&lt;&gt;""),IF(INDEX(LubesCalc!$AA$3:$AA$122,$T102)="","—",INDEX(LubesCalc!$AA$3:$AA$122,$T102)),"")</f>
        <v/>
      </c>
      <c r="J102" s="15">
        <f>IF(AND(ISNUMBER($T102),$T102&lt;&gt;""),IF(INDEX(LubesCalc!$AB$3:$AB$122,$T102)="","—",INDEX(LubesCalc!$AB$3:$AB$122,$T102)),"")</f>
        <v/>
      </c>
      <c r="K102" s="15">
        <f>IF(AND(ISNUMBER($T102),$T102&lt;&gt;""),IF(INDEX(LubesCalc!$AC$3:$AC$122,$T102)="","—",INDEX(LubesCalc!$AC$3:$AC$122,$T102)),"")</f>
        <v/>
      </c>
      <c r="L102" s="15">
        <f>IF(AND(ISNUMBER($T102),$T102&lt;&gt;""),IF(INDEX(LubesCalc!$AD$3:$AD$122,$T102)="","—",INDEX(LubesCalc!$AD$3:$AD$122,$T102)),"")</f>
        <v/>
      </c>
      <c r="M102" s="15">
        <f>IF(AND(ISNUMBER($T102),$T102&lt;&gt;""),IF(INDEX(LubesCalc!$AE$3:$AE$122,$T102)="","—",INDEX(LubesCalc!$AE$3:$AE$122,$T102)),"")</f>
        <v/>
      </c>
      <c r="N102" s="15">
        <f>IF(AND(ISNUMBER($T102),$T102&lt;&gt;""),IF(INDEX(LubesCalc!$AF$3:$AF$122,$T102)="","—",INDEX(LubesCalc!$AF$3:$AF$122,$T102)),"")</f>
        <v/>
      </c>
      <c r="O102" s="15">
        <f>IF(AND(ISNUMBER($T102),$T102&lt;&gt;""),IF(INDEX(LubesCalc!$AG$3:$AG$122,$T102)="","—",INDEX(LubesCalc!$AG$3:$AG$122,$T102)),"")</f>
        <v/>
      </c>
      <c r="P102" s="16">
        <f>IF(AND(ISNUMBER($T102),$T102&lt;&gt;""),IF(INDEX(LubesCalc!$AJ$3:$AJ$122,$T102)="","—",INDEX(LubesCalc!$AJ$3:$AJ$122,$T102)),"")</f>
        <v/>
      </c>
      <c r="Q102" s="16">
        <f>IF(AND(ISNUMBER($T102),$T102&lt;&gt;""),IF(INDEX(LubesCalc!$AK$3:$AK$122,$T102)="","—",INDEX(LubesCalc!$AK$3:$AK$122,$T102)),"")</f>
        <v/>
      </c>
      <c r="R102" s="15">
        <f>IF(AND(ISNUMBER($T102),$T102&lt;&gt;""),IF(INDEX(LubesCalc!$AL$3:$AL$122,$T102)="","—",INDEX(LubesCalc!$AL$3:$AL$122,$T102)),"")</f>
        <v/>
      </c>
      <c r="T102">
        <f>IFERROR(MATCH(98,LubesCalc!$AN$3:$AN$122,0),"")</f>
        <v/>
      </c>
    </row>
    <row r="103">
      <c r="A103" s="19">
        <f>IF(AND(ISNUMBER($T103),$T103&lt;&gt;""),INDEX(LubesCalc!$S$3:$S$122,$T103),"")</f>
        <v/>
      </c>
      <c r="B103" s="20">
        <f>IF(AND(ISNUMBER($T103),$T103&lt;&gt;""),IF(INDEX(LubesCalc!$T$3:$T$122,$T103)="","—",INDEX(LubesCalc!$T$3:$T$122,$T103)),"")</f>
        <v/>
      </c>
      <c r="C103" s="20">
        <f>IF(AND(ISNUMBER($T103),$T103&lt;&gt;""),IF(INDEX(LubesCalc!$U$3:$U$122,$T103)="","—",INDEX(LubesCalc!$U$3:$U$122,$T103)),"")</f>
        <v/>
      </c>
      <c r="D103" s="20">
        <f>IF(AND(ISNUMBER($T103),$T103&lt;&gt;""),IF(INDEX(LubesCalc!$V$3:$V$122,$T103)="","—",INDEX(LubesCalc!$V$3:$V$122,$T103)),"")</f>
        <v/>
      </c>
      <c r="E103" s="20">
        <f>IF(AND(ISNUMBER($T103),$T103&lt;&gt;""),IF(INDEX(LubesCalc!$W$3:$W$122,$T103)="","—",INDEX(LubesCalc!$W$3:$W$122,$T103)),"")</f>
        <v/>
      </c>
      <c r="F103" s="20">
        <f>IF(AND(ISNUMBER($T103),$T103&lt;&gt;""),IF(INDEX(LubesCalc!$X$3:$X$122,$T103)="","—",INDEX(LubesCalc!$X$3:$X$122,$T103)),"")</f>
        <v/>
      </c>
      <c r="G103" s="20">
        <f>IF(AND(ISNUMBER($T103),$T103&lt;&gt;""),IF(INDEX(LubesCalc!$Y$3:$Y$122,$T103)="","—",INDEX(LubesCalc!$Y$3:$Y$122,$T103)),"")</f>
        <v/>
      </c>
      <c r="H103" s="20">
        <f>IF(AND(ISNUMBER($T103),$T103&lt;&gt;""),IF(INDEX(LubesCalc!$Z$3:$Z$122,$T103)="","—",INDEX(LubesCalc!$Z$3:$Z$122,$T103)),"")</f>
        <v/>
      </c>
      <c r="I103" s="20">
        <f>IF(AND(ISNUMBER($T103),$T103&lt;&gt;""),IF(INDEX(LubesCalc!$AA$3:$AA$122,$T103)="","—",INDEX(LubesCalc!$AA$3:$AA$122,$T103)),"")</f>
        <v/>
      </c>
      <c r="J103" s="20">
        <f>IF(AND(ISNUMBER($T103),$T103&lt;&gt;""),IF(INDEX(LubesCalc!$AB$3:$AB$122,$T103)="","—",INDEX(LubesCalc!$AB$3:$AB$122,$T103)),"")</f>
        <v/>
      </c>
      <c r="K103" s="20">
        <f>IF(AND(ISNUMBER($T103),$T103&lt;&gt;""),IF(INDEX(LubesCalc!$AC$3:$AC$122,$T103)="","—",INDEX(LubesCalc!$AC$3:$AC$122,$T103)),"")</f>
        <v/>
      </c>
      <c r="L103" s="20">
        <f>IF(AND(ISNUMBER($T103),$T103&lt;&gt;""),IF(INDEX(LubesCalc!$AD$3:$AD$122,$T103)="","—",INDEX(LubesCalc!$AD$3:$AD$122,$T103)),"")</f>
        <v/>
      </c>
      <c r="M103" s="20">
        <f>IF(AND(ISNUMBER($T103),$T103&lt;&gt;""),IF(INDEX(LubesCalc!$AE$3:$AE$122,$T103)="","—",INDEX(LubesCalc!$AE$3:$AE$122,$T103)),"")</f>
        <v/>
      </c>
      <c r="N103" s="20">
        <f>IF(AND(ISNUMBER($T103),$T103&lt;&gt;""),IF(INDEX(LubesCalc!$AF$3:$AF$122,$T103)="","—",INDEX(LubesCalc!$AF$3:$AF$122,$T103)),"")</f>
        <v/>
      </c>
      <c r="O103" s="20">
        <f>IF(AND(ISNUMBER($T103),$T103&lt;&gt;""),IF(INDEX(LubesCalc!$AG$3:$AG$122,$T103)="","—",INDEX(LubesCalc!$AG$3:$AG$122,$T103)),"")</f>
        <v/>
      </c>
      <c r="P103" s="21">
        <f>IF(AND(ISNUMBER($T103),$T103&lt;&gt;""),IF(INDEX(LubesCalc!$AJ$3:$AJ$122,$T103)="","—",INDEX(LubesCalc!$AJ$3:$AJ$122,$T103)),"")</f>
        <v/>
      </c>
      <c r="Q103" s="21">
        <f>IF(AND(ISNUMBER($T103),$T103&lt;&gt;""),IF(INDEX(LubesCalc!$AK$3:$AK$122,$T103)="","—",INDEX(LubesCalc!$AK$3:$AK$122,$T103)),"")</f>
        <v/>
      </c>
      <c r="R103" s="20">
        <f>IF(AND(ISNUMBER($T103),$T103&lt;&gt;""),IF(INDEX(LubesCalc!$AL$3:$AL$122,$T103)="","—",INDEX(LubesCalc!$AL$3:$AL$122,$T103)),"")</f>
        <v/>
      </c>
      <c r="T103">
        <f>IFERROR(MATCH(99,LubesCalc!$AN$3:$AN$122,0),"")</f>
        <v/>
      </c>
    </row>
    <row r="104">
      <c r="A104" s="14">
        <f>IF(AND(ISNUMBER($T104),$T104&lt;&gt;""),INDEX(LubesCalc!$S$3:$S$122,$T104),"")</f>
        <v/>
      </c>
      <c r="B104" s="15">
        <f>IF(AND(ISNUMBER($T104),$T104&lt;&gt;""),IF(INDEX(LubesCalc!$T$3:$T$122,$T104)="","—",INDEX(LubesCalc!$T$3:$T$122,$T104)),"")</f>
        <v/>
      </c>
      <c r="C104" s="15">
        <f>IF(AND(ISNUMBER($T104),$T104&lt;&gt;""),IF(INDEX(LubesCalc!$U$3:$U$122,$T104)="","—",INDEX(LubesCalc!$U$3:$U$122,$T104)),"")</f>
        <v/>
      </c>
      <c r="D104" s="15">
        <f>IF(AND(ISNUMBER($T104),$T104&lt;&gt;""),IF(INDEX(LubesCalc!$V$3:$V$122,$T104)="","—",INDEX(LubesCalc!$V$3:$V$122,$T104)),"")</f>
        <v/>
      </c>
      <c r="E104" s="15">
        <f>IF(AND(ISNUMBER($T104),$T104&lt;&gt;""),IF(INDEX(LubesCalc!$W$3:$W$122,$T104)="","—",INDEX(LubesCalc!$W$3:$W$122,$T104)),"")</f>
        <v/>
      </c>
      <c r="F104" s="15">
        <f>IF(AND(ISNUMBER($T104),$T104&lt;&gt;""),IF(INDEX(LubesCalc!$X$3:$X$122,$T104)="","—",INDEX(LubesCalc!$X$3:$X$122,$T104)),"")</f>
        <v/>
      </c>
      <c r="G104" s="15">
        <f>IF(AND(ISNUMBER($T104),$T104&lt;&gt;""),IF(INDEX(LubesCalc!$Y$3:$Y$122,$T104)="","—",INDEX(LubesCalc!$Y$3:$Y$122,$T104)),"")</f>
        <v/>
      </c>
      <c r="H104" s="15">
        <f>IF(AND(ISNUMBER($T104),$T104&lt;&gt;""),IF(INDEX(LubesCalc!$Z$3:$Z$122,$T104)="","—",INDEX(LubesCalc!$Z$3:$Z$122,$T104)),"")</f>
        <v/>
      </c>
      <c r="I104" s="15">
        <f>IF(AND(ISNUMBER($T104),$T104&lt;&gt;""),IF(INDEX(LubesCalc!$AA$3:$AA$122,$T104)="","—",INDEX(LubesCalc!$AA$3:$AA$122,$T104)),"")</f>
        <v/>
      </c>
      <c r="J104" s="15">
        <f>IF(AND(ISNUMBER($T104),$T104&lt;&gt;""),IF(INDEX(LubesCalc!$AB$3:$AB$122,$T104)="","—",INDEX(LubesCalc!$AB$3:$AB$122,$T104)),"")</f>
        <v/>
      </c>
      <c r="K104" s="15">
        <f>IF(AND(ISNUMBER($T104),$T104&lt;&gt;""),IF(INDEX(LubesCalc!$AC$3:$AC$122,$T104)="","—",INDEX(LubesCalc!$AC$3:$AC$122,$T104)),"")</f>
        <v/>
      </c>
      <c r="L104" s="15">
        <f>IF(AND(ISNUMBER($T104),$T104&lt;&gt;""),IF(INDEX(LubesCalc!$AD$3:$AD$122,$T104)="","—",INDEX(LubesCalc!$AD$3:$AD$122,$T104)),"")</f>
        <v/>
      </c>
      <c r="M104" s="15">
        <f>IF(AND(ISNUMBER($T104),$T104&lt;&gt;""),IF(INDEX(LubesCalc!$AE$3:$AE$122,$T104)="","—",INDEX(LubesCalc!$AE$3:$AE$122,$T104)),"")</f>
        <v/>
      </c>
      <c r="N104" s="15">
        <f>IF(AND(ISNUMBER($T104),$T104&lt;&gt;""),IF(INDEX(LubesCalc!$AF$3:$AF$122,$T104)="","—",INDEX(LubesCalc!$AF$3:$AF$122,$T104)),"")</f>
        <v/>
      </c>
      <c r="O104" s="15">
        <f>IF(AND(ISNUMBER($T104),$T104&lt;&gt;""),IF(INDEX(LubesCalc!$AG$3:$AG$122,$T104)="","—",INDEX(LubesCalc!$AG$3:$AG$122,$T104)),"")</f>
        <v/>
      </c>
      <c r="P104" s="16">
        <f>IF(AND(ISNUMBER($T104),$T104&lt;&gt;""),IF(INDEX(LubesCalc!$AJ$3:$AJ$122,$T104)="","—",INDEX(LubesCalc!$AJ$3:$AJ$122,$T104)),"")</f>
        <v/>
      </c>
      <c r="Q104" s="16">
        <f>IF(AND(ISNUMBER($T104),$T104&lt;&gt;""),IF(INDEX(LubesCalc!$AK$3:$AK$122,$T104)="","—",INDEX(LubesCalc!$AK$3:$AK$122,$T104)),"")</f>
        <v/>
      </c>
      <c r="R104" s="15">
        <f>IF(AND(ISNUMBER($T104),$T104&lt;&gt;""),IF(INDEX(LubesCalc!$AL$3:$AL$122,$T104)="","—",INDEX(LubesCalc!$AL$3:$AL$122,$T104)),"")</f>
        <v/>
      </c>
      <c r="T104">
        <f>IFERROR(MATCH(100,LubesCalc!$AN$3:$AN$122,0),"")</f>
        <v/>
      </c>
    </row>
    <row r="105">
      <c r="A105" s="19">
        <f>IF(AND(ISNUMBER($T105),$T105&lt;&gt;""),INDEX(LubesCalc!$S$3:$S$122,$T105),"")</f>
        <v/>
      </c>
      <c r="B105" s="20">
        <f>IF(AND(ISNUMBER($T105),$T105&lt;&gt;""),IF(INDEX(LubesCalc!$T$3:$T$122,$T105)="","—",INDEX(LubesCalc!$T$3:$T$122,$T105)),"")</f>
        <v/>
      </c>
      <c r="C105" s="20">
        <f>IF(AND(ISNUMBER($T105),$T105&lt;&gt;""),IF(INDEX(LubesCalc!$U$3:$U$122,$T105)="","—",INDEX(LubesCalc!$U$3:$U$122,$T105)),"")</f>
        <v/>
      </c>
      <c r="D105" s="20">
        <f>IF(AND(ISNUMBER($T105),$T105&lt;&gt;""),IF(INDEX(LubesCalc!$V$3:$V$122,$T105)="","—",INDEX(LubesCalc!$V$3:$V$122,$T105)),"")</f>
        <v/>
      </c>
      <c r="E105" s="20">
        <f>IF(AND(ISNUMBER($T105),$T105&lt;&gt;""),IF(INDEX(LubesCalc!$W$3:$W$122,$T105)="","—",INDEX(LubesCalc!$W$3:$W$122,$T105)),"")</f>
        <v/>
      </c>
      <c r="F105" s="20">
        <f>IF(AND(ISNUMBER($T105),$T105&lt;&gt;""),IF(INDEX(LubesCalc!$X$3:$X$122,$T105)="","—",INDEX(LubesCalc!$X$3:$X$122,$T105)),"")</f>
        <v/>
      </c>
      <c r="G105" s="20">
        <f>IF(AND(ISNUMBER($T105),$T105&lt;&gt;""),IF(INDEX(LubesCalc!$Y$3:$Y$122,$T105)="","—",INDEX(LubesCalc!$Y$3:$Y$122,$T105)),"")</f>
        <v/>
      </c>
      <c r="H105" s="20">
        <f>IF(AND(ISNUMBER($T105),$T105&lt;&gt;""),IF(INDEX(LubesCalc!$Z$3:$Z$122,$T105)="","—",INDEX(LubesCalc!$Z$3:$Z$122,$T105)),"")</f>
        <v/>
      </c>
      <c r="I105" s="20">
        <f>IF(AND(ISNUMBER($T105),$T105&lt;&gt;""),IF(INDEX(LubesCalc!$AA$3:$AA$122,$T105)="","—",INDEX(LubesCalc!$AA$3:$AA$122,$T105)),"")</f>
        <v/>
      </c>
      <c r="J105" s="20">
        <f>IF(AND(ISNUMBER($T105),$T105&lt;&gt;""),IF(INDEX(LubesCalc!$AB$3:$AB$122,$T105)="","—",INDEX(LubesCalc!$AB$3:$AB$122,$T105)),"")</f>
        <v/>
      </c>
      <c r="K105" s="20">
        <f>IF(AND(ISNUMBER($T105),$T105&lt;&gt;""),IF(INDEX(LubesCalc!$AC$3:$AC$122,$T105)="","—",INDEX(LubesCalc!$AC$3:$AC$122,$T105)),"")</f>
        <v/>
      </c>
      <c r="L105" s="20">
        <f>IF(AND(ISNUMBER($T105),$T105&lt;&gt;""),IF(INDEX(LubesCalc!$AD$3:$AD$122,$T105)="","—",INDEX(LubesCalc!$AD$3:$AD$122,$T105)),"")</f>
        <v/>
      </c>
      <c r="M105" s="20">
        <f>IF(AND(ISNUMBER($T105),$T105&lt;&gt;""),IF(INDEX(LubesCalc!$AE$3:$AE$122,$T105)="","—",INDEX(LubesCalc!$AE$3:$AE$122,$T105)),"")</f>
        <v/>
      </c>
      <c r="N105" s="20">
        <f>IF(AND(ISNUMBER($T105),$T105&lt;&gt;""),IF(INDEX(LubesCalc!$AF$3:$AF$122,$T105)="","—",INDEX(LubesCalc!$AF$3:$AF$122,$T105)),"")</f>
        <v/>
      </c>
      <c r="O105" s="20">
        <f>IF(AND(ISNUMBER($T105),$T105&lt;&gt;""),IF(INDEX(LubesCalc!$AG$3:$AG$122,$T105)="","—",INDEX(LubesCalc!$AG$3:$AG$122,$T105)),"")</f>
        <v/>
      </c>
      <c r="P105" s="21">
        <f>IF(AND(ISNUMBER($T105),$T105&lt;&gt;""),IF(INDEX(LubesCalc!$AJ$3:$AJ$122,$T105)="","—",INDEX(LubesCalc!$AJ$3:$AJ$122,$T105)),"")</f>
        <v/>
      </c>
      <c r="Q105" s="21">
        <f>IF(AND(ISNUMBER($T105),$T105&lt;&gt;""),IF(INDEX(LubesCalc!$AK$3:$AK$122,$T105)="","—",INDEX(LubesCalc!$AK$3:$AK$122,$T105)),"")</f>
        <v/>
      </c>
      <c r="R105" s="20">
        <f>IF(AND(ISNUMBER($T105),$T105&lt;&gt;""),IF(INDEX(LubesCalc!$AL$3:$AL$122,$T105)="","—",INDEX(LubesCalc!$AL$3:$AL$122,$T105)),"")</f>
        <v/>
      </c>
      <c r="T105">
        <f>IFERROR(MATCH(101,LubesCalc!$AN$3:$AN$122,0),"")</f>
        <v/>
      </c>
    </row>
    <row r="106">
      <c r="A106" s="14">
        <f>IF(AND(ISNUMBER($T106),$T106&lt;&gt;""),INDEX(LubesCalc!$S$3:$S$122,$T106),"")</f>
        <v/>
      </c>
      <c r="B106" s="15">
        <f>IF(AND(ISNUMBER($T106),$T106&lt;&gt;""),IF(INDEX(LubesCalc!$T$3:$T$122,$T106)="","—",INDEX(LubesCalc!$T$3:$T$122,$T106)),"")</f>
        <v/>
      </c>
      <c r="C106" s="15">
        <f>IF(AND(ISNUMBER($T106),$T106&lt;&gt;""),IF(INDEX(LubesCalc!$U$3:$U$122,$T106)="","—",INDEX(LubesCalc!$U$3:$U$122,$T106)),"")</f>
        <v/>
      </c>
      <c r="D106" s="15">
        <f>IF(AND(ISNUMBER($T106),$T106&lt;&gt;""),IF(INDEX(LubesCalc!$V$3:$V$122,$T106)="","—",INDEX(LubesCalc!$V$3:$V$122,$T106)),"")</f>
        <v/>
      </c>
      <c r="E106" s="15">
        <f>IF(AND(ISNUMBER($T106),$T106&lt;&gt;""),IF(INDEX(LubesCalc!$W$3:$W$122,$T106)="","—",INDEX(LubesCalc!$W$3:$W$122,$T106)),"")</f>
        <v/>
      </c>
      <c r="F106" s="15">
        <f>IF(AND(ISNUMBER($T106),$T106&lt;&gt;""),IF(INDEX(LubesCalc!$X$3:$X$122,$T106)="","—",INDEX(LubesCalc!$X$3:$X$122,$T106)),"")</f>
        <v/>
      </c>
      <c r="G106" s="15">
        <f>IF(AND(ISNUMBER($T106),$T106&lt;&gt;""),IF(INDEX(LubesCalc!$Y$3:$Y$122,$T106)="","—",INDEX(LubesCalc!$Y$3:$Y$122,$T106)),"")</f>
        <v/>
      </c>
      <c r="H106" s="15">
        <f>IF(AND(ISNUMBER($T106),$T106&lt;&gt;""),IF(INDEX(LubesCalc!$Z$3:$Z$122,$T106)="","—",INDEX(LubesCalc!$Z$3:$Z$122,$T106)),"")</f>
        <v/>
      </c>
      <c r="I106" s="15">
        <f>IF(AND(ISNUMBER($T106),$T106&lt;&gt;""),IF(INDEX(LubesCalc!$AA$3:$AA$122,$T106)="","—",INDEX(LubesCalc!$AA$3:$AA$122,$T106)),"")</f>
        <v/>
      </c>
      <c r="J106" s="15">
        <f>IF(AND(ISNUMBER($T106),$T106&lt;&gt;""),IF(INDEX(LubesCalc!$AB$3:$AB$122,$T106)="","—",INDEX(LubesCalc!$AB$3:$AB$122,$T106)),"")</f>
        <v/>
      </c>
      <c r="K106" s="15">
        <f>IF(AND(ISNUMBER($T106),$T106&lt;&gt;""),IF(INDEX(LubesCalc!$AC$3:$AC$122,$T106)="","—",INDEX(LubesCalc!$AC$3:$AC$122,$T106)),"")</f>
        <v/>
      </c>
      <c r="L106" s="15">
        <f>IF(AND(ISNUMBER($T106),$T106&lt;&gt;""),IF(INDEX(LubesCalc!$AD$3:$AD$122,$T106)="","—",INDEX(LubesCalc!$AD$3:$AD$122,$T106)),"")</f>
        <v/>
      </c>
      <c r="M106" s="15">
        <f>IF(AND(ISNUMBER($T106),$T106&lt;&gt;""),IF(INDEX(LubesCalc!$AE$3:$AE$122,$T106)="","—",INDEX(LubesCalc!$AE$3:$AE$122,$T106)),"")</f>
        <v/>
      </c>
      <c r="N106" s="15">
        <f>IF(AND(ISNUMBER($T106),$T106&lt;&gt;""),IF(INDEX(LubesCalc!$AF$3:$AF$122,$T106)="","—",INDEX(LubesCalc!$AF$3:$AF$122,$T106)),"")</f>
        <v/>
      </c>
      <c r="O106" s="15">
        <f>IF(AND(ISNUMBER($T106),$T106&lt;&gt;""),IF(INDEX(LubesCalc!$AG$3:$AG$122,$T106)="","—",INDEX(LubesCalc!$AG$3:$AG$122,$T106)),"")</f>
        <v/>
      </c>
      <c r="P106" s="16">
        <f>IF(AND(ISNUMBER($T106),$T106&lt;&gt;""),IF(INDEX(LubesCalc!$AJ$3:$AJ$122,$T106)="","—",INDEX(LubesCalc!$AJ$3:$AJ$122,$T106)),"")</f>
        <v/>
      </c>
      <c r="Q106" s="16">
        <f>IF(AND(ISNUMBER($T106),$T106&lt;&gt;""),IF(INDEX(LubesCalc!$AK$3:$AK$122,$T106)="","—",INDEX(LubesCalc!$AK$3:$AK$122,$T106)),"")</f>
        <v/>
      </c>
      <c r="R106" s="15">
        <f>IF(AND(ISNUMBER($T106),$T106&lt;&gt;""),IF(INDEX(LubesCalc!$AL$3:$AL$122,$T106)="","—",INDEX(LubesCalc!$AL$3:$AL$122,$T106)),"")</f>
        <v/>
      </c>
      <c r="T106">
        <f>IFERROR(MATCH(102,LubesCalc!$AN$3:$AN$122,0),"")</f>
        <v/>
      </c>
    </row>
    <row r="107">
      <c r="A107" s="19">
        <f>IF(AND(ISNUMBER($T107),$T107&lt;&gt;""),INDEX(LubesCalc!$S$3:$S$122,$T107),"")</f>
        <v/>
      </c>
      <c r="B107" s="20">
        <f>IF(AND(ISNUMBER($T107),$T107&lt;&gt;""),IF(INDEX(LubesCalc!$T$3:$T$122,$T107)="","—",INDEX(LubesCalc!$T$3:$T$122,$T107)),"")</f>
        <v/>
      </c>
      <c r="C107" s="20">
        <f>IF(AND(ISNUMBER($T107),$T107&lt;&gt;""),IF(INDEX(LubesCalc!$U$3:$U$122,$T107)="","—",INDEX(LubesCalc!$U$3:$U$122,$T107)),"")</f>
        <v/>
      </c>
      <c r="D107" s="20">
        <f>IF(AND(ISNUMBER($T107),$T107&lt;&gt;""),IF(INDEX(LubesCalc!$V$3:$V$122,$T107)="","—",INDEX(LubesCalc!$V$3:$V$122,$T107)),"")</f>
        <v/>
      </c>
      <c r="E107" s="20">
        <f>IF(AND(ISNUMBER($T107),$T107&lt;&gt;""),IF(INDEX(LubesCalc!$W$3:$W$122,$T107)="","—",INDEX(LubesCalc!$W$3:$W$122,$T107)),"")</f>
        <v/>
      </c>
      <c r="F107" s="20">
        <f>IF(AND(ISNUMBER($T107),$T107&lt;&gt;""),IF(INDEX(LubesCalc!$X$3:$X$122,$T107)="","—",INDEX(LubesCalc!$X$3:$X$122,$T107)),"")</f>
        <v/>
      </c>
      <c r="G107" s="20">
        <f>IF(AND(ISNUMBER($T107),$T107&lt;&gt;""),IF(INDEX(LubesCalc!$Y$3:$Y$122,$T107)="","—",INDEX(LubesCalc!$Y$3:$Y$122,$T107)),"")</f>
        <v/>
      </c>
      <c r="H107" s="20">
        <f>IF(AND(ISNUMBER($T107),$T107&lt;&gt;""),IF(INDEX(LubesCalc!$Z$3:$Z$122,$T107)="","—",INDEX(LubesCalc!$Z$3:$Z$122,$T107)),"")</f>
        <v/>
      </c>
      <c r="I107" s="20">
        <f>IF(AND(ISNUMBER($T107),$T107&lt;&gt;""),IF(INDEX(LubesCalc!$AA$3:$AA$122,$T107)="","—",INDEX(LubesCalc!$AA$3:$AA$122,$T107)),"")</f>
        <v/>
      </c>
      <c r="J107" s="20">
        <f>IF(AND(ISNUMBER($T107),$T107&lt;&gt;""),IF(INDEX(LubesCalc!$AB$3:$AB$122,$T107)="","—",INDEX(LubesCalc!$AB$3:$AB$122,$T107)),"")</f>
        <v/>
      </c>
      <c r="K107" s="20">
        <f>IF(AND(ISNUMBER($T107),$T107&lt;&gt;""),IF(INDEX(LubesCalc!$AC$3:$AC$122,$T107)="","—",INDEX(LubesCalc!$AC$3:$AC$122,$T107)),"")</f>
        <v/>
      </c>
      <c r="L107" s="20">
        <f>IF(AND(ISNUMBER($T107),$T107&lt;&gt;""),IF(INDEX(LubesCalc!$AD$3:$AD$122,$T107)="","—",INDEX(LubesCalc!$AD$3:$AD$122,$T107)),"")</f>
        <v/>
      </c>
      <c r="M107" s="20">
        <f>IF(AND(ISNUMBER($T107),$T107&lt;&gt;""),IF(INDEX(LubesCalc!$AE$3:$AE$122,$T107)="","—",INDEX(LubesCalc!$AE$3:$AE$122,$T107)),"")</f>
        <v/>
      </c>
      <c r="N107" s="20">
        <f>IF(AND(ISNUMBER($T107),$T107&lt;&gt;""),IF(INDEX(LubesCalc!$AF$3:$AF$122,$T107)="","—",INDEX(LubesCalc!$AF$3:$AF$122,$T107)),"")</f>
        <v/>
      </c>
      <c r="O107" s="20">
        <f>IF(AND(ISNUMBER($T107),$T107&lt;&gt;""),IF(INDEX(LubesCalc!$AG$3:$AG$122,$T107)="","—",INDEX(LubesCalc!$AG$3:$AG$122,$T107)),"")</f>
        <v/>
      </c>
      <c r="P107" s="21">
        <f>IF(AND(ISNUMBER($T107),$T107&lt;&gt;""),IF(INDEX(LubesCalc!$AJ$3:$AJ$122,$T107)="","—",INDEX(LubesCalc!$AJ$3:$AJ$122,$T107)),"")</f>
        <v/>
      </c>
      <c r="Q107" s="21">
        <f>IF(AND(ISNUMBER($T107),$T107&lt;&gt;""),IF(INDEX(LubesCalc!$AK$3:$AK$122,$T107)="","—",INDEX(LubesCalc!$AK$3:$AK$122,$T107)),"")</f>
        <v/>
      </c>
      <c r="R107" s="20">
        <f>IF(AND(ISNUMBER($T107),$T107&lt;&gt;""),IF(INDEX(LubesCalc!$AL$3:$AL$122,$T107)="","—",INDEX(LubesCalc!$AL$3:$AL$122,$T107)),"")</f>
        <v/>
      </c>
      <c r="T107">
        <f>IFERROR(MATCH(103,LubesCalc!$AN$3:$AN$122,0),"")</f>
        <v/>
      </c>
    </row>
    <row r="108">
      <c r="A108" s="14">
        <f>IF(AND(ISNUMBER($T108),$T108&lt;&gt;""),INDEX(LubesCalc!$S$3:$S$122,$T108),"")</f>
        <v/>
      </c>
      <c r="B108" s="15">
        <f>IF(AND(ISNUMBER($T108),$T108&lt;&gt;""),IF(INDEX(LubesCalc!$T$3:$T$122,$T108)="","—",INDEX(LubesCalc!$T$3:$T$122,$T108)),"")</f>
        <v/>
      </c>
      <c r="C108" s="15">
        <f>IF(AND(ISNUMBER($T108),$T108&lt;&gt;""),IF(INDEX(LubesCalc!$U$3:$U$122,$T108)="","—",INDEX(LubesCalc!$U$3:$U$122,$T108)),"")</f>
        <v/>
      </c>
      <c r="D108" s="15">
        <f>IF(AND(ISNUMBER($T108),$T108&lt;&gt;""),IF(INDEX(LubesCalc!$V$3:$V$122,$T108)="","—",INDEX(LubesCalc!$V$3:$V$122,$T108)),"")</f>
        <v/>
      </c>
      <c r="E108" s="15">
        <f>IF(AND(ISNUMBER($T108),$T108&lt;&gt;""),IF(INDEX(LubesCalc!$W$3:$W$122,$T108)="","—",INDEX(LubesCalc!$W$3:$W$122,$T108)),"")</f>
        <v/>
      </c>
      <c r="F108" s="15">
        <f>IF(AND(ISNUMBER($T108),$T108&lt;&gt;""),IF(INDEX(LubesCalc!$X$3:$X$122,$T108)="","—",INDEX(LubesCalc!$X$3:$X$122,$T108)),"")</f>
        <v/>
      </c>
      <c r="G108" s="15">
        <f>IF(AND(ISNUMBER($T108),$T108&lt;&gt;""),IF(INDEX(LubesCalc!$Y$3:$Y$122,$T108)="","—",INDEX(LubesCalc!$Y$3:$Y$122,$T108)),"")</f>
        <v/>
      </c>
      <c r="H108" s="15">
        <f>IF(AND(ISNUMBER($T108),$T108&lt;&gt;""),IF(INDEX(LubesCalc!$Z$3:$Z$122,$T108)="","—",INDEX(LubesCalc!$Z$3:$Z$122,$T108)),"")</f>
        <v/>
      </c>
      <c r="I108" s="15">
        <f>IF(AND(ISNUMBER($T108),$T108&lt;&gt;""),IF(INDEX(LubesCalc!$AA$3:$AA$122,$T108)="","—",INDEX(LubesCalc!$AA$3:$AA$122,$T108)),"")</f>
        <v/>
      </c>
      <c r="J108" s="15">
        <f>IF(AND(ISNUMBER($T108),$T108&lt;&gt;""),IF(INDEX(LubesCalc!$AB$3:$AB$122,$T108)="","—",INDEX(LubesCalc!$AB$3:$AB$122,$T108)),"")</f>
        <v/>
      </c>
      <c r="K108" s="15">
        <f>IF(AND(ISNUMBER($T108),$T108&lt;&gt;""),IF(INDEX(LubesCalc!$AC$3:$AC$122,$T108)="","—",INDEX(LubesCalc!$AC$3:$AC$122,$T108)),"")</f>
        <v/>
      </c>
      <c r="L108" s="15">
        <f>IF(AND(ISNUMBER($T108),$T108&lt;&gt;""),IF(INDEX(LubesCalc!$AD$3:$AD$122,$T108)="","—",INDEX(LubesCalc!$AD$3:$AD$122,$T108)),"")</f>
        <v/>
      </c>
      <c r="M108" s="15">
        <f>IF(AND(ISNUMBER($T108),$T108&lt;&gt;""),IF(INDEX(LubesCalc!$AE$3:$AE$122,$T108)="","—",INDEX(LubesCalc!$AE$3:$AE$122,$T108)),"")</f>
        <v/>
      </c>
      <c r="N108" s="15">
        <f>IF(AND(ISNUMBER($T108),$T108&lt;&gt;""),IF(INDEX(LubesCalc!$AF$3:$AF$122,$T108)="","—",INDEX(LubesCalc!$AF$3:$AF$122,$T108)),"")</f>
        <v/>
      </c>
      <c r="O108" s="15">
        <f>IF(AND(ISNUMBER($T108),$T108&lt;&gt;""),IF(INDEX(LubesCalc!$AG$3:$AG$122,$T108)="","—",INDEX(LubesCalc!$AG$3:$AG$122,$T108)),"")</f>
        <v/>
      </c>
      <c r="P108" s="16">
        <f>IF(AND(ISNUMBER($T108),$T108&lt;&gt;""),IF(INDEX(LubesCalc!$AJ$3:$AJ$122,$T108)="","—",INDEX(LubesCalc!$AJ$3:$AJ$122,$T108)),"")</f>
        <v/>
      </c>
      <c r="Q108" s="16">
        <f>IF(AND(ISNUMBER($T108),$T108&lt;&gt;""),IF(INDEX(LubesCalc!$AK$3:$AK$122,$T108)="","—",INDEX(LubesCalc!$AK$3:$AK$122,$T108)),"")</f>
        <v/>
      </c>
      <c r="R108" s="15">
        <f>IF(AND(ISNUMBER($T108),$T108&lt;&gt;""),IF(INDEX(LubesCalc!$AL$3:$AL$122,$T108)="","—",INDEX(LubesCalc!$AL$3:$AL$122,$T108)),"")</f>
        <v/>
      </c>
      <c r="T108">
        <f>IFERROR(MATCH(104,LubesCalc!$AN$3:$AN$122,0),"")</f>
        <v/>
      </c>
    </row>
    <row r="109">
      <c r="A109" s="19">
        <f>IF(AND(ISNUMBER($T109),$T109&lt;&gt;""),INDEX(LubesCalc!$S$3:$S$122,$T109),"")</f>
        <v/>
      </c>
      <c r="B109" s="20">
        <f>IF(AND(ISNUMBER($T109),$T109&lt;&gt;""),IF(INDEX(LubesCalc!$T$3:$T$122,$T109)="","—",INDEX(LubesCalc!$T$3:$T$122,$T109)),"")</f>
        <v/>
      </c>
      <c r="C109" s="20">
        <f>IF(AND(ISNUMBER($T109),$T109&lt;&gt;""),IF(INDEX(LubesCalc!$U$3:$U$122,$T109)="","—",INDEX(LubesCalc!$U$3:$U$122,$T109)),"")</f>
        <v/>
      </c>
      <c r="D109" s="20">
        <f>IF(AND(ISNUMBER($T109),$T109&lt;&gt;""),IF(INDEX(LubesCalc!$V$3:$V$122,$T109)="","—",INDEX(LubesCalc!$V$3:$V$122,$T109)),"")</f>
        <v/>
      </c>
      <c r="E109" s="20">
        <f>IF(AND(ISNUMBER($T109),$T109&lt;&gt;""),IF(INDEX(LubesCalc!$W$3:$W$122,$T109)="","—",INDEX(LubesCalc!$W$3:$W$122,$T109)),"")</f>
        <v/>
      </c>
      <c r="F109" s="20">
        <f>IF(AND(ISNUMBER($T109),$T109&lt;&gt;""),IF(INDEX(LubesCalc!$X$3:$X$122,$T109)="","—",INDEX(LubesCalc!$X$3:$X$122,$T109)),"")</f>
        <v/>
      </c>
      <c r="G109" s="20">
        <f>IF(AND(ISNUMBER($T109),$T109&lt;&gt;""),IF(INDEX(LubesCalc!$Y$3:$Y$122,$T109)="","—",INDEX(LubesCalc!$Y$3:$Y$122,$T109)),"")</f>
        <v/>
      </c>
      <c r="H109" s="20">
        <f>IF(AND(ISNUMBER($T109),$T109&lt;&gt;""),IF(INDEX(LubesCalc!$Z$3:$Z$122,$T109)="","—",INDEX(LubesCalc!$Z$3:$Z$122,$T109)),"")</f>
        <v/>
      </c>
      <c r="I109" s="20">
        <f>IF(AND(ISNUMBER($T109),$T109&lt;&gt;""),IF(INDEX(LubesCalc!$AA$3:$AA$122,$T109)="","—",INDEX(LubesCalc!$AA$3:$AA$122,$T109)),"")</f>
        <v/>
      </c>
      <c r="J109" s="20">
        <f>IF(AND(ISNUMBER($T109),$T109&lt;&gt;""),IF(INDEX(LubesCalc!$AB$3:$AB$122,$T109)="","—",INDEX(LubesCalc!$AB$3:$AB$122,$T109)),"")</f>
        <v/>
      </c>
      <c r="K109" s="20">
        <f>IF(AND(ISNUMBER($T109),$T109&lt;&gt;""),IF(INDEX(LubesCalc!$AC$3:$AC$122,$T109)="","—",INDEX(LubesCalc!$AC$3:$AC$122,$T109)),"")</f>
        <v/>
      </c>
      <c r="L109" s="20">
        <f>IF(AND(ISNUMBER($T109),$T109&lt;&gt;""),IF(INDEX(LubesCalc!$AD$3:$AD$122,$T109)="","—",INDEX(LubesCalc!$AD$3:$AD$122,$T109)),"")</f>
        <v/>
      </c>
      <c r="M109" s="20">
        <f>IF(AND(ISNUMBER($T109),$T109&lt;&gt;""),IF(INDEX(LubesCalc!$AE$3:$AE$122,$T109)="","—",INDEX(LubesCalc!$AE$3:$AE$122,$T109)),"")</f>
        <v/>
      </c>
      <c r="N109" s="20">
        <f>IF(AND(ISNUMBER($T109),$T109&lt;&gt;""),IF(INDEX(LubesCalc!$AF$3:$AF$122,$T109)="","—",INDEX(LubesCalc!$AF$3:$AF$122,$T109)),"")</f>
        <v/>
      </c>
      <c r="O109" s="20">
        <f>IF(AND(ISNUMBER($T109),$T109&lt;&gt;""),IF(INDEX(LubesCalc!$AG$3:$AG$122,$T109)="","—",INDEX(LubesCalc!$AG$3:$AG$122,$T109)),"")</f>
        <v/>
      </c>
      <c r="P109" s="21">
        <f>IF(AND(ISNUMBER($T109),$T109&lt;&gt;""),IF(INDEX(LubesCalc!$AJ$3:$AJ$122,$T109)="","—",INDEX(LubesCalc!$AJ$3:$AJ$122,$T109)),"")</f>
        <v/>
      </c>
      <c r="Q109" s="21">
        <f>IF(AND(ISNUMBER($T109),$T109&lt;&gt;""),IF(INDEX(LubesCalc!$AK$3:$AK$122,$T109)="","—",INDEX(LubesCalc!$AK$3:$AK$122,$T109)),"")</f>
        <v/>
      </c>
      <c r="R109" s="20">
        <f>IF(AND(ISNUMBER($T109),$T109&lt;&gt;""),IF(INDEX(LubesCalc!$AL$3:$AL$122,$T109)="","—",INDEX(LubesCalc!$AL$3:$AL$122,$T109)),"")</f>
        <v/>
      </c>
      <c r="T109">
        <f>IFERROR(MATCH(105,LubesCalc!$AN$3:$AN$122,0),"")</f>
        <v/>
      </c>
    </row>
    <row r="110">
      <c r="A110" s="14">
        <f>IF(AND(ISNUMBER($T110),$T110&lt;&gt;""),INDEX(LubesCalc!$S$3:$S$122,$T110),"")</f>
        <v/>
      </c>
      <c r="B110" s="15">
        <f>IF(AND(ISNUMBER($T110),$T110&lt;&gt;""),IF(INDEX(LubesCalc!$T$3:$T$122,$T110)="","—",INDEX(LubesCalc!$T$3:$T$122,$T110)),"")</f>
        <v/>
      </c>
      <c r="C110" s="15">
        <f>IF(AND(ISNUMBER($T110),$T110&lt;&gt;""),IF(INDEX(LubesCalc!$U$3:$U$122,$T110)="","—",INDEX(LubesCalc!$U$3:$U$122,$T110)),"")</f>
        <v/>
      </c>
      <c r="D110" s="15">
        <f>IF(AND(ISNUMBER($T110),$T110&lt;&gt;""),IF(INDEX(LubesCalc!$V$3:$V$122,$T110)="","—",INDEX(LubesCalc!$V$3:$V$122,$T110)),"")</f>
        <v/>
      </c>
      <c r="E110" s="15">
        <f>IF(AND(ISNUMBER($T110),$T110&lt;&gt;""),IF(INDEX(LubesCalc!$W$3:$W$122,$T110)="","—",INDEX(LubesCalc!$W$3:$W$122,$T110)),"")</f>
        <v/>
      </c>
      <c r="F110" s="15">
        <f>IF(AND(ISNUMBER($T110),$T110&lt;&gt;""),IF(INDEX(LubesCalc!$X$3:$X$122,$T110)="","—",INDEX(LubesCalc!$X$3:$X$122,$T110)),"")</f>
        <v/>
      </c>
      <c r="G110" s="15">
        <f>IF(AND(ISNUMBER($T110),$T110&lt;&gt;""),IF(INDEX(LubesCalc!$Y$3:$Y$122,$T110)="","—",INDEX(LubesCalc!$Y$3:$Y$122,$T110)),"")</f>
        <v/>
      </c>
      <c r="H110" s="15">
        <f>IF(AND(ISNUMBER($T110),$T110&lt;&gt;""),IF(INDEX(LubesCalc!$Z$3:$Z$122,$T110)="","—",INDEX(LubesCalc!$Z$3:$Z$122,$T110)),"")</f>
        <v/>
      </c>
      <c r="I110" s="15">
        <f>IF(AND(ISNUMBER($T110),$T110&lt;&gt;""),IF(INDEX(LubesCalc!$AA$3:$AA$122,$T110)="","—",INDEX(LubesCalc!$AA$3:$AA$122,$T110)),"")</f>
        <v/>
      </c>
      <c r="J110" s="15">
        <f>IF(AND(ISNUMBER($T110),$T110&lt;&gt;""),IF(INDEX(LubesCalc!$AB$3:$AB$122,$T110)="","—",INDEX(LubesCalc!$AB$3:$AB$122,$T110)),"")</f>
        <v/>
      </c>
      <c r="K110" s="15">
        <f>IF(AND(ISNUMBER($T110),$T110&lt;&gt;""),IF(INDEX(LubesCalc!$AC$3:$AC$122,$T110)="","—",INDEX(LubesCalc!$AC$3:$AC$122,$T110)),"")</f>
        <v/>
      </c>
      <c r="L110" s="15">
        <f>IF(AND(ISNUMBER($T110),$T110&lt;&gt;""),IF(INDEX(LubesCalc!$AD$3:$AD$122,$T110)="","—",INDEX(LubesCalc!$AD$3:$AD$122,$T110)),"")</f>
        <v/>
      </c>
      <c r="M110" s="15">
        <f>IF(AND(ISNUMBER($T110),$T110&lt;&gt;""),IF(INDEX(LubesCalc!$AE$3:$AE$122,$T110)="","—",INDEX(LubesCalc!$AE$3:$AE$122,$T110)),"")</f>
        <v/>
      </c>
      <c r="N110" s="15">
        <f>IF(AND(ISNUMBER($T110),$T110&lt;&gt;""),IF(INDEX(LubesCalc!$AF$3:$AF$122,$T110)="","—",INDEX(LubesCalc!$AF$3:$AF$122,$T110)),"")</f>
        <v/>
      </c>
      <c r="O110" s="15">
        <f>IF(AND(ISNUMBER($T110),$T110&lt;&gt;""),IF(INDEX(LubesCalc!$AG$3:$AG$122,$T110)="","—",INDEX(LubesCalc!$AG$3:$AG$122,$T110)),"")</f>
        <v/>
      </c>
      <c r="P110" s="16">
        <f>IF(AND(ISNUMBER($T110),$T110&lt;&gt;""),IF(INDEX(LubesCalc!$AJ$3:$AJ$122,$T110)="","—",INDEX(LubesCalc!$AJ$3:$AJ$122,$T110)),"")</f>
        <v/>
      </c>
      <c r="Q110" s="16">
        <f>IF(AND(ISNUMBER($T110),$T110&lt;&gt;""),IF(INDEX(LubesCalc!$AK$3:$AK$122,$T110)="","—",INDEX(LubesCalc!$AK$3:$AK$122,$T110)),"")</f>
        <v/>
      </c>
      <c r="R110" s="15">
        <f>IF(AND(ISNUMBER($T110),$T110&lt;&gt;""),IF(INDEX(LubesCalc!$AL$3:$AL$122,$T110)="","—",INDEX(LubesCalc!$AL$3:$AL$122,$T110)),"")</f>
        <v/>
      </c>
      <c r="T110">
        <f>IFERROR(MATCH(106,LubesCalc!$AN$3:$AN$122,0),"")</f>
        <v/>
      </c>
    </row>
    <row r="111">
      <c r="A111" s="19">
        <f>IF(AND(ISNUMBER($T111),$T111&lt;&gt;""),INDEX(LubesCalc!$S$3:$S$122,$T111),"")</f>
        <v/>
      </c>
      <c r="B111" s="20">
        <f>IF(AND(ISNUMBER($T111),$T111&lt;&gt;""),IF(INDEX(LubesCalc!$T$3:$T$122,$T111)="","—",INDEX(LubesCalc!$T$3:$T$122,$T111)),"")</f>
        <v/>
      </c>
      <c r="C111" s="20">
        <f>IF(AND(ISNUMBER($T111),$T111&lt;&gt;""),IF(INDEX(LubesCalc!$U$3:$U$122,$T111)="","—",INDEX(LubesCalc!$U$3:$U$122,$T111)),"")</f>
        <v/>
      </c>
      <c r="D111" s="20">
        <f>IF(AND(ISNUMBER($T111),$T111&lt;&gt;""),IF(INDEX(LubesCalc!$V$3:$V$122,$T111)="","—",INDEX(LubesCalc!$V$3:$V$122,$T111)),"")</f>
        <v/>
      </c>
      <c r="E111" s="20">
        <f>IF(AND(ISNUMBER($T111),$T111&lt;&gt;""),IF(INDEX(LubesCalc!$W$3:$W$122,$T111)="","—",INDEX(LubesCalc!$W$3:$W$122,$T111)),"")</f>
        <v/>
      </c>
      <c r="F111" s="20">
        <f>IF(AND(ISNUMBER($T111),$T111&lt;&gt;""),IF(INDEX(LubesCalc!$X$3:$X$122,$T111)="","—",INDEX(LubesCalc!$X$3:$X$122,$T111)),"")</f>
        <v/>
      </c>
      <c r="G111" s="20">
        <f>IF(AND(ISNUMBER($T111),$T111&lt;&gt;""),IF(INDEX(LubesCalc!$Y$3:$Y$122,$T111)="","—",INDEX(LubesCalc!$Y$3:$Y$122,$T111)),"")</f>
        <v/>
      </c>
      <c r="H111" s="20">
        <f>IF(AND(ISNUMBER($T111),$T111&lt;&gt;""),IF(INDEX(LubesCalc!$Z$3:$Z$122,$T111)="","—",INDEX(LubesCalc!$Z$3:$Z$122,$T111)),"")</f>
        <v/>
      </c>
      <c r="I111" s="20">
        <f>IF(AND(ISNUMBER($T111),$T111&lt;&gt;""),IF(INDEX(LubesCalc!$AA$3:$AA$122,$T111)="","—",INDEX(LubesCalc!$AA$3:$AA$122,$T111)),"")</f>
        <v/>
      </c>
      <c r="J111" s="20">
        <f>IF(AND(ISNUMBER($T111),$T111&lt;&gt;""),IF(INDEX(LubesCalc!$AB$3:$AB$122,$T111)="","—",INDEX(LubesCalc!$AB$3:$AB$122,$T111)),"")</f>
        <v/>
      </c>
      <c r="K111" s="20">
        <f>IF(AND(ISNUMBER($T111),$T111&lt;&gt;""),IF(INDEX(LubesCalc!$AC$3:$AC$122,$T111)="","—",INDEX(LubesCalc!$AC$3:$AC$122,$T111)),"")</f>
        <v/>
      </c>
      <c r="L111" s="20">
        <f>IF(AND(ISNUMBER($T111),$T111&lt;&gt;""),IF(INDEX(LubesCalc!$AD$3:$AD$122,$T111)="","—",INDEX(LubesCalc!$AD$3:$AD$122,$T111)),"")</f>
        <v/>
      </c>
      <c r="M111" s="20">
        <f>IF(AND(ISNUMBER($T111),$T111&lt;&gt;""),IF(INDEX(LubesCalc!$AE$3:$AE$122,$T111)="","—",INDEX(LubesCalc!$AE$3:$AE$122,$T111)),"")</f>
        <v/>
      </c>
      <c r="N111" s="20">
        <f>IF(AND(ISNUMBER($T111),$T111&lt;&gt;""),IF(INDEX(LubesCalc!$AF$3:$AF$122,$T111)="","—",INDEX(LubesCalc!$AF$3:$AF$122,$T111)),"")</f>
        <v/>
      </c>
      <c r="O111" s="20">
        <f>IF(AND(ISNUMBER($T111),$T111&lt;&gt;""),IF(INDEX(LubesCalc!$AG$3:$AG$122,$T111)="","—",INDEX(LubesCalc!$AG$3:$AG$122,$T111)),"")</f>
        <v/>
      </c>
      <c r="P111" s="21">
        <f>IF(AND(ISNUMBER($T111),$T111&lt;&gt;""),IF(INDEX(LubesCalc!$AJ$3:$AJ$122,$T111)="","—",INDEX(LubesCalc!$AJ$3:$AJ$122,$T111)),"")</f>
        <v/>
      </c>
      <c r="Q111" s="21">
        <f>IF(AND(ISNUMBER($T111),$T111&lt;&gt;""),IF(INDEX(LubesCalc!$AK$3:$AK$122,$T111)="","—",INDEX(LubesCalc!$AK$3:$AK$122,$T111)),"")</f>
        <v/>
      </c>
      <c r="R111" s="20">
        <f>IF(AND(ISNUMBER($T111),$T111&lt;&gt;""),IF(INDEX(LubesCalc!$AL$3:$AL$122,$T111)="","—",INDEX(LubesCalc!$AL$3:$AL$122,$T111)),"")</f>
        <v/>
      </c>
      <c r="T111">
        <f>IFERROR(MATCH(107,LubesCalc!$AN$3:$AN$122,0),"")</f>
        <v/>
      </c>
    </row>
    <row r="112">
      <c r="A112" s="14">
        <f>IF(AND(ISNUMBER($T112),$T112&lt;&gt;""),INDEX(LubesCalc!$S$3:$S$122,$T112),"")</f>
        <v/>
      </c>
      <c r="B112" s="15">
        <f>IF(AND(ISNUMBER($T112),$T112&lt;&gt;""),IF(INDEX(LubesCalc!$T$3:$T$122,$T112)="","—",INDEX(LubesCalc!$T$3:$T$122,$T112)),"")</f>
        <v/>
      </c>
      <c r="C112" s="15">
        <f>IF(AND(ISNUMBER($T112),$T112&lt;&gt;""),IF(INDEX(LubesCalc!$U$3:$U$122,$T112)="","—",INDEX(LubesCalc!$U$3:$U$122,$T112)),"")</f>
        <v/>
      </c>
      <c r="D112" s="15">
        <f>IF(AND(ISNUMBER($T112),$T112&lt;&gt;""),IF(INDEX(LubesCalc!$V$3:$V$122,$T112)="","—",INDEX(LubesCalc!$V$3:$V$122,$T112)),"")</f>
        <v/>
      </c>
      <c r="E112" s="15">
        <f>IF(AND(ISNUMBER($T112),$T112&lt;&gt;""),IF(INDEX(LubesCalc!$W$3:$W$122,$T112)="","—",INDEX(LubesCalc!$W$3:$W$122,$T112)),"")</f>
        <v/>
      </c>
      <c r="F112" s="15">
        <f>IF(AND(ISNUMBER($T112),$T112&lt;&gt;""),IF(INDEX(LubesCalc!$X$3:$X$122,$T112)="","—",INDEX(LubesCalc!$X$3:$X$122,$T112)),"")</f>
        <v/>
      </c>
      <c r="G112" s="15">
        <f>IF(AND(ISNUMBER($T112),$T112&lt;&gt;""),IF(INDEX(LubesCalc!$Y$3:$Y$122,$T112)="","—",INDEX(LubesCalc!$Y$3:$Y$122,$T112)),"")</f>
        <v/>
      </c>
      <c r="H112" s="15">
        <f>IF(AND(ISNUMBER($T112),$T112&lt;&gt;""),IF(INDEX(LubesCalc!$Z$3:$Z$122,$T112)="","—",INDEX(LubesCalc!$Z$3:$Z$122,$T112)),"")</f>
        <v/>
      </c>
      <c r="I112" s="15">
        <f>IF(AND(ISNUMBER($T112),$T112&lt;&gt;""),IF(INDEX(LubesCalc!$AA$3:$AA$122,$T112)="","—",INDEX(LubesCalc!$AA$3:$AA$122,$T112)),"")</f>
        <v/>
      </c>
      <c r="J112" s="15">
        <f>IF(AND(ISNUMBER($T112),$T112&lt;&gt;""),IF(INDEX(LubesCalc!$AB$3:$AB$122,$T112)="","—",INDEX(LubesCalc!$AB$3:$AB$122,$T112)),"")</f>
        <v/>
      </c>
      <c r="K112" s="15">
        <f>IF(AND(ISNUMBER($T112),$T112&lt;&gt;""),IF(INDEX(LubesCalc!$AC$3:$AC$122,$T112)="","—",INDEX(LubesCalc!$AC$3:$AC$122,$T112)),"")</f>
        <v/>
      </c>
      <c r="L112" s="15">
        <f>IF(AND(ISNUMBER($T112),$T112&lt;&gt;""),IF(INDEX(LubesCalc!$AD$3:$AD$122,$T112)="","—",INDEX(LubesCalc!$AD$3:$AD$122,$T112)),"")</f>
        <v/>
      </c>
      <c r="M112" s="15">
        <f>IF(AND(ISNUMBER($T112),$T112&lt;&gt;""),IF(INDEX(LubesCalc!$AE$3:$AE$122,$T112)="","—",INDEX(LubesCalc!$AE$3:$AE$122,$T112)),"")</f>
        <v/>
      </c>
      <c r="N112" s="15">
        <f>IF(AND(ISNUMBER($T112),$T112&lt;&gt;""),IF(INDEX(LubesCalc!$AF$3:$AF$122,$T112)="","—",INDEX(LubesCalc!$AF$3:$AF$122,$T112)),"")</f>
        <v/>
      </c>
      <c r="O112" s="15">
        <f>IF(AND(ISNUMBER($T112),$T112&lt;&gt;""),IF(INDEX(LubesCalc!$AG$3:$AG$122,$T112)="","—",INDEX(LubesCalc!$AG$3:$AG$122,$T112)),"")</f>
        <v/>
      </c>
      <c r="P112" s="16">
        <f>IF(AND(ISNUMBER($T112),$T112&lt;&gt;""),IF(INDEX(LubesCalc!$AJ$3:$AJ$122,$T112)="","—",INDEX(LubesCalc!$AJ$3:$AJ$122,$T112)),"")</f>
        <v/>
      </c>
      <c r="Q112" s="16">
        <f>IF(AND(ISNUMBER($T112),$T112&lt;&gt;""),IF(INDEX(LubesCalc!$AK$3:$AK$122,$T112)="","—",INDEX(LubesCalc!$AK$3:$AK$122,$T112)),"")</f>
        <v/>
      </c>
      <c r="R112" s="15">
        <f>IF(AND(ISNUMBER($T112),$T112&lt;&gt;""),IF(INDEX(LubesCalc!$AL$3:$AL$122,$T112)="","—",INDEX(LubesCalc!$AL$3:$AL$122,$T112)),"")</f>
        <v/>
      </c>
      <c r="T112">
        <f>IFERROR(MATCH(108,LubesCalc!$AN$3:$AN$122,0),"")</f>
        <v/>
      </c>
    </row>
    <row r="113">
      <c r="A113" s="19">
        <f>IF(AND(ISNUMBER($T113),$T113&lt;&gt;""),INDEX(LubesCalc!$S$3:$S$122,$T113),"")</f>
        <v/>
      </c>
      <c r="B113" s="20">
        <f>IF(AND(ISNUMBER($T113),$T113&lt;&gt;""),IF(INDEX(LubesCalc!$T$3:$T$122,$T113)="","—",INDEX(LubesCalc!$T$3:$T$122,$T113)),"")</f>
        <v/>
      </c>
      <c r="C113" s="20">
        <f>IF(AND(ISNUMBER($T113),$T113&lt;&gt;""),IF(INDEX(LubesCalc!$U$3:$U$122,$T113)="","—",INDEX(LubesCalc!$U$3:$U$122,$T113)),"")</f>
        <v/>
      </c>
      <c r="D113" s="20">
        <f>IF(AND(ISNUMBER($T113),$T113&lt;&gt;""),IF(INDEX(LubesCalc!$V$3:$V$122,$T113)="","—",INDEX(LubesCalc!$V$3:$V$122,$T113)),"")</f>
        <v/>
      </c>
      <c r="E113" s="20">
        <f>IF(AND(ISNUMBER($T113),$T113&lt;&gt;""),IF(INDEX(LubesCalc!$W$3:$W$122,$T113)="","—",INDEX(LubesCalc!$W$3:$W$122,$T113)),"")</f>
        <v/>
      </c>
      <c r="F113" s="20">
        <f>IF(AND(ISNUMBER($T113),$T113&lt;&gt;""),IF(INDEX(LubesCalc!$X$3:$X$122,$T113)="","—",INDEX(LubesCalc!$X$3:$X$122,$T113)),"")</f>
        <v/>
      </c>
      <c r="G113" s="20">
        <f>IF(AND(ISNUMBER($T113),$T113&lt;&gt;""),IF(INDEX(LubesCalc!$Y$3:$Y$122,$T113)="","—",INDEX(LubesCalc!$Y$3:$Y$122,$T113)),"")</f>
        <v/>
      </c>
      <c r="H113" s="20">
        <f>IF(AND(ISNUMBER($T113),$T113&lt;&gt;""),IF(INDEX(LubesCalc!$Z$3:$Z$122,$T113)="","—",INDEX(LubesCalc!$Z$3:$Z$122,$T113)),"")</f>
        <v/>
      </c>
      <c r="I113" s="20">
        <f>IF(AND(ISNUMBER($T113),$T113&lt;&gt;""),IF(INDEX(LubesCalc!$AA$3:$AA$122,$T113)="","—",INDEX(LubesCalc!$AA$3:$AA$122,$T113)),"")</f>
        <v/>
      </c>
      <c r="J113" s="20">
        <f>IF(AND(ISNUMBER($T113),$T113&lt;&gt;""),IF(INDEX(LubesCalc!$AB$3:$AB$122,$T113)="","—",INDEX(LubesCalc!$AB$3:$AB$122,$T113)),"")</f>
        <v/>
      </c>
      <c r="K113" s="20">
        <f>IF(AND(ISNUMBER($T113),$T113&lt;&gt;""),IF(INDEX(LubesCalc!$AC$3:$AC$122,$T113)="","—",INDEX(LubesCalc!$AC$3:$AC$122,$T113)),"")</f>
        <v/>
      </c>
      <c r="L113" s="20">
        <f>IF(AND(ISNUMBER($T113),$T113&lt;&gt;""),IF(INDEX(LubesCalc!$AD$3:$AD$122,$T113)="","—",INDEX(LubesCalc!$AD$3:$AD$122,$T113)),"")</f>
        <v/>
      </c>
      <c r="M113" s="20">
        <f>IF(AND(ISNUMBER($T113),$T113&lt;&gt;""),IF(INDEX(LubesCalc!$AE$3:$AE$122,$T113)="","—",INDEX(LubesCalc!$AE$3:$AE$122,$T113)),"")</f>
        <v/>
      </c>
      <c r="N113" s="20">
        <f>IF(AND(ISNUMBER($T113),$T113&lt;&gt;""),IF(INDEX(LubesCalc!$AF$3:$AF$122,$T113)="","—",INDEX(LubesCalc!$AF$3:$AF$122,$T113)),"")</f>
        <v/>
      </c>
      <c r="O113" s="20">
        <f>IF(AND(ISNUMBER($T113),$T113&lt;&gt;""),IF(INDEX(LubesCalc!$AG$3:$AG$122,$T113)="","—",INDEX(LubesCalc!$AG$3:$AG$122,$T113)),"")</f>
        <v/>
      </c>
      <c r="P113" s="21">
        <f>IF(AND(ISNUMBER($T113),$T113&lt;&gt;""),IF(INDEX(LubesCalc!$AJ$3:$AJ$122,$T113)="","—",INDEX(LubesCalc!$AJ$3:$AJ$122,$T113)),"")</f>
        <v/>
      </c>
      <c r="Q113" s="21">
        <f>IF(AND(ISNUMBER($T113),$T113&lt;&gt;""),IF(INDEX(LubesCalc!$AK$3:$AK$122,$T113)="","—",INDEX(LubesCalc!$AK$3:$AK$122,$T113)),"")</f>
        <v/>
      </c>
      <c r="R113" s="20">
        <f>IF(AND(ISNUMBER($T113),$T113&lt;&gt;""),IF(INDEX(LubesCalc!$AL$3:$AL$122,$T113)="","—",INDEX(LubesCalc!$AL$3:$AL$122,$T113)),"")</f>
        <v/>
      </c>
      <c r="T113">
        <f>IFERROR(MATCH(109,LubesCalc!$AN$3:$AN$122,0),"")</f>
        <v/>
      </c>
    </row>
    <row r="114">
      <c r="A114" s="14">
        <f>IF(AND(ISNUMBER($T114),$T114&lt;&gt;""),INDEX(LubesCalc!$S$3:$S$122,$T114),"")</f>
        <v/>
      </c>
      <c r="B114" s="15">
        <f>IF(AND(ISNUMBER($T114),$T114&lt;&gt;""),IF(INDEX(LubesCalc!$T$3:$T$122,$T114)="","—",INDEX(LubesCalc!$T$3:$T$122,$T114)),"")</f>
        <v/>
      </c>
      <c r="C114" s="15">
        <f>IF(AND(ISNUMBER($T114),$T114&lt;&gt;""),IF(INDEX(LubesCalc!$U$3:$U$122,$T114)="","—",INDEX(LubesCalc!$U$3:$U$122,$T114)),"")</f>
        <v/>
      </c>
      <c r="D114" s="15">
        <f>IF(AND(ISNUMBER($T114),$T114&lt;&gt;""),IF(INDEX(LubesCalc!$V$3:$V$122,$T114)="","—",INDEX(LubesCalc!$V$3:$V$122,$T114)),"")</f>
        <v/>
      </c>
      <c r="E114" s="15">
        <f>IF(AND(ISNUMBER($T114),$T114&lt;&gt;""),IF(INDEX(LubesCalc!$W$3:$W$122,$T114)="","—",INDEX(LubesCalc!$W$3:$W$122,$T114)),"")</f>
        <v/>
      </c>
      <c r="F114" s="15">
        <f>IF(AND(ISNUMBER($T114),$T114&lt;&gt;""),IF(INDEX(LubesCalc!$X$3:$X$122,$T114)="","—",INDEX(LubesCalc!$X$3:$X$122,$T114)),"")</f>
        <v/>
      </c>
      <c r="G114" s="15">
        <f>IF(AND(ISNUMBER($T114),$T114&lt;&gt;""),IF(INDEX(LubesCalc!$Y$3:$Y$122,$T114)="","—",INDEX(LubesCalc!$Y$3:$Y$122,$T114)),"")</f>
        <v/>
      </c>
      <c r="H114" s="15">
        <f>IF(AND(ISNUMBER($T114),$T114&lt;&gt;""),IF(INDEX(LubesCalc!$Z$3:$Z$122,$T114)="","—",INDEX(LubesCalc!$Z$3:$Z$122,$T114)),"")</f>
        <v/>
      </c>
      <c r="I114" s="15">
        <f>IF(AND(ISNUMBER($T114),$T114&lt;&gt;""),IF(INDEX(LubesCalc!$AA$3:$AA$122,$T114)="","—",INDEX(LubesCalc!$AA$3:$AA$122,$T114)),"")</f>
        <v/>
      </c>
      <c r="J114" s="15">
        <f>IF(AND(ISNUMBER($T114),$T114&lt;&gt;""),IF(INDEX(LubesCalc!$AB$3:$AB$122,$T114)="","—",INDEX(LubesCalc!$AB$3:$AB$122,$T114)),"")</f>
        <v/>
      </c>
      <c r="K114" s="15">
        <f>IF(AND(ISNUMBER($T114),$T114&lt;&gt;""),IF(INDEX(LubesCalc!$AC$3:$AC$122,$T114)="","—",INDEX(LubesCalc!$AC$3:$AC$122,$T114)),"")</f>
        <v/>
      </c>
      <c r="L114" s="15">
        <f>IF(AND(ISNUMBER($T114),$T114&lt;&gt;""),IF(INDEX(LubesCalc!$AD$3:$AD$122,$T114)="","—",INDEX(LubesCalc!$AD$3:$AD$122,$T114)),"")</f>
        <v/>
      </c>
      <c r="M114" s="15">
        <f>IF(AND(ISNUMBER($T114),$T114&lt;&gt;""),IF(INDEX(LubesCalc!$AE$3:$AE$122,$T114)="","—",INDEX(LubesCalc!$AE$3:$AE$122,$T114)),"")</f>
        <v/>
      </c>
      <c r="N114" s="15">
        <f>IF(AND(ISNUMBER($T114),$T114&lt;&gt;""),IF(INDEX(LubesCalc!$AF$3:$AF$122,$T114)="","—",INDEX(LubesCalc!$AF$3:$AF$122,$T114)),"")</f>
        <v/>
      </c>
      <c r="O114" s="15">
        <f>IF(AND(ISNUMBER($T114),$T114&lt;&gt;""),IF(INDEX(LubesCalc!$AG$3:$AG$122,$T114)="","—",INDEX(LubesCalc!$AG$3:$AG$122,$T114)),"")</f>
        <v/>
      </c>
      <c r="P114" s="16">
        <f>IF(AND(ISNUMBER($T114),$T114&lt;&gt;""),IF(INDEX(LubesCalc!$AJ$3:$AJ$122,$T114)="","—",INDEX(LubesCalc!$AJ$3:$AJ$122,$T114)),"")</f>
        <v/>
      </c>
      <c r="Q114" s="16">
        <f>IF(AND(ISNUMBER($T114),$T114&lt;&gt;""),IF(INDEX(LubesCalc!$AK$3:$AK$122,$T114)="","—",INDEX(LubesCalc!$AK$3:$AK$122,$T114)),"")</f>
        <v/>
      </c>
      <c r="R114" s="15">
        <f>IF(AND(ISNUMBER($T114),$T114&lt;&gt;""),IF(INDEX(LubesCalc!$AL$3:$AL$122,$T114)="","—",INDEX(LubesCalc!$AL$3:$AL$122,$T114)),"")</f>
        <v/>
      </c>
      <c r="T114">
        <f>IFERROR(MATCH(110,LubesCalc!$AN$3:$AN$122,0),"")</f>
        <v/>
      </c>
    </row>
    <row r="115">
      <c r="A115" s="19">
        <f>IF(AND(ISNUMBER($T115),$T115&lt;&gt;""),INDEX(LubesCalc!$S$3:$S$122,$T115),"")</f>
        <v/>
      </c>
      <c r="B115" s="20">
        <f>IF(AND(ISNUMBER($T115),$T115&lt;&gt;""),IF(INDEX(LubesCalc!$T$3:$T$122,$T115)="","—",INDEX(LubesCalc!$T$3:$T$122,$T115)),"")</f>
        <v/>
      </c>
      <c r="C115" s="20">
        <f>IF(AND(ISNUMBER($T115),$T115&lt;&gt;""),IF(INDEX(LubesCalc!$U$3:$U$122,$T115)="","—",INDEX(LubesCalc!$U$3:$U$122,$T115)),"")</f>
        <v/>
      </c>
      <c r="D115" s="20">
        <f>IF(AND(ISNUMBER($T115),$T115&lt;&gt;""),IF(INDEX(LubesCalc!$V$3:$V$122,$T115)="","—",INDEX(LubesCalc!$V$3:$V$122,$T115)),"")</f>
        <v/>
      </c>
      <c r="E115" s="20">
        <f>IF(AND(ISNUMBER($T115),$T115&lt;&gt;""),IF(INDEX(LubesCalc!$W$3:$W$122,$T115)="","—",INDEX(LubesCalc!$W$3:$W$122,$T115)),"")</f>
        <v/>
      </c>
      <c r="F115" s="20">
        <f>IF(AND(ISNUMBER($T115),$T115&lt;&gt;""),IF(INDEX(LubesCalc!$X$3:$X$122,$T115)="","—",INDEX(LubesCalc!$X$3:$X$122,$T115)),"")</f>
        <v/>
      </c>
      <c r="G115" s="20">
        <f>IF(AND(ISNUMBER($T115),$T115&lt;&gt;""),IF(INDEX(LubesCalc!$Y$3:$Y$122,$T115)="","—",INDEX(LubesCalc!$Y$3:$Y$122,$T115)),"")</f>
        <v/>
      </c>
      <c r="H115" s="20">
        <f>IF(AND(ISNUMBER($T115),$T115&lt;&gt;""),IF(INDEX(LubesCalc!$Z$3:$Z$122,$T115)="","—",INDEX(LubesCalc!$Z$3:$Z$122,$T115)),"")</f>
        <v/>
      </c>
      <c r="I115" s="20">
        <f>IF(AND(ISNUMBER($T115),$T115&lt;&gt;""),IF(INDEX(LubesCalc!$AA$3:$AA$122,$T115)="","—",INDEX(LubesCalc!$AA$3:$AA$122,$T115)),"")</f>
        <v/>
      </c>
      <c r="J115" s="20">
        <f>IF(AND(ISNUMBER($T115),$T115&lt;&gt;""),IF(INDEX(LubesCalc!$AB$3:$AB$122,$T115)="","—",INDEX(LubesCalc!$AB$3:$AB$122,$T115)),"")</f>
        <v/>
      </c>
      <c r="K115" s="20">
        <f>IF(AND(ISNUMBER($T115),$T115&lt;&gt;""),IF(INDEX(LubesCalc!$AC$3:$AC$122,$T115)="","—",INDEX(LubesCalc!$AC$3:$AC$122,$T115)),"")</f>
        <v/>
      </c>
      <c r="L115" s="20">
        <f>IF(AND(ISNUMBER($T115),$T115&lt;&gt;""),IF(INDEX(LubesCalc!$AD$3:$AD$122,$T115)="","—",INDEX(LubesCalc!$AD$3:$AD$122,$T115)),"")</f>
        <v/>
      </c>
      <c r="M115" s="20">
        <f>IF(AND(ISNUMBER($T115),$T115&lt;&gt;""),IF(INDEX(LubesCalc!$AE$3:$AE$122,$T115)="","—",INDEX(LubesCalc!$AE$3:$AE$122,$T115)),"")</f>
        <v/>
      </c>
      <c r="N115" s="20">
        <f>IF(AND(ISNUMBER($T115),$T115&lt;&gt;""),IF(INDEX(LubesCalc!$AF$3:$AF$122,$T115)="","—",INDEX(LubesCalc!$AF$3:$AF$122,$T115)),"")</f>
        <v/>
      </c>
      <c r="O115" s="20">
        <f>IF(AND(ISNUMBER($T115),$T115&lt;&gt;""),IF(INDEX(LubesCalc!$AG$3:$AG$122,$T115)="","—",INDEX(LubesCalc!$AG$3:$AG$122,$T115)),"")</f>
        <v/>
      </c>
      <c r="P115" s="21">
        <f>IF(AND(ISNUMBER($T115),$T115&lt;&gt;""),IF(INDEX(LubesCalc!$AJ$3:$AJ$122,$T115)="","—",INDEX(LubesCalc!$AJ$3:$AJ$122,$T115)),"")</f>
        <v/>
      </c>
      <c r="Q115" s="21">
        <f>IF(AND(ISNUMBER($T115),$T115&lt;&gt;""),IF(INDEX(LubesCalc!$AK$3:$AK$122,$T115)="","—",INDEX(LubesCalc!$AK$3:$AK$122,$T115)),"")</f>
        <v/>
      </c>
      <c r="R115" s="20">
        <f>IF(AND(ISNUMBER($T115),$T115&lt;&gt;""),IF(INDEX(LubesCalc!$AL$3:$AL$122,$T115)="","—",INDEX(LubesCalc!$AL$3:$AL$122,$T115)),"")</f>
        <v/>
      </c>
      <c r="T115">
        <f>IFERROR(MATCH(111,LubesCalc!$AN$3:$AN$122,0),"")</f>
        <v/>
      </c>
    </row>
    <row r="116">
      <c r="A116" s="14">
        <f>IF(AND(ISNUMBER($T116),$T116&lt;&gt;""),INDEX(LubesCalc!$S$3:$S$122,$T116),"")</f>
        <v/>
      </c>
      <c r="B116" s="15">
        <f>IF(AND(ISNUMBER($T116),$T116&lt;&gt;""),IF(INDEX(LubesCalc!$T$3:$T$122,$T116)="","—",INDEX(LubesCalc!$T$3:$T$122,$T116)),"")</f>
        <v/>
      </c>
      <c r="C116" s="15">
        <f>IF(AND(ISNUMBER($T116),$T116&lt;&gt;""),IF(INDEX(LubesCalc!$U$3:$U$122,$T116)="","—",INDEX(LubesCalc!$U$3:$U$122,$T116)),"")</f>
        <v/>
      </c>
      <c r="D116" s="15">
        <f>IF(AND(ISNUMBER($T116),$T116&lt;&gt;""),IF(INDEX(LubesCalc!$V$3:$V$122,$T116)="","—",INDEX(LubesCalc!$V$3:$V$122,$T116)),"")</f>
        <v/>
      </c>
      <c r="E116" s="15">
        <f>IF(AND(ISNUMBER($T116),$T116&lt;&gt;""),IF(INDEX(LubesCalc!$W$3:$W$122,$T116)="","—",INDEX(LubesCalc!$W$3:$W$122,$T116)),"")</f>
        <v/>
      </c>
      <c r="F116" s="15">
        <f>IF(AND(ISNUMBER($T116),$T116&lt;&gt;""),IF(INDEX(LubesCalc!$X$3:$X$122,$T116)="","—",INDEX(LubesCalc!$X$3:$X$122,$T116)),"")</f>
        <v/>
      </c>
      <c r="G116" s="15">
        <f>IF(AND(ISNUMBER($T116),$T116&lt;&gt;""),IF(INDEX(LubesCalc!$Y$3:$Y$122,$T116)="","—",INDEX(LubesCalc!$Y$3:$Y$122,$T116)),"")</f>
        <v/>
      </c>
      <c r="H116" s="15">
        <f>IF(AND(ISNUMBER($T116),$T116&lt;&gt;""),IF(INDEX(LubesCalc!$Z$3:$Z$122,$T116)="","—",INDEX(LubesCalc!$Z$3:$Z$122,$T116)),"")</f>
        <v/>
      </c>
      <c r="I116" s="15">
        <f>IF(AND(ISNUMBER($T116),$T116&lt;&gt;""),IF(INDEX(LubesCalc!$AA$3:$AA$122,$T116)="","—",INDEX(LubesCalc!$AA$3:$AA$122,$T116)),"")</f>
        <v/>
      </c>
      <c r="J116" s="15">
        <f>IF(AND(ISNUMBER($T116),$T116&lt;&gt;""),IF(INDEX(LubesCalc!$AB$3:$AB$122,$T116)="","—",INDEX(LubesCalc!$AB$3:$AB$122,$T116)),"")</f>
        <v/>
      </c>
      <c r="K116" s="15">
        <f>IF(AND(ISNUMBER($T116),$T116&lt;&gt;""),IF(INDEX(LubesCalc!$AC$3:$AC$122,$T116)="","—",INDEX(LubesCalc!$AC$3:$AC$122,$T116)),"")</f>
        <v/>
      </c>
      <c r="L116" s="15">
        <f>IF(AND(ISNUMBER($T116),$T116&lt;&gt;""),IF(INDEX(LubesCalc!$AD$3:$AD$122,$T116)="","—",INDEX(LubesCalc!$AD$3:$AD$122,$T116)),"")</f>
        <v/>
      </c>
      <c r="M116" s="15">
        <f>IF(AND(ISNUMBER($T116),$T116&lt;&gt;""),IF(INDEX(LubesCalc!$AE$3:$AE$122,$T116)="","—",INDEX(LubesCalc!$AE$3:$AE$122,$T116)),"")</f>
        <v/>
      </c>
      <c r="N116" s="15">
        <f>IF(AND(ISNUMBER($T116),$T116&lt;&gt;""),IF(INDEX(LubesCalc!$AF$3:$AF$122,$T116)="","—",INDEX(LubesCalc!$AF$3:$AF$122,$T116)),"")</f>
        <v/>
      </c>
      <c r="O116" s="15">
        <f>IF(AND(ISNUMBER($T116),$T116&lt;&gt;""),IF(INDEX(LubesCalc!$AG$3:$AG$122,$T116)="","—",INDEX(LubesCalc!$AG$3:$AG$122,$T116)),"")</f>
        <v/>
      </c>
      <c r="P116" s="16">
        <f>IF(AND(ISNUMBER($T116),$T116&lt;&gt;""),IF(INDEX(LubesCalc!$AJ$3:$AJ$122,$T116)="","—",INDEX(LubesCalc!$AJ$3:$AJ$122,$T116)),"")</f>
        <v/>
      </c>
      <c r="Q116" s="16">
        <f>IF(AND(ISNUMBER($T116),$T116&lt;&gt;""),IF(INDEX(LubesCalc!$AK$3:$AK$122,$T116)="","—",INDEX(LubesCalc!$AK$3:$AK$122,$T116)),"")</f>
        <v/>
      </c>
      <c r="R116" s="15">
        <f>IF(AND(ISNUMBER($T116),$T116&lt;&gt;""),IF(INDEX(LubesCalc!$AL$3:$AL$122,$T116)="","—",INDEX(LubesCalc!$AL$3:$AL$122,$T116)),"")</f>
        <v/>
      </c>
      <c r="T116">
        <f>IFERROR(MATCH(112,LubesCalc!$AN$3:$AN$122,0),"")</f>
        <v/>
      </c>
    </row>
    <row r="117">
      <c r="A117" s="19">
        <f>IF(AND(ISNUMBER($T117),$T117&lt;&gt;""),INDEX(LubesCalc!$S$3:$S$122,$T117),"")</f>
        <v/>
      </c>
      <c r="B117" s="20">
        <f>IF(AND(ISNUMBER($T117),$T117&lt;&gt;""),IF(INDEX(LubesCalc!$T$3:$T$122,$T117)="","—",INDEX(LubesCalc!$T$3:$T$122,$T117)),"")</f>
        <v/>
      </c>
      <c r="C117" s="20">
        <f>IF(AND(ISNUMBER($T117),$T117&lt;&gt;""),IF(INDEX(LubesCalc!$U$3:$U$122,$T117)="","—",INDEX(LubesCalc!$U$3:$U$122,$T117)),"")</f>
        <v/>
      </c>
      <c r="D117" s="20">
        <f>IF(AND(ISNUMBER($T117),$T117&lt;&gt;""),IF(INDEX(LubesCalc!$V$3:$V$122,$T117)="","—",INDEX(LubesCalc!$V$3:$V$122,$T117)),"")</f>
        <v/>
      </c>
      <c r="E117" s="20">
        <f>IF(AND(ISNUMBER($T117),$T117&lt;&gt;""),IF(INDEX(LubesCalc!$W$3:$W$122,$T117)="","—",INDEX(LubesCalc!$W$3:$W$122,$T117)),"")</f>
        <v/>
      </c>
      <c r="F117" s="20">
        <f>IF(AND(ISNUMBER($T117),$T117&lt;&gt;""),IF(INDEX(LubesCalc!$X$3:$X$122,$T117)="","—",INDEX(LubesCalc!$X$3:$X$122,$T117)),"")</f>
        <v/>
      </c>
      <c r="G117" s="20">
        <f>IF(AND(ISNUMBER($T117),$T117&lt;&gt;""),IF(INDEX(LubesCalc!$Y$3:$Y$122,$T117)="","—",INDEX(LubesCalc!$Y$3:$Y$122,$T117)),"")</f>
        <v/>
      </c>
      <c r="H117" s="20">
        <f>IF(AND(ISNUMBER($T117),$T117&lt;&gt;""),IF(INDEX(LubesCalc!$Z$3:$Z$122,$T117)="","—",INDEX(LubesCalc!$Z$3:$Z$122,$T117)),"")</f>
        <v/>
      </c>
      <c r="I117" s="20">
        <f>IF(AND(ISNUMBER($T117),$T117&lt;&gt;""),IF(INDEX(LubesCalc!$AA$3:$AA$122,$T117)="","—",INDEX(LubesCalc!$AA$3:$AA$122,$T117)),"")</f>
        <v/>
      </c>
      <c r="J117" s="20">
        <f>IF(AND(ISNUMBER($T117),$T117&lt;&gt;""),IF(INDEX(LubesCalc!$AB$3:$AB$122,$T117)="","—",INDEX(LubesCalc!$AB$3:$AB$122,$T117)),"")</f>
        <v/>
      </c>
      <c r="K117" s="20">
        <f>IF(AND(ISNUMBER($T117),$T117&lt;&gt;""),IF(INDEX(LubesCalc!$AC$3:$AC$122,$T117)="","—",INDEX(LubesCalc!$AC$3:$AC$122,$T117)),"")</f>
        <v/>
      </c>
      <c r="L117" s="20">
        <f>IF(AND(ISNUMBER($T117),$T117&lt;&gt;""),IF(INDEX(LubesCalc!$AD$3:$AD$122,$T117)="","—",INDEX(LubesCalc!$AD$3:$AD$122,$T117)),"")</f>
        <v/>
      </c>
      <c r="M117" s="20">
        <f>IF(AND(ISNUMBER($T117),$T117&lt;&gt;""),IF(INDEX(LubesCalc!$AE$3:$AE$122,$T117)="","—",INDEX(LubesCalc!$AE$3:$AE$122,$T117)),"")</f>
        <v/>
      </c>
      <c r="N117" s="20">
        <f>IF(AND(ISNUMBER($T117),$T117&lt;&gt;""),IF(INDEX(LubesCalc!$AF$3:$AF$122,$T117)="","—",INDEX(LubesCalc!$AF$3:$AF$122,$T117)),"")</f>
        <v/>
      </c>
      <c r="O117" s="20">
        <f>IF(AND(ISNUMBER($T117),$T117&lt;&gt;""),IF(INDEX(LubesCalc!$AG$3:$AG$122,$T117)="","—",INDEX(LubesCalc!$AG$3:$AG$122,$T117)),"")</f>
        <v/>
      </c>
      <c r="P117" s="21">
        <f>IF(AND(ISNUMBER($T117),$T117&lt;&gt;""),IF(INDEX(LubesCalc!$AJ$3:$AJ$122,$T117)="","—",INDEX(LubesCalc!$AJ$3:$AJ$122,$T117)),"")</f>
        <v/>
      </c>
      <c r="Q117" s="21">
        <f>IF(AND(ISNUMBER($T117),$T117&lt;&gt;""),IF(INDEX(LubesCalc!$AK$3:$AK$122,$T117)="","—",INDEX(LubesCalc!$AK$3:$AK$122,$T117)),"")</f>
        <v/>
      </c>
      <c r="R117" s="20">
        <f>IF(AND(ISNUMBER($T117),$T117&lt;&gt;""),IF(INDEX(LubesCalc!$AL$3:$AL$122,$T117)="","—",INDEX(LubesCalc!$AL$3:$AL$122,$T117)),"")</f>
        <v/>
      </c>
      <c r="T117">
        <f>IFERROR(MATCH(113,LubesCalc!$AN$3:$AN$122,0),"")</f>
        <v/>
      </c>
    </row>
    <row r="118">
      <c r="A118" s="14">
        <f>IF(AND(ISNUMBER($T118),$T118&lt;&gt;""),INDEX(LubesCalc!$S$3:$S$122,$T118),"")</f>
        <v/>
      </c>
      <c r="B118" s="15">
        <f>IF(AND(ISNUMBER($T118),$T118&lt;&gt;""),IF(INDEX(LubesCalc!$T$3:$T$122,$T118)="","—",INDEX(LubesCalc!$T$3:$T$122,$T118)),"")</f>
        <v/>
      </c>
      <c r="C118" s="15">
        <f>IF(AND(ISNUMBER($T118),$T118&lt;&gt;""),IF(INDEX(LubesCalc!$U$3:$U$122,$T118)="","—",INDEX(LubesCalc!$U$3:$U$122,$T118)),"")</f>
        <v/>
      </c>
      <c r="D118" s="15">
        <f>IF(AND(ISNUMBER($T118),$T118&lt;&gt;""),IF(INDEX(LubesCalc!$V$3:$V$122,$T118)="","—",INDEX(LubesCalc!$V$3:$V$122,$T118)),"")</f>
        <v/>
      </c>
      <c r="E118" s="15">
        <f>IF(AND(ISNUMBER($T118),$T118&lt;&gt;""),IF(INDEX(LubesCalc!$W$3:$W$122,$T118)="","—",INDEX(LubesCalc!$W$3:$W$122,$T118)),"")</f>
        <v/>
      </c>
      <c r="F118" s="15">
        <f>IF(AND(ISNUMBER($T118),$T118&lt;&gt;""),IF(INDEX(LubesCalc!$X$3:$X$122,$T118)="","—",INDEX(LubesCalc!$X$3:$X$122,$T118)),"")</f>
        <v/>
      </c>
      <c r="G118" s="15">
        <f>IF(AND(ISNUMBER($T118),$T118&lt;&gt;""),IF(INDEX(LubesCalc!$Y$3:$Y$122,$T118)="","—",INDEX(LubesCalc!$Y$3:$Y$122,$T118)),"")</f>
        <v/>
      </c>
      <c r="H118" s="15">
        <f>IF(AND(ISNUMBER($T118),$T118&lt;&gt;""),IF(INDEX(LubesCalc!$Z$3:$Z$122,$T118)="","—",INDEX(LubesCalc!$Z$3:$Z$122,$T118)),"")</f>
        <v/>
      </c>
      <c r="I118" s="15">
        <f>IF(AND(ISNUMBER($T118),$T118&lt;&gt;""),IF(INDEX(LubesCalc!$AA$3:$AA$122,$T118)="","—",INDEX(LubesCalc!$AA$3:$AA$122,$T118)),"")</f>
        <v/>
      </c>
      <c r="J118" s="15">
        <f>IF(AND(ISNUMBER($T118),$T118&lt;&gt;""),IF(INDEX(LubesCalc!$AB$3:$AB$122,$T118)="","—",INDEX(LubesCalc!$AB$3:$AB$122,$T118)),"")</f>
        <v/>
      </c>
      <c r="K118" s="15">
        <f>IF(AND(ISNUMBER($T118),$T118&lt;&gt;""),IF(INDEX(LubesCalc!$AC$3:$AC$122,$T118)="","—",INDEX(LubesCalc!$AC$3:$AC$122,$T118)),"")</f>
        <v/>
      </c>
      <c r="L118" s="15">
        <f>IF(AND(ISNUMBER($T118),$T118&lt;&gt;""),IF(INDEX(LubesCalc!$AD$3:$AD$122,$T118)="","—",INDEX(LubesCalc!$AD$3:$AD$122,$T118)),"")</f>
        <v/>
      </c>
      <c r="M118" s="15">
        <f>IF(AND(ISNUMBER($T118),$T118&lt;&gt;""),IF(INDEX(LubesCalc!$AE$3:$AE$122,$T118)="","—",INDEX(LubesCalc!$AE$3:$AE$122,$T118)),"")</f>
        <v/>
      </c>
      <c r="N118" s="15">
        <f>IF(AND(ISNUMBER($T118),$T118&lt;&gt;""),IF(INDEX(LubesCalc!$AF$3:$AF$122,$T118)="","—",INDEX(LubesCalc!$AF$3:$AF$122,$T118)),"")</f>
        <v/>
      </c>
      <c r="O118" s="15">
        <f>IF(AND(ISNUMBER($T118),$T118&lt;&gt;""),IF(INDEX(LubesCalc!$AG$3:$AG$122,$T118)="","—",INDEX(LubesCalc!$AG$3:$AG$122,$T118)),"")</f>
        <v/>
      </c>
      <c r="P118" s="16">
        <f>IF(AND(ISNUMBER($T118),$T118&lt;&gt;""),IF(INDEX(LubesCalc!$AJ$3:$AJ$122,$T118)="","—",INDEX(LubesCalc!$AJ$3:$AJ$122,$T118)),"")</f>
        <v/>
      </c>
      <c r="Q118" s="16">
        <f>IF(AND(ISNUMBER($T118),$T118&lt;&gt;""),IF(INDEX(LubesCalc!$AK$3:$AK$122,$T118)="","—",INDEX(LubesCalc!$AK$3:$AK$122,$T118)),"")</f>
        <v/>
      </c>
      <c r="R118" s="15">
        <f>IF(AND(ISNUMBER($T118),$T118&lt;&gt;""),IF(INDEX(LubesCalc!$AL$3:$AL$122,$T118)="","—",INDEX(LubesCalc!$AL$3:$AL$122,$T118)),"")</f>
        <v/>
      </c>
      <c r="T118">
        <f>IFERROR(MATCH(114,LubesCalc!$AN$3:$AN$122,0),"")</f>
        <v/>
      </c>
    </row>
    <row r="119">
      <c r="A119" s="19">
        <f>IF(AND(ISNUMBER($T119),$T119&lt;&gt;""),INDEX(LubesCalc!$S$3:$S$122,$T119),"")</f>
        <v/>
      </c>
      <c r="B119" s="20">
        <f>IF(AND(ISNUMBER($T119),$T119&lt;&gt;""),IF(INDEX(LubesCalc!$T$3:$T$122,$T119)="","—",INDEX(LubesCalc!$T$3:$T$122,$T119)),"")</f>
        <v/>
      </c>
      <c r="C119" s="20">
        <f>IF(AND(ISNUMBER($T119),$T119&lt;&gt;""),IF(INDEX(LubesCalc!$U$3:$U$122,$T119)="","—",INDEX(LubesCalc!$U$3:$U$122,$T119)),"")</f>
        <v/>
      </c>
      <c r="D119" s="20">
        <f>IF(AND(ISNUMBER($T119),$T119&lt;&gt;""),IF(INDEX(LubesCalc!$V$3:$V$122,$T119)="","—",INDEX(LubesCalc!$V$3:$V$122,$T119)),"")</f>
        <v/>
      </c>
      <c r="E119" s="20">
        <f>IF(AND(ISNUMBER($T119),$T119&lt;&gt;""),IF(INDEX(LubesCalc!$W$3:$W$122,$T119)="","—",INDEX(LubesCalc!$W$3:$W$122,$T119)),"")</f>
        <v/>
      </c>
      <c r="F119" s="20">
        <f>IF(AND(ISNUMBER($T119),$T119&lt;&gt;""),IF(INDEX(LubesCalc!$X$3:$X$122,$T119)="","—",INDEX(LubesCalc!$X$3:$X$122,$T119)),"")</f>
        <v/>
      </c>
      <c r="G119" s="20">
        <f>IF(AND(ISNUMBER($T119),$T119&lt;&gt;""),IF(INDEX(LubesCalc!$Y$3:$Y$122,$T119)="","—",INDEX(LubesCalc!$Y$3:$Y$122,$T119)),"")</f>
        <v/>
      </c>
      <c r="H119" s="20">
        <f>IF(AND(ISNUMBER($T119),$T119&lt;&gt;""),IF(INDEX(LubesCalc!$Z$3:$Z$122,$T119)="","—",INDEX(LubesCalc!$Z$3:$Z$122,$T119)),"")</f>
        <v/>
      </c>
      <c r="I119" s="20">
        <f>IF(AND(ISNUMBER($T119),$T119&lt;&gt;""),IF(INDEX(LubesCalc!$AA$3:$AA$122,$T119)="","—",INDEX(LubesCalc!$AA$3:$AA$122,$T119)),"")</f>
        <v/>
      </c>
      <c r="J119" s="20">
        <f>IF(AND(ISNUMBER($T119),$T119&lt;&gt;""),IF(INDEX(LubesCalc!$AB$3:$AB$122,$T119)="","—",INDEX(LubesCalc!$AB$3:$AB$122,$T119)),"")</f>
        <v/>
      </c>
      <c r="K119" s="20">
        <f>IF(AND(ISNUMBER($T119),$T119&lt;&gt;""),IF(INDEX(LubesCalc!$AC$3:$AC$122,$T119)="","—",INDEX(LubesCalc!$AC$3:$AC$122,$T119)),"")</f>
        <v/>
      </c>
      <c r="L119" s="20">
        <f>IF(AND(ISNUMBER($T119),$T119&lt;&gt;""),IF(INDEX(LubesCalc!$AD$3:$AD$122,$T119)="","—",INDEX(LubesCalc!$AD$3:$AD$122,$T119)),"")</f>
        <v/>
      </c>
      <c r="M119" s="20">
        <f>IF(AND(ISNUMBER($T119),$T119&lt;&gt;""),IF(INDEX(LubesCalc!$AE$3:$AE$122,$T119)="","—",INDEX(LubesCalc!$AE$3:$AE$122,$T119)),"")</f>
        <v/>
      </c>
      <c r="N119" s="20">
        <f>IF(AND(ISNUMBER($T119),$T119&lt;&gt;""),IF(INDEX(LubesCalc!$AF$3:$AF$122,$T119)="","—",INDEX(LubesCalc!$AF$3:$AF$122,$T119)),"")</f>
        <v/>
      </c>
      <c r="O119" s="20">
        <f>IF(AND(ISNUMBER($T119),$T119&lt;&gt;""),IF(INDEX(LubesCalc!$AG$3:$AG$122,$T119)="","—",INDEX(LubesCalc!$AG$3:$AG$122,$T119)),"")</f>
        <v/>
      </c>
      <c r="P119" s="21">
        <f>IF(AND(ISNUMBER($T119),$T119&lt;&gt;""),IF(INDEX(LubesCalc!$AJ$3:$AJ$122,$T119)="","—",INDEX(LubesCalc!$AJ$3:$AJ$122,$T119)),"")</f>
        <v/>
      </c>
      <c r="Q119" s="21">
        <f>IF(AND(ISNUMBER($T119),$T119&lt;&gt;""),IF(INDEX(LubesCalc!$AK$3:$AK$122,$T119)="","—",INDEX(LubesCalc!$AK$3:$AK$122,$T119)),"")</f>
        <v/>
      </c>
      <c r="R119" s="20">
        <f>IF(AND(ISNUMBER($T119),$T119&lt;&gt;""),IF(INDEX(LubesCalc!$AL$3:$AL$122,$T119)="","—",INDEX(LubesCalc!$AL$3:$AL$122,$T119)),"")</f>
        <v/>
      </c>
      <c r="T119">
        <f>IFERROR(MATCH(115,LubesCalc!$AN$3:$AN$122,0),"")</f>
        <v/>
      </c>
    </row>
    <row r="120">
      <c r="A120" s="14">
        <f>IF(AND(ISNUMBER($T120),$T120&lt;&gt;""),INDEX(LubesCalc!$S$3:$S$122,$T120),"")</f>
        <v/>
      </c>
      <c r="B120" s="15">
        <f>IF(AND(ISNUMBER($T120),$T120&lt;&gt;""),IF(INDEX(LubesCalc!$T$3:$T$122,$T120)="","—",INDEX(LubesCalc!$T$3:$T$122,$T120)),"")</f>
        <v/>
      </c>
      <c r="C120" s="15">
        <f>IF(AND(ISNUMBER($T120),$T120&lt;&gt;""),IF(INDEX(LubesCalc!$U$3:$U$122,$T120)="","—",INDEX(LubesCalc!$U$3:$U$122,$T120)),"")</f>
        <v/>
      </c>
      <c r="D120" s="15">
        <f>IF(AND(ISNUMBER($T120),$T120&lt;&gt;""),IF(INDEX(LubesCalc!$V$3:$V$122,$T120)="","—",INDEX(LubesCalc!$V$3:$V$122,$T120)),"")</f>
        <v/>
      </c>
      <c r="E120" s="15">
        <f>IF(AND(ISNUMBER($T120),$T120&lt;&gt;""),IF(INDEX(LubesCalc!$W$3:$W$122,$T120)="","—",INDEX(LubesCalc!$W$3:$W$122,$T120)),"")</f>
        <v/>
      </c>
      <c r="F120" s="15">
        <f>IF(AND(ISNUMBER($T120),$T120&lt;&gt;""),IF(INDEX(LubesCalc!$X$3:$X$122,$T120)="","—",INDEX(LubesCalc!$X$3:$X$122,$T120)),"")</f>
        <v/>
      </c>
      <c r="G120" s="15">
        <f>IF(AND(ISNUMBER($T120),$T120&lt;&gt;""),IF(INDEX(LubesCalc!$Y$3:$Y$122,$T120)="","—",INDEX(LubesCalc!$Y$3:$Y$122,$T120)),"")</f>
        <v/>
      </c>
      <c r="H120" s="15">
        <f>IF(AND(ISNUMBER($T120),$T120&lt;&gt;""),IF(INDEX(LubesCalc!$Z$3:$Z$122,$T120)="","—",INDEX(LubesCalc!$Z$3:$Z$122,$T120)),"")</f>
        <v/>
      </c>
      <c r="I120" s="15">
        <f>IF(AND(ISNUMBER($T120),$T120&lt;&gt;""),IF(INDEX(LubesCalc!$AA$3:$AA$122,$T120)="","—",INDEX(LubesCalc!$AA$3:$AA$122,$T120)),"")</f>
        <v/>
      </c>
      <c r="J120" s="15">
        <f>IF(AND(ISNUMBER($T120),$T120&lt;&gt;""),IF(INDEX(LubesCalc!$AB$3:$AB$122,$T120)="","—",INDEX(LubesCalc!$AB$3:$AB$122,$T120)),"")</f>
        <v/>
      </c>
      <c r="K120" s="15">
        <f>IF(AND(ISNUMBER($T120),$T120&lt;&gt;""),IF(INDEX(LubesCalc!$AC$3:$AC$122,$T120)="","—",INDEX(LubesCalc!$AC$3:$AC$122,$T120)),"")</f>
        <v/>
      </c>
      <c r="L120" s="15">
        <f>IF(AND(ISNUMBER($T120),$T120&lt;&gt;""),IF(INDEX(LubesCalc!$AD$3:$AD$122,$T120)="","—",INDEX(LubesCalc!$AD$3:$AD$122,$T120)),"")</f>
        <v/>
      </c>
      <c r="M120" s="15">
        <f>IF(AND(ISNUMBER($T120),$T120&lt;&gt;""),IF(INDEX(LubesCalc!$AE$3:$AE$122,$T120)="","—",INDEX(LubesCalc!$AE$3:$AE$122,$T120)),"")</f>
        <v/>
      </c>
      <c r="N120" s="15">
        <f>IF(AND(ISNUMBER($T120),$T120&lt;&gt;""),IF(INDEX(LubesCalc!$AF$3:$AF$122,$T120)="","—",INDEX(LubesCalc!$AF$3:$AF$122,$T120)),"")</f>
        <v/>
      </c>
      <c r="O120" s="15">
        <f>IF(AND(ISNUMBER($T120),$T120&lt;&gt;""),IF(INDEX(LubesCalc!$AG$3:$AG$122,$T120)="","—",INDEX(LubesCalc!$AG$3:$AG$122,$T120)),"")</f>
        <v/>
      </c>
      <c r="P120" s="16">
        <f>IF(AND(ISNUMBER($T120),$T120&lt;&gt;""),IF(INDEX(LubesCalc!$AJ$3:$AJ$122,$T120)="","—",INDEX(LubesCalc!$AJ$3:$AJ$122,$T120)),"")</f>
        <v/>
      </c>
      <c r="Q120" s="16">
        <f>IF(AND(ISNUMBER($T120),$T120&lt;&gt;""),IF(INDEX(LubesCalc!$AK$3:$AK$122,$T120)="","—",INDEX(LubesCalc!$AK$3:$AK$122,$T120)),"")</f>
        <v/>
      </c>
      <c r="R120" s="15">
        <f>IF(AND(ISNUMBER($T120),$T120&lt;&gt;""),IF(INDEX(LubesCalc!$AL$3:$AL$122,$T120)="","—",INDEX(LubesCalc!$AL$3:$AL$122,$T120)),"")</f>
        <v/>
      </c>
      <c r="T120">
        <f>IFERROR(MATCH(116,LubesCalc!$AN$3:$AN$122,0),"")</f>
        <v/>
      </c>
    </row>
    <row r="121">
      <c r="A121" s="19">
        <f>IF(AND(ISNUMBER($T121),$T121&lt;&gt;""),INDEX(LubesCalc!$S$3:$S$122,$T121),"")</f>
        <v/>
      </c>
      <c r="B121" s="20">
        <f>IF(AND(ISNUMBER($T121),$T121&lt;&gt;""),IF(INDEX(LubesCalc!$T$3:$T$122,$T121)="","—",INDEX(LubesCalc!$T$3:$T$122,$T121)),"")</f>
        <v/>
      </c>
      <c r="C121" s="20">
        <f>IF(AND(ISNUMBER($T121),$T121&lt;&gt;""),IF(INDEX(LubesCalc!$U$3:$U$122,$T121)="","—",INDEX(LubesCalc!$U$3:$U$122,$T121)),"")</f>
        <v/>
      </c>
      <c r="D121" s="20">
        <f>IF(AND(ISNUMBER($T121),$T121&lt;&gt;""),IF(INDEX(LubesCalc!$V$3:$V$122,$T121)="","—",INDEX(LubesCalc!$V$3:$V$122,$T121)),"")</f>
        <v/>
      </c>
      <c r="E121" s="20">
        <f>IF(AND(ISNUMBER($T121),$T121&lt;&gt;""),IF(INDEX(LubesCalc!$W$3:$W$122,$T121)="","—",INDEX(LubesCalc!$W$3:$W$122,$T121)),"")</f>
        <v/>
      </c>
      <c r="F121" s="20">
        <f>IF(AND(ISNUMBER($T121),$T121&lt;&gt;""),IF(INDEX(LubesCalc!$X$3:$X$122,$T121)="","—",INDEX(LubesCalc!$X$3:$X$122,$T121)),"")</f>
        <v/>
      </c>
      <c r="G121" s="20">
        <f>IF(AND(ISNUMBER($T121),$T121&lt;&gt;""),IF(INDEX(LubesCalc!$Y$3:$Y$122,$T121)="","—",INDEX(LubesCalc!$Y$3:$Y$122,$T121)),"")</f>
        <v/>
      </c>
      <c r="H121" s="20">
        <f>IF(AND(ISNUMBER($T121),$T121&lt;&gt;""),IF(INDEX(LubesCalc!$Z$3:$Z$122,$T121)="","—",INDEX(LubesCalc!$Z$3:$Z$122,$T121)),"")</f>
        <v/>
      </c>
      <c r="I121" s="20">
        <f>IF(AND(ISNUMBER($T121),$T121&lt;&gt;""),IF(INDEX(LubesCalc!$AA$3:$AA$122,$T121)="","—",INDEX(LubesCalc!$AA$3:$AA$122,$T121)),"")</f>
        <v/>
      </c>
      <c r="J121" s="20">
        <f>IF(AND(ISNUMBER($T121),$T121&lt;&gt;""),IF(INDEX(LubesCalc!$AB$3:$AB$122,$T121)="","—",INDEX(LubesCalc!$AB$3:$AB$122,$T121)),"")</f>
        <v/>
      </c>
      <c r="K121" s="20">
        <f>IF(AND(ISNUMBER($T121),$T121&lt;&gt;""),IF(INDEX(LubesCalc!$AC$3:$AC$122,$T121)="","—",INDEX(LubesCalc!$AC$3:$AC$122,$T121)),"")</f>
        <v/>
      </c>
      <c r="L121" s="20">
        <f>IF(AND(ISNUMBER($T121),$T121&lt;&gt;""),IF(INDEX(LubesCalc!$AD$3:$AD$122,$T121)="","—",INDEX(LubesCalc!$AD$3:$AD$122,$T121)),"")</f>
        <v/>
      </c>
      <c r="M121" s="20">
        <f>IF(AND(ISNUMBER($T121),$T121&lt;&gt;""),IF(INDEX(LubesCalc!$AE$3:$AE$122,$T121)="","—",INDEX(LubesCalc!$AE$3:$AE$122,$T121)),"")</f>
        <v/>
      </c>
      <c r="N121" s="20">
        <f>IF(AND(ISNUMBER($T121),$T121&lt;&gt;""),IF(INDEX(LubesCalc!$AF$3:$AF$122,$T121)="","—",INDEX(LubesCalc!$AF$3:$AF$122,$T121)),"")</f>
        <v/>
      </c>
      <c r="O121" s="20">
        <f>IF(AND(ISNUMBER($T121),$T121&lt;&gt;""),IF(INDEX(LubesCalc!$AG$3:$AG$122,$T121)="","—",INDEX(LubesCalc!$AG$3:$AG$122,$T121)),"")</f>
        <v/>
      </c>
      <c r="P121" s="21">
        <f>IF(AND(ISNUMBER($T121),$T121&lt;&gt;""),IF(INDEX(LubesCalc!$AJ$3:$AJ$122,$T121)="","—",INDEX(LubesCalc!$AJ$3:$AJ$122,$T121)),"")</f>
        <v/>
      </c>
      <c r="Q121" s="21">
        <f>IF(AND(ISNUMBER($T121),$T121&lt;&gt;""),IF(INDEX(LubesCalc!$AK$3:$AK$122,$T121)="","—",INDEX(LubesCalc!$AK$3:$AK$122,$T121)),"")</f>
        <v/>
      </c>
      <c r="R121" s="20">
        <f>IF(AND(ISNUMBER($T121),$T121&lt;&gt;""),IF(INDEX(LubesCalc!$AL$3:$AL$122,$T121)="","—",INDEX(LubesCalc!$AL$3:$AL$122,$T121)),"")</f>
        <v/>
      </c>
      <c r="T121">
        <f>IFERROR(MATCH(117,LubesCalc!$AN$3:$AN$122,0),"")</f>
        <v/>
      </c>
    </row>
    <row r="122">
      <c r="A122" s="14">
        <f>IF(AND(ISNUMBER($T122),$T122&lt;&gt;""),INDEX(LubesCalc!$S$3:$S$122,$T122),"")</f>
        <v/>
      </c>
      <c r="B122" s="15">
        <f>IF(AND(ISNUMBER($T122),$T122&lt;&gt;""),IF(INDEX(LubesCalc!$T$3:$T$122,$T122)="","—",INDEX(LubesCalc!$T$3:$T$122,$T122)),"")</f>
        <v/>
      </c>
      <c r="C122" s="15">
        <f>IF(AND(ISNUMBER($T122),$T122&lt;&gt;""),IF(INDEX(LubesCalc!$U$3:$U$122,$T122)="","—",INDEX(LubesCalc!$U$3:$U$122,$T122)),"")</f>
        <v/>
      </c>
      <c r="D122" s="15">
        <f>IF(AND(ISNUMBER($T122),$T122&lt;&gt;""),IF(INDEX(LubesCalc!$V$3:$V$122,$T122)="","—",INDEX(LubesCalc!$V$3:$V$122,$T122)),"")</f>
        <v/>
      </c>
      <c r="E122" s="15">
        <f>IF(AND(ISNUMBER($T122),$T122&lt;&gt;""),IF(INDEX(LubesCalc!$W$3:$W$122,$T122)="","—",INDEX(LubesCalc!$W$3:$W$122,$T122)),"")</f>
        <v/>
      </c>
      <c r="F122" s="15">
        <f>IF(AND(ISNUMBER($T122),$T122&lt;&gt;""),IF(INDEX(LubesCalc!$X$3:$X$122,$T122)="","—",INDEX(LubesCalc!$X$3:$X$122,$T122)),"")</f>
        <v/>
      </c>
      <c r="G122" s="15">
        <f>IF(AND(ISNUMBER($T122),$T122&lt;&gt;""),IF(INDEX(LubesCalc!$Y$3:$Y$122,$T122)="","—",INDEX(LubesCalc!$Y$3:$Y$122,$T122)),"")</f>
        <v/>
      </c>
      <c r="H122" s="15">
        <f>IF(AND(ISNUMBER($T122),$T122&lt;&gt;""),IF(INDEX(LubesCalc!$Z$3:$Z$122,$T122)="","—",INDEX(LubesCalc!$Z$3:$Z$122,$T122)),"")</f>
        <v/>
      </c>
      <c r="I122" s="15">
        <f>IF(AND(ISNUMBER($T122),$T122&lt;&gt;""),IF(INDEX(LubesCalc!$AA$3:$AA$122,$T122)="","—",INDEX(LubesCalc!$AA$3:$AA$122,$T122)),"")</f>
        <v/>
      </c>
      <c r="J122" s="15">
        <f>IF(AND(ISNUMBER($T122),$T122&lt;&gt;""),IF(INDEX(LubesCalc!$AB$3:$AB$122,$T122)="","—",INDEX(LubesCalc!$AB$3:$AB$122,$T122)),"")</f>
        <v/>
      </c>
      <c r="K122" s="15">
        <f>IF(AND(ISNUMBER($T122),$T122&lt;&gt;""),IF(INDEX(LubesCalc!$AC$3:$AC$122,$T122)="","—",INDEX(LubesCalc!$AC$3:$AC$122,$T122)),"")</f>
        <v/>
      </c>
      <c r="L122" s="15">
        <f>IF(AND(ISNUMBER($T122),$T122&lt;&gt;""),IF(INDEX(LubesCalc!$AD$3:$AD$122,$T122)="","—",INDEX(LubesCalc!$AD$3:$AD$122,$T122)),"")</f>
        <v/>
      </c>
      <c r="M122" s="15">
        <f>IF(AND(ISNUMBER($T122),$T122&lt;&gt;""),IF(INDEX(LubesCalc!$AE$3:$AE$122,$T122)="","—",INDEX(LubesCalc!$AE$3:$AE$122,$T122)),"")</f>
        <v/>
      </c>
      <c r="N122" s="15">
        <f>IF(AND(ISNUMBER($T122),$T122&lt;&gt;""),IF(INDEX(LubesCalc!$AF$3:$AF$122,$T122)="","—",INDEX(LubesCalc!$AF$3:$AF$122,$T122)),"")</f>
        <v/>
      </c>
      <c r="O122" s="15">
        <f>IF(AND(ISNUMBER($T122),$T122&lt;&gt;""),IF(INDEX(LubesCalc!$AG$3:$AG$122,$T122)="","—",INDEX(LubesCalc!$AG$3:$AG$122,$T122)),"")</f>
        <v/>
      </c>
      <c r="P122" s="16">
        <f>IF(AND(ISNUMBER($T122),$T122&lt;&gt;""),IF(INDEX(LubesCalc!$AJ$3:$AJ$122,$T122)="","—",INDEX(LubesCalc!$AJ$3:$AJ$122,$T122)),"")</f>
        <v/>
      </c>
      <c r="Q122" s="16">
        <f>IF(AND(ISNUMBER($T122),$T122&lt;&gt;""),IF(INDEX(LubesCalc!$AK$3:$AK$122,$T122)="","—",INDEX(LubesCalc!$AK$3:$AK$122,$T122)),"")</f>
        <v/>
      </c>
      <c r="R122" s="15">
        <f>IF(AND(ISNUMBER($T122),$T122&lt;&gt;""),IF(INDEX(LubesCalc!$AL$3:$AL$122,$T122)="","—",INDEX(LubesCalc!$AL$3:$AL$122,$T122)),"")</f>
        <v/>
      </c>
      <c r="T122">
        <f>IFERROR(MATCH(118,LubesCalc!$AN$3:$AN$122,0),"")</f>
        <v/>
      </c>
    </row>
    <row r="123">
      <c r="A123" s="19">
        <f>IF(AND(ISNUMBER($T123),$T123&lt;&gt;""),INDEX(LubesCalc!$S$3:$S$122,$T123),"")</f>
        <v/>
      </c>
      <c r="B123" s="20">
        <f>IF(AND(ISNUMBER($T123),$T123&lt;&gt;""),IF(INDEX(LubesCalc!$T$3:$T$122,$T123)="","—",INDEX(LubesCalc!$T$3:$T$122,$T123)),"")</f>
        <v/>
      </c>
      <c r="C123" s="20">
        <f>IF(AND(ISNUMBER($T123),$T123&lt;&gt;""),IF(INDEX(LubesCalc!$U$3:$U$122,$T123)="","—",INDEX(LubesCalc!$U$3:$U$122,$T123)),"")</f>
        <v/>
      </c>
      <c r="D123" s="20">
        <f>IF(AND(ISNUMBER($T123),$T123&lt;&gt;""),IF(INDEX(LubesCalc!$V$3:$V$122,$T123)="","—",INDEX(LubesCalc!$V$3:$V$122,$T123)),"")</f>
        <v/>
      </c>
      <c r="E123" s="20">
        <f>IF(AND(ISNUMBER($T123),$T123&lt;&gt;""),IF(INDEX(LubesCalc!$W$3:$W$122,$T123)="","—",INDEX(LubesCalc!$W$3:$W$122,$T123)),"")</f>
        <v/>
      </c>
      <c r="F123" s="20">
        <f>IF(AND(ISNUMBER($T123),$T123&lt;&gt;""),IF(INDEX(LubesCalc!$X$3:$X$122,$T123)="","—",INDEX(LubesCalc!$X$3:$X$122,$T123)),"")</f>
        <v/>
      </c>
      <c r="G123" s="20">
        <f>IF(AND(ISNUMBER($T123),$T123&lt;&gt;""),IF(INDEX(LubesCalc!$Y$3:$Y$122,$T123)="","—",INDEX(LubesCalc!$Y$3:$Y$122,$T123)),"")</f>
        <v/>
      </c>
      <c r="H123" s="20">
        <f>IF(AND(ISNUMBER($T123),$T123&lt;&gt;""),IF(INDEX(LubesCalc!$Z$3:$Z$122,$T123)="","—",INDEX(LubesCalc!$Z$3:$Z$122,$T123)),"")</f>
        <v/>
      </c>
      <c r="I123" s="20">
        <f>IF(AND(ISNUMBER($T123),$T123&lt;&gt;""),IF(INDEX(LubesCalc!$AA$3:$AA$122,$T123)="","—",INDEX(LubesCalc!$AA$3:$AA$122,$T123)),"")</f>
        <v/>
      </c>
      <c r="J123" s="20">
        <f>IF(AND(ISNUMBER($T123),$T123&lt;&gt;""),IF(INDEX(LubesCalc!$AB$3:$AB$122,$T123)="","—",INDEX(LubesCalc!$AB$3:$AB$122,$T123)),"")</f>
        <v/>
      </c>
      <c r="K123" s="20">
        <f>IF(AND(ISNUMBER($T123),$T123&lt;&gt;""),IF(INDEX(LubesCalc!$AC$3:$AC$122,$T123)="","—",INDEX(LubesCalc!$AC$3:$AC$122,$T123)),"")</f>
        <v/>
      </c>
      <c r="L123" s="20">
        <f>IF(AND(ISNUMBER($T123),$T123&lt;&gt;""),IF(INDEX(LubesCalc!$AD$3:$AD$122,$T123)="","—",INDEX(LubesCalc!$AD$3:$AD$122,$T123)),"")</f>
        <v/>
      </c>
      <c r="M123" s="20">
        <f>IF(AND(ISNUMBER($T123),$T123&lt;&gt;""),IF(INDEX(LubesCalc!$AE$3:$AE$122,$T123)="","—",INDEX(LubesCalc!$AE$3:$AE$122,$T123)),"")</f>
        <v/>
      </c>
      <c r="N123" s="20">
        <f>IF(AND(ISNUMBER($T123),$T123&lt;&gt;""),IF(INDEX(LubesCalc!$AF$3:$AF$122,$T123)="","—",INDEX(LubesCalc!$AF$3:$AF$122,$T123)),"")</f>
        <v/>
      </c>
      <c r="O123" s="20">
        <f>IF(AND(ISNUMBER($T123),$T123&lt;&gt;""),IF(INDEX(LubesCalc!$AG$3:$AG$122,$T123)="","—",INDEX(LubesCalc!$AG$3:$AG$122,$T123)),"")</f>
        <v/>
      </c>
      <c r="P123" s="21">
        <f>IF(AND(ISNUMBER($T123),$T123&lt;&gt;""),IF(INDEX(LubesCalc!$AJ$3:$AJ$122,$T123)="","—",INDEX(LubesCalc!$AJ$3:$AJ$122,$T123)),"")</f>
        <v/>
      </c>
      <c r="Q123" s="21">
        <f>IF(AND(ISNUMBER($T123),$T123&lt;&gt;""),IF(INDEX(LubesCalc!$AK$3:$AK$122,$T123)="","—",INDEX(LubesCalc!$AK$3:$AK$122,$T123)),"")</f>
        <v/>
      </c>
      <c r="R123" s="20">
        <f>IF(AND(ISNUMBER($T123),$T123&lt;&gt;""),IF(INDEX(LubesCalc!$AL$3:$AL$122,$T123)="","—",INDEX(LubesCalc!$AL$3:$AL$122,$T123)),"")</f>
        <v/>
      </c>
      <c r="T123">
        <f>IFERROR(MATCH(119,LubesCalc!$AN$3:$AN$122,0),"")</f>
        <v/>
      </c>
    </row>
    <row r="124">
      <c r="A124" s="14">
        <f>IF(AND(ISNUMBER($T124),$T124&lt;&gt;""),INDEX(LubesCalc!$S$3:$S$122,$T124),"")</f>
        <v/>
      </c>
      <c r="B124" s="15">
        <f>IF(AND(ISNUMBER($T124),$T124&lt;&gt;""),IF(INDEX(LubesCalc!$T$3:$T$122,$T124)="","—",INDEX(LubesCalc!$T$3:$T$122,$T124)),"")</f>
        <v/>
      </c>
      <c r="C124" s="15">
        <f>IF(AND(ISNUMBER($T124),$T124&lt;&gt;""),IF(INDEX(LubesCalc!$U$3:$U$122,$T124)="","—",INDEX(LubesCalc!$U$3:$U$122,$T124)),"")</f>
        <v/>
      </c>
      <c r="D124" s="15">
        <f>IF(AND(ISNUMBER($T124),$T124&lt;&gt;""),IF(INDEX(LubesCalc!$V$3:$V$122,$T124)="","—",INDEX(LubesCalc!$V$3:$V$122,$T124)),"")</f>
        <v/>
      </c>
      <c r="E124" s="15">
        <f>IF(AND(ISNUMBER($T124),$T124&lt;&gt;""),IF(INDEX(LubesCalc!$W$3:$W$122,$T124)="","—",INDEX(LubesCalc!$W$3:$W$122,$T124)),"")</f>
        <v/>
      </c>
      <c r="F124" s="15">
        <f>IF(AND(ISNUMBER($T124),$T124&lt;&gt;""),IF(INDEX(LubesCalc!$X$3:$X$122,$T124)="","—",INDEX(LubesCalc!$X$3:$X$122,$T124)),"")</f>
        <v/>
      </c>
      <c r="G124" s="15">
        <f>IF(AND(ISNUMBER($T124),$T124&lt;&gt;""),IF(INDEX(LubesCalc!$Y$3:$Y$122,$T124)="","—",INDEX(LubesCalc!$Y$3:$Y$122,$T124)),"")</f>
        <v/>
      </c>
      <c r="H124" s="15">
        <f>IF(AND(ISNUMBER($T124),$T124&lt;&gt;""),IF(INDEX(LubesCalc!$Z$3:$Z$122,$T124)="","—",INDEX(LubesCalc!$Z$3:$Z$122,$T124)),"")</f>
        <v/>
      </c>
      <c r="I124" s="15">
        <f>IF(AND(ISNUMBER($T124),$T124&lt;&gt;""),IF(INDEX(LubesCalc!$AA$3:$AA$122,$T124)="","—",INDEX(LubesCalc!$AA$3:$AA$122,$T124)),"")</f>
        <v/>
      </c>
      <c r="J124" s="15">
        <f>IF(AND(ISNUMBER($T124),$T124&lt;&gt;""),IF(INDEX(LubesCalc!$AB$3:$AB$122,$T124)="","—",INDEX(LubesCalc!$AB$3:$AB$122,$T124)),"")</f>
        <v/>
      </c>
      <c r="K124" s="15">
        <f>IF(AND(ISNUMBER($T124),$T124&lt;&gt;""),IF(INDEX(LubesCalc!$AC$3:$AC$122,$T124)="","—",INDEX(LubesCalc!$AC$3:$AC$122,$T124)),"")</f>
        <v/>
      </c>
      <c r="L124" s="15">
        <f>IF(AND(ISNUMBER($T124),$T124&lt;&gt;""),IF(INDEX(LubesCalc!$AD$3:$AD$122,$T124)="","—",INDEX(LubesCalc!$AD$3:$AD$122,$T124)),"")</f>
        <v/>
      </c>
      <c r="M124" s="15">
        <f>IF(AND(ISNUMBER($T124),$T124&lt;&gt;""),IF(INDEX(LubesCalc!$AE$3:$AE$122,$T124)="","—",INDEX(LubesCalc!$AE$3:$AE$122,$T124)),"")</f>
        <v/>
      </c>
      <c r="N124" s="15">
        <f>IF(AND(ISNUMBER($T124),$T124&lt;&gt;""),IF(INDEX(LubesCalc!$AF$3:$AF$122,$T124)="","—",INDEX(LubesCalc!$AF$3:$AF$122,$T124)),"")</f>
        <v/>
      </c>
      <c r="O124" s="15">
        <f>IF(AND(ISNUMBER($T124),$T124&lt;&gt;""),IF(INDEX(LubesCalc!$AG$3:$AG$122,$T124)="","—",INDEX(LubesCalc!$AG$3:$AG$122,$T124)),"")</f>
        <v/>
      </c>
      <c r="P124" s="16">
        <f>IF(AND(ISNUMBER($T124),$T124&lt;&gt;""),IF(INDEX(LubesCalc!$AJ$3:$AJ$122,$T124)="","—",INDEX(LubesCalc!$AJ$3:$AJ$122,$T124)),"")</f>
        <v/>
      </c>
      <c r="Q124" s="16">
        <f>IF(AND(ISNUMBER($T124),$T124&lt;&gt;""),IF(INDEX(LubesCalc!$AK$3:$AK$122,$T124)="","—",INDEX(LubesCalc!$AK$3:$AK$122,$T124)),"")</f>
        <v/>
      </c>
      <c r="R124" s="15">
        <f>IF(AND(ISNUMBER($T124),$T124&lt;&gt;""),IF(INDEX(LubesCalc!$AL$3:$AL$122,$T124)="","—",INDEX(LubesCalc!$AL$3:$AL$122,$T124)),"")</f>
        <v/>
      </c>
      <c r="T124">
        <f>IFERROR(MATCH(120,LubesCalc!$AN$3:$AN$122,0),"")</f>
        <v/>
      </c>
    </row>
  </sheetData>
  <mergeCells count="1">
    <mergeCell ref="A2:R2"/>
  </mergeCells>
  <conditionalFormatting sqref="B5:Q124">
    <cfRule type="expression" priority="1" dxfId="0" stopIfTrue="1">
      <formula>AND(ISNUMBER(B5),B5=0)</formula>
    </cfRule>
    <cfRule type="expression" priority="2" dxfId="1" stopIfTrue="1">
      <formula>AND(ISNUMBER(B5),ABS(B5)&gt;=10)</formula>
    </cfRule>
    <cfRule type="expression" priority="3" dxfId="2" stopIfTrue="1">
      <formula>AND(ISNUMBER(B5),ABS(B5)&gt;=5)</formula>
    </cfRule>
    <cfRule type="expression" priority="4" dxfId="3" stopIfTrue="1">
      <formula>AND(ISNUMBER(B5),ABS(B5)&gt;=1)</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79"/>
  <sheetViews>
    <sheetView workbookViewId="0">
      <pane ySplit="9" topLeftCell="A10" activePane="bottomLeft" state="frozen"/>
      <selection pane="bottomLeft" activeCell="A1" sqref="A1"/>
    </sheetView>
  </sheetViews>
  <sheetFormatPr baseColWidth="8" defaultRowHeight="15"/>
  <cols>
    <col width="30" customWidth="1" min="1" max="1"/>
    <col width="11" customWidth="1" min="2" max="2"/>
    <col width="10" customWidth="1" min="3" max="3"/>
    <col width="11" customWidth="1" min="4" max="4"/>
    <col width="15" customWidth="1" min="5" max="5"/>
    <col width="13" customWidth="1" min="6" max="6"/>
    <col width="11" customWidth="1" min="7" max="7"/>
    <col width="13" customWidth="1" min="8" max="8"/>
    <col width="10" customWidth="1" min="9" max="9"/>
    <col width="15" customWidth="1" min="10" max="10"/>
    <col hidden="1" width="13" customWidth="1" min="12" max="12"/>
  </cols>
  <sheetData>
    <row r="1">
      <c r="A1" s="1" t="inlineStr">
        <is>
          <t>Heated tobacco reconciliation</t>
        </is>
      </c>
      <c r="F1" s="2">
        <f>IF(COUNT(IlumaData!$U:$U)=0,"No rows yet — no submitted heated tobacco count, or the Iluma query is not attached",IF(COUNTIFS(IlumaData!$R$2:$R$1048576,"&lt;&gt;",IlumaData!$R$2:$R$1048576,"&lt;&gt;ILUMA")&gt;0,"WRONG QUERY: this sheet has rows that are not ILUMA — reattach Iluma","Safari · "&amp;COUNT(IlumaCalc!$B$3:$B$62)&amp;" days loaded, latest "&amp;TEXT(MAX(IlumaData!$B:$B),"dd mmm yyyy")))</f>
        <v/>
      </c>
      <c r="L1">
        <f>IFERROR(MATCH($B$3,IlumaCalc!$B$3:$B$62,0),"")</f>
        <v/>
      </c>
    </row>
    <row r="2">
      <c r="A2" s="3" t="inlineStr">
        <is>
          <t>TRADING DAY (CLOSING)</t>
        </is>
      </c>
      <c r="D2" s="3" t="inlineStr">
        <is>
          <t>OPENING FROM</t>
        </is>
      </c>
      <c r="F2" s="3" t="inlineStr">
        <is>
          <t>COUNTED BY</t>
        </is>
      </c>
      <c r="H2" s="3" t="inlineStr">
        <is>
          <t>PRODUCTS</t>
        </is>
      </c>
    </row>
    <row r="3">
      <c r="A3" s="4" t="inlineStr">
        <is>
          <t>Show:</t>
        </is>
      </c>
      <c r="B3" s="5">
        <f>IFERROR(INDEX(IlumaData!$B:$B,MATCH(1,IlumaData!$U:$U,0)),"")</f>
        <v/>
      </c>
      <c r="D3" s="6">
        <f>IF($L$1="","—",IF(INDEX(IlumaCalc!$D$3:$D$62,$L$1)="","—",INDEX(IlumaCalc!$D$3:$D$62,$L$1)))</f>
        <v/>
      </c>
      <c r="F3" s="7">
        <f>IF($L$1="","—",IF(INDEX(IlumaCalc!$C$3:$C$62,$L$1)="","—",INDEX(IlumaCalc!$C$3:$C$62,$L$1)))</f>
        <v/>
      </c>
      <c r="H3" s="8">
        <f>IF($L$1="","—",IF(INDEX(IlumaCalc!$E$3:$E$62,$L$1)="","—",INDEX(IlumaCalc!$E$3:$E$62,$L$1)))</f>
        <v/>
      </c>
    </row>
    <row r="5">
      <c r="A5" s="3" t="inlineStr">
        <is>
          <t>PRODUCTS WITH VARIANCE</t>
        </is>
      </c>
      <c r="D5" s="3" t="inlineStr">
        <is>
          <t>TOTAL VARIANCE (PACKS)</t>
        </is>
      </c>
      <c r="F5" s="3" t="inlineStr">
        <is>
          <t>TOTAL VARIANCE (RM)</t>
        </is>
      </c>
      <c r="H5" s="3" t="inlineStr">
        <is>
          <t>POS SALES</t>
        </is>
      </c>
    </row>
    <row r="6">
      <c r="A6" s="9">
        <f>IF($L$1="","—",IF(INDEX(IlumaCalc!$H$3:$H$62,$L$1)="","—",INDEX(IlumaCalc!$H$3:$H$62,$L$1)))</f>
        <v/>
      </c>
      <c r="D6" s="9">
        <f>IF($L$1="","—",IF(INDEX(IlumaCalc!$I$3:$I$62,$L$1)="","—",INDEX(IlumaCalc!$I$3:$I$62,$L$1)))</f>
        <v/>
      </c>
      <c r="F6" s="10">
        <f>IF($L$1="","—",IF(INDEX(IlumaCalc!$K$3:$K$62,$L$1)="","—",INDEX(IlumaCalc!$K$3:$K$62,$L$1)))</f>
        <v/>
      </c>
      <c r="H6" s="7">
        <f>IF($L$1="","—",IF(INDEX(IlumaCalc!$M$3:$M$62,$L$1)="","—",INDEX(IlumaCalc!$M$3:$M$62,$L$1)))</f>
        <v/>
      </c>
    </row>
    <row r="7" ht="32" customHeight="1">
      <c r="A7" s="11">
        <f>IF(COUNT(IlumaData!$U:$U)=0,"Nothing to show yet. Either no heated tobacco count has been submitted, or the Iluma query is not attached — see the Setup sheet.",IF($L$1="","—",IF(INDEX(IlumaCalc!$O$3:$O$62,$L$1)="","—",INDEX(IlumaCalc!$O$3:$O$62,$L$1))))</f>
        <v/>
      </c>
    </row>
    <row r="9" ht="28" customHeight="1">
      <c r="A9" s="12" t="inlineStr">
        <is>
          <t>Product</t>
        </is>
      </c>
      <c r="B9" s="13" t="inlineStr">
        <is>
          <t>Opening</t>
        </is>
      </c>
      <c r="C9" s="13" t="inlineStr">
        <is>
          <t>Added</t>
        </is>
      </c>
      <c r="D9" s="13" t="inlineStr">
        <is>
          <t>Closing</t>
        </is>
      </c>
      <c r="E9" s="13" t="inlineStr">
        <is>
          <t>Sold (counted)</t>
        </is>
      </c>
      <c r="F9" s="13" t="inlineStr">
        <is>
          <t>Sold (POS)</t>
        </is>
      </c>
      <c r="G9" s="13" t="inlineStr">
        <is>
          <t>Variance</t>
        </is>
      </c>
      <c r="H9" s="13" t="inlineStr">
        <is>
          <t>Variance RM</t>
        </is>
      </c>
      <c r="I9" s="12" t="inlineStr">
        <is>
          <t>Item ID</t>
        </is>
      </c>
      <c r="J9" s="12" t="inlineStr">
        <is>
          <t>PLU</t>
        </is>
      </c>
    </row>
    <row r="10">
      <c r="A10" s="14">
        <f>IF(AND(ISNUMBER($L10),$L10&lt;&gt;""),INDEX(IlumaData!$G:$G,$L10),"")</f>
        <v/>
      </c>
      <c r="B10" s="15">
        <f>IF(AND(ISNUMBER($L10),$L10&lt;&gt;""),IF(INDEX(IlumaData!$I:$I,$L10)="","—",INDEX(IlumaData!$I:$I,$L10)),"")</f>
        <v/>
      </c>
      <c r="C10" s="15">
        <f>IF(AND(ISNUMBER($L10),$L10&lt;&gt;""),INDEX(IlumaData!$J:$J,$L10),"")</f>
        <v/>
      </c>
      <c r="D10" s="15">
        <f>IF(AND(ISNUMBER($L10),$L10&lt;&gt;""),INDEX(IlumaData!$K:$K,$L10),"")</f>
        <v/>
      </c>
      <c r="E10" s="15">
        <f>IF(AND(ISNUMBER($L10),$L10&lt;&gt;""),IF(INDEX(IlumaData!$L:$L,$L10)="","—",INDEX(IlumaData!$L:$L,$L10)),"")</f>
        <v/>
      </c>
      <c r="F10" s="15">
        <f>IF(AND(ISNUMBER($L10),$L10&lt;&gt;""),IF(INDEX(IlumaData!$M:$M,$L10)="","—",INDEX(IlumaData!$M:$M,$L10)),"")</f>
        <v/>
      </c>
      <c r="G10" s="16">
        <f>IF(AND(ISNUMBER($L10),$L10&lt;&gt;""),IF(INDEX(IlumaData!$N:$N,$L10)="","—",INDEX(IlumaData!$N:$N,$L10)),"")</f>
        <v/>
      </c>
      <c r="H10" s="17">
        <f>IF(AND(ISNUMBER($L10),$L10&lt;&gt;""),IF(INDEX(IlumaData!$Q:$Q,$L10)="","—",INDEX(IlumaData!$Q:$Q,$L10)),"")</f>
        <v/>
      </c>
      <c r="I10" s="18">
        <f>IF(AND(ISNUMBER($L10),$L10&lt;&gt;""),INDEX(IlumaData!$E:$E,$L10),"")</f>
        <v/>
      </c>
      <c r="J10" s="18">
        <f>IF(AND(ISNUMBER($L10),$L10&lt;&gt;""),INDEX(IlumaData!$F:$F,$L10),"")</f>
        <v/>
      </c>
      <c r="L10">
        <f>IFERROR(MATCH((YEAR($B$3)*10000+MONTH($B$3)*100+DAY($B$3))*1000+1,IlumaData!$W:$W,0),"")</f>
        <v/>
      </c>
    </row>
    <row r="11">
      <c r="A11" s="19">
        <f>IF(AND(ISNUMBER($L11),$L11&lt;&gt;""),INDEX(IlumaData!$G:$G,$L11),"")</f>
        <v/>
      </c>
      <c r="B11" s="20">
        <f>IF(AND(ISNUMBER($L11),$L11&lt;&gt;""),IF(INDEX(IlumaData!$I:$I,$L11)="","—",INDEX(IlumaData!$I:$I,$L11)),"")</f>
        <v/>
      </c>
      <c r="C11" s="20">
        <f>IF(AND(ISNUMBER($L11),$L11&lt;&gt;""),INDEX(IlumaData!$J:$J,$L11),"")</f>
        <v/>
      </c>
      <c r="D11" s="20">
        <f>IF(AND(ISNUMBER($L11),$L11&lt;&gt;""),INDEX(IlumaData!$K:$K,$L11),"")</f>
        <v/>
      </c>
      <c r="E11" s="20">
        <f>IF(AND(ISNUMBER($L11),$L11&lt;&gt;""),IF(INDEX(IlumaData!$L:$L,$L11)="","—",INDEX(IlumaData!$L:$L,$L11)),"")</f>
        <v/>
      </c>
      <c r="F11" s="20">
        <f>IF(AND(ISNUMBER($L11),$L11&lt;&gt;""),IF(INDEX(IlumaData!$M:$M,$L11)="","—",INDEX(IlumaData!$M:$M,$L11)),"")</f>
        <v/>
      </c>
      <c r="G11" s="21">
        <f>IF(AND(ISNUMBER($L11),$L11&lt;&gt;""),IF(INDEX(IlumaData!$N:$N,$L11)="","—",INDEX(IlumaData!$N:$N,$L11)),"")</f>
        <v/>
      </c>
      <c r="H11" s="22">
        <f>IF(AND(ISNUMBER($L11),$L11&lt;&gt;""),IF(INDEX(IlumaData!$Q:$Q,$L11)="","—",INDEX(IlumaData!$Q:$Q,$L11)),"")</f>
        <v/>
      </c>
      <c r="I11" s="23">
        <f>IF(AND(ISNUMBER($L11),$L11&lt;&gt;""),INDEX(IlumaData!$E:$E,$L11),"")</f>
        <v/>
      </c>
      <c r="J11" s="23">
        <f>IF(AND(ISNUMBER($L11),$L11&lt;&gt;""),INDEX(IlumaData!$F:$F,$L11),"")</f>
        <v/>
      </c>
      <c r="L11">
        <f>IFERROR(MATCH((YEAR($B$3)*10000+MONTH($B$3)*100+DAY($B$3))*1000+2,IlumaData!$W:$W,0),"")</f>
        <v/>
      </c>
    </row>
    <row r="12">
      <c r="A12" s="14">
        <f>IF(AND(ISNUMBER($L12),$L12&lt;&gt;""),INDEX(IlumaData!$G:$G,$L12),"")</f>
        <v/>
      </c>
      <c r="B12" s="15">
        <f>IF(AND(ISNUMBER($L12),$L12&lt;&gt;""),IF(INDEX(IlumaData!$I:$I,$L12)="","—",INDEX(IlumaData!$I:$I,$L12)),"")</f>
        <v/>
      </c>
      <c r="C12" s="15">
        <f>IF(AND(ISNUMBER($L12),$L12&lt;&gt;""),INDEX(IlumaData!$J:$J,$L12),"")</f>
        <v/>
      </c>
      <c r="D12" s="15">
        <f>IF(AND(ISNUMBER($L12),$L12&lt;&gt;""),INDEX(IlumaData!$K:$K,$L12),"")</f>
        <v/>
      </c>
      <c r="E12" s="15">
        <f>IF(AND(ISNUMBER($L12),$L12&lt;&gt;""),IF(INDEX(IlumaData!$L:$L,$L12)="","—",INDEX(IlumaData!$L:$L,$L12)),"")</f>
        <v/>
      </c>
      <c r="F12" s="15">
        <f>IF(AND(ISNUMBER($L12),$L12&lt;&gt;""),IF(INDEX(IlumaData!$M:$M,$L12)="","—",INDEX(IlumaData!$M:$M,$L12)),"")</f>
        <v/>
      </c>
      <c r="G12" s="16">
        <f>IF(AND(ISNUMBER($L12),$L12&lt;&gt;""),IF(INDEX(IlumaData!$N:$N,$L12)="","—",INDEX(IlumaData!$N:$N,$L12)),"")</f>
        <v/>
      </c>
      <c r="H12" s="17">
        <f>IF(AND(ISNUMBER($L12),$L12&lt;&gt;""),IF(INDEX(IlumaData!$Q:$Q,$L12)="","—",INDEX(IlumaData!$Q:$Q,$L12)),"")</f>
        <v/>
      </c>
      <c r="I12" s="18">
        <f>IF(AND(ISNUMBER($L12),$L12&lt;&gt;""),INDEX(IlumaData!$E:$E,$L12),"")</f>
        <v/>
      </c>
      <c r="J12" s="18">
        <f>IF(AND(ISNUMBER($L12),$L12&lt;&gt;""),INDEX(IlumaData!$F:$F,$L12),"")</f>
        <v/>
      </c>
      <c r="L12">
        <f>IFERROR(MATCH((YEAR($B$3)*10000+MONTH($B$3)*100+DAY($B$3))*1000+3,IlumaData!$W:$W,0),"")</f>
        <v/>
      </c>
    </row>
    <row r="13">
      <c r="A13" s="19">
        <f>IF(AND(ISNUMBER($L13),$L13&lt;&gt;""),INDEX(IlumaData!$G:$G,$L13),"")</f>
        <v/>
      </c>
      <c r="B13" s="20">
        <f>IF(AND(ISNUMBER($L13),$L13&lt;&gt;""),IF(INDEX(IlumaData!$I:$I,$L13)="","—",INDEX(IlumaData!$I:$I,$L13)),"")</f>
        <v/>
      </c>
      <c r="C13" s="20">
        <f>IF(AND(ISNUMBER($L13),$L13&lt;&gt;""),INDEX(IlumaData!$J:$J,$L13),"")</f>
        <v/>
      </c>
      <c r="D13" s="20">
        <f>IF(AND(ISNUMBER($L13),$L13&lt;&gt;""),INDEX(IlumaData!$K:$K,$L13),"")</f>
        <v/>
      </c>
      <c r="E13" s="20">
        <f>IF(AND(ISNUMBER($L13),$L13&lt;&gt;""),IF(INDEX(IlumaData!$L:$L,$L13)="","—",INDEX(IlumaData!$L:$L,$L13)),"")</f>
        <v/>
      </c>
      <c r="F13" s="20">
        <f>IF(AND(ISNUMBER($L13),$L13&lt;&gt;""),IF(INDEX(IlumaData!$M:$M,$L13)="","—",INDEX(IlumaData!$M:$M,$L13)),"")</f>
        <v/>
      </c>
      <c r="G13" s="21">
        <f>IF(AND(ISNUMBER($L13),$L13&lt;&gt;""),IF(INDEX(IlumaData!$N:$N,$L13)="","—",INDEX(IlumaData!$N:$N,$L13)),"")</f>
        <v/>
      </c>
      <c r="H13" s="22">
        <f>IF(AND(ISNUMBER($L13),$L13&lt;&gt;""),IF(INDEX(IlumaData!$Q:$Q,$L13)="","—",INDEX(IlumaData!$Q:$Q,$L13)),"")</f>
        <v/>
      </c>
      <c r="I13" s="23">
        <f>IF(AND(ISNUMBER($L13),$L13&lt;&gt;""),INDEX(IlumaData!$E:$E,$L13),"")</f>
        <v/>
      </c>
      <c r="J13" s="23">
        <f>IF(AND(ISNUMBER($L13),$L13&lt;&gt;""),INDEX(IlumaData!$F:$F,$L13),"")</f>
        <v/>
      </c>
      <c r="L13">
        <f>IFERROR(MATCH((YEAR($B$3)*10000+MONTH($B$3)*100+DAY($B$3))*1000+4,IlumaData!$W:$W,0),"")</f>
        <v/>
      </c>
    </row>
    <row r="14">
      <c r="A14" s="14">
        <f>IF(AND(ISNUMBER($L14),$L14&lt;&gt;""),INDEX(IlumaData!$G:$G,$L14),"")</f>
        <v/>
      </c>
      <c r="B14" s="15">
        <f>IF(AND(ISNUMBER($L14),$L14&lt;&gt;""),IF(INDEX(IlumaData!$I:$I,$L14)="","—",INDEX(IlumaData!$I:$I,$L14)),"")</f>
        <v/>
      </c>
      <c r="C14" s="15">
        <f>IF(AND(ISNUMBER($L14),$L14&lt;&gt;""),INDEX(IlumaData!$J:$J,$L14),"")</f>
        <v/>
      </c>
      <c r="D14" s="15">
        <f>IF(AND(ISNUMBER($L14),$L14&lt;&gt;""),INDEX(IlumaData!$K:$K,$L14),"")</f>
        <v/>
      </c>
      <c r="E14" s="15">
        <f>IF(AND(ISNUMBER($L14),$L14&lt;&gt;""),IF(INDEX(IlumaData!$L:$L,$L14)="","—",INDEX(IlumaData!$L:$L,$L14)),"")</f>
        <v/>
      </c>
      <c r="F14" s="15">
        <f>IF(AND(ISNUMBER($L14),$L14&lt;&gt;""),IF(INDEX(IlumaData!$M:$M,$L14)="","—",INDEX(IlumaData!$M:$M,$L14)),"")</f>
        <v/>
      </c>
      <c r="G14" s="16">
        <f>IF(AND(ISNUMBER($L14),$L14&lt;&gt;""),IF(INDEX(IlumaData!$N:$N,$L14)="","—",INDEX(IlumaData!$N:$N,$L14)),"")</f>
        <v/>
      </c>
      <c r="H14" s="17">
        <f>IF(AND(ISNUMBER($L14),$L14&lt;&gt;""),IF(INDEX(IlumaData!$Q:$Q,$L14)="","—",INDEX(IlumaData!$Q:$Q,$L14)),"")</f>
        <v/>
      </c>
      <c r="I14" s="18">
        <f>IF(AND(ISNUMBER($L14),$L14&lt;&gt;""),INDEX(IlumaData!$E:$E,$L14),"")</f>
        <v/>
      </c>
      <c r="J14" s="18">
        <f>IF(AND(ISNUMBER($L14),$L14&lt;&gt;""),INDEX(IlumaData!$F:$F,$L14),"")</f>
        <v/>
      </c>
      <c r="L14">
        <f>IFERROR(MATCH((YEAR($B$3)*10000+MONTH($B$3)*100+DAY($B$3))*1000+5,IlumaData!$W:$W,0),"")</f>
        <v/>
      </c>
    </row>
    <row r="15">
      <c r="A15" s="19">
        <f>IF(AND(ISNUMBER($L15),$L15&lt;&gt;""),INDEX(IlumaData!$G:$G,$L15),"")</f>
        <v/>
      </c>
      <c r="B15" s="20">
        <f>IF(AND(ISNUMBER($L15),$L15&lt;&gt;""),IF(INDEX(IlumaData!$I:$I,$L15)="","—",INDEX(IlumaData!$I:$I,$L15)),"")</f>
        <v/>
      </c>
      <c r="C15" s="20">
        <f>IF(AND(ISNUMBER($L15),$L15&lt;&gt;""),INDEX(IlumaData!$J:$J,$L15),"")</f>
        <v/>
      </c>
      <c r="D15" s="20">
        <f>IF(AND(ISNUMBER($L15),$L15&lt;&gt;""),INDEX(IlumaData!$K:$K,$L15),"")</f>
        <v/>
      </c>
      <c r="E15" s="20">
        <f>IF(AND(ISNUMBER($L15),$L15&lt;&gt;""),IF(INDEX(IlumaData!$L:$L,$L15)="","—",INDEX(IlumaData!$L:$L,$L15)),"")</f>
        <v/>
      </c>
      <c r="F15" s="20">
        <f>IF(AND(ISNUMBER($L15),$L15&lt;&gt;""),IF(INDEX(IlumaData!$M:$M,$L15)="","—",INDEX(IlumaData!$M:$M,$L15)),"")</f>
        <v/>
      </c>
      <c r="G15" s="21">
        <f>IF(AND(ISNUMBER($L15),$L15&lt;&gt;""),IF(INDEX(IlumaData!$N:$N,$L15)="","—",INDEX(IlumaData!$N:$N,$L15)),"")</f>
        <v/>
      </c>
      <c r="H15" s="22">
        <f>IF(AND(ISNUMBER($L15),$L15&lt;&gt;""),IF(INDEX(IlumaData!$Q:$Q,$L15)="","—",INDEX(IlumaData!$Q:$Q,$L15)),"")</f>
        <v/>
      </c>
      <c r="I15" s="23">
        <f>IF(AND(ISNUMBER($L15),$L15&lt;&gt;""),INDEX(IlumaData!$E:$E,$L15),"")</f>
        <v/>
      </c>
      <c r="J15" s="23">
        <f>IF(AND(ISNUMBER($L15),$L15&lt;&gt;""),INDEX(IlumaData!$F:$F,$L15),"")</f>
        <v/>
      </c>
      <c r="L15">
        <f>IFERROR(MATCH((YEAR($B$3)*10000+MONTH($B$3)*100+DAY($B$3))*1000+6,IlumaData!$W:$W,0),"")</f>
        <v/>
      </c>
    </row>
    <row r="16">
      <c r="A16" s="14">
        <f>IF(AND(ISNUMBER($L16),$L16&lt;&gt;""),INDEX(IlumaData!$G:$G,$L16),"")</f>
        <v/>
      </c>
      <c r="B16" s="15">
        <f>IF(AND(ISNUMBER($L16),$L16&lt;&gt;""),IF(INDEX(IlumaData!$I:$I,$L16)="","—",INDEX(IlumaData!$I:$I,$L16)),"")</f>
        <v/>
      </c>
      <c r="C16" s="15">
        <f>IF(AND(ISNUMBER($L16),$L16&lt;&gt;""),INDEX(IlumaData!$J:$J,$L16),"")</f>
        <v/>
      </c>
      <c r="D16" s="15">
        <f>IF(AND(ISNUMBER($L16),$L16&lt;&gt;""),INDEX(IlumaData!$K:$K,$L16),"")</f>
        <v/>
      </c>
      <c r="E16" s="15">
        <f>IF(AND(ISNUMBER($L16),$L16&lt;&gt;""),IF(INDEX(IlumaData!$L:$L,$L16)="","—",INDEX(IlumaData!$L:$L,$L16)),"")</f>
        <v/>
      </c>
      <c r="F16" s="15">
        <f>IF(AND(ISNUMBER($L16),$L16&lt;&gt;""),IF(INDEX(IlumaData!$M:$M,$L16)="","—",INDEX(IlumaData!$M:$M,$L16)),"")</f>
        <v/>
      </c>
      <c r="G16" s="16">
        <f>IF(AND(ISNUMBER($L16),$L16&lt;&gt;""),IF(INDEX(IlumaData!$N:$N,$L16)="","—",INDEX(IlumaData!$N:$N,$L16)),"")</f>
        <v/>
      </c>
      <c r="H16" s="17">
        <f>IF(AND(ISNUMBER($L16),$L16&lt;&gt;""),IF(INDEX(IlumaData!$Q:$Q,$L16)="","—",INDEX(IlumaData!$Q:$Q,$L16)),"")</f>
        <v/>
      </c>
      <c r="I16" s="18">
        <f>IF(AND(ISNUMBER($L16),$L16&lt;&gt;""),INDEX(IlumaData!$E:$E,$L16),"")</f>
        <v/>
      </c>
      <c r="J16" s="18">
        <f>IF(AND(ISNUMBER($L16),$L16&lt;&gt;""),INDEX(IlumaData!$F:$F,$L16),"")</f>
        <v/>
      </c>
      <c r="L16">
        <f>IFERROR(MATCH((YEAR($B$3)*10000+MONTH($B$3)*100+DAY($B$3))*1000+7,IlumaData!$W:$W,0),"")</f>
        <v/>
      </c>
    </row>
    <row r="17">
      <c r="A17" s="19">
        <f>IF(AND(ISNUMBER($L17),$L17&lt;&gt;""),INDEX(IlumaData!$G:$G,$L17),"")</f>
        <v/>
      </c>
      <c r="B17" s="20">
        <f>IF(AND(ISNUMBER($L17),$L17&lt;&gt;""),IF(INDEX(IlumaData!$I:$I,$L17)="","—",INDEX(IlumaData!$I:$I,$L17)),"")</f>
        <v/>
      </c>
      <c r="C17" s="20">
        <f>IF(AND(ISNUMBER($L17),$L17&lt;&gt;""),INDEX(IlumaData!$J:$J,$L17),"")</f>
        <v/>
      </c>
      <c r="D17" s="20">
        <f>IF(AND(ISNUMBER($L17),$L17&lt;&gt;""),INDEX(IlumaData!$K:$K,$L17),"")</f>
        <v/>
      </c>
      <c r="E17" s="20">
        <f>IF(AND(ISNUMBER($L17),$L17&lt;&gt;""),IF(INDEX(IlumaData!$L:$L,$L17)="","—",INDEX(IlumaData!$L:$L,$L17)),"")</f>
        <v/>
      </c>
      <c r="F17" s="20">
        <f>IF(AND(ISNUMBER($L17),$L17&lt;&gt;""),IF(INDEX(IlumaData!$M:$M,$L17)="","—",INDEX(IlumaData!$M:$M,$L17)),"")</f>
        <v/>
      </c>
      <c r="G17" s="21">
        <f>IF(AND(ISNUMBER($L17),$L17&lt;&gt;""),IF(INDEX(IlumaData!$N:$N,$L17)="","—",INDEX(IlumaData!$N:$N,$L17)),"")</f>
        <v/>
      </c>
      <c r="H17" s="22">
        <f>IF(AND(ISNUMBER($L17),$L17&lt;&gt;""),IF(INDEX(IlumaData!$Q:$Q,$L17)="","—",INDEX(IlumaData!$Q:$Q,$L17)),"")</f>
        <v/>
      </c>
      <c r="I17" s="23">
        <f>IF(AND(ISNUMBER($L17),$L17&lt;&gt;""),INDEX(IlumaData!$E:$E,$L17),"")</f>
        <v/>
      </c>
      <c r="J17" s="23">
        <f>IF(AND(ISNUMBER($L17),$L17&lt;&gt;""),INDEX(IlumaData!$F:$F,$L17),"")</f>
        <v/>
      </c>
      <c r="L17">
        <f>IFERROR(MATCH((YEAR($B$3)*10000+MONTH($B$3)*100+DAY($B$3))*1000+8,IlumaData!$W:$W,0),"")</f>
        <v/>
      </c>
    </row>
    <row r="18">
      <c r="A18" s="14">
        <f>IF(AND(ISNUMBER($L18),$L18&lt;&gt;""),INDEX(IlumaData!$G:$G,$L18),"")</f>
        <v/>
      </c>
      <c r="B18" s="15">
        <f>IF(AND(ISNUMBER($L18),$L18&lt;&gt;""),IF(INDEX(IlumaData!$I:$I,$L18)="","—",INDEX(IlumaData!$I:$I,$L18)),"")</f>
        <v/>
      </c>
      <c r="C18" s="15">
        <f>IF(AND(ISNUMBER($L18),$L18&lt;&gt;""),INDEX(IlumaData!$J:$J,$L18),"")</f>
        <v/>
      </c>
      <c r="D18" s="15">
        <f>IF(AND(ISNUMBER($L18),$L18&lt;&gt;""),INDEX(IlumaData!$K:$K,$L18),"")</f>
        <v/>
      </c>
      <c r="E18" s="15">
        <f>IF(AND(ISNUMBER($L18),$L18&lt;&gt;""),IF(INDEX(IlumaData!$L:$L,$L18)="","—",INDEX(IlumaData!$L:$L,$L18)),"")</f>
        <v/>
      </c>
      <c r="F18" s="15">
        <f>IF(AND(ISNUMBER($L18),$L18&lt;&gt;""),IF(INDEX(IlumaData!$M:$M,$L18)="","—",INDEX(IlumaData!$M:$M,$L18)),"")</f>
        <v/>
      </c>
      <c r="G18" s="16">
        <f>IF(AND(ISNUMBER($L18),$L18&lt;&gt;""),IF(INDEX(IlumaData!$N:$N,$L18)="","—",INDEX(IlumaData!$N:$N,$L18)),"")</f>
        <v/>
      </c>
      <c r="H18" s="17">
        <f>IF(AND(ISNUMBER($L18),$L18&lt;&gt;""),IF(INDEX(IlumaData!$Q:$Q,$L18)="","—",INDEX(IlumaData!$Q:$Q,$L18)),"")</f>
        <v/>
      </c>
      <c r="I18" s="18">
        <f>IF(AND(ISNUMBER($L18),$L18&lt;&gt;""),INDEX(IlumaData!$E:$E,$L18),"")</f>
        <v/>
      </c>
      <c r="J18" s="18">
        <f>IF(AND(ISNUMBER($L18),$L18&lt;&gt;""),INDEX(IlumaData!$F:$F,$L18),"")</f>
        <v/>
      </c>
      <c r="L18">
        <f>IFERROR(MATCH((YEAR($B$3)*10000+MONTH($B$3)*100+DAY($B$3))*1000+9,IlumaData!$W:$W,0),"")</f>
        <v/>
      </c>
    </row>
    <row r="19">
      <c r="A19" s="19">
        <f>IF(AND(ISNUMBER($L19),$L19&lt;&gt;""),INDEX(IlumaData!$G:$G,$L19),"")</f>
        <v/>
      </c>
      <c r="B19" s="20">
        <f>IF(AND(ISNUMBER($L19),$L19&lt;&gt;""),IF(INDEX(IlumaData!$I:$I,$L19)="","—",INDEX(IlumaData!$I:$I,$L19)),"")</f>
        <v/>
      </c>
      <c r="C19" s="20">
        <f>IF(AND(ISNUMBER($L19),$L19&lt;&gt;""),INDEX(IlumaData!$J:$J,$L19),"")</f>
        <v/>
      </c>
      <c r="D19" s="20">
        <f>IF(AND(ISNUMBER($L19),$L19&lt;&gt;""),INDEX(IlumaData!$K:$K,$L19),"")</f>
        <v/>
      </c>
      <c r="E19" s="20">
        <f>IF(AND(ISNUMBER($L19),$L19&lt;&gt;""),IF(INDEX(IlumaData!$L:$L,$L19)="","—",INDEX(IlumaData!$L:$L,$L19)),"")</f>
        <v/>
      </c>
      <c r="F19" s="20">
        <f>IF(AND(ISNUMBER($L19),$L19&lt;&gt;""),IF(INDEX(IlumaData!$M:$M,$L19)="","—",INDEX(IlumaData!$M:$M,$L19)),"")</f>
        <v/>
      </c>
      <c r="G19" s="21">
        <f>IF(AND(ISNUMBER($L19),$L19&lt;&gt;""),IF(INDEX(IlumaData!$N:$N,$L19)="","—",INDEX(IlumaData!$N:$N,$L19)),"")</f>
        <v/>
      </c>
      <c r="H19" s="22">
        <f>IF(AND(ISNUMBER($L19),$L19&lt;&gt;""),IF(INDEX(IlumaData!$Q:$Q,$L19)="","—",INDEX(IlumaData!$Q:$Q,$L19)),"")</f>
        <v/>
      </c>
      <c r="I19" s="23">
        <f>IF(AND(ISNUMBER($L19),$L19&lt;&gt;""),INDEX(IlumaData!$E:$E,$L19),"")</f>
        <v/>
      </c>
      <c r="J19" s="23">
        <f>IF(AND(ISNUMBER($L19),$L19&lt;&gt;""),INDEX(IlumaData!$F:$F,$L19),"")</f>
        <v/>
      </c>
      <c r="L19">
        <f>IFERROR(MATCH((YEAR($B$3)*10000+MONTH($B$3)*100+DAY($B$3))*1000+10,IlumaData!$W:$W,0),"")</f>
        <v/>
      </c>
    </row>
    <row r="20">
      <c r="A20" s="14">
        <f>IF(AND(ISNUMBER($L20),$L20&lt;&gt;""),INDEX(IlumaData!$G:$G,$L20),"")</f>
        <v/>
      </c>
      <c r="B20" s="15">
        <f>IF(AND(ISNUMBER($L20),$L20&lt;&gt;""),IF(INDEX(IlumaData!$I:$I,$L20)="","—",INDEX(IlumaData!$I:$I,$L20)),"")</f>
        <v/>
      </c>
      <c r="C20" s="15">
        <f>IF(AND(ISNUMBER($L20),$L20&lt;&gt;""),INDEX(IlumaData!$J:$J,$L20),"")</f>
        <v/>
      </c>
      <c r="D20" s="15">
        <f>IF(AND(ISNUMBER($L20),$L20&lt;&gt;""),INDEX(IlumaData!$K:$K,$L20),"")</f>
        <v/>
      </c>
      <c r="E20" s="15">
        <f>IF(AND(ISNUMBER($L20),$L20&lt;&gt;""),IF(INDEX(IlumaData!$L:$L,$L20)="","—",INDEX(IlumaData!$L:$L,$L20)),"")</f>
        <v/>
      </c>
      <c r="F20" s="15">
        <f>IF(AND(ISNUMBER($L20),$L20&lt;&gt;""),IF(INDEX(IlumaData!$M:$M,$L20)="","—",INDEX(IlumaData!$M:$M,$L20)),"")</f>
        <v/>
      </c>
      <c r="G20" s="16">
        <f>IF(AND(ISNUMBER($L20),$L20&lt;&gt;""),IF(INDEX(IlumaData!$N:$N,$L20)="","—",INDEX(IlumaData!$N:$N,$L20)),"")</f>
        <v/>
      </c>
      <c r="H20" s="17">
        <f>IF(AND(ISNUMBER($L20),$L20&lt;&gt;""),IF(INDEX(IlumaData!$Q:$Q,$L20)="","—",INDEX(IlumaData!$Q:$Q,$L20)),"")</f>
        <v/>
      </c>
      <c r="I20" s="18">
        <f>IF(AND(ISNUMBER($L20),$L20&lt;&gt;""),INDEX(IlumaData!$E:$E,$L20),"")</f>
        <v/>
      </c>
      <c r="J20" s="18">
        <f>IF(AND(ISNUMBER($L20),$L20&lt;&gt;""),INDEX(IlumaData!$F:$F,$L20),"")</f>
        <v/>
      </c>
      <c r="L20">
        <f>IFERROR(MATCH((YEAR($B$3)*10000+MONTH($B$3)*100+DAY($B$3))*1000+11,IlumaData!$W:$W,0),"")</f>
        <v/>
      </c>
    </row>
    <row r="21">
      <c r="A21" s="19">
        <f>IF(AND(ISNUMBER($L21),$L21&lt;&gt;""),INDEX(IlumaData!$G:$G,$L21),"")</f>
        <v/>
      </c>
      <c r="B21" s="20">
        <f>IF(AND(ISNUMBER($L21),$L21&lt;&gt;""),IF(INDEX(IlumaData!$I:$I,$L21)="","—",INDEX(IlumaData!$I:$I,$L21)),"")</f>
        <v/>
      </c>
      <c r="C21" s="20">
        <f>IF(AND(ISNUMBER($L21),$L21&lt;&gt;""),INDEX(IlumaData!$J:$J,$L21),"")</f>
        <v/>
      </c>
      <c r="D21" s="20">
        <f>IF(AND(ISNUMBER($L21),$L21&lt;&gt;""),INDEX(IlumaData!$K:$K,$L21),"")</f>
        <v/>
      </c>
      <c r="E21" s="20">
        <f>IF(AND(ISNUMBER($L21),$L21&lt;&gt;""),IF(INDEX(IlumaData!$L:$L,$L21)="","—",INDEX(IlumaData!$L:$L,$L21)),"")</f>
        <v/>
      </c>
      <c r="F21" s="20">
        <f>IF(AND(ISNUMBER($L21),$L21&lt;&gt;""),IF(INDEX(IlumaData!$M:$M,$L21)="","—",INDEX(IlumaData!$M:$M,$L21)),"")</f>
        <v/>
      </c>
      <c r="G21" s="21">
        <f>IF(AND(ISNUMBER($L21),$L21&lt;&gt;""),IF(INDEX(IlumaData!$N:$N,$L21)="","—",INDEX(IlumaData!$N:$N,$L21)),"")</f>
        <v/>
      </c>
      <c r="H21" s="22">
        <f>IF(AND(ISNUMBER($L21),$L21&lt;&gt;""),IF(INDEX(IlumaData!$Q:$Q,$L21)="","—",INDEX(IlumaData!$Q:$Q,$L21)),"")</f>
        <v/>
      </c>
      <c r="I21" s="23">
        <f>IF(AND(ISNUMBER($L21),$L21&lt;&gt;""),INDEX(IlumaData!$E:$E,$L21),"")</f>
        <v/>
      </c>
      <c r="J21" s="23">
        <f>IF(AND(ISNUMBER($L21),$L21&lt;&gt;""),INDEX(IlumaData!$F:$F,$L21),"")</f>
        <v/>
      </c>
      <c r="L21">
        <f>IFERROR(MATCH((YEAR($B$3)*10000+MONTH($B$3)*100+DAY($B$3))*1000+12,IlumaData!$W:$W,0),"")</f>
        <v/>
      </c>
    </row>
    <row r="22">
      <c r="A22" s="14">
        <f>IF(AND(ISNUMBER($L22),$L22&lt;&gt;""),INDEX(IlumaData!$G:$G,$L22),"")</f>
        <v/>
      </c>
      <c r="B22" s="15">
        <f>IF(AND(ISNUMBER($L22),$L22&lt;&gt;""),IF(INDEX(IlumaData!$I:$I,$L22)="","—",INDEX(IlumaData!$I:$I,$L22)),"")</f>
        <v/>
      </c>
      <c r="C22" s="15">
        <f>IF(AND(ISNUMBER($L22),$L22&lt;&gt;""),INDEX(IlumaData!$J:$J,$L22),"")</f>
        <v/>
      </c>
      <c r="D22" s="15">
        <f>IF(AND(ISNUMBER($L22),$L22&lt;&gt;""),INDEX(IlumaData!$K:$K,$L22),"")</f>
        <v/>
      </c>
      <c r="E22" s="15">
        <f>IF(AND(ISNUMBER($L22),$L22&lt;&gt;""),IF(INDEX(IlumaData!$L:$L,$L22)="","—",INDEX(IlumaData!$L:$L,$L22)),"")</f>
        <v/>
      </c>
      <c r="F22" s="15">
        <f>IF(AND(ISNUMBER($L22),$L22&lt;&gt;""),IF(INDEX(IlumaData!$M:$M,$L22)="","—",INDEX(IlumaData!$M:$M,$L22)),"")</f>
        <v/>
      </c>
      <c r="G22" s="16">
        <f>IF(AND(ISNUMBER($L22),$L22&lt;&gt;""),IF(INDEX(IlumaData!$N:$N,$L22)="","—",INDEX(IlumaData!$N:$N,$L22)),"")</f>
        <v/>
      </c>
      <c r="H22" s="17">
        <f>IF(AND(ISNUMBER($L22),$L22&lt;&gt;""),IF(INDEX(IlumaData!$Q:$Q,$L22)="","—",INDEX(IlumaData!$Q:$Q,$L22)),"")</f>
        <v/>
      </c>
      <c r="I22" s="18">
        <f>IF(AND(ISNUMBER($L22),$L22&lt;&gt;""),INDEX(IlumaData!$E:$E,$L22),"")</f>
        <v/>
      </c>
      <c r="J22" s="18">
        <f>IF(AND(ISNUMBER($L22),$L22&lt;&gt;""),INDEX(IlumaData!$F:$F,$L22),"")</f>
        <v/>
      </c>
      <c r="L22">
        <f>IFERROR(MATCH((YEAR($B$3)*10000+MONTH($B$3)*100+DAY($B$3))*1000+13,IlumaData!$W:$W,0),"")</f>
        <v/>
      </c>
    </row>
    <row r="23">
      <c r="A23" s="19">
        <f>IF(AND(ISNUMBER($L23),$L23&lt;&gt;""),INDEX(IlumaData!$G:$G,$L23),"")</f>
        <v/>
      </c>
      <c r="B23" s="20">
        <f>IF(AND(ISNUMBER($L23),$L23&lt;&gt;""),IF(INDEX(IlumaData!$I:$I,$L23)="","—",INDEX(IlumaData!$I:$I,$L23)),"")</f>
        <v/>
      </c>
      <c r="C23" s="20">
        <f>IF(AND(ISNUMBER($L23),$L23&lt;&gt;""),INDEX(IlumaData!$J:$J,$L23),"")</f>
        <v/>
      </c>
      <c r="D23" s="20">
        <f>IF(AND(ISNUMBER($L23),$L23&lt;&gt;""),INDEX(IlumaData!$K:$K,$L23),"")</f>
        <v/>
      </c>
      <c r="E23" s="20">
        <f>IF(AND(ISNUMBER($L23),$L23&lt;&gt;""),IF(INDEX(IlumaData!$L:$L,$L23)="","—",INDEX(IlumaData!$L:$L,$L23)),"")</f>
        <v/>
      </c>
      <c r="F23" s="20">
        <f>IF(AND(ISNUMBER($L23),$L23&lt;&gt;""),IF(INDEX(IlumaData!$M:$M,$L23)="","—",INDEX(IlumaData!$M:$M,$L23)),"")</f>
        <v/>
      </c>
      <c r="G23" s="21">
        <f>IF(AND(ISNUMBER($L23),$L23&lt;&gt;""),IF(INDEX(IlumaData!$N:$N,$L23)="","—",INDEX(IlumaData!$N:$N,$L23)),"")</f>
        <v/>
      </c>
      <c r="H23" s="22">
        <f>IF(AND(ISNUMBER($L23),$L23&lt;&gt;""),IF(INDEX(IlumaData!$Q:$Q,$L23)="","—",INDEX(IlumaData!$Q:$Q,$L23)),"")</f>
        <v/>
      </c>
      <c r="I23" s="23">
        <f>IF(AND(ISNUMBER($L23),$L23&lt;&gt;""),INDEX(IlumaData!$E:$E,$L23),"")</f>
        <v/>
      </c>
      <c r="J23" s="23">
        <f>IF(AND(ISNUMBER($L23),$L23&lt;&gt;""),INDEX(IlumaData!$F:$F,$L23),"")</f>
        <v/>
      </c>
      <c r="L23">
        <f>IFERROR(MATCH((YEAR($B$3)*10000+MONTH($B$3)*100+DAY($B$3))*1000+14,IlumaData!$W:$W,0),"")</f>
        <v/>
      </c>
    </row>
    <row r="24">
      <c r="A24" s="14">
        <f>IF(AND(ISNUMBER($L24),$L24&lt;&gt;""),INDEX(IlumaData!$G:$G,$L24),"")</f>
        <v/>
      </c>
      <c r="B24" s="15">
        <f>IF(AND(ISNUMBER($L24),$L24&lt;&gt;""),IF(INDEX(IlumaData!$I:$I,$L24)="","—",INDEX(IlumaData!$I:$I,$L24)),"")</f>
        <v/>
      </c>
      <c r="C24" s="15">
        <f>IF(AND(ISNUMBER($L24),$L24&lt;&gt;""),INDEX(IlumaData!$J:$J,$L24),"")</f>
        <v/>
      </c>
      <c r="D24" s="15">
        <f>IF(AND(ISNUMBER($L24),$L24&lt;&gt;""),INDEX(IlumaData!$K:$K,$L24),"")</f>
        <v/>
      </c>
      <c r="E24" s="15">
        <f>IF(AND(ISNUMBER($L24),$L24&lt;&gt;""),IF(INDEX(IlumaData!$L:$L,$L24)="","—",INDEX(IlumaData!$L:$L,$L24)),"")</f>
        <v/>
      </c>
      <c r="F24" s="15">
        <f>IF(AND(ISNUMBER($L24),$L24&lt;&gt;""),IF(INDEX(IlumaData!$M:$M,$L24)="","—",INDEX(IlumaData!$M:$M,$L24)),"")</f>
        <v/>
      </c>
      <c r="G24" s="16">
        <f>IF(AND(ISNUMBER($L24),$L24&lt;&gt;""),IF(INDEX(IlumaData!$N:$N,$L24)="","—",INDEX(IlumaData!$N:$N,$L24)),"")</f>
        <v/>
      </c>
      <c r="H24" s="17">
        <f>IF(AND(ISNUMBER($L24),$L24&lt;&gt;""),IF(INDEX(IlumaData!$Q:$Q,$L24)="","—",INDEX(IlumaData!$Q:$Q,$L24)),"")</f>
        <v/>
      </c>
      <c r="I24" s="18">
        <f>IF(AND(ISNUMBER($L24),$L24&lt;&gt;""),INDEX(IlumaData!$E:$E,$L24),"")</f>
        <v/>
      </c>
      <c r="J24" s="18">
        <f>IF(AND(ISNUMBER($L24),$L24&lt;&gt;""),INDEX(IlumaData!$F:$F,$L24),"")</f>
        <v/>
      </c>
      <c r="L24">
        <f>IFERROR(MATCH((YEAR($B$3)*10000+MONTH($B$3)*100+DAY($B$3))*1000+15,IlumaData!$W:$W,0),"")</f>
        <v/>
      </c>
    </row>
    <row r="25">
      <c r="A25" s="19">
        <f>IF(AND(ISNUMBER($L25),$L25&lt;&gt;""),INDEX(IlumaData!$G:$G,$L25),"")</f>
        <v/>
      </c>
      <c r="B25" s="20">
        <f>IF(AND(ISNUMBER($L25),$L25&lt;&gt;""),IF(INDEX(IlumaData!$I:$I,$L25)="","—",INDEX(IlumaData!$I:$I,$L25)),"")</f>
        <v/>
      </c>
      <c r="C25" s="20">
        <f>IF(AND(ISNUMBER($L25),$L25&lt;&gt;""),INDEX(IlumaData!$J:$J,$L25),"")</f>
        <v/>
      </c>
      <c r="D25" s="20">
        <f>IF(AND(ISNUMBER($L25),$L25&lt;&gt;""),INDEX(IlumaData!$K:$K,$L25),"")</f>
        <v/>
      </c>
      <c r="E25" s="20">
        <f>IF(AND(ISNUMBER($L25),$L25&lt;&gt;""),IF(INDEX(IlumaData!$L:$L,$L25)="","—",INDEX(IlumaData!$L:$L,$L25)),"")</f>
        <v/>
      </c>
      <c r="F25" s="20">
        <f>IF(AND(ISNUMBER($L25),$L25&lt;&gt;""),IF(INDEX(IlumaData!$M:$M,$L25)="","—",INDEX(IlumaData!$M:$M,$L25)),"")</f>
        <v/>
      </c>
      <c r="G25" s="21">
        <f>IF(AND(ISNUMBER($L25),$L25&lt;&gt;""),IF(INDEX(IlumaData!$N:$N,$L25)="","—",INDEX(IlumaData!$N:$N,$L25)),"")</f>
        <v/>
      </c>
      <c r="H25" s="22">
        <f>IF(AND(ISNUMBER($L25),$L25&lt;&gt;""),IF(INDEX(IlumaData!$Q:$Q,$L25)="","—",INDEX(IlumaData!$Q:$Q,$L25)),"")</f>
        <v/>
      </c>
      <c r="I25" s="23">
        <f>IF(AND(ISNUMBER($L25),$L25&lt;&gt;""),INDEX(IlumaData!$E:$E,$L25),"")</f>
        <v/>
      </c>
      <c r="J25" s="23">
        <f>IF(AND(ISNUMBER($L25),$L25&lt;&gt;""),INDEX(IlumaData!$F:$F,$L25),"")</f>
        <v/>
      </c>
      <c r="L25">
        <f>IFERROR(MATCH((YEAR($B$3)*10000+MONTH($B$3)*100+DAY($B$3))*1000+16,IlumaData!$W:$W,0),"")</f>
        <v/>
      </c>
    </row>
    <row r="26">
      <c r="A26" s="14">
        <f>IF(AND(ISNUMBER($L26),$L26&lt;&gt;""),INDEX(IlumaData!$G:$G,$L26),"")</f>
        <v/>
      </c>
      <c r="B26" s="15">
        <f>IF(AND(ISNUMBER($L26),$L26&lt;&gt;""),IF(INDEX(IlumaData!$I:$I,$L26)="","—",INDEX(IlumaData!$I:$I,$L26)),"")</f>
        <v/>
      </c>
      <c r="C26" s="15">
        <f>IF(AND(ISNUMBER($L26),$L26&lt;&gt;""),INDEX(IlumaData!$J:$J,$L26),"")</f>
        <v/>
      </c>
      <c r="D26" s="15">
        <f>IF(AND(ISNUMBER($L26),$L26&lt;&gt;""),INDEX(IlumaData!$K:$K,$L26),"")</f>
        <v/>
      </c>
      <c r="E26" s="15">
        <f>IF(AND(ISNUMBER($L26),$L26&lt;&gt;""),IF(INDEX(IlumaData!$L:$L,$L26)="","—",INDEX(IlumaData!$L:$L,$L26)),"")</f>
        <v/>
      </c>
      <c r="F26" s="15">
        <f>IF(AND(ISNUMBER($L26),$L26&lt;&gt;""),IF(INDEX(IlumaData!$M:$M,$L26)="","—",INDEX(IlumaData!$M:$M,$L26)),"")</f>
        <v/>
      </c>
      <c r="G26" s="16">
        <f>IF(AND(ISNUMBER($L26),$L26&lt;&gt;""),IF(INDEX(IlumaData!$N:$N,$L26)="","—",INDEX(IlumaData!$N:$N,$L26)),"")</f>
        <v/>
      </c>
      <c r="H26" s="17">
        <f>IF(AND(ISNUMBER($L26),$L26&lt;&gt;""),IF(INDEX(IlumaData!$Q:$Q,$L26)="","—",INDEX(IlumaData!$Q:$Q,$L26)),"")</f>
        <v/>
      </c>
      <c r="I26" s="18">
        <f>IF(AND(ISNUMBER($L26),$L26&lt;&gt;""),INDEX(IlumaData!$E:$E,$L26),"")</f>
        <v/>
      </c>
      <c r="J26" s="18">
        <f>IF(AND(ISNUMBER($L26),$L26&lt;&gt;""),INDEX(IlumaData!$F:$F,$L26),"")</f>
        <v/>
      </c>
      <c r="L26">
        <f>IFERROR(MATCH((YEAR($B$3)*10000+MONTH($B$3)*100+DAY($B$3))*1000+17,IlumaData!$W:$W,0),"")</f>
        <v/>
      </c>
    </row>
    <row r="27">
      <c r="A27" s="19">
        <f>IF(AND(ISNUMBER($L27),$L27&lt;&gt;""),INDEX(IlumaData!$G:$G,$L27),"")</f>
        <v/>
      </c>
      <c r="B27" s="20">
        <f>IF(AND(ISNUMBER($L27),$L27&lt;&gt;""),IF(INDEX(IlumaData!$I:$I,$L27)="","—",INDEX(IlumaData!$I:$I,$L27)),"")</f>
        <v/>
      </c>
      <c r="C27" s="20">
        <f>IF(AND(ISNUMBER($L27),$L27&lt;&gt;""),INDEX(IlumaData!$J:$J,$L27),"")</f>
        <v/>
      </c>
      <c r="D27" s="20">
        <f>IF(AND(ISNUMBER($L27),$L27&lt;&gt;""),INDEX(IlumaData!$K:$K,$L27),"")</f>
        <v/>
      </c>
      <c r="E27" s="20">
        <f>IF(AND(ISNUMBER($L27),$L27&lt;&gt;""),IF(INDEX(IlumaData!$L:$L,$L27)="","—",INDEX(IlumaData!$L:$L,$L27)),"")</f>
        <v/>
      </c>
      <c r="F27" s="20">
        <f>IF(AND(ISNUMBER($L27),$L27&lt;&gt;""),IF(INDEX(IlumaData!$M:$M,$L27)="","—",INDEX(IlumaData!$M:$M,$L27)),"")</f>
        <v/>
      </c>
      <c r="G27" s="21">
        <f>IF(AND(ISNUMBER($L27),$L27&lt;&gt;""),IF(INDEX(IlumaData!$N:$N,$L27)="","—",INDEX(IlumaData!$N:$N,$L27)),"")</f>
        <v/>
      </c>
      <c r="H27" s="22">
        <f>IF(AND(ISNUMBER($L27),$L27&lt;&gt;""),IF(INDEX(IlumaData!$Q:$Q,$L27)="","—",INDEX(IlumaData!$Q:$Q,$L27)),"")</f>
        <v/>
      </c>
      <c r="I27" s="23">
        <f>IF(AND(ISNUMBER($L27),$L27&lt;&gt;""),INDEX(IlumaData!$E:$E,$L27),"")</f>
        <v/>
      </c>
      <c r="J27" s="23">
        <f>IF(AND(ISNUMBER($L27),$L27&lt;&gt;""),INDEX(IlumaData!$F:$F,$L27),"")</f>
        <v/>
      </c>
      <c r="L27">
        <f>IFERROR(MATCH((YEAR($B$3)*10000+MONTH($B$3)*100+DAY($B$3))*1000+18,IlumaData!$W:$W,0),"")</f>
        <v/>
      </c>
    </row>
    <row r="28">
      <c r="A28" s="14">
        <f>IF(AND(ISNUMBER($L28),$L28&lt;&gt;""),INDEX(IlumaData!$G:$G,$L28),"")</f>
        <v/>
      </c>
      <c r="B28" s="15">
        <f>IF(AND(ISNUMBER($L28),$L28&lt;&gt;""),IF(INDEX(IlumaData!$I:$I,$L28)="","—",INDEX(IlumaData!$I:$I,$L28)),"")</f>
        <v/>
      </c>
      <c r="C28" s="15">
        <f>IF(AND(ISNUMBER($L28),$L28&lt;&gt;""),INDEX(IlumaData!$J:$J,$L28),"")</f>
        <v/>
      </c>
      <c r="D28" s="15">
        <f>IF(AND(ISNUMBER($L28),$L28&lt;&gt;""),INDEX(IlumaData!$K:$K,$L28),"")</f>
        <v/>
      </c>
      <c r="E28" s="15">
        <f>IF(AND(ISNUMBER($L28),$L28&lt;&gt;""),IF(INDEX(IlumaData!$L:$L,$L28)="","—",INDEX(IlumaData!$L:$L,$L28)),"")</f>
        <v/>
      </c>
      <c r="F28" s="15">
        <f>IF(AND(ISNUMBER($L28),$L28&lt;&gt;""),IF(INDEX(IlumaData!$M:$M,$L28)="","—",INDEX(IlumaData!$M:$M,$L28)),"")</f>
        <v/>
      </c>
      <c r="G28" s="16">
        <f>IF(AND(ISNUMBER($L28),$L28&lt;&gt;""),IF(INDEX(IlumaData!$N:$N,$L28)="","—",INDEX(IlumaData!$N:$N,$L28)),"")</f>
        <v/>
      </c>
      <c r="H28" s="17">
        <f>IF(AND(ISNUMBER($L28),$L28&lt;&gt;""),IF(INDEX(IlumaData!$Q:$Q,$L28)="","—",INDEX(IlumaData!$Q:$Q,$L28)),"")</f>
        <v/>
      </c>
      <c r="I28" s="18">
        <f>IF(AND(ISNUMBER($L28),$L28&lt;&gt;""),INDEX(IlumaData!$E:$E,$L28),"")</f>
        <v/>
      </c>
      <c r="J28" s="18">
        <f>IF(AND(ISNUMBER($L28),$L28&lt;&gt;""),INDEX(IlumaData!$F:$F,$L28),"")</f>
        <v/>
      </c>
      <c r="L28">
        <f>IFERROR(MATCH((YEAR($B$3)*10000+MONTH($B$3)*100+DAY($B$3))*1000+19,IlumaData!$W:$W,0),"")</f>
        <v/>
      </c>
    </row>
    <row r="29">
      <c r="A29" s="19">
        <f>IF(AND(ISNUMBER($L29),$L29&lt;&gt;""),INDEX(IlumaData!$G:$G,$L29),"")</f>
        <v/>
      </c>
      <c r="B29" s="20">
        <f>IF(AND(ISNUMBER($L29),$L29&lt;&gt;""),IF(INDEX(IlumaData!$I:$I,$L29)="","—",INDEX(IlumaData!$I:$I,$L29)),"")</f>
        <v/>
      </c>
      <c r="C29" s="20">
        <f>IF(AND(ISNUMBER($L29),$L29&lt;&gt;""),INDEX(IlumaData!$J:$J,$L29),"")</f>
        <v/>
      </c>
      <c r="D29" s="20">
        <f>IF(AND(ISNUMBER($L29),$L29&lt;&gt;""),INDEX(IlumaData!$K:$K,$L29),"")</f>
        <v/>
      </c>
      <c r="E29" s="20">
        <f>IF(AND(ISNUMBER($L29),$L29&lt;&gt;""),IF(INDEX(IlumaData!$L:$L,$L29)="","—",INDEX(IlumaData!$L:$L,$L29)),"")</f>
        <v/>
      </c>
      <c r="F29" s="20">
        <f>IF(AND(ISNUMBER($L29),$L29&lt;&gt;""),IF(INDEX(IlumaData!$M:$M,$L29)="","—",INDEX(IlumaData!$M:$M,$L29)),"")</f>
        <v/>
      </c>
      <c r="G29" s="21">
        <f>IF(AND(ISNUMBER($L29),$L29&lt;&gt;""),IF(INDEX(IlumaData!$N:$N,$L29)="","—",INDEX(IlumaData!$N:$N,$L29)),"")</f>
        <v/>
      </c>
      <c r="H29" s="22">
        <f>IF(AND(ISNUMBER($L29),$L29&lt;&gt;""),IF(INDEX(IlumaData!$Q:$Q,$L29)="","—",INDEX(IlumaData!$Q:$Q,$L29)),"")</f>
        <v/>
      </c>
      <c r="I29" s="23">
        <f>IF(AND(ISNUMBER($L29),$L29&lt;&gt;""),INDEX(IlumaData!$E:$E,$L29),"")</f>
        <v/>
      </c>
      <c r="J29" s="23">
        <f>IF(AND(ISNUMBER($L29),$L29&lt;&gt;""),INDEX(IlumaData!$F:$F,$L29),"")</f>
        <v/>
      </c>
      <c r="L29">
        <f>IFERROR(MATCH((YEAR($B$3)*10000+MONTH($B$3)*100+DAY($B$3))*1000+20,IlumaData!$W:$W,0),"")</f>
        <v/>
      </c>
    </row>
    <row r="30">
      <c r="A30" s="14">
        <f>IF(AND(ISNUMBER($L30),$L30&lt;&gt;""),INDEX(IlumaData!$G:$G,$L30),"")</f>
        <v/>
      </c>
      <c r="B30" s="15">
        <f>IF(AND(ISNUMBER($L30),$L30&lt;&gt;""),IF(INDEX(IlumaData!$I:$I,$L30)="","—",INDEX(IlumaData!$I:$I,$L30)),"")</f>
        <v/>
      </c>
      <c r="C30" s="15">
        <f>IF(AND(ISNUMBER($L30),$L30&lt;&gt;""),INDEX(IlumaData!$J:$J,$L30),"")</f>
        <v/>
      </c>
      <c r="D30" s="15">
        <f>IF(AND(ISNUMBER($L30),$L30&lt;&gt;""),INDEX(IlumaData!$K:$K,$L30),"")</f>
        <v/>
      </c>
      <c r="E30" s="15">
        <f>IF(AND(ISNUMBER($L30),$L30&lt;&gt;""),IF(INDEX(IlumaData!$L:$L,$L30)="","—",INDEX(IlumaData!$L:$L,$L30)),"")</f>
        <v/>
      </c>
      <c r="F30" s="15">
        <f>IF(AND(ISNUMBER($L30),$L30&lt;&gt;""),IF(INDEX(IlumaData!$M:$M,$L30)="","—",INDEX(IlumaData!$M:$M,$L30)),"")</f>
        <v/>
      </c>
      <c r="G30" s="16">
        <f>IF(AND(ISNUMBER($L30),$L30&lt;&gt;""),IF(INDEX(IlumaData!$N:$N,$L30)="","—",INDEX(IlumaData!$N:$N,$L30)),"")</f>
        <v/>
      </c>
      <c r="H30" s="17">
        <f>IF(AND(ISNUMBER($L30),$L30&lt;&gt;""),IF(INDEX(IlumaData!$Q:$Q,$L30)="","—",INDEX(IlumaData!$Q:$Q,$L30)),"")</f>
        <v/>
      </c>
      <c r="I30" s="18">
        <f>IF(AND(ISNUMBER($L30),$L30&lt;&gt;""),INDEX(IlumaData!$E:$E,$L30),"")</f>
        <v/>
      </c>
      <c r="J30" s="18">
        <f>IF(AND(ISNUMBER($L30),$L30&lt;&gt;""),INDEX(IlumaData!$F:$F,$L30),"")</f>
        <v/>
      </c>
      <c r="L30">
        <f>IFERROR(MATCH((YEAR($B$3)*10000+MONTH($B$3)*100+DAY($B$3))*1000+21,IlumaData!$W:$W,0),"")</f>
        <v/>
      </c>
    </row>
    <row r="31">
      <c r="A31" s="19">
        <f>IF(AND(ISNUMBER($L31),$L31&lt;&gt;""),INDEX(IlumaData!$G:$G,$L31),"")</f>
        <v/>
      </c>
      <c r="B31" s="20">
        <f>IF(AND(ISNUMBER($L31),$L31&lt;&gt;""),IF(INDEX(IlumaData!$I:$I,$L31)="","—",INDEX(IlumaData!$I:$I,$L31)),"")</f>
        <v/>
      </c>
      <c r="C31" s="20">
        <f>IF(AND(ISNUMBER($L31),$L31&lt;&gt;""),INDEX(IlumaData!$J:$J,$L31),"")</f>
        <v/>
      </c>
      <c r="D31" s="20">
        <f>IF(AND(ISNUMBER($L31),$L31&lt;&gt;""),INDEX(IlumaData!$K:$K,$L31),"")</f>
        <v/>
      </c>
      <c r="E31" s="20">
        <f>IF(AND(ISNUMBER($L31),$L31&lt;&gt;""),IF(INDEX(IlumaData!$L:$L,$L31)="","—",INDEX(IlumaData!$L:$L,$L31)),"")</f>
        <v/>
      </c>
      <c r="F31" s="20">
        <f>IF(AND(ISNUMBER($L31),$L31&lt;&gt;""),IF(INDEX(IlumaData!$M:$M,$L31)="","—",INDEX(IlumaData!$M:$M,$L31)),"")</f>
        <v/>
      </c>
      <c r="G31" s="21">
        <f>IF(AND(ISNUMBER($L31),$L31&lt;&gt;""),IF(INDEX(IlumaData!$N:$N,$L31)="","—",INDEX(IlumaData!$N:$N,$L31)),"")</f>
        <v/>
      </c>
      <c r="H31" s="22">
        <f>IF(AND(ISNUMBER($L31),$L31&lt;&gt;""),IF(INDEX(IlumaData!$Q:$Q,$L31)="","—",INDEX(IlumaData!$Q:$Q,$L31)),"")</f>
        <v/>
      </c>
      <c r="I31" s="23">
        <f>IF(AND(ISNUMBER($L31),$L31&lt;&gt;""),INDEX(IlumaData!$E:$E,$L31),"")</f>
        <v/>
      </c>
      <c r="J31" s="23">
        <f>IF(AND(ISNUMBER($L31),$L31&lt;&gt;""),INDEX(IlumaData!$F:$F,$L31),"")</f>
        <v/>
      </c>
      <c r="L31">
        <f>IFERROR(MATCH((YEAR($B$3)*10000+MONTH($B$3)*100+DAY($B$3))*1000+22,IlumaData!$W:$W,0),"")</f>
        <v/>
      </c>
    </row>
    <row r="32">
      <c r="A32" s="14">
        <f>IF(AND(ISNUMBER($L32),$L32&lt;&gt;""),INDEX(IlumaData!$G:$G,$L32),"")</f>
        <v/>
      </c>
      <c r="B32" s="15">
        <f>IF(AND(ISNUMBER($L32),$L32&lt;&gt;""),IF(INDEX(IlumaData!$I:$I,$L32)="","—",INDEX(IlumaData!$I:$I,$L32)),"")</f>
        <v/>
      </c>
      <c r="C32" s="15">
        <f>IF(AND(ISNUMBER($L32),$L32&lt;&gt;""),INDEX(IlumaData!$J:$J,$L32),"")</f>
        <v/>
      </c>
      <c r="D32" s="15">
        <f>IF(AND(ISNUMBER($L32),$L32&lt;&gt;""),INDEX(IlumaData!$K:$K,$L32),"")</f>
        <v/>
      </c>
      <c r="E32" s="15">
        <f>IF(AND(ISNUMBER($L32),$L32&lt;&gt;""),IF(INDEX(IlumaData!$L:$L,$L32)="","—",INDEX(IlumaData!$L:$L,$L32)),"")</f>
        <v/>
      </c>
      <c r="F32" s="15">
        <f>IF(AND(ISNUMBER($L32),$L32&lt;&gt;""),IF(INDEX(IlumaData!$M:$M,$L32)="","—",INDEX(IlumaData!$M:$M,$L32)),"")</f>
        <v/>
      </c>
      <c r="G32" s="16">
        <f>IF(AND(ISNUMBER($L32),$L32&lt;&gt;""),IF(INDEX(IlumaData!$N:$N,$L32)="","—",INDEX(IlumaData!$N:$N,$L32)),"")</f>
        <v/>
      </c>
      <c r="H32" s="17">
        <f>IF(AND(ISNUMBER($L32),$L32&lt;&gt;""),IF(INDEX(IlumaData!$Q:$Q,$L32)="","—",INDEX(IlumaData!$Q:$Q,$L32)),"")</f>
        <v/>
      </c>
      <c r="I32" s="18">
        <f>IF(AND(ISNUMBER($L32),$L32&lt;&gt;""),INDEX(IlumaData!$E:$E,$L32),"")</f>
        <v/>
      </c>
      <c r="J32" s="18">
        <f>IF(AND(ISNUMBER($L32),$L32&lt;&gt;""),INDEX(IlumaData!$F:$F,$L32),"")</f>
        <v/>
      </c>
      <c r="L32">
        <f>IFERROR(MATCH((YEAR($B$3)*10000+MONTH($B$3)*100+DAY($B$3))*1000+23,IlumaData!$W:$W,0),"")</f>
        <v/>
      </c>
    </row>
    <row r="33">
      <c r="A33" s="19">
        <f>IF(AND(ISNUMBER($L33),$L33&lt;&gt;""),INDEX(IlumaData!$G:$G,$L33),"")</f>
        <v/>
      </c>
      <c r="B33" s="20">
        <f>IF(AND(ISNUMBER($L33),$L33&lt;&gt;""),IF(INDEX(IlumaData!$I:$I,$L33)="","—",INDEX(IlumaData!$I:$I,$L33)),"")</f>
        <v/>
      </c>
      <c r="C33" s="20">
        <f>IF(AND(ISNUMBER($L33),$L33&lt;&gt;""),INDEX(IlumaData!$J:$J,$L33),"")</f>
        <v/>
      </c>
      <c r="D33" s="20">
        <f>IF(AND(ISNUMBER($L33),$L33&lt;&gt;""),INDEX(IlumaData!$K:$K,$L33),"")</f>
        <v/>
      </c>
      <c r="E33" s="20">
        <f>IF(AND(ISNUMBER($L33),$L33&lt;&gt;""),IF(INDEX(IlumaData!$L:$L,$L33)="","—",INDEX(IlumaData!$L:$L,$L33)),"")</f>
        <v/>
      </c>
      <c r="F33" s="20">
        <f>IF(AND(ISNUMBER($L33),$L33&lt;&gt;""),IF(INDEX(IlumaData!$M:$M,$L33)="","—",INDEX(IlumaData!$M:$M,$L33)),"")</f>
        <v/>
      </c>
      <c r="G33" s="21">
        <f>IF(AND(ISNUMBER($L33),$L33&lt;&gt;""),IF(INDEX(IlumaData!$N:$N,$L33)="","—",INDEX(IlumaData!$N:$N,$L33)),"")</f>
        <v/>
      </c>
      <c r="H33" s="22">
        <f>IF(AND(ISNUMBER($L33),$L33&lt;&gt;""),IF(INDEX(IlumaData!$Q:$Q,$L33)="","—",INDEX(IlumaData!$Q:$Q,$L33)),"")</f>
        <v/>
      </c>
      <c r="I33" s="23">
        <f>IF(AND(ISNUMBER($L33),$L33&lt;&gt;""),INDEX(IlumaData!$E:$E,$L33),"")</f>
        <v/>
      </c>
      <c r="J33" s="23">
        <f>IF(AND(ISNUMBER($L33),$L33&lt;&gt;""),INDEX(IlumaData!$F:$F,$L33),"")</f>
        <v/>
      </c>
      <c r="L33">
        <f>IFERROR(MATCH((YEAR($B$3)*10000+MONTH($B$3)*100+DAY($B$3))*1000+24,IlumaData!$W:$W,0),"")</f>
        <v/>
      </c>
    </row>
    <row r="34">
      <c r="A34" s="14">
        <f>IF(AND(ISNUMBER($L34),$L34&lt;&gt;""),INDEX(IlumaData!$G:$G,$L34),"")</f>
        <v/>
      </c>
      <c r="B34" s="15">
        <f>IF(AND(ISNUMBER($L34),$L34&lt;&gt;""),IF(INDEX(IlumaData!$I:$I,$L34)="","—",INDEX(IlumaData!$I:$I,$L34)),"")</f>
        <v/>
      </c>
      <c r="C34" s="15">
        <f>IF(AND(ISNUMBER($L34),$L34&lt;&gt;""),INDEX(IlumaData!$J:$J,$L34),"")</f>
        <v/>
      </c>
      <c r="D34" s="15">
        <f>IF(AND(ISNUMBER($L34),$L34&lt;&gt;""),INDEX(IlumaData!$K:$K,$L34),"")</f>
        <v/>
      </c>
      <c r="E34" s="15">
        <f>IF(AND(ISNUMBER($L34),$L34&lt;&gt;""),IF(INDEX(IlumaData!$L:$L,$L34)="","—",INDEX(IlumaData!$L:$L,$L34)),"")</f>
        <v/>
      </c>
      <c r="F34" s="15">
        <f>IF(AND(ISNUMBER($L34),$L34&lt;&gt;""),IF(INDEX(IlumaData!$M:$M,$L34)="","—",INDEX(IlumaData!$M:$M,$L34)),"")</f>
        <v/>
      </c>
      <c r="G34" s="16">
        <f>IF(AND(ISNUMBER($L34),$L34&lt;&gt;""),IF(INDEX(IlumaData!$N:$N,$L34)="","—",INDEX(IlumaData!$N:$N,$L34)),"")</f>
        <v/>
      </c>
      <c r="H34" s="17">
        <f>IF(AND(ISNUMBER($L34),$L34&lt;&gt;""),IF(INDEX(IlumaData!$Q:$Q,$L34)="","—",INDEX(IlumaData!$Q:$Q,$L34)),"")</f>
        <v/>
      </c>
      <c r="I34" s="18">
        <f>IF(AND(ISNUMBER($L34),$L34&lt;&gt;""),INDEX(IlumaData!$E:$E,$L34),"")</f>
        <v/>
      </c>
      <c r="J34" s="18">
        <f>IF(AND(ISNUMBER($L34),$L34&lt;&gt;""),INDEX(IlumaData!$F:$F,$L34),"")</f>
        <v/>
      </c>
      <c r="L34">
        <f>IFERROR(MATCH((YEAR($B$3)*10000+MONTH($B$3)*100+DAY($B$3))*1000+25,IlumaData!$W:$W,0),"")</f>
        <v/>
      </c>
    </row>
    <row r="35">
      <c r="A35" s="19">
        <f>IF(AND(ISNUMBER($L35),$L35&lt;&gt;""),INDEX(IlumaData!$G:$G,$L35),"")</f>
        <v/>
      </c>
      <c r="B35" s="20">
        <f>IF(AND(ISNUMBER($L35),$L35&lt;&gt;""),IF(INDEX(IlumaData!$I:$I,$L35)="","—",INDEX(IlumaData!$I:$I,$L35)),"")</f>
        <v/>
      </c>
      <c r="C35" s="20">
        <f>IF(AND(ISNUMBER($L35),$L35&lt;&gt;""),INDEX(IlumaData!$J:$J,$L35),"")</f>
        <v/>
      </c>
      <c r="D35" s="20">
        <f>IF(AND(ISNUMBER($L35),$L35&lt;&gt;""),INDEX(IlumaData!$K:$K,$L35),"")</f>
        <v/>
      </c>
      <c r="E35" s="20">
        <f>IF(AND(ISNUMBER($L35),$L35&lt;&gt;""),IF(INDEX(IlumaData!$L:$L,$L35)="","—",INDEX(IlumaData!$L:$L,$L35)),"")</f>
        <v/>
      </c>
      <c r="F35" s="20">
        <f>IF(AND(ISNUMBER($L35),$L35&lt;&gt;""),IF(INDEX(IlumaData!$M:$M,$L35)="","—",INDEX(IlumaData!$M:$M,$L35)),"")</f>
        <v/>
      </c>
      <c r="G35" s="21">
        <f>IF(AND(ISNUMBER($L35),$L35&lt;&gt;""),IF(INDEX(IlumaData!$N:$N,$L35)="","—",INDEX(IlumaData!$N:$N,$L35)),"")</f>
        <v/>
      </c>
      <c r="H35" s="22">
        <f>IF(AND(ISNUMBER($L35),$L35&lt;&gt;""),IF(INDEX(IlumaData!$Q:$Q,$L35)="","—",INDEX(IlumaData!$Q:$Q,$L35)),"")</f>
        <v/>
      </c>
      <c r="I35" s="23">
        <f>IF(AND(ISNUMBER($L35),$L35&lt;&gt;""),INDEX(IlumaData!$E:$E,$L35),"")</f>
        <v/>
      </c>
      <c r="J35" s="23">
        <f>IF(AND(ISNUMBER($L35),$L35&lt;&gt;""),INDEX(IlumaData!$F:$F,$L35),"")</f>
        <v/>
      </c>
      <c r="L35">
        <f>IFERROR(MATCH((YEAR($B$3)*10000+MONTH($B$3)*100+DAY($B$3))*1000+26,IlumaData!$W:$W,0),"")</f>
        <v/>
      </c>
    </row>
    <row r="36">
      <c r="A36" s="14">
        <f>IF(AND(ISNUMBER($L36),$L36&lt;&gt;""),INDEX(IlumaData!$G:$G,$L36),"")</f>
        <v/>
      </c>
      <c r="B36" s="15">
        <f>IF(AND(ISNUMBER($L36),$L36&lt;&gt;""),IF(INDEX(IlumaData!$I:$I,$L36)="","—",INDEX(IlumaData!$I:$I,$L36)),"")</f>
        <v/>
      </c>
      <c r="C36" s="15">
        <f>IF(AND(ISNUMBER($L36),$L36&lt;&gt;""),INDEX(IlumaData!$J:$J,$L36),"")</f>
        <v/>
      </c>
      <c r="D36" s="15">
        <f>IF(AND(ISNUMBER($L36),$L36&lt;&gt;""),INDEX(IlumaData!$K:$K,$L36),"")</f>
        <v/>
      </c>
      <c r="E36" s="15">
        <f>IF(AND(ISNUMBER($L36),$L36&lt;&gt;""),IF(INDEX(IlumaData!$L:$L,$L36)="","—",INDEX(IlumaData!$L:$L,$L36)),"")</f>
        <v/>
      </c>
      <c r="F36" s="15">
        <f>IF(AND(ISNUMBER($L36),$L36&lt;&gt;""),IF(INDEX(IlumaData!$M:$M,$L36)="","—",INDEX(IlumaData!$M:$M,$L36)),"")</f>
        <v/>
      </c>
      <c r="G36" s="16">
        <f>IF(AND(ISNUMBER($L36),$L36&lt;&gt;""),IF(INDEX(IlumaData!$N:$N,$L36)="","—",INDEX(IlumaData!$N:$N,$L36)),"")</f>
        <v/>
      </c>
      <c r="H36" s="17">
        <f>IF(AND(ISNUMBER($L36),$L36&lt;&gt;""),IF(INDEX(IlumaData!$Q:$Q,$L36)="","—",INDEX(IlumaData!$Q:$Q,$L36)),"")</f>
        <v/>
      </c>
      <c r="I36" s="18">
        <f>IF(AND(ISNUMBER($L36),$L36&lt;&gt;""),INDEX(IlumaData!$E:$E,$L36),"")</f>
        <v/>
      </c>
      <c r="J36" s="18">
        <f>IF(AND(ISNUMBER($L36),$L36&lt;&gt;""),INDEX(IlumaData!$F:$F,$L36),"")</f>
        <v/>
      </c>
      <c r="L36">
        <f>IFERROR(MATCH((YEAR($B$3)*10000+MONTH($B$3)*100+DAY($B$3))*1000+27,IlumaData!$W:$W,0),"")</f>
        <v/>
      </c>
    </row>
    <row r="37">
      <c r="A37" s="19">
        <f>IF(AND(ISNUMBER($L37),$L37&lt;&gt;""),INDEX(IlumaData!$G:$G,$L37),"")</f>
        <v/>
      </c>
      <c r="B37" s="20">
        <f>IF(AND(ISNUMBER($L37),$L37&lt;&gt;""),IF(INDEX(IlumaData!$I:$I,$L37)="","—",INDEX(IlumaData!$I:$I,$L37)),"")</f>
        <v/>
      </c>
      <c r="C37" s="20">
        <f>IF(AND(ISNUMBER($L37),$L37&lt;&gt;""),INDEX(IlumaData!$J:$J,$L37),"")</f>
        <v/>
      </c>
      <c r="D37" s="20">
        <f>IF(AND(ISNUMBER($L37),$L37&lt;&gt;""),INDEX(IlumaData!$K:$K,$L37),"")</f>
        <v/>
      </c>
      <c r="E37" s="20">
        <f>IF(AND(ISNUMBER($L37),$L37&lt;&gt;""),IF(INDEX(IlumaData!$L:$L,$L37)="","—",INDEX(IlumaData!$L:$L,$L37)),"")</f>
        <v/>
      </c>
      <c r="F37" s="20">
        <f>IF(AND(ISNUMBER($L37),$L37&lt;&gt;""),IF(INDEX(IlumaData!$M:$M,$L37)="","—",INDEX(IlumaData!$M:$M,$L37)),"")</f>
        <v/>
      </c>
      <c r="G37" s="21">
        <f>IF(AND(ISNUMBER($L37),$L37&lt;&gt;""),IF(INDEX(IlumaData!$N:$N,$L37)="","—",INDEX(IlumaData!$N:$N,$L37)),"")</f>
        <v/>
      </c>
      <c r="H37" s="22">
        <f>IF(AND(ISNUMBER($L37),$L37&lt;&gt;""),IF(INDEX(IlumaData!$Q:$Q,$L37)="","—",INDEX(IlumaData!$Q:$Q,$L37)),"")</f>
        <v/>
      </c>
      <c r="I37" s="23">
        <f>IF(AND(ISNUMBER($L37),$L37&lt;&gt;""),INDEX(IlumaData!$E:$E,$L37),"")</f>
        <v/>
      </c>
      <c r="J37" s="23">
        <f>IF(AND(ISNUMBER($L37),$L37&lt;&gt;""),INDEX(IlumaData!$F:$F,$L37),"")</f>
        <v/>
      </c>
      <c r="L37">
        <f>IFERROR(MATCH((YEAR($B$3)*10000+MONTH($B$3)*100+DAY($B$3))*1000+28,IlumaData!$W:$W,0),"")</f>
        <v/>
      </c>
    </row>
    <row r="38">
      <c r="A38" s="14">
        <f>IF(AND(ISNUMBER($L38),$L38&lt;&gt;""),INDEX(IlumaData!$G:$G,$L38),"")</f>
        <v/>
      </c>
      <c r="B38" s="15">
        <f>IF(AND(ISNUMBER($L38),$L38&lt;&gt;""),IF(INDEX(IlumaData!$I:$I,$L38)="","—",INDEX(IlumaData!$I:$I,$L38)),"")</f>
        <v/>
      </c>
      <c r="C38" s="15">
        <f>IF(AND(ISNUMBER($L38),$L38&lt;&gt;""),INDEX(IlumaData!$J:$J,$L38),"")</f>
        <v/>
      </c>
      <c r="D38" s="15">
        <f>IF(AND(ISNUMBER($L38),$L38&lt;&gt;""),INDEX(IlumaData!$K:$K,$L38),"")</f>
        <v/>
      </c>
      <c r="E38" s="15">
        <f>IF(AND(ISNUMBER($L38),$L38&lt;&gt;""),IF(INDEX(IlumaData!$L:$L,$L38)="","—",INDEX(IlumaData!$L:$L,$L38)),"")</f>
        <v/>
      </c>
      <c r="F38" s="15">
        <f>IF(AND(ISNUMBER($L38),$L38&lt;&gt;""),IF(INDEX(IlumaData!$M:$M,$L38)="","—",INDEX(IlumaData!$M:$M,$L38)),"")</f>
        <v/>
      </c>
      <c r="G38" s="16">
        <f>IF(AND(ISNUMBER($L38),$L38&lt;&gt;""),IF(INDEX(IlumaData!$N:$N,$L38)="","—",INDEX(IlumaData!$N:$N,$L38)),"")</f>
        <v/>
      </c>
      <c r="H38" s="17">
        <f>IF(AND(ISNUMBER($L38),$L38&lt;&gt;""),IF(INDEX(IlumaData!$Q:$Q,$L38)="","—",INDEX(IlumaData!$Q:$Q,$L38)),"")</f>
        <v/>
      </c>
      <c r="I38" s="18">
        <f>IF(AND(ISNUMBER($L38),$L38&lt;&gt;""),INDEX(IlumaData!$E:$E,$L38),"")</f>
        <v/>
      </c>
      <c r="J38" s="18">
        <f>IF(AND(ISNUMBER($L38),$L38&lt;&gt;""),INDEX(IlumaData!$F:$F,$L38),"")</f>
        <v/>
      </c>
      <c r="L38">
        <f>IFERROR(MATCH((YEAR($B$3)*10000+MONTH($B$3)*100+DAY($B$3))*1000+29,IlumaData!$W:$W,0),"")</f>
        <v/>
      </c>
    </row>
    <row r="39">
      <c r="A39" s="19">
        <f>IF(AND(ISNUMBER($L39),$L39&lt;&gt;""),INDEX(IlumaData!$G:$G,$L39),"")</f>
        <v/>
      </c>
      <c r="B39" s="20">
        <f>IF(AND(ISNUMBER($L39),$L39&lt;&gt;""),IF(INDEX(IlumaData!$I:$I,$L39)="","—",INDEX(IlumaData!$I:$I,$L39)),"")</f>
        <v/>
      </c>
      <c r="C39" s="20">
        <f>IF(AND(ISNUMBER($L39),$L39&lt;&gt;""),INDEX(IlumaData!$J:$J,$L39),"")</f>
        <v/>
      </c>
      <c r="D39" s="20">
        <f>IF(AND(ISNUMBER($L39),$L39&lt;&gt;""),INDEX(IlumaData!$K:$K,$L39),"")</f>
        <v/>
      </c>
      <c r="E39" s="20">
        <f>IF(AND(ISNUMBER($L39),$L39&lt;&gt;""),IF(INDEX(IlumaData!$L:$L,$L39)="","—",INDEX(IlumaData!$L:$L,$L39)),"")</f>
        <v/>
      </c>
      <c r="F39" s="20">
        <f>IF(AND(ISNUMBER($L39),$L39&lt;&gt;""),IF(INDEX(IlumaData!$M:$M,$L39)="","—",INDEX(IlumaData!$M:$M,$L39)),"")</f>
        <v/>
      </c>
      <c r="G39" s="21">
        <f>IF(AND(ISNUMBER($L39),$L39&lt;&gt;""),IF(INDEX(IlumaData!$N:$N,$L39)="","—",INDEX(IlumaData!$N:$N,$L39)),"")</f>
        <v/>
      </c>
      <c r="H39" s="22">
        <f>IF(AND(ISNUMBER($L39),$L39&lt;&gt;""),IF(INDEX(IlumaData!$Q:$Q,$L39)="","—",INDEX(IlumaData!$Q:$Q,$L39)),"")</f>
        <v/>
      </c>
      <c r="I39" s="23">
        <f>IF(AND(ISNUMBER($L39),$L39&lt;&gt;""),INDEX(IlumaData!$E:$E,$L39),"")</f>
        <v/>
      </c>
      <c r="J39" s="23">
        <f>IF(AND(ISNUMBER($L39),$L39&lt;&gt;""),INDEX(IlumaData!$F:$F,$L39),"")</f>
        <v/>
      </c>
      <c r="L39">
        <f>IFERROR(MATCH((YEAR($B$3)*10000+MONTH($B$3)*100+DAY($B$3))*1000+30,IlumaData!$W:$W,0),"")</f>
        <v/>
      </c>
    </row>
    <row r="40">
      <c r="A40" s="14">
        <f>IF(AND(ISNUMBER($L40),$L40&lt;&gt;""),INDEX(IlumaData!$G:$G,$L40),"")</f>
        <v/>
      </c>
      <c r="B40" s="15">
        <f>IF(AND(ISNUMBER($L40),$L40&lt;&gt;""),IF(INDEX(IlumaData!$I:$I,$L40)="","—",INDEX(IlumaData!$I:$I,$L40)),"")</f>
        <v/>
      </c>
      <c r="C40" s="15">
        <f>IF(AND(ISNUMBER($L40),$L40&lt;&gt;""),INDEX(IlumaData!$J:$J,$L40),"")</f>
        <v/>
      </c>
      <c r="D40" s="15">
        <f>IF(AND(ISNUMBER($L40),$L40&lt;&gt;""),INDEX(IlumaData!$K:$K,$L40),"")</f>
        <v/>
      </c>
      <c r="E40" s="15">
        <f>IF(AND(ISNUMBER($L40),$L40&lt;&gt;""),IF(INDEX(IlumaData!$L:$L,$L40)="","—",INDEX(IlumaData!$L:$L,$L40)),"")</f>
        <v/>
      </c>
      <c r="F40" s="15">
        <f>IF(AND(ISNUMBER($L40),$L40&lt;&gt;""),IF(INDEX(IlumaData!$M:$M,$L40)="","—",INDEX(IlumaData!$M:$M,$L40)),"")</f>
        <v/>
      </c>
      <c r="G40" s="16">
        <f>IF(AND(ISNUMBER($L40),$L40&lt;&gt;""),IF(INDEX(IlumaData!$N:$N,$L40)="","—",INDEX(IlumaData!$N:$N,$L40)),"")</f>
        <v/>
      </c>
      <c r="H40" s="17">
        <f>IF(AND(ISNUMBER($L40),$L40&lt;&gt;""),IF(INDEX(IlumaData!$Q:$Q,$L40)="","—",INDEX(IlumaData!$Q:$Q,$L40)),"")</f>
        <v/>
      </c>
      <c r="I40" s="18">
        <f>IF(AND(ISNUMBER($L40),$L40&lt;&gt;""),INDEX(IlumaData!$E:$E,$L40),"")</f>
        <v/>
      </c>
      <c r="J40" s="18">
        <f>IF(AND(ISNUMBER($L40),$L40&lt;&gt;""),INDEX(IlumaData!$F:$F,$L40),"")</f>
        <v/>
      </c>
      <c r="L40">
        <f>IFERROR(MATCH((YEAR($B$3)*10000+MONTH($B$3)*100+DAY($B$3))*1000+31,IlumaData!$W:$W,0),"")</f>
        <v/>
      </c>
    </row>
    <row r="41">
      <c r="A41" s="19">
        <f>IF(AND(ISNUMBER($L41),$L41&lt;&gt;""),INDEX(IlumaData!$G:$G,$L41),"")</f>
        <v/>
      </c>
      <c r="B41" s="20">
        <f>IF(AND(ISNUMBER($L41),$L41&lt;&gt;""),IF(INDEX(IlumaData!$I:$I,$L41)="","—",INDEX(IlumaData!$I:$I,$L41)),"")</f>
        <v/>
      </c>
      <c r="C41" s="20">
        <f>IF(AND(ISNUMBER($L41),$L41&lt;&gt;""),INDEX(IlumaData!$J:$J,$L41),"")</f>
        <v/>
      </c>
      <c r="D41" s="20">
        <f>IF(AND(ISNUMBER($L41),$L41&lt;&gt;""),INDEX(IlumaData!$K:$K,$L41),"")</f>
        <v/>
      </c>
      <c r="E41" s="20">
        <f>IF(AND(ISNUMBER($L41),$L41&lt;&gt;""),IF(INDEX(IlumaData!$L:$L,$L41)="","—",INDEX(IlumaData!$L:$L,$L41)),"")</f>
        <v/>
      </c>
      <c r="F41" s="20">
        <f>IF(AND(ISNUMBER($L41),$L41&lt;&gt;""),IF(INDEX(IlumaData!$M:$M,$L41)="","—",INDEX(IlumaData!$M:$M,$L41)),"")</f>
        <v/>
      </c>
      <c r="G41" s="21">
        <f>IF(AND(ISNUMBER($L41),$L41&lt;&gt;""),IF(INDEX(IlumaData!$N:$N,$L41)="","—",INDEX(IlumaData!$N:$N,$L41)),"")</f>
        <v/>
      </c>
      <c r="H41" s="22">
        <f>IF(AND(ISNUMBER($L41),$L41&lt;&gt;""),IF(INDEX(IlumaData!$Q:$Q,$L41)="","—",INDEX(IlumaData!$Q:$Q,$L41)),"")</f>
        <v/>
      </c>
      <c r="I41" s="23">
        <f>IF(AND(ISNUMBER($L41),$L41&lt;&gt;""),INDEX(IlumaData!$E:$E,$L41),"")</f>
        <v/>
      </c>
      <c r="J41" s="23">
        <f>IF(AND(ISNUMBER($L41),$L41&lt;&gt;""),INDEX(IlumaData!$F:$F,$L41),"")</f>
        <v/>
      </c>
      <c r="L41">
        <f>IFERROR(MATCH((YEAR($B$3)*10000+MONTH($B$3)*100+DAY($B$3))*1000+32,IlumaData!$W:$W,0),"")</f>
        <v/>
      </c>
    </row>
    <row r="42">
      <c r="A42" s="14">
        <f>IF(AND(ISNUMBER($L42),$L42&lt;&gt;""),INDEX(IlumaData!$G:$G,$L42),"")</f>
        <v/>
      </c>
      <c r="B42" s="15">
        <f>IF(AND(ISNUMBER($L42),$L42&lt;&gt;""),IF(INDEX(IlumaData!$I:$I,$L42)="","—",INDEX(IlumaData!$I:$I,$L42)),"")</f>
        <v/>
      </c>
      <c r="C42" s="15">
        <f>IF(AND(ISNUMBER($L42),$L42&lt;&gt;""),INDEX(IlumaData!$J:$J,$L42),"")</f>
        <v/>
      </c>
      <c r="D42" s="15">
        <f>IF(AND(ISNUMBER($L42),$L42&lt;&gt;""),INDEX(IlumaData!$K:$K,$L42),"")</f>
        <v/>
      </c>
      <c r="E42" s="15">
        <f>IF(AND(ISNUMBER($L42),$L42&lt;&gt;""),IF(INDEX(IlumaData!$L:$L,$L42)="","—",INDEX(IlumaData!$L:$L,$L42)),"")</f>
        <v/>
      </c>
      <c r="F42" s="15">
        <f>IF(AND(ISNUMBER($L42),$L42&lt;&gt;""),IF(INDEX(IlumaData!$M:$M,$L42)="","—",INDEX(IlumaData!$M:$M,$L42)),"")</f>
        <v/>
      </c>
      <c r="G42" s="16">
        <f>IF(AND(ISNUMBER($L42),$L42&lt;&gt;""),IF(INDEX(IlumaData!$N:$N,$L42)="","—",INDEX(IlumaData!$N:$N,$L42)),"")</f>
        <v/>
      </c>
      <c r="H42" s="17">
        <f>IF(AND(ISNUMBER($L42),$L42&lt;&gt;""),IF(INDEX(IlumaData!$Q:$Q,$L42)="","—",INDEX(IlumaData!$Q:$Q,$L42)),"")</f>
        <v/>
      </c>
      <c r="I42" s="18">
        <f>IF(AND(ISNUMBER($L42),$L42&lt;&gt;""),INDEX(IlumaData!$E:$E,$L42),"")</f>
        <v/>
      </c>
      <c r="J42" s="18">
        <f>IF(AND(ISNUMBER($L42),$L42&lt;&gt;""),INDEX(IlumaData!$F:$F,$L42),"")</f>
        <v/>
      </c>
      <c r="L42">
        <f>IFERROR(MATCH((YEAR($B$3)*10000+MONTH($B$3)*100+DAY($B$3))*1000+33,IlumaData!$W:$W,0),"")</f>
        <v/>
      </c>
    </row>
    <row r="43">
      <c r="A43" s="19">
        <f>IF(AND(ISNUMBER($L43),$L43&lt;&gt;""),INDEX(IlumaData!$G:$G,$L43),"")</f>
        <v/>
      </c>
      <c r="B43" s="20">
        <f>IF(AND(ISNUMBER($L43),$L43&lt;&gt;""),IF(INDEX(IlumaData!$I:$I,$L43)="","—",INDEX(IlumaData!$I:$I,$L43)),"")</f>
        <v/>
      </c>
      <c r="C43" s="20">
        <f>IF(AND(ISNUMBER($L43),$L43&lt;&gt;""),INDEX(IlumaData!$J:$J,$L43),"")</f>
        <v/>
      </c>
      <c r="D43" s="20">
        <f>IF(AND(ISNUMBER($L43),$L43&lt;&gt;""),INDEX(IlumaData!$K:$K,$L43),"")</f>
        <v/>
      </c>
      <c r="E43" s="20">
        <f>IF(AND(ISNUMBER($L43),$L43&lt;&gt;""),IF(INDEX(IlumaData!$L:$L,$L43)="","—",INDEX(IlumaData!$L:$L,$L43)),"")</f>
        <v/>
      </c>
      <c r="F43" s="20">
        <f>IF(AND(ISNUMBER($L43),$L43&lt;&gt;""),IF(INDEX(IlumaData!$M:$M,$L43)="","—",INDEX(IlumaData!$M:$M,$L43)),"")</f>
        <v/>
      </c>
      <c r="G43" s="21">
        <f>IF(AND(ISNUMBER($L43),$L43&lt;&gt;""),IF(INDEX(IlumaData!$N:$N,$L43)="","—",INDEX(IlumaData!$N:$N,$L43)),"")</f>
        <v/>
      </c>
      <c r="H43" s="22">
        <f>IF(AND(ISNUMBER($L43),$L43&lt;&gt;""),IF(INDEX(IlumaData!$Q:$Q,$L43)="","—",INDEX(IlumaData!$Q:$Q,$L43)),"")</f>
        <v/>
      </c>
      <c r="I43" s="23">
        <f>IF(AND(ISNUMBER($L43),$L43&lt;&gt;""),INDEX(IlumaData!$E:$E,$L43),"")</f>
        <v/>
      </c>
      <c r="J43" s="23">
        <f>IF(AND(ISNUMBER($L43),$L43&lt;&gt;""),INDEX(IlumaData!$F:$F,$L43),"")</f>
        <v/>
      </c>
      <c r="L43">
        <f>IFERROR(MATCH((YEAR($B$3)*10000+MONTH($B$3)*100+DAY($B$3))*1000+34,IlumaData!$W:$W,0),"")</f>
        <v/>
      </c>
    </row>
    <row r="44">
      <c r="A44" s="14">
        <f>IF(AND(ISNUMBER($L44),$L44&lt;&gt;""),INDEX(IlumaData!$G:$G,$L44),"")</f>
        <v/>
      </c>
      <c r="B44" s="15">
        <f>IF(AND(ISNUMBER($L44),$L44&lt;&gt;""),IF(INDEX(IlumaData!$I:$I,$L44)="","—",INDEX(IlumaData!$I:$I,$L44)),"")</f>
        <v/>
      </c>
      <c r="C44" s="15">
        <f>IF(AND(ISNUMBER($L44),$L44&lt;&gt;""),INDEX(IlumaData!$J:$J,$L44),"")</f>
        <v/>
      </c>
      <c r="D44" s="15">
        <f>IF(AND(ISNUMBER($L44),$L44&lt;&gt;""),INDEX(IlumaData!$K:$K,$L44),"")</f>
        <v/>
      </c>
      <c r="E44" s="15">
        <f>IF(AND(ISNUMBER($L44),$L44&lt;&gt;""),IF(INDEX(IlumaData!$L:$L,$L44)="","—",INDEX(IlumaData!$L:$L,$L44)),"")</f>
        <v/>
      </c>
      <c r="F44" s="15">
        <f>IF(AND(ISNUMBER($L44),$L44&lt;&gt;""),IF(INDEX(IlumaData!$M:$M,$L44)="","—",INDEX(IlumaData!$M:$M,$L44)),"")</f>
        <v/>
      </c>
      <c r="G44" s="16">
        <f>IF(AND(ISNUMBER($L44),$L44&lt;&gt;""),IF(INDEX(IlumaData!$N:$N,$L44)="","—",INDEX(IlumaData!$N:$N,$L44)),"")</f>
        <v/>
      </c>
      <c r="H44" s="17">
        <f>IF(AND(ISNUMBER($L44),$L44&lt;&gt;""),IF(INDEX(IlumaData!$Q:$Q,$L44)="","—",INDEX(IlumaData!$Q:$Q,$L44)),"")</f>
        <v/>
      </c>
      <c r="I44" s="18">
        <f>IF(AND(ISNUMBER($L44),$L44&lt;&gt;""),INDEX(IlumaData!$E:$E,$L44),"")</f>
        <v/>
      </c>
      <c r="J44" s="18">
        <f>IF(AND(ISNUMBER($L44),$L44&lt;&gt;""),INDEX(IlumaData!$F:$F,$L44),"")</f>
        <v/>
      </c>
      <c r="L44">
        <f>IFERROR(MATCH((YEAR($B$3)*10000+MONTH($B$3)*100+DAY($B$3))*1000+35,IlumaData!$W:$W,0),"")</f>
        <v/>
      </c>
    </row>
    <row r="45">
      <c r="A45" s="19">
        <f>IF(AND(ISNUMBER($L45),$L45&lt;&gt;""),INDEX(IlumaData!$G:$G,$L45),"")</f>
        <v/>
      </c>
      <c r="B45" s="20">
        <f>IF(AND(ISNUMBER($L45),$L45&lt;&gt;""),IF(INDEX(IlumaData!$I:$I,$L45)="","—",INDEX(IlumaData!$I:$I,$L45)),"")</f>
        <v/>
      </c>
      <c r="C45" s="20">
        <f>IF(AND(ISNUMBER($L45),$L45&lt;&gt;""),INDEX(IlumaData!$J:$J,$L45),"")</f>
        <v/>
      </c>
      <c r="D45" s="20">
        <f>IF(AND(ISNUMBER($L45),$L45&lt;&gt;""),INDEX(IlumaData!$K:$K,$L45),"")</f>
        <v/>
      </c>
      <c r="E45" s="20">
        <f>IF(AND(ISNUMBER($L45),$L45&lt;&gt;""),IF(INDEX(IlumaData!$L:$L,$L45)="","—",INDEX(IlumaData!$L:$L,$L45)),"")</f>
        <v/>
      </c>
      <c r="F45" s="20">
        <f>IF(AND(ISNUMBER($L45),$L45&lt;&gt;""),IF(INDEX(IlumaData!$M:$M,$L45)="","—",INDEX(IlumaData!$M:$M,$L45)),"")</f>
        <v/>
      </c>
      <c r="G45" s="21">
        <f>IF(AND(ISNUMBER($L45),$L45&lt;&gt;""),IF(INDEX(IlumaData!$N:$N,$L45)="","—",INDEX(IlumaData!$N:$N,$L45)),"")</f>
        <v/>
      </c>
      <c r="H45" s="22">
        <f>IF(AND(ISNUMBER($L45),$L45&lt;&gt;""),IF(INDEX(IlumaData!$Q:$Q,$L45)="","—",INDEX(IlumaData!$Q:$Q,$L45)),"")</f>
        <v/>
      </c>
      <c r="I45" s="23">
        <f>IF(AND(ISNUMBER($L45),$L45&lt;&gt;""),INDEX(IlumaData!$E:$E,$L45),"")</f>
        <v/>
      </c>
      <c r="J45" s="23">
        <f>IF(AND(ISNUMBER($L45),$L45&lt;&gt;""),INDEX(IlumaData!$F:$F,$L45),"")</f>
        <v/>
      </c>
      <c r="L45">
        <f>IFERROR(MATCH((YEAR($B$3)*10000+MONTH($B$3)*100+DAY($B$3))*1000+36,IlumaData!$W:$W,0),"")</f>
        <v/>
      </c>
    </row>
    <row r="46">
      <c r="A46" s="14">
        <f>IF(AND(ISNUMBER($L46),$L46&lt;&gt;""),INDEX(IlumaData!$G:$G,$L46),"")</f>
        <v/>
      </c>
      <c r="B46" s="15">
        <f>IF(AND(ISNUMBER($L46),$L46&lt;&gt;""),IF(INDEX(IlumaData!$I:$I,$L46)="","—",INDEX(IlumaData!$I:$I,$L46)),"")</f>
        <v/>
      </c>
      <c r="C46" s="15">
        <f>IF(AND(ISNUMBER($L46),$L46&lt;&gt;""),INDEX(IlumaData!$J:$J,$L46),"")</f>
        <v/>
      </c>
      <c r="D46" s="15">
        <f>IF(AND(ISNUMBER($L46),$L46&lt;&gt;""),INDEX(IlumaData!$K:$K,$L46),"")</f>
        <v/>
      </c>
      <c r="E46" s="15">
        <f>IF(AND(ISNUMBER($L46),$L46&lt;&gt;""),IF(INDEX(IlumaData!$L:$L,$L46)="","—",INDEX(IlumaData!$L:$L,$L46)),"")</f>
        <v/>
      </c>
      <c r="F46" s="15">
        <f>IF(AND(ISNUMBER($L46),$L46&lt;&gt;""),IF(INDEX(IlumaData!$M:$M,$L46)="","—",INDEX(IlumaData!$M:$M,$L46)),"")</f>
        <v/>
      </c>
      <c r="G46" s="16">
        <f>IF(AND(ISNUMBER($L46),$L46&lt;&gt;""),IF(INDEX(IlumaData!$N:$N,$L46)="","—",INDEX(IlumaData!$N:$N,$L46)),"")</f>
        <v/>
      </c>
      <c r="H46" s="17">
        <f>IF(AND(ISNUMBER($L46),$L46&lt;&gt;""),IF(INDEX(IlumaData!$Q:$Q,$L46)="","—",INDEX(IlumaData!$Q:$Q,$L46)),"")</f>
        <v/>
      </c>
      <c r="I46" s="18">
        <f>IF(AND(ISNUMBER($L46),$L46&lt;&gt;""),INDEX(IlumaData!$E:$E,$L46),"")</f>
        <v/>
      </c>
      <c r="J46" s="18">
        <f>IF(AND(ISNUMBER($L46),$L46&lt;&gt;""),INDEX(IlumaData!$F:$F,$L46),"")</f>
        <v/>
      </c>
      <c r="L46">
        <f>IFERROR(MATCH((YEAR($B$3)*10000+MONTH($B$3)*100+DAY($B$3))*1000+37,IlumaData!$W:$W,0),"")</f>
        <v/>
      </c>
    </row>
    <row r="47">
      <c r="A47" s="19">
        <f>IF(AND(ISNUMBER($L47),$L47&lt;&gt;""),INDEX(IlumaData!$G:$G,$L47),"")</f>
        <v/>
      </c>
      <c r="B47" s="20">
        <f>IF(AND(ISNUMBER($L47),$L47&lt;&gt;""),IF(INDEX(IlumaData!$I:$I,$L47)="","—",INDEX(IlumaData!$I:$I,$L47)),"")</f>
        <v/>
      </c>
      <c r="C47" s="20">
        <f>IF(AND(ISNUMBER($L47),$L47&lt;&gt;""),INDEX(IlumaData!$J:$J,$L47),"")</f>
        <v/>
      </c>
      <c r="D47" s="20">
        <f>IF(AND(ISNUMBER($L47),$L47&lt;&gt;""),INDEX(IlumaData!$K:$K,$L47),"")</f>
        <v/>
      </c>
      <c r="E47" s="20">
        <f>IF(AND(ISNUMBER($L47),$L47&lt;&gt;""),IF(INDEX(IlumaData!$L:$L,$L47)="","—",INDEX(IlumaData!$L:$L,$L47)),"")</f>
        <v/>
      </c>
      <c r="F47" s="20">
        <f>IF(AND(ISNUMBER($L47),$L47&lt;&gt;""),IF(INDEX(IlumaData!$M:$M,$L47)="","—",INDEX(IlumaData!$M:$M,$L47)),"")</f>
        <v/>
      </c>
      <c r="G47" s="21">
        <f>IF(AND(ISNUMBER($L47),$L47&lt;&gt;""),IF(INDEX(IlumaData!$N:$N,$L47)="","—",INDEX(IlumaData!$N:$N,$L47)),"")</f>
        <v/>
      </c>
      <c r="H47" s="22">
        <f>IF(AND(ISNUMBER($L47),$L47&lt;&gt;""),IF(INDEX(IlumaData!$Q:$Q,$L47)="","—",INDEX(IlumaData!$Q:$Q,$L47)),"")</f>
        <v/>
      </c>
      <c r="I47" s="23">
        <f>IF(AND(ISNUMBER($L47),$L47&lt;&gt;""),INDEX(IlumaData!$E:$E,$L47),"")</f>
        <v/>
      </c>
      <c r="J47" s="23">
        <f>IF(AND(ISNUMBER($L47),$L47&lt;&gt;""),INDEX(IlumaData!$F:$F,$L47),"")</f>
        <v/>
      </c>
      <c r="L47">
        <f>IFERROR(MATCH((YEAR($B$3)*10000+MONTH($B$3)*100+DAY($B$3))*1000+38,IlumaData!$W:$W,0),"")</f>
        <v/>
      </c>
    </row>
    <row r="48">
      <c r="A48" s="14">
        <f>IF(AND(ISNUMBER($L48),$L48&lt;&gt;""),INDEX(IlumaData!$G:$G,$L48),"")</f>
        <v/>
      </c>
      <c r="B48" s="15">
        <f>IF(AND(ISNUMBER($L48),$L48&lt;&gt;""),IF(INDEX(IlumaData!$I:$I,$L48)="","—",INDEX(IlumaData!$I:$I,$L48)),"")</f>
        <v/>
      </c>
      <c r="C48" s="15">
        <f>IF(AND(ISNUMBER($L48),$L48&lt;&gt;""),INDEX(IlumaData!$J:$J,$L48),"")</f>
        <v/>
      </c>
      <c r="D48" s="15">
        <f>IF(AND(ISNUMBER($L48),$L48&lt;&gt;""),INDEX(IlumaData!$K:$K,$L48),"")</f>
        <v/>
      </c>
      <c r="E48" s="15">
        <f>IF(AND(ISNUMBER($L48),$L48&lt;&gt;""),IF(INDEX(IlumaData!$L:$L,$L48)="","—",INDEX(IlumaData!$L:$L,$L48)),"")</f>
        <v/>
      </c>
      <c r="F48" s="15">
        <f>IF(AND(ISNUMBER($L48),$L48&lt;&gt;""),IF(INDEX(IlumaData!$M:$M,$L48)="","—",INDEX(IlumaData!$M:$M,$L48)),"")</f>
        <v/>
      </c>
      <c r="G48" s="16">
        <f>IF(AND(ISNUMBER($L48),$L48&lt;&gt;""),IF(INDEX(IlumaData!$N:$N,$L48)="","—",INDEX(IlumaData!$N:$N,$L48)),"")</f>
        <v/>
      </c>
      <c r="H48" s="17">
        <f>IF(AND(ISNUMBER($L48),$L48&lt;&gt;""),IF(INDEX(IlumaData!$Q:$Q,$L48)="","—",INDEX(IlumaData!$Q:$Q,$L48)),"")</f>
        <v/>
      </c>
      <c r="I48" s="18">
        <f>IF(AND(ISNUMBER($L48),$L48&lt;&gt;""),INDEX(IlumaData!$E:$E,$L48),"")</f>
        <v/>
      </c>
      <c r="J48" s="18">
        <f>IF(AND(ISNUMBER($L48),$L48&lt;&gt;""),INDEX(IlumaData!$F:$F,$L48),"")</f>
        <v/>
      </c>
      <c r="L48">
        <f>IFERROR(MATCH((YEAR($B$3)*10000+MONTH($B$3)*100+DAY($B$3))*1000+39,IlumaData!$W:$W,0),"")</f>
        <v/>
      </c>
    </row>
    <row r="49">
      <c r="A49" s="19">
        <f>IF(AND(ISNUMBER($L49),$L49&lt;&gt;""),INDEX(IlumaData!$G:$G,$L49),"")</f>
        <v/>
      </c>
      <c r="B49" s="20">
        <f>IF(AND(ISNUMBER($L49),$L49&lt;&gt;""),IF(INDEX(IlumaData!$I:$I,$L49)="","—",INDEX(IlumaData!$I:$I,$L49)),"")</f>
        <v/>
      </c>
      <c r="C49" s="20">
        <f>IF(AND(ISNUMBER($L49),$L49&lt;&gt;""),INDEX(IlumaData!$J:$J,$L49),"")</f>
        <v/>
      </c>
      <c r="D49" s="20">
        <f>IF(AND(ISNUMBER($L49),$L49&lt;&gt;""),INDEX(IlumaData!$K:$K,$L49),"")</f>
        <v/>
      </c>
      <c r="E49" s="20">
        <f>IF(AND(ISNUMBER($L49),$L49&lt;&gt;""),IF(INDEX(IlumaData!$L:$L,$L49)="","—",INDEX(IlumaData!$L:$L,$L49)),"")</f>
        <v/>
      </c>
      <c r="F49" s="20">
        <f>IF(AND(ISNUMBER($L49),$L49&lt;&gt;""),IF(INDEX(IlumaData!$M:$M,$L49)="","—",INDEX(IlumaData!$M:$M,$L49)),"")</f>
        <v/>
      </c>
      <c r="G49" s="21">
        <f>IF(AND(ISNUMBER($L49),$L49&lt;&gt;""),IF(INDEX(IlumaData!$N:$N,$L49)="","—",INDEX(IlumaData!$N:$N,$L49)),"")</f>
        <v/>
      </c>
      <c r="H49" s="22">
        <f>IF(AND(ISNUMBER($L49),$L49&lt;&gt;""),IF(INDEX(IlumaData!$Q:$Q,$L49)="","—",INDEX(IlumaData!$Q:$Q,$L49)),"")</f>
        <v/>
      </c>
      <c r="I49" s="23">
        <f>IF(AND(ISNUMBER($L49),$L49&lt;&gt;""),INDEX(IlumaData!$E:$E,$L49),"")</f>
        <v/>
      </c>
      <c r="J49" s="23">
        <f>IF(AND(ISNUMBER($L49),$L49&lt;&gt;""),INDEX(IlumaData!$F:$F,$L49),"")</f>
        <v/>
      </c>
      <c r="L49">
        <f>IFERROR(MATCH((YEAR($B$3)*10000+MONTH($B$3)*100+DAY($B$3))*1000+40,IlumaData!$W:$W,0),"")</f>
        <v/>
      </c>
    </row>
    <row r="50">
      <c r="A50" s="14">
        <f>IF(AND(ISNUMBER($L50),$L50&lt;&gt;""),INDEX(IlumaData!$G:$G,$L50),"")</f>
        <v/>
      </c>
      <c r="B50" s="15">
        <f>IF(AND(ISNUMBER($L50),$L50&lt;&gt;""),IF(INDEX(IlumaData!$I:$I,$L50)="","—",INDEX(IlumaData!$I:$I,$L50)),"")</f>
        <v/>
      </c>
      <c r="C50" s="15">
        <f>IF(AND(ISNUMBER($L50),$L50&lt;&gt;""),INDEX(IlumaData!$J:$J,$L50),"")</f>
        <v/>
      </c>
      <c r="D50" s="15">
        <f>IF(AND(ISNUMBER($L50),$L50&lt;&gt;""),INDEX(IlumaData!$K:$K,$L50),"")</f>
        <v/>
      </c>
      <c r="E50" s="15">
        <f>IF(AND(ISNUMBER($L50),$L50&lt;&gt;""),IF(INDEX(IlumaData!$L:$L,$L50)="","—",INDEX(IlumaData!$L:$L,$L50)),"")</f>
        <v/>
      </c>
      <c r="F50" s="15">
        <f>IF(AND(ISNUMBER($L50),$L50&lt;&gt;""),IF(INDEX(IlumaData!$M:$M,$L50)="","—",INDEX(IlumaData!$M:$M,$L50)),"")</f>
        <v/>
      </c>
      <c r="G50" s="16">
        <f>IF(AND(ISNUMBER($L50),$L50&lt;&gt;""),IF(INDEX(IlumaData!$N:$N,$L50)="","—",INDEX(IlumaData!$N:$N,$L50)),"")</f>
        <v/>
      </c>
      <c r="H50" s="17">
        <f>IF(AND(ISNUMBER($L50),$L50&lt;&gt;""),IF(INDEX(IlumaData!$Q:$Q,$L50)="","—",INDEX(IlumaData!$Q:$Q,$L50)),"")</f>
        <v/>
      </c>
      <c r="I50" s="18">
        <f>IF(AND(ISNUMBER($L50),$L50&lt;&gt;""),INDEX(IlumaData!$E:$E,$L50),"")</f>
        <v/>
      </c>
      <c r="J50" s="18">
        <f>IF(AND(ISNUMBER($L50),$L50&lt;&gt;""),INDEX(IlumaData!$F:$F,$L50),"")</f>
        <v/>
      </c>
      <c r="L50">
        <f>IFERROR(MATCH((YEAR($B$3)*10000+MONTH($B$3)*100+DAY($B$3))*1000+41,IlumaData!$W:$W,0),"")</f>
        <v/>
      </c>
    </row>
    <row r="51">
      <c r="A51" s="19">
        <f>IF(AND(ISNUMBER($L51),$L51&lt;&gt;""),INDEX(IlumaData!$G:$G,$L51),"")</f>
        <v/>
      </c>
      <c r="B51" s="20">
        <f>IF(AND(ISNUMBER($L51),$L51&lt;&gt;""),IF(INDEX(IlumaData!$I:$I,$L51)="","—",INDEX(IlumaData!$I:$I,$L51)),"")</f>
        <v/>
      </c>
      <c r="C51" s="20">
        <f>IF(AND(ISNUMBER($L51),$L51&lt;&gt;""),INDEX(IlumaData!$J:$J,$L51),"")</f>
        <v/>
      </c>
      <c r="D51" s="20">
        <f>IF(AND(ISNUMBER($L51),$L51&lt;&gt;""),INDEX(IlumaData!$K:$K,$L51),"")</f>
        <v/>
      </c>
      <c r="E51" s="20">
        <f>IF(AND(ISNUMBER($L51),$L51&lt;&gt;""),IF(INDEX(IlumaData!$L:$L,$L51)="","—",INDEX(IlumaData!$L:$L,$L51)),"")</f>
        <v/>
      </c>
      <c r="F51" s="20">
        <f>IF(AND(ISNUMBER($L51),$L51&lt;&gt;""),IF(INDEX(IlumaData!$M:$M,$L51)="","—",INDEX(IlumaData!$M:$M,$L51)),"")</f>
        <v/>
      </c>
      <c r="G51" s="21">
        <f>IF(AND(ISNUMBER($L51),$L51&lt;&gt;""),IF(INDEX(IlumaData!$N:$N,$L51)="","—",INDEX(IlumaData!$N:$N,$L51)),"")</f>
        <v/>
      </c>
      <c r="H51" s="22">
        <f>IF(AND(ISNUMBER($L51),$L51&lt;&gt;""),IF(INDEX(IlumaData!$Q:$Q,$L51)="","—",INDEX(IlumaData!$Q:$Q,$L51)),"")</f>
        <v/>
      </c>
      <c r="I51" s="23">
        <f>IF(AND(ISNUMBER($L51),$L51&lt;&gt;""),INDEX(IlumaData!$E:$E,$L51),"")</f>
        <v/>
      </c>
      <c r="J51" s="23">
        <f>IF(AND(ISNUMBER($L51),$L51&lt;&gt;""),INDEX(IlumaData!$F:$F,$L51),"")</f>
        <v/>
      </c>
      <c r="L51">
        <f>IFERROR(MATCH((YEAR($B$3)*10000+MONTH($B$3)*100+DAY($B$3))*1000+42,IlumaData!$W:$W,0),"")</f>
        <v/>
      </c>
    </row>
    <row r="52">
      <c r="A52" s="14">
        <f>IF(AND(ISNUMBER($L52),$L52&lt;&gt;""),INDEX(IlumaData!$G:$G,$L52),"")</f>
        <v/>
      </c>
      <c r="B52" s="15">
        <f>IF(AND(ISNUMBER($L52),$L52&lt;&gt;""),IF(INDEX(IlumaData!$I:$I,$L52)="","—",INDEX(IlumaData!$I:$I,$L52)),"")</f>
        <v/>
      </c>
      <c r="C52" s="15">
        <f>IF(AND(ISNUMBER($L52),$L52&lt;&gt;""),INDEX(IlumaData!$J:$J,$L52),"")</f>
        <v/>
      </c>
      <c r="D52" s="15">
        <f>IF(AND(ISNUMBER($L52),$L52&lt;&gt;""),INDEX(IlumaData!$K:$K,$L52),"")</f>
        <v/>
      </c>
      <c r="E52" s="15">
        <f>IF(AND(ISNUMBER($L52),$L52&lt;&gt;""),IF(INDEX(IlumaData!$L:$L,$L52)="","—",INDEX(IlumaData!$L:$L,$L52)),"")</f>
        <v/>
      </c>
      <c r="F52" s="15">
        <f>IF(AND(ISNUMBER($L52),$L52&lt;&gt;""),IF(INDEX(IlumaData!$M:$M,$L52)="","—",INDEX(IlumaData!$M:$M,$L52)),"")</f>
        <v/>
      </c>
      <c r="G52" s="16">
        <f>IF(AND(ISNUMBER($L52),$L52&lt;&gt;""),IF(INDEX(IlumaData!$N:$N,$L52)="","—",INDEX(IlumaData!$N:$N,$L52)),"")</f>
        <v/>
      </c>
      <c r="H52" s="17">
        <f>IF(AND(ISNUMBER($L52),$L52&lt;&gt;""),IF(INDEX(IlumaData!$Q:$Q,$L52)="","—",INDEX(IlumaData!$Q:$Q,$L52)),"")</f>
        <v/>
      </c>
      <c r="I52" s="18">
        <f>IF(AND(ISNUMBER($L52),$L52&lt;&gt;""),INDEX(IlumaData!$E:$E,$L52),"")</f>
        <v/>
      </c>
      <c r="J52" s="18">
        <f>IF(AND(ISNUMBER($L52),$L52&lt;&gt;""),INDEX(IlumaData!$F:$F,$L52),"")</f>
        <v/>
      </c>
      <c r="L52">
        <f>IFERROR(MATCH((YEAR($B$3)*10000+MONTH($B$3)*100+DAY($B$3))*1000+43,IlumaData!$W:$W,0),"")</f>
        <v/>
      </c>
    </row>
    <row r="53">
      <c r="A53" s="19">
        <f>IF(AND(ISNUMBER($L53),$L53&lt;&gt;""),INDEX(IlumaData!$G:$G,$L53),"")</f>
        <v/>
      </c>
      <c r="B53" s="20">
        <f>IF(AND(ISNUMBER($L53),$L53&lt;&gt;""),IF(INDEX(IlumaData!$I:$I,$L53)="","—",INDEX(IlumaData!$I:$I,$L53)),"")</f>
        <v/>
      </c>
      <c r="C53" s="20">
        <f>IF(AND(ISNUMBER($L53),$L53&lt;&gt;""),INDEX(IlumaData!$J:$J,$L53),"")</f>
        <v/>
      </c>
      <c r="D53" s="20">
        <f>IF(AND(ISNUMBER($L53),$L53&lt;&gt;""),INDEX(IlumaData!$K:$K,$L53),"")</f>
        <v/>
      </c>
      <c r="E53" s="20">
        <f>IF(AND(ISNUMBER($L53),$L53&lt;&gt;""),IF(INDEX(IlumaData!$L:$L,$L53)="","—",INDEX(IlumaData!$L:$L,$L53)),"")</f>
        <v/>
      </c>
      <c r="F53" s="20">
        <f>IF(AND(ISNUMBER($L53),$L53&lt;&gt;""),IF(INDEX(IlumaData!$M:$M,$L53)="","—",INDEX(IlumaData!$M:$M,$L53)),"")</f>
        <v/>
      </c>
      <c r="G53" s="21">
        <f>IF(AND(ISNUMBER($L53),$L53&lt;&gt;""),IF(INDEX(IlumaData!$N:$N,$L53)="","—",INDEX(IlumaData!$N:$N,$L53)),"")</f>
        <v/>
      </c>
      <c r="H53" s="22">
        <f>IF(AND(ISNUMBER($L53),$L53&lt;&gt;""),IF(INDEX(IlumaData!$Q:$Q,$L53)="","—",INDEX(IlumaData!$Q:$Q,$L53)),"")</f>
        <v/>
      </c>
      <c r="I53" s="23">
        <f>IF(AND(ISNUMBER($L53),$L53&lt;&gt;""),INDEX(IlumaData!$E:$E,$L53),"")</f>
        <v/>
      </c>
      <c r="J53" s="23">
        <f>IF(AND(ISNUMBER($L53),$L53&lt;&gt;""),INDEX(IlumaData!$F:$F,$L53),"")</f>
        <v/>
      </c>
      <c r="L53">
        <f>IFERROR(MATCH((YEAR($B$3)*10000+MONTH($B$3)*100+DAY($B$3))*1000+44,IlumaData!$W:$W,0),"")</f>
        <v/>
      </c>
    </row>
    <row r="54">
      <c r="A54" s="14">
        <f>IF(AND(ISNUMBER($L54),$L54&lt;&gt;""),INDEX(IlumaData!$G:$G,$L54),"")</f>
        <v/>
      </c>
      <c r="B54" s="15">
        <f>IF(AND(ISNUMBER($L54),$L54&lt;&gt;""),IF(INDEX(IlumaData!$I:$I,$L54)="","—",INDEX(IlumaData!$I:$I,$L54)),"")</f>
        <v/>
      </c>
      <c r="C54" s="15">
        <f>IF(AND(ISNUMBER($L54),$L54&lt;&gt;""),INDEX(IlumaData!$J:$J,$L54),"")</f>
        <v/>
      </c>
      <c r="D54" s="15">
        <f>IF(AND(ISNUMBER($L54),$L54&lt;&gt;""),INDEX(IlumaData!$K:$K,$L54),"")</f>
        <v/>
      </c>
      <c r="E54" s="15">
        <f>IF(AND(ISNUMBER($L54),$L54&lt;&gt;""),IF(INDEX(IlumaData!$L:$L,$L54)="","—",INDEX(IlumaData!$L:$L,$L54)),"")</f>
        <v/>
      </c>
      <c r="F54" s="15">
        <f>IF(AND(ISNUMBER($L54),$L54&lt;&gt;""),IF(INDEX(IlumaData!$M:$M,$L54)="","—",INDEX(IlumaData!$M:$M,$L54)),"")</f>
        <v/>
      </c>
      <c r="G54" s="16">
        <f>IF(AND(ISNUMBER($L54),$L54&lt;&gt;""),IF(INDEX(IlumaData!$N:$N,$L54)="","—",INDEX(IlumaData!$N:$N,$L54)),"")</f>
        <v/>
      </c>
      <c r="H54" s="17">
        <f>IF(AND(ISNUMBER($L54),$L54&lt;&gt;""),IF(INDEX(IlumaData!$Q:$Q,$L54)="","—",INDEX(IlumaData!$Q:$Q,$L54)),"")</f>
        <v/>
      </c>
      <c r="I54" s="18">
        <f>IF(AND(ISNUMBER($L54),$L54&lt;&gt;""),INDEX(IlumaData!$E:$E,$L54),"")</f>
        <v/>
      </c>
      <c r="J54" s="18">
        <f>IF(AND(ISNUMBER($L54),$L54&lt;&gt;""),INDEX(IlumaData!$F:$F,$L54),"")</f>
        <v/>
      </c>
      <c r="L54">
        <f>IFERROR(MATCH((YEAR($B$3)*10000+MONTH($B$3)*100+DAY($B$3))*1000+45,IlumaData!$W:$W,0),"")</f>
        <v/>
      </c>
    </row>
    <row r="55">
      <c r="A55" s="19">
        <f>IF(AND(ISNUMBER($L55),$L55&lt;&gt;""),INDEX(IlumaData!$G:$G,$L55),"")</f>
        <v/>
      </c>
      <c r="B55" s="20">
        <f>IF(AND(ISNUMBER($L55),$L55&lt;&gt;""),IF(INDEX(IlumaData!$I:$I,$L55)="","—",INDEX(IlumaData!$I:$I,$L55)),"")</f>
        <v/>
      </c>
      <c r="C55" s="20">
        <f>IF(AND(ISNUMBER($L55),$L55&lt;&gt;""),INDEX(IlumaData!$J:$J,$L55),"")</f>
        <v/>
      </c>
      <c r="D55" s="20">
        <f>IF(AND(ISNUMBER($L55),$L55&lt;&gt;""),INDEX(IlumaData!$K:$K,$L55),"")</f>
        <v/>
      </c>
      <c r="E55" s="20">
        <f>IF(AND(ISNUMBER($L55),$L55&lt;&gt;""),IF(INDEX(IlumaData!$L:$L,$L55)="","—",INDEX(IlumaData!$L:$L,$L55)),"")</f>
        <v/>
      </c>
      <c r="F55" s="20">
        <f>IF(AND(ISNUMBER($L55),$L55&lt;&gt;""),IF(INDEX(IlumaData!$M:$M,$L55)="","—",INDEX(IlumaData!$M:$M,$L55)),"")</f>
        <v/>
      </c>
      <c r="G55" s="21">
        <f>IF(AND(ISNUMBER($L55),$L55&lt;&gt;""),IF(INDEX(IlumaData!$N:$N,$L55)="","—",INDEX(IlumaData!$N:$N,$L55)),"")</f>
        <v/>
      </c>
      <c r="H55" s="22">
        <f>IF(AND(ISNUMBER($L55),$L55&lt;&gt;""),IF(INDEX(IlumaData!$Q:$Q,$L55)="","—",INDEX(IlumaData!$Q:$Q,$L55)),"")</f>
        <v/>
      </c>
      <c r="I55" s="23">
        <f>IF(AND(ISNUMBER($L55),$L55&lt;&gt;""),INDEX(IlumaData!$E:$E,$L55),"")</f>
        <v/>
      </c>
      <c r="J55" s="23">
        <f>IF(AND(ISNUMBER($L55),$L55&lt;&gt;""),INDEX(IlumaData!$F:$F,$L55),"")</f>
        <v/>
      </c>
      <c r="L55">
        <f>IFERROR(MATCH((YEAR($B$3)*10000+MONTH($B$3)*100+DAY($B$3))*1000+46,IlumaData!$W:$W,0),"")</f>
        <v/>
      </c>
    </row>
    <row r="56">
      <c r="A56" s="14">
        <f>IF(AND(ISNUMBER($L56),$L56&lt;&gt;""),INDEX(IlumaData!$G:$G,$L56),"")</f>
        <v/>
      </c>
      <c r="B56" s="15">
        <f>IF(AND(ISNUMBER($L56),$L56&lt;&gt;""),IF(INDEX(IlumaData!$I:$I,$L56)="","—",INDEX(IlumaData!$I:$I,$L56)),"")</f>
        <v/>
      </c>
      <c r="C56" s="15">
        <f>IF(AND(ISNUMBER($L56),$L56&lt;&gt;""),INDEX(IlumaData!$J:$J,$L56),"")</f>
        <v/>
      </c>
      <c r="D56" s="15">
        <f>IF(AND(ISNUMBER($L56),$L56&lt;&gt;""),INDEX(IlumaData!$K:$K,$L56),"")</f>
        <v/>
      </c>
      <c r="E56" s="15">
        <f>IF(AND(ISNUMBER($L56),$L56&lt;&gt;""),IF(INDEX(IlumaData!$L:$L,$L56)="","—",INDEX(IlumaData!$L:$L,$L56)),"")</f>
        <v/>
      </c>
      <c r="F56" s="15">
        <f>IF(AND(ISNUMBER($L56),$L56&lt;&gt;""),IF(INDEX(IlumaData!$M:$M,$L56)="","—",INDEX(IlumaData!$M:$M,$L56)),"")</f>
        <v/>
      </c>
      <c r="G56" s="16">
        <f>IF(AND(ISNUMBER($L56),$L56&lt;&gt;""),IF(INDEX(IlumaData!$N:$N,$L56)="","—",INDEX(IlumaData!$N:$N,$L56)),"")</f>
        <v/>
      </c>
      <c r="H56" s="17">
        <f>IF(AND(ISNUMBER($L56),$L56&lt;&gt;""),IF(INDEX(IlumaData!$Q:$Q,$L56)="","—",INDEX(IlumaData!$Q:$Q,$L56)),"")</f>
        <v/>
      </c>
      <c r="I56" s="18">
        <f>IF(AND(ISNUMBER($L56),$L56&lt;&gt;""),INDEX(IlumaData!$E:$E,$L56),"")</f>
        <v/>
      </c>
      <c r="J56" s="18">
        <f>IF(AND(ISNUMBER($L56),$L56&lt;&gt;""),INDEX(IlumaData!$F:$F,$L56),"")</f>
        <v/>
      </c>
      <c r="L56">
        <f>IFERROR(MATCH((YEAR($B$3)*10000+MONTH($B$3)*100+DAY($B$3))*1000+47,IlumaData!$W:$W,0),"")</f>
        <v/>
      </c>
    </row>
    <row r="57">
      <c r="A57" s="19">
        <f>IF(AND(ISNUMBER($L57),$L57&lt;&gt;""),INDEX(IlumaData!$G:$G,$L57),"")</f>
        <v/>
      </c>
      <c r="B57" s="20">
        <f>IF(AND(ISNUMBER($L57),$L57&lt;&gt;""),IF(INDEX(IlumaData!$I:$I,$L57)="","—",INDEX(IlumaData!$I:$I,$L57)),"")</f>
        <v/>
      </c>
      <c r="C57" s="20">
        <f>IF(AND(ISNUMBER($L57),$L57&lt;&gt;""),INDEX(IlumaData!$J:$J,$L57),"")</f>
        <v/>
      </c>
      <c r="D57" s="20">
        <f>IF(AND(ISNUMBER($L57),$L57&lt;&gt;""),INDEX(IlumaData!$K:$K,$L57),"")</f>
        <v/>
      </c>
      <c r="E57" s="20">
        <f>IF(AND(ISNUMBER($L57),$L57&lt;&gt;""),IF(INDEX(IlumaData!$L:$L,$L57)="","—",INDEX(IlumaData!$L:$L,$L57)),"")</f>
        <v/>
      </c>
      <c r="F57" s="20">
        <f>IF(AND(ISNUMBER($L57),$L57&lt;&gt;""),IF(INDEX(IlumaData!$M:$M,$L57)="","—",INDEX(IlumaData!$M:$M,$L57)),"")</f>
        <v/>
      </c>
      <c r="G57" s="21">
        <f>IF(AND(ISNUMBER($L57),$L57&lt;&gt;""),IF(INDEX(IlumaData!$N:$N,$L57)="","—",INDEX(IlumaData!$N:$N,$L57)),"")</f>
        <v/>
      </c>
      <c r="H57" s="22">
        <f>IF(AND(ISNUMBER($L57),$L57&lt;&gt;""),IF(INDEX(IlumaData!$Q:$Q,$L57)="","—",INDEX(IlumaData!$Q:$Q,$L57)),"")</f>
        <v/>
      </c>
      <c r="I57" s="23">
        <f>IF(AND(ISNUMBER($L57),$L57&lt;&gt;""),INDEX(IlumaData!$E:$E,$L57),"")</f>
        <v/>
      </c>
      <c r="J57" s="23">
        <f>IF(AND(ISNUMBER($L57),$L57&lt;&gt;""),INDEX(IlumaData!$F:$F,$L57),"")</f>
        <v/>
      </c>
      <c r="L57">
        <f>IFERROR(MATCH((YEAR($B$3)*10000+MONTH($B$3)*100+DAY($B$3))*1000+48,IlumaData!$W:$W,0),"")</f>
        <v/>
      </c>
    </row>
    <row r="58">
      <c r="A58" s="14">
        <f>IF(AND(ISNUMBER($L58),$L58&lt;&gt;""),INDEX(IlumaData!$G:$G,$L58),"")</f>
        <v/>
      </c>
      <c r="B58" s="15">
        <f>IF(AND(ISNUMBER($L58),$L58&lt;&gt;""),IF(INDEX(IlumaData!$I:$I,$L58)="","—",INDEX(IlumaData!$I:$I,$L58)),"")</f>
        <v/>
      </c>
      <c r="C58" s="15">
        <f>IF(AND(ISNUMBER($L58),$L58&lt;&gt;""),INDEX(IlumaData!$J:$J,$L58),"")</f>
        <v/>
      </c>
      <c r="D58" s="15">
        <f>IF(AND(ISNUMBER($L58),$L58&lt;&gt;""),INDEX(IlumaData!$K:$K,$L58),"")</f>
        <v/>
      </c>
      <c r="E58" s="15">
        <f>IF(AND(ISNUMBER($L58),$L58&lt;&gt;""),IF(INDEX(IlumaData!$L:$L,$L58)="","—",INDEX(IlumaData!$L:$L,$L58)),"")</f>
        <v/>
      </c>
      <c r="F58" s="15">
        <f>IF(AND(ISNUMBER($L58),$L58&lt;&gt;""),IF(INDEX(IlumaData!$M:$M,$L58)="","—",INDEX(IlumaData!$M:$M,$L58)),"")</f>
        <v/>
      </c>
      <c r="G58" s="16">
        <f>IF(AND(ISNUMBER($L58),$L58&lt;&gt;""),IF(INDEX(IlumaData!$N:$N,$L58)="","—",INDEX(IlumaData!$N:$N,$L58)),"")</f>
        <v/>
      </c>
      <c r="H58" s="17">
        <f>IF(AND(ISNUMBER($L58),$L58&lt;&gt;""),IF(INDEX(IlumaData!$Q:$Q,$L58)="","—",INDEX(IlumaData!$Q:$Q,$L58)),"")</f>
        <v/>
      </c>
      <c r="I58" s="18">
        <f>IF(AND(ISNUMBER($L58),$L58&lt;&gt;""),INDEX(IlumaData!$E:$E,$L58),"")</f>
        <v/>
      </c>
      <c r="J58" s="18">
        <f>IF(AND(ISNUMBER($L58),$L58&lt;&gt;""),INDEX(IlumaData!$F:$F,$L58),"")</f>
        <v/>
      </c>
      <c r="L58">
        <f>IFERROR(MATCH((YEAR($B$3)*10000+MONTH($B$3)*100+DAY($B$3))*1000+49,IlumaData!$W:$W,0),"")</f>
        <v/>
      </c>
    </row>
    <row r="59">
      <c r="A59" s="19">
        <f>IF(AND(ISNUMBER($L59),$L59&lt;&gt;""),INDEX(IlumaData!$G:$G,$L59),"")</f>
        <v/>
      </c>
      <c r="B59" s="20">
        <f>IF(AND(ISNUMBER($L59),$L59&lt;&gt;""),IF(INDEX(IlumaData!$I:$I,$L59)="","—",INDEX(IlumaData!$I:$I,$L59)),"")</f>
        <v/>
      </c>
      <c r="C59" s="20">
        <f>IF(AND(ISNUMBER($L59),$L59&lt;&gt;""),INDEX(IlumaData!$J:$J,$L59),"")</f>
        <v/>
      </c>
      <c r="D59" s="20">
        <f>IF(AND(ISNUMBER($L59),$L59&lt;&gt;""),INDEX(IlumaData!$K:$K,$L59),"")</f>
        <v/>
      </c>
      <c r="E59" s="20">
        <f>IF(AND(ISNUMBER($L59),$L59&lt;&gt;""),IF(INDEX(IlumaData!$L:$L,$L59)="","—",INDEX(IlumaData!$L:$L,$L59)),"")</f>
        <v/>
      </c>
      <c r="F59" s="20">
        <f>IF(AND(ISNUMBER($L59),$L59&lt;&gt;""),IF(INDEX(IlumaData!$M:$M,$L59)="","—",INDEX(IlumaData!$M:$M,$L59)),"")</f>
        <v/>
      </c>
      <c r="G59" s="21">
        <f>IF(AND(ISNUMBER($L59),$L59&lt;&gt;""),IF(INDEX(IlumaData!$N:$N,$L59)="","—",INDEX(IlumaData!$N:$N,$L59)),"")</f>
        <v/>
      </c>
      <c r="H59" s="22">
        <f>IF(AND(ISNUMBER($L59),$L59&lt;&gt;""),IF(INDEX(IlumaData!$Q:$Q,$L59)="","—",INDEX(IlumaData!$Q:$Q,$L59)),"")</f>
        <v/>
      </c>
      <c r="I59" s="23">
        <f>IF(AND(ISNUMBER($L59),$L59&lt;&gt;""),INDEX(IlumaData!$E:$E,$L59),"")</f>
        <v/>
      </c>
      <c r="J59" s="23">
        <f>IF(AND(ISNUMBER($L59),$L59&lt;&gt;""),INDEX(IlumaData!$F:$F,$L59),"")</f>
        <v/>
      </c>
      <c r="L59">
        <f>IFERROR(MATCH((YEAR($B$3)*10000+MONTH($B$3)*100+DAY($B$3))*1000+50,IlumaData!$W:$W,0),"")</f>
        <v/>
      </c>
    </row>
    <row r="60">
      <c r="A60" s="14">
        <f>IF(AND(ISNUMBER($L60),$L60&lt;&gt;""),INDEX(IlumaData!$G:$G,$L60),"")</f>
        <v/>
      </c>
      <c r="B60" s="15">
        <f>IF(AND(ISNUMBER($L60),$L60&lt;&gt;""),IF(INDEX(IlumaData!$I:$I,$L60)="","—",INDEX(IlumaData!$I:$I,$L60)),"")</f>
        <v/>
      </c>
      <c r="C60" s="15">
        <f>IF(AND(ISNUMBER($L60),$L60&lt;&gt;""),INDEX(IlumaData!$J:$J,$L60),"")</f>
        <v/>
      </c>
      <c r="D60" s="15">
        <f>IF(AND(ISNUMBER($L60),$L60&lt;&gt;""),INDEX(IlumaData!$K:$K,$L60),"")</f>
        <v/>
      </c>
      <c r="E60" s="15">
        <f>IF(AND(ISNUMBER($L60),$L60&lt;&gt;""),IF(INDEX(IlumaData!$L:$L,$L60)="","—",INDEX(IlumaData!$L:$L,$L60)),"")</f>
        <v/>
      </c>
      <c r="F60" s="15">
        <f>IF(AND(ISNUMBER($L60),$L60&lt;&gt;""),IF(INDEX(IlumaData!$M:$M,$L60)="","—",INDEX(IlumaData!$M:$M,$L60)),"")</f>
        <v/>
      </c>
      <c r="G60" s="16">
        <f>IF(AND(ISNUMBER($L60),$L60&lt;&gt;""),IF(INDEX(IlumaData!$N:$N,$L60)="","—",INDEX(IlumaData!$N:$N,$L60)),"")</f>
        <v/>
      </c>
      <c r="H60" s="17">
        <f>IF(AND(ISNUMBER($L60),$L60&lt;&gt;""),IF(INDEX(IlumaData!$Q:$Q,$L60)="","—",INDEX(IlumaData!$Q:$Q,$L60)),"")</f>
        <v/>
      </c>
      <c r="I60" s="18">
        <f>IF(AND(ISNUMBER($L60),$L60&lt;&gt;""),INDEX(IlumaData!$E:$E,$L60),"")</f>
        <v/>
      </c>
      <c r="J60" s="18">
        <f>IF(AND(ISNUMBER($L60),$L60&lt;&gt;""),INDEX(IlumaData!$F:$F,$L60),"")</f>
        <v/>
      </c>
      <c r="L60">
        <f>IFERROR(MATCH((YEAR($B$3)*10000+MONTH($B$3)*100+DAY($B$3))*1000+51,IlumaData!$W:$W,0),"")</f>
        <v/>
      </c>
    </row>
    <row r="61">
      <c r="A61" s="19">
        <f>IF(AND(ISNUMBER($L61),$L61&lt;&gt;""),INDEX(IlumaData!$G:$G,$L61),"")</f>
        <v/>
      </c>
      <c r="B61" s="20">
        <f>IF(AND(ISNUMBER($L61),$L61&lt;&gt;""),IF(INDEX(IlumaData!$I:$I,$L61)="","—",INDEX(IlumaData!$I:$I,$L61)),"")</f>
        <v/>
      </c>
      <c r="C61" s="20">
        <f>IF(AND(ISNUMBER($L61),$L61&lt;&gt;""),INDEX(IlumaData!$J:$J,$L61),"")</f>
        <v/>
      </c>
      <c r="D61" s="20">
        <f>IF(AND(ISNUMBER($L61),$L61&lt;&gt;""),INDEX(IlumaData!$K:$K,$L61),"")</f>
        <v/>
      </c>
      <c r="E61" s="20">
        <f>IF(AND(ISNUMBER($L61),$L61&lt;&gt;""),IF(INDEX(IlumaData!$L:$L,$L61)="","—",INDEX(IlumaData!$L:$L,$L61)),"")</f>
        <v/>
      </c>
      <c r="F61" s="20">
        <f>IF(AND(ISNUMBER($L61),$L61&lt;&gt;""),IF(INDEX(IlumaData!$M:$M,$L61)="","—",INDEX(IlumaData!$M:$M,$L61)),"")</f>
        <v/>
      </c>
      <c r="G61" s="21">
        <f>IF(AND(ISNUMBER($L61),$L61&lt;&gt;""),IF(INDEX(IlumaData!$N:$N,$L61)="","—",INDEX(IlumaData!$N:$N,$L61)),"")</f>
        <v/>
      </c>
      <c r="H61" s="22">
        <f>IF(AND(ISNUMBER($L61),$L61&lt;&gt;""),IF(INDEX(IlumaData!$Q:$Q,$L61)="","—",INDEX(IlumaData!$Q:$Q,$L61)),"")</f>
        <v/>
      </c>
      <c r="I61" s="23">
        <f>IF(AND(ISNUMBER($L61),$L61&lt;&gt;""),INDEX(IlumaData!$E:$E,$L61),"")</f>
        <v/>
      </c>
      <c r="J61" s="23">
        <f>IF(AND(ISNUMBER($L61),$L61&lt;&gt;""),INDEX(IlumaData!$F:$F,$L61),"")</f>
        <v/>
      </c>
      <c r="L61">
        <f>IFERROR(MATCH((YEAR($B$3)*10000+MONTH($B$3)*100+DAY($B$3))*1000+52,IlumaData!$W:$W,0),"")</f>
        <v/>
      </c>
    </row>
    <row r="62">
      <c r="A62" s="14">
        <f>IF(AND(ISNUMBER($L62),$L62&lt;&gt;""),INDEX(IlumaData!$G:$G,$L62),"")</f>
        <v/>
      </c>
      <c r="B62" s="15">
        <f>IF(AND(ISNUMBER($L62),$L62&lt;&gt;""),IF(INDEX(IlumaData!$I:$I,$L62)="","—",INDEX(IlumaData!$I:$I,$L62)),"")</f>
        <v/>
      </c>
      <c r="C62" s="15">
        <f>IF(AND(ISNUMBER($L62),$L62&lt;&gt;""),INDEX(IlumaData!$J:$J,$L62),"")</f>
        <v/>
      </c>
      <c r="D62" s="15">
        <f>IF(AND(ISNUMBER($L62),$L62&lt;&gt;""),INDEX(IlumaData!$K:$K,$L62),"")</f>
        <v/>
      </c>
      <c r="E62" s="15">
        <f>IF(AND(ISNUMBER($L62),$L62&lt;&gt;""),IF(INDEX(IlumaData!$L:$L,$L62)="","—",INDEX(IlumaData!$L:$L,$L62)),"")</f>
        <v/>
      </c>
      <c r="F62" s="15">
        <f>IF(AND(ISNUMBER($L62),$L62&lt;&gt;""),IF(INDEX(IlumaData!$M:$M,$L62)="","—",INDEX(IlumaData!$M:$M,$L62)),"")</f>
        <v/>
      </c>
      <c r="G62" s="16">
        <f>IF(AND(ISNUMBER($L62),$L62&lt;&gt;""),IF(INDEX(IlumaData!$N:$N,$L62)="","—",INDEX(IlumaData!$N:$N,$L62)),"")</f>
        <v/>
      </c>
      <c r="H62" s="17">
        <f>IF(AND(ISNUMBER($L62),$L62&lt;&gt;""),IF(INDEX(IlumaData!$Q:$Q,$L62)="","—",INDEX(IlumaData!$Q:$Q,$L62)),"")</f>
        <v/>
      </c>
      <c r="I62" s="18">
        <f>IF(AND(ISNUMBER($L62),$L62&lt;&gt;""),INDEX(IlumaData!$E:$E,$L62),"")</f>
        <v/>
      </c>
      <c r="J62" s="18">
        <f>IF(AND(ISNUMBER($L62),$L62&lt;&gt;""),INDEX(IlumaData!$F:$F,$L62),"")</f>
        <v/>
      </c>
      <c r="L62">
        <f>IFERROR(MATCH((YEAR($B$3)*10000+MONTH($B$3)*100+DAY($B$3))*1000+53,IlumaData!$W:$W,0),"")</f>
        <v/>
      </c>
    </row>
    <row r="63">
      <c r="A63" s="19">
        <f>IF(AND(ISNUMBER($L63),$L63&lt;&gt;""),INDEX(IlumaData!$G:$G,$L63),"")</f>
        <v/>
      </c>
      <c r="B63" s="20">
        <f>IF(AND(ISNUMBER($L63),$L63&lt;&gt;""),IF(INDEX(IlumaData!$I:$I,$L63)="","—",INDEX(IlumaData!$I:$I,$L63)),"")</f>
        <v/>
      </c>
      <c r="C63" s="20">
        <f>IF(AND(ISNUMBER($L63),$L63&lt;&gt;""),INDEX(IlumaData!$J:$J,$L63),"")</f>
        <v/>
      </c>
      <c r="D63" s="20">
        <f>IF(AND(ISNUMBER($L63),$L63&lt;&gt;""),INDEX(IlumaData!$K:$K,$L63),"")</f>
        <v/>
      </c>
      <c r="E63" s="20">
        <f>IF(AND(ISNUMBER($L63),$L63&lt;&gt;""),IF(INDEX(IlumaData!$L:$L,$L63)="","—",INDEX(IlumaData!$L:$L,$L63)),"")</f>
        <v/>
      </c>
      <c r="F63" s="20">
        <f>IF(AND(ISNUMBER($L63),$L63&lt;&gt;""),IF(INDEX(IlumaData!$M:$M,$L63)="","—",INDEX(IlumaData!$M:$M,$L63)),"")</f>
        <v/>
      </c>
      <c r="G63" s="21">
        <f>IF(AND(ISNUMBER($L63),$L63&lt;&gt;""),IF(INDEX(IlumaData!$N:$N,$L63)="","—",INDEX(IlumaData!$N:$N,$L63)),"")</f>
        <v/>
      </c>
      <c r="H63" s="22">
        <f>IF(AND(ISNUMBER($L63),$L63&lt;&gt;""),IF(INDEX(IlumaData!$Q:$Q,$L63)="","—",INDEX(IlumaData!$Q:$Q,$L63)),"")</f>
        <v/>
      </c>
      <c r="I63" s="23">
        <f>IF(AND(ISNUMBER($L63),$L63&lt;&gt;""),INDEX(IlumaData!$E:$E,$L63),"")</f>
        <v/>
      </c>
      <c r="J63" s="23">
        <f>IF(AND(ISNUMBER($L63),$L63&lt;&gt;""),INDEX(IlumaData!$F:$F,$L63),"")</f>
        <v/>
      </c>
      <c r="L63">
        <f>IFERROR(MATCH((YEAR($B$3)*10000+MONTH($B$3)*100+DAY($B$3))*1000+54,IlumaData!$W:$W,0),"")</f>
        <v/>
      </c>
    </row>
    <row r="64">
      <c r="A64" s="14">
        <f>IF(AND(ISNUMBER($L64),$L64&lt;&gt;""),INDEX(IlumaData!$G:$G,$L64),"")</f>
        <v/>
      </c>
      <c r="B64" s="15">
        <f>IF(AND(ISNUMBER($L64),$L64&lt;&gt;""),IF(INDEX(IlumaData!$I:$I,$L64)="","—",INDEX(IlumaData!$I:$I,$L64)),"")</f>
        <v/>
      </c>
      <c r="C64" s="15">
        <f>IF(AND(ISNUMBER($L64),$L64&lt;&gt;""),INDEX(IlumaData!$J:$J,$L64),"")</f>
        <v/>
      </c>
      <c r="D64" s="15">
        <f>IF(AND(ISNUMBER($L64),$L64&lt;&gt;""),INDEX(IlumaData!$K:$K,$L64),"")</f>
        <v/>
      </c>
      <c r="E64" s="15">
        <f>IF(AND(ISNUMBER($L64),$L64&lt;&gt;""),IF(INDEX(IlumaData!$L:$L,$L64)="","—",INDEX(IlumaData!$L:$L,$L64)),"")</f>
        <v/>
      </c>
      <c r="F64" s="15">
        <f>IF(AND(ISNUMBER($L64),$L64&lt;&gt;""),IF(INDEX(IlumaData!$M:$M,$L64)="","—",INDEX(IlumaData!$M:$M,$L64)),"")</f>
        <v/>
      </c>
      <c r="G64" s="16">
        <f>IF(AND(ISNUMBER($L64),$L64&lt;&gt;""),IF(INDEX(IlumaData!$N:$N,$L64)="","—",INDEX(IlumaData!$N:$N,$L64)),"")</f>
        <v/>
      </c>
      <c r="H64" s="17">
        <f>IF(AND(ISNUMBER($L64),$L64&lt;&gt;""),IF(INDEX(IlumaData!$Q:$Q,$L64)="","—",INDEX(IlumaData!$Q:$Q,$L64)),"")</f>
        <v/>
      </c>
      <c r="I64" s="18">
        <f>IF(AND(ISNUMBER($L64),$L64&lt;&gt;""),INDEX(IlumaData!$E:$E,$L64),"")</f>
        <v/>
      </c>
      <c r="J64" s="18">
        <f>IF(AND(ISNUMBER($L64),$L64&lt;&gt;""),INDEX(IlumaData!$F:$F,$L64),"")</f>
        <v/>
      </c>
      <c r="L64">
        <f>IFERROR(MATCH((YEAR($B$3)*10000+MONTH($B$3)*100+DAY($B$3))*1000+55,IlumaData!$W:$W,0),"")</f>
        <v/>
      </c>
    </row>
    <row r="65">
      <c r="A65" s="19">
        <f>IF(AND(ISNUMBER($L65),$L65&lt;&gt;""),INDEX(IlumaData!$G:$G,$L65),"")</f>
        <v/>
      </c>
      <c r="B65" s="20">
        <f>IF(AND(ISNUMBER($L65),$L65&lt;&gt;""),IF(INDEX(IlumaData!$I:$I,$L65)="","—",INDEX(IlumaData!$I:$I,$L65)),"")</f>
        <v/>
      </c>
      <c r="C65" s="20">
        <f>IF(AND(ISNUMBER($L65),$L65&lt;&gt;""),INDEX(IlumaData!$J:$J,$L65),"")</f>
        <v/>
      </c>
      <c r="D65" s="20">
        <f>IF(AND(ISNUMBER($L65),$L65&lt;&gt;""),INDEX(IlumaData!$K:$K,$L65),"")</f>
        <v/>
      </c>
      <c r="E65" s="20">
        <f>IF(AND(ISNUMBER($L65),$L65&lt;&gt;""),IF(INDEX(IlumaData!$L:$L,$L65)="","—",INDEX(IlumaData!$L:$L,$L65)),"")</f>
        <v/>
      </c>
      <c r="F65" s="20">
        <f>IF(AND(ISNUMBER($L65),$L65&lt;&gt;""),IF(INDEX(IlumaData!$M:$M,$L65)="","—",INDEX(IlumaData!$M:$M,$L65)),"")</f>
        <v/>
      </c>
      <c r="G65" s="21">
        <f>IF(AND(ISNUMBER($L65),$L65&lt;&gt;""),IF(INDEX(IlumaData!$N:$N,$L65)="","—",INDEX(IlumaData!$N:$N,$L65)),"")</f>
        <v/>
      </c>
      <c r="H65" s="22">
        <f>IF(AND(ISNUMBER($L65),$L65&lt;&gt;""),IF(INDEX(IlumaData!$Q:$Q,$L65)="","—",INDEX(IlumaData!$Q:$Q,$L65)),"")</f>
        <v/>
      </c>
      <c r="I65" s="23">
        <f>IF(AND(ISNUMBER($L65),$L65&lt;&gt;""),INDEX(IlumaData!$E:$E,$L65),"")</f>
        <v/>
      </c>
      <c r="J65" s="23">
        <f>IF(AND(ISNUMBER($L65),$L65&lt;&gt;""),INDEX(IlumaData!$F:$F,$L65),"")</f>
        <v/>
      </c>
      <c r="L65">
        <f>IFERROR(MATCH((YEAR($B$3)*10000+MONTH($B$3)*100+DAY($B$3))*1000+56,IlumaData!$W:$W,0),"")</f>
        <v/>
      </c>
    </row>
    <row r="66">
      <c r="A66" s="14">
        <f>IF(AND(ISNUMBER($L66),$L66&lt;&gt;""),INDEX(IlumaData!$G:$G,$L66),"")</f>
        <v/>
      </c>
      <c r="B66" s="15">
        <f>IF(AND(ISNUMBER($L66),$L66&lt;&gt;""),IF(INDEX(IlumaData!$I:$I,$L66)="","—",INDEX(IlumaData!$I:$I,$L66)),"")</f>
        <v/>
      </c>
      <c r="C66" s="15">
        <f>IF(AND(ISNUMBER($L66),$L66&lt;&gt;""),INDEX(IlumaData!$J:$J,$L66),"")</f>
        <v/>
      </c>
      <c r="D66" s="15">
        <f>IF(AND(ISNUMBER($L66),$L66&lt;&gt;""),INDEX(IlumaData!$K:$K,$L66),"")</f>
        <v/>
      </c>
      <c r="E66" s="15">
        <f>IF(AND(ISNUMBER($L66),$L66&lt;&gt;""),IF(INDEX(IlumaData!$L:$L,$L66)="","—",INDEX(IlumaData!$L:$L,$L66)),"")</f>
        <v/>
      </c>
      <c r="F66" s="15">
        <f>IF(AND(ISNUMBER($L66),$L66&lt;&gt;""),IF(INDEX(IlumaData!$M:$M,$L66)="","—",INDEX(IlumaData!$M:$M,$L66)),"")</f>
        <v/>
      </c>
      <c r="G66" s="16">
        <f>IF(AND(ISNUMBER($L66),$L66&lt;&gt;""),IF(INDEX(IlumaData!$N:$N,$L66)="","—",INDEX(IlumaData!$N:$N,$L66)),"")</f>
        <v/>
      </c>
      <c r="H66" s="17">
        <f>IF(AND(ISNUMBER($L66),$L66&lt;&gt;""),IF(INDEX(IlumaData!$Q:$Q,$L66)="","—",INDEX(IlumaData!$Q:$Q,$L66)),"")</f>
        <v/>
      </c>
      <c r="I66" s="18">
        <f>IF(AND(ISNUMBER($L66),$L66&lt;&gt;""),INDEX(IlumaData!$E:$E,$L66),"")</f>
        <v/>
      </c>
      <c r="J66" s="18">
        <f>IF(AND(ISNUMBER($L66),$L66&lt;&gt;""),INDEX(IlumaData!$F:$F,$L66),"")</f>
        <v/>
      </c>
      <c r="L66">
        <f>IFERROR(MATCH((YEAR($B$3)*10000+MONTH($B$3)*100+DAY($B$3))*1000+57,IlumaData!$W:$W,0),"")</f>
        <v/>
      </c>
    </row>
    <row r="67">
      <c r="A67" s="19">
        <f>IF(AND(ISNUMBER($L67),$L67&lt;&gt;""),INDEX(IlumaData!$G:$G,$L67),"")</f>
        <v/>
      </c>
      <c r="B67" s="20">
        <f>IF(AND(ISNUMBER($L67),$L67&lt;&gt;""),IF(INDEX(IlumaData!$I:$I,$L67)="","—",INDEX(IlumaData!$I:$I,$L67)),"")</f>
        <v/>
      </c>
      <c r="C67" s="20">
        <f>IF(AND(ISNUMBER($L67),$L67&lt;&gt;""),INDEX(IlumaData!$J:$J,$L67),"")</f>
        <v/>
      </c>
      <c r="D67" s="20">
        <f>IF(AND(ISNUMBER($L67),$L67&lt;&gt;""),INDEX(IlumaData!$K:$K,$L67),"")</f>
        <v/>
      </c>
      <c r="E67" s="20">
        <f>IF(AND(ISNUMBER($L67),$L67&lt;&gt;""),IF(INDEX(IlumaData!$L:$L,$L67)="","—",INDEX(IlumaData!$L:$L,$L67)),"")</f>
        <v/>
      </c>
      <c r="F67" s="20">
        <f>IF(AND(ISNUMBER($L67),$L67&lt;&gt;""),IF(INDEX(IlumaData!$M:$M,$L67)="","—",INDEX(IlumaData!$M:$M,$L67)),"")</f>
        <v/>
      </c>
      <c r="G67" s="21">
        <f>IF(AND(ISNUMBER($L67),$L67&lt;&gt;""),IF(INDEX(IlumaData!$N:$N,$L67)="","—",INDEX(IlumaData!$N:$N,$L67)),"")</f>
        <v/>
      </c>
      <c r="H67" s="22">
        <f>IF(AND(ISNUMBER($L67),$L67&lt;&gt;""),IF(INDEX(IlumaData!$Q:$Q,$L67)="","—",INDEX(IlumaData!$Q:$Q,$L67)),"")</f>
        <v/>
      </c>
      <c r="I67" s="23">
        <f>IF(AND(ISNUMBER($L67),$L67&lt;&gt;""),INDEX(IlumaData!$E:$E,$L67),"")</f>
        <v/>
      </c>
      <c r="J67" s="23">
        <f>IF(AND(ISNUMBER($L67),$L67&lt;&gt;""),INDEX(IlumaData!$F:$F,$L67),"")</f>
        <v/>
      </c>
      <c r="L67">
        <f>IFERROR(MATCH((YEAR($B$3)*10000+MONTH($B$3)*100+DAY($B$3))*1000+58,IlumaData!$W:$W,0),"")</f>
        <v/>
      </c>
    </row>
    <row r="68">
      <c r="A68" s="14">
        <f>IF(AND(ISNUMBER($L68),$L68&lt;&gt;""),INDEX(IlumaData!$G:$G,$L68),"")</f>
        <v/>
      </c>
      <c r="B68" s="15">
        <f>IF(AND(ISNUMBER($L68),$L68&lt;&gt;""),IF(INDEX(IlumaData!$I:$I,$L68)="","—",INDEX(IlumaData!$I:$I,$L68)),"")</f>
        <v/>
      </c>
      <c r="C68" s="15">
        <f>IF(AND(ISNUMBER($L68),$L68&lt;&gt;""),INDEX(IlumaData!$J:$J,$L68),"")</f>
        <v/>
      </c>
      <c r="D68" s="15">
        <f>IF(AND(ISNUMBER($L68),$L68&lt;&gt;""),INDEX(IlumaData!$K:$K,$L68),"")</f>
        <v/>
      </c>
      <c r="E68" s="15">
        <f>IF(AND(ISNUMBER($L68),$L68&lt;&gt;""),IF(INDEX(IlumaData!$L:$L,$L68)="","—",INDEX(IlumaData!$L:$L,$L68)),"")</f>
        <v/>
      </c>
      <c r="F68" s="15">
        <f>IF(AND(ISNUMBER($L68),$L68&lt;&gt;""),IF(INDEX(IlumaData!$M:$M,$L68)="","—",INDEX(IlumaData!$M:$M,$L68)),"")</f>
        <v/>
      </c>
      <c r="G68" s="16">
        <f>IF(AND(ISNUMBER($L68),$L68&lt;&gt;""),IF(INDEX(IlumaData!$N:$N,$L68)="","—",INDEX(IlumaData!$N:$N,$L68)),"")</f>
        <v/>
      </c>
      <c r="H68" s="17">
        <f>IF(AND(ISNUMBER($L68),$L68&lt;&gt;""),IF(INDEX(IlumaData!$Q:$Q,$L68)="","—",INDEX(IlumaData!$Q:$Q,$L68)),"")</f>
        <v/>
      </c>
      <c r="I68" s="18">
        <f>IF(AND(ISNUMBER($L68),$L68&lt;&gt;""),INDEX(IlumaData!$E:$E,$L68),"")</f>
        <v/>
      </c>
      <c r="J68" s="18">
        <f>IF(AND(ISNUMBER($L68),$L68&lt;&gt;""),INDEX(IlumaData!$F:$F,$L68),"")</f>
        <v/>
      </c>
      <c r="L68">
        <f>IFERROR(MATCH((YEAR($B$3)*10000+MONTH($B$3)*100+DAY($B$3))*1000+59,IlumaData!$W:$W,0),"")</f>
        <v/>
      </c>
    </row>
    <row r="69">
      <c r="A69" s="19">
        <f>IF(AND(ISNUMBER($L69),$L69&lt;&gt;""),INDEX(IlumaData!$G:$G,$L69),"")</f>
        <v/>
      </c>
      <c r="B69" s="20">
        <f>IF(AND(ISNUMBER($L69),$L69&lt;&gt;""),IF(INDEX(IlumaData!$I:$I,$L69)="","—",INDEX(IlumaData!$I:$I,$L69)),"")</f>
        <v/>
      </c>
      <c r="C69" s="20">
        <f>IF(AND(ISNUMBER($L69),$L69&lt;&gt;""),INDEX(IlumaData!$J:$J,$L69),"")</f>
        <v/>
      </c>
      <c r="D69" s="20">
        <f>IF(AND(ISNUMBER($L69),$L69&lt;&gt;""),INDEX(IlumaData!$K:$K,$L69),"")</f>
        <v/>
      </c>
      <c r="E69" s="20">
        <f>IF(AND(ISNUMBER($L69),$L69&lt;&gt;""),IF(INDEX(IlumaData!$L:$L,$L69)="","—",INDEX(IlumaData!$L:$L,$L69)),"")</f>
        <v/>
      </c>
      <c r="F69" s="20">
        <f>IF(AND(ISNUMBER($L69),$L69&lt;&gt;""),IF(INDEX(IlumaData!$M:$M,$L69)="","—",INDEX(IlumaData!$M:$M,$L69)),"")</f>
        <v/>
      </c>
      <c r="G69" s="21">
        <f>IF(AND(ISNUMBER($L69),$L69&lt;&gt;""),IF(INDEX(IlumaData!$N:$N,$L69)="","—",INDEX(IlumaData!$N:$N,$L69)),"")</f>
        <v/>
      </c>
      <c r="H69" s="22">
        <f>IF(AND(ISNUMBER($L69),$L69&lt;&gt;""),IF(INDEX(IlumaData!$Q:$Q,$L69)="","—",INDEX(IlumaData!$Q:$Q,$L69)),"")</f>
        <v/>
      </c>
      <c r="I69" s="23">
        <f>IF(AND(ISNUMBER($L69),$L69&lt;&gt;""),INDEX(IlumaData!$E:$E,$L69),"")</f>
        <v/>
      </c>
      <c r="J69" s="23">
        <f>IF(AND(ISNUMBER($L69),$L69&lt;&gt;""),INDEX(IlumaData!$F:$F,$L69),"")</f>
        <v/>
      </c>
      <c r="L69">
        <f>IFERROR(MATCH((YEAR($B$3)*10000+MONTH($B$3)*100+DAY($B$3))*1000+60,IlumaData!$W:$W,0),"")</f>
        <v/>
      </c>
    </row>
    <row r="70">
      <c r="A70" s="14">
        <f>IF(AND(ISNUMBER($L70),$L70&lt;&gt;""),INDEX(IlumaData!$G:$G,$L70),"")</f>
        <v/>
      </c>
      <c r="B70" s="15">
        <f>IF(AND(ISNUMBER($L70),$L70&lt;&gt;""),IF(INDEX(IlumaData!$I:$I,$L70)="","—",INDEX(IlumaData!$I:$I,$L70)),"")</f>
        <v/>
      </c>
      <c r="C70" s="15">
        <f>IF(AND(ISNUMBER($L70),$L70&lt;&gt;""),INDEX(IlumaData!$J:$J,$L70),"")</f>
        <v/>
      </c>
      <c r="D70" s="15">
        <f>IF(AND(ISNUMBER($L70),$L70&lt;&gt;""),INDEX(IlumaData!$K:$K,$L70),"")</f>
        <v/>
      </c>
      <c r="E70" s="15">
        <f>IF(AND(ISNUMBER($L70),$L70&lt;&gt;""),IF(INDEX(IlumaData!$L:$L,$L70)="","—",INDEX(IlumaData!$L:$L,$L70)),"")</f>
        <v/>
      </c>
      <c r="F70" s="15">
        <f>IF(AND(ISNUMBER($L70),$L70&lt;&gt;""),IF(INDEX(IlumaData!$M:$M,$L70)="","—",INDEX(IlumaData!$M:$M,$L70)),"")</f>
        <v/>
      </c>
      <c r="G70" s="16">
        <f>IF(AND(ISNUMBER($L70),$L70&lt;&gt;""),IF(INDEX(IlumaData!$N:$N,$L70)="","—",INDEX(IlumaData!$N:$N,$L70)),"")</f>
        <v/>
      </c>
      <c r="H70" s="17">
        <f>IF(AND(ISNUMBER($L70),$L70&lt;&gt;""),IF(INDEX(IlumaData!$Q:$Q,$L70)="","—",INDEX(IlumaData!$Q:$Q,$L70)),"")</f>
        <v/>
      </c>
      <c r="I70" s="18">
        <f>IF(AND(ISNUMBER($L70),$L70&lt;&gt;""),INDEX(IlumaData!$E:$E,$L70),"")</f>
        <v/>
      </c>
      <c r="J70" s="18">
        <f>IF(AND(ISNUMBER($L70),$L70&lt;&gt;""),INDEX(IlumaData!$F:$F,$L70),"")</f>
        <v/>
      </c>
      <c r="L70">
        <f>IFERROR(MATCH((YEAR($B$3)*10000+MONTH($B$3)*100+DAY($B$3))*1000+61,IlumaData!$W:$W,0),"")</f>
        <v/>
      </c>
    </row>
    <row r="71">
      <c r="A71" s="19">
        <f>IF(AND(ISNUMBER($L71),$L71&lt;&gt;""),INDEX(IlumaData!$G:$G,$L71),"")</f>
        <v/>
      </c>
      <c r="B71" s="20">
        <f>IF(AND(ISNUMBER($L71),$L71&lt;&gt;""),IF(INDEX(IlumaData!$I:$I,$L71)="","—",INDEX(IlumaData!$I:$I,$L71)),"")</f>
        <v/>
      </c>
      <c r="C71" s="20">
        <f>IF(AND(ISNUMBER($L71),$L71&lt;&gt;""),INDEX(IlumaData!$J:$J,$L71),"")</f>
        <v/>
      </c>
      <c r="D71" s="20">
        <f>IF(AND(ISNUMBER($L71),$L71&lt;&gt;""),INDEX(IlumaData!$K:$K,$L71),"")</f>
        <v/>
      </c>
      <c r="E71" s="20">
        <f>IF(AND(ISNUMBER($L71),$L71&lt;&gt;""),IF(INDEX(IlumaData!$L:$L,$L71)="","—",INDEX(IlumaData!$L:$L,$L71)),"")</f>
        <v/>
      </c>
      <c r="F71" s="20">
        <f>IF(AND(ISNUMBER($L71),$L71&lt;&gt;""),IF(INDEX(IlumaData!$M:$M,$L71)="","—",INDEX(IlumaData!$M:$M,$L71)),"")</f>
        <v/>
      </c>
      <c r="G71" s="21">
        <f>IF(AND(ISNUMBER($L71),$L71&lt;&gt;""),IF(INDEX(IlumaData!$N:$N,$L71)="","—",INDEX(IlumaData!$N:$N,$L71)),"")</f>
        <v/>
      </c>
      <c r="H71" s="22">
        <f>IF(AND(ISNUMBER($L71),$L71&lt;&gt;""),IF(INDEX(IlumaData!$Q:$Q,$L71)="","—",INDEX(IlumaData!$Q:$Q,$L71)),"")</f>
        <v/>
      </c>
      <c r="I71" s="23">
        <f>IF(AND(ISNUMBER($L71),$L71&lt;&gt;""),INDEX(IlumaData!$E:$E,$L71),"")</f>
        <v/>
      </c>
      <c r="J71" s="23">
        <f>IF(AND(ISNUMBER($L71),$L71&lt;&gt;""),INDEX(IlumaData!$F:$F,$L71),"")</f>
        <v/>
      </c>
      <c r="L71">
        <f>IFERROR(MATCH((YEAR($B$3)*10000+MONTH($B$3)*100+DAY($B$3))*1000+62,IlumaData!$W:$W,0),"")</f>
        <v/>
      </c>
    </row>
    <row r="72">
      <c r="A72" s="14">
        <f>IF(AND(ISNUMBER($L72),$L72&lt;&gt;""),INDEX(IlumaData!$G:$G,$L72),"")</f>
        <v/>
      </c>
      <c r="B72" s="15">
        <f>IF(AND(ISNUMBER($L72),$L72&lt;&gt;""),IF(INDEX(IlumaData!$I:$I,$L72)="","—",INDEX(IlumaData!$I:$I,$L72)),"")</f>
        <v/>
      </c>
      <c r="C72" s="15">
        <f>IF(AND(ISNUMBER($L72),$L72&lt;&gt;""),INDEX(IlumaData!$J:$J,$L72),"")</f>
        <v/>
      </c>
      <c r="D72" s="15">
        <f>IF(AND(ISNUMBER($L72),$L72&lt;&gt;""),INDEX(IlumaData!$K:$K,$L72),"")</f>
        <v/>
      </c>
      <c r="E72" s="15">
        <f>IF(AND(ISNUMBER($L72),$L72&lt;&gt;""),IF(INDEX(IlumaData!$L:$L,$L72)="","—",INDEX(IlumaData!$L:$L,$L72)),"")</f>
        <v/>
      </c>
      <c r="F72" s="15">
        <f>IF(AND(ISNUMBER($L72),$L72&lt;&gt;""),IF(INDEX(IlumaData!$M:$M,$L72)="","—",INDEX(IlumaData!$M:$M,$L72)),"")</f>
        <v/>
      </c>
      <c r="G72" s="16">
        <f>IF(AND(ISNUMBER($L72),$L72&lt;&gt;""),IF(INDEX(IlumaData!$N:$N,$L72)="","—",INDEX(IlumaData!$N:$N,$L72)),"")</f>
        <v/>
      </c>
      <c r="H72" s="17">
        <f>IF(AND(ISNUMBER($L72),$L72&lt;&gt;""),IF(INDEX(IlumaData!$Q:$Q,$L72)="","—",INDEX(IlumaData!$Q:$Q,$L72)),"")</f>
        <v/>
      </c>
      <c r="I72" s="18">
        <f>IF(AND(ISNUMBER($L72),$L72&lt;&gt;""),INDEX(IlumaData!$E:$E,$L72),"")</f>
        <v/>
      </c>
      <c r="J72" s="18">
        <f>IF(AND(ISNUMBER($L72),$L72&lt;&gt;""),INDEX(IlumaData!$F:$F,$L72),"")</f>
        <v/>
      </c>
      <c r="L72">
        <f>IFERROR(MATCH((YEAR($B$3)*10000+MONTH($B$3)*100+DAY($B$3))*1000+63,IlumaData!$W:$W,0),"")</f>
        <v/>
      </c>
    </row>
    <row r="73">
      <c r="A73" s="19">
        <f>IF(AND(ISNUMBER($L73),$L73&lt;&gt;""),INDEX(IlumaData!$G:$G,$L73),"")</f>
        <v/>
      </c>
      <c r="B73" s="20">
        <f>IF(AND(ISNUMBER($L73),$L73&lt;&gt;""),IF(INDEX(IlumaData!$I:$I,$L73)="","—",INDEX(IlumaData!$I:$I,$L73)),"")</f>
        <v/>
      </c>
      <c r="C73" s="20">
        <f>IF(AND(ISNUMBER($L73),$L73&lt;&gt;""),INDEX(IlumaData!$J:$J,$L73),"")</f>
        <v/>
      </c>
      <c r="D73" s="20">
        <f>IF(AND(ISNUMBER($L73),$L73&lt;&gt;""),INDEX(IlumaData!$K:$K,$L73),"")</f>
        <v/>
      </c>
      <c r="E73" s="20">
        <f>IF(AND(ISNUMBER($L73),$L73&lt;&gt;""),IF(INDEX(IlumaData!$L:$L,$L73)="","—",INDEX(IlumaData!$L:$L,$L73)),"")</f>
        <v/>
      </c>
      <c r="F73" s="20">
        <f>IF(AND(ISNUMBER($L73),$L73&lt;&gt;""),IF(INDEX(IlumaData!$M:$M,$L73)="","—",INDEX(IlumaData!$M:$M,$L73)),"")</f>
        <v/>
      </c>
      <c r="G73" s="21">
        <f>IF(AND(ISNUMBER($L73),$L73&lt;&gt;""),IF(INDEX(IlumaData!$N:$N,$L73)="","—",INDEX(IlumaData!$N:$N,$L73)),"")</f>
        <v/>
      </c>
      <c r="H73" s="22">
        <f>IF(AND(ISNUMBER($L73),$L73&lt;&gt;""),IF(INDEX(IlumaData!$Q:$Q,$L73)="","—",INDEX(IlumaData!$Q:$Q,$L73)),"")</f>
        <v/>
      </c>
      <c r="I73" s="23">
        <f>IF(AND(ISNUMBER($L73),$L73&lt;&gt;""),INDEX(IlumaData!$E:$E,$L73),"")</f>
        <v/>
      </c>
      <c r="J73" s="23">
        <f>IF(AND(ISNUMBER($L73),$L73&lt;&gt;""),INDEX(IlumaData!$F:$F,$L73),"")</f>
        <v/>
      </c>
      <c r="L73">
        <f>IFERROR(MATCH((YEAR($B$3)*10000+MONTH($B$3)*100+DAY($B$3))*1000+64,IlumaData!$W:$W,0),"")</f>
        <v/>
      </c>
    </row>
    <row r="74">
      <c r="A74" s="14">
        <f>IF(AND(ISNUMBER($L74),$L74&lt;&gt;""),INDEX(IlumaData!$G:$G,$L74),"")</f>
        <v/>
      </c>
      <c r="B74" s="15">
        <f>IF(AND(ISNUMBER($L74),$L74&lt;&gt;""),IF(INDEX(IlumaData!$I:$I,$L74)="","—",INDEX(IlumaData!$I:$I,$L74)),"")</f>
        <v/>
      </c>
      <c r="C74" s="15">
        <f>IF(AND(ISNUMBER($L74),$L74&lt;&gt;""),INDEX(IlumaData!$J:$J,$L74),"")</f>
        <v/>
      </c>
      <c r="D74" s="15">
        <f>IF(AND(ISNUMBER($L74),$L74&lt;&gt;""),INDEX(IlumaData!$K:$K,$L74),"")</f>
        <v/>
      </c>
      <c r="E74" s="15">
        <f>IF(AND(ISNUMBER($L74),$L74&lt;&gt;""),IF(INDEX(IlumaData!$L:$L,$L74)="","—",INDEX(IlumaData!$L:$L,$L74)),"")</f>
        <v/>
      </c>
      <c r="F74" s="15">
        <f>IF(AND(ISNUMBER($L74),$L74&lt;&gt;""),IF(INDEX(IlumaData!$M:$M,$L74)="","—",INDEX(IlumaData!$M:$M,$L74)),"")</f>
        <v/>
      </c>
      <c r="G74" s="16">
        <f>IF(AND(ISNUMBER($L74),$L74&lt;&gt;""),IF(INDEX(IlumaData!$N:$N,$L74)="","—",INDEX(IlumaData!$N:$N,$L74)),"")</f>
        <v/>
      </c>
      <c r="H74" s="17">
        <f>IF(AND(ISNUMBER($L74),$L74&lt;&gt;""),IF(INDEX(IlumaData!$Q:$Q,$L74)="","—",INDEX(IlumaData!$Q:$Q,$L74)),"")</f>
        <v/>
      </c>
      <c r="I74" s="18">
        <f>IF(AND(ISNUMBER($L74),$L74&lt;&gt;""),INDEX(IlumaData!$E:$E,$L74),"")</f>
        <v/>
      </c>
      <c r="J74" s="18">
        <f>IF(AND(ISNUMBER($L74),$L74&lt;&gt;""),INDEX(IlumaData!$F:$F,$L74),"")</f>
        <v/>
      </c>
      <c r="L74">
        <f>IFERROR(MATCH((YEAR($B$3)*10000+MONTH($B$3)*100+DAY($B$3))*1000+65,IlumaData!$W:$W,0),"")</f>
        <v/>
      </c>
    </row>
    <row r="75">
      <c r="A75" s="19">
        <f>IF(AND(ISNUMBER($L75),$L75&lt;&gt;""),INDEX(IlumaData!$G:$G,$L75),"")</f>
        <v/>
      </c>
      <c r="B75" s="20">
        <f>IF(AND(ISNUMBER($L75),$L75&lt;&gt;""),IF(INDEX(IlumaData!$I:$I,$L75)="","—",INDEX(IlumaData!$I:$I,$L75)),"")</f>
        <v/>
      </c>
      <c r="C75" s="20">
        <f>IF(AND(ISNUMBER($L75),$L75&lt;&gt;""),INDEX(IlumaData!$J:$J,$L75),"")</f>
        <v/>
      </c>
      <c r="D75" s="20">
        <f>IF(AND(ISNUMBER($L75),$L75&lt;&gt;""),INDEX(IlumaData!$K:$K,$L75),"")</f>
        <v/>
      </c>
      <c r="E75" s="20">
        <f>IF(AND(ISNUMBER($L75),$L75&lt;&gt;""),IF(INDEX(IlumaData!$L:$L,$L75)="","—",INDEX(IlumaData!$L:$L,$L75)),"")</f>
        <v/>
      </c>
      <c r="F75" s="20">
        <f>IF(AND(ISNUMBER($L75),$L75&lt;&gt;""),IF(INDEX(IlumaData!$M:$M,$L75)="","—",INDEX(IlumaData!$M:$M,$L75)),"")</f>
        <v/>
      </c>
      <c r="G75" s="21">
        <f>IF(AND(ISNUMBER($L75),$L75&lt;&gt;""),IF(INDEX(IlumaData!$N:$N,$L75)="","—",INDEX(IlumaData!$N:$N,$L75)),"")</f>
        <v/>
      </c>
      <c r="H75" s="22">
        <f>IF(AND(ISNUMBER($L75),$L75&lt;&gt;""),IF(INDEX(IlumaData!$Q:$Q,$L75)="","—",INDEX(IlumaData!$Q:$Q,$L75)),"")</f>
        <v/>
      </c>
      <c r="I75" s="23">
        <f>IF(AND(ISNUMBER($L75),$L75&lt;&gt;""),INDEX(IlumaData!$E:$E,$L75),"")</f>
        <v/>
      </c>
      <c r="J75" s="23">
        <f>IF(AND(ISNUMBER($L75),$L75&lt;&gt;""),INDEX(IlumaData!$F:$F,$L75),"")</f>
        <v/>
      </c>
      <c r="L75">
        <f>IFERROR(MATCH((YEAR($B$3)*10000+MONTH($B$3)*100+DAY($B$3))*1000+66,IlumaData!$W:$W,0),"")</f>
        <v/>
      </c>
    </row>
    <row r="76">
      <c r="A76" s="14">
        <f>IF(AND(ISNUMBER($L76),$L76&lt;&gt;""),INDEX(IlumaData!$G:$G,$L76),"")</f>
        <v/>
      </c>
      <c r="B76" s="15">
        <f>IF(AND(ISNUMBER($L76),$L76&lt;&gt;""),IF(INDEX(IlumaData!$I:$I,$L76)="","—",INDEX(IlumaData!$I:$I,$L76)),"")</f>
        <v/>
      </c>
      <c r="C76" s="15">
        <f>IF(AND(ISNUMBER($L76),$L76&lt;&gt;""),INDEX(IlumaData!$J:$J,$L76),"")</f>
        <v/>
      </c>
      <c r="D76" s="15">
        <f>IF(AND(ISNUMBER($L76),$L76&lt;&gt;""),INDEX(IlumaData!$K:$K,$L76),"")</f>
        <v/>
      </c>
      <c r="E76" s="15">
        <f>IF(AND(ISNUMBER($L76),$L76&lt;&gt;""),IF(INDEX(IlumaData!$L:$L,$L76)="","—",INDEX(IlumaData!$L:$L,$L76)),"")</f>
        <v/>
      </c>
      <c r="F76" s="15">
        <f>IF(AND(ISNUMBER($L76),$L76&lt;&gt;""),IF(INDEX(IlumaData!$M:$M,$L76)="","—",INDEX(IlumaData!$M:$M,$L76)),"")</f>
        <v/>
      </c>
      <c r="G76" s="16">
        <f>IF(AND(ISNUMBER($L76),$L76&lt;&gt;""),IF(INDEX(IlumaData!$N:$N,$L76)="","—",INDEX(IlumaData!$N:$N,$L76)),"")</f>
        <v/>
      </c>
      <c r="H76" s="17">
        <f>IF(AND(ISNUMBER($L76),$L76&lt;&gt;""),IF(INDEX(IlumaData!$Q:$Q,$L76)="","—",INDEX(IlumaData!$Q:$Q,$L76)),"")</f>
        <v/>
      </c>
      <c r="I76" s="18">
        <f>IF(AND(ISNUMBER($L76),$L76&lt;&gt;""),INDEX(IlumaData!$E:$E,$L76),"")</f>
        <v/>
      </c>
      <c r="J76" s="18">
        <f>IF(AND(ISNUMBER($L76),$L76&lt;&gt;""),INDEX(IlumaData!$F:$F,$L76),"")</f>
        <v/>
      </c>
      <c r="L76">
        <f>IFERROR(MATCH((YEAR($B$3)*10000+MONTH($B$3)*100+DAY($B$3))*1000+67,IlumaData!$W:$W,0),"")</f>
        <v/>
      </c>
    </row>
    <row r="77">
      <c r="A77" s="19">
        <f>IF(AND(ISNUMBER($L77),$L77&lt;&gt;""),INDEX(IlumaData!$G:$G,$L77),"")</f>
        <v/>
      </c>
      <c r="B77" s="20">
        <f>IF(AND(ISNUMBER($L77),$L77&lt;&gt;""),IF(INDEX(IlumaData!$I:$I,$L77)="","—",INDEX(IlumaData!$I:$I,$L77)),"")</f>
        <v/>
      </c>
      <c r="C77" s="20">
        <f>IF(AND(ISNUMBER($L77),$L77&lt;&gt;""),INDEX(IlumaData!$J:$J,$L77),"")</f>
        <v/>
      </c>
      <c r="D77" s="20">
        <f>IF(AND(ISNUMBER($L77),$L77&lt;&gt;""),INDEX(IlumaData!$K:$K,$L77),"")</f>
        <v/>
      </c>
      <c r="E77" s="20">
        <f>IF(AND(ISNUMBER($L77),$L77&lt;&gt;""),IF(INDEX(IlumaData!$L:$L,$L77)="","—",INDEX(IlumaData!$L:$L,$L77)),"")</f>
        <v/>
      </c>
      <c r="F77" s="20">
        <f>IF(AND(ISNUMBER($L77),$L77&lt;&gt;""),IF(INDEX(IlumaData!$M:$M,$L77)="","—",INDEX(IlumaData!$M:$M,$L77)),"")</f>
        <v/>
      </c>
      <c r="G77" s="21">
        <f>IF(AND(ISNUMBER($L77),$L77&lt;&gt;""),IF(INDEX(IlumaData!$N:$N,$L77)="","—",INDEX(IlumaData!$N:$N,$L77)),"")</f>
        <v/>
      </c>
      <c r="H77" s="22">
        <f>IF(AND(ISNUMBER($L77),$L77&lt;&gt;""),IF(INDEX(IlumaData!$Q:$Q,$L77)="","—",INDEX(IlumaData!$Q:$Q,$L77)),"")</f>
        <v/>
      </c>
      <c r="I77" s="23">
        <f>IF(AND(ISNUMBER($L77),$L77&lt;&gt;""),INDEX(IlumaData!$E:$E,$L77),"")</f>
        <v/>
      </c>
      <c r="J77" s="23">
        <f>IF(AND(ISNUMBER($L77),$L77&lt;&gt;""),INDEX(IlumaData!$F:$F,$L77),"")</f>
        <v/>
      </c>
      <c r="L77">
        <f>IFERROR(MATCH((YEAR($B$3)*10000+MONTH($B$3)*100+DAY($B$3))*1000+68,IlumaData!$W:$W,0),"")</f>
        <v/>
      </c>
    </row>
    <row r="78">
      <c r="A78" s="14">
        <f>IF(AND(ISNUMBER($L78),$L78&lt;&gt;""),INDEX(IlumaData!$G:$G,$L78),"")</f>
        <v/>
      </c>
      <c r="B78" s="15">
        <f>IF(AND(ISNUMBER($L78),$L78&lt;&gt;""),IF(INDEX(IlumaData!$I:$I,$L78)="","—",INDEX(IlumaData!$I:$I,$L78)),"")</f>
        <v/>
      </c>
      <c r="C78" s="15">
        <f>IF(AND(ISNUMBER($L78),$L78&lt;&gt;""),INDEX(IlumaData!$J:$J,$L78),"")</f>
        <v/>
      </c>
      <c r="D78" s="15">
        <f>IF(AND(ISNUMBER($L78),$L78&lt;&gt;""),INDEX(IlumaData!$K:$K,$L78),"")</f>
        <v/>
      </c>
      <c r="E78" s="15">
        <f>IF(AND(ISNUMBER($L78),$L78&lt;&gt;""),IF(INDEX(IlumaData!$L:$L,$L78)="","—",INDEX(IlumaData!$L:$L,$L78)),"")</f>
        <v/>
      </c>
      <c r="F78" s="15">
        <f>IF(AND(ISNUMBER($L78),$L78&lt;&gt;""),IF(INDEX(IlumaData!$M:$M,$L78)="","—",INDEX(IlumaData!$M:$M,$L78)),"")</f>
        <v/>
      </c>
      <c r="G78" s="16">
        <f>IF(AND(ISNUMBER($L78),$L78&lt;&gt;""),IF(INDEX(IlumaData!$N:$N,$L78)="","—",INDEX(IlumaData!$N:$N,$L78)),"")</f>
        <v/>
      </c>
      <c r="H78" s="17">
        <f>IF(AND(ISNUMBER($L78),$L78&lt;&gt;""),IF(INDEX(IlumaData!$Q:$Q,$L78)="","—",INDEX(IlumaData!$Q:$Q,$L78)),"")</f>
        <v/>
      </c>
      <c r="I78" s="18">
        <f>IF(AND(ISNUMBER($L78),$L78&lt;&gt;""),INDEX(IlumaData!$E:$E,$L78),"")</f>
        <v/>
      </c>
      <c r="J78" s="18">
        <f>IF(AND(ISNUMBER($L78),$L78&lt;&gt;""),INDEX(IlumaData!$F:$F,$L78),"")</f>
        <v/>
      </c>
      <c r="L78">
        <f>IFERROR(MATCH((YEAR($B$3)*10000+MONTH($B$3)*100+DAY($B$3))*1000+69,IlumaData!$W:$W,0),"")</f>
        <v/>
      </c>
    </row>
    <row r="79">
      <c r="A79" s="19">
        <f>IF(AND(ISNUMBER($L79),$L79&lt;&gt;""),INDEX(IlumaData!$G:$G,$L79),"")</f>
        <v/>
      </c>
      <c r="B79" s="20">
        <f>IF(AND(ISNUMBER($L79),$L79&lt;&gt;""),IF(INDEX(IlumaData!$I:$I,$L79)="","—",INDEX(IlumaData!$I:$I,$L79)),"")</f>
        <v/>
      </c>
      <c r="C79" s="20">
        <f>IF(AND(ISNUMBER($L79),$L79&lt;&gt;""),INDEX(IlumaData!$J:$J,$L79),"")</f>
        <v/>
      </c>
      <c r="D79" s="20">
        <f>IF(AND(ISNUMBER($L79),$L79&lt;&gt;""),INDEX(IlumaData!$K:$K,$L79),"")</f>
        <v/>
      </c>
      <c r="E79" s="20">
        <f>IF(AND(ISNUMBER($L79),$L79&lt;&gt;""),IF(INDEX(IlumaData!$L:$L,$L79)="","—",INDEX(IlumaData!$L:$L,$L79)),"")</f>
        <v/>
      </c>
      <c r="F79" s="20">
        <f>IF(AND(ISNUMBER($L79),$L79&lt;&gt;""),IF(INDEX(IlumaData!$M:$M,$L79)="","—",INDEX(IlumaData!$M:$M,$L79)),"")</f>
        <v/>
      </c>
      <c r="G79" s="21">
        <f>IF(AND(ISNUMBER($L79),$L79&lt;&gt;""),IF(INDEX(IlumaData!$N:$N,$L79)="","—",INDEX(IlumaData!$N:$N,$L79)),"")</f>
        <v/>
      </c>
      <c r="H79" s="22">
        <f>IF(AND(ISNUMBER($L79),$L79&lt;&gt;""),IF(INDEX(IlumaData!$Q:$Q,$L79)="","—",INDEX(IlumaData!$Q:$Q,$L79)),"")</f>
        <v/>
      </c>
      <c r="I79" s="23">
        <f>IF(AND(ISNUMBER($L79),$L79&lt;&gt;""),INDEX(IlumaData!$E:$E,$L79),"")</f>
        <v/>
      </c>
      <c r="J79" s="23">
        <f>IF(AND(ISNUMBER($L79),$L79&lt;&gt;""),INDEX(IlumaData!$F:$F,$L79),"")</f>
        <v/>
      </c>
      <c r="L79">
        <f>IFERROR(MATCH((YEAR($B$3)*10000+MONTH($B$3)*100+DAY($B$3))*1000+70,IlumaData!$W:$W,0),"")</f>
        <v/>
      </c>
    </row>
  </sheetData>
  <mergeCells count="3">
    <mergeCell ref="F1:J1"/>
    <mergeCell ref="A1:D1"/>
    <mergeCell ref="A7:J7"/>
  </mergeCells>
  <conditionalFormatting sqref="G10:H79">
    <cfRule type="expression" priority="1" dxfId="0" stopIfTrue="1">
      <formula>AND(ISNUMBER($G10),$G10=0)</formula>
    </cfRule>
    <cfRule type="expression" priority="2" dxfId="1" stopIfTrue="1">
      <formula>AND(ISNUMBER($G10),ABS($G10)&gt;=10)</formula>
    </cfRule>
    <cfRule type="expression" priority="3" dxfId="2" stopIfTrue="1">
      <formula>AND(ISNUMBER($G10),ABS($G10)&gt;=5)</formula>
    </cfRule>
    <cfRule type="expression" priority="4" dxfId="3" stopIfTrue="1">
      <formula>AND(ISNUMBER($G10),ABS($G10)&gt;=1)</formula>
    </cfRule>
  </conditionalFormatting>
  <dataValidations count="1">
    <dataValidation sqref="B3" showDropDown="0" showInputMessage="0" showErrorMessage="1" allowBlank="0" errorTitle="Not a counted day" error="Pick a trading day from the dropdown. Only days with a submitted count are in the list." type="list">
      <formula1>=IlumaCalc!$B$3:$B$62</formula1>
    </dataValidation>
  </dataValidations>
  <printOptions horizontalCentered="1"/>
  <pageMargins left="0.4" right="0.4" top="0.5" bottom="0.5" header="0.5" footer="0.5"/>
  <pageSetup orientation="portrait" fitToHeight="1" fitToWidth="1"/>
  <headerFooter>
    <oddHeader/>
    <oddFooter>&amp;LHeated tobacco reconciliation — &amp;A&amp;RPage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T1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hidden="1" width="13" customWidth="1" min="20" max="20"/>
  </cols>
  <sheetData>
    <row r="1">
      <c r="A1" s="24" t="inlineStr">
        <is>
          <t>Heated tobacco variance by product — last 14 counted days</t>
        </is>
      </c>
    </row>
    <row r="2">
      <c r="A2" s="25" t="inlineStr">
        <is>
          <t>Sorted by how many days the product disagreed with the POS, then by total. A product off a little every night sits above one that was off a lot once. A dash means no POS sales were loaded for that day.</t>
        </is>
      </c>
    </row>
    <row r="4" ht="26" customHeight="1">
      <c r="A4" s="12" t="inlineStr">
        <is>
          <t>Product</t>
        </is>
      </c>
      <c r="B4" s="26">
        <f>IF(IlumaCalc!$B$3="","",TEXT(IlumaCalc!$B$3,"dd mmm"))</f>
        <v/>
      </c>
      <c r="C4" s="26">
        <f>IF(IlumaCalc!$B$4="","",TEXT(IlumaCalc!$B$4,"dd mmm"))</f>
        <v/>
      </c>
      <c r="D4" s="26">
        <f>IF(IlumaCalc!$B$5="","",TEXT(IlumaCalc!$B$5,"dd mmm"))</f>
        <v/>
      </c>
      <c r="E4" s="26">
        <f>IF(IlumaCalc!$B$6="","",TEXT(IlumaCalc!$B$6,"dd mmm"))</f>
        <v/>
      </c>
      <c r="F4" s="26">
        <f>IF(IlumaCalc!$B$7="","",TEXT(IlumaCalc!$B$7,"dd mmm"))</f>
        <v/>
      </c>
      <c r="G4" s="26">
        <f>IF(IlumaCalc!$B$8="","",TEXT(IlumaCalc!$B$8,"dd mmm"))</f>
        <v/>
      </c>
      <c r="H4" s="26">
        <f>IF(IlumaCalc!$B$9="","",TEXT(IlumaCalc!$B$9,"dd mmm"))</f>
        <v/>
      </c>
      <c r="I4" s="26">
        <f>IF(IlumaCalc!$B$10="","",TEXT(IlumaCalc!$B$10,"dd mmm"))</f>
        <v/>
      </c>
      <c r="J4" s="26">
        <f>IF(IlumaCalc!$B$11="","",TEXT(IlumaCalc!$B$11,"dd mmm"))</f>
        <v/>
      </c>
      <c r="K4" s="26">
        <f>IF(IlumaCalc!$B$12="","",TEXT(IlumaCalc!$B$12,"dd mmm"))</f>
        <v/>
      </c>
      <c r="L4" s="26">
        <f>IF(IlumaCalc!$B$13="","",TEXT(IlumaCalc!$B$13,"dd mmm"))</f>
        <v/>
      </c>
      <c r="M4" s="26">
        <f>IF(IlumaCalc!$B$14="","",TEXT(IlumaCalc!$B$14,"dd mmm"))</f>
        <v/>
      </c>
      <c r="N4" s="26">
        <f>IF(IlumaCalc!$B$15="","",TEXT(IlumaCalc!$B$15,"dd mmm"))</f>
        <v/>
      </c>
      <c r="O4" s="26">
        <f>IF(IlumaCalc!$B$16="","",TEXT(IlumaCalc!$B$16,"dd mmm"))</f>
        <v/>
      </c>
      <c r="P4" s="26" t="inlineStr">
        <is>
          <t>Days off</t>
        </is>
      </c>
      <c r="Q4" s="26" t="inlineStr">
        <is>
          <t>Total</t>
        </is>
      </c>
      <c r="R4" s="26" t="inlineStr">
        <is>
          <t>Worst</t>
        </is>
      </c>
    </row>
    <row r="5">
      <c r="A5" s="19">
        <f>IF(AND(ISNUMBER($T5),$T5&lt;&gt;""),INDEX(IlumaCalc!$S$3:$S$122,$T5),"")</f>
        <v/>
      </c>
      <c r="B5" s="20">
        <f>IF(AND(ISNUMBER($T5),$T5&lt;&gt;""),IF(INDEX(IlumaCalc!$T$3:$T$122,$T5)="","—",INDEX(IlumaCalc!$T$3:$T$122,$T5)),"")</f>
        <v/>
      </c>
      <c r="C5" s="20">
        <f>IF(AND(ISNUMBER($T5),$T5&lt;&gt;""),IF(INDEX(IlumaCalc!$U$3:$U$122,$T5)="","—",INDEX(IlumaCalc!$U$3:$U$122,$T5)),"")</f>
        <v/>
      </c>
      <c r="D5" s="20">
        <f>IF(AND(ISNUMBER($T5),$T5&lt;&gt;""),IF(INDEX(IlumaCalc!$V$3:$V$122,$T5)="","—",INDEX(IlumaCalc!$V$3:$V$122,$T5)),"")</f>
        <v/>
      </c>
      <c r="E5" s="20">
        <f>IF(AND(ISNUMBER($T5),$T5&lt;&gt;""),IF(INDEX(IlumaCalc!$W$3:$W$122,$T5)="","—",INDEX(IlumaCalc!$W$3:$W$122,$T5)),"")</f>
        <v/>
      </c>
      <c r="F5" s="20">
        <f>IF(AND(ISNUMBER($T5),$T5&lt;&gt;""),IF(INDEX(IlumaCalc!$X$3:$X$122,$T5)="","—",INDEX(IlumaCalc!$X$3:$X$122,$T5)),"")</f>
        <v/>
      </c>
      <c r="G5" s="20">
        <f>IF(AND(ISNUMBER($T5),$T5&lt;&gt;""),IF(INDEX(IlumaCalc!$Y$3:$Y$122,$T5)="","—",INDEX(IlumaCalc!$Y$3:$Y$122,$T5)),"")</f>
        <v/>
      </c>
      <c r="H5" s="20">
        <f>IF(AND(ISNUMBER($T5),$T5&lt;&gt;""),IF(INDEX(IlumaCalc!$Z$3:$Z$122,$T5)="","—",INDEX(IlumaCalc!$Z$3:$Z$122,$T5)),"")</f>
        <v/>
      </c>
      <c r="I5" s="20">
        <f>IF(AND(ISNUMBER($T5),$T5&lt;&gt;""),IF(INDEX(IlumaCalc!$AA$3:$AA$122,$T5)="","—",INDEX(IlumaCalc!$AA$3:$AA$122,$T5)),"")</f>
        <v/>
      </c>
      <c r="J5" s="20">
        <f>IF(AND(ISNUMBER($T5),$T5&lt;&gt;""),IF(INDEX(IlumaCalc!$AB$3:$AB$122,$T5)="","—",INDEX(IlumaCalc!$AB$3:$AB$122,$T5)),"")</f>
        <v/>
      </c>
      <c r="K5" s="20">
        <f>IF(AND(ISNUMBER($T5),$T5&lt;&gt;""),IF(INDEX(IlumaCalc!$AC$3:$AC$122,$T5)="","—",INDEX(IlumaCalc!$AC$3:$AC$122,$T5)),"")</f>
        <v/>
      </c>
      <c r="L5" s="20">
        <f>IF(AND(ISNUMBER($T5),$T5&lt;&gt;""),IF(INDEX(IlumaCalc!$AD$3:$AD$122,$T5)="","—",INDEX(IlumaCalc!$AD$3:$AD$122,$T5)),"")</f>
        <v/>
      </c>
      <c r="M5" s="20">
        <f>IF(AND(ISNUMBER($T5),$T5&lt;&gt;""),IF(INDEX(IlumaCalc!$AE$3:$AE$122,$T5)="","—",INDEX(IlumaCalc!$AE$3:$AE$122,$T5)),"")</f>
        <v/>
      </c>
      <c r="N5" s="20">
        <f>IF(AND(ISNUMBER($T5),$T5&lt;&gt;""),IF(INDEX(IlumaCalc!$AF$3:$AF$122,$T5)="","—",INDEX(IlumaCalc!$AF$3:$AF$122,$T5)),"")</f>
        <v/>
      </c>
      <c r="O5" s="20">
        <f>IF(AND(ISNUMBER($T5),$T5&lt;&gt;""),IF(INDEX(IlumaCalc!$AG$3:$AG$122,$T5)="","—",INDEX(IlumaCalc!$AG$3:$AG$122,$T5)),"")</f>
        <v/>
      </c>
      <c r="P5" s="21">
        <f>IF(AND(ISNUMBER($T5),$T5&lt;&gt;""),IF(INDEX(IlumaCalc!$AJ$3:$AJ$122,$T5)="","—",INDEX(IlumaCalc!$AJ$3:$AJ$122,$T5)),"")</f>
        <v/>
      </c>
      <c r="Q5" s="21">
        <f>IF(AND(ISNUMBER($T5),$T5&lt;&gt;""),IF(INDEX(IlumaCalc!$AK$3:$AK$122,$T5)="","—",INDEX(IlumaCalc!$AK$3:$AK$122,$T5)),"")</f>
        <v/>
      </c>
      <c r="R5" s="20">
        <f>IF(AND(ISNUMBER($T5),$T5&lt;&gt;""),IF(INDEX(IlumaCalc!$AL$3:$AL$122,$T5)="","—",INDEX(IlumaCalc!$AL$3:$AL$122,$T5)),"")</f>
        <v/>
      </c>
      <c r="T5">
        <f>IFERROR(MATCH(1,IlumaCalc!$AN$3:$AN$122,0),"")</f>
        <v/>
      </c>
    </row>
    <row r="6">
      <c r="A6" s="14">
        <f>IF(AND(ISNUMBER($T6),$T6&lt;&gt;""),INDEX(IlumaCalc!$S$3:$S$122,$T6),"")</f>
        <v/>
      </c>
      <c r="B6" s="15">
        <f>IF(AND(ISNUMBER($T6),$T6&lt;&gt;""),IF(INDEX(IlumaCalc!$T$3:$T$122,$T6)="","—",INDEX(IlumaCalc!$T$3:$T$122,$T6)),"")</f>
        <v/>
      </c>
      <c r="C6" s="15">
        <f>IF(AND(ISNUMBER($T6),$T6&lt;&gt;""),IF(INDEX(IlumaCalc!$U$3:$U$122,$T6)="","—",INDEX(IlumaCalc!$U$3:$U$122,$T6)),"")</f>
        <v/>
      </c>
      <c r="D6" s="15">
        <f>IF(AND(ISNUMBER($T6),$T6&lt;&gt;""),IF(INDEX(IlumaCalc!$V$3:$V$122,$T6)="","—",INDEX(IlumaCalc!$V$3:$V$122,$T6)),"")</f>
        <v/>
      </c>
      <c r="E6" s="15">
        <f>IF(AND(ISNUMBER($T6),$T6&lt;&gt;""),IF(INDEX(IlumaCalc!$W$3:$W$122,$T6)="","—",INDEX(IlumaCalc!$W$3:$W$122,$T6)),"")</f>
        <v/>
      </c>
      <c r="F6" s="15">
        <f>IF(AND(ISNUMBER($T6),$T6&lt;&gt;""),IF(INDEX(IlumaCalc!$X$3:$X$122,$T6)="","—",INDEX(IlumaCalc!$X$3:$X$122,$T6)),"")</f>
        <v/>
      </c>
      <c r="G6" s="15">
        <f>IF(AND(ISNUMBER($T6),$T6&lt;&gt;""),IF(INDEX(IlumaCalc!$Y$3:$Y$122,$T6)="","—",INDEX(IlumaCalc!$Y$3:$Y$122,$T6)),"")</f>
        <v/>
      </c>
      <c r="H6" s="15">
        <f>IF(AND(ISNUMBER($T6),$T6&lt;&gt;""),IF(INDEX(IlumaCalc!$Z$3:$Z$122,$T6)="","—",INDEX(IlumaCalc!$Z$3:$Z$122,$T6)),"")</f>
        <v/>
      </c>
      <c r="I6" s="15">
        <f>IF(AND(ISNUMBER($T6),$T6&lt;&gt;""),IF(INDEX(IlumaCalc!$AA$3:$AA$122,$T6)="","—",INDEX(IlumaCalc!$AA$3:$AA$122,$T6)),"")</f>
        <v/>
      </c>
      <c r="J6" s="15">
        <f>IF(AND(ISNUMBER($T6),$T6&lt;&gt;""),IF(INDEX(IlumaCalc!$AB$3:$AB$122,$T6)="","—",INDEX(IlumaCalc!$AB$3:$AB$122,$T6)),"")</f>
        <v/>
      </c>
      <c r="K6" s="15">
        <f>IF(AND(ISNUMBER($T6),$T6&lt;&gt;""),IF(INDEX(IlumaCalc!$AC$3:$AC$122,$T6)="","—",INDEX(IlumaCalc!$AC$3:$AC$122,$T6)),"")</f>
        <v/>
      </c>
      <c r="L6" s="15">
        <f>IF(AND(ISNUMBER($T6),$T6&lt;&gt;""),IF(INDEX(IlumaCalc!$AD$3:$AD$122,$T6)="","—",INDEX(IlumaCalc!$AD$3:$AD$122,$T6)),"")</f>
        <v/>
      </c>
      <c r="M6" s="15">
        <f>IF(AND(ISNUMBER($T6),$T6&lt;&gt;""),IF(INDEX(IlumaCalc!$AE$3:$AE$122,$T6)="","—",INDEX(IlumaCalc!$AE$3:$AE$122,$T6)),"")</f>
        <v/>
      </c>
      <c r="N6" s="15">
        <f>IF(AND(ISNUMBER($T6),$T6&lt;&gt;""),IF(INDEX(IlumaCalc!$AF$3:$AF$122,$T6)="","—",INDEX(IlumaCalc!$AF$3:$AF$122,$T6)),"")</f>
        <v/>
      </c>
      <c r="O6" s="15">
        <f>IF(AND(ISNUMBER($T6),$T6&lt;&gt;""),IF(INDEX(IlumaCalc!$AG$3:$AG$122,$T6)="","—",INDEX(IlumaCalc!$AG$3:$AG$122,$T6)),"")</f>
        <v/>
      </c>
      <c r="P6" s="16">
        <f>IF(AND(ISNUMBER($T6),$T6&lt;&gt;""),IF(INDEX(IlumaCalc!$AJ$3:$AJ$122,$T6)="","—",INDEX(IlumaCalc!$AJ$3:$AJ$122,$T6)),"")</f>
        <v/>
      </c>
      <c r="Q6" s="16">
        <f>IF(AND(ISNUMBER($T6),$T6&lt;&gt;""),IF(INDEX(IlumaCalc!$AK$3:$AK$122,$T6)="","—",INDEX(IlumaCalc!$AK$3:$AK$122,$T6)),"")</f>
        <v/>
      </c>
      <c r="R6" s="15">
        <f>IF(AND(ISNUMBER($T6),$T6&lt;&gt;""),IF(INDEX(IlumaCalc!$AL$3:$AL$122,$T6)="","—",INDEX(IlumaCalc!$AL$3:$AL$122,$T6)),"")</f>
        <v/>
      </c>
      <c r="T6">
        <f>IFERROR(MATCH(2,IlumaCalc!$AN$3:$AN$122,0),"")</f>
        <v/>
      </c>
    </row>
    <row r="7">
      <c r="A7" s="19">
        <f>IF(AND(ISNUMBER($T7),$T7&lt;&gt;""),INDEX(IlumaCalc!$S$3:$S$122,$T7),"")</f>
        <v/>
      </c>
      <c r="B7" s="20">
        <f>IF(AND(ISNUMBER($T7),$T7&lt;&gt;""),IF(INDEX(IlumaCalc!$T$3:$T$122,$T7)="","—",INDEX(IlumaCalc!$T$3:$T$122,$T7)),"")</f>
        <v/>
      </c>
      <c r="C7" s="20">
        <f>IF(AND(ISNUMBER($T7),$T7&lt;&gt;""),IF(INDEX(IlumaCalc!$U$3:$U$122,$T7)="","—",INDEX(IlumaCalc!$U$3:$U$122,$T7)),"")</f>
        <v/>
      </c>
      <c r="D7" s="20">
        <f>IF(AND(ISNUMBER($T7),$T7&lt;&gt;""),IF(INDEX(IlumaCalc!$V$3:$V$122,$T7)="","—",INDEX(IlumaCalc!$V$3:$V$122,$T7)),"")</f>
        <v/>
      </c>
      <c r="E7" s="20">
        <f>IF(AND(ISNUMBER($T7),$T7&lt;&gt;""),IF(INDEX(IlumaCalc!$W$3:$W$122,$T7)="","—",INDEX(IlumaCalc!$W$3:$W$122,$T7)),"")</f>
        <v/>
      </c>
      <c r="F7" s="20">
        <f>IF(AND(ISNUMBER($T7),$T7&lt;&gt;""),IF(INDEX(IlumaCalc!$X$3:$X$122,$T7)="","—",INDEX(IlumaCalc!$X$3:$X$122,$T7)),"")</f>
        <v/>
      </c>
      <c r="G7" s="20">
        <f>IF(AND(ISNUMBER($T7),$T7&lt;&gt;""),IF(INDEX(IlumaCalc!$Y$3:$Y$122,$T7)="","—",INDEX(IlumaCalc!$Y$3:$Y$122,$T7)),"")</f>
        <v/>
      </c>
      <c r="H7" s="20">
        <f>IF(AND(ISNUMBER($T7),$T7&lt;&gt;""),IF(INDEX(IlumaCalc!$Z$3:$Z$122,$T7)="","—",INDEX(IlumaCalc!$Z$3:$Z$122,$T7)),"")</f>
        <v/>
      </c>
      <c r="I7" s="20">
        <f>IF(AND(ISNUMBER($T7),$T7&lt;&gt;""),IF(INDEX(IlumaCalc!$AA$3:$AA$122,$T7)="","—",INDEX(IlumaCalc!$AA$3:$AA$122,$T7)),"")</f>
        <v/>
      </c>
      <c r="J7" s="20">
        <f>IF(AND(ISNUMBER($T7),$T7&lt;&gt;""),IF(INDEX(IlumaCalc!$AB$3:$AB$122,$T7)="","—",INDEX(IlumaCalc!$AB$3:$AB$122,$T7)),"")</f>
        <v/>
      </c>
      <c r="K7" s="20">
        <f>IF(AND(ISNUMBER($T7),$T7&lt;&gt;""),IF(INDEX(IlumaCalc!$AC$3:$AC$122,$T7)="","—",INDEX(IlumaCalc!$AC$3:$AC$122,$T7)),"")</f>
        <v/>
      </c>
      <c r="L7" s="20">
        <f>IF(AND(ISNUMBER($T7),$T7&lt;&gt;""),IF(INDEX(IlumaCalc!$AD$3:$AD$122,$T7)="","—",INDEX(IlumaCalc!$AD$3:$AD$122,$T7)),"")</f>
        <v/>
      </c>
      <c r="M7" s="20">
        <f>IF(AND(ISNUMBER($T7),$T7&lt;&gt;""),IF(INDEX(IlumaCalc!$AE$3:$AE$122,$T7)="","—",INDEX(IlumaCalc!$AE$3:$AE$122,$T7)),"")</f>
        <v/>
      </c>
      <c r="N7" s="20">
        <f>IF(AND(ISNUMBER($T7),$T7&lt;&gt;""),IF(INDEX(IlumaCalc!$AF$3:$AF$122,$T7)="","—",INDEX(IlumaCalc!$AF$3:$AF$122,$T7)),"")</f>
        <v/>
      </c>
      <c r="O7" s="20">
        <f>IF(AND(ISNUMBER($T7),$T7&lt;&gt;""),IF(INDEX(IlumaCalc!$AG$3:$AG$122,$T7)="","—",INDEX(IlumaCalc!$AG$3:$AG$122,$T7)),"")</f>
        <v/>
      </c>
      <c r="P7" s="21">
        <f>IF(AND(ISNUMBER($T7),$T7&lt;&gt;""),IF(INDEX(IlumaCalc!$AJ$3:$AJ$122,$T7)="","—",INDEX(IlumaCalc!$AJ$3:$AJ$122,$T7)),"")</f>
        <v/>
      </c>
      <c r="Q7" s="21">
        <f>IF(AND(ISNUMBER($T7),$T7&lt;&gt;""),IF(INDEX(IlumaCalc!$AK$3:$AK$122,$T7)="","—",INDEX(IlumaCalc!$AK$3:$AK$122,$T7)),"")</f>
        <v/>
      </c>
      <c r="R7" s="20">
        <f>IF(AND(ISNUMBER($T7),$T7&lt;&gt;""),IF(INDEX(IlumaCalc!$AL$3:$AL$122,$T7)="","—",INDEX(IlumaCalc!$AL$3:$AL$122,$T7)),"")</f>
        <v/>
      </c>
      <c r="T7">
        <f>IFERROR(MATCH(3,IlumaCalc!$AN$3:$AN$122,0),"")</f>
        <v/>
      </c>
    </row>
    <row r="8">
      <c r="A8" s="14">
        <f>IF(AND(ISNUMBER($T8),$T8&lt;&gt;""),INDEX(IlumaCalc!$S$3:$S$122,$T8),"")</f>
        <v/>
      </c>
      <c r="B8" s="15">
        <f>IF(AND(ISNUMBER($T8),$T8&lt;&gt;""),IF(INDEX(IlumaCalc!$T$3:$T$122,$T8)="","—",INDEX(IlumaCalc!$T$3:$T$122,$T8)),"")</f>
        <v/>
      </c>
      <c r="C8" s="15">
        <f>IF(AND(ISNUMBER($T8),$T8&lt;&gt;""),IF(INDEX(IlumaCalc!$U$3:$U$122,$T8)="","—",INDEX(IlumaCalc!$U$3:$U$122,$T8)),"")</f>
        <v/>
      </c>
      <c r="D8" s="15">
        <f>IF(AND(ISNUMBER($T8),$T8&lt;&gt;""),IF(INDEX(IlumaCalc!$V$3:$V$122,$T8)="","—",INDEX(IlumaCalc!$V$3:$V$122,$T8)),"")</f>
        <v/>
      </c>
      <c r="E8" s="15">
        <f>IF(AND(ISNUMBER($T8),$T8&lt;&gt;""),IF(INDEX(IlumaCalc!$W$3:$W$122,$T8)="","—",INDEX(IlumaCalc!$W$3:$W$122,$T8)),"")</f>
        <v/>
      </c>
      <c r="F8" s="15">
        <f>IF(AND(ISNUMBER($T8),$T8&lt;&gt;""),IF(INDEX(IlumaCalc!$X$3:$X$122,$T8)="","—",INDEX(IlumaCalc!$X$3:$X$122,$T8)),"")</f>
        <v/>
      </c>
      <c r="G8" s="15">
        <f>IF(AND(ISNUMBER($T8),$T8&lt;&gt;""),IF(INDEX(IlumaCalc!$Y$3:$Y$122,$T8)="","—",INDEX(IlumaCalc!$Y$3:$Y$122,$T8)),"")</f>
        <v/>
      </c>
      <c r="H8" s="15">
        <f>IF(AND(ISNUMBER($T8),$T8&lt;&gt;""),IF(INDEX(IlumaCalc!$Z$3:$Z$122,$T8)="","—",INDEX(IlumaCalc!$Z$3:$Z$122,$T8)),"")</f>
        <v/>
      </c>
      <c r="I8" s="15">
        <f>IF(AND(ISNUMBER($T8),$T8&lt;&gt;""),IF(INDEX(IlumaCalc!$AA$3:$AA$122,$T8)="","—",INDEX(IlumaCalc!$AA$3:$AA$122,$T8)),"")</f>
        <v/>
      </c>
      <c r="J8" s="15">
        <f>IF(AND(ISNUMBER($T8),$T8&lt;&gt;""),IF(INDEX(IlumaCalc!$AB$3:$AB$122,$T8)="","—",INDEX(IlumaCalc!$AB$3:$AB$122,$T8)),"")</f>
        <v/>
      </c>
      <c r="K8" s="15">
        <f>IF(AND(ISNUMBER($T8),$T8&lt;&gt;""),IF(INDEX(IlumaCalc!$AC$3:$AC$122,$T8)="","—",INDEX(IlumaCalc!$AC$3:$AC$122,$T8)),"")</f>
        <v/>
      </c>
      <c r="L8" s="15">
        <f>IF(AND(ISNUMBER($T8),$T8&lt;&gt;""),IF(INDEX(IlumaCalc!$AD$3:$AD$122,$T8)="","—",INDEX(IlumaCalc!$AD$3:$AD$122,$T8)),"")</f>
        <v/>
      </c>
      <c r="M8" s="15">
        <f>IF(AND(ISNUMBER($T8),$T8&lt;&gt;""),IF(INDEX(IlumaCalc!$AE$3:$AE$122,$T8)="","—",INDEX(IlumaCalc!$AE$3:$AE$122,$T8)),"")</f>
        <v/>
      </c>
      <c r="N8" s="15">
        <f>IF(AND(ISNUMBER($T8),$T8&lt;&gt;""),IF(INDEX(IlumaCalc!$AF$3:$AF$122,$T8)="","—",INDEX(IlumaCalc!$AF$3:$AF$122,$T8)),"")</f>
        <v/>
      </c>
      <c r="O8" s="15">
        <f>IF(AND(ISNUMBER($T8),$T8&lt;&gt;""),IF(INDEX(IlumaCalc!$AG$3:$AG$122,$T8)="","—",INDEX(IlumaCalc!$AG$3:$AG$122,$T8)),"")</f>
        <v/>
      </c>
      <c r="P8" s="16">
        <f>IF(AND(ISNUMBER($T8),$T8&lt;&gt;""),IF(INDEX(IlumaCalc!$AJ$3:$AJ$122,$T8)="","—",INDEX(IlumaCalc!$AJ$3:$AJ$122,$T8)),"")</f>
        <v/>
      </c>
      <c r="Q8" s="16">
        <f>IF(AND(ISNUMBER($T8),$T8&lt;&gt;""),IF(INDEX(IlumaCalc!$AK$3:$AK$122,$T8)="","—",INDEX(IlumaCalc!$AK$3:$AK$122,$T8)),"")</f>
        <v/>
      </c>
      <c r="R8" s="15">
        <f>IF(AND(ISNUMBER($T8),$T8&lt;&gt;""),IF(INDEX(IlumaCalc!$AL$3:$AL$122,$T8)="","—",INDEX(IlumaCalc!$AL$3:$AL$122,$T8)),"")</f>
        <v/>
      </c>
      <c r="T8">
        <f>IFERROR(MATCH(4,IlumaCalc!$AN$3:$AN$122,0),"")</f>
        <v/>
      </c>
    </row>
    <row r="9">
      <c r="A9" s="19">
        <f>IF(AND(ISNUMBER($T9),$T9&lt;&gt;""),INDEX(IlumaCalc!$S$3:$S$122,$T9),"")</f>
        <v/>
      </c>
      <c r="B9" s="20">
        <f>IF(AND(ISNUMBER($T9),$T9&lt;&gt;""),IF(INDEX(IlumaCalc!$T$3:$T$122,$T9)="","—",INDEX(IlumaCalc!$T$3:$T$122,$T9)),"")</f>
        <v/>
      </c>
      <c r="C9" s="20">
        <f>IF(AND(ISNUMBER($T9),$T9&lt;&gt;""),IF(INDEX(IlumaCalc!$U$3:$U$122,$T9)="","—",INDEX(IlumaCalc!$U$3:$U$122,$T9)),"")</f>
        <v/>
      </c>
      <c r="D9" s="20">
        <f>IF(AND(ISNUMBER($T9),$T9&lt;&gt;""),IF(INDEX(IlumaCalc!$V$3:$V$122,$T9)="","—",INDEX(IlumaCalc!$V$3:$V$122,$T9)),"")</f>
        <v/>
      </c>
      <c r="E9" s="20">
        <f>IF(AND(ISNUMBER($T9),$T9&lt;&gt;""),IF(INDEX(IlumaCalc!$W$3:$W$122,$T9)="","—",INDEX(IlumaCalc!$W$3:$W$122,$T9)),"")</f>
        <v/>
      </c>
      <c r="F9" s="20">
        <f>IF(AND(ISNUMBER($T9),$T9&lt;&gt;""),IF(INDEX(IlumaCalc!$X$3:$X$122,$T9)="","—",INDEX(IlumaCalc!$X$3:$X$122,$T9)),"")</f>
        <v/>
      </c>
      <c r="G9" s="20">
        <f>IF(AND(ISNUMBER($T9),$T9&lt;&gt;""),IF(INDEX(IlumaCalc!$Y$3:$Y$122,$T9)="","—",INDEX(IlumaCalc!$Y$3:$Y$122,$T9)),"")</f>
        <v/>
      </c>
      <c r="H9" s="20">
        <f>IF(AND(ISNUMBER($T9),$T9&lt;&gt;""),IF(INDEX(IlumaCalc!$Z$3:$Z$122,$T9)="","—",INDEX(IlumaCalc!$Z$3:$Z$122,$T9)),"")</f>
        <v/>
      </c>
      <c r="I9" s="20">
        <f>IF(AND(ISNUMBER($T9),$T9&lt;&gt;""),IF(INDEX(IlumaCalc!$AA$3:$AA$122,$T9)="","—",INDEX(IlumaCalc!$AA$3:$AA$122,$T9)),"")</f>
        <v/>
      </c>
      <c r="J9" s="20">
        <f>IF(AND(ISNUMBER($T9),$T9&lt;&gt;""),IF(INDEX(IlumaCalc!$AB$3:$AB$122,$T9)="","—",INDEX(IlumaCalc!$AB$3:$AB$122,$T9)),"")</f>
        <v/>
      </c>
      <c r="K9" s="20">
        <f>IF(AND(ISNUMBER($T9),$T9&lt;&gt;""),IF(INDEX(IlumaCalc!$AC$3:$AC$122,$T9)="","—",INDEX(IlumaCalc!$AC$3:$AC$122,$T9)),"")</f>
        <v/>
      </c>
      <c r="L9" s="20">
        <f>IF(AND(ISNUMBER($T9),$T9&lt;&gt;""),IF(INDEX(IlumaCalc!$AD$3:$AD$122,$T9)="","—",INDEX(IlumaCalc!$AD$3:$AD$122,$T9)),"")</f>
        <v/>
      </c>
      <c r="M9" s="20">
        <f>IF(AND(ISNUMBER($T9),$T9&lt;&gt;""),IF(INDEX(IlumaCalc!$AE$3:$AE$122,$T9)="","—",INDEX(IlumaCalc!$AE$3:$AE$122,$T9)),"")</f>
        <v/>
      </c>
      <c r="N9" s="20">
        <f>IF(AND(ISNUMBER($T9),$T9&lt;&gt;""),IF(INDEX(IlumaCalc!$AF$3:$AF$122,$T9)="","—",INDEX(IlumaCalc!$AF$3:$AF$122,$T9)),"")</f>
        <v/>
      </c>
      <c r="O9" s="20">
        <f>IF(AND(ISNUMBER($T9),$T9&lt;&gt;""),IF(INDEX(IlumaCalc!$AG$3:$AG$122,$T9)="","—",INDEX(IlumaCalc!$AG$3:$AG$122,$T9)),"")</f>
        <v/>
      </c>
      <c r="P9" s="21">
        <f>IF(AND(ISNUMBER($T9),$T9&lt;&gt;""),IF(INDEX(IlumaCalc!$AJ$3:$AJ$122,$T9)="","—",INDEX(IlumaCalc!$AJ$3:$AJ$122,$T9)),"")</f>
        <v/>
      </c>
      <c r="Q9" s="21">
        <f>IF(AND(ISNUMBER($T9),$T9&lt;&gt;""),IF(INDEX(IlumaCalc!$AK$3:$AK$122,$T9)="","—",INDEX(IlumaCalc!$AK$3:$AK$122,$T9)),"")</f>
        <v/>
      </c>
      <c r="R9" s="20">
        <f>IF(AND(ISNUMBER($T9),$T9&lt;&gt;""),IF(INDEX(IlumaCalc!$AL$3:$AL$122,$T9)="","—",INDEX(IlumaCalc!$AL$3:$AL$122,$T9)),"")</f>
        <v/>
      </c>
      <c r="T9">
        <f>IFERROR(MATCH(5,IlumaCalc!$AN$3:$AN$122,0),"")</f>
        <v/>
      </c>
    </row>
    <row r="10">
      <c r="A10" s="14">
        <f>IF(AND(ISNUMBER($T10),$T10&lt;&gt;""),INDEX(IlumaCalc!$S$3:$S$122,$T10),"")</f>
        <v/>
      </c>
      <c r="B10" s="15">
        <f>IF(AND(ISNUMBER($T10),$T10&lt;&gt;""),IF(INDEX(IlumaCalc!$T$3:$T$122,$T10)="","—",INDEX(IlumaCalc!$T$3:$T$122,$T10)),"")</f>
        <v/>
      </c>
      <c r="C10" s="15">
        <f>IF(AND(ISNUMBER($T10),$T10&lt;&gt;""),IF(INDEX(IlumaCalc!$U$3:$U$122,$T10)="","—",INDEX(IlumaCalc!$U$3:$U$122,$T10)),"")</f>
        <v/>
      </c>
      <c r="D10" s="15">
        <f>IF(AND(ISNUMBER($T10),$T10&lt;&gt;""),IF(INDEX(IlumaCalc!$V$3:$V$122,$T10)="","—",INDEX(IlumaCalc!$V$3:$V$122,$T10)),"")</f>
        <v/>
      </c>
      <c r="E10" s="15">
        <f>IF(AND(ISNUMBER($T10),$T10&lt;&gt;""),IF(INDEX(IlumaCalc!$W$3:$W$122,$T10)="","—",INDEX(IlumaCalc!$W$3:$W$122,$T10)),"")</f>
        <v/>
      </c>
      <c r="F10" s="15">
        <f>IF(AND(ISNUMBER($T10),$T10&lt;&gt;""),IF(INDEX(IlumaCalc!$X$3:$X$122,$T10)="","—",INDEX(IlumaCalc!$X$3:$X$122,$T10)),"")</f>
        <v/>
      </c>
      <c r="G10" s="15">
        <f>IF(AND(ISNUMBER($T10),$T10&lt;&gt;""),IF(INDEX(IlumaCalc!$Y$3:$Y$122,$T10)="","—",INDEX(IlumaCalc!$Y$3:$Y$122,$T10)),"")</f>
        <v/>
      </c>
      <c r="H10" s="15">
        <f>IF(AND(ISNUMBER($T10),$T10&lt;&gt;""),IF(INDEX(IlumaCalc!$Z$3:$Z$122,$T10)="","—",INDEX(IlumaCalc!$Z$3:$Z$122,$T10)),"")</f>
        <v/>
      </c>
      <c r="I10" s="15">
        <f>IF(AND(ISNUMBER($T10),$T10&lt;&gt;""),IF(INDEX(IlumaCalc!$AA$3:$AA$122,$T10)="","—",INDEX(IlumaCalc!$AA$3:$AA$122,$T10)),"")</f>
        <v/>
      </c>
      <c r="J10" s="15">
        <f>IF(AND(ISNUMBER($T10),$T10&lt;&gt;""),IF(INDEX(IlumaCalc!$AB$3:$AB$122,$T10)="","—",INDEX(IlumaCalc!$AB$3:$AB$122,$T10)),"")</f>
        <v/>
      </c>
      <c r="K10" s="15">
        <f>IF(AND(ISNUMBER($T10),$T10&lt;&gt;""),IF(INDEX(IlumaCalc!$AC$3:$AC$122,$T10)="","—",INDEX(IlumaCalc!$AC$3:$AC$122,$T10)),"")</f>
        <v/>
      </c>
      <c r="L10" s="15">
        <f>IF(AND(ISNUMBER($T10),$T10&lt;&gt;""),IF(INDEX(IlumaCalc!$AD$3:$AD$122,$T10)="","—",INDEX(IlumaCalc!$AD$3:$AD$122,$T10)),"")</f>
        <v/>
      </c>
      <c r="M10" s="15">
        <f>IF(AND(ISNUMBER($T10),$T10&lt;&gt;""),IF(INDEX(IlumaCalc!$AE$3:$AE$122,$T10)="","—",INDEX(IlumaCalc!$AE$3:$AE$122,$T10)),"")</f>
        <v/>
      </c>
      <c r="N10" s="15">
        <f>IF(AND(ISNUMBER($T10),$T10&lt;&gt;""),IF(INDEX(IlumaCalc!$AF$3:$AF$122,$T10)="","—",INDEX(IlumaCalc!$AF$3:$AF$122,$T10)),"")</f>
        <v/>
      </c>
      <c r="O10" s="15">
        <f>IF(AND(ISNUMBER($T10),$T10&lt;&gt;""),IF(INDEX(IlumaCalc!$AG$3:$AG$122,$T10)="","—",INDEX(IlumaCalc!$AG$3:$AG$122,$T10)),"")</f>
        <v/>
      </c>
      <c r="P10" s="16">
        <f>IF(AND(ISNUMBER($T10),$T10&lt;&gt;""),IF(INDEX(IlumaCalc!$AJ$3:$AJ$122,$T10)="","—",INDEX(IlumaCalc!$AJ$3:$AJ$122,$T10)),"")</f>
        <v/>
      </c>
      <c r="Q10" s="16">
        <f>IF(AND(ISNUMBER($T10),$T10&lt;&gt;""),IF(INDEX(IlumaCalc!$AK$3:$AK$122,$T10)="","—",INDEX(IlumaCalc!$AK$3:$AK$122,$T10)),"")</f>
        <v/>
      </c>
      <c r="R10" s="15">
        <f>IF(AND(ISNUMBER($T10),$T10&lt;&gt;""),IF(INDEX(IlumaCalc!$AL$3:$AL$122,$T10)="","—",INDEX(IlumaCalc!$AL$3:$AL$122,$T10)),"")</f>
        <v/>
      </c>
      <c r="T10">
        <f>IFERROR(MATCH(6,IlumaCalc!$AN$3:$AN$122,0),"")</f>
        <v/>
      </c>
    </row>
    <row r="11">
      <c r="A11" s="19">
        <f>IF(AND(ISNUMBER($T11),$T11&lt;&gt;""),INDEX(IlumaCalc!$S$3:$S$122,$T11),"")</f>
        <v/>
      </c>
      <c r="B11" s="20">
        <f>IF(AND(ISNUMBER($T11),$T11&lt;&gt;""),IF(INDEX(IlumaCalc!$T$3:$T$122,$T11)="","—",INDEX(IlumaCalc!$T$3:$T$122,$T11)),"")</f>
        <v/>
      </c>
      <c r="C11" s="20">
        <f>IF(AND(ISNUMBER($T11),$T11&lt;&gt;""),IF(INDEX(IlumaCalc!$U$3:$U$122,$T11)="","—",INDEX(IlumaCalc!$U$3:$U$122,$T11)),"")</f>
        <v/>
      </c>
      <c r="D11" s="20">
        <f>IF(AND(ISNUMBER($T11),$T11&lt;&gt;""),IF(INDEX(IlumaCalc!$V$3:$V$122,$T11)="","—",INDEX(IlumaCalc!$V$3:$V$122,$T11)),"")</f>
        <v/>
      </c>
      <c r="E11" s="20">
        <f>IF(AND(ISNUMBER($T11),$T11&lt;&gt;""),IF(INDEX(IlumaCalc!$W$3:$W$122,$T11)="","—",INDEX(IlumaCalc!$W$3:$W$122,$T11)),"")</f>
        <v/>
      </c>
      <c r="F11" s="20">
        <f>IF(AND(ISNUMBER($T11),$T11&lt;&gt;""),IF(INDEX(IlumaCalc!$X$3:$X$122,$T11)="","—",INDEX(IlumaCalc!$X$3:$X$122,$T11)),"")</f>
        <v/>
      </c>
      <c r="G11" s="20">
        <f>IF(AND(ISNUMBER($T11),$T11&lt;&gt;""),IF(INDEX(IlumaCalc!$Y$3:$Y$122,$T11)="","—",INDEX(IlumaCalc!$Y$3:$Y$122,$T11)),"")</f>
        <v/>
      </c>
      <c r="H11" s="20">
        <f>IF(AND(ISNUMBER($T11),$T11&lt;&gt;""),IF(INDEX(IlumaCalc!$Z$3:$Z$122,$T11)="","—",INDEX(IlumaCalc!$Z$3:$Z$122,$T11)),"")</f>
        <v/>
      </c>
      <c r="I11" s="20">
        <f>IF(AND(ISNUMBER($T11),$T11&lt;&gt;""),IF(INDEX(IlumaCalc!$AA$3:$AA$122,$T11)="","—",INDEX(IlumaCalc!$AA$3:$AA$122,$T11)),"")</f>
        <v/>
      </c>
      <c r="J11" s="20">
        <f>IF(AND(ISNUMBER($T11),$T11&lt;&gt;""),IF(INDEX(IlumaCalc!$AB$3:$AB$122,$T11)="","—",INDEX(IlumaCalc!$AB$3:$AB$122,$T11)),"")</f>
        <v/>
      </c>
      <c r="K11" s="20">
        <f>IF(AND(ISNUMBER($T11),$T11&lt;&gt;""),IF(INDEX(IlumaCalc!$AC$3:$AC$122,$T11)="","—",INDEX(IlumaCalc!$AC$3:$AC$122,$T11)),"")</f>
        <v/>
      </c>
      <c r="L11" s="20">
        <f>IF(AND(ISNUMBER($T11),$T11&lt;&gt;""),IF(INDEX(IlumaCalc!$AD$3:$AD$122,$T11)="","—",INDEX(IlumaCalc!$AD$3:$AD$122,$T11)),"")</f>
        <v/>
      </c>
      <c r="M11" s="20">
        <f>IF(AND(ISNUMBER($T11),$T11&lt;&gt;""),IF(INDEX(IlumaCalc!$AE$3:$AE$122,$T11)="","—",INDEX(IlumaCalc!$AE$3:$AE$122,$T11)),"")</f>
        <v/>
      </c>
      <c r="N11" s="20">
        <f>IF(AND(ISNUMBER($T11),$T11&lt;&gt;""),IF(INDEX(IlumaCalc!$AF$3:$AF$122,$T11)="","—",INDEX(IlumaCalc!$AF$3:$AF$122,$T11)),"")</f>
        <v/>
      </c>
      <c r="O11" s="20">
        <f>IF(AND(ISNUMBER($T11),$T11&lt;&gt;""),IF(INDEX(IlumaCalc!$AG$3:$AG$122,$T11)="","—",INDEX(IlumaCalc!$AG$3:$AG$122,$T11)),"")</f>
        <v/>
      </c>
      <c r="P11" s="21">
        <f>IF(AND(ISNUMBER($T11),$T11&lt;&gt;""),IF(INDEX(IlumaCalc!$AJ$3:$AJ$122,$T11)="","—",INDEX(IlumaCalc!$AJ$3:$AJ$122,$T11)),"")</f>
        <v/>
      </c>
      <c r="Q11" s="21">
        <f>IF(AND(ISNUMBER($T11),$T11&lt;&gt;""),IF(INDEX(IlumaCalc!$AK$3:$AK$122,$T11)="","—",INDEX(IlumaCalc!$AK$3:$AK$122,$T11)),"")</f>
        <v/>
      </c>
      <c r="R11" s="20">
        <f>IF(AND(ISNUMBER($T11),$T11&lt;&gt;""),IF(INDEX(IlumaCalc!$AL$3:$AL$122,$T11)="","—",INDEX(IlumaCalc!$AL$3:$AL$122,$T11)),"")</f>
        <v/>
      </c>
      <c r="T11">
        <f>IFERROR(MATCH(7,IlumaCalc!$AN$3:$AN$122,0),"")</f>
        <v/>
      </c>
    </row>
    <row r="12">
      <c r="A12" s="14">
        <f>IF(AND(ISNUMBER($T12),$T12&lt;&gt;""),INDEX(IlumaCalc!$S$3:$S$122,$T12),"")</f>
        <v/>
      </c>
      <c r="B12" s="15">
        <f>IF(AND(ISNUMBER($T12),$T12&lt;&gt;""),IF(INDEX(IlumaCalc!$T$3:$T$122,$T12)="","—",INDEX(IlumaCalc!$T$3:$T$122,$T12)),"")</f>
        <v/>
      </c>
      <c r="C12" s="15">
        <f>IF(AND(ISNUMBER($T12),$T12&lt;&gt;""),IF(INDEX(IlumaCalc!$U$3:$U$122,$T12)="","—",INDEX(IlumaCalc!$U$3:$U$122,$T12)),"")</f>
        <v/>
      </c>
      <c r="D12" s="15">
        <f>IF(AND(ISNUMBER($T12),$T12&lt;&gt;""),IF(INDEX(IlumaCalc!$V$3:$V$122,$T12)="","—",INDEX(IlumaCalc!$V$3:$V$122,$T12)),"")</f>
        <v/>
      </c>
      <c r="E12" s="15">
        <f>IF(AND(ISNUMBER($T12),$T12&lt;&gt;""),IF(INDEX(IlumaCalc!$W$3:$W$122,$T12)="","—",INDEX(IlumaCalc!$W$3:$W$122,$T12)),"")</f>
        <v/>
      </c>
      <c r="F12" s="15">
        <f>IF(AND(ISNUMBER($T12),$T12&lt;&gt;""),IF(INDEX(IlumaCalc!$X$3:$X$122,$T12)="","—",INDEX(IlumaCalc!$X$3:$X$122,$T12)),"")</f>
        <v/>
      </c>
      <c r="G12" s="15">
        <f>IF(AND(ISNUMBER($T12),$T12&lt;&gt;""),IF(INDEX(IlumaCalc!$Y$3:$Y$122,$T12)="","—",INDEX(IlumaCalc!$Y$3:$Y$122,$T12)),"")</f>
        <v/>
      </c>
      <c r="H12" s="15">
        <f>IF(AND(ISNUMBER($T12),$T12&lt;&gt;""),IF(INDEX(IlumaCalc!$Z$3:$Z$122,$T12)="","—",INDEX(IlumaCalc!$Z$3:$Z$122,$T12)),"")</f>
        <v/>
      </c>
      <c r="I12" s="15">
        <f>IF(AND(ISNUMBER($T12),$T12&lt;&gt;""),IF(INDEX(IlumaCalc!$AA$3:$AA$122,$T12)="","—",INDEX(IlumaCalc!$AA$3:$AA$122,$T12)),"")</f>
        <v/>
      </c>
      <c r="J12" s="15">
        <f>IF(AND(ISNUMBER($T12),$T12&lt;&gt;""),IF(INDEX(IlumaCalc!$AB$3:$AB$122,$T12)="","—",INDEX(IlumaCalc!$AB$3:$AB$122,$T12)),"")</f>
        <v/>
      </c>
      <c r="K12" s="15">
        <f>IF(AND(ISNUMBER($T12),$T12&lt;&gt;""),IF(INDEX(IlumaCalc!$AC$3:$AC$122,$T12)="","—",INDEX(IlumaCalc!$AC$3:$AC$122,$T12)),"")</f>
        <v/>
      </c>
      <c r="L12" s="15">
        <f>IF(AND(ISNUMBER($T12),$T12&lt;&gt;""),IF(INDEX(IlumaCalc!$AD$3:$AD$122,$T12)="","—",INDEX(IlumaCalc!$AD$3:$AD$122,$T12)),"")</f>
        <v/>
      </c>
      <c r="M12" s="15">
        <f>IF(AND(ISNUMBER($T12),$T12&lt;&gt;""),IF(INDEX(IlumaCalc!$AE$3:$AE$122,$T12)="","—",INDEX(IlumaCalc!$AE$3:$AE$122,$T12)),"")</f>
        <v/>
      </c>
      <c r="N12" s="15">
        <f>IF(AND(ISNUMBER($T12),$T12&lt;&gt;""),IF(INDEX(IlumaCalc!$AF$3:$AF$122,$T12)="","—",INDEX(IlumaCalc!$AF$3:$AF$122,$T12)),"")</f>
        <v/>
      </c>
      <c r="O12" s="15">
        <f>IF(AND(ISNUMBER($T12),$T12&lt;&gt;""),IF(INDEX(IlumaCalc!$AG$3:$AG$122,$T12)="","—",INDEX(IlumaCalc!$AG$3:$AG$122,$T12)),"")</f>
        <v/>
      </c>
      <c r="P12" s="16">
        <f>IF(AND(ISNUMBER($T12),$T12&lt;&gt;""),IF(INDEX(IlumaCalc!$AJ$3:$AJ$122,$T12)="","—",INDEX(IlumaCalc!$AJ$3:$AJ$122,$T12)),"")</f>
        <v/>
      </c>
      <c r="Q12" s="16">
        <f>IF(AND(ISNUMBER($T12),$T12&lt;&gt;""),IF(INDEX(IlumaCalc!$AK$3:$AK$122,$T12)="","—",INDEX(IlumaCalc!$AK$3:$AK$122,$T12)),"")</f>
        <v/>
      </c>
      <c r="R12" s="15">
        <f>IF(AND(ISNUMBER($T12),$T12&lt;&gt;""),IF(INDEX(IlumaCalc!$AL$3:$AL$122,$T12)="","—",INDEX(IlumaCalc!$AL$3:$AL$122,$T12)),"")</f>
        <v/>
      </c>
      <c r="T12">
        <f>IFERROR(MATCH(8,IlumaCalc!$AN$3:$AN$122,0),"")</f>
        <v/>
      </c>
    </row>
    <row r="13">
      <c r="A13" s="19">
        <f>IF(AND(ISNUMBER($T13),$T13&lt;&gt;""),INDEX(IlumaCalc!$S$3:$S$122,$T13),"")</f>
        <v/>
      </c>
      <c r="B13" s="20">
        <f>IF(AND(ISNUMBER($T13),$T13&lt;&gt;""),IF(INDEX(IlumaCalc!$T$3:$T$122,$T13)="","—",INDEX(IlumaCalc!$T$3:$T$122,$T13)),"")</f>
        <v/>
      </c>
      <c r="C13" s="20">
        <f>IF(AND(ISNUMBER($T13),$T13&lt;&gt;""),IF(INDEX(IlumaCalc!$U$3:$U$122,$T13)="","—",INDEX(IlumaCalc!$U$3:$U$122,$T13)),"")</f>
        <v/>
      </c>
      <c r="D13" s="20">
        <f>IF(AND(ISNUMBER($T13),$T13&lt;&gt;""),IF(INDEX(IlumaCalc!$V$3:$V$122,$T13)="","—",INDEX(IlumaCalc!$V$3:$V$122,$T13)),"")</f>
        <v/>
      </c>
      <c r="E13" s="20">
        <f>IF(AND(ISNUMBER($T13),$T13&lt;&gt;""),IF(INDEX(IlumaCalc!$W$3:$W$122,$T13)="","—",INDEX(IlumaCalc!$W$3:$W$122,$T13)),"")</f>
        <v/>
      </c>
      <c r="F13" s="20">
        <f>IF(AND(ISNUMBER($T13),$T13&lt;&gt;""),IF(INDEX(IlumaCalc!$X$3:$X$122,$T13)="","—",INDEX(IlumaCalc!$X$3:$X$122,$T13)),"")</f>
        <v/>
      </c>
      <c r="G13" s="20">
        <f>IF(AND(ISNUMBER($T13),$T13&lt;&gt;""),IF(INDEX(IlumaCalc!$Y$3:$Y$122,$T13)="","—",INDEX(IlumaCalc!$Y$3:$Y$122,$T13)),"")</f>
        <v/>
      </c>
      <c r="H13" s="20">
        <f>IF(AND(ISNUMBER($T13),$T13&lt;&gt;""),IF(INDEX(IlumaCalc!$Z$3:$Z$122,$T13)="","—",INDEX(IlumaCalc!$Z$3:$Z$122,$T13)),"")</f>
        <v/>
      </c>
      <c r="I13" s="20">
        <f>IF(AND(ISNUMBER($T13),$T13&lt;&gt;""),IF(INDEX(IlumaCalc!$AA$3:$AA$122,$T13)="","—",INDEX(IlumaCalc!$AA$3:$AA$122,$T13)),"")</f>
        <v/>
      </c>
      <c r="J13" s="20">
        <f>IF(AND(ISNUMBER($T13),$T13&lt;&gt;""),IF(INDEX(IlumaCalc!$AB$3:$AB$122,$T13)="","—",INDEX(IlumaCalc!$AB$3:$AB$122,$T13)),"")</f>
        <v/>
      </c>
      <c r="K13" s="20">
        <f>IF(AND(ISNUMBER($T13),$T13&lt;&gt;""),IF(INDEX(IlumaCalc!$AC$3:$AC$122,$T13)="","—",INDEX(IlumaCalc!$AC$3:$AC$122,$T13)),"")</f>
        <v/>
      </c>
      <c r="L13" s="20">
        <f>IF(AND(ISNUMBER($T13),$T13&lt;&gt;""),IF(INDEX(IlumaCalc!$AD$3:$AD$122,$T13)="","—",INDEX(IlumaCalc!$AD$3:$AD$122,$T13)),"")</f>
        <v/>
      </c>
      <c r="M13" s="20">
        <f>IF(AND(ISNUMBER($T13),$T13&lt;&gt;""),IF(INDEX(IlumaCalc!$AE$3:$AE$122,$T13)="","—",INDEX(IlumaCalc!$AE$3:$AE$122,$T13)),"")</f>
        <v/>
      </c>
      <c r="N13" s="20">
        <f>IF(AND(ISNUMBER($T13),$T13&lt;&gt;""),IF(INDEX(IlumaCalc!$AF$3:$AF$122,$T13)="","—",INDEX(IlumaCalc!$AF$3:$AF$122,$T13)),"")</f>
        <v/>
      </c>
      <c r="O13" s="20">
        <f>IF(AND(ISNUMBER($T13),$T13&lt;&gt;""),IF(INDEX(IlumaCalc!$AG$3:$AG$122,$T13)="","—",INDEX(IlumaCalc!$AG$3:$AG$122,$T13)),"")</f>
        <v/>
      </c>
      <c r="P13" s="21">
        <f>IF(AND(ISNUMBER($T13),$T13&lt;&gt;""),IF(INDEX(IlumaCalc!$AJ$3:$AJ$122,$T13)="","—",INDEX(IlumaCalc!$AJ$3:$AJ$122,$T13)),"")</f>
        <v/>
      </c>
      <c r="Q13" s="21">
        <f>IF(AND(ISNUMBER($T13),$T13&lt;&gt;""),IF(INDEX(IlumaCalc!$AK$3:$AK$122,$T13)="","—",INDEX(IlumaCalc!$AK$3:$AK$122,$T13)),"")</f>
        <v/>
      </c>
      <c r="R13" s="20">
        <f>IF(AND(ISNUMBER($T13),$T13&lt;&gt;""),IF(INDEX(IlumaCalc!$AL$3:$AL$122,$T13)="","—",INDEX(IlumaCalc!$AL$3:$AL$122,$T13)),"")</f>
        <v/>
      </c>
      <c r="T13">
        <f>IFERROR(MATCH(9,IlumaCalc!$AN$3:$AN$122,0),"")</f>
        <v/>
      </c>
    </row>
    <row r="14">
      <c r="A14" s="14">
        <f>IF(AND(ISNUMBER($T14),$T14&lt;&gt;""),INDEX(IlumaCalc!$S$3:$S$122,$T14),"")</f>
        <v/>
      </c>
      <c r="B14" s="15">
        <f>IF(AND(ISNUMBER($T14),$T14&lt;&gt;""),IF(INDEX(IlumaCalc!$T$3:$T$122,$T14)="","—",INDEX(IlumaCalc!$T$3:$T$122,$T14)),"")</f>
        <v/>
      </c>
      <c r="C14" s="15">
        <f>IF(AND(ISNUMBER($T14),$T14&lt;&gt;""),IF(INDEX(IlumaCalc!$U$3:$U$122,$T14)="","—",INDEX(IlumaCalc!$U$3:$U$122,$T14)),"")</f>
        <v/>
      </c>
      <c r="D14" s="15">
        <f>IF(AND(ISNUMBER($T14),$T14&lt;&gt;""),IF(INDEX(IlumaCalc!$V$3:$V$122,$T14)="","—",INDEX(IlumaCalc!$V$3:$V$122,$T14)),"")</f>
        <v/>
      </c>
      <c r="E14" s="15">
        <f>IF(AND(ISNUMBER($T14),$T14&lt;&gt;""),IF(INDEX(IlumaCalc!$W$3:$W$122,$T14)="","—",INDEX(IlumaCalc!$W$3:$W$122,$T14)),"")</f>
        <v/>
      </c>
      <c r="F14" s="15">
        <f>IF(AND(ISNUMBER($T14),$T14&lt;&gt;""),IF(INDEX(IlumaCalc!$X$3:$X$122,$T14)="","—",INDEX(IlumaCalc!$X$3:$X$122,$T14)),"")</f>
        <v/>
      </c>
      <c r="G14" s="15">
        <f>IF(AND(ISNUMBER($T14),$T14&lt;&gt;""),IF(INDEX(IlumaCalc!$Y$3:$Y$122,$T14)="","—",INDEX(IlumaCalc!$Y$3:$Y$122,$T14)),"")</f>
        <v/>
      </c>
      <c r="H14" s="15">
        <f>IF(AND(ISNUMBER($T14),$T14&lt;&gt;""),IF(INDEX(IlumaCalc!$Z$3:$Z$122,$T14)="","—",INDEX(IlumaCalc!$Z$3:$Z$122,$T14)),"")</f>
        <v/>
      </c>
      <c r="I14" s="15">
        <f>IF(AND(ISNUMBER($T14),$T14&lt;&gt;""),IF(INDEX(IlumaCalc!$AA$3:$AA$122,$T14)="","—",INDEX(IlumaCalc!$AA$3:$AA$122,$T14)),"")</f>
        <v/>
      </c>
      <c r="J14" s="15">
        <f>IF(AND(ISNUMBER($T14),$T14&lt;&gt;""),IF(INDEX(IlumaCalc!$AB$3:$AB$122,$T14)="","—",INDEX(IlumaCalc!$AB$3:$AB$122,$T14)),"")</f>
        <v/>
      </c>
      <c r="K14" s="15">
        <f>IF(AND(ISNUMBER($T14),$T14&lt;&gt;""),IF(INDEX(IlumaCalc!$AC$3:$AC$122,$T14)="","—",INDEX(IlumaCalc!$AC$3:$AC$122,$T14)),"")</f>
        <v/>
      </c>
      <c r="L14" s="15">
        <f>IF(AND(ISNUMBER($T14),$T14&lt;&gt;""),IF(INDEX(IlumaCalc!$AD$3:$AD$122,$T14)="","—",INDEX(IlumaCalc!$AD$3:$AD$122,$T14)),"")</f>
        <v/>
      </c>
      <c r="M14" s="15">
        <f>IF(AND(ISNUMBER($T14),$T14&lt;&gt;""),IF(INDEX(IlumaCalc!$AE$3:$AE$122,$T14)="","—",INDEX(IlumaCalc!$AE$3:$AE$122,$T14)),"")</f>
        <v/>
      </c>
      <c r="N14" s="15">
        <f>IF(AND(ISNUMBER($T14),$T14&lt;&gt;""),IF(INDEX(IlumaCalc!$AF$3:$AF$122,$T14)="","—",INDEX(IlumaCalc!$AF$3:$AF$122,$T14)),"")</f>
        <v/>
      </c>
      <c r="O14" s="15">
        <f>IF(AND(ISNUMBER($T14),$T14&lt;&gt;""),IF(INDEX(IlumaCalc!$AG$3:$AG$122,$T14)="","—",INDEX(IlumaCalc!$AG$3:$AG$122,$T14)),"")</f>
        <v/>
      </c>
      <c r="P14" s="16">
        <f>IF(AND(ISNUMBER($T14),$T14&lt;&gt;""),IF(INDEX(IlumaCalc!$AJ$3:$AJ$122,$T14)="","—",INDEX(IlumaCalc!$AJ$3:$AJ$122,$T14)),"")</f>
        <v/>
      </c>
      <c r="Q14" s="16">
        <f>IF(AND(ISNUMBER($T14),$T14&lt;&gt;""),IF(INDEX(IlumaCalc!$AK$3:$AK$122,$T14)="","—",INDEX(IlumaCalc!$AK$3:$AK$122,$T14)),"")</f>
        <v/>
      </c>
      <c r="R14" s="15">
        <f>IF(AND(ISNUMBER($T14),$T14&lt;&gt;""),IF(INDEX(IlumaCalc!$AL$3:$AL$122,$T14)="","—",INDEX(IlumaCalc!$AL$3:$AL$122,$T14)),"")</f>
        <v/>
      </c>
      <c r="T14">
        <f>IFERROR(MATCH(10,IlumaCalc!$AN$3:$AN$122,0),"")</f>
        <v/>
      </c>
    </row>
    <row r="15">
      <c r="A15" s="19">
        <f>IF(AND(ISNUMBER($T15),$T15&lt;&gt;""),INDEX(IlumaCalc!$S$3:$S$122,$T15),"")</f>
        <v/>
      </c>
      <c r="B15" s="20">
        <f>IF(AND(ISNUMBER($T15),$T15&lt;&gt;""),IF(INDEX(IlumaCalc!$T$3:$T$122,$T15)="","—",INDEX(IlumaCalc!$T$3:$T$122,$T15)),"")</f>
        <v/>
      </c>
      <c r="C15" s="20">
        <f>IF(AND(ISNUMBER($T15),$T15&lt;&gt;""),IF(INDEX(IlumaCalc!$U$3:$U$122,$T15)="","—",INDEX(IlumaCalc!$U$3:$U$122,$T15)),"")</f>
        <v/>
      </c>
      <c r="D15" s="20">
        <f>IF(AND(ISNUMBER($T15),$T15&lt;&gt;""),IF(INDEX(IlumaCalc!$V$3:$V$122,$T15)="","—",INDEX(IlumaCalc!$V$3:$V$122,$T15)),"")</f>
        <v/>
      </c>
      <c r="E15" s="20">
        <f>IF(AND(ISNUMBER($T15),$T15&lt;&gt;""),IF(INDEX(IlumaCalc!$W$3:$W$122,$T15)="","—",INDEX(IlumaCalc!$W$3:$W$122,$T15)),"")</f>
        <v/>
      </c>
      <c r="F15" s="20">
        <f>IF(AND(ISNUMBER($T15),$T15&lt;&gt;""),IF(INDEX(IlumaCalc!$X$3:$X$122,$T15)="","—",INDEX(IlumaCalc!$X$3:$X$122,$T15)),"")</f>
        <v/>
      </c>
      <c r="G15" s="20">
        <f>IF(AND(ISNUMBER($T15),$T15&lt;&gt;""),IF(INDEX(IlumaCalc!$Y$3:$Y$122,$T15)="","—",INDEX(IlumaCalc!$Y$3:$Y$122,$T15)),"")</f>
        <v/>
      </c>
      <c r="H15" s="20">
        <f>IF(AND(ISNUMBER($T15),$T15&lt;&gt;""),IF(INDEX(IlumaCalc!$Z$3:$Z$122,$T15)="","—",INDEX(IlumaCalc!$Z$3:$Z$122,$T15)),"")</f>
        <v/>
      </c>
      <c r="I15" s="20">
        <f>IF(AND(ISNUMBER($T15),$T15&lt;&gt;""),IF(INDEX(IlumaCalc!$AA$3:$AA$122,$T15)="","—",INDEX(IlumaCalc!$AA$3:$AA$122,$T15)),"")</f>
        <v/>
      </c>
      <c r="J15" s="20">
        <f>IF(AND(ISNUMBER($T15),$T15&lt;&gt;""),IF(INDEX(IlumaCalc!$AB$3:$AB$122,$T15)="","—",INDEX(IlumaCalc!$AB$3:$AB$122,$T15)),"")</f>
        <v/>
      </c>
      <c r="K15" s="20">
        <f>IF(AND(ISNUMBER($T15),$T15&lt;&gt;""),IF(INDEX(IlumaCalc!$AC$3:$AC$122,$T15)="","—",INDEX(IlumaCalc!$AC$3:$AC$122,$T15)),"")</f>
        <v/>
      </c>
      <c r="L15" s="20">
        <f>IF(AND(ISNUMBER($T15),$T15&lt;&gt;""),IF(INDEX(IlumaCalc!$AD$3:$AD$122,$T15)="","—",INDEX(IlumaCalc!$AD$3:$AD$122,$T15)),"")</f>
        <v/>
      </c>
      <c r="M15" s="20">
        <f>IF(AND(ISNUMBER($T15),$T15&lt;&gt;""),IF(INDEX(IlumaCalc!$AE$3:$AE$122,$T15)="","—",INDEX(IlumaCalc!$AE$3:$AE$122,$T15)),"")</f>
        <v/>
      </c>
      <c r="N15" s="20">
        <f>IF(AND(ISNUMBER($T15),$T15&lt;&gt;""),IF(INDEX(IlumaCalc!$AF$3:$AF$122,$T15)="","—",INDEX(IlumaCalc!$AF$3:$AF$122,$T15)),"")</f>
        <v/>
      </c>
      <c r="O15" s="20">
        <f>IF(AND(ISNUMBER($T15),$T15&lt;&gt;""),IF(INDEX(IlumaCalc!$AG$3:$AG$122,$T15)="","—",INDEX(IlumaCalc!$AG$3:$AG$122,$T15)),"")</f>
        <v/>
      </c>
      <c r="P15" s="21">
        <f>IF(AND(ISNUMBER($T15),$T15&lt;&gt;""),IF(INDEX(IlumaCalc!$AJ$3:$AJ$122,$T15)="","—",INDEX(IlumaCalc!$AJ$3:$AJ$122,$T15)),"")</f>
        <v/>
      </c>
      <c r="Q15" s="21">
        <f>IF(AND(ISNUMBER($T15),$T15&lt;&gt;""),IF(INDEX(IlumaCalc!$AK$3:$AK$122,$T15)="","—",INDEX(IlumaCalc!$AK$3:$AK$122,$T15)),"")</f>
        <v/>
      </c>
      <c r="R15" s="20">
        <f>IF(AND(ISNUMBER($T15),$T15&lt;&gt;""),IF(INDEX(IlumaCalc!$AL$3:$AL$122,$T15)="","—",INDEX(IlumaCalc!$AL$3:$AL$122,$T15)),"")</f>
        <v/>
      </c>
      <c r="T15">
        <f>IFERROR(MATCH(11,IlumaCalc!$AN$3:$AN$122,0),"")</f>
        <v/>
      </c>
    </row>
    <row r="16">
      <c r="A16" s="14">
        <f>IF(AND(ISNUMBER($T16),$T16&lt;&gt;""),INDEX(IlumaCalc!$S$3:$S$122,$T16),"")</f>
        <v/>
      </c>
      <c r="B16" s="15">
        <f>IF(AND(ISNUMBER($T16),$T16&lt;&gt;""),IF(INDEX(IlumaCalc!$T$3:$T$122,$T16)="","—",INDEX(IlumaCalc!$T$3:$T$122,$T16)),"")</f>
        <v/>
      </c>
      <c r="C16" s="15">
        <f>IF(AND(ISNUMBER($T16),$T16&lt;&gt;""),IF(INDEX(IlumaCalc!$U$3:$U$122,$T16)="","—",INDEX(IlumaCalc!$U$3:$U$122,$T16)),"")</f>
        <v/>
      </c>
      <c r="D16" s="15">
        <f>IF(AND(ISNUMBER($T16),$T16&lt;&gt;""),IF(INDEX(IlumaCalc!$V$3:$V$122,$T16)="","—",INDEX(IlumaCalc!$V$3:$V$122,$T16)),"")</f>
        <v/>
      </c>
      <c r="E16" s="15">
        <f>IF(AND(ISNUMBER($T16),$T16&lt;&gt;""),IF(INDEX(IlumaCalc!$W$3:$W$122,$T16)="","—",INDEX(IlumaCalc!$W$3:$W$122,$T16)),"")</f>
        <v/>
      </c>
      <c r="F16" s="15">
        <f>IF(AND(ISNUMBER($T16),$T16&lt;&gt;""),IF(INDEX(IlumaCalc!$X$3:$X$122,$T16)="","—",INDEX(IlumaCalc!$X$3:$X$122,$T16)),"")</f>
        <v/>
      </c>
      <c r="G16" s="15">
        <f>IF(AND(ISNUMBER($T16),$T16&lt;&gt;""),IF(INDEX(IlumaCalc!$Y$3:$Y$122,$T16)="","—",INDEX(IlumaCalc!$Y$3:$Y$122,$T16)),"")</f>
        <v/>
      </c>
      <c r="H16" s="15">
        <f>IF(AND(ISNUMBER($T16),$T16&lt;&gt;""),IF(INDEX(IlumaCalc!$Z$3:$Z$122,$T16)="","—",INDEX(IlumaCalc!$Z$3:$Z$122,$T16)),"")</f>
        <v/>
      </c>
      <c r="I16" s="15">
        <f>IF(AND(ISNUMBER($T16),$T16&lt;&gt;""),IF(INDEX(IlumaCalc!$AA$3:$AA$122,$T16)="","—",INDEX(IlumaCalc!$AA$3:$AA$122,$T16)),"")</f>
        <v/>
      </c>
      <c r="J16" s="15">
        <f>IF(AND(ISNUMBER($T16),$T16&lt;&gt;""),IF(INDEX(IlumaCalc!$AB$3:$AB$122,$T16)="","—",INDEX(IlumaCalc!$AB$3:$AB$122,$T16)),"")</f>
        <v/>
      </c>
      <c r="K16" s="15">
        <f>IF(AND(ISNUMBER($T16),$T16&lt;&gt;""),IF(INDEX(IlumaCalc!$AC$3:$AC$122,$T16)="","—",INDEX(IlumaCalc!$AC$3:$AC$122,$T16)),"")</f>
        <v/>
      </c>
      <c r="L16" s="15">
        <f>IF(AND(ISNUMBER($T16),$T16&lt;&gt;""),IF(INDEX(IlumaCalc!$AD$3:$AD$122,$T16)="","—",INDEX(IlumaCalc!$AD$3:$AD$122,$T16)),"")</f>
        <v/>
      </c>
      <c r="M16" s="15">
        <f>IF(AND(ISNUMBER($T16),$T16&lt;&gt;""),IF(INDEX(IlumaCalc!$AE$3:$AE$122,$T16)="","—",INDEX(IlumaCalc!$AE$3:$AE$122,$T16)),"")</f>
        <v/>
      </c>
      <c r="N16" s="15">
        <f>IF(AND(ISNUMBER($T16),$T16&lt;&gt;""),IF(INDEX(IlumaCalc!$AF$3:$AF$122,$T16)="","—",INDEX(IlumaCalc!$AF$3:$AF$122,$T16)),"")</f>
        <v/>
      </c>
      <c r="O16" s="15">
        <f>IF(AND(ISNUMBER($T16),$T16&lt;&gt;""),IF(INDEX(IlumaCalc!$AG$3:$AG$122,$T16)="","—",INDEX(IlumaCalc!$AG$3:$AG$122,$T16)),"")</f>
        <v/>
      </c>
      <c r="P16" s="16">
        <f>IF(AND(ISNUMBER($T16),$T16&lt;&gt;""),IF(INDEX(IlumaCalc!$AJ$3:$AJ$122,$T16)="","—",INDEX(IlumaCalc!$AJ$3:$AJ$122,$T16)),"")</f>
        <v/>
      </c>
      <c r="Q16" s="16">
        <f>IF(AND(ISNUMBER($T16),$T16&lt;&gt;""),IF(INDEX(IlumaCalc!$AK$3:$AK$122,$T16)="","—",INDEX(IlumaCalc!$AK$3:$AK$122,$T16)),"")</f>
        <v/>
      </c>
      <c r="R16" s="15">
        <f>IF(AND(ISNUMBER($T16),$T16&lt;&gt;""),IF(INDEX(IlumaCalc!$AL$3:$AL$122,$T16)="","—",INDEX(IlumaCalc!$AL$3:$AL$122,$T16)),"")</f>
        <v/>
      </c>
      <c r="T16">
        <f>IFERROR(MATCH(12,IlumaCalc!$AN$3:$AN$122,0),"")</f>
        <v/>
      </c>
    </row>
    <row r="17">
      <c r="A17" s="19">
        <f>IF(AND(ISNUMBER($T17),$T17&lt;&gt;""),INDEX(IlumaCalc!$S$3:$S$122,$T17),"")</f>
        <v/>
      </c>
      <c r="B17" s="20">
        <f>IF(AND(ISNUMBER($T17),$T17&lt;&gt;""),IF(INDEX(IlumaCalc!$T$3:$T$122,$T17)="","—",INDEX(IlumaCalc!$T$3:$T$122,$T17)),"")</f>
        <v/>
      </c>
      <c r="C17" s="20">
        <f>IF(AND(ISNUMBER($T17),$T17&lt;&gt;""),IF(INDEX(IlumaCalc!$U$3:$U$122,$T17)="","—",INDEX(IlumaCalc!$U$3:$U$122,$T17)),"")</f>
        <v/>
      </c>
      <c r="D17" s="20">
        <f>IF(AND(ISNUMBER($T17),$T17&lt;&gt;""),IF(INDEX(IlumaCalc!$V$3:$V$122,$T17)="","—",INDEX(IlumaCalc!$V$3:$V$122,$T17)),"")</f>
        <v/>
      </c>
      <c r="E17" s="20">
        <f>IF(AND(ISNUMBER($T17),$T17&lt;&gt;""),IF(INDEX(IlumaCalc!$W$3:$W$122,$T17)="","—",INDEX(IlumaCalc!$W$3:$W$122,$T17)),"")</f>
        <v/>
      </c>
      <c r="F17" s="20">
        <f>IF(AND(ISNUMBER($T17),$T17&lt;&gt;""),IF(INDEX(IlumaCalc!$X$3:$X$122,$T17)="","—",INDEX(IlumaCalc!$X$3:$X$122,$T17)),"")</f>
        <v/>
      </c>
      <c r="G17" s="20">
        <f>IF(AND(ISNUMBER($T17),$T17&lt;&gt;""),IF(INDEX(IlumaCalc!$Y$3:$Y$122,$T17)="","—",INDEX(IlumaCalc!$Y$3:$Y$122,$T17)),"")</f>
        <v/>
      </c>
      <c r="H17" s="20">
        <f>IF(AND(ISNUMBER($T17),$T17&lt;&gt;""),IF(INDEX(IlumaCalc!$Z$3:$Z$122,$T17)="","—",INDEX(IlumaCalc!$Z$3:$Z$122,$T17)),"")</f>
        <v/>
      </c>
      <c r="I17" s="20">
        <f>IF(AND(ISNUMBER($T17),$T17&lt;&gt;""),IF(INDEX(IlumaCalc!$AA$3:$AA$122,$T17)="","—",INDEX(IlumaCalc!$AA$3:$AA$122,$T17)),"")</f>
        <v/>
      </c>
      <c r="J17" s="20">
        <f>IF(AND(ISNUMBER($T17),$T17&lt;&gt;""),IF(INDEX(IlumaCalc!$AB$3:$AB$122,$T17)="","—",INDEX(IlumaCalc!$AB$3:$AB$122,$T17)),"")</f>
        <v/>
      </c>
      <c r="K17" s="20">
        <f>IF(AND(ISNUMBER($T17),$T17&lt;&gt;""),IF(INDEX(IlumaCalc!$AC$3:$AC$122,$T17)="","—",INDEX(IlumaCalc!$AC$3:$AC$122,$T17)),"")</f>
        <v/>
      </c>
      <c r="L17" s="20">
        <f>IF(AND(ISNUMBER($T17),$T17&lt;&gt;""),IF(INDEX(IlumaCalc!$AD$3:$AD$122,$T17)="","—",INDEX(IlumaCalc!$AD$3:$AD$122,$T17)),"")</f>
        <v/>
      </c>
      <c r="M17" s="20">
        <f>IF(AND(ISNUMBER($T17),$T17&lt;&gt;""),IF(INDEX(IlumaCalc!$AE$3:$AE$122,$T17)="","—",INDEX(IlumaCalc!$AE$3:$AE$122,$T17)),"")</f>
        <v/>
      </c>
      <c r="N17" s="20">
        <f>IF(AND(ISNUMBER($T17),$T17&lt;&gt;""),IF(INDEX(IlumaCalc!$AF$3:$AF$122,$T17)="","—",INDEX(IlumaCalc!$AF$3:$AF$122,$T17)),"")</f>
        <v/>
      </c>
      <c r="O17" s="20">
        <f>IF(AND(ISNUMBER($T17),$T17&lt;&gt;""),IF(INDEX(IlumaCalc!$AG$3:$AG$122,$T17)="","—",INDEX(IlumaCalc!$AG$3:$AG$122,$T17)),"")</f>
        <v/>
      </c>
      <c r="P17" s="21">
        <f>IF(AND(ISNUMBER($T17),$T17&lt;&gt;""),IF(INDEX(IlumaCalc!$AJ$3:$AJ$122,$T17)="","—",INDEX(IlumaCalc!$AJ$3:$AJ$122,$T17)),"")</f>
        <v/>
      </c>
      <c r="Q17" s="21">
        <f>IF(AND(ISNUMBER($T17),$T17&lt;&gt;""),IF(INDEX(IlumaCalc!$AK$3:$AK$122,$T17)="","—",INDEX(IlumaCalc!$AK$3:$AK$122,$T17)),"")</f>
        <v/>
      </c>
      <c r="R17" s="20">
        <f>IF(AND(ISNUMBER($T17),$T17&lt;&gt;""),IF(INDEX(IlumaCalc!$AL$3:$AL$122,$T17)="","—",INDEX(IlumaCalc!$AL$3:$AL$122,$T17)),"")</f>
        <v/>
      </c>
      <c r="T17">
        <f>IFERROR(MATCH(13,IlumaCalc!$AN$3:$AN$122,0),"")</f>
        <v/>
      </c>
    </row>
    <row r="18">
      <c r="A18" s="14">
        <f>IF(AND(ISNUMBER($T18),$T18&lt;&gt;""),INDEX(IlumaCalc!$S$3:$S$122,$T18),"")</f>
        <v/>
      </c>
      <c r="B18" s="15">
        <f>IF(AND(ISNUMBER($T18),$T18&lt;&gt;""),IF(INDEX(IlumaCalc!$T$3:$T$122,$T18)="","—",INDEX(IlumaCalc!$T$3:$T$122,$T18)),"")</f>
        <v/>
      </c>
      <c r="C18" s="15">
        <f>IF(AND(ISNUMBER($T18),$T18&lt;&gt;""),IF(INDEX(IlumaCalc!$U$3:$U$122,$T18)="","—",INDEX(IlumaCalc!$U$3:$U$122,$T18)),"")</f>
        <v/>
      </c>
      <c r="D18" s="15">
        <f>IF(AND(ISNUMBER($T18),$T18&lt;&gt;""),IF(INDEX(IlumaCalc!$V$3:$V$122,$T18)="","—",INDEX(IlumaCalc!$V$3:$V$122,$T18)),"")</f>
        <v/>
      </c>
      <c r="E18" s="15">
        <f>IF(AND(ISNUMBER($T18),$T18&lt;&gt;""),IF(INDEX(IlumaCalc!$W$3:$W$122,$T18)="","—",INDEX(IlumaCalc!$W$3:$W$122,$T18)),"")</f>
        <v/>
      </c>
      <c r="F18" s="15">
        <f>IF(AND(ISNUMBER($T18),$T18&lt;&gt;""),IF(INDEX(IlumaCalc!$X$3:$X$122,$T18)="","—",INDEX(IlumaCalc!$X$3:$X$122,$T18)),"")</f>
        <v/>
      </c>
      <c r="G18" s="15">
        <f>IF(AND(ISNUMBER($T18),$T18&lt;&gt;""),IF(INDEX(IlumaCalc!$Y$3:$Y$122,$T18)="","—",INDEX(IlumaCalc!$Y$3:$Y$122,$T18)),"")</f>
        <v/>
      </c>
      <c r="H18" s="15">
        <f>IF(AND(ISNUMBER($T18),$T18&lt;&gt;""),IF(INDEX(IlumaCalc!$Z$3:$Z$122,$T18)="","—",INDEX(IlumaCalc!$Z$3:$Z$122,$T18)),"")</f>
        <v/>
      </c>
      <c r="I18" s="15">
        <f>IF(AND(ISNUMBER($T18),$T18&lt;&gt;""),IF(INDEX(IlumaCalc!$AA$3:$AA$122,$T18)="","—",INDEX(IlumaCalc!$AA$3:$AA$122,$T18)),"")</f>
        <v/>
      </c>
      <c r="J18" s="15">
        <f>IF(AND(ISNUMBER($T18),$T18&lt;&gt;""),IF(INDEX(IlumaCalc!$AB$3:$AB$122,$T18)="","—",INDEX(IlumaCalc!$AB$3:$AB$122,$T18)),"")</f>
        <v/>
      </c>
      <c r="K18" s="15">
        <f>IF(AND(ISNUMBER($T18),$T18&lt;&gt;""),IF(INDEX(IlumaCalc!$AC$3:$AC$122,$T18)="","—",INDEX(IlumaCalc!$AC$3:$AC$122,$T18)),"")</f>
        <v/>
      </c>
      <c r="L18" s="15">
        <f>IF(AND(ISNUMBER($T18),$T18&lt;&gt;""),IF(INDEX(IlumaCalc!$AD$3:$AD$122,$T18)="","—",INDEX(IlumaCalc!$AD$3:$AD$122,$T18)),"")</f>
        <v/>
      </c>
      <c r="M18" s="15">
        <f>IF(AND(ISNUMBER($T18),$T18&lt;&gt;""),IF(INDEX(IlumaCalc!$AE$3:$AE$122,$T18)="","—",INDEX(IlumaCalc!$AE$3:$AE$122,$T18)),"")</f>
        <v/>
      </c>
      <c r="N18" s="15">
        <f>IF(AND(ISNUMBER($T18),$T18&lt;&gt;""),IF(INDEX(IlumaCalc!$AF$3:$AF$122,$T18)="","—",INDEX(IlumaCalc!$AF$3:$AF$122,$T18)),"")</f>
        <v/>
      </c>
      <c r="O18" s="15">
        <f>IF(AND(ISNUMBER($T18),$T18&lt;&gt;""),IF(INDEX(IlumaCalc!$AG$3:$AG$122,$T18)="","—",INDEX(IlumaCalc!$AG$3:$AG$122,$T18)),"")</f>
        <v/>
      </c>
      <c r="P18" s="16">
        <f>IF(AND(ISNUMBER($T18),$T18&lt;&gt;""),IF(INDEX(IlumaCalc!$AJ$3:$AJ$122,$T18)="","—",INDEX(IlumaCalc!$AJ$3:$AJ$122,$T18)),"")</f>
        <v/>
      </c>
      <c r="Q18" s="16">
        <f>IF(AND(ISNUMBER($T18),$T18&lt;&gt;""),IF(INDEX(IlumaCalc!$AK$3:$AK$122,$T18)="","—",INDEX(IlumaCalc!$AK$3:$AK$122,$T18)),"")</f>
        <v/>
      </c>
      <c r="R18" s="15">
        <f>IF(AND(ISNUMBER($T18),$T18&lt;&gt;""),IF(INDEX(IlumaCalc!$AL$3:$AL$122,$T18)="","—",INDEX(IlumaCalc!$AL$3:$AL$122,$T18)),"")</f>
        <v/>
      </c>
      <c r="T18">
        <f>IFERROR(MATCH(14,IlumaCalc!$AN$3:$AN$122,0),"")</f>
        <v/>
      </c>
    </row>
    <row r="19">
      <c r="A19" s="19">
        <f>IF(AND(ISNUMBER($T19),$T19&lt;&gt;""),INDEX(IlumaCalc!$S$3:$S$122,$T19),"")</f>
        <v/>
      </c>
      <c r="B19" s="20">
        <f>IF(AND(ISNUMBER($T19),$T19&lt;&gt;""),IF(INDEX(IlumaCalc!$T$3:$T$122,$T19)="","—",INDEX(IlumaCalc!$T$3:$T$122,$T19)),"")</f>
        <v/>
      </c>
      <c r="C19" s="20">
        <f>IF(AND(ISNUMBER($T19),$T19&lt;&gt;""),IF(INDEX(IlumaCalc!$U$3:$U$122,$T19)="","—",INDEX(IlumaCalc!$U$3:$U$122,$T19)),"")</f>
        <v/>
      </c>
      <c r="D19" s="20">
        <f>IF(AND(ISNUMBER($T19),$T19&lt;&gt;""),IF(INDEX(IlumaCalc!$V$3:$V$122,$T19)="","—",INDEX(IlumaCalc!$V$3:$V$122,$T19)),"")</f>
        <v/>
      </c>
      <c r="E19" s="20">
        <f>IF(AND(ISNUMBER($T19),$T19&lt;&gt;""),IF(INDEX(IlumaCalc!$W$3:$W$122,$T19)="","—",INDEX(IlumaCalc!$W$3:$W$122,$T19)),"")</f>
        <v/>
      </c>
      <c r="F19" s="20">
        <f>IF(AND(ISNUMBER($T19),$T19&lt;&gt;""),IF(INDEX(IlumaCalc!$X$3:$X$122,$T19)="","—",INDEX(IlumaCalc!$X$3:$X$122,$T19)),"")</f>
        <v/>
      </c>
      <c r="G19" s="20">
        <f>IF(AND(ISNUMBER($T19),$T19&lt;&gt;""),IF(INDEX(IlumaCalc!$Y$3:$Y$122,$T19)="","—",INDEX(IlumaCalc!$Y$3:$Y$122,$T19)),"")</f>
        <v/>
      </c>
      <c r="H19" s="20">
        <f>IF(AND(ISNUMBER($T19),$T19&lt;&gt;""),IF(INDEX(IlumaCalc!$Z$3:$Z$122,$T19)="","—",INDEX(IlumaCalc!$Z$3:$Z$122,$T19)),"")</f>
        <v/>
      </c>
      <c r="I19" s="20">
        <f>IF(AND(ISNUMBER($T19),$T19&lt;&gt;""),IF(INDEX(IlumaCalc!$AA$3:$AA$122,$T19)="","—",INDEX(IlumaCalc!$AA$3:$AA$122,$T19)),"")</f>
        <v/>
      </c>
      <c r="J19" s="20">
        <f>IF(AND(ISNUMBER($T19),$T19&lt;&gt;""),IF(INDEX(IlumaCalc!$AB$3:$AB$122,$T19)="","—",INDEX(IlumaCalc!$AB$3:$AB$122,$T19)),"")</f>
        <v/>
      </c>
      <c r="K19" s="20">
        <f>IF(AND(ISNUMBER($T19),$T19&lt;&gt;""),IF(INDEX(IlumaCalc!$AC$3:$AC$122,$T19)="","—",INDEX(IlumaCalc!$AC$3:$AC$122,$T19)),"")</f>
        <v/>
      </c>
      <c r="L19" s="20">
        <f>IF(AND(ISNUMBER($T19),$T19&lt;&gt;""),IF(INDEX(IlumaCalc!$AD$3:$AD$122,$T19)="","—",INDEX(IlumaCalc!$AD$3:$AD$122,$T19)),"")</f>
        <v/>
      </c>
      <c r="M19" s="20">
        <f>IF(AND(ISNUMBER($T19),$T19&lt;&gt;""),IF(INDEX(IlumaCalc!$AE$3:$AE$122,$T19)="","—",INDEX(IlumaCalc!$AE$3:$AE$122,$T19)),"")</f>
        <v/>
      </c>
      <c r="N19" s="20">
        <f>IF(AND(ISNUMBER($T19),$T19&lt;&gt;""),IF(INDEX(IlumaCalc!$AF$3:$AF$122,$T19)="","—",INDEX(IlumaCalc!$AF$3:$AF$122,$T19)),"")</f>
        <v/>
      </c>
      <c r="O19" s="20">
        <f>IF(AND(ISNUMBER($T19),$T19&lt;&gt;""),IF(INDEX(IlumaCalc!$AG$3:$AG$122,$T19)="","—",INDEX(IlumaCalc!$AG$3:$AG$122,$T19)),"")</f>
        <v/>
      </c>
      <c r="P19" s="21">
        <f>IF(AND(ISNUMBER($T19),$T19&lt;&gt;""),IF(INDEX(IlumaCalc!$AJ$3:$AJ$122,$T19)="","—",INDEX(IlumaCalc!$AJ$3:$AJ$122,$T19)),"")</f>
        <v/>
      </c>
      <c r="Q19" s="21">
        <f>IF(AND(ISNUMBER($T19),$T19&lt;&gt;""),IF(INDEX(IlumaCalc!$AK$3:$AK$122,$T19)="","—",INDEX(IlumaCalc!$AK$3:$AK$122,$T19)),"")</f>
        <v/>
      </c>
      <c r="R19" s="20">
        <f>IF(AND(ISNUMBER($T19),$T19&lt;&gt;""),IF(INDEX(IlumaCalc!$AL$3:$AL$122,$T19)="","—",INDEX(IlumaCalc!$AL$3:$AL$122,$T19)),"")</f>
        <v/>
      </c>
      <c r="T19">
        <f>IFERROR(MATCH(15,IlumaCalc!$AN$3:$AN$122,0),"")</f>
        <v/>
      </c>
    </row>
    <row r="20">
      <c r="A20" s="14">
        <f>IF(AND(ISNUMBER($T20),$T20&lt;&gt;""),INDEX(IlumaCalc!$S$3:$S$122,$T20),"")</f>
        <v/>
      </c>
      <c r="B20" s="15">
        <f>IF(AND(ISNUMBER($T20),$T20&lt;&gt;""),IF(INDEX(IlumaCalc!$T$3:$T$122,$T20)="","—",INDEX(IlumaCalc!$T$3:$T$122,$T20)),"")</f>
        <v/>
      </c>
      <c r="C20" s="15">
        <f>IF(AND(ISNUMBER($T20),$T20&lt;&gt;""),IF(INDEX(IlumaCalc!$U$3:$U$122,$T20)="","—",INDEX(IlumaCalc!$U$3:$U$122,$T20)),"")</f>
        <v/>
      </c>
      <c r="D20" s="15">
        <f>IF(AND(ISNUMBER($T20),$T20&lt;&gt;""),IF(INDEX(IlumaCalc!$V$3:$V$122,$T20)="","—",INDEX(IlumaCalc!$V$3:$V$122,$T20)),"")</f>
        <v/>
      </c>
      <c r="E20" s="15">
        <f>IF(AND(ISNUMBER($T20),$T20&lt;&gt;""),IF(INDEX(IlumaCalc!$W$3:$W$122,$T20)="","—",INDEX(IlumaCalc!$W$3:$W$122,$T20)),"")</f>
        <v/>
      </c>
      <c r="F20" s="15">
        <f>IF(AND(ISNUMBER($T20),$T20&lt;&gt;""),IF(INDEX(IlumaCalc!$X$3:$X$122,$T20)="","—",INDEX(IlumaCalc!$X$3:$X$122,$T20)),"")</f>
        <v/>
      </c>
      <c r="G20" s="15">
        <f>IF(AND(ISNUMBER($T20),$T20&lt;&gt;""),IF(INDEX(IlumaCalc!$Y$3:$Y$122,$T20)="","—",INDEX(IlumaCalc!$Y$3:$Y$122,$T20)),"")</f>
        <v/>
      </c>
      <c r="H20" s="15">
        <f>IF(AND(ISNUMBER($T20),$T20&lt;&gt;""),IF(INDEX(IlumaCalc!$Z$3:$Z$122,$T20)="","—",INDEX(IlumaCalc!$Z$3:$Z$122,$T20)),"")</f>
        <v/>
      </c>
      <c r="I20" s="15">
        <f>IF(AND(ISNUMBER($T20),$T20&lt;&gt;""),IF(INDEX(IlumaCalc!$AA$3:$AA$122,$T20)="","—",INDEX(IlumaCalc!$AA$3:$AA$122,$T20)),"")</f>
        <v/>
      </c>
      <c r="J20" s="15">
        <f>IF(AND(ISNUMBER($T20),$T20&lt;&gt;""),IF(INDEX(IlumaCalc!$AB$3:$AB$122,$T20)="","—",INDEX(IlumaCalc!$AB$3:$AB$122,$T20)),"")</f>
        <v/>
      </c>
      <c r="K20" s="15">
        <f>IF(AND(ISNUMBER($T20),$T20&lt;&gt;""),IF(INDEX(IlumaCalc!$AC$3:$AC$122,$T20)="","—",INDEX(IlumaCalc!$AC$3:$AC$122,$T20)),"")</f>
        <v/>
      </c>
      <c r="L20" s="15">
        <f>IF(AND(ISNUMBER($T20),$T20&lt;&gt;""),IF(INDEX(IlumaCalc!$AD$3:$AD$122,$T20)="","—",INDEX(IlumaCalc!$AD$3:$AD$122,$T20)),"")</f>
        <v/>
      </c>
      <c r="M20" s="15">
        <f>IF(AND(ISNUMBER($T20),$T20&lt;&gt;""),IF(INDEX(IlumaCalc!$AE$3:$AE$122,$T20)="","—",INDEX(IlumaCalc!$AE$3:$AE$122,$T20)),"")</f>
        <v/>
      </c>
      <c r="N20" s="15">
        <f>IF(AND(ISNUMBER($T20),$T20&lt;&gt;""),IF(INDEX(IlumaCalc!$AF$3:$AF$122,$T20)="","—",INDEX(IlumaCalc!$AF$3:$AF$122,$T20)),"")</f>
        <v/>
      </c>
      <c r="O20" s="15">
        <f>IF(AND(ISNUMBER($T20),$T20&lt;&gt;""),IF(INDEX(IlumaCalc!$AG$3:$AG$122,$T20)="","—",INDEX(IlumaCalc!$AG$3:$AG$122,$T20)),"")</f>
        <v/>
      </c>
      <c r="P20" s="16">
        <f>IF(AND(ISNUMBER($T20),$T20&lt;&gt;""),IF(INDEX(IlumaCalc!$AJ$3:$AJ$122,$T20)="","—",INDEX(IlumaCalc!$AJ$3:$AJ$122,$T20)),"")</f>
        <v/>
      </c>
      <c r="Q20" s="16">
        <f>IF(AND(ISNUMBER($T20),$T20&lt;&gt;""),IF(INDEX(IlumaCalc!$AK$3:$AK$122,$T20)="","—",INDEX(IlumaCalc!$AK$3:$AK$122,$T20)),"")</f>
        <v/>
      </c>
      <c r="R20" s="15">
        <f>IF(AND(ISNUMBER($T20),$T20&lt;&gt;""),IF(INDEX(IlumaCalc!$AL$3:$AL$122,$T20)="","—",INDEX(IlumaCalc!$AL$3:$AL$122,$T20)),"")</f>
        <v/>
      </c>
      <c r="T20">
        <f>IFERROR(MATCH(16,IlumaCalc!$AN$3:$AN$122,0),"")</f>
        <v/>
      </c>
    </row>
    <row r="21">
      <c r="A21" s="19">
        <f>IF(AND(ISNUMBER($T21),$T21&lt;&gt;""),INDEX(IlumaCalc!$S$3:$S$122,$T21),"")</f>
        <v/>
      </c>
      <c r="B21" s="20">
        <f>IF(AND(ISNUMBER($T21),$T21&lt;&gt;""),IF(INDEX(IlumaCalc!$T$3:$T$122,$T21)="","—",INDEX(IlumaCalc!$T$3:$T$122,$T21)),"")</f>
        <v/>
      </c>
      <c r="C21" s="20">
        <f>IF(AND(ISNUMBER($T21),$T21&lt;&gt;""),IF(INDEX(IlumaCalc!$U$3:$U$122,$T21)="","—",INDEX(IlumaCalc!$U$3:$U$122,$T21)),"")</f>
        <v/>
      </c>
      <c r="D21" s="20">
        <f>IF(AND(ISNUMBER($T21),$T21&lt;&gt;""),IF(INDEX(IlumaCalc!$V$3:$V$122,$T21)="","—",INDEX(IlumaCalc!$V$3:$V$122,$T21)),"")</f>
        <v/>
      </c>
      <c r="E21" s="20">
        <f>IF(AND(ISNUMBER($T21),$T21&lt;&gt;""),IF(INDEX(IlumaCalc!$W$3:$W$122,$T21)="","—",INDEX(IlumaCalc!$W$3:$W$122,$T21)),"")</f>
        <v/>
      </c>
      <c r="F21" s="20">
        <f>IF(AND(ISNUMBER($T21),$T21&lt;&gt;""),IF(INDEX(IlumaCalc!$X$3:$X$122,$T21)="","—",INDEX(IlumaCalc!$X$3:$X$122,$T21)),"")</f>
        <v/>
      </c>
      <c r="G21" s="20">
        <f>IF(AND(ISNUMBER($T21),$T21&lt;&gt;""),IF(INDEX(IlumaCalc!$Y$3:$Y$122,$T21)="","—",INDEX(IlumaCalc!$Y$3:$Y$122,$T21)),"")</f>
        <v/>
      </c>
      <c r="H21" s="20">
        <f>IF(AND(ISNUMBER($T21),$T21&lt;&gt;""),IF(INDEX(IlumaCalc!$Z$3:$Z$122,$T21)="","—",INDEX(IlumaCalc!$Z$3:$Z$122,$T21)),"")</f>
        <v/>
      </c>
      <c r="I21" s="20">
        <f>IF(AND(ISNUMBER($T21),$T21&lt;&gt;""),IF(INDEX(IlumaCalc!$AA$3:$AA$122,$T21)="","—",INDEX(IlumaCalc!$AA$3:$AA$122,$T21)),"")</f>
        <v/>
      </c>
      <c r="J21" s="20">
        <f>IF(AND(ISNUMBER($T21),$T21&lt;&gt;""),IF(INDEX(IlumaCalc!$AB$3:$AB$122,$T21)="","—",INDEX(IlumaCalc!$AB$3:$AB$122,$T21)),"")</f>
        <v/>
      </c>
      <c r="K21" s="20">
        <f>IF(AND(ISNUMBER($T21),$T21&lt;&gt;""),IF(INDEX(IlumaCalc!$AC$3:$AC$122,$T21)="","—",INDEX(IlumaCalc!$AC$3:$AC$122,$T21)),"")</f>
        <v/>
      </c>
      <c r="L21" s="20">
        <f>IF(AND(ISNUMBER($T21),$T21&lt;&gt;""),IF(INDEX(IlumaCalc!$AD$3:$AD$122,$T21)="","—",INDEX(IlumaCalc!$AD$3:$AD$122,$T21)),"")</f>
        <v/>
      </c>
      <c r="M21" s="20">
        <f>IF(AND(ISNUMBER($T21),$T21&lt;&gt;""),IF(INDEX(IlumaCalc!$AE$3:$AE$122,$T21)="","—",INDEX(IlumaCalc!$AE$3:$AE$122,$T21)),"")</f>
        <v/>
      </c>
      <c r="N21" s="20">
        <f>IF(AND(ISNUMBER($T21),$T21&lt;&gt;""),IF(INDEX(IlumaCalc!$AF$3:$AF$122,$T21)="","—",INDEX(IlumaCalc!$AF$3:$AF$122,$T21)),"")</f>
        <v/>
      </c>
      <c r="O21" s="20">
        <f>IF(AND(ISNUMBER($T21),$T21&lt;&gt;""),IF(INDEX(IlumaCalc!$AG$3:$AG$122,$T21)="","—",INDEX(IlumaCalc!$AG$3:$AG$122,$T21)),"")</f>
        <v/>
      </c>
      <c r="P21" s="21">
        <f>IF(AND(ISNUMBER($T21),$T21&lt;&gt;""),IF(INDEX(IlumaCalc!$AJ$3:$AJ$122,$T21)="","—",INDEX(IlumaCalc!$AJ$3:$AJ$122,$T21)),"")</f>
        <v/>
      </c>
      <c r="Q21" s="21">
        <f>IF(AND(ISNUMBER($T21),$T21&lt;&gt;""),IF(INDEX(IlumaCalc!$AK$3:$AK$122,$T21)="","—",INDEX(IlumaCalc!$AK$3:$AK$122,$T21)),"")</f>
        <v/>
      </c>
      <c r="R21" s="20">
        <f>IF(AND(ISNUMBER($T21),$T21&lt;&gt;""),IF(INDEX(IlumaCalc!$AL$3:$AL$122,$T21)="","—",INDEX(IlumaCalc!$AL$3:$AL$122,$T21)),"")</f>
        <v/>
      </c>
      <c r="T21">
        <f>IFERROR(MATCH(17,IlumaCalc!$AN$3:$AN$122,0),"")</f>
        <v/>
      </c>
    </row>
    <row r="22">
      <c r="A22" s="14">
        <f>IF(AND(ISNUMBER($T22),$T22&lt;&gt;""),INDEX(IlumaCalc!$S$3:$S$122,$T22),"")</f>
        <v/>
      </c>
      <c r="B22" s="15">
        <f>IF(AND(ISNUMBER($T22),$T22&lt;&gt;""),IF(INDEX(IlumaCalc!$T$3:$T$122,$T22)="","—",INDEX(IlumaCalc!$T$3:$T$122,$T22)),"")</f>
        <v/>
      </c>
      <c r="C22" s="15">
        <f>IF(AND(ISNUMBER($T22),$T22&lt;&gt;""),IF(INDEX(IlumaCalc!$U$3:$U$122,$T22)="","—",INDEX(IlumaCalc!$U$3:$U$122,$T22)),"")</f>
        <v/>
      </c>
      <c r="D22" s="15">
        <f>IF(AND(ISNUMBER($T22),$T22&lt;&gt;""),IF(INDEX(IlumaCalc!$V$3:$V$122,$T22)="","—",INDEX(IlumaCalc!$V$3:$V$122,$T22)),"")</f>
        <v/>
      </c>
      <c r="E22" s="15">
        <f>IF(AND(ISNUMBER($T22),$T22&lt;&gt;""),IF(INDEX(IlumaCalc!$W$3:$W$122,$T22)="","—",INDEX(IlumaCalc!$W$3:$W$122,$T22)),"")</f>
        <v/>
      </c>
      <c r="F22" s="15">
        <f>IF(AND(ISNUMBER($T22),$T22&lt;&gt;""),IF(INDEX(IlumaCalc!$X$3:$X$122,$T22)="","—",INDEX(IlumaCalc!$X$3:$X$122,$T22)),"")</f>
        <v/>
      </c>
      <c r="G22" s="15">
        <f>IF(AND(ISNUMBER($T22),$T22&lt;&gt;""),IF(INDEX(IlumaCalc!$Y$3:$Y$122,$T22)="","—",INDEX(IlumaCalc!$Y$3:$Y$122,$T22)),"")</f>
        <v/>
      </c>
      <c r="H22" s="15">
        <f>IF(AND(ISNUMBER($T22),$T22&lt;&gt;""),IF(INDEX(IlumaCalc!$Z$3:$Z$122,$T22)="","—",INDEX(IlumaCalc!$Z$3:$Z$122,$T22)),"")</f>
        <v/>
      </c>
      <c r="I22" s="15">
        <f>IF(AND(ISNUMBER($T22),$T22&lt;&gt;""),IF(INDEX(IlumaCalc!$AA$3:$AA$122,$T22)="","—",INDEX(IlumaCalc!$AA$3:$AA$122,$T22)),"")</f>
        <v/>
      </c>
      <c r="J22" s="15">
        <f>IF(AND(ISNUMBER($T22),$T22&lt;&gt;""),IF(INDEX(IlumaCalc!$AB$3:$AB$122,$T22)="","—",INDEX(IlumaCalc!$AB$3:$AB$122,$T22)),"")</f>
        <v/>
      </c>
      <c r="K22" s="15">
        <f>IF(AND(ISNUMBER($T22),$T22&lt;&gt;""),IF(INDEX(IlumaCalc!$AC$3:$AC$122,$T22)="","—",INDEX(IlumaCalc!$AC$3:$AC$122,$T22)),"")</f>
        <v/>
      </c>
      <c r="L22" s="15">
        <f>IF(AND(ISNUMBER($T22),$T22&lt;&gt;""),IF(INDEX(IlumaCalc!$AD$3:$AD$122,$T22)="","—",INDEX(IlumaCalc!$AD$3:$AD$122,$T22)),"")</f>
        <v/>
      </c>
      <c r="M22" s="15">
        <f>IF(AND(ISNUMBER($T22),$T22&lt;&gt;""),IF(INDEX(IlumaCalc!$AE$3:$AE$122,$T22)="","—",INDEX(IlumaCalc!$AE$3:$AE$122,$T22)),"")</f>
        <v/>
      </c>
      <c r="N22" s="15">
        <f>IF(AND(ISNUMBER($T22),$T22&lt;&gt;""),IF(INDEX(IlumaCalc!$AF$3:$AF$122,$T22)="","—",INDEX(IlumaCalc!$AF$3:$AF$122,$T22)),"")</f>
        <v/>
      </c>
      <c r="O22" s="15">
        <f>IF(AND(ISNUMBER($T22),$T22&lt;&gt;""),IF(INDEX(IlumaCalc!$AG$3:$AG$122,$T22)="","—",INDEX(IlumaCalc!$AG$3:$AG$122,$T22)),"")</f>
        <v/>
      </c>
      <c r="P22" s="16">
        <f>IF(AND(ISNUMBER($T22),$T22&lt;&gt;""),IF(INDEX(IlumaCalc!$AJ$3:$AJ$122,$T22)="","—",INDEX(IlumaCalc!$AJ$3:$AJ$122,$T22)),"")</f>
        <v/>
      </c>
      <c r="Q22" s="16">
        <f>IF(AND(ISNUMBER($T22),$T22&lt;&gt;""),IF(INDEX(IlumaCalc!$AK$3:$AK$122,$T22)="","—",INDEX(IlumaCalc!$AK$3:$AK$122,$T22)),"")</f>
        <v/>
      </c>
      <c r="R22" s="15">
        <f>IF(AND(ISNUMBER($T22),$T22&lt;&gt;""),IF(INDEX(IlumaCalc!$AL$3:$AL$122,$T22)="","—",INDEX(IlumaCalc!$AL$3:$AL$122,$T22)),"")</f>
        <v/>
      </c>
      <c r="T22">
        <f>IFERROR(MATCH(18,IlumaCalc!$AN$3:$AN$122,0),"")</f>
        <v/>
      </c>
    </row>
    <row r="23">
      <c r="A23" s="19">
        <f>IF(AND(ISNUMBER($T23),$T23&lt;&gt;""),INDEX(IlumaCalc!$S$3:$S$122,$T23),"")</f>
        <v/>
      </c>
      <c r="B23" s="20">
        <f>IF(AND(ISNUMBER($T23),$T23&lt;&gt;""),IF(INDEX(IlumaCalc!$T$3:$T$122,$T23)="","—",INDEX(IlumaCalc!$T$3:$T$122,$T23)),"")</f>
        <v/>
      </c>
      <c r="C23" s="20">
        <f>IF(AND(ISNUMBER($T23),$T23&lt;&gt;""),IF(INDEX(IlumaCalc!$U$3:$U$122,$T23)="","—",INDEX(IlumaCalc!$U$3:$U$122,$T23)),"")</f>
        <v/>
      </c>
      <c r="D23" s="20">
        <f>IF(AND(ISNUMBER($T23),$T23&lt;&gt;""),IF(INDEX(IlumaCalc!$V$3:$V$122,$T23)="","—",INDEX(IlumaCalc!$V$3:$V$122,$T23)),"")</f>
        <v/>
      </c>
      <c r="E23" s="20">
        <f>IF(AND(ISNUMBER($T23),$T23&lt;&gt;""),IF(INDEX(IlumaCalc!$W$3:$W$122,$T23)="","—",INDEX(IlumaCalc!$W$3:$W$122,$T23)),"")</f>
        <v/>
      </c>
      <c r="F23" s="20">
        <f>IF(AND(ISNUMBER($T23),$T23&lt;&gt;""),IF(INDEX(IlumaCalc!$X$3:$X$122,$T23)="","—",INDEX(IlumaCalc!$X$3:$X$122,$T23)),"")</f>
        <v/>
      </c>
      <c r="G23" s="20">
        <f>IF(AND(ISNUMBER($T23),$T23&lt;&gt;""),IF(INDEX(IlumaCalc!$Y$3:$Y$122,$T23)="","—",INDEX(IlumaCalc!$Y$3:$Y$122,$T23)),"")</f>
        <v/>
      </c>
      <c r="H23" s="20">
        <f>IF(AND(ISNUMBER($T23),$T23&lt;&gt;""),IF(INDEX(IlumaCalc!$Z$3:$Z$122,$T23)="","—",INDEX(IlumaCalc!$Z$3:$Z$122,$T23)),"")</f>
        <v/>
      </c>
      <c r="I23" s="20">
        <f>IF(AND(ISNUMBER($T23),$T23&lt;&gt;""),IF(INDEX(IlumaCalc!$AA$3:$AA$122,$T23)="","—",INDEX(IlumaCalc!$AA$3:$AA$122,$T23)),"")</f>
        <v/>
      </c>
      <c r="J23" s="20">
        <f>IF(AND(ISNUMBER($T23),$T23&lt;&gt;""),IF(INDEX(IlumaCalc!$AB$3:$AB$122,$T23)="","—",INDEX(IlumaCalc!$AB$3:$AB$122,$T23)),"")</f>
        <v/>
      </c>
      <c r="K23" s="20">
        <f>IF(AND(ISNUMBER($T23),$T23&lt;&gt;""),IF(INDEX(IlumaCalc!$AC$3:$AC$122,$T23)="","—",INDEX(IlumaCalc!$AC$3:$AC$122,$T23)),"")</f>
        <v/>
      </c>
      <c r="L23" s="20">
        <f>IF(AND(ISNUMBER($T23),$T23&lt;&gt;""),IF(INDEX(IlumaCalc!$AD$3:$AD$122,$T23)="","—",INDEX(IlumaCalc!$AD$3:$AD$122,$T23)),"")</f>
        <v/>
      </c>
      <c r="M23" s="20">
        <f>IF(AND(ISNUMBER($T23),$T23&lt;&gt;""),IF(INDEX(IlumaCalc!$AE$3:$AE$122,$T23)="","—",INDEX(IlumaCalc!$AE$3:$AE$122,$T23)),"")</f>
        <v/>
      </c>
      <c r="N23" s="20">
        <f>IF(AND(ISNUMBER($T23),$T23&lt;&gt;""),IF(INDEX(IlumaCalc!$AF$3:$AF$122,$T23)="","—",INDEX(IlumaCalc!$AF$3:$AF$122,$T23)),"")</f>
        <v/>
      </c>
      <c r="O23" s="20">
        <f>IF(AND(ISNUMBER($T23),$T23&lt;&gt;""),IF(INDEX(IlumaCalc!$AG$3:$AG$122,$T23)="","—",INDEX(IlumaCalc!$AG$3:$AG$122,$T23)),"")</f>
        <v/>
      </c>
      <c r="P23" s="21">
        <f>IF(AND(ISNUMBER($T23),$T23&lt;&gt;""),IF(INDEX(IlumaCalc!$AJ$3:$AJ$122,$T23)="","—",INDEX(IlumaCalc!$AJ$3:$AJ$122,$T23)),"")</f>
        <v/>
      </c>
      <c r="Q23" s="21">
        <f>IF(AND(ISNUMBER($T23),$T23&lt;&gt;""),IF(INDEX(IlumaCalc!$AK$3:$AK$122,$T23)="","—",INDEX(IlumaCalc!$AK$3:$AK$122,$T23)),"")</f>
        <v/>
      </c>
      <c r="R23" s="20">
        <f>IF(AND(ISNUMBER($T23),$T23&lt;&gt;""),IF(INDEX(IlumaCalc!$AL$3:$AL$122,$T23)="","—",INDEX(IlumaCalc!$AL$3:$AL$122,$T23)),"")</f>
        <v/>
      </c>
      <c r="T23">
        <f>IFERROR(MATCH(19,IlumaCalc!$AN$3:$AN$122,0),"")</f>
        <v/>
      </c>
    </row>
    <row r="24">
      <c r="A24" s="14">
        <f>IF(AND(ISNUMBER($T24),$T24&lt;&gt;""),INDEX(IlumaCalc!$S$3:$S$122,$T24),"")</f>
        <v/>
      </c>
      <c r="B24" s="15">
        <f>IF(AND(ISNUMBER($T24),$T24&lt;&gt;""),IF(INDEX(IlumaCalc!$T$3:$T$122,$T24)="","—",INDEX(IlumaCalc!$T$3:$T$122,$T24)),"")</f>
        <v/>
      </c>
      <c r="C24" s="15">
        <f>IF(AND(ISNUMBER($T24),$T24&lt;&gt;""),IF(INDEX(IlumaCalc!$U$3:$U$122,$T24)="","—",INDEX(IlumaCalc!$U$3:$U$122,$T24)),"")</f>
        <v/>
      </c>
      <c r="D24" s="15">
        <f>IF(AND(ISNUMBER($T24),$T24&lt;&gt;""),IF(INDEX(IlumaCalc!$V$3:$V$122,$T24)="","—",INDEX(IlumaCalc!$V$3:$V$122,$T24)),"")</f>
        <v/>
      </c>
      <c r="E24" s="15">
        <f>IF(AND(ISNUMBER($T24),$T24&lt;&gt;""),IF(INDEX(IlumaCalc!$W$3:$W$122,$T24)="","—",INDEX(IlumaCalc!$W$3:$W$122,$T24)),"")</f>
        <v/>
      </c>
      <c r="F24" s="15">
        <f>IF(AND(ISNUMBER($T24),$T24&lt;&gt;""),IF(INDEX(IlumaCalc!$X$3:$X$122,$T24)="","—",INDEX(IlumaCalc!$X$3:$X$122,$T24)),"")</f>
        <v/>
      </c>
      <c r="G24" s="15">
        <f>IF(AND(ISNUMBER($T24),$T24&lt;&gt;""),IF(INDEX(IlumaCalc!$Y$3:$Y$122,$T24)="","—",INDEX(IlumaCalc!$Y$3:$Y$122,$T24)),"")</f>
        <v/>
      </c>
      <c r="H24" s="15">
        <f>IF(AND(ISNUMBER($T24),$T24&lt;&gt;""),IF(INDEX(IlumaCalc!$Z$3:$Z$122,$T24)="","—",INDEX(IlumaCalc!$Z$3:$Z$122,$T24)),"")</f>
        <v/>
      </c>
      <c r="I24" s="15">
        <f>IF(AND(ISNUMBER($T24),$T24&lt;&gt;""),IF(INDEX(IlumaCalc!$AA$3:$AA$122,$T24)="","—",INDEX(IlumaCalc!$AA$3:$AA$122,$T24)),"")</f>
        <v/>
      </c>
      <c r="J24" s="15">
        <f>IF(AND(ISNUMBER($T24),$T24&lt;&gt;""),IF(INDEX(IlumaCalc!$AB$3:$AB$122,$T24)="","—",INDEX(IlumaCalc!$AB$3:$AB$122,$T24)),"")</f>
        <v/>
      </c>
      <c r="K24" s="15">
        <f>IF(AND(ISNUMBER($T24),$T24&lt;&gt;""),IF(INDEX(IlumaCalc!$AC$3:$AC$122,$T24)="","—",INDEX(IlumaCalc!$AC$3:$AC$122,$T24)),"")</f>
        <v/>
      </c>
      <c r="L24" s="15">
        <f>IF(AND(ISNUMBER($T24),$T24&lt;&gt;""),IF(INDEX(IlumaCalc!$AD$3:$AD$122,$T24)="","—",INDEX(IlumaCalc!$AD$3:$AD$122,$T24)),"")</f>
        <v/>
      </c>
      <c r="M24" s="15">
        <f>IF(AND(ISNUMBER($T24),$T24&lt;&gt;""),IF(INDEX(IlumaCalc!$AE$3:$AE$122,$T24)="","—",INDEX(IlumaCalc!$AE$3:$AE$122,$T24)),"")</f>
        <v/>
      </c>
      <c r="N24" s="15">
        <f>IF(AND(ISNUMBER($T24),$T24&lt;&gt;""),IF(INDEX(IlumaCalc!$AF$3:$AF$122,$T24)="","—",INDEX(IlumaCalc!$AF$3:$AF$122,$T24)),"")</f>
        <v/>
      </c>
      <c r="O24" s="15">
        <f>IF(AND(ISNUMBER($T24),$T24&lt;&gt;""),IF(INDEX(IlumaCalc!$AG$3:$AG$122,$T24)="","—",INDEX(IlumaCalc!$AG$3:$AG$122,$T24)),"")</f>
        <v/>
      </c>
      <c r="P24" s="16">
        <f>IF(AND(ISNUMBER($T24),$T24&lt;&gt;""),IF(INDEX(IlumaCalc!$AJ$3:$AJ$122,$T24)="","—",INDEX(IlumaCalc!$AJ$3:$AJ$122,$T24)),"")</f>
        <v/>
      </c>
      <c r="Q24" s="16">
        <f>IF(AND(ISNUMBER($T24),$T24&lt;&gt;""),IF(INDEX(IlumaCalc!$AK$3:$AK$122,$T24)="","—",INDEX(IlumaCalc!$AK$3:$AK$122,$T24)),"")</f>
        <v/>
      </c>
      <c r="R24" s="15">
        <f>IF(AND(ISNUMBER($T24),$T24&lt;&gt;""),IF(INDEX(IlumaCalc!$AL$3:$AL$122,$T24)="","—",INDEX(IlumaCalc!$AL$3:$AL$122,$T24)),"")</f>
        <v/>
      </c>
      <c r="T24">
        <f>IFERROR(MATCH(20,IlumaCalc!$AN$3:$AN$122,0),"")</f>
        <v/>
      </c>
    </row>
    <row r="25">
      <c r="A25" s="19">
        <f>IF(AND(ISNUMBER($T25),$T25&lt;&gt;""),INDEX(IlumaCalc!$S$3:$S$122,$T25),"")</f>
        <v/>
      </c>
      <c r="B25" s="20">
        <f>IF(AND(ISNUMBER($T25),$T25&lt;&gt;""),IF(INDEX(IlumaCalc!$T$3:$T$122,$T25)="","—",INDEX(IlumaCalc!$T$3:$T$122,$T25)),"")</f>
        <v/>
      </c>
      <c r="C25" s="20">
        <f>IF(AND(ISNUMBER($T25),$T25&lt;&gt;""),IF(INDEX(IlumaCalc!$U$3:$U$122,$T25)="","—",INDEX(IlumaCalc!$U$3:$U$122,$T25)),"")</f>
        <v/>
      </c>
      <c r="D25" s="20">
        <f>IF(AND(ISNUMBER($T25),$T25&lt;&gt;""),IF(INDEX(IlumaCalc!$V$3:$V$122,$T25)="","—",INDEX(IlumaCalc!$V$3:$V$122,$T25)),"")</f>
        <v/>
      </c>
      <c r="E25" s="20">
        <f>IF(AND(ISNUMBER($T25),$T25&lt;&gt;""),IF(INDEX(IlumaCalc!$W$3:$W$122,$T25)="","—",INDEX(IlumaCalc!$W$3:$W$122,$T25)),"")</f>
        <v/>
      </c>
      <c r="F25" s="20">
        <f>IF(AND(ISNUMBER($T25),$T25&lt;&gt;""),IF(INDEX(IlumaCalc!$X$3:$X$122,$T25)="","—",INDEX(IlumaCalc!$X$3:$X$122,$T25)),"")</f>
        <v/>
      </c>
      <c r="G25" s="20">
        <f>IF(AND(ISNUMBER($T25),$T25&lt;&gt;""),IF(INDEX(IlumaCalc!$Y$3:$Y$122,$T25)="","—",INDEX(IlumaCalc!$Y$3:$Y$122,$T25)),"")</f>
        <v/>
      </c>
      <c r="H25" s="20">
        <f>IF(AND(ISNUMBER($T25),$T25&lt;&gt;""),IF(INDEX(IlumaCalc!$Z$3:$Z$122,$T25)="","—",INDEX(IlumaCalc!$Z$3:$Z$122,$T25)),"")</f>
        <v/>
      </c>
      <c r="I25" s="20">
        <f>IF(AND(ISNUMBER($T25),$T25&lt;&gt;""),IF(INDEX(IlumaCalc!$AA$3:$AA$122,$T25)="","—",INDEX(IlumaCalc!$AA$3:$AA$122,$T25)),"")</f>
        <v/>
      </c>
      <c r="J25" s="20">
        <f>IF(AND(ISNUMBER($T25),$T25&lt;&gt;""),IF(INDEX(IlumaCalc!$AB$3:$AB$122,$T25)="","—",INDEX(IlumaCalc!$AB$3:$AB$122,$T25)),"")</f>
        <v/>
      </c>
      <c r="K25" s="20">
        <f>IF(AND(ISNUMBER($T25),$T25&lt;&gt;""),IF(INDEX(IlumaCalc!$AC$3:$AC$122,$T25)="","—",INDEX(IlumaCalc!$AC$3:$AC$122,$T25)),"")</f>
        <v/>
      </c>
      <c r="L25" s="20">
        <f>IF(AND(ISNUMBER($T25),$T25&lt;&gt;""),IF(INDEX(IlumaCalc!$AD$3:$AD$122,$T25)="","—",INDEX(IlumaCalc!$AD$3:$AD$122,$T25)),"")</f>
        <v/>
      </c>
      <c r="M25" s="20">
        <f>IF(AND(ISNUMBER($T25),$T25&lt;&gt;""),IF(INDEX(IlumaCalc!$AE$3:$AE$122,$T25)="","—",INDEX(IlumaCalc!$AE$3:$AE$122,$T25)),"")</f>
        <v/>
      </c>
      <c r="N25" s="20">
        <f>IF(AND(ISNUMBER($T25),$T25&lt;&gt;""),IF(INDEX(IlumaCalc!$AF$3:$AF$122,$T25)="","—",INDEX(IlumaCalc!$AF$3:$AF$122,$T25)),"")</f>
        <v/>
      </c>
      <c r="O25" s="20">
        <f>IF(AND(ISNUMBER($T25),$T25&lt;&gt;""),IF(INDEX(IlumaCalc!$AG$3:$AG$122,$T25)="","—",INDEX(IlumaCalc!$AG$3:$AG$122,$T25)),"")</f>
        <v/>
      </c>
      <c r="P25" s="21">
        <f>IF(AND(ISNUMBER($T25),$T25&lt;&gt;""),IF(INDEX(IlumaCalc!$AJ$3:$AJ$122,$T25)="","—",INDEX(IlumaCalc!$AJ$3:$AJ$122,$T25)),"")</f>
        <v/>
      </c>
      <c r="Q25" s="21">
        <f>IF(AND(ISNUMBER($T25),$T25&lt;&gt;""),IF(INDEX(IlumaCalc!$AK$3:$AK$122,$T25)="","—",INDEX(IlumaCalc!$AK$3:$AK$122,$T25)),"")</f>
        <v/>
      </c>
      <c r="R25" s="20">
        <f>IF(AND(ISNUMBER($T25),$T25&lt;&gt;""),IF(INDEX(IlumaCalc!$AL$3:$AL$122,$T25)="","—",INDEX(IlumaCalc!$AL$3:$AL$122,$T25)),"")</f>
        <v/>
      </c>
      <c r="T25">
        <f>IFERROR(MATCH(21,IlumaCalc!$AN$3:$AN$122,0),"")</f>
        <v/>
      </c>
    </row>
    <row r="26">
      <c r="A26" s="14">
        <f>IF(AND(ISNUMBER($T26),$T26&lt;&gt;""),INDEX(IlumaCalc!$S$3:$S$122,$T26),"")</f>
        <v/>
      </c>
      <c r="B26" s="15">
        <f>IF(AND(ISNUMBER($T26),$T26&lt;&gt;""),IF(INDEX(IlumaCalc!$T$3:$T$122,$T26)="","—",INDEX(IlumaCalc!$T$3:$T$122,$T26)),"")</f>
        <v/>
      </c>
      <c r="C26" s="15">
        <f>IF(AND(ISNUMBER($T26),$T26&lt;&gt;""),IF(INDEX(IlumaCalc!$U$3:$U$122,$T26)="","—",INDEX(IlumaCalc!$U$3:$U$122,$T26)),"")</f>
        <v/>
      </c>
      <c r="D26" s="15">
        <f>IF(AND(ISNUMBER($T26),$T26&lt;&gt;""),IF(INDEX(IlumaCalc!$V$3:$V$122,$T26)="","—",INDEX(IlumaCalc!$V$3:$V$122,$T26)),"")</f>
        <v/>
      </c>
      <c r="E26" s="15">
        <f>IF(AND(ISNUMBER($T26),$T26&lt;&gt;""),IF(INDEX(IlumaCalc!$W$3:$W$122,$T26)="","—",INDEX(IlumaCalc!$W$3:$W$122,$T26)),"")</f>
        <v/>
      </c>
      <c r="F26" s="15">
        <f>IF(AND(ISNUMBER($T26),$T26&lt;&gt;""),IF(INDEX(IlumaCalc!$X$3:$X$122,$T26)="","—",INDEX(IlumaCalc!$X$3:$X$122,$T26)),"")</f>
        <v/>
      </c>
      <c r="G26" s="15">
        <f>IF(AND(ISNUMBER($T26),$T26&lt;&gt;""),IF(INDEX(IlumaCalc!$Y$3:$Y$122,$T26)="","—",INDEX(IlumaCalc!$Y$3:$Y$122,$T26)),"")</f>
        <v/>
      </c>
      <c r="H26" s="15">
        <f>IF(AND(ISNUMBER($T26),$T26&lt;&gt;""),IF(INDEX(IlumaCalc!$Z$3:$Z$122,$T26)="","—",INDEX(IlumaCalc!$Z$3:$Z$122,$T26)),"")</f>
        <v/>
      </c>
      <c r="I26" s="15">
        <f>IF(AND(ISNUMBER($T26),$T26&lt;&gt;""),IF(INDEX(IlumaCalc!$AA$3:$AA$122,$T26)="","—",INDEX(IlumaCalc!$AA$3:$AA$122,$T26)),"")</f>
        <v/>
      </c>
      <c r="J26" s="15">
        <f>IF(AND(ISNUMBER($T26),$T26&lt;&gt;""),IF(INDEX(IlumaCalc!$AB$3:$AB$122,$T26)="","—",INDEX(IlumaCalc!$AB$3:$AB$122,$T26)),"")</f>
        <v/>
      </c>
      <c r="K26" s="15">
        <f>IF(AND(ISNUMBER($T26),$T26&lt;&gt;""),IF(INDEX(IlumaCalc!$AC$3:$AC$122,$T26)="","—",INDEX(IlumaCalc!$AC$3:$AC$122,$T26)),"")</f>
        <v/>
      </c>
      <c r="L26" s="15">
        <f>IF(AND(ISNUMBER($T26),$T26&lt;&gt;""),IF(INDEX(IlumaCalc!$AD$3:$AD$122,$T26)="","—",INDEX(IlumaCalc!$AD$3:$AD$122,$T26)),"")</f>
        <v/>
      </c>
      <c r="M26" s="15">
        <f>IF(AND(ISNUMBER($T26),$T26&lt;&gt;""),IF(INDEX(IlumaCalc!$AE$3:$AE$122,$T26)="","—",INDEX(IlumaCalc!$AE$3:$AE$122,$T26)),"")</f>
        <v/>
      </c>
      <c r="N26" s="15">
        <f>IF(AND(ISNUMBER($T26),$T26&lt;&gt;""),IF(INDEX(IlumaCalc!$AF$3:$AF$122,$T26)="","—",INDEX(IlumaCalc!$AF$3:$AF$122,$T26)),"")</f>
        <v/>
      </c>
      <c r="O26" s="15">
        <f>IF(AND(ISNUMBER($T26),$T26&lt;&gt;""),IF(INDEX(IlumaCalc!$AG$3:$AG$122,$T26)="","—",INDEX(IlumaCalc!$AG$3:$AG$122,$T26)),"")</f>
        <v/>
      </c>
      <c r="P26" s="16">
        <f>IF(AND(ISNUMBER($T26),$T26&lt;&gt;""),IF(INDEX(IlumaCalc!$AJ$3:$AJ$122,$T26)="","—",INDEX(IlumaCalc!$AJ$3:$AJ$122,$T26)),"")</f>
        <v/>
      </c>
      <c r="Q26" s="16">
        <f>IF(AND(ISNUMBER($T26),$T26&lt;&gt;""),IF(INDEX(IlumaCalc!$AK$3:$AK$122,$T26)="","—",INDEX(IlumaCalc!$AK$3:$AK$122,$T26)),"")</f>
        <v/>
      </c>
      <c r="R26" s="15">
        <f>IF(AND(ISNUMBER($T26),$T26&lt;&gt;""),IF(INDEX(IlumaCalc!$AL$3:$AL$122,$T26)="","—",INDEX(IlumaCalc!$AL$3:$AL$122,$T26)),"")</f>
        <v/>
      </c>
      <c r="T26">
        <f>IFERROR(MATCH(22,IlumaCalc!$AN$3:$AN$122,0),"")</f>
        <v/>
      </c>
    </row>
    <row r="27">
      <c r="A27" s="19">
        <f>IF(AND(ISNUMBER($T27),$T27&lt;&gt;""),INDEX(IlumaCalc!$S$3:$S$122,$T27),"")</f>
        <v/>
      </c>
      <c r="B27" s="20">
        <f>IF(AND(ISNUMBER($T27),$T27&lt;&gt;""),IF(INDEX(IlumaCalc!$T$3:$T$122,$T27)="","—",INDEX(IlumaCalc!$T$3:$T$122,$T27)),"")</f>
        <v/>
      </c>
      <c r="C27" s="20">
        <f>IF(AND(ISNUMBER($T27),$T27&lt;&gt;""),IF(INDEX(IlumaCalc!$U$3:$U$122,$T27)="","—",INDEX(IlumaCalc!$U$3:$U$122,$T27)),"")</f>
        <v/>
      </c>
      <c r="D27" s="20">
        <f>IF(AND(ISNUMBER($T27),$T27&lt;&gt;""),IF(INDEX(IlumaCalc!$V$3:$V$122,$T27)="","—",INDEX(IlumaCalc!$V$3:$V$122,$T27)),"")</f>
        <v/>
      </c>
      <c r="E27" s="20">
        <f>IF(AND(ISNUMBER($T27),$T27&lt;&gt;""),IF(INDEX(IlumaCalc!$W$3:$W$122,$T27)="","—",INDEX(IlumaCalc!$W$3:$W$122,$T27)),"")</f>
        <v/>
      </c>
      <c r="F27" s="20">
        <f>IF(AND(ISNUMBER($T27),$T27&lt;&gt;""),IF(INDEX(IlumaCalc!$X$3:$X$122,$T27)="","—",INDEX(IlumaCalc!$X$3:$X$122,$T27)),"")</f>
        <v/>
      </c>
      <c r="G27" s="20">
        <f>IF(AND(ISNUMBER($T27),$T27&lt;&gt;""),IF(INDEX(IlumaCalc!$Y$3:$Y$122,$T27)="","—",INDEX(IlumaCalc!$Y$3:$Y$122,$T27)),"")</f>
        <v/>
      </c>
      <c r="H27" s="20">
        <f>IF(AND(ISNUMBER($T27),$T27&lt;&gt;""),IF(INDEX(IlumaCalc!$Z$3:$Z$122,$T27)="","—",INDEX(IlumaCalc!$Z$3:$Z$122,$T27)),"")</f>
        <v/>
      </c>
      <c r="I27" s="20">
        <f>IF(AND(ISNUMBER($T27),$T27&lt;&gt;""),IF(INDEX(IlumaCalc!$AA$3:$AA$122,$T27)="","—",INDEX(IlumaCalc!$AA$3:$AA$122,$T27)),"")</f>
        <v/>
      </c>
      <c r="J27" s="20">
        <f>IF(AND(ISNUMBER($T27),$T27&lt;&gt;""),IF(INDEX(IlumaCalc!$AB$3:$AB$122,$T27)="","—",INDEX(IlumaCalc!$AB$3:$AB$122,$T27)),"")</f>
        <v/>
      </c>
      <c r="K27" s="20">
        <f>IF(AND(ISNUMBER($T27),$T27&lt;&gt;""),IF(INDEX(IlumaCalc!$AC$3:$AC$122,$T27)="","—",INDEX(IlumaCalc!$AC$3:$AC$122,$T27)),"")</f>
        <v/>
      </c>
      <c r="L27" s="20">
        <f>IF(AND(ISNUMBER($T27),$T27&lt;&gt;""),IF(INDEX(IlumaCalc!$AD$3:$AD$122,$T27)="","—",INDEX(IlumaCalc!$AD$3:$AD$122,$T27)),"")</f>
        <v/>
      </c>
      <c r="M27" s="20">
        <f>IF(AND(ISNUMBER($T27),$T27&lt;&gt;""),IF(INDEX(IlumaCalc!$AE$3:$AE$122,$T27)="","—",INDEX(IlumaCalc!$AE$3:$AE$122,$T27)),"")</f>
        <v/>
      </c>
      <c r="N27" s="20">
        <f>IF(AND(ISNUMBER($T27),$T27&lt;&gt;""),IF(INDEX(IlumaCalc!$AF$3:$AF$122,$T27)="","—",INDEX(IlumaCalc!$AF$3:$AF$122,$T27)),"")</f>
        <v/>
      </c>
      <c r="O27" s="20">
        <f>IF(AND(ISNUMBER($T27),$T27&lt;&gt;""),IF(INDEX(IlumaCalc!$AG$3:$AG$122,$T27)="","—",INDEX(IlumaCalc!$AG$3:$AG$122,$T27)),"")</f>
        <v/>
      </c>
      <c r="P27" s="21">
        <f>IF(AND(ISNUMBER($T27),$T27&lt;&gt;""),IF(INDEX(IlumaCalc!$AJ$3:$AJ$122,$T27)="","—",INDEX(IlumaCalc!$AJ$3:$AJ$122,$T27)),"")</f>
        <v/>
      </c>
      <c r="Q27" s="21">
        <f>IF(AND(ISNUMBER($T27),$T27&lt;&gt;""),IF(INDEX(IlumaCalc!$AK$3:$AK$122,$T27)="","—",INDEX(IlumaCalc!$AK$3:$AK$122,$T27)),"")</f>
        <v/>
      </c>
      <c r="R27" s="20">
        <f>IF(AND(ISNUMBER($T27),$T27&lt;&gt;""),IF(INDEX(IlumaCalc!$AL$3:$AL$122,$T27)="","—",INDEX(IlumaCalc!$AL$3:$AL$122,$T27)),"")</f>
        <v/>
      </c>
      <c r="T27">
        <f>IFERROR(MATCH(23,IlumaCalc!$AN$3:$AN$122,0),"")</f>
        <v/>
      </c>
    </row>
    <row r="28">
      <c r="A28" s="14">
        <f>IF(AND(ISNUMBER($T28),$T28&lt;&gt;""),INDEX(IlumaCalc!$S$3:$S$122,$T28),"")</f>
        <v/>
      </c>
      <c r="B28" s="15">
        <f>IF(AND(ISNUMBER($T28),$T28&lt;&gt;""),IF(INDEX(IlumaCalc!$T$3:$T$122,$T28)="","—",INDEX(IlumaCalc!$T$3:$T$122,$T28)),"")</f>
        <v/>
      </c>
      <c r="C28" s="15">
        <f>IF(AND(ISNUMBER($T28),$T28&lt;&gt;""),IF(INDEX(IlumaCalc!$U$3:$U$122,$T28)="","—",INDEX(IlumaCalc!$U$3:$U$122,$T28)),"")</f>
        <v/>
      </c>
      <c r="D28" s="15">
        <f>IF(AND(ISNUMBER($T28),$T28&lt;&gt;""),IF(INDEX(IlumaCalc!$V$3:$V$122,$T28)="","—",INDEX(IlumaCalc!$V$3:$V$122,$T28)),"")</f>
        <v/>
      </c>
      <c r="E28" s="15">
        <f>IF(AND(ISNUMBER($T28),$T28&lt;&gt;""),IF(INDEX(IlumaCalc!$W$3:$W$122,$T28)="","—",INDEX(IlumaCalc!$W$3:$W$122,$T28)),"")</f>
        <v/>
      </c>
      <c r="F28" s="15">
        <f>IF(AND(ISNUMBER($T28),$T28&lt;&gt;""),IF(INDEX(IlumaCalc!$X$3:$X$122,$T28)="","—",INDEX(IlumaCalc!$X$3:$X$122,$T28)),"")</f>
        <v/>
      </c>
      <c r="G28" s="15">
        <f>IF(AND(ISNUMBER($T28),$T28&lt;&gt;""),IF(INDEX(IlumaCalc!$Y$3:$Y$122,$T28)="","—",INDEX(IlumaCalc!$Y$3:$Y$122,$T28)),"")</f>
        <v/>
      </c>
      <c r="H28" s="15">
        <f>IF(AND(ISNUMBER($T28),$T28&lt;&gt;""),IF(INDEX(IlumaCalc!$Z$3:$Z$122,$T28)="","—",INDEX(IlumaCalc!$Z$3:$Z$122,$T28)),"")</f>
        <v/>
      </c>
      <c r="I28" s="15">
        <f>IF(AND(ISNUMBER($T28),$T28&lt;&gt;""),IF(INDEX(IlumaCalc!$AA$3:$AA$122,$T28)="","—",INDEX(IlumaCalc!$AA$3:$AA$122,$T28)),"")</f>
        <v/>
      </c>
      <c r="J28" s="15">
        <f>IF(AND(ISNUMBER($T28),$T28&lt;&gt;""),IF(INDEX(IlumaCalc!$AB$3:$AB$122,$T28)="","—",INDEX(IlumaCalc!$AB$3:$AB$122,$T28)),"")</f>
        <v/>
      </c>
      <c r="K28" s="15">
        <f>IF(AND(ISNUMBER($T28),$T28&lt;&gt;""),IF(INDEX(IlumaCalc!$AC$3:$AC$122,$T28)="","—",INDEX(IlumaCalc!$AC$3:$AC$122,$T28)),"")</f>
        <v/>
      </c>
      <c r="L28" s="15">
        <f>IF(AND(ISNUMBER($T28),$T28&lt;&gt;""),IF(INDEX(IlumaCalc!$AD$3:$AD$122,$T28)="","—",INDEX(IlumaCalc!$AD$3:$AD$122,$T28)),"")</f>
        <v/>
      </c>
      <c r="M28" s="15">
        <f>IF(AND(ISNUMBER($T28),$T28&lt;&gt;""),IF(INDEX(IlumaCalc!$AE$3:$AE$122,$T28)="","—",INDEX(IlumaCalc!$AE$3:$AE$122,$T28)),"")</f>
        <v/>
      </c>
      <c r="N28" s="15">
        <f>IF(AND(ISNUMBER($T28),$T28&lt;&gt;""),IF(INDEX(IlumaCalc!$AF$3:$AF$122,$T28)="","—",INDEX(IlumaCalc!$AF$3:$AF$122,$T28)),"")</f>
        <v/>
      </c>
      <c r="O28" s="15">
        <f>IF(AND(ISNUMBER($T28),$T28&lt;&gt;""),IF(INDEX(IlumaCalc!$AG$3:$AG$122,$T28)="","—",INDEX(IlumaCalc!$AG$3:$AG$122,$T28)),"")</f>
        <v/>
      </c>
      <c r="P28" s="16">
        <f>IF(AND(ISNUMBER($T28),$T28&lt;&gt;""),IF(INDEX(IlumaCalc!$AJ$3:$AJ$122,$T28)="","—",INDEX(IlumaCalc!$AJ$3:$AJ$122,$T28)),"")</f>
        <v/>
      </c>
      <c r="Q28" s="16">
        <f>IF(AND(ISNUMBER($T28),$T28&lt;&gt;""),IF(INDEX(IlumaCalc!$AK$3:$AK$122,$T28)="","—",INDEX(IlumaCalc!$AK$3:$AK$122,$T28)),"")</f>
        <v/>
      </c>
      <c r="R28" s="15">
        <f>IF(AND(ISNUMBER($T28),$T28&lt;&gt;""),IF(INDEX(IlumaCalc!$AL$3:$AL$122,$T28)="","—",INDEX(IlumaCalc!$AL$3:$AL$122,$T28)),"")</f>
        <v/>
      </c>
      <c r="T28">
        <f>IFERROR(MATCH(24,IlumaCalc!$AN$3:$AN$122,0),"")</f>
        <v/>
      </c>
    </row>
    <row r="29">
      <c r="A29" s="19">
        <f>IF(AND(ISNUMBER($T29),$T29&lt;&gt;""),INDEX(IlumaCalc!$S$3:$S$122,$T29),"")</f>
        <v/>
      </c>
      <c r="B29" s="20">
        <f>IF(AND(ISNUMBER($T29),$T29&lt;&gt;""),IF(INDEX(IlumaCalc!$T$3:$T$122,$T29)="","—",INDEX(IlumaCalc!$T$3:$T$122,$T29)),"")</f>
        <v/>
      </c>
      <c r="C29" s="20">
        <f>IF(AND(ISNUMBER($T29),$T29&lt;&gt;""),IF(INDEX(IlumaCalc!$U$3:$U$122,$T29)="","—",INDEX(IlumaCalc!$U$3:$U$122,$T29)),"")</f>
        <v/>
      </c>
      <c r="D29" s="20">
        <f>IF(AND(ISNUMBER($T29),$T29&lt;&gt;""),IF(INDEX(IlumaCalc!$V$3:$V$122,$T29)="","—",INDEX(IlumaCalc!$V$3:$V$122,$T29)),"")</f>
        <v/>
      </c>
      <c r="E29" s="20">
        <f>IF(AND(ISNUMBER($T29),$T29&lt;&gt;""),IF(INDEX(IlumaCalc!$W$3:$W$122,$T29)="","—",INDEX(IlumaCalc!$W$3:$W$122,$T29)),"")</f>
        <v/>
      </c>
      <c r="F29" s="20">
        <f>IF(AND(ISNUMBER($T29),$T29&lt;&gt;""),IF(INDEX(IlumaCalc!$X$3:$X$122,$T29)="","—",INDEX(IlumaCalc!$X$3:$X$122,$T29)),"")</f>
        <v/>
      </c>
      <c r="G29" s="20">
        <f>IF(AND(ISNUMBER($T29),$T29&lt;&gt;""),IF(INDEX(IlumaCalc!$Y$3:$Y$122,$T29)="","—",INDEX(IlumaCalc!$Y$3:$Y$122,$T29)),"")</f>
        <v/>
      </c>
      <c r="H29" s="20">
        <f>IF(AND(ISNUMBER($T29),$T29&lt;&gt;""),IF(INDEX(IlumaCalc!$Z$3:$Z$122,$T29)="","—",INDEX(IlumaCalc!$Z$3:$Z$122,$T29)),"")</f>
        <v/>
      </c>
      <c r="I29" s="20">
        <f>IF(AND(ISNUMBER($T29),$T29&lt;&gt;""),IF(INDEX(IlumaCalc!$AA$3:$AA$122,$T29)="","—",INDEX(IlumaCalc!$AA$3:$AA$122,$T29)),"")</f>
        <v/>
      </c>
      <c r="J29" s="20">
        <f>IF(AND(ISNUMBER($T29),$T29&lt;&gt;""),IF(INDEX(IlumaCalc!$AB$3:$AB$122,$T29)="","—",INDEX(IlumaCalc!$AB$3:$AB$122,$T29)),"")</f>
        <v/>
      </c>
      <c r="K29" s="20">
        <f>IF(AND(ISNUMBER($T29),$T29&lt;&gt;""),IF(INDEX(IlumaCalc!$AC$3:$AC$122,$T29)="","—",INDEX(IlumaCalc!$AC$3:$AC$122,$T29)),"")</f>
        <v/>
      </c>
      <c r="L29" s="20">
        <f>IF(AND(ISNUMBER($T29),$T29&lt;&gt;""),IF(INDEX(IlumaCalc!$AD$3:$AD$122,$T29)="","—",INDEX(IlumaCalc!$AD$3:$AD$122,$T29)),"")</f>
        <v/>
      </c>
      <c r="M29" s="20">
        <f>IF(AND(ISNUMBER($T29),$T29&lt;&gt;""),IF(INDEX(IlumaCalc!$AE$3:$AE$122,$T29)="","—",INDEX(IlumaCalc!$AE$3:$AE$122,$T29)),"")</f>
        <v/>
      </c>
      <c r="N29" s="20">
        <f>IF(AND(ISNUMBER($T29),$T29&lt;&gt;""),IF(INDEX(IlumaCalc!$AF$3:$AF$122,$T29)="","—",INDEX(IlumaCalc!$AF$3:$AF$122,$T29)),"")</f>
        <v/>
      </c>
      <c r="O29" s="20">
        <f>IF(AND(ISNUMBER($T29),$T29&lt;&gt;""),IF(INDEX(IlumaCalc!$AG$3:$AG$122,$T29)="","—",INDEX(IlumaCalc!$AG$3:$AG$122,$T29)),"")</f>
        <v/>
      </c>
      <c r="P29" s="21">
        <f>IF(AND(ISNUMBER($T29),$T29&lt;&gt;""),IF(INDEX(IlumaCalc!$AJ$3:$AJ$122,$T29)="","—",INDEX(IlumaCalc!$AJ$3:$AJ$122,$T29)),"")</f>
        <v/>
      </c>
      <c r="Q29" s="21">
        <f>IF(AND(ISNUMBER($T29),$T29&lt;&gt;""),IF(INDEX(IlumaCalc!$AK$3:$AK$122,$T29)="","—",INDEX(IlumaCalc!$AK$3:$AK$122,$T29)),"")</f>
        <v/>
      </c>
      <c r="R29" s="20">
        <f>IF(AND(ISNUMBER($T29),$T29&lt;&gt;""),IF(INDEX(IlumaCalc!$AL$3:$AL$122,$T29)="","—",INDEX(IlumaCalc!$AL$3:$AL$122,$T29)),"")</f>
        <v/>
      </c>
      <c r="T29">
        <f>IFERROR(MATCH(25,IlumaCalc!$AN$3:$AN$122,0),"")</f>
        <v/>
      </c>
    </row>
    <row r="30">
      <c r="A30" s="14">
        <f>IF(AND(ISNUMBER($T30),$T30&lt;&gt;""),INDEX(IlumaCalc!$S$3:$S$122,$T30),"")</f>
        <v/>
      </c>
      <c r="B30" s="15">
        <f>IF(AND(ISNUMBER($T30),$T30&lt;&gt;""),IF(INDEX(IlumaCalc!$T$3:$T$122,$T30)="","—",INDEX(IlumaCalc!$T$3:$T$122,$T30)),"")</f>
        <v/>
      </c>
      <c r="C30" s="15">
        <f>IF(AND(ISNUMBER($T30),$T30&lt;&gt;""),IF(INDEX(IlumaCalc!$U$3:$U$122,$T30)="","—",INDEX(IlumaCalc!$U$3:$U$122,$T30)),"")</f>
        <v/>
      </c>
      <c r="D30" s="15">
        <f>IF(AND(ISNUMBER($T30),$T30&lt;&gt;""),IF(INDEX(IlumaCalc!$V$3:$V$122,$T30)="","—",INDEX(IlumaCalc!$V$3:$V$122,$T30)),"")</f>
        <v/>
      </c>
      <c r="E30" s="15">
        <f>IF(AND(ISNUMBER($T30),$T30&lt;&gt;""),IF(INDEX(IlumaCalc!$W$3:$W$122,$T30)="","—",INDEX(IlumaCalc!$W$3:$W$122,$T30)),"")</f>
        <v/>
      </c>
      <c r="F30" s="15">
        <f>IF(AND(ISNUMBER($T30),$T30&lt;&gt;""),IF(INDEX(IlumaCalc!$X$3:$X$122,$T30)="","—",INDEX(IlumaCalc!$X$3:$X$122,$T30)),"")</f>
        <v/>
      </c>
      <c r="G30" s="15">
        <f>IF(AND(ISNUMBER($T30),$T30&lt;&gt;""),IF(INDEX(IlumaCalc!$Y$3:$Y$122,$T30)="","—",INDEX(IlumaCalc!$Y$3:$Y$122,$T30)),"")</f>
        <v/>
      </c>
      <c r="H30" s="15">
        <f>IF(AND(ISNUMBER($T30),$T30&lt;&gt;""),IF(INDEX(IlumaCalc!$Z$3:$Z$122,$T30)="","—",INDEX(IlumaCalc!$Z$3:$Z$122,$T30)),"")</f>
        <v/>
      </c>
      <c r="I30" s="15">
        <f>IF(AND(ISNUMBER($T30),$T30&lt;&gt;""),IF(INDEX(IlumaCalc!$AA$3:$AA$122,$T30)="","—",INDEX(IlumaCalc!$AA$3:$AA$122,$T30)),"")</f>
        <v/>
      </c>
      <c r="J30" s="15">
        <f>IF(AND(ISNUMBER($T30),$T30&lt;&gt;""),IF(INDEX(IlumaCalc!$AB$3:$AB$122,$T30)="","—",INDEX(IlumaCalc!$AB$3:$AB$122,$T30)),"")</f>
        <v/>
      </c>
      <c r="K30" s="15">
        <f>IF(AND(ISNUMBER($T30),$T30&lt;&gt;""),IF(INDEX(IlumaCalc!$AC$3:$AC$122,$T30)="","—",INDEX(IlumaCalc!$AC$3:$AC$122,$T30)),"")</f>
        <v/>
      </c>
      <c r="L30" s="15">
        <f>IF(AND(ISNUMBER($T30),$T30&lt;&gt;""),IF(INDEX(IlumaCalc!$AD$3:$AD$122,$T30)="","—",INDEX(IlumaCalc!$AD$3:$AD$122,$T30)),"")</f>
        <v/>
      </c>
      <c r="M30" s="15">
        <f>IF(AND(ISNUMBER($T30),$T30&lt;&gt;""),IF(INDEX(IlumaCalc!$AE$3:$AE$122,$T30)="","—",INDEX(IlumaCalc!$AE$3:$AE$122,$T30)),"")</f>
        <v/>
      </c>
      <c r="N30" s="15">
        <f>IF(AND(ISNUMBER($T30),$T30&lt;&gt;""),IF(INDEX(IlumaCalc!$AF$3:$AF$122,$T30)="","—",INDEX(IlumaCalc!$AF$3:$AF$122,$T30)),"")</f>
        <v/>
      </c>
      <c r="O30" s="15">
        <f>IF(AND(ISNUMBER($T30),$T30&lt;&gt;""),IF(INDEX(IlumaCalc!$AG$3:$AG$122,$T30)="","—",INDEX(IlumaCalc!$AG$3:$AG$122,$T30)),"")</f>
        <v/>
      </c>
      <c r="P30" s="16">
        <f>IF(AND(ISNUMBER($T30),$T30&lt;&gt;""),IF(INDEX(IlumaCalc!$AJ$3:$AJ$122,$T30)="","—",INDEX(IlumaCalc!$AJ$3:$AJ$122,$T30)),"")</f>
        <v/>
      </c>
      <c r="Q30" s="16">
        <f>IF(AND(ISNUMBER($T30),$T30&lt;&gt;""),IF(INDEX(IlumaCalc!$AK$3:$AK$122,$T30)="","—",INDEX(IlumaCalc!$AK$3:$AK$122,$T30)),"")</f>
        <v/>
      </c>
      <c r="R30" s="15">
        <f>IF(AND(ISNUMBER($T30),$T30&lt;&gt;""),IF(INDEX(IlumaCalc!$AL$3:$AL$122,$T30)="","—",INDEX(IlumaCalc!$AL$3:$AL$122,$T30)),"")</f>
        <v/>
      </c>
      <c r="T30">
        <f>IFERROR(MATCH(26,IlumaCalc!$AN$3:$AN$122,0),"")</f>
        <v/>
      </c>
    </row>
    <row r="31">
      <c r="A31" s="19">
        <f>IF(AND(ISNUMBER($T31),$T31&lt;&gt;""),INDEX(IlumaCalc!$S$3:$S$122,$T31),"")</f>
        <v/>
      </c>
      <c r="B31" s="20">
        <f>IF(AND(ISNUMBER($T31),$T31&lt;&gt;""),IF(INDEX(IlumaCalc!$T$3:$T$122,$T31)="","—",INDEX(IlumaCalc!$T$3:$T$122,$T31)),"")</f>
        <v/>
      </c>
      <c r="C31" s="20">
        <f>IF(AND(ISNUMBER($T31),$T31&lt;&gt;""),IF(INDEX(IlumaCalc!$U$3:$U$122,$T31)="","—",INDEX(IlumaCalc!$U$3:$U$122,$T31)),"")</f>
        <v/>
      </c>
      <c r="D31" s="20">
        <f>IF(AND(ISNUMBER($T31),$T31&lt;&gt;""),IF(INDEX(IlumaCalc!$V$3:$V$122,$T31)="","—",INDEX(IlumaCalc!$V$3:$V$122,$T31)),"")</f>
        <v/>
      </c>
      <c r="E31" s="20">
        <f>IF(AND(ISNUMBER($T31),$T31&lt;&gt;""),IF(INDEX(IlumaCalc!$W$3:$W$122,$T31)="","—",INDEX(IlumaCalc!$W$3:$W$122,$T31)),"")</f>
        <v/>
      </c>
      <c r="F31" s="20">
        <f>IF(AND(ISNUMBER($T31),$T31&lt;&gt;""),IF(INDEX(IlumaCalc!$X$3:$X$122,$T31)="","—",INDEX(IlumaCalc!$X$3:$X$122,$T31)),"")</f>
        <v/>
      </c>
      <c r="G31" s="20">
        <f>IF(AND(ISNUMBER($T31),$T31&lt;&gt;""),IF(INDEX(IlumaCalc!$Y$3:$Y$122,$T31)="","—",INDEX(IlumaCalc!$Y$3:$Y$122,$T31)),"")</f>
        <v/>
      </c>
      <c r="H31" s="20">
        <f>IF(AND(ISNUMBER($T31),$T31&lt;&gt;""),IF(INDEX(IlumaCalc!$Z$3:$Z$122,$T31)="","—",INDEX(IlumaCalc!$Z$3:$Z$122,$T31)),"")</f>
        <v/>
      </c>
      <c r="I31" s="20">
        <f>IF(AND(ISNUMBER($T31),$T31&lt;&gt;""),IF(INDEX(IlumaCalc!$AA$3:$AA$122,$T31)="","—",INDEX(IlumaCalc!$AA$3:$AA$122,$T31)),"")</f>
        <v/>
      </c>
      <c r="J31" s="20">
        <f>IF(AND(ISNUMBER($T31),$T31&lt;&gt;""),IF(INDEX(IlumaCalc!$AB$3:$AB$122,$T31)="","—",INDEX(IlumaCalc!$AB$3:$AB$122,$T31)),"")</f>
        <v/>
      </c>
      <c r="K31" s="20">
        <f>IF(AND(ISNUMBER($T31),$T31&lt;&gt;""),IF(INDEX(IlumaCalc!$AC$3:$AC$122,$T31)="","—",INDEX(IlumaCalc!$AC$3:$AC$122,$T31)),"")</f>
        <v/>
      </c>
      <c r="L31" s="20">
        <f>IF(AND(ISNUMBER($T31),$T31&lt;&gt;""),IF(INDEX(IlumaCalc!$AD$3:$AD$122,$T31)="","—",INDEX(IlumaCalc!$AD$3:$AD$122,$T31)),"")</f>
        <v/>
      </c>
      <c r="M31" s="20">
        <f>IF(AND(ISNUMBER($T31),$T31&lt;&gt;""),IF(INDEX(IlumaCalc!$AE$3:$AE$122,$T31)="","—",INDEX(IlumaCalc!$AE$3:$AE$122,$T31)),"")</f>
        <v/>
      </c>
      <c r="N31" s="20">
        <f>IF(AND(ISNUMBER($T31),$T31&lt;&gt;""),IF(INDEX(IlumaCalc!$AF$3:$AF$122,$T31)="","—",INDEX(IlumaCalc!$AF$3:$AF$122,$T31)),"")</f>
        <v/>
      </c>
      <c r="O31" s="20">
        <f>IF(AND(ISNUMBER($T31),$T31&lt;&gt;""),IF(INDEX(IlumaCalc!$AG$3:$AG$122,$T31)="","—",INDEX(IlumaCalc!$AG$3:$AG$122,$T31)),"")</f>
        <v/>
      </c>
      <c r="P31" s="21">
        <f>IF(AND(ISNUMBER($T31),$T31&lt;&gt;""),IF(INDEX(IlumaCalc!$AJ$3:$AJ$122,$T31)="","—",INDEX(IlumaCalc!$AJ$3:$AJ$122,$T31)),"")</f>
        <v/>
      </c>
      <c r="Q31" s="21">
        <f>IF(AND(ISNUMBER($T31),$T31&lt;&gt;""),IF(INDEX(IlumaCalc!$AK$3:$AK$122,$T31)="","—",INDEX(IlumaCalc!$AK$3:$AK$122,$T31)),"")</f>
        <v/>
      </c>
      <c r="R31" s="20">
        <f>IF(AND(ISNUMBER($T31),$T31&lt;&gt;""),IF(INDEX(IlumaCalc!$AL$3:$AL$122,$T31)="","—",INDEX(IlumaCalc!$AL$3:$AL$122,$T31)),"")</f>
        <v/>
      </c>
      <c r="T31">
        <f>IFERROR(MATCH(27,IlumaCalc!$AN$3:$AN$122,0),"")</f>
        <v/>
      </c>
    </row>
    <row r="32">
      <c r="A32" s="14">
        <f>IF(AND(ISNUMBER($T32),$T32&lt;&gt;""),INDEX(IlumaCalc!$S$3:$S$122,$T32),"")</f>
        <v/>
      </c>
      <c r="B32" s="15">
        <f>IF(AND(ISNUMBER($T32),$T32&lt;&gt;""),IF(INDEX(IlumaCalc!$T$3:$T$122,$T32)="","—",INDEX(IlumaCalc!$T$3:$T$122,$T32)),"")</f>
        <v/>
      </c>
      <c r="C32" s="15">
        <f>IF(AND(ISNUMBER($T32),$T32&lt;&gt;""),IF(INDEX(IlumaCalc!$U$3:$U$122,$T32)="","—",INDEX(IlumaCalc!$U$3:$U$122,$T32)),"")</f>
        <v/>
      </c>
      <c r="D32" s="15">
        <f>IF(AND(ISNUMBER($T32),$T32&lt;&gt;""),IF(INDEX(IlumaCalc!$V$3:$V$122,$T32)="","—",INDEX(IlumaCalc!$V$3:$V$122,$T32)),"")</f>
        <v/>
      </c>
      <c r="E32" s="15">
        <f>IF(AND(ISNUMBER($T32),$T32&lt;&gt;""),IF(INDEX(IlumaCalc!$W$3:$W$122,$T32)="","—",INDEX(IlumaCalc!$W$3:$W$122,$T32)),"")</f>
        <v/>
      </c>
      <c r="F32" s="15">
        <f>IF(AND(ISNUMBER($T32),$T32&lt;&gt;""),IF(INDEX(IlumaCalc!$X$3:$X$122,$T32)="","—",INDEX(IlumaCalc!$X$3:$X$122,$T32)),"")</f>
        <v/>
      </c>
      <c r="G32" s="15">
        <f>IF(AND(ISNUMBER($T32),$T32&lt;&gt;""),IF(INDEX(IlumaCalc!$Y$3:$Y$122,$T32)="","—",INDEX(IlumaCalc!$Y$3:$Y$122,$T32)),"")</f>
        <v/>
      </c>
      <c r="H32" s="15">
        <f>IF(AND(ISNUMBER($T32),$T32&lt;&gt;""),IF(INDEX(IlumaCalc!$Z$3:$Z$122,$T32)="","—",INDEX(IlumaCalc!$Z$3:$Z$122,$T32)),"")</f>
        <v/>
      </c>
      <c r="I32" s="15">
        <f>IF(AND(ISNUMBER($T32),$T32&lt;&gt;""),IF(INDEX(IlumaCalc!$AA$3:$AA$122,$T32)="","—",INDEX(IlumaCalc!$AA$3:$AA$122,$T32)),"")</f>
        <v/>
      </c>
      <c r="J32" s="15">
        <f>IF(AND(ISNUMBER($T32),$T32&lt;&gt;""),IF(INDEX(IlumaCalc!$AB$3:$AB$122,$T32)="","—",INDEX(IlumaCalc!$AB$3:$AB$122,$T32)),"")</f>
        <v/>
      </c>
      <c r="K32" s="15">
        <f>IF(AND(ISNUMBER($T32),$T32&lt;&gt;""),IF(INDEX(IlumaCalc!$AC$3:$AC$122,$T32)="","—",INDEX(IlumaCalc!$AC$3:$AC$122,$T32)),"")</f>
        <v/>
      </c>
      <c r="L32" s="15">
        <f>IF(AND(ISNUMBER($T32),$T32&lt;&gt;""),IF(INDEX(IlumaCalc!$AD$3:$AD$122,$T32)="","—",INDEX(IlumaCalc!$AD$3:$AD$122,$T32)),"")</f>
        <v/>
      </c>
      <c r="M32" s="15">
        <f>IF(AND(ISNUMBER($T32),$T32&lt;&gt;""),IF(INDEX(IlumaCalc!$AE$3:$AE$122,$T32)="","—",INDEX(IlumaCalc!$AE$3:$AE$122,$T32)),"")</f>
        <v/>
      </c>
      <c r="N32" s="15">
        <f>IF(AND(ISNUMBER($T32),$T32&lt;&gt;""),IF(INDEX(IlumaCalc!$AF$3:$AF$122,$T32)="","—",INDEX(IlumaCalc!$AF$3:$AF$122,$T32)),"")</f>
        <v/>
      </c>
      <c r="O32" s="15">
        <f>IF(AND(ISNUMBER($T32),$T32&lt;&gt;""),IF(INDEX(IlumaCalc!$AG$3:$AG$122,$T32)="","—",INDEX(IlumaCalc!$AG$3:$AG$122,$T32)),"")</f>
        <v/>
      </c>
      <c r="P32" s="16">
        <f>IF(AND(ISNUMBER($T32),$T32&lt;&gt;""),IF(INDEX(IlumaCalc!$AJ$3:$AJ$122,$T32)="","—",INDEX(IlumaCalc!$AJ$3:$AJ$122,$T32)),"")</f>
        <v/>
      </c>
      <c r="Q32" s="16">
        <f>IF(AND(ISNUMBER($T32),$T32&lt;&gt;""),IF(INDEX(IlumaCalc!$AK$3:$AK$122,$T32)="","—",INDEX(IlumaCalc!$AK$3:$AK$122,$T32)),"")</f>
        <v/>
      </c>
      <c r="R32" s="15">
        <f>IF(AND(ISNUMBER($T32),$T32&lt;&gt;""),IF(INDEX(IlumaCalc!$AL$3:$AL$122,$T32)="","—",INDEX(IlumaCalc!$AL$3:$AL$122,$T32)),"")</f>
        <v/>
      </c>
      <c r="T32">
        <f>IFERROR(MATCH(28,IlumaCalc!$AN$3:$AN$122,0),"")</f>
        <v/>
      </c>
    </row>
    <row r="33">
      <c r="A33" s="19">
        <f>IF(AND(ISNUMBER($T33),$T33&lt;&gt;""),INDEX(IlumaCalc!$S$3:$S$122,$T33),"")</f>
        <v/>
      </c>
      <c r="B33" s="20">
        <f>IF(AND(ISNUMBER($T33),$T33&lt;&gt;""),IF(INDEX(IlumaCalc!$T$3:$T$122,$T33)="","—",INDEX(IlumaCalc!$T$3:$T$122,$T33)),"")</f>
        <v/>
      </c>
      <c r="C33" s="20">
        <f>IF(AND(ISNUMBER($T33),$T33&lt;&gt;""),IF(INDEX(IlumaCalc!$U$3:$U$122,$T33)="","—",INDEX(IlumaCalc!$U$3:$U$122,$T33)),"")</f>
        <v/>
      </c>
      <c r="D33" s="20">
        <f>IF(AND(ISNUMBER($T33),$T33&lt;&gt;""),IF(INDEX(IlumaCalc!$V$3:$V$122,$T33)="","—",INDEX(IlumaCalc!$V$3:$V$122,$T33)),"")</f>
        <v/>
      </c>
      <c r="E33" s="20">
        <f>IF(AND(ISNUMBER($T33),$T33&lt;&gt;""),IF(INDEX(IlumaCalc!$W$3:$W$122,$T33)="","—",INDEX(IlumaCalc!$W$3:$W$122,$T33)),"")</f>
        <v/>
      </c>
      <c r="F33" s="20">
        <f>IF(AND(ISNUMBER($T33),$T33&lt;&gt;""),IF(INDEX(IlumaCalc!$X$3:$X$122,$T33)="","—",INDEX(IlumaCalc!$X$3:$X$122,$T33)),"")</f>
        <v/>
      </c>
      <c r="G33" s="20">
        <f>IF(AND(ISNUMBER($T33),$T33&lt;&gt;""),IF(INDEX(IlumaCalc!$Y$3:$Y$122,$T33)="","—",INDEX(IlumaCalc!$Y$3:$Y$122,$T33)),"")</f>
        <v/>
      </c>
      <c r="H33" s="20">
        <f>IF(AND(ISNUMBER($T33),$T33&lt;&gt;""),IF(INDEX(IlumaCalc!$Z$3:$Z$122,$T33)="","—",INDEX(IlumaCalc!$Z$3:$Z$122,$T33)),"")</f>
        <v/>
      </c>
      <c r="I33" s="20">
        <f>IF(AND(ISNUMBER($T33),$T33&lt;&gt;""),IF(INDEX(IlumaCalc!$AA$3:$AA$122,$T33)="","—",INDEX(IlumaCalc!$AA$3:$AA$122,$T33)),"")</f>
        <v/>
      </c>
      <c r="J33" s="20">
        <f>IF(AND(ISNUMBER($T33),$T33&lt;&gt;""),IF(INDEX(IlumaCalc!$AB$3:$AB$122,$T33)="","—",INDEX(IlumaCalc!$AB$3:$AB$122,$T33)),"")</f>
        <v/>
      </c>
      <c r="K33" s="20">
        <f>IF(AND(ISNUMBER($T33),$T33&lt;&gt;""),IF(INDEX(IlumaCalc!$AC$3:$AC$122,$T33)="","—",INDEX(IlumaCalc!$AC$3:$AC$122,$T33)),"")</f>
        <v/>
      </c>
      <c r="L33" s="20">
        <f>IF(AND(ISNUMBER($T33),$T33&lt;&gt;""),IF(INDEX(IlumaCalc!$AD$3:$AD$122,$T33)="","—",INDEX(IlumaCalc!$AD$3:$AD$122,$T33)),"")</f>
        <v/>
      </c>
      <c r="M33" s="20">
        <f>IF(AND(ISNUMBER($T33),$T33&lt;&gt;""),IF(INDEX(IlumaCalc!$AE$3:$AE$122,$T33)="","—",INDEX(IlumaCalc!$AE$3:$AE$122,$T33)),"")</f>
        <v/>
      </c>
      <c r="N33" s="20">
        <f>IF(AND(ISNUMBER($T33),$T33&lt;&gt;""),IF(INDEX(IlumaCalc!$AF$3:$AF$122,$T33)="","—",INDEX(IlumaCalc!$AF$3:$AF$122,$T33)),"")</f>
        <v/>
      </c>
      <c r="O33" s="20">
        <f>IF(AND(ISNUMBER($T33),$T33&lt;&gt;""),IF(INDEX(IlumaCalc!$AG$3:$AG$122,$T33)="","—",INDEX(IlumaCalc!$AG$3:$AG$122,$T33)),"")</f>
        <v/>
      </c>
      <c r="P33" s="21">
        <f>IF(AND(ISNUMBER($T33),$T33&lt;&gt;""),IF(INDEX(IlumaCalc!$AJ$3:$AJ$122,$T33)="","—",INDEX(IlumaCalc!$AJ$3:$AJ$122,$T33)),"")</f>
        <v/>
      </c>
      <c r="Q33" s="21">
        <f>IF(AND(ISNUMBER($T33),$T33&lt;&gt;""),IF(INDEX(IlumaCalc!$AK$3:$AK$122,$T33)="","—",INDEX(IlumaCalc!$AK$3:$AK$122,$T33)),"")</f>
        <v/>
      </c>
      <c r="R33" s="20">
        <f>IF(AND(ISNUMBER($T33),$T33&lt;&gt;""),IF(INDEX(IlumaCalc!$AL$3:$AL$122,$T33)="","—",INDEX(IlumaCalc!$AL$3:$AL$122,$T33)),"")</f>
        <v/>
      </c>
      <c r="T33">
        <f>IFERROR(MATCH(29,IlumaCalc!$AN$3:$AN$122,0),"")</f>
        <v/>
      </c>
    </row>
    <row r="34">
      <c r="A34" s="14">
        <f>IF(AND(ISNUMBER($T34),$T34&lt;&gt;""),INDEX(IlumaCalc!$S$3:$S$122,$T34),"")</f>
        <v/>
      </c>
      <c r="B34" s="15">
        <f>IF(AND(ISNUMBER($T34),$T34&lt;&gt;""),IF(INDEX(IlumaCalc!$T$3:$T$122,$T34)="","—",INDEX(IlumaCalc!$T$3:$T$122,$T34)),"")</f>
        <v/>
      </c>
      <c r="C34" s="15">
        <f>IF(AND(ISNUMBER($T34),$T34&lt;&gt;""),IF(INDEX(IlumaCalc!$U$3:$U$122,$T34)="","—",INDEX(IlumaCalc!$U$3:$U$122,$T34)),"")</f>
        <v/>
      </c>
      <c r="D34" s="15">
        <f>IF(AND(ISNUMBER($T34),$T34&lt;&gt;""),IF(INDEX(IlumaCalc!$V$3:$V$122,$T34)="","—",INDEX(IlumaCalc!$V$3:$V$122,$T34)),"")</f>
        <v/>
      </c>
      <c r="E34" s="15">
        <f>IF(AND(ISNUMBER($T34),$T34&lt;&gt;""),IF(INDEX(IlumaCalc!$W$3:$W$122,$T34)="","—",INDEX(IlumaCalc!$W$3:$W$122,$T34)),"")</f>
        <v/>
      </c>
      <c r="F34" s="15">
        <f>IF(AND(ISNUMBER($T34),$T34&lt;&gt;""),IF(INDEX(IlumaCalc!$X$3:$X$122,$T34)="","—",INDEX(IlumaCalc!$X$3:$X$122,$T34)),"")</f>
        <v/>
      </c>
      <c r="G34" s="15">
        <f>IF(AND(ISNUMBER($T34),$T34&lt;&gt;""),IF(INDEX(IlumaCalc!$Y$3:$Y$122,$T34)="","—",INDEX(IlumaCalc!$Y$3:$Y$122,$T34)),"")</f>
        <v/>
      </c>
      <c r="H34" s="15">
        <f>IF(AND(ISNUMBER($T34),$T34&lt;&gt;""),IF(INDEX(IlumaCalc!$Z$3:$Z$122,$T34)="","—",INDEX(IlumaCalc!$Z$3:$Z$122,$T34)),"")</f>
        <v/>
      </c>
      <c r="I34" s="15">
        <f>IF(AND(ISNUMBER($T34),$T34&lt;&gt;""),IF(INDEX(IlumaCalc!$AA$3:$AA$122,$T34)="","—",INDEX(IlumaCalc!$AA$3:$AA$122,$T34)),"")</f>
        <v/>
      </c>
      <c r="J34" s="15">
        <f>IF(AND(ISNUMBER($T34),$T34&lt;&gt;""),IF(INDEX(IlumaCalc!$AB$3:$AB$122,$T34)="","—",INDEX(IlumaCalc!$AB$3:$AB$122,$T34)),"")</f>
        <v/>
      </c>
      <c r="K34" s="15">
        <f>IF(AND(ISNUMBER($T34),$T34&lt;&gt;""),IF(INDEX(IlumaCalc!$AC$3:$AC$122,$T34)="","—",INDEX(IlumaCalc!$AC$3:$AC$122,$T34)),"")</f>
        <v/>
      </c>
      <c r="L34" s="15">
        <f>IF(AND(ISNUMBER($T34),$T34&lt;&gt;""),IF(INDEX(IlumaCalc!$AD$3:$AD$122,$T34)="","—",INDEX(IlumaCalc!$AD$3:$AD$122,$T34)),"")</f>
        <v/>
      </c>
      <c r="M34" s="15">
        <f>IF(AND(ISNUMBER($T34),$T34&lt;&gt;""),IF(INDEX(IlumaCalc!$AE$3:$AE$122,$T34)="","—",INDEX(IlumaCalc!$AE$3:$AE$122,$T34)),"")</f>
        <v/>
      </c>
      <c r="N34" s="15">
        <f>IF(AND(ISNUMBER($T34),$T34&lt;&gt;""),IF(INDEX(IlumaCalc!$AF$3:$AF$122,$T34)="","—",INDEX(IlumaCalc!$AF$3:$AF$122,$T34)),"")</f>
        <v/>
      </c>
      <c r="O34" s="15">
        <f>IF(AND(ISNUMBER($T34),$T34&lt;&gt;""),IF(INDEX(IlumaCalc!$AG$3:$AG$122,$T34)="","—",INDEX(IlumaCalc!$AG$3:$AG$122,$T34)),"")</f>
        <v/>
      </c>
      <c r="P34" s="16">
        <f>IF(AND(ISNUMBER($T34),$T34&lt;&gt;""),IF(INDEX(IlumaCalc!$AJ$3:$AJ$122,$T34)="","—",INDEX(IlumaCalc!$AJ$3:$AJ$122,$T34)),"")</f>
        <v/>
      </c>
      <c r="Q34" s="16">
        <f>IF(AND(ISNUMBER($T34),$T34&lt;&gt;""),IF(INDEX(IlumaCalc!$AK$3:$AK$122,$T34)="","—",INDEX(IlumaCalc!$AK$3:$AK$122,$T34)),"")</f>
        <v/>
      </c>
      <c r="R34" s="15">
        <f>IF(AND(ISNUMBER($T34),$T34&lt;&gt;""),IF(INDEX(IlumaCalc!$AL$3:$AL$122,$T34)="","—",INDEX(IlumaCalc!$AL$3:$AL$122,$T34)),"")</f>
        <v/>
      </c>
      <c r="T34">
        <f>IFERROR(MATCH(30,IlumaCalc!$AN$3:$AN$122,0),"")</f>
        <v/>
      </c>
    </row>
    <row r="35">
      <c r="A35" s="19">
        <f>IF(AND(ISNUMBER($T35),$T35&lt;&gt;""),INDEX(IlumaCalc!$S$3:$S$122,$T35),"")</f>
        <v/>
      </c>
      <c r="B35" s="20">
        <f>IF(AND(ISNUMBER($T35),$T35&lt;&gt;""),IF(INDEX(IlumaCalc!$T$3:$T$122,$T35)="","—",INDEX(IlumaCalc!$T$3:$T$122,$T35)),"")</f>
        <v/>
      </c>
      <c r="C35" s="20">
        <f>IF(AND(ISNUMBER($T35),$T35&lt;&gt;""),IF(INDEX(IlumaCalc!$U$3:$U$122,$T35)="","—",INDEX(IlumaCalc!$U$3:$U$122,$T35)),"")</f>
        <v/>
      </c>
      <c r="D35" s="20">
        <f>IF(AND(ISNUMBER($T35),$T35&lt;&gt;""),IF(INDEX(IlumaCalc!$V$3:$V$122,$T35)="","—",INDEX(IlumaCalc!$V$3:$V$122,$T35)),"")</f>
        <v/>
      </c>
      <c r="E35" s="20">
        <f>IF(AND(ISNUMBER($T35),$T35&lt;&gt;""),IF(INDEX(IlumaCalc!$W$3:$W$122,$T35)="","—",INDEX(IlumaCalc!$W$3:$W$122,$T35)),"")</f>
        <v/>
      </c>
      <c r="F35" s="20">
        <f>IF(AND(ISNUMBER($T35),$T35&lt;&gt;""),IF(INDEX(IlumaCalc!$X$3:$X$122,$T35)="","—",INDEX(IlumaCalc!$X$3:$X$122,$T35)),"")</f>
        <v/>
      </c>
      <c r="G35" s="20">
        <f>IF(AND(ISNUMBER($T35),$T35&lt;&gt;""),IF(INDEX(IlumaCalc!$Y$3:$Y$122,$T35)="","—",INDEX(IlumaCalc!$Y$3:$Y$122,$T35)),"")</f>
        <v/>
      </c>
      <c r="H35" s="20">
        <f>IF(AND(ISNUMBER($T35),$T35&lt;&gt;""),IF(INDEX(IlumaCalc!$Z$3:$Z$122,$T35)="","—",INDEX(IlumaCalc!$Z$3:$Z$122,$T35)),"")</f>
        <v/>
      </c>
      <c r="I35" s="20">
        <f>IF(AND(ISNUMBER($T35),$T35&lt;&gt;""),IF(INDEX(IlumaCalc!$AA$3:$AA$122,$T35)="","—",INDEX(IlumaCalc!$AA$3:$AA$122,$T35)),"")</f>
        <v/>
      </c>
      <c r="J35" s="20">
        <f>IF(AND(ISNUMBER($T35),$T35&lt;&gt;""),IF(INDEX(IlumaCalc!$AB$3:$AB$122,$T35)="","—",INDEX(IlumaCalc!$AB$3:$AB$122,$T35)),"")</f>
        <v/>
      </c>
      <c r="K35" s="20">
        <f>IF(AND(ISNUMBER($T35),$T35&lt;&gt;""),IF(INDEX(IlumaCalc!$AC$3:$AC$122,$T35)="","—",INDEX(IlumaCalc!$AC$3:$AC$122,$T35)),"")</f>
        <v/>
      </c>
      <c r="L35" s="20">
        <f>IF(AND(ISNUMBER($T35),$T35&lt;&gt;""),IF(INDEX(IlumaCalc!$AD$3:$AD$122,$T35)="","—",INDEX(IlumaCalc!$AD$3:$AD$122,$T35)),"")</f>
        <v/>
      </c>
      <c r="M35" s="20">
        <f>IF(AND(ISNUMBER($T35),$T35&lt;&gt;""),IF(INDEX(IlumaCalc!$AE$3:$AE$122,$T35)="","—",INDEX(IlumaCalc!$AE$3:$AE$122,$T35)),"")</f>
        <v/>
      </c>
      <c r="N35" s="20">
        <f>IF(AND(ISNUMBER($T35),$T35&lt;&gt;""),IF(INDEX(IlumaCalc!$AF$3:$AF$122,$T35)="","—",INDEX(IlumaCalc!$AF$3:$AF$122,$T35)),"")</f>
        <v/>
      </c>
      <c r="O35" s="20">
        <f>IF(AND(ISNUMBER($T35),$T35&lt;&gt;""),IF(INDEX(IlumaCalc!$AG$3:$AG$122,$T35)="","—",INDEX(IlumaCalc!$AG$3:$AG$122,$T35)),"")</f>
        <v/>
      </c>
      <c r="P35" s="21">
        <f>IF(AND(ISNUMBER($T35),$T35&lt;&gt;""),IF(INDEX(IlumaCalc!$AJ$3:$AJ$122,$T35)="","—",INDEX(IlumaCalc!$AJ$3:$AJ$122,$T35)),"")</f>
        <v/>
      </c>
      <c r="Q35" s="21">
        <f>IF(AND(ISNUMBER($T35),$T35&lt;&gt;""),IF(INDEX(IlumaCalc!$AK$3:$AK$122,$T35)="","—",INDEX(IlumaCalc!$AK$3:$AK$122,$T35)),"")</f>
        <v/>
      </c>
      <c r="R35" s="20">
        <f>IF(AND(ISNUMBER($T35),$T35&lt;&gt;""),IF(INDEX(IlumaCalc!$AL$3:$AL$122,$T35)="","—",INDEX(IlumaCalc!$AL$3:$AL$122,$T35)),"")</f>
        <v/>
      </c>
      <c r="T35">
        <f>IFERROR(MATCH(31,IlumaCalc!$AN$3:$AN$122,0),"")</f>
        <v/>
      </c>
    </row>
    <row r="36">
      <c r="A36" s="14">
        <f>IF(AND(ISNUMBER($T36),$T36&lt;&gt;""),INDEX(IlumaCalc!$S$3:$S$122,$T36),"")</f>
        <v/>
      </c>
      <c r="B36" s="15">
        <f>IF(AND(ISNUMBER($T36),$T36&lt;&gt;""),IF(INDEX(IlumaCalc!$T$3:$T$122,$T36)="","—",INDEX(IlumaCalc!$T$3:$T$122,$T36)),"")</f>
        <v/>
      </c>
      <c r="C36" s="15">
        <f>IF(AND(ISNUMBER($T36),$T36&lt;&gt;""),IF(INDEX(IlumaCalc!$U$3:$U$122,$T36)="","—",INDEX(IlumaCalc!$U$3:$U$122,$T36)),"")</f>
        <v/>
      </c>
      <c r="D36" s="15">
        <f>IF(AND(ISNUMBER($T36),$T36&lt;&gt;""),IF(INDEX(IlumaCalc!$V$3:$V$122,$T36)="","—",INDEX(IlumaCalc!$V$3:$V$122,$T36)),"")</f>
        <v/>
      </c>
      <c r="E36" s="15">
        <f>IF(AND(ISNUMBER($T36),$T36&lt;&gt;""),IF(INDEX(IlumaCalc!$W$3:$W$122,$T36)="","—",INDEX(IlumaCalc!$W$3:$W$122,$T36)),"")</f>
        <v/>
      </c>
      <c r="F36" s="15">
        <f>IF(AND(ISNUMBER($T36),$T36&lt;&gt;""),IF(INDEX(IlumaCalc!$X$3:$X$122,$T36)="","—",INDEX(IlumaCalc!$X$3:$X$122,$T36)),"")</f>
        <v/>
      </c>
      <c r="G36" s="15">
        <f>IF(AND(ISNUMBER($T36),$T36&lt;&gt;""),IF(INDEX(IlumaCalc!$Y$3:$Y$122,$T36)="","—",INDEX(IlumaCalc!$Y$3:$Y$122,$T36)),"")</f>
        <v/>
      </c>
      <c r="H36" s="15">
        <f>IF(AND(ISNUMBER($T36),$T36&lt;&gt;""),IF(INDEX(IlumaCalc!$Z$3:$Z$122,$T36)="","—",INDEX(IlumaCalc!$Z$3:$Z$122,$T36)),"")</f>
        <v/>
      </c>
      <c r="I36" s="15">
        <f>IF(AND(ISNUMBER($T36),$T36&lt;&gt;""),IF(INDEX(IlumaCalc!$AA$3:$AA$122,$T36)="","—",INDEX(IlumaCalc!$AA$3:$AA$122,$T36)),"")</f>
        <v/>
      </c>
      <c r="J36" s="15">
        <f>IF(AND(ISNUMBER($T36),$T36&lt;&gt;""),IF(INDEX(IlumaCalc!$AB$3:$AB$122,$T36)="","—",INDEX(IlumaCalc!$AB$3:$AB$122,$T36)),"")</f>
        <v/>
      </c>
      <c r="K36" s="15">
        <f>IF(AND(ISNUMBER($T36),$T36&lt;&gt;""),IF(INDEX(IlumaCalc!$AC$3:$AC$122,$T36)="","—",INDEX(IlumaCalc!$AC$3:$AC$122,$T36)),"")</f>
        <v/>
      </c>
      <c r="L36" s="15">
        <f>IF(AND(ISNUMBER($T36),$T36&lt;&gt;""),IF(INDEX(IlumaCalc!$AD$3:$AD$122,$T36)="","—",INDEX(IlumaCalc!$AD$3:$AD$122,$T36)),"")</f>
        <v/>
      </c>
      <c r="M36" s="15">
        <f>IF(AND(ISNUMBER($T36),$T36&lt;&gt;""),IF(INDEX(IlumaCalc!$AE$3:$AE$122,$T36)="","—",INDEX(IlumaCalc!$AE$3:$AE$122,$T36)),"")</f>
        <v/>
      </c>
      <c r="N36" s="15">
        <f>IF(AND(ISNUMBER($T36),$T36&lt;&gt;""),IF(INDEX(IlumaCalc!$AF$3:$AF$122,$T36)="","—",INDEX(IlumaCalc!$AF$3:$AF$122,$T36)),"")</f>
        <v/>
      </c>
      <c r="O36" s="15">
        <f>IF(AND(ISNUMBER($T36),$T36&lt;&gt;""),IF(INDEX(IlumaCalc!$AG$3:$AG$122,$T36)="","—",INDEX(IlumaCalc!$AG$3:$AG$122,$T36)),"")</f>
        <v/>
      </c>
      <c r="P36" s="16">
        <f>IF(AND(ISNUMBER($T36),$T36&lt;&gt;""),IF(INDEX(IlumaCalc!$AJ$3:$AJ$122,$T36)="","—",INDEX(IlumaCalc!$AJ$3:$AJ$122,$T36)),"")</f>
        <v/>
      </c>
      <c r="Q36" s="16">
        <f>IF(AND(ISNUMBER($T36),$T36&lt;&gt;""),IF(INDEX(IlumaCalc!$AK$3:$AK$122,$T36)="","—",INDEX(IlumaCalc!$AK$3:$AK$122,$T36)),"")</f>
        <v/>
      </c>
      <c r="R36" s="15">
        <f>IF(AND(ISNUMBER($T36),$T36&lt;&gt;""),IF(INDEX(IlumaCalc!$AL$3:$AL$122,$T36)="","—",INDEX(IlumaCalc!$AL$3:$AL$122,$T36)),"")</f>
        <v/>
      </c>
      <c r="T36">
        <f>IFERROR(MATCH(32,IlumaCalc!$AN$3:$AN$122,0),"")</f>
        <v/>
      </c>
    </row>
    <row r="37">
      <c r="A37" s="19">
        <f>IF(AND(ISNUMBER($T37),$T37&lt;&gt;""),INDEX(IlumaCalc!$S$3:$S$122,$T37),"")</f>
        <v/>
      </c>
      <c r="B37" s="20">
        <f>IF(AND(ISNUMBER($T37),$T37&lt;&gt;""),IF(INDEX(IlumaCalc!$T$3:$T$122,$T37)="","—",INDEX(IlumaCalc!$T$3:$T$122,$T37)),"")</f>
        <v/>
      </c>
      <c r="C37" s="20">
        <f>IF(AND(ISNUMBER($T37),$T37&lt;&gt;""),IF(INDEX(IlumaCalc!$U$3:$U$122,$T37)="","—",INDEX(IlumaCalc!$U$3:$U$122,$T37)),"")</f>
        <v/>
      </c>
      <c r="D37" s="20">
        <f>IF(AND(ISNUMBER($T37),$T37&lt;&gt;""),IF(INDEX(IlumaCalc!$V$3:$V$122,$T37)="","—",INDEX(IlumaCalc!$V$3:$V$122,$T37)),"")</f>
        <v/>
      </c>
      <c r="E37" s="20">
        <f>IF(AND(ISNUMBER($T37),$T37&lt;&gt;""),IF(INDEX(IlumaCalc!$W$3:$W$122,$T37)="","—",INDEX(IlumaCalc!$W$3:$W$122,$T37)),"")</f>
        <v/>
      </c>
      <c r="F37" s="20">
        <f>IF(AND(ISNUMBER($T37),$T37&lt;&gt;""),IF(INDEX(IlumaCalc!$X$3:$X$122,$T37)="","—",INDEX(IlumaCalc!$X$3:$X$122,$T37)),"")</f>
        <v/>
      </c>
      <c r="G37" s="20">
        <f>IF(AND(ISNUMBER($T37),$T37&lt;&gt;""),IF(INDEX(IlumaCalc!$Y$3:$Y$122,$T37)="","—",INDEX(IlumaCalc!$Y$3:$Y$122,$T37)),"")</f>
        <v/>
      </c>
      <c r="H37" s="20">
        <f>IF(AND(ISNUMBER($T37),$T37&lt;&gt;""),IF(INDEX(IlumaCalc!$Z$3:$Z$122,$T37)="","—",INDEX(IlumaCalc!$Z$3:$Z$122,$T37)),"")</f>
        <v/>
      </c>
      <c r="I37" s="20">
        <f>IF(AND(ISNUMBER($T37),$T37&lt;&gt;""),IF(INDEX(IlumaCalc!$AA$3:$AA$122,$T37)="","—",INDEX(IlumaCalc!$AA$3:$AA$122,$T37)),"")</f>
        <v/>
      </c>
      <c r="J37" s="20">
        <f>IF(AND(ISNUMBER($T37),$T37&lt;&gt;""),IF(INDEX(IlumaCalc!$AB$3:$AB$122,$T37)="","—",INDEX(IlumaCalc!$AB$3:$AB$122,$T37)),"")</f>
        <v/>
      </c>
      <c r="K37" s="20">
        <f>IF(AND(ISNUMBER($T37),$T37&lt;&gt;""),IF(INDEX(IlumaCalc!$AC$3:$AC$122,$T37)="","—",INDEX(IlumaCalc!$AC$3:$AC$122,$T37)),"")</f>
        <v/>
      </c>
      <c r="L37" s="20">
        <f>IF(AND(ISNUMBER($T37),$T37&lt;&gt;""),IF(INDEX(IlumaCalc!$AD$3:$AD$122,$T37)="","—",INDEX(IlumaCalc!$AD$3:$AD$122,$T37)),"")</f>
        <v/>
      </c>
      <c r="M37" s="20">
        <f>IF(AND(ISNUMBER($T37),$T37&lt;&gt;""),IF(INDEX(IlumaCalc!$AE$3:$AE$122,$T37)="","—",INDEX(IlumaCalc!$AE$3:$AE$122,$T37)),"")</f>
        <v/>
      </c>
      <c r="N37" s="20">
        <f>IF(AND(ISNUMBER($T37),$T37&lt;&gt;""),IF(INDEX(IlumaCalc!$AF$3:$AF$122,$T37)="","—",INDEX(IlumaCalc!$AF$3:$AF$122,$T37)),"")</f>
        <v/>
      </c>
      <c r="O37" s="20">
        <f>IF(AND(ISNUMBER($T37),$T37&lt;&gt;""),IF(INDEX(IlumaCalc!$AG$3:$AG$122,$T37)="","—",INDEX(IlumaCalc!$AG$3:$AG$122,$T37)),"")</f>
        <v/>
      </c>
      <c r="P37" s="21">
        <f>IF(AND(ISNUMBER($T37),$T37&lt;&gt;""),IF(INDEX(IlumaCalc!$AJ$3:$AJ$122,$T37)="","—",INDEX(IlumaCalc!$AJ$3:$AJ$122,$T37)),"")</f>
        <v/>
      </c>
      <c r="Q37" s="21">
        <f>IF(AND(ISNUMBER($T37),$T37&lt;&gt;""),IF(INDEX(IlumaCalc!$AK$3:$AK$122,$T37)="","—",INDEX(IlumaCalc!$AK$3:$AK$122,$T37)),"")</f>
        <v/>
      </c>
      <c r="R37" s="20">
        <f>IF(AND(ISNUMBER($T37),$T37&lt;&gt;""),IF(INDEX(IlumaCalc!$AL$3:$AL$122,$T37)="","—",INDEX(IlumaCalc!$AL$3:$AL$122,$T37)),"")</f>
        <v/>
      </c>
      <c r="T37">
        <f>IFERROR(MATCH(33,IlumaCalc!$AN$3:$AN$122,0),"")</f>
        <v/>
      </c>
    </row>
    <row r="38">
      <c r="A38" s="14">
        <f>IF(AND(ISNUMBER($T38),$T38&lt;&gt;""),INDEX(IlumaCalc!$S$3:$S$122,$T38),"")</f>
        <v/>
      </c>
      <c r="B38" s="15">
        <f>IF(AND(ISNUMBER($T38),$T38&lt;&gt;""),IF(INDEX(IlumaCalc!$T$3:$T$122,$T38)="","—",INDEX(IlumaCalc!$T$3:$T$122,$T38)),"")</f>
        <v/>
      </c>
      <c r="C38" s="15">
        <f>IF(AND(ISNUMBER($T38),$T38&lt;&gt;""),IF(INDEX(IlumaCalc!$U$3:$U$122,$T38)="","—",INDEX(IlumaCalc!$U$3:$U$122,$T38)),"")</f>
        <v/>
      </c>
      <c r="D38" s="15">
        <f>IF(AND(ISNUMBER($T38),$T38&lt;&gt;""),IF(INDEX(IlumaCalc!$V$3:$V$122,$T38)="","—",INDEX(IlumaCalc!$V$3:$V$122,$T38)),"")</f>
        <v/>
      </c>
      <c r="E38" s="15">
        <f>IF(AND(ISNUMBER($T38),$T38&lt;&gt;""),IF(INDEX(IlumaCalc!$W$3:$W$122,$T38)="","—",INDEX(IlumaCalc!$W$3:$W$122,$T38)),"")</f>
        <v/>
      </c>
      <c r="F38" s="15">
        <f>IF(AND(ISNUMBER($T38),$T38&lt;&gt;""),IF(INDEX(IlumaCalc!$X$3:$X$122,$T38)="","—",INDEX(IlumaCalc!$X$3:$X$122,$T38)),"")</f>
        <v/>
      </c>
      <c r="G38" s="15">
        <f>IF(AND(ISNUMBER($T38),$T38&lt;&gt;""),IF(INDEX(IlumaCalc!$Y$3:$Y$122,$T38)="","—",INDEX(IlumaCalc!$Y$3:$Y$122,$T38)),"")</f>
        <v/>
      </c>
      <c r="H38" s="15">
        <f>IF(AND(ISNUMBER($T38),$T38&lt;&gt;""),IF(INDEX(IlumaCalc!$Z$3:$Z$122,$T38)="","—",INDEX(IlumaCalc!$Z$3:$Z$122,$T38)),"")</f>
        <v/>
      </c>
      <c r="I38" s="15">
        <f>IF(AND(ISNUMBER($T38),$T38&lt;&gt;""),IF(INDEX(IlumaCalc!$AA$3:$AA$122,$T38)="","—",INDEX(IlumaCalc!$AA$3:$AA$122,$T38)),"")</f>
        <v/>
      </c>
      <c r="J38" s="15">
        <f>IF(AND(ISNUMBER($T38),$T38&lt;&gt;""),IF(INDEX(IlumaCalc!$AB$3:$AB$122,$T38)="","—",INDEX(IlumaCalc!$AB$3:$AB$122,$T38)),"")</f>
        <v/>
      </c>
      <c r="K38" s="15">
        <f>IF(AND(ISNUMBER($T38),$T38&lt;&gt;""),IF(INDEX(IlumaCalc!$AC$3:$AC$122,$T38)="","—",INDEX(IlumaCalc!$AC$3:$AC$122,$T38)),"")</f>
        <v/>
      </c>
      <c r="L38" s="15">
        <f>IF(AND(ISNUMBER($T38),$T38&lt;&gt;""),IF(INDEX(IlumaCalc!$AD$3:$AD$122,$T38)="","—",INDEX(IlumaCalc!$AD$3:$AD$122,$T38)),"")</f>
        <v/>
      </c>
      <c r="M38" s="15">
        <f>IF(AND(ISNUMBER($T38),$T38&lt;&gt;""),IF(INDEX(IlumaCalc!$AE$3:$AE$122,$T38)="","—",INDEX(IlumaCalc!$AE$3:$AE$122,$T38)),"")</f>
        <v/>
      </c>
      <c r="N38" s="15">
        <f>IF(AND(ISNUMBER($T38),$T38&lt;&gt;""),IF(INDEX(IlumaCalc!$AF$3:$AF$122,$T38)="","—",INDEX(IlumaCalc!$AF$3:$AF$122,$T38)),"")</f>
        <v/>
      </c>
      <c r="O38" s="15">
        <f>IF(AND(ISNUMBER($T38),$T38&lt;&gt;""),IF(INDEX(IlumaCalc!$AG$3:$AG$122,$T38)="","—",INDEX(IlumaCalc!$AG$3:$AG$122,$T38)),"")</f>
        <v/>
      </c>
      <c r="P38" s="16">
        <f>IF(AND(ISNUMBER($T38),$T38&lt;&gt;""),IF(INDEX(IlumaCalc!$AJ$3:$AJ$122,$T38)="","—",INDEX(IlumaCalc!$AJ$3:$AJ$122,$T38)),"")</f>
        <v/>
      </c>
      <c r="Q38" s="16">
        <f>IF(AND(ISNUMBER($T38),$T38&lt;&gt;""),IF(INDEX(IlumaCalc!$AK$3:$AK$122,$T38)="","—",INDEX(IlumaCalc!$AK$3:$AK$122,$T38)),"")</f>
        <v/>
      </c>
      <c r="R38" s="15">
        <f>IF(AND(ISNUMBER($T38),$T38&lt;&gt;""),IF(INDEX(IlumaCalc!$AL$3:$AL$122,$T38)="","—",INDEX(IlumaCalc!$AL$3:$AL$122,$T38)),"")</f>
        <v/>
      </c>
      <c r="T38">
        <f>IFERROR(MATCH(34,IlumaCalc!$AN$3:$AN$122,0),"")</f>
        <v/>
      </c>
    </row>
    <row r="39">
      <c r="A39" s="19">
        <f>IF(AND(ISNUMBER($T39),$T39&lt;&gt;""),INDEX(IlumaCalc!$S$3:$S$122,$T39),"")</f>
        <v/>
      </c>
      <c r="B39" s="20">
        <f>IF(AND(ISNUMBER($T39),$T39&lt;&gt;""),IF(INDEX(IlumaCalc!$T$3:$T$122,$T39)="","—",INDEX(IlumaCalc!$T$3:$T$122,$T39)),"")</f>
        <v/>
      </c>
      <c r="C39" s="20">
        <f>IF(AND(ISNUMBER($T39),$T39&lt;&gt;""),IF(INDEX(IlumaCalc!$U$3:$U$122,$T39)="","—",INDEX(IlumaCalc!$U$3:$U$122,$T39)),"")</f>
        <v/>
      </c>
      <c r="D39" s="20">
        <f>IF(AND(ISNUMBER($T39),$T39&lt;&gt;""),IF(INDEX(IlumaCalc!$V$3:$V$122,$T39)="","—",INDEX(IlumaCalc!$V$3:$V$122,$T39)),"")</f>
        <v/>
      </c>
      <c r="E39" s="20">
        <f>IF(AND(ISNUMBER($T39),$T39&lt;&gt;""),IF(INDEX(IlumaCalc!$W$3:$W$122,$T39)="","—",INDEX(IlumaCalc!$W$3:$W$122,$T39)),"")</f>
        <v/>
      </c>
      <c r="F39" s="20">
        <f>IF(AND(ISNUMBER($T39),$T39&lt;&gt;""),IF(INDEX(IlumaCalc!$X$3:$X$122,$T39)="","—",INDEX(IlumaCalc!$X$3:$X$122,$T39)),"")</f>
        <v/>
      </c>
      <c r="G39" s="20">
        <f>IF(AND(ISNUMBER($T39),$T39&lt;&gt;""),IF(INDEX(IlumaCalc!$Y$3:$Y$122,$T39)="","—",INDEX(IlumaCalc!$Y$3:$Y$122,$T39)),"")</f>
        <v/>
      </c>
      <c r="H39" s="20">
        <f>IF(AND(ISNUMBER($T39),$T39&lt;&gt;""),IF(INDEX(IlumaCalc!$Z$3:$Z$122,$T39)="","—",INDEX(IlumaCalc!$Z$3:$Z$122,$T39)),"")</f>
        <v/>
      </c>
      <c r="I39" s="20">
        <f>IF(AND(ISNUMBER($T39),$T39&lt;&gt;""),IF(INDEX(IlumaCalc!$AA$3:$AA$122,$T39)="","—",INDEX(IlumaCalc!$AA$3:$AA$122,$T39)),"")</f>
        <v/>
      </c>
      <c r="J39" s="20">
        <f>IF(AND(ISNUMBER($T39),$T39&lt;&gt;""),IF(INDEX(IlumaCalc!$AB$3:$AB$122,$T39)="","—",INDEX(IlumaCalc!$AB$3:$AB$122,$T39)),"")</f>
        <v/>
      </c>
      <c r="K39" s="20">
        <f>IF(AND(ISNUMBER($T39),$T39&lt;&gt;""),IF(INDEX(IlumaCalc!$AC$3:$AC$122,$T39)="","—",INDEX(IlumaCalc!$AC$3:$AC$122,$T39)),"")</f>
        <v/>
      </c>
      <c r="L39" s="20">
        <f>IF(AND(ISNUMBER($T39),$T39&lt;&gt;""),IF(INDEX(IlumaCalc!$AD$3:$AD$122,$T39)="","—",INDEX(IlumaCalc!$AD$3:$AD$122,$T39)),"")</f>
        <v/>
      </c>
      <c r="M39" s="20">
        <f>IF(AND(ISNUMBER($T39),$T39&lt;&gt;""),IF(INDEX(IlumaCalc!$AE$3:$AE$122,$T39)="","—",INDEX(IlumaCalc!$AE$3:$AE$122,$T39)),"")</f>
        <v/>
      </c>
      <c r="N39" s="20">
        <f>IF(AND(ISNUMBER($T39),$T39&lt;&gt;""),IF(INDEX(IlumaCalc!$AF$3:$AF$122,$T39)="","—",INDEX(IlumaCalc!$AF$3:$AF$122,$T39)),"")</f>
        <v/>
      </c>
      <c r="O39" s="20">
        <f>IF(AND(ISNUMBER($T39),$T39&lt;&gt;""),IF(INDEX(IlumaCalc!$AG$3:$AG$122,$T39)="","—",INDEX(IlumaCalc!$AG$3:$AG$122,$T39)),"")</f>
        <v/>
      </c>
      <c r="P39" s="21">
        <f>IF(AND(ISNUMBER($T39),$T39&lt;&gt;""),IF(INDEX(IlumaCalc!$AJ$3:$AJ$122,$T39)="","—",INDEX(IlumaCalc!$AJ$3:$AJ$122,$T39)),"")</f>
        <v/>
      </c>
      <c r="Q39" s="21">
        <f>IF(AND(ISNUMBER($T39),$T39&lt;&gt;""),IF(INDEX(IlumaCalc!$AK$3:$AK$122,$T39)="","—",INDEX(IlumaCalc!$AK$3:$AK$122,$T39)),"")</f>
        <v/>
      </c>
      <c r="R39" s="20">
        <f>IF(AND(ISNUMBER($T39),$T39&lt;&gt;""),IF(INDEX(IlumaCalc!$AL$3:$AL$122,$T39)="","—",INDEX(IlumaCalc!$AL$3:$AL$122,$T39)),"")</f>
        <v/>
      </c>
      <c r="T39">
        <f>IFERROR(MATCH(35,IlumaCalc!$AN$3:$AN$122,0),"")</f>
        <v/>
      </c>
    </row>
    <row r="40">
      <c r="A40" s="14">
        <f>IF(AND(ISNUMBER($T40),$T40&lt;&gt;""),INDEX(IlumaCalc!$S$3:$S$122,$T40),"")</f>
        <v/>
      </c>
      <c r="B40" s="15">
        <f>IF(AND(ISNUMBER($T40),$T40&lt;&gt;""),IF(INDEX(IlumaCalc!$T$3:$T$122,$T40)="","—",INDEX(IlumaCalc!$T$3:$T$122,$T40)),"")</f>
        <v/>
      </c>
      <c r="C40" s="15">
        <f>IF(AND(ISNUMBER($T40),$T40&lt;&gt;""),IF(INDEX(IlumaCalc!$U$3:$U$122,$T40)="","—",INDEX(IlumaCalc!$U$3:$U$122,$T40)),"")</f>
        <v/>
      </c>
      <c r="D40" s="15">
        <f>IF(AND(ISNUMBER($T40),$T40&lt;&gt;""),IF(INDEX(IlumaCalc!$V$3:$V$122,$T40)="","—",INDEX(IlumaCalc!$V$3:$V$122,$T40)),"")</f>
        <v/>
      </c>
      <c r="E40" s="15">
        <f>IF(AND(ISNUMBER($T40),$T40&lt;&gt;""),IF(INDEX(IlumaCalc!$W$3:$W$122,$T40)="","—",INDEX(IlumaCalc!$W$3:$W$122,$T40)),"")</f>
        <v/>
      </c>
      <c r="F40" s="15">
        <f>IF(AND(ISNUMBER($T40),$T40&lt;&gt;""),IF(INDEX(IlumaCalc!$X$3:$X$122,$T40)="","—",INDEX(IlumaCalc!$X$3:$X$122,$T40)),"")</f>
        <v/>
      </c>
      <c r="G40" s="15">
        <f>IF(AND(ISNUMBER($T40),$T40&lt;&gt;""),IF(INDEX(IlumaCalc!$Y$3:$Y$122,$T40)="","—",INDEX(IlumaCalc!$Y$3:$Y$122,$T40)),"")</f>
        <v/>
      </c>
      <c r="H40" s="15">
        <f>IF(AND(ISNUMBER($T40),$T40&lt;&gt;""),IF(INDEX(IlumaCalc!$Z$3:$Z$122,$T40)="","—",INDEX(IlumaCalc!$Z$3:$Z$122,$T40)),"")</f>
        <v/>
      </c>
      <c r="I40" s="15">
        <f>IF(AND(ISNUMBER($T40),$T40&lt;&gt;""),IF(INDEX(IlumaCalc!$AA$3:$AA$122,$T40)="","—",INDEX(IlumaCalc!$AA$3:$AA$122,$T40)),"")</f>
        <v/>
      </c>
      <c r="J40" s="15">
        <f>IF(AND(ISNUMBER($T40),$T40&lt;&gt;""),IF(INDEX(IlumaCalc!$AB$3:$AB$122,$T40)="","—",INDEX(IlumaCalc!$AB$3:$AB$122,$T40)),"")</f>
        <v/>
      </c>
      <c r="K40" s="15">
        <f>IF(AND(ISNUMBER($T40),$T40&lt;&gt;""),IF(INDEX(IlumaCalc!$AC$3:$AC$122,$T40)="","—",INDEX(IlumaCalc!$AC$3:$AC$122,$T40)),"")</f>
        <v/>
      </c>
      <c r="L40" s="15">
        <f>IF(AND(ISNUMBER($T40),$T40&lt;&gt;""),IF(INDEX(IlumaCalc!$AD$3:$AD$122,$T40)="","—",INDEX(IlumaCalc!$AD$3:$AD$122,$T40)),"")</f>
        <v/>
      </c>
      <c r="M40" s="15">
        <f>IF(AND(ISNUMBER($T40),$T40&lt;&gt;""),IF(INDEX(IlumaCalc!$AE$3:$AE$122,$T40)="","—",INDEX(IlumaCalc!$AE$3:$AE$122,$T40)),"")</f>
        <v/>
      </c>
      <c r="N40" s="15">
        <f>IF(AND(ISNUMBER($T40),$T40&lt;&gt;""),IF(INDEX(IlumaCalc!$AF$3:$AF$122,$T40)="","—",INDEX(IlumaCalc!$AF$3:$AF$122,$T40)),"")</f>
        <v/>
      </c>
      <c r="O40" s="15">
        <f>IF(AND(ISNUMBER($T40),$T40&lt;&gt;""),IF(INDEX(IlumaCalc!$AG$3:$AG$122,$T40)="","—",INDEX(IlumaCalc!$AG$3:$AG$122,$T40)),"")</f>
        <v/>
      </c>
      <c r="P40" s="16">
        <f>IF(AND(ISNUMBER($T40),$T40&lt;&gt;""),IF(INDEX(IlumaCalc!$AJ$3:$AJ$122,$T40)="","—",INDEX(IlumaCalc!$AJ$3:$AJ$122,$T40)),"")</f>
        <v/>
      </c>
      <c r="Q40" s="16">
        <f>IF(AND(ISNUMBER($T40),$T40&lt;&gt;""),IF(INDEX(IlumaCalc!$AK$3:$AK$122,$T40)="","—",INDEX(IlumaCalc!$AK$3:$AK$122,$T40)),"")</f>
        <v/>
      </c>
      <c r="R40" s="15">
        <f>IF(AND(ISNUMBER($T40),$T40&lt;&gt;""),IF(INDEX(IlumaCalc!$AL$3:$AL$122,$T40)="","—",INDEX(IlumaCalc!$AL$3:$AL$122,$T40)),"")</f>
        <v/>
      </c>
      <c r="T40">
        <f>IFERROR(MATCH(36,IlumaCalc!$AN$3:$AN$122,0),"")</f>
        <v/>
      </c>
    </row>
    <row r="41">
      <c r="A41" s="19">
        <f>IF(AND(ISNUMBER($T41),$T41&lt;&gt;""),INDEX(IlumaCalc!$S$3:$S$122,$T41),"")</f>
        <v/>
      </c>
      <c r="B41" s="20">
        <f>IF(AND(ISNUMBER($T41),$T41&lt;&gt;""),IF(INDEX(IlumaCalc!$T$3:$T$122,$T41)="","—",INDEX(IlumaCalc!$T$3:$T$122,$T41)),"")</f>
        <v/>
      </c>
      <c r="C41" s="20">
        <f>IF(AND(ISNUMBER($T41),$T41&lt;&gt;""),IF(INDEX(IlumaCalc!$U$3:$U$122,$T41)="","—",INDEX(IlumaCalc!$U$3:$U$122,$T41)),"")</f>
        <v/>
      </c>
      <c r="D41" s="20">
        <f>IF(AND(ISNUMBER($T41),$T41&lt;&gt;""),IF(INDEX(IlumaCalc!$V$3:$V$122,$T41)="","—",INDEX(IlumaCalc!$V$3:$V$122,$T41)),"")</f>
        <v/>
      </c>
      <c r="E41" s="20">
        <f>IF(AND(ISNUMBER($T41),$T41&lt;&gt;""),IF(INDEX(IlumaCalc!$W$3:$W$122,$T41)="","—",INDEX(IlumaCalc!$W$3:$W$122,$T41)),"")</f>
        <v/>
      </c>
      <c r="F41" s="20">
        <f>IF(AND(ISNUMBER($T41),$T41&lt;&gt;""),IF(INDEX(IlumaCalc!$X$3:$X$122,$T41)="","—",INDEX(IlumaCalc!$X$3:$X$122,$T41)),"")</f>
        <v/>
      </c>
      <c r="G41" s="20">
        <f>IF(AND(ISNUMBER($T41),$T41&lt;&gt;""),IF(INDEX(IlumaCalc!$Y$3:$Y$122,$T41)="","—",INDEX(IlumaCalc!$Y$3:$Y$122,$T41)),"")</f>
        <v/>
      </c>
      <c r="H41" s="20">
        <f>IF(AND(ISNUMBER($T41),$T41&lt;&gt;""),IF(INDEX(IlumaCalc!$Z$3:$Z$122,$T41)="","—",INDEX(IlumaCalc!$Z$3:$Z$122,$T41)),"")</f>
        <v/>
      </c>
      <c r="I41" s="20">
        <f>IF(AND(ISNUMBER($T41),$T41&lt;&gt;""),IF(INDEX(IlumaCalc!$AA$3:$AA$122,$T41)="","—",INDEX(IlumaCalc!$AA$3:$AA$122,$T41)),"")</f>
        <v/>
      </c>
      <c r="J41" s="20">
        <f>IF(AND(ISNUMBER($T41),$T41&lt;&gt;""),IF(INDEX(IlumaCalc!$AB$3:$AB$122,$T41)="","—",INDEX(IlumaCalc!$AB$3:$AB$122,$T41)),"")</f>
        <v/>
      </c>
      <c r="K41" s="20">
        <f>IF(AND(ISNUMBER($T41),$T41&lt;&gt;""),IF(INDEX(IlumaCalc!$AC$3:$AC$122,$T41)="","—",INDEX(IlumaCalc!$AC$3:$AC$122,$T41)),"")</f>
        <v/>
      </c>
      <c r="L41" s="20">
        <f>IF(AND(ISNUMBER($T41),$T41&lt;&gt;""),IF(INDEX(IlumaCalc!$AD$3:$AD$122,$T41)="","—",INDEX(IlumaCalc!$AD$3:$AD$122,$T41)),"")</f>
        <v/>
      </c>
      <c r="M41" s="20">
        <f>IF(AND(ISNUMBER($T41),$T41&lt;&gt;""),IF(INDEX(IlumaCalc!$AE$3:$AE$122,$T41)="","—",INDEX(IlumaCalc!$AE$3:$AE$122,$T41)),"")</f>
        <v/>
      </c>
      <c r="N41" s="20">
        <f>IF(AND(ISNUMBER($T41),$T41&lt;&gt;""),IF(INDEX(IlumaCalc!$AF$3:$AF$122,$T41)="","—",INDEX(IlumaCalc!$AF$3:$AF$122,$T41)),"")</f>
        <v/>
      </c>
      <c r="O41" s="20">
        <f>IF(AND(ISNUMBER($T41),$T41&lt;&gt;""),IF(INDEX(IlumaCalc!$AG$3:$AG$122,$T41)="","—",INDEX(IlumaCalc!$AG$3:$AG$122,$T41)),"")</f>
        <v/>
      </c>
      <c r="P41" s="21">
        <f>IF(AND(ISNUMBER($T41),$T41&lt;&gt;""),IF(INDEX(IlumaCalc!$AJ$3:$AJ$122,$T41)="","—",INDEX(IlumaCalc!$AJ$3:$AJ$122,$T41)),"")</f>
        <v/>
      </c>
      <c r="Q41" s="21">
        <f>IF(AND(ISNUMBER($T41),$T41&lt;&gt;""),IF(INDEX(IlumaCalc!$AK$3:$AK$122,$T41)="","—",INDEX(IlumaCalc!$AK$3:$AK$122,$T41)),"")</f>
        <v/>
      </c>
      <c r="R41" s="20">
        <f>IF(AND(ISNUMBER($T41),$T41&lt;&gt;""),IF(INDEX(IlumaCalc!$AL$3:$AL$122,$T41)="","—",INDEX(IlumaCalc!$AL$3:$AL$122,$T41)),"")</f>
        <v/>
      </c>
      <c r="T41">
        <f>IFERROR(MATCH(37,IlumaCalc!$AN$3:$AN$122,0),"")</f>
        <v/>
      </c>
    </row>
    <row r="42">
      <c r="A42" s="14">
        <f>IF(AND(ISNUMBER($T42),$T42&lt;&gt;""),INDEX(IlumaCalc!$S$3:$S$122,$T42),"")</f>
        <v/>
      </c>
      <c r="B42" s="15">
        <f>IF(AND(ISNUMBER($T42),$T42&lt;&gt;""),IF(INDEX(IlumaCalc!$T$3:$T$122,$T42)="","—",INDEX(IlumaCalc!$T$3:$T$122,$T42)),"")</f>
        <v/>
      </c>
      <c r="C42" s="15">
        <f>IF(AND(ISNUMBER($T42),$T42&lt;&gt;""),IF(INDEX(IlumaCalc!$U$3:$U$122,$T42)="","—",INDEX(IlumaCalc!$U$3:$U$122,$T42)),"")</f>
        <v/>
      </c>
      <c r="D42" s="15">
        <f>IF(AND(ISNUMBER($T42),$T42&lt;&gt;""),IF(INDEX(IlumaCalc!$V$3:$V$122,$T42)="","—",INDEX(IlumaCalc!$V$3:$V$122,$T42)),"")</f>
        <v/>
      </c>
      <c r="E42" s="15">
        <f>IF(AND(ISNUMBER($T42),$T42&lt;&gt;""),IF(INDEX(IlumaCalc!$W$3:$W$122,$T42)="","—",INDEX(IlumaCalc!$W$3:$W$122,$T42)),"")</f>
        <v/>
      </c>
      <c r="F42" s="15">
        <f>IF(AND(ISNUMBER($T42),$T42&lt;&gt;""),IF(INDEX(IlumaCalc!$X$3:$X$122,$T42)="","—",INDEX(IlumaCalc!$X$3:$X$122,$T42)),"")</f>
        <v/>
      </c>
      <c r="G42" s="15">
        <f>IF(AND(ISNUMBER($T42),$T42&lt;&gt;""),IF(INDEX(IlumaCalc!$Y$3:$Y$122,$T42)="","—",INDEX(IlumaCalc!$Y$3:$Y$122,$T42)),"")</f>
        <v/>
      </c>
      <c r="H42" s="15">
        <f>IF(AND(ISNUMBER($T42),$T42&lt;&gt;""),IF(INDEX(IlumaCalc!$Z$3:$Z$122,$T42)="","—",INDEX(IlumaCalc!$Z$3:$Z$122,$T42)),"")</f>
        <v/>
      </c>
      <c r="I42" s="15">
        <f>IF(AND(ISNUMBER($T42),$T42&lt;&gt;""),IF(INDEX(IlumaCalc!$AA$3:$AA$122,$T42)="","—",INDEX(IlumaCalc!$AA$3:$AA$122,$T42)),"")</f>
        <v/>
      </c>
      <c r="J42" s="15">
        <f>IF(AND(ISNUMBER($T42),$T42&lt;&gt;""),IF(INDEX(IlumaCalc!$AB$3:$AB$122,$T42)="","—",INDEX(IlumaCalc!$AB$3:$AB$122,$T42)),"")</f>
        <v/>
      </c>
      <c r="K42" s="15">
        <f>IF(AND(ISNUMBER($T42),$T42&lt;&gt;""),IF(INDEX(IlumaCalc!$AC$3:$AC$122,$T42)="","—",INDEX(IlumaCalc!$AC$3:$AC$122,$T42)),"")</f>
        <v/>
      </c>
      <c r="L42" s="15">
        <f>IF(AND(ISNUMBER($T42),$T42&lt;&gt;""),IF(INDEX(IlumaCalc!$AD$3:$AD$122,$T42)="","—",INDEX(IlumaCalc!$AD$3:$AD$122,$T42)),"")</f>
        <v/>
      </c>
      <c r="M42" s="15">
        <f>IF(AND(ISNUMBER($T42),$T42&lt;&gt;""),IF(INDEX(IlumaCalc!$AE$3:$AE$122,$T42)="","—",INDEX(IlumaCalc!$AE$3:$AE$122,$T42)),"")</f>
        <v/>
      </c>
      <c r="N42" s="15">
        <f>IF(AND(ISNUMBER($T42),$T42&lt;&gt;""),IF(INDEX(IlumaCalc!$AF$3:$AF$122,$T42)="","—",INDEX(IlumaCalc!$AF$3:$AF$122,$T42)),"")</f>
        <v/>
      </c>
      <c r="O42" s="15">
        <f>IF(AND(ISNUMBER($T42),$T42&lt;&gt;""),IF(INDEX(IlumaCalc!$AG$3:$AG$122,$T42)="","—",INDEX(IlumaCalc!$AG$3:$AG$122,$T42)),"")</f>
        <v/>
      </c>
      <c r="P42" s="16">
        <f>IF(AND(ISNUMBER($T42),$T42&lt;&gt;""),IF(INDEX(IlumaCalc!$AJ$3:$AJ$122,$T42)="","—",INDEX(IlumaCalc!$AJ$3:$AJ$122,$T42)),"")</f>
        <v/>
      </c>
      <c r="Q42" s="16">
        <f>IF(AND(ISNUMBER($T42),$T42&lt;&gt;""),IF(INDEX(IlumaCalc!$AK$3:$AK$122,$T42)="","—",INDEX(IlumaCalc!$AK$3:$AK$122,$T42)),"")</f>
        <v/>
      </c>
      <c r="R42" s="15">
        <f>IF(AND(ISNUMBER($T42),$T42&lt;&gt;""),IF(INDEX(IlumaCalc!$AL$3:$AL$122,$T42)="","—",INDEX(IlumaCalc!$AL$3:$AL$122,$T42)),"")</f>
        <v/>
      </c>
      <c r="T42">
        <f>IFERROR(MATCH(38,IlumaCalc!$AN$3:$AN$122,0),"")</f>
        <v/>
      </c>
    </row>
    <row r="43">
      <c r="A43" s="19">
        <f>IF(AND(ISNUMBER($T43),$T43&lt;&gt;""),INDEX(IlumaCalc!$S$3:$S$122,$T43),"")</f>
        <v/>
      </c>
      <c r="B43" s="20">
        <f>IF(AND(ISNUMBER($T43),$T43&lt;&gt;""),IF(INDEX(IlumaCalc!$T$3:$T$122,$T43)="","—",INDEX(IlumaCalc!$T$3:$T$122,$T43)),"")</f>
        <v/>
      </c>
      <c r="C43" s="20">
        <f>IF(AND(ISNUMBER($T43),$T43&lt;&gt;""),IF(INDEX(IlumaCalc!$U$3:$U$122,$T43)="","—",INDEX(IlumaCalc!$U$3:$U$122,$T43)),"")</f>
        <v/>
      </c>
      <c r="D43" s="20">
        <f>IF(AND(ISNUMBER($T43),$T43&lt;&gt;""),IF(INDEX(IlumaCalc!$V$3:$V$122,$T43)="","—",INDEX(IlumaCalc!$V$3:$V$122,$T43)),"")</f>
        <v/>
      </c>
      <c r="E43" s="20">
        <f>IF(AND(ISNUMBER($T43),$T43&lt;&gt;""),IF(INDEX(IlumaCalc!$W$3:$W$122,$T43)="","—",INDEX(IlumaCalc!$W$3:$W$122,$T43)),"")</f>
        <v/>
      </c>
      <c r="F43" s="20">
        <f>IF(AND(ISNUMBER($T43),$T43&lt;&gt;""),IF(INDEX(IlumaCalc!$X$3:$X$122,$T43)="","—",INDEX(IlumaCalc!$X$3:$X$122,$T43)),"")</f>
        <v/>
      </c>
      <c r="G43" s="20">
        <f>IF(AND(ISNUMBER($T43),$T43&lt;&gt;""),IF(INDEX(IlumaCalc!$Y$3:$Y$122,$T43)="","—",INDEX(IlumaCalc!$Y$3:$Y$122,$T43)),"")</f>
        <v/>
      </c>
      <c r="H43" s="20">
        <f>IF(AND(ISNUMBER($T43),$T43&lt;&gt;""),IF(INDEX(IlumaCalc!$Z$3:$Z$122,$T43)="","—",INDEX(IlumaCalc!$Z$3:$Z$122,$T43)),"")</f>
        <v/>
      </c>
      <c r="I43" s="20">
        <f>IF(AND(ISNUMBER($T43),$T43&lt;&gt;""),IF(INDEX(IlumaCalc!$AA$3:$AA$122,$T43)="","—",INDEX(IlumaCalc!$AA$3:$AA$122,$T43)),"")</f>
        <v/>
      </c>
      <c r="J43" s="20">
        <f>IF(AND(ISNUMBER($T43),$T43&lt;&gt;""),IF(INDEX(IlumaCalc!$AB$3:$AB$122,$T43)="","—",INDEX(IlumaCalc!$AB$3:$AB$122,$T43)),"")</f>
        <v/>
      </c>
      <c r="K43" s="20">
        <f>IF(AND(ISNUMBER($T43),$T43&lt;&gt;""),IF(INDEX(IlumaCalc!$AC$3:$AC$122,$T43)="","—",INDEX(IlumaCalc!$AC$3:$AC$122,$T43)),"")</f>
        <v/>
      </c>
      <c r="L43" s="20">
        <f>IF(AND(ISNUMBER($T43),$T43&lt;&gt;""),IF(INDEX(IlumaCalc!$AD$3:$AD$122,$T43)="","—",INDEX(IlumaCalc!$AD$3:$AD$122,$T43)),"")</f>
        <v/>
      </c>
      <c r="M43" s="20">
        <f>IF(AND(ISNUMBER($T43),$T43&lt;&gt;""),IF(INDEX(IlumaCalc!$AE$3:$AE$122,$T43)="","—",INDEX(IlumaCalc!$AE$3:$AE$122,$T43)),"")</f>
        <v/>
      </c>
      <c r="N43" s="20">
        <f>IF(AND(ISNUMBER($T43),$T43&lt;&gt;""),IF(INDEX(IlumaCalc!$AF$3:$AF$122,$T43)="","—",INDEX(IlumaCalc!$AF$3:$AF$122,$T43)),"")</f>
        <v/>
      </c>
      <c r="O43" s="20">
        <f>IF(AND(ISNUMBER($T43),$T43&lt;&gt;""),IF(INDEX(IlumaCalc!$AG$3:$AG$122,$T43)="","—",INDEX(IlumaCalc!$AG$3:$AG$122,$T43)),"")</f>
        <v/>
      </c>
      <c r="P43" s="21">
        <f>IF(AND(ISNUMBER($T43),$T43&lt;&gt;""),IF(INDEX(IlumaCalc!$AJ$3:$AJ$122,$T43)="","—",INDEX(IlumaCalc!$AJ$3:$AJ$122,$T43)),"")</f>
        <v/>
      </c>
      <c r="Q43" s="21">
        <f>IF(AND(ISNUMBER($T43),$T43&lt;&gt;""),IF(INDEX(IlumaCalc!$AK$3:$AK$122,$T43)="","—",INDEX(IlumaCalc!$AK$3:$AK$122,$T43)),"")</f>
        <v/>
      </c>
      <c r="R43" s="20">
        <f>IF(AND(ISNUMBER($T43),$T43&lt;&gt;""),IF(INDEX(IlumaCalc!$AL$3:$AL$122,$T43)="","—",INDEX(IlumaCalc!$AL$3:$AL$122,$T43)),"")</f>
        <v/>
      </c>
      <c r="T43">
        <f>IFERROR(MATCH(39,IlumaCalc!$AN$3:$AN$122,0),"")</f>
        <v/>
      </c>
    </row>
    <row r="44">
      <c r="A44" s="14">
        <f>IF(AND(ISNUMBER($T44),$T44&lt;&gt;""),INDEX(IlumaCalc!$S$3:$S$122,$T44),"")</f>
        <v/>
      </c>
      <c r="B44" s="15">
        <f>IF(AND(ISNUMBER($T44),$T44&lt;&gt;""),IF(INDEX(IlumaCalc!$T$3:$T$122,$T44)="","—",INDEX(IlumaCalc!$T$3:$T$122,$T44)),"")</f>
        <v/>
      </c>
      <c r="C44" s="15">
        <f>IF(AND(ISNUMBER($T44),$T44&lt;&gt;""),IF(INDEX(IlumaCalc!$U$3:$U$122,$T44)="","—",INDEX(IlumaCalc!$U$3:$U$122,$T44)),"")</f>
        <v/>
      </c>
      <c r="D44" s="15">
        <f>IF(AND(ISNUMBER($T44),$T44&lt;&gt;""),IF(INDEX(IlumaCalc!$V$3:$V$122,$T44)="","—",INDEX(IlumaCalc!$V$3:$V$122,$T44)),"")</f>
        <v/>
      </c>
      <c r="E44" s="15">
        <f>IF(AND(ISNUMBER($T44),$T44&lt;&gt;""),IF(INDEX(IlumaCalc!$W$3:$W$122,$T44)="","—",INDEX(IlumaCalc!$W$3:$W$122,$T44)),"")</f>
        <v/>
      </c>
      <c r="F44" s="15">
        <f>IF(AND(ISNUMBER($T44),$T44&lt;&gt;""),IF(INDEX(IlumaCalc!$X$3:$X$122,$T44)="","—",INDEX(IlumaCalc!$X$3:$X$122,$T44)),"")</f>
        <v/>
      </c>
      <c r="G44" s="15">
        <f>IF(AND(ISNUMBER($T44),$T44&lt;&gt;""),IF(INDEX(IlumaCalc!$Y$3:$Y$122,$T44)="","—",INDEX(IlumaCalc!$Y$3:$Y$122,$T44)),"")</f>
        <v/>
      </c>
      <c r="H44" s="15">
        <f>IF(AND(ISNUMBER($T44),$T44&lt;&gt;""),IF(INDEX(IlumaCalc!$Z$3:$Z$122,$T44)="","—",INDEX(IlumaCalc!$Z$3:$Z$122,$T44)),"")</f>
        <v/>
      </c>
      <c r="I44" s="15">
        <f>IF(AND(ISNUMBER($T44),$T44&lt;&gt;""),IF(INDEX(IlumaCalc!$AA$3:$AA$122,$T44)="","—",INDEX(IlumaCalc!$AA$3:$AA$122,$T44)),"")</f>
        <v/>
      </c>
      <c r="J44" s="15">
        <f>IF(AND(ISNUMBER($T44),$T44&lt;&gt;""),IF(INDEX(IlumaCalc!$AB$3:$AB$122,$T44)="","—",INDEX(IlumaCalc!$AB$3:$AB$122,$T44)),"")</f>
        <v/>
      </c>
      <c r="K44" s="15">
        <f>IF(AND(ISNUMBER($T44),$T44&lt;&gt;""),IF(INDEX(IlumaCalc!$AC$3:$AC$122,$T44)="","—",INDEX(IlumaCalc!$AC$3:$AC$122,$T44)),"")</f>
        <v/>
      </c>
      <c r="L44" s="15">
        <f>IF(AND(ISNUMBER($T44),$T44&lt;&gt;""),IF(INDEX(IlumaCalc!$AD$3:$AD$122,$T44)="","—",INDEX(IlumaCalc!$AD$3:$AD$122,$T44)),"")</f>
        <v/>
      </c>
      <c r="M44" s="15">
        <f>IF(AND(ISNUMBER($T44),$T44&lt;&gt;""),IF(INDEX(IlumaCalc!$AE$3:$AE$122,$T44)="","—",INDEX(IlumaCalc!$AE$3:$AE$122,$T44)),"")</f>
        <v/>
      </c>
      <c r="N44" s="15">
        <f>IF(AND(ISNUMBER($T44),$T44&lt;&gt;""),IF(INDEX(IlumaCalc!$AF$3:$AF$122,$T44)="","—",INDEX(IlumaCalc!$AF$3:$AF$122,$T44)),"")</f>
        <v/>
      </c>
      <c r="O44" s="15">
        <f>IF(AND(ISNUMBER($T44),$T44&lt;&gt;""),IF(INDEX(IlumaCalc!$AG$3:$AG$122,$T44)="","—",INDEX(IlumaCalc!$AG$3:$AG$122,$T44)),"")</f>
        <v/>
      </c>
      <c r="P44" s="16">
        <f>IF(AND(ISNUMBER($T44),$T44&lt;&gt;""),IF(INDEX(IlumaCalc!$AJ$3:$AJ$122,$T44)="","—",INDEX(IlumaCalc!$AJ$3:$AJ$122,$T44)),"")</f>
        <v/>
      </c>
      <c r="Q44" s="16">
        <f>IF(AND(ISNUMBER($T44),$T44&lt;&gt;""),IF(INDEX(IlumaCalc!$AK$3:$AK$122,$T44)="","—",INDEX(IlumaCalc!$AK$3:$AK$122,$T44)),"")</f>
        <v/>
      </c>
      <c r="R44" s="15">
        <f>IF(AND(ISNUMBER($T44),$T44&lt;&gt;""),IF(INDEX(IlumaCalc!$AL$3:$AL$122,$T44)="","—",INDEX(IlumaCalc!$AL$3:$AL$122,$T44)),"")</f>
        <v/>
      </c>
      <c r="T44">
        <f>IFERROR(MATCH(40,IlumaCalc!$AN$3:$AN$122,0),"")</f>
        <v/>
      </c>
    </row>
    <row r="45">
      <c r="A45" s="19">
        <f>IF(AND(ISNUMBER($T45),$T45&lt;&gt;""),INDEX(IlumaCalc!$S$3:$S$122,$T45),"")</f>
        <v/>
      </c>
      <c r="B45" s="20">
        <f>IF(AND(ISNUMBER($T45),$T45&lt;&gt;""),IF(INDEX(IlumaCalc!$T$3:$T$122,$T45)="","—",INDEX(IlumaCalc!$T$3:$T$122,$T45)),"")</f>
        <v/>
      </c>
      <c r="C45" s="20">
        <f>IF(AND(ISNUMBER($T45),$T45&lt;&gt;""),IF(INDEX(IlumaCalc!$U$3:$U$122,$T45)="","—",INDEX(IlumaCalc!$U$3:$U$122,$T45)),"")</f>
        <v/>
      </c>
      <c r="D45" s="20">
        <f>IF(AND(ISNUMBER($T45),$T45&lt;&gt;""),IF(INDEX(IlumaCalc!$V$3:$V$122,$T45)="","—",INDEX(IlumaCalc!$V$3:$V$122,$T45)),"")</f>
        <v/>
      </c>
      <c r="E45" s="20">
        <f>IF(AND(ISNUMBER($T45),$T45&lt;&gt;""),IF(INDEX(IlumaCalc!$W$3:$W$122,$T45)="","—",INDEX(IlumaCalc!$W$3:$W$122,$T45)),"")</f>
        <v/>
      </c>
      <c r="F45" s="20">
        <f>IF(AND(ISNUMBER($T45),$T45&lt;&gt;""),IF(INDEX(IlumaCalc!$X$3:$X$122,$T45)="","—",INDEX(IlumaCalc!$X$3:$X$122,$T45)),"")</f>
        <v/>
      </c>
      <c r="G45" s="20">
        <f>IF(AND(ISNUMBER($T45),$T45&lt;&gt;""),IF(INDEX(IlumaCalc!$Y$3:$Y$122,$T45)="","—",INDEX(IlumaCalc!$Y$3:$Y$122,$T45)),"")</f>
        <v/>
      </c>
      <c r="H45" s="20">
        <f>IF(AND(ISNUMBER($T45),$T45&lt;&gt;""),IF(INDEX(IlumaCalc!$Z$3:$Z$122,$T45)="","—",INDEX(IlumaCalc!$Z$3:$Z$122,$T45)),"")</f>
        <v/>
      </c>
      <c r="I45" s="20">
        <f>IF(AND(ISNUMBER($T45),$T45&lt;&gt;""),IF(INDEX(IlumaCalc!$AA$3:$AA$122,$T45)="","—",INDEX(IlumaCalc!$AA$3:$AA$122,$T45)),"")</f>
        <v/>
      </c>
      <c r="J45" s="20">
        <f>IF(AND(ISNUMBER($T45),$T45&lt;&gt;""),IF(INDEX(IlumaCalc!$AB$3:$AB$122,$T45)="","—",INDEX(IlumaCalc!$AB$3:$AB$122,$T45)),"")</f>
        <v/>
      </c>
      <c r="K45" s="20">
        <f>IF(AND(ISNUMBER($T45),$T45&lt;&gt;""),IF(INDEX(IlumaCalc!$AC$3:$AC$122,$T45)="","—",INDEX(IlumaCalc!$AC$3:$AC$122,$T45)),"")</f>
        <v/>
      </c>
      <c r="L45" s="20">
        <f>IF(AND(ISNUMBER($T45),$T45&lt;&gt;""),IF(INDEX(IlumaCalc!$AD$3:$AD$122,$T45)="","—",INDEX(IlumaCalc!$AD$3:$AD$122,$T45)),"")</f>
        <v/>
      </c>
      <c r="M45" s="20">
        <f>IF(AND(ISNUMBER($T45),$T45&lt;&gt;""),IF(INDEX(IlumaCalc!$AE$3:$AE$122,$T45)="","—",INDEX(IlumaCalc!$AE$3:$AE$122,$T45)),"")</f>
        <v/>
      </c>
      <c r="N45" s="20">
        <f>IF(AND(ISNUMBER($T45),$T45&lt;&gt;""),IF(INDEX(IlumaCalc!$AF$3:$AF$122,$T45)="","—",INDEX(IlumaCalc!$AF$3:$AF$122,$T45)),"")</f>
        <v/>
      </c>
      <c r="O45" s="20">
        <f>IF(AND(ISNUMBER($T45),$T45&lt;&gt;""),IF(INDEX(IlumaCalc!$AG$3:$AG$122,$T45)="","—",INDEX(IlumaCalc!$AG$3:$AG$122,$T45)),"")</f>
        <v/>
      </c>
      <c r="P45" s="21">
        <f>IF(AND(ISNUMBER($T45),$T45&lt;&gt;""),IF(INDEX(IlumaCalc!$AJ$3:$AJ$122,$T45)="","—",INDEX(IlumaCalc!$AJ$3:$AJ$122,$T45)),"")</f>
        <v/>
      </c>
      <c r="Q45" s="21">
        <f>IF(AND(ISNUMBER($T45),$T45&lt;&gt;""),IF(INDEX(IlumaCalc!$AK$3:$AK$122,$T45)="","—",INDEX(IlumaCalc!$AK$3:$AK$122,$T45)),"")</f>
        <v/>
      </c>
      <c r="R45" s="20">
        <f>IF(AND(ISNUMBER($T45),$T45&lt;&gt;""),IF(INDEX(IlumaCalc!$AL$3:$AL$122,$T45)="","—",INDEX(IlumaCalc!$AL$3:$AL$122,$T45)),"")</f>
        <v/>
      </c>
      <c r="T45">
        <f>IFERROR(MATCH(41,IlumaCalc!$AN$3:$AN$122,0),"")</f>
        <v/>
      </c>
    </row>
    <row r="46">
      <c r="A46" s="14">
        <f>IF(AND(ISNUMBER($T46),$T46&lt;&gt;""),INDEX(IlumaCalc!$S$3:$S$122,$T46),"")</f>
        <v/>
      </c>
      <c r="B46" s="15">
        <f>IF(AND(ISNUMBER($T46),$T46&lt;&gt;""),IF(INDEX(IlumaCalc!$T$3:$T$122,$T46)="","—",INDEX(IlumaCalc!$T$3:$T$122,$T46)),"")</f>
        <v/>
      </c>
      <c r="C46" s="15">
        <f>IF(AND(ISNUMBER($T46),$T46&lt;&gt;""),IF(INDEX(IlumaCalc!$U$3:$U$122,$T46)="","—",INDEX(IlumaCalc!$U$3:$U$122,$T46)),"")</f>
        <v/>
      </c>
      <c r="D46" s="15">
        <f>IF(AND(ISNUMBER($T46),$T46&lt;&gt;""),IF(INDEX(IlumaCalc!$V$3:$V$122,$T46)="","—",INDEX(IlumaCalc!$V$3:$V$122,$T46)),"")</f>
        <v/>
      </c>
      <c r="E46" s="15">
        <f>IF(AND(ISNUMBER($T46),$T46&lt;&gt;""),IF(INDEX(IlumaCalc!$W$3:$W$122,$T46)="","—",INDEX(IlumaCalc!$W$3:$W$122,$T46)),"")</f>
        <v/>
      </c>
      <c r="F46" s="15">
        <f>IF(AND(ISNUMBER($T46),$T46&lt;&gt;""),IF(INDEX(IlumaCalc!$X$3:$X$122,$T46)="","—",INDEX(IlumaCalc!$X$3:$X$122,$T46)),"")</f>
        <v/>
      </c>
      <c r="G46" s="15">
        <f>IF(AND(ISNUMBER($T46),$T46&lt;&gt;""),IF(INDEX(IlumaCalc!$Y$3:$Y$122,$T46)="","—",INDEX(IlumaCalc!$Y$3:$Y$122,$T46)),"")</f>
        <v/>
      </c>
      <c r="H46" s="15">
        <f>IF(AND(ISNUMBER($T46),$T46&lt;&gt;""),IF(INDEX(IlumaCalc!$Z$3:$Z$122,$T46)="","—",INDEX(IlumaCalc!$Z$3:$Z$122,$T46)),"")</f>
        <v/>
      </c>
      <c r="I46" s="15">
        <f>IF(AND(ISNUMBER($T46),$T46&lt;&gt;""),IF(INDEX(IlumaCalc!$AA$3:$AA$122,$T46)="","—",INDEX(IlumaCalc!$AA$3:$AA$122,$T46)),"")</f>
        <v/>
      </c>
      <c r="J46" s="15">
        <f>IF(AND(ISNUMBER($T46),$T46&lt;&gt;""),IF(INDEX(IlumaCalc!$AB$3:$AB$122,$T46)="","—",INDEX(IlumaCalc!$AB$3:$AB$122,$T46)),"")</f>
        <v/>
      </c>
      <c r="K46" s="15">
        <f>IF(AND(ISNUMBER($T46),$T46&lt;&gt;""),IF(INDEX(IlumaCalc!$AC$3:$AC$122,$T46)="","—",INDEX(IlumaCalc!$AC$3:$AC$122,$T46)),"")</f>
        <v/>
      </c>
      <c r="L46" s="15">
        <f>IF(AND(ISNUMBER($T46),$T46&lt;&gt;""),IF(INDEX(IlumaCalc!$AD$3:$AD$122,$T46)="","—",INDEX(IlumaCalc!$AD$3:$AD$122,$T46)),"")</f>
        <v/>
      </c>
      <c r="M46" s="15">
        <f>IF(AND(ISNUMBER($T46),$T46&lt;&gt;""),IF(INDEX(IlumaCalc!$AE$3:$AE$122,$T46)="","—",INDEX(IlumaCalc!$AE$3:$AE$122,$T46)),"")</f>
        <v/>
      </c>
      <c r="N46" s="15">
        <f>IF(AND(ISNUMBER($T46),$T46&lt;&gt;""),IF(INDEX(IlumaCalc!$AF$3:$AF$122,$T46)="","—",INDEX(IlumaCalc!$AF$3:$AF$122,$T46)),"")</f>
        <v/>
      </c>
      <c r="O46" s="15">
        <f>IF(AND(ISNUMBER($T46),$T46&lt;&gt;""),IF(INDEX(IlumaCalc!$AG$3:$AG$122,$T46)="","—",INDEX(IlumaCalc!$AG$3:$AG$122,$T46)),"")</f>
        <v/>
      </c>
      <c r="P46" s="16">
        <f>IF(AND(ISNUMBER($T46),$T46&lt;&gt;""),IF(INDEX(IlumaCalc!$AJ$3:$AJ$122,$T46)="","—",INDEX(IlumaCalc!$AJ$3:$AJ$122,$T46)),"")</f>
        <v/>
      </c>
      <c r="Q46" s="16">
        <f>IF(AND(ISNUMBER($T46),$T46&lt;&gt;""),IF(INDEX(IlumaCalc!$AK$3:$AK$122,$T46)="","—",INDEX(IlumaCalc!$AK$3:$AK$122,$T46)),"")</f>
        <v/>
      </c>
      <c r="R46" s="15">
        <f>IF(AND(ISNUMBER($T46),$T46&lt;&gt;""),IF(INDEX(IlumaCalc!$AL$3:$AL$122,$T46)="","—",INDEX(IlumaCalc!$AL$3:$AL$122,$T46)),"")</f>
        <v/>
      </c>
      <c r="T46">
        <f>IFERROR(MATCH(42,IlumaCalc!$AN$3:$AN$122,0),"")</f>
        <v/>
      </c>
    </row>
    <row r="47">
      <c r="A47" s="19">
        <f>IF(AND(ISNUMBER($T47),$T47&lt;&gt;""),INDEX(IlumaCalc!$S$3:$S$122,$T47),"")</f>
        <v/>
      </c>
      <c r="B47" s="20">
        <f>IF(AND(ISNUMBER($T47),$T47&lt;&gt;""),IF(INDEX(IlumaCalc!$T$3:$T$122,$T47)="","—",INDEX(IlumaCalc!$T$3:$T$122,$T47)),"")</f>
        <v/>
      </c>
      <c r="C47" s="20">
        <f>IF(AND(ISNUMBER($T47),$T47&lt;&gt;""),IF(INDEX(IlumaCalc!$U$3:$U$122,$T47)="","—",INDEX(IlumaCalc!$U$3:$U$122,$T47)),"")</f>
        <v/>
      </c>
      <c r="D47" s="20">
        <f>IF(AND(ISNUMBER($T47),$T47&lt;&gt;""),IF(INDEX(IlumaCalc!$V$3:$V$122,$T47)="","—",INDEX(IlumaCalc!$V$3:$V$122,$T47)),"")</f>
        <v/>
      </c>
      <c r="E47" s="20">
        <f>IF(AND(ISNUMBER($T47),$T47&lt;&gt;""),IF(INDEX(IlumaCalc!$W$3:$W$122,$T47)="","—",INDEX(IlumaCalc!$W$3:$W$122,$T47)),"")</f>
        <v/>
      </c>
      <c r="F47" s="20">
        <f>IF(AND(ISNUMBER($T47),$T47&lt;&gt;""),IF(INDEX(IlumaCalc!$X$3:$X$122,$T47)="","—",INDEX(IlumaCalc!$X$3:$X$122,$T47)),"")</f>
        <v/>
      </c>
      <c r="G47" s="20">
        <f>IF(AND(ISNUMBER($T47),$T47&lt;&gt;""),IF(INDEX(IlumaCalc!$Y$3:$Y$122,$T47)="","—",INDEX(IlumaCalc!$Y$3:$Y$122,$T47)),"")</f>
        <v/>
      </c>
      <c r="H47" s="20">
        <f>IF(AND(ISNUMBER($T47),$T47&lt;&gt;""),IF(INDEX(IlumaCalc!$Z$3:$Z$122,$T47)="","—",INDEX(IlumaCalc!$Z$3:$Z$122,$T47)),"")</f>
        <v/>
      </c>
      <c r="I47" s="20">
        <f>IF(AND(ISNUMBER($T47),$T47&lt;&gt;""),IF(INDEX(IlumaCalc!$AA$3:$AA$122,$T47)="","—",INDEX(IlumaCalc!$AA$3:$AA$122,$T47)),"")</f>
        <v/>
      </c>
      <c r="J47" s="20">
        <f>IF(AND(ISNUMBER($T47),$T47&lt;&gt;""),IF(INDEX(IlumaCalc!$AB$3:$AB$122,$T47)="","—",INDEX(IlumaCalc!$AB$3:$AB$122,$T47)),"")</f>
        <v/>
      </c>
      <c r="K47" s="20">
        <f>IF(AND(ISNUMBER($T47),$T47&lt;&gt;""),IF(INDEX(IlumaCalc!$AC$3:$AC$122,$T47)="","—",INDEX(IlumaCalc!$AC$3:$AC$122,$T47)),"")</f>
        <v/>
      </c>
      <c r="L47" s="20">
        <f>IF(AND(ISNUMBER($T47),$T47&lt;&gt;""),IF(INDEX(IlumaCalc!$AD$3:$AD$122,$T47)="","—",INDEX(IlumaCalc!$AD$3:$AD$122,$T47)),"")</f>
        <v/>
      </c>
      <c r="M47" s="20">
        <f>IF(AND(ISNUMBER($T47),$T47&lt;&gt;""),IF(INDEX(IlumaCalc!$AE$3:$AE$122,$T47)="","—",INDEX(IlumaCalc!$AE$3:$AE$122,$T47)),"")</f>
        <v/>
      </c>
      <c r="N47" s="20">
        <f>IF(AND(ISNUMBER($T47),$T47&lt;&gt;""),IF(INDEX(IlumaCalc!$AF$3:$AF$122,$T47)="","—",INDEX(IlumaCalc!$AF$3:$AF$122,$T47)),"")</f>
        <v/>
      </c>
      <c r="O47" s="20">
        <f>IF(AND(ISNUMBER($T47),$T47&lt;&gt;""),IF(INDEX(IlumaCalc!$AG$3:$AG$122,$T47)="","—",INDEX(IlumaCalc!$AG$3:$AG$122,$T47)),"")</f>
        <v/>
      </c>
      <c r="P47" s="21">
        <f>IF(AND(ISNUMBER($T47),$T47&lt;&gt;""),IF(INDEX(IlumaCalc!$AJ$3:$AJ$122,$T47)="","—",INDEX(IlumaCalc!$AJ$3:$AJ$122,$T47)),"")</f>
        <v/>
      </c>
      <c r="Q47" s="21">
        <f>IF(AND(ISNUMBER($T47),$T47&lt;&gt;""),IF(INDEX(IlumaCalc!$AK$3:$AK$122,$T47)="","—",INDEX(IlumaCalc!$AK$3:$AK$122,$T47)),"")</f>
        <v/>
      </c>
      <c r="R47" s="20">
        <f>IF(AND(ISNUMBER($T47),$T47&lt;&gt;""),IF(INDEX(IlumaCalc!$AL$3:$AL$122,$T47)="","—",INDEX(IlumaCalc!$AL$3:$AL$122,$T47)),"")</f>
        <v/>
      </c>
      <c r="T47">
        <f>IFERROR(MATCH(43,IlumaCalc!$AN$3:$AN$122,0),"")</f>
        <v/>
      </c>
    </row>
    <row r="48">
      <c r="A48" s="14">
        <f>IF(AND(ISNUMBER($T48),$T48&lt;&gt;""),INDEX(IlumaCalc!$S$3:$S$122,$T48),"")</f>
        <v/>
      </c>
      <c r="B48" s="15">
        <f>IF(AND(ISNUMBER($T48),$T48&lt;&gt;""),IF(INDEX(IlumaCalc!$T$3:$T$122,$T48)="","—",INDEX(IlumaCalc!$T$3:$T$122,$T48)),"")</f>
        <v/>
      </c>
      <c r="C48" s="15">
        <f>IF(AND(ISNUMBER($T48),$T48&lt;&gt;""),IF(INDEX(IlumaCalc!$U$3:$U$122,$T48)="","—",INDEX(IlumaCalc!$U$3:$U$122,$T48)),"")</f>
        <v/>
      </c>
      <c r="D48" s="15">
        <f>IF(AND(ISNUMBER($T48),$T48&lt;&gt;""),IF(INDEX(IlumaCalc!$V$3:$V$122,$T48)="","—",INDEX(IlumaCalc!$V$3:$V$122,$T48)),"")</f>
        <v/>
      </c>
      <c r="E48" s="15">
        <f>IF(AND(ISNUMBER($T48),$T48&lt;&gt;""),IF(INDEX(IlumaCalc!$W$3:$W$122,$T48)="","—",INDEX(IlumaCalc!$W$3:$W$122,$T48)),"")</f>
        <v/>
      </c>
      <c r="F48" s="15">
        <f>IF(AND(ISNUMBER($T48),$T48&lt;&gt;""),IF(INDEX(IlumaCalc!$X$3:$X$122,$T48)="","—",INDEX(IlumaCalc!$X$3:$X$122,$T48)),"")</f>
        <v/>
      </c>
      <c r="G48" s="15">
        <f>IF(AND(ISNUMBER($T48),$T48&lt;&gt;""),IF(INDEX(IlumaCalc!$Y$3:$Y$122,$T48)="","—",INDEX(IlumaCalc!$Y$3:$Y$122,$T48)),"")</f>
        <v/>
      </c>
      <c r="H48" s="15">
        <f>IF(AND(ISNUMBER($T48),$T48&lt;&gt;""),IF(INDEX(IlumaCalc!$Z$3:$Z$122,$T48)="","—",INDEX(IlumaCalc!$Z$3:$Z$122,$T48)),"")</f>
        <v/>
      </c>
      <c r="I48" s="15">
        <f>IF(AND(ISNUMBER($T48),$T48&lt;&gt;""),IF(INDEX(IlumaCalc!$AA$3:$AA$122,$T48)="","—",INDEX(IlumaCalc!$AA$3:$AA$122,$T48)),"")</f>
        <v/>
      </c>
      <c r="J48" s="15">
        <f>IF(AND(ISNUMBER($T48),$T48&lt;&gt;""),IF(INDEX(IlumaCalc!$AB$3:$AB$122,$T48)="","—",INDEX(IlumaCalc!$AB$3:$AB$122,$T48)),"")</f>
        <v/>
      </c>
      <c r="K48" s="15">
        <f>IF(AND(ISNUMBER($T48),$T48&lt;&gt;""),IF(INDEX(IlumaCalc!$AC$3:$AC$122,$T48)="","—",INDEX(IlumaCalc!$AC$3:$AC$122,$T48)),"")</f>
        <v/>
      </c>
      <c r="L48" s="15">
        <f>IF(AND(ISNUMBER($T48),$T48&lt;&gt;""),IF(INDEX(IlumaCalc!$AD$3:$AD$122,$T48)="","—",INDEX(IlumaCalc!$AD$3:$AD$122,$T48)),"")</f>
        <v/>
      </c>
      <c r="M48" s="15">
        <f>IF(AND(ISNUMBER($T48),$T48&lt;&gt;""),IF(INDEX(IlumaCalc!$AE$3:$AE$122,$T48)="","—",INDEX(IlumaCalc!$AE$3:$AE$122,$T48)),"")</f>
        <v/>
      </c>
      <c r="N48" s="15">
        <f>IF(AND(ISNUMBER($T48),$T48&lt;&gt;""),IF(INDEX(IlumaCalc!$AF$3:$AF$122,$T48)="","—",INDEX(IlumaCalc!$AF$3:$AF$122,$T48)),"")</f>
        <v/>
      </c>
      <c r="O48" s="15">
        <f>IF(AND(ISNUMBER($T48),$T48&lt;&gt;""),IF(INDEX(IlumaCalc!$AG$3:$AG$122,$T48)="","—",INDEX(IlumaCalc!$AG$3:$AG$122,$T48)),"")</f>
        <v/>
      </c>
      <c r="P48" s="16">
        <f>IF(AND(ISNUMBER($T48),$T48&lt;&gt;""),IF(INDEX(IlumaCalc!$AJ$3:$AJ$122,$T48)="","—",INDEX(IlumaCalc!$AJ$3:$AJ$122,$T48)),"")</f>
        <v/>
      </c>
      <c r="Q48" s="16">
        <f>IF(AND(ISNUMBER($T48),$T48&lt;&gt;""),IF(INDEX(IlumaCalc!$AK$3:$AK$122,$T48)="","—",INDEX(IlumaCalc!$AK$3:$AK$122,$T48)),"")</f>
        <v/>
      </c>
      <c r="R48" s="15">
        <f>IF(AND(ISNUMBER($T48),$T48&lt;&gt;""),IF(INDEX(IlumaCalc!$AL$3:$AL$122,$T48)="","—",INDEX(IlumaCalc!$AL$3:$AL$122,$T48)),"")</f>
        <v/>
      </c>
      <c r="T48">
        <f>IFERROR(MATCH(44,IlumaCalc!$AN$3:$AN$122,0),"")</f>
        <v/>
      </c>
    </row>
    <row r="49">
      <c r="A49" s="19">
        <f>IF(AND(ISNUMBER($T49),$T49&lt;&gt;""),INDEX(IlumaCalc!$S$3:$S$122,$T49),"")</f>
        <v/>
      </c>
      <c r="B49" s="20">
        <f>IF(AND(ISNUMBER($T49),$T49&lt;&gt;""),IF(INDEX(IlumaCalc!$T$3:$T$122,$T49)="","—",INDEX(IlumaCalc!$T$3:$T$122,$T49)),"")</f>
        <v/>
      </c>
      <c r="C49" s="20">
        <f>IF(AND(ISNUMBER($T49),$T49&lt;&gt;""),IF(INDEX(IlumaCalc!$U$3:$U$122,$T49)="","—",INDEX(IlumaCalc!$U$3:$U$122,$T49)),"")</f>
        <v/>
      </c>
      <c r="D49" s="20">
        <f>IF(AND(ISNUMBER($T49),$T49&lt;&gt;""),IF(INDEX(IlumaCalc!$V$3:$V$122,$T49)="","—",INDEX(IlumaCalc!$V$3:$V$122,$T49)),"")</f>
        <v/>
      </c>
      <c r="E49" s="20">
        <f>IF(AND(ISNUMBER($T49),$T49&lt;&gt;""),IF(INDEX(IlumaCalc!$W$3:$W$122,$T49)="","—",INDEX(IlumaCalc!$W$3:$W$122,$T49)),"")</f>
        <v/>
      </c>
      <c r="F49" s="20">
        <f>IF(AND(ISNUMBER($T49),$T49&lt;&gt;""),IF(INDEX(IlumaCalc!$X$3:$X$122,$T49)="","—",INDEX(IlumaCalc!$X$3:$X$122,$T49)),"")</f>
        <v/>
      </c>
      <c r="G49" s="20">
        <f>IF(AND(ISNUMBER($T49),$T49&lt;&gt;""),IF(INDEX(IlumaCalc!$Y$3:$Y$122,$T49)="","—",INDEX(IlumaCalc!$Y$3:$Y$122,$T49)),"")</f>
        <v/>
      </c>
      <c r="H49" s="20">
        <f>IF(AND(ISNUMBER($T49),$T49&lt;&gt;""),IF(INDEX(IlumaCalc!$Z$3:$Z$122,$T49)="","—",INDEX(IlumaCalc!$Z$3:$Z$122,$T49)),"")</f>
        <v/>
      </c>
      <c r="I49" s="20">
        <f>IF(AND(ISNUMBER($T49),$T49&lt;&gt;""),IF(INDEX(IlumaCalc!$AA$3:$AA$122,$T49)="","—",INDEX(IlumaCalc!$AA$3:$AA$122,$T49)),"")</f>
        <v/>
      </c>
      <c r="J49" s="20">
        <f>IF(AND(ISNUMBER($T49),$T49&lt;&gt;""),IF(INDEX(IlumaCalc!$AB$3:$AB$122,$T49)="","—",INDEX(IlumaCalc!$AB$3:$AB$122,$T49)),"")</f>
        <v/>
      </c>
      <c r="K49" s="20">
        <f>IF(AND(ISNUMBER($T49),$T49&lt;&gt;""),IF(INDEX(IlumaCalc!$AC$3:$AC$122,$T49)="","—",INDEX(IlumaCalc!$AC$3:$AC$122,$T49)),"")</f>
        <v/>
      </c>
      <c r="L49" s="20">
        <f>IF(AND(ISNUMBER($T49),$T49&lt;&gt;""),IF(INDEX(IlumaCalc!$AD$3:$AD$122,$T49)="","—",INDEX(IlumaCalc!$AD$3:$AD$122,$T49)),"")</f>
        <v/>
      </c>
      <c r="M49" s="20">
        <f>IF(AND(ISNUMBER($T49),$T49&lt;&gt;""),IF(INDEX(IlumaCalc!$AE$3:$AE$122,$T49)="","—",INDEX(IlumaCalc!$AE$3:$AE$122,$T49)),"")</f>
        <v/>
      </c>
      <c r="N49" s="20">
        <f>IF(AND(ISNUMBER($T49),$T49&lt;&gt;""),IF(INDEX(IlumaCalc!$AF$3:$AF$122,$T49)="","—",INDEX(IlumaCalc!$AF$3:$AF$122,$T49)),"")</f>
        <v/>
      </c>
      <c r="O49" s="20">
        <f>IF(AND(ISNUMBER($T49),$T49&lt;&gt;""),IF(INDEX(IlumaCalc!$AG$3:$AG$122,$T49)="","—",INDEX(IlumaCalc!$AG$3:$AG$122,$T49)),"")</f>
        <v/>
      </c>
      <c r="P49" s="21">
        <f>IF(AND(ISNUMBER($T49),$T49&lt;&gt;""),IF(INDEX(IlumaCalc!$AJ$3:$AJ$122,$T49)="","—",INDEX(IlumaCalc!$AJ$3:$AJ$122,$T49)),"")</f>
        <v/>
      </c>
      <c r="Q49" s="21">
        <f>IF(AND(ISNUMBER($T49),$T49&lt;&gt;""),IF(INDEX(IlumaCalc!$AK$3:$AK$122,$T49)="","—",INDEX(IlumaCalc!$AK$3:$AK$122,$T49)),"")</f>
        <v/>
      </c>
      <c r="R49" s="20">
        <f>IF(AND(ISNUMBER($T49),$T49&lt;&gt;""),IF(INDEX(IlumaCalc!$AL$3:$AL$122,$T49)="","—",INDEX(IlumaCalc!$AL$3:$AL$122,$T49)),"")</f>
        <v/>
      </c>
      <c r="T49">
        <f>IFERROR(MATCH(45,IlumaCalc!$AN$3:$AN$122,0),"")</f>
        <v/>
      </c>
    </row>
    <row r="50">
      <c r="A50" s="14">
        <f>IF(AND(ISNUMBER($T50),$T50&lt;&gt;""),INDEX(IlumaCalc!$S$3:$S$122,$T50),"")</f>
        <v/>
      </c>
      <c r="B50" s="15">
        <f>IF(AND(ISNUMBER($T50),$T50&lt;&gt;""),IF(INDEX(IlumaCalc!$T$3:$T$122,$T50)="","—",INDEX(IlumaCalc!$T$3:$T$122,$T50)),"")</f>
        <v/>
      </c>
      <c r="C50" s="15">
        <f>IF(AND(ISNUMBER($T50),$T50&lt;&gt;""),IF(INDEX(IlumaCalc!$U$3:$U$122,$T50)="","—",INDEX(IlumaCalc!$U$3:$U$122,$T50)),"")</f>
        <v/>
      </c>
      <c r="D50" s="15">
        <f>IF(AND(ISNUMBER($T50),$T50&lt;&gt;""),IF(INDEX(IlumaCalc!$V$3:$V$122,$T50)="","—",INDEX(IlumaCalc!$V$3:$V$122,$T50)),"")</f>
        <v/>
      </c>
      <c r="E50" s="15">
        <f>IF(AND(ISNUMBER($T50),$T50&lt;&gt;""),IF(INDEX(IlumaCalc!$W$3:$W$122,$T50)="","—",INDEX(IlumaCalc!$W$3:$W$122,$T50)),"")</f>
        <v/>
      </c>
      <c r="F50" s="15">
        <f>IF(AND(ISNUMBER($T50),$T50&lt;&gt;""),IF(INDEX(IlumaCalc!$X$3:$X$122,$T50)="","—",INDEX(IlumaCalc!$X$3:$X$122,$T50)),"")</f>
        <v/>
      </c>
      <c r="G50" s="15">
        <f>IF(AND(ISNUMBER($T50),$T50&lt;&gt;""),IF(INDEX(IlumaCalc!$Y$3:$Y$122,$T50)="","—",INDEX(IlumaCalc!$Y$3:$Y$122,$T50)),"")</f>
        <v/>
      </c>
      <c r="H50" s="15">
        <f>IF(AND(ISNUMBER($T50),$T50&lt;&gt;""),IF(INDEX(IlumaCalc!$Z$3:$Z$122,$T50)="","—",INDEX(IlumaCalc!$Z$3:$Z$122,$T50)),"")</f>
        <v/>
      </c>
      <c r="I50" s="15">
        <f>IF(AND(ISNUMBER($T50),$T50&lt;&gt;""),IF(INDEX(IlumaCalc!$AA$3:$AA$122,$T50)="","—",INDEX(IlumaCalc!$AA$3:$AA$122,$T50)),"")</f>
        <v/>
      </c>
      <c r="J50" s="15">
        <f>IF(AND(ISNUMBER($T50),$T50&lt;&gt;""),IF(INDEX(IlumaCalc!$AB$3:$AB$122,$T50)="","—",INDEX(IlumaCalc!$AB$3:$AB$122,$T50)),"")</f>
        <v/>
      </c>
      <c r="K50" s="15">
        <f>IF(AND(ISNUMBER($T50),$T50&lt;&gt;""),IF(INDEX(IlumaCalc!$AC$3:$AC$122,$T50)="","—",INDEX(IlumaCalc!$AC$3:$AC$122,$T50)),"")</f>
        <v/>
      </c>
      <c r="L50" s="15">
        <f>IF(AND(ISNUMBER($T50),$T50&lt;&gt;""),IF(INDEX(IlumaCalc!$AD$3:$AD$122,$T50)="","—",INDEX(IlumaCalc!$AD$3:$AD$122,$T50)),"")</f>
        <v/>
      </c>
      <c r="M50" s="15">
        <f>IF(AND(ISNUMBER($T50),$T50&lt;&gt;""),IF(INDEX(IlumaCalc!$AE$3:$AE$122,$T50)="","—",INDEX(IlumaCalc!$AE$3:$AE$122,$T50)),"")</f>
        <v/>
      </c>
      <c r="N50" s="15">
        <f>IF(AND(ISNUMBER($T50),$T50&lt;&gt;""),IF(INDEX(IlumaCalc!$AF$3:$AF$122,$T50)="","—",INDEX(IlumaCalc!$AF$3:$AF$122,$T50)),"")</f>
        <v/>
      </c>
      <c r="O50" s="15">
        <f>IF(AND(ISNUMBER($T50),$T50&lt;&gt;""),IF(INDEX(IlumaCalc!$AG$3:$AG$122,$T50)="","—",INDEX(IlumaCalc!$AG$3:$AG$122,$T50)),"")</f>
        <v/>
      </c>
      <c r="P50" s="16">
        <f>IF(AND(ISNUMBER($T50),$T50&lt;&gt;""),IF(INDEX(IlumaCalc!$AJ$3:$AJ$122,$T50)="","—",INDEX(IlumaCalc!$AJ$3:$AJ$122,$T50)),"")</f>
        <v/>
      </c>
      <c r="Q50" s="16">
        <f>IF(AND(ISNUMBER($T50),$T50&lt;&gt;""),IF(INDEX(IlumaCalc!$AK$3:$AK$122,$T50)="","—",INDEX(IlumaCalc!$AK$3:$AK$122,$T50)),"")</f>
        <v/>
      </c>
      <c r="R50" s="15">
        <f>IF(AND(ISNUMBER($T50),$T50&lt;&gt;""),IF(INDEX(IlumaCalc!$AL$3:$AL$122,$T50)="","—",INDEX(IlumaCalc!$AL$3:$AL$122,$T50)),"")</f>
        <v/>
      </c>
      <c r="T50">
        <f>IFERROR(MATCH(46,IlumaCalc!$AN$3:$AN$122,0),"")</f>
        <v/>
      </c>
    </row>
    <row r="51">
      <c r="A51" s="19">
        <f>IF(AND(ISNUMBER($T51),$T51&lt;&gt;""),INDEX(IlumaCalc!$S$3:$S$122,$T51),"")</f>
        <v/>
      </c>
      <c r="B51" s="20">
        <f>IF(AND(ISNUMBER($T51),$T51&lt;&gt;""),IF(INDEX(IlumaCalc!$T$3:$T$122,$T51)="","—",INDEX(IlumaCalc!$T$3:$T$122,$T51)),"")</f>
        <v/>
      </c>
      <c r="C51" s="20">
        <f>IF(AND(ISNUMBER($T51),$T51&lt;&gt;""),IF(INDEX(IlumaCalc!$U$3:$U$122,$T51)="","—",INDEX(IlumaCalc!$U$3:$U$122,$T51)),"")</f>
        <v/>
      </c>
      <c r="D51" s="20">
        <f>IF(AND(ISNUMBER($T51),$T51&lt;&gt;""),IF(INDEX(IlumaCalc!$V$3:$V$122,$T51)="","—",INDEX(IlumaCalc!$V$3:$V$122,$T51)),"")</f>
        <v/>
      </c>
      <c r="E51" s="20">
        <f>IF(AND(ISNUMBER($T51),$T51&lt;&gt;""),IF(INDEX(IlumaCalc!$W$3:$W$122,$T51)="","—",INDEX(IlumaCalc!$W$3:$W$122,$T51)),"")</f>
        <v/>
      </c>
      <c r="F51" s="20">
        <f>IF(AND(ISNUMBER($T51),$T51&lt;&gt;""),IF(INDEX(IlumaCalc!$X$3:$X$122,$T51)="","—",INDEX(IlumaCalc!$X$3:$X$122,$T51)),"")</f>
        <v/>
      </c>
      <c r="G51" s="20">
        <f>IF(AND(ISNUMBER($T51),$T51&lt;&gt;""),IF(INDEX(IlumaCalc!$Y$3:$Y$122,$T51)="","—",INDEX(IlumaCalc!$Y$3:$Y$122,$T51)),"")</f>
        <v/>
      </c>
      <c r="H51" s="20">
        <f>IF(AND(ISNUMBER($T51),$T51&lt;&gt;""),IF(INDEX(IlumaCalc!$Z$3:$Z$122,$T51)="","—",INDEX(IlumaCalc!$Z$3:$Z$122,$T51)),"")</f>
        <v/>
      </c>
      <c r="I51" s="20">
        <f>IF(AND(ISNUMBER($T51),$T51&lt;&gt;""),IF(INDEX(IlumaCalc!$AA$3:$AA$122,$T51)="","—",INDEX(IlumaCalc!$AA$3:$AA$122,$T51)),"")</f>
        <v/>
      </c>
      <c r="J51" s="20">
        <f>IF(AND(ISNUMBER($T51),$T51&lt;&gt;""),IF(INDEX(IlumaCalc!$AB$3:$AB$122,$T51)="","—",INDEX(IlumaCalc!$AB$3:$AB$122,$T51)),"")</f>
        <v/>
      </c>
      <c r="K51" s="20">
        <f>IF(AND(ISNUMBER($T51),$T51&lt;&gt;""),IF(INDEX(IlumaCalc!$AC$3:$AC$122,$T51)="","—",INDEX(IlumaCalc!$AC$3:$AC$122,$T51)),"")</f>
        <v/>
      </c>
      <c r="L51" s="20">
        <f>IF(AND(ISNUMBER($T51),$T51&lt;&gt;""),IF(INDEX(IlumaCalc!$AD$3:$AD$122,$T51)="","—",INDEX(IlumaCalc!$AD$3:$AD$122,$T51)),"")</f>
        <v/>
      </c>
      <c r="M51" s="20">
        <f>IF(AND(ISNUMBER($T51),$T51&lt;&gt;""),IF(INDEX(IlumaCalc!$AE$3:$AE$122,$T51)="","—",INDEX(IlumaCalc!$AE$3:$AE$122,$T51)),"")</f>
        <v/>
      </c>
      <c r="N51" s="20">
        <f>IF(AND(ISNUMBER($T51),$T51&lt;&gt;""),IF(INDEX(IlumaCalc!$AF$3:$AF$122,$T51)="","—",INDEX(IlumaCalc!$AF$3:$AF$122,$T51)),"")</f>
        <v/>
      </c>
      <c r="O51" s="20">
        <f>IF(AND(ISNUMBER($T51),$T51&lt;&gt;""),IF(INDEX(IlumaCalc!$AG$3:$AG$122,$T51)="","—",INDEX(IlumaCalc!$AG$3:$AG$122,$T51)),"")</f>
        <v/>
      </c>
      <c r="P51" s="21">
        <f>IF(AND(ISNUMBER($T51),$T51&lt;&gt;""),IF(INDEX(IlumaCalc!$AJ$3:$AJ$122,$T51)="","—",INDEX(IlumaCalc!$AJ$3:$AJ$122,$T51)),"")</f>
        <v/>
      </c>
      <c r="Q51" s="21">
        <f>IF(AND(ISNUMBER($T51),$T51&lt;&gt;""),IF(INDEX(IlumaCalc!$AK$3:$AK$122,$T51)="","—",INDEX(IlumaCalc!$AK$3:$AK$122,$T51)),"")</f>
        <v/>
      </c>
      <c r="R51" s="20">
        <f>IF(AND(ISNUMBER($T51),$T51&lt;&gt;""),IF(INDEX(IlumaCalc!$AL$3:$AL$122,$T51)="","—",INDEX(IlumaCalc!$AL$3:$AL$122,$T51)),"")</f>
        <v/>
      </c>
      <c r="T51">
        <f>IFERROR(MATCH(47,IlumaCalc!$AN$3:$AN$122,0),"")</f>
        <v/>
      </c>
    </row>
    <row r="52">
      <c r="A52" s="14">
        <f>IF(AND(ISNUMBER($T52),$T52&lt;&gt;""),INDEX(IlumaCalc!$S$3:$S$122,$T52),"")</f>
        <v/>
      </c>
      <c r="B52" s="15">
        <f>IF(AND(ISNUMBER($T52),$T52&lt;&gt;""),IF(INDEX(IlumaCalc!$T$3:$T$122,$T52)="","—",INDEX(IlumaCalc!$T$3:$T$122,$T52)),"")</f>
        <v/>
      </c>
      <c r="C52" s="15">
        <f>IF(AND(ISNUMBER($T52),$T52&lt;&gt;""),IF(INDEX(IlumaCalc!$U$3:$U$122,$T52)="","—",INDEX(IlumaCalc!$U$3:$U$122,$T52)),"")</f>
        <v/>
      </c>
      <c r="D52" s="15">
        <f>IF(AND(ISNUMBER($T52),$T52&lt;&gt;""),IF(INDEX(IlumaCalc!$V$3:$V$122,$T52)="","—",INDEX(IlumaCalc!$V$3:$V$122,$T52)),"")</f>
        <v/>
      </c>
      <c r="E52" s="15">
        <f>IF(AND(ISNUMBER($T52),$T52&lt;&gt;""),IF(INDEX(IlumaCalc!$W$3:$W$122,$T52)="","—",INDEX(IlumaCalc!$W$3:$W$122,$T52)),"")</f>
        <v/>
      </c>
      <c r="F52" s="15">
        <f>IF(AND(ISNUMBER($T52),$T52&lt;&gt;""),IF(INDEX(IlumaCalc!$X$3:$X$122,$T52)="","—",INDEX(IlumaCalc!$X$3:$X$122,$T52)),"")</f>
        <v/>
      </c>
      <c r="G52" s="15">
        <f>IF(AND(ISNUMBER($T52),$T52&lt;&gt;""),IF(INDEX(IlumaCalc!$Y$3:$Y$122,$T52)="","—",INDEX(IlumaCalc!$Y$3:$Y$122,$T52)),"")</f>
        <v/>
      </c>
      <c r="H52" s="15">
        <f>IF(AND(ISNUMBER($T52),$T52&lt;&gt;""),IF(INDEX(IlumaCalc!$Z$3:$Z$122,$T52)="","—",INDEX(IlumaCalc!$Z$3:$Z$122,$T52)),"")</f>
        <v/>
      </c>
      <c r="I52" s="15">
        <f>IF(AND(ISNUMBER($T52),$T52&lt;&gt;""),IF(INDEX(IlumaCalc!$AA$3:$AA$122,$T52)="","—",INDEX(IlumaCalc!$AA$3:$AA$122,$T52)),"")</f>
        <v/>
      </c>
      <c r="J52" s="15">
        <f>IF(AND(ISNUMBER($T52),$T52&lt;&gt;""),IF(INDEX(IlumaCalc!$AB$3:$AB$122,$T52)="","—",INDEX(IlumaCalc!$AB$3:$AB$122,$T52)),"")</f>
        <v/>
      </c>
      <c r="K52" s="15">
        <f>IF(AND(ISNUMBER($T52),$T52&lt;&gt;""),IF(INDEX(IlumaCalc!$AC$3:$AC$122,$T52)="","—",INDEX(IlumaCalc!$AC$3:$AC$122,$T52)),"")</f>
        <v/>
      </c>
      <c r="L52" s="15">
        <f>IF(AND(ISNUMBER($T52),$T52&lt;&gt;""),IF(INDEX(IlumaCalc!$AD$3:$AD$122,$T52)="","—",INDEX(IlumaCalc!$AD$3:$AD$122,$T52)),"")</f>
        <v/>
      </c>
      <c r="M52" s="15">
        <f>IF(AND(ISNUMBER($T52),$T52&lt;&gt;""),IF(INDEX(IlumaCalc!$AE$3:$AE$122,$T52)="","—",INDEX(IlumaCalc!$AE$3:$AE$122,$T52)),"")</f>
        <v/>
      </c>
      <c r="N52" s="15">
        <f>IF(AND(ISNUMBER($T52),$T52&lt;&gt;""),IF(INDEX(IlumaCalc!$AF$3:$AF$122,$T52)="","—",INDEX(IlumaCalc!$AF$3:$AF$122,$T52)),"")</f>
        <v/>
      </c>
      <c r="O52" s="15">
        <f>IF(AND(ISNUMBER($T52),$T52&lt;&gt;""),IF(INDEX(IlumaCalc!$AG$3:$AG$122,$T52)="","—",INDEX(IlumaCalc!$AG$3:$AG$122,$T52)),"")</f>
        <v/>
      </c>
      <c r="P52" s="16">
        <f>IF(AND(ISNUMBER($T52),$T52&lt;&gt;""),IF(INDEX(IlumaCalc!$AJ$3:$AJ$122,$T52)="","—",INDEX(IlumaCalc!$AJ$3:$AJ$122,$T52)),"")</f>
        <v/>
      </c>
      <c r="Q52" s="16">
        <f>IF(AND(ISNUMBER($T52),$T52&lt;&gt;""),IF(INDEX(IlumaCalc!$AK$3:$AK$122,$T52)="","—",INDEX(IlumaCalc!$AK$3:$AK$122,$T52)),"")</f>
        <v/>
      </c>
      <c r="R52" s="15">
        <f>IF(AND(ISNUMBER($T52),$T52&lt;&gt;""),IF(INDEX(IlumaCalc!$AL$3:$AL$122,$T52)="","—",INDEX(IlumaCalc!$AL$3:$AL$122,$T52)),"")</f>
        <v/>
      </c>
      <c r="T52">
        <f>IFERROR(MATCH(48,IlumaCalc!$AN$3:$AN$122,0),"")</f>
        <v/>
      </c>
    </row>
    <row r="53">
      <c r="A53" s="19">
        <f>IF(AND(ISNUMBER($T53),$T53&lt;&gt;""),INDEX(IlumaCalc!$S$3:$S$122,$T53),"")</f>
        <v/>
      </c>
      <c r="B53" s="20">
        <f>IF(AND(ISNUMBER($T53),$T53&lt;&gt;""),IF(INDEX(IlumaCalc!$T$3:$T$122,$T53)="","—",INDEX(IlumaCalc!$T$3:$T$122,$T53)),"")</f>
        <v/>
      </c>
      <c r="C53" s="20">
        <f>IF(AND(ISNUMBER($T53),$T53&lt;&gt;""),IF(INDEX(IlumaCalc!$U$3:$U$122,$T53)="","—",INDEX(IlumaCalc!$U$3:$U$122,$T53)),"")</f>
        <v/>
      </c>
      <c r="D53" s="20">
        <f>IF(AND(ISNUMBER($T53),$T53&lt;&gt;""),IF(INDEX(IlumaCalc!$V$3:$V$122,$T53)="","—",INDEX(IlumaCalc!$V$3:$V$122,$T53)),"")</f>
        <v/>
      </c>
      <c r="E53" s="20">
        <f>IF(AND(ISNUMBER($T53),$T53&lt;&gt;""),IF(INDEX(IlumaCalc!$W$3:$W$122,$T53)="","—",INDEX(IlumaCalc!$W$3:$W$122,$T53)),"")</f>
        <v/>
      </c>
      <c r="F53" s="20">
        <f>IF(AND(ISNUMBER($T53),$T53&lt;&gt;""),IF(INDEX(IlumaCalc!$X$3:$X$122,$T53)="","—",INDEX(IlumaCalc!$X$3:$X$122,$T53)),"")</f>
        <v/>
      </c>
      <c r="G53" s="20">
        <f>IF(AND(ISNUMBER($T53),$T53&lt;&gt;""),IF(INDEX(IlumaCalc!$Y$3:$Y$122,$T53)="","—",INDEX(IlumaCalc!$Y$3:$Y$122,$T53)),"")</f>
        <v/>
      </c>
      <c r="H53" s="20">
        <f>IF(AND(ISNUMBER($T53),$T53&lt;&gt;""),IF(INDEX(IlumaCalc!$Z$3:$Z$122,$T53)="","—",INDEX(IlumaCalc!$Z$3:$Z$122,$T53)),"")</f>
        <v/>
      </c>
      <c r="I53" s="20">
        <f>IF(AND(ISNUMBER($T53),$T53&lt;&gt;""),IF(INDEX(IlumaCalc!$AA$3:$AA$122,$T53)="","—",INDEX(IlumaCalc!$AA$3:$AA$122,$T53)),"")</f>
        <v/>
      </c>
      <c r="J53" s="20">
        <f>IF(AND(ISNUMBER($T53),$T53&lt;&gt;""),IF(INDEX(IlumaCalc!$AB$3:$AB$122,$T53)="","—",INDEX(IlumaCalc!$AB$3:$AB$122,$T53)),"")</f>
        <v/>
      </c>
      <c r="K53" s="20">
        <f>IF(AND(ISNUMBER($T53),$T53&lt;&gt;""),IF(INDEX(IlumaCalc!$AC$3:$AC$122,$T53)="","—",INDEX(IlumaCalc!$AC$3:$AC$122,$T53)),"")</f>
        <v/>
      </c>
      <c r="L53" s="20">
        <f>IF(AND(ISNUMBER($T53),$T53&lt;&gt;""),IF(INDEX(IlumaCalc!$AD$3:$AD$122,$T53)="","—",INDEX(IlumaCalc!$AD$3:$AD$122,$T53)),"")</f>
        <v/>
      </c>
      <c r="M53" s="20">
        <f>IF(AND(ISNUMBER($T53),$T53&lt;&gt;""),IF(INDEX(IlumaCalc!$AE$3:$AE$122,$T53)="","—",INDEX(IlumaCalc!$AE$3:$AE$122,$T53)),"")</f>
        <v/>
      </c>
      <c r="N53" s="20">
        <f>IF(AND(ISNUMBER($T53),$T53&lt;&gt;""),IF(INDEX(IlumaCalc!$AF$3:$AF$122,$T53)="","—",INDEX(IlumaCalc!$AF$3:$AF$122,$T53)),"")</f>
        <v/>
      </c>
      <c r="O53" s="20">
        <f>IF(AND(ISNUMBER($T53),$T53&lt;&gt;""),IF(INDEX(IlumaCalc!$AG$3:$AG$122,$T53)="","—",INDEX(IlumaCalc!$AG$3:$AG$122,$T53)),"")</f>
        <v/>
      </c>
      <c r="P53" s="21">
        <f>IF(AND(ISNUMBER($T53),$T53&lt;&gt;""),IF(INDEX(IlumaCalc!$AJ$3:$AJ$122,$T53)="","—",INDEX(IlumaCalc!$AJ$3:$AJ$122,$T53)),"")</f>
        <v/>
      </c>
      <c r="Q53" s="21">
        <f>IF(AND(ISNUMBER($T53),$T53&lt;&gt;""),IF(INDEX(IlumaCalc!$AK$3:$AK$122,$T53)="","—",INDEX(IlumaCalc!$AK$3:$AK$122,$T53)),"")</f>
        <v/>
      </c>
      <c r="R53" s="20">
        <f>IF(AND(ISNUMBER($T53),$T53&lt;&gt;""),IF(INDEX(IlumaCalc!$AL$3:$AL$122,$T53)="","—",INDEX(IlumaCalc!$AL$3:$AL$122,$T53)),"")</f>
        <v/>
      </c>
      <c r="T53">
        <f>IFERROR(MATCH(49,IlumaCalc!$AN$3:$AN$122,0),"")</f>
        <v/>
      </c>
    </row>
    <row r="54">
      <c r="A54" s="14">
        <f>IF(AND(ISNUMBER($T54),$T54&lt;&gt;""),INDEX(IlumaCalc!$S$3:$S$122,$T54),"")</f>
        <v/>
      </c>
      <c r="B54" s="15">
        <f>IF(AND(ISNUMBER($T54),$T54&lt;&gt;""),IF(INDEX(IlumaCalc!$T$3:$T$122,$T54)="","—",INDEX(IlumaCalc!$T$3:$T$122,$T54)),"")</f>
        <v/>
      </c>
      <c r="C54" s="15">
        <f>IF(AND(ISNUMBER($T54),$T54&lt;&gt;""),IF(INDEX(IlumaCalc!$U$3:$U$122,$T54)="","—",INDEX(IlumaCalc!$U$3:$U$122,$T54)),"")</f>
        <v/>
      </c>
      <c r="D54" s="15">
        <f>IF(AND(ISNUMBER($T54),$T54&lt;&gt;""),IF(INDEX(IlumaCalc!$V$3:$V$122,$T54)="","—",INDEX(IlumaCalc!$V$3:$V$122,$T54)),"")</f>
        <v/>
      </c>
      <c r="E54" s="15">
        <f>IF(AND(ISNUMBER($T54),$T54&lt;&gt;""),IF(INDEX(IlumaCalc!$W$3:$W$122,$T54)="","—",INDEX(IlumaCalc!$W$3:$W$122,$T54)),"")</f>
        <v/>
      </c>
      <c r="F54" s="15">
        <f>IF(AND(ISNUMBER($T54),$T54&lt;&gt;""),IF(INDEX(IlumaCalc!$X$3:$X$122,$T54)="","—",INDEX(IlumaCalc!$X$3:$X$122,$T54)),"")</f>
        <v/>
      </c>
      <c r="G54" s="15">
        <f>IF(AND(ISNUMBER($T54),$T54&lt;&gt;""),IF(INDEX(IlumaCalc!$Y$3:$Y$122,$T54)="","—",INDEX(IlumaCalc!$Y$3:$Y$122,$T54)),"")</f>
        <v/>
      </c>
      <c r="H54" s="15">
        <f>IF(AND(ISNUMBER($T54),$T54&lt;&gt;""),IF(INDEX(IlumaCalc!$Z$3:$Z$122,$T54)="","—",INDEX(IlumaCalc!$Z$3:$Z$122,$T54)),"")</f>
        <v/>
      </c>
      <c r="I54" s="15">
        <f>IF(AND(ISNUMBER($T54),$T54&lt;&gt;""),IF(INDEX(IlumaCalc!$AA$3:$AA$122,$T54)="","—",INDEX(IlumaCalc!$AA$3:$AA$122,$T54)),"")</f>
        <v/>
      </c>
      <c r="J54" s="15">
        <f>IF(AND(ISNUMBER($T54),$T54&lt;&gt;""),IF(INDEX(IlumaCalc!$AB$3:$AB$122,$T54)="","—",INDEX(IlumaCalc!$AB$3:$AB$122,$T54)),"")</f>
        <v/>
      </c>
      <c r="K54" s="15">
        <f>IF(AND(ISNUMBER($T54),$T54&lt;&gt;""),IF(INDEX(IlumaCalc!$AC$3:$AC$122,$T54)="","—",INDEX(IlumaCalc!$AC$3:$AC$122,$T54)),"")</f>
        <v/>
      </c>
      <c r="L54" s="15">
        <f>IF(AND(ISNUMBER($T54),$T54&lt;&gt;""),IF(INDEX(IlumaCalc!$AD$3:$AD$122,$T54)="","—",INDEX(IlumaCalc!$AD$3:$AD$122,$T54)),"")</f>
        <v/>
      </c>
      <c r="M54" s="15">
        <f>IF(AND(ISNUMBER($T54),$T54&lt;&gt;""),IF(INDEX(IlumaCalc!$AE$3:$AE$122,$T54)="","—",INDEX(IlumaCalc!$AE$3:$AE$122,$T54)),"")</f>
        <v/>
      </c>
      <c r="N54" s="15">
        <f>IF(AND(ISNUMBER($T54),$T54&lt;&gt;""),IF(INDEX(IlumaCalc!$AF$3:$AF$122,$T54)="","—",INDEX(IlumaCalc!$AF$3:$AF$122,$T54)),"")</f>
        <v/>
      </c>
      <c r="O54" s="15">
        <f>IF(AND(ISNUMBER($T54),$T54&lt;&gt;""),IF(INDEX(IlumaCalc!$AG$3:$AG$122,$T54)="","—",INDEX(IlumaCalc!$AG$3:$AG$122,$T54)),"")</f>
        <v/>
      </c>
      <c r="P54" s="16">
        <f>IF(AND(ISNUMBER($T54),$T54&lt;&gt;""),IF(INDEX(IlumaCalc!$AJ$3:$AJ$122,$T54)="","—",INDEX(IlumaCalc!$AJ$3:$AJ$122,$T54)),"")</f>
        <v/>
      </c>
      <c r="Q54" s="16">
        <f>IF(AND(ISNUMBER($T54),$T54&lt;&gt;""),IF(INDEX(IlumaCalc!$AK$3:$AK$122,$T54)="","—",INDEX(IlumaCalc!$AK$3:$AK$122,$T54)),"")</f>
        <v/>
      </c>
      <c r="R54" s="15">
        <f>IF(AND(ISNUMBER($T54),$T54&lt;&gt;""),IF(INDEX(IlumaCalc!$AL$3:$AL$122,$T54)="","—",INDEX(IlumaCalc!$AL$3:$AL$122,$T54)),"")</f>
        <v/>
      </c>
      <c r="T54">
        <f>IFERROR(MATCH(50,IlumaCalc!$AN$3:$AN$122,0),"")</f>
        <v/>
      </c>
    </row>
    <row r="55">
      <c r="A55" s="19">
        <f>IF(AND(ISNUMBER($T55),$T55&lt;&gt;""),INDEX(IlumaCalc!$S$3:$S$122,$T55),"")</f>
        <v/>
      </c>
      <c r="B55" s="20">
        <f>IF(AND(ISNUMBER($T55),$T55&lt;&gt;""),IF(INDEX(IlumaCalc!$T$3:$T$122,$T55)="","—",INDEX(IlumaCalc!$T$3:$T$122,$T55)),"")</f>
        <v/>
      </c>
      <c r="C55" s="20">
        <f>IF(AND(ISNUMBER($T55),$T55&lt;&gt;""),IF(INDEX(IlumaCalc!$U$3:$U$122,$T55)="","—",INDEX(IlumaCalc!$U$3:$U$122,$T55)),"")</f>
        <v/>
      </c>
      <c r="D55" s="20">
        <f>IF(AND(ISNUMBER($T55),$T55&lt;&gt;""),IF(INDEX(IlumaCalc!$V$3:$V$122,$T55)="","—",INDEX(IlumaCalc!$V$3:$V$122,$T55)),"")</f>
        <v/>
      </c>
      <c r="E55" s="20">
        <f>IF(AND(ISNUMBER($T55),$T55&lt;&gt;""),IF(INDEX(IlumaCalc!$W$3:$W$122,$T55)="","—",INDEX(IlumaCalc!$W$3:$W$122,$T55)),"")</f>
        <v/>
      </c>
      <c r="F55" s="20">
        <f>IF(AND(ISNUMBER($T55),$T55&lt;&gt;""),IF(INDEX(IlumaCalc!$X$3:$X$122,$T55)="","—",INDEX(IlumaCalc!$X$3:$X$122,$T55)),"")</f>
        <v/>
      </c>
      <c r="G55" s="20">
        <f>IF(AND(ISNUMBER($T55),$T55&lt;&gt;""),IF(INDEX(IlumaCalc!$Y$3:$Y$122,$T55)="","—",INDEX(IlumaCalc!$Y$3:$Y$122,$T55)),"")</f>
        <v/>
      </c>
      <c r="H55" s="20">
        <f>IF(AND(ISNUMBER($T55),$T55&lt;&gt;""),IF(INDEX(IlumaCalc!$Z$3:$Z$122,$T55)="","—",INDEX(IlumaCalc!$Z$3:$Z$122,$T55)),"")</f>
        <v/>
      </c>
      <c r="I55" s="20">
        <f>IF(AND(ISNUMBER($T55),$T55&lt;&gt;""),IF(INDEX(IlumaCalc!$AA$3:$AA$122,$T55)="","—",INDEX(IlumaCalc!$AA$3:$AA$122,$T55)),"")</f>
        <v/>
      </c>
      <c r="J55" s="20">
        <f>IF(AND(ISNUMBER($T55),$T55&lt;&gt;""),IF(INDEX(IlumaCalc!$AB$3:$AB$122,$T55)="","—",INDEX(IlumaCalc!$AB$3:$AB$122,$T55)),"")</f>
        <v/>
      </c>
      <c r="K55" s="20">
        <f>IF(AND(ISNUMBER($T55),$T55&lt;&gt;""),IF(INDEX(IlumaCalc!$AC$3:$AC$122,$T55)="","—",INDEX(IlumaCalc!$AC$3:$AC$122,$T55)),"")</f>
        <v/>
      </c>
      <c r="L55" s="20">
        <f>IF(AND(ISNUMBER($T55),$T55&lt;&gt;""),IF(INDEX(IlumaCalc!$AD$3:$AD$122,$T55)="","—",INDEX(IlumaCalc!$AD$3:$AD$122,$T55)),"")</f>
        <v/>
      </c>
      <c r="M55" s="20">
        <f>IF(AND(ISNUMBER($T55),$T55&lt;&gt;""),IF(INDEX(IlumaCalc!$AE$3:$AE$122,$T55)="","—",INDEX(IlumaCalc!$AE$3:$AE$122,$T55)),"")</f>
        <v/>
      </c>
      <c r="N55" s="20">
        <f>IF(AND(ISNUMBER($T55),$T55&lt;&gt;""),IF(INDEX(IlumaCalc!$AF$3:$AF$122,$T55)="","—",INDEX(IlumaCalc!$AF$3:$AF$122,$T55)),"")</f>
        <v/>
      </c>
      <c r="O55" s="20">
        <f>IF(AND(ISNUMBER($T55),$T55&lt;&gt;""),IF(INDEX(IlumaCalc!$AG$3:$AG$122,$T55)="","—",INDEX(IlumaCalc!$AG$3:$AG$122,$T55)),"")</f>
        <v/>
      </c>
      <c r="P55" s="21">
        <f>IF(AND(ISNUMBER($T55),$T55&lt;&gt;""),IF(INDEX(IlumaCalc!$AJ$3:$AJ$122,$T55)="","—",INDEX(IlumaCalc!$AJ$3:$AJ$122,$T55)),"")</f>
        <v/>
      </c>
      <c r="Q55" s="21">
        <f>IF(AND(ISNUMBER($T55),$T55&lt;&gt;""),IF(INDEX(IlumaCalc!$AK$3:$AK$122,$T55)="","—",INDEX(IlumaCalc!$AK$3:$AK$122,$T55)),"")</f>
        <v/>
      </c>
      <c r="R55" s="20">
        <f>IF(AND(ISNUMBER($T55),$T55&lt;&gt;""),IF(INDEX(IlumaCalc!$AL$3:$AL$122,$T55)="","—",INDEX(IlumaCalc!$AL$3:$AL$122,$T55)),"")</f>
        <v/>
      </c>
      <c r="T55">
        <f>IFERROR(MATCH(51,IlumaCalc!$AN$3:$AN$122,0),"")</f>
        <v/>
      </c>
    </row>
    <row r="56">
      <c r="A56" s="14">
        <f>IF(AND(ISNUMBER($T56),$T56&lt;&gt;""),INDEX(IlumaCalc!$S$3:$S$122,$T56),"")</f>
        <v/>
      </c>
      <c r="B56" s="15">
        <f>IF(AND(ISNUMBER($T56),$T56&lt;&gt;""),IF(INDEX(IlumaCalc!$T$3:$T$122,$T56)="","—",INDEX(IlumaCalc!$T$3:$T$122,$T56)),"")</f>
        <v/>
      </c>
      <c r="C56" s="15">
        <f>IF(AND(ISNUMBER($T56),$T56&lt;&gt;""),IF(INDEX(IlumaCalc!$U$3:$U$122,$T56)="","—",INDEX(IlumaCalc!$U$3:$U$122,$T56)),"")</f>
        <v/>
      </c>
      <c r="D56" s="15">
        <f>IF(AND(ISNUMBER($T56),$T56&lt;&gt;""),IF(INDEX(IlumaCalc!$V$3:$V$122,$T56)="","—",INDEX(IlumaCalc!$V$3:$V$122,$T56)),"")</f>
        <v/>
      </c>
      <c r="E56" s="15">
        <f>IF(AND(ISNUMBER($T56),$T56&lt;&gt;""),IF(INDEX(IlumaCalc!$W$3:$W$122,$T56)="","—",INDEX(IlumaCalc!$W$3:$W$122,$T56)),"")</f>
        <v/>
      </c>
      <c r="F56" s="15">
        <f>IF(AND(ISNUMBER($T56),$T56&lt;&gt;""),IF(INDEX(IlumaCalc!$X$3:$X$122,$T56)="","—",INDEX(IlumaCalc!$X$3:$X$122,$T56)),"")</f>
        <v/>
      </c>
      <c r="G56" s="15">
        <f>IF(AND(ISNUMBER($T56),$T56&lt;&gt;""),IF(INDEX(IlumaCalc!$Y$3:$Y$122,$T56)="","—",INDEX(IlumaCalc!$Y$3:$Y$122,$T56)),"")</f>
        <v/>
      </c>
      <c r="H56" s="15">
        <f>IF(AND(ISNUMBER($T56),$T56&lt;&gt;""),IF(INDEX(IlumaCalc!$Z$3:$Z$122,$T56)="","—",INDEX(IlumaCalc!$Z$3:$Z$122,$T56)),"")</f>
        <v/>
      </c>
      <c r="I56" s="15">
        <f>IF(AND(ISNUMBER($T56),$T56&lt;&gt;""),IF(INDEX(IlumaCalc!$AA$3:$AA$122,$T56)="","—",INDEX(IlumaCalc!$AA$3:$AA$122,$T56)),"")</f>
        <v/>
      </c>
      <c r="J56" s="15">
        <f>IF(AND(ISNUMBER($T56),$T56&lt;&gt;""),IF(INDEX(IlumaCalc!$AB$3:$AB$122,$T56)="","—",INDEX(IlumaCalc!$AB$3:$AB$122,$T56)),"")</f>
        <v/>
      </c>
      <c r="K56" s="15">
        <f>IF(AND(ISNUMBER($T56),$T56&lt;&gt;""),IF(INDEX(IlumaCalc!$AC$3:$AC$122,$T56)="","—",INDEX(IlumaCalc!$AC$3:$AC$122,$T56)),"")</f>
        <v/>
      </c>
      <c r="L56" s="15">
        <f>IF(AND(ISNUMBER($T56),$T56&lt;&gt;""),IF(INDEX(IlumaCalc!$AD$3:$AD$122,$T56)="","—",INDEX(IlumaCalc!$AD$3:$AD$122,$T56)),"")</f>
        <v/>
      </c>
      <c r="M56" s="15">
        <f>IF(AND(ISNUMBER($T56),$T56&lt;&gt;""),IF(INDEX(IlumaCalc!$AE$3:$AE$122,$T56)="","—",INDEX(IlumaCalc!$AE$3:$AE$122,$T56)),"")</f>
        <v/>
      </c>
      <c r="N56" s="15">
        <f>IF(AND(ISNUMBER($T56),$T56&lt;&gt;""),IF(INDEX(IlumaCalc!$AF$3:$AF$122,$T56)="","—",INDEX(IlumaCalc!$AF$3:$AF$122,$T56)),"")</f>
        <v/>
      </c>
      <c r="O56" s="15">
        <f>IF(AND(ISNUMBER($T56),$T56&lt;&gt;""),IF(INDEX(IlumaCalc!$AG$3:$AG$122,$T56)="","—",INDEX(IlumaCalc!$AG$3:$AG$122,$T56)),"")</f>
        <v/>
      </c>
      <c r="P56" s="16">
        <f>IF(AND(ISNUMBER($T56),$T56&lt;&gt;""),IF(INDEX(IlumaCalc!$AJ$3:$AJ$122,$T56)="","—",INDEX(IlumaCalc!$AJ$3:$AJ$122,$T56)),"")</f>
        <v/>
      </c>
      <c r="Q56" s="16">
        <f>IF(AND(ISNUMBER($T56),$T56&lt;&gt;""),IF(INDEX(IlumaCalc!$AK$3:$AK$122,$T56)="","—",INDEX(IlumaCalc!$AK$3:$AK$122,$T56)),"")</f>
        <v/>
      </c>
      <c r="R56" s="15">
        <f>IF(AND(ISNUMBER($T56),$T56&lt;&gt;""),IF(INDEX(IlumaCalc!$AL$3:$AL$122,$T56)="","—",INDEX(IlumaCalc!$AL$3:$AL$122,$T56)),"")</f>
        <v/>
      </c>
      <c r="T56">
        <f>IFERROR(MATCH(52,IlumaCalc!$AN$3:$AN$122,0),"")</f>
        <v/>
      </c>
    </row>
    <row r="57">
      <c r="A57" s="19">
        <f>IF(AND(ISNUMBER($T57),$T57&lt;&gt;""),INDEX(IlumaCalc!$S$3:$S$122,$T57),"")</f>
        <v/>
      </c>
      <c r="B57" s="20">
        <f>IF(AND(ISNUMBER($T57),$T57&lt;&gt;""),IF(INDEX(IlumaCalc!$T$3:$T$122,$T57)="","—",INDEX(IlumaCalc!$T$3:$T$122,$T57)),"")</f>
        <v/>
      </c>
      <c r="C57" s="20">
        <f>IF(AND(ISNUMBER($T57),$T57&lt;&gt;""),IF(INDEX(IlumaCalc!$U$3:$U$122,$T57)="","—",INDEX(IlumaCalc!$U$3:$U$122,$T57)),"")</f>
        <v/>
      </c>
      <c r="D57" s="20">
        <f>IF(AND(ISNUMBER($T57),$T57&lt;&gt;""),IF(INDEX(IlumaCalc!$V$3:$V$122,$T57)="","—",INDEX(IlumaCalc!$V$3:$V$122,$T57)),"")</f>
        <v/>
      </c>
      <c r="E57" s="20">
        <f>IF(AND(ISNUMBER($T57),$T57&lt;&gt;""),IF(INDEX(IlumaCalc!$W$3:$W$122,$T57)="","—",INDEX(IlumaCalc!$W$3:$W$122,$T57)),"")</f>
        <v/>
      </c>
      <c r="F57" s="20">
        <f>IF(AND(ISNUMBER($T57),$T57&lt;&gt;""),IF(INDEX(IlumaCalc!$X$3:$X$122,$T57)="","—",INDEX(IlumaCalc!$X$3:$X$122,$T57)),"")</f>
        <v/>
      </c>
      <c r="G57" s="20">
        <f>IF(AND(ISNUMBER($T57),$T57&lt;&gt;""),IF(INDEX(IlumaCalc!$Y$3:$Y$122,$T57)="","—",INDEX(IlumaCalc!$Y$3:$Y$122,$T57)),"")</f>
        <v/>
      </c>
      <c r="H57" s="20">
        <f>IF(AND(ISNUMBER($T57),$T57&lt;&gt;""),IF(INDEX(IlumaCalc!$Z$3:$Z$122,$T57)="","—",INDEX(IlumaCalc!$Z$3:$Z$122,$T57)),"")</f>
        <v/>
      </c>
      <c r="I57" s="20">
        <f>IF(AND(ISNUMBER($T57),$T57&lt;&gt;""),IF(INDEX(IlumaCalc!$AA$3:$AA$122,$T57)="","—",INDEX(IlumaCalc!$AA$3:$AA$122,$T57)),"")</f>
        <v/>
      </c>
      <c r="J57" s="20">
        <f>IF(AND(ISNUMBER($T57),$T57&lt;&gt;""),IF(INDEX(IlumaCalc!$AB$3:$AB$122,$T57)="","—",INDEX(IlumaCalc!$AB$3:$AB$122,$T57)),"")</f>
        <v/>
      </c>
      <c r="K57" s="20">
        <f>IF(AND(ISNUMBER($T57),$T57&lt;&gt;""),IF(INDEX(IlumaCalc!$AC$3:$AC$122,$T57)="","—",INDEX(IlumaCalc!$AC$3:$AC$122,$T57)),"")</f>
        <v/>
      </c>
      <c r="L57" s="20">
        <f>IF(AND(ISNUMBER($T57),$T57&lt;&gt;""),IF(INDEX(IlumaCalc!$AD$3:$AD$122,$T57)="","—",INDEX(IlumaCalc!$AD$3:$AD$122,$T57)),"")</f>
        <v/>
      </c>
      <c r="M57" s="20">
        <f>IF(AND(ISNUMBER($T57),$T57&lt;&gt;""),IF(INDEX(IlumaCalc!$AE$3:$AE$122,$T57)="","—",INDEX(IlumaCalc!$AE$3:$AE$122,$T57)),"")</f>
        <v/>
      </c>
      <c r="N57" s="20">
        <f>IF(AND(ISNUMBER($T57),$T57&lt;&gt;""),IF(INDEX(IlumaCalc!$AF$3:$AF$122,$T57)="","—",INDEX(IlumaCalc!$AF$3:$AF$122,$T57)),"")</f>
        <v/>
      </c>
      <c r="O57" s="20">
        <f>IF(AND(ISNUMBER($T57),$T57&lt;&gt;""),IF(INDEX(IlumaCalc!$AG$3:$AG$122,$T57)="","—",INDEX(IlumaCalc!$AG$3:$AG$122,$T57)),"")</f>
        <v/>
      </c>
      <c r="P57" s="21">
        <f>IF(AND(ISNUMBER($T57),$T57&lt;&gt;""),IF(INDEX(IlumaCalc!$AJ$3:$AJ$122,$T57)="","—",INDEX(IlumaCalc!$AJ$3:$AJ$122,$T57)),"")</f>
        <v/>
      </c>
      <c r="Q57" s="21">
        <f>IF(AND(ISNUMBER($T57),$T57&lt;&gt;""),IF(INDEX(IlumaCalc!$AK$3:$AK$122,$T57)="","—",INDEX(IlumaCalc!$AK$3:$AK$122,$T57)),"")</f>
        <v/>
      </c>
      <c r="R57" s="20">
        <f>IF(AND(ISNUMBER($T57),$T57&lt;&gt;""),IF(INDEX(IlumaCalc!$AL$3:$AL$122,$T57)="","—",INDEX(IlumaCalc!$AL$3:$AL$122,$T57)),"")</f>
        <v/>
      </c>
      <c r="T57">
        <f>IFERROR(MATCH(53,IlumaCalc!$AN$3:$AN$122,0),"")</f>
        <v/>
      </c>
    </row>
    <row r="58">
      <c r="A58" s="14">
        <f>IF(AND(ISNUMBER($T58),$T58&lt;&gt;""),INDEX(IlumaCalc!$S$3:$S$122,$T58),"")</f>
        <v/>
      </c>
      <c r="B58" s="15">
        <f>IF(AND(ISNUMBER($T58),$T58&lt;&gt;""),IF(INDEX(IlumaCalc!$T$3:$T$122,$T58)="","—",INDEX(IlumaCalc!$T$3:$T$122,$T58)),"")</f>
        <v/>
      </c>
      <c r="C58" s="15">
        <f>IF(AND(ISNUMBER($T58),$T58&lt;&gt;""),IF(INDEX(IlumaCalc!$U$3:$U$122,$T58)="","—",INDEX(IlumaCalc!$U$3:$U$122,$T58)),"")</f>
        <v/>
      </c>
      <c r="D58" s="15">
        <f>IF(AND(ISNUMBER($T58),$T58&lt;&gt;""),IF(INDEX(IlumaCalc!$V$3:$V$122,$T58)="","—",INDEX(IlumaCalc!$V$3:$V$122,$T58)),"")</f>
        <v/>
      </c>
      <c r="E58" s="15">
        <f>IF(AND(ISNUMBER($T58),$T58&lt;&gt;""),IF(INDEX(IlumaCalc!$W$3:$W$122,$T58)="","—",INDEX(IlumaCalc!$W$3:$W$122,$T58)),"")</f>
        <v/>
      </c>
      <c r="F58" s="15">
        <f>IF(AND(ISNUMBER($T58),$T58&lt;&gt;""),IF(INDEX(IlumaCalc!$X$3:$X$122,$T58)="","—",INDEX(IlumaCalc!$X$3:$X$122,$T58)),"")</f>
        <v/>
      </c>
      <c r="G58" s="15">
        <f>IF(AND(ISNUMBER($T58),$T58&lt;&gt;""),IF(INDEX(IlumaCalc!$Y$3:$Y$122,$T58)="","—",INDEX(IlumaCalc!$Y$3:$Y$122,$T58)),"")</f>
        <v/>
      </c>
      <c r="H58" s="15">
        <f>IF(AND(ISNUMBER($T58),$T58&lt;&gt;""),IF(INDEX(IlumaCalc!$Z$3:$Z$122,$T58)="","—",INDEX(IlumaCalc!$Z$3:$Z$122,$T58)),"")</f>
        <v/>
      </c>
      <c r="I58" s="15">
        <f>IF(AND(ISNUMBER($T58),$T58&lt;&gt;""),IF(INDEX(IlumaCalc!$AA$3:$AA$122,$T58)="","—",INDEX(IlumaCalc!$AA$3:$AA$122,$T58)),"")</f>
        <v/>
      </c>
      <c r="J58" s="15">
        <f>IF(AND(ISNUMBER($T58),$T58&lt;&gt;""),IF(INDEX(IlumaCalc!$AB$3:$AB$122,$T58)="","—",INDEX(IlumaCalc!$AB$3:$AB$122,$T58)),"")</f>
        <v/>
      </c>
      <c r="K58" s="15">
        <f>IF(AND(ISNUMBER($T58),$T58&lt;&gt;""),IF(INDEX(IlumaCalc!$AC$3:$AC$122,$T58)="","—",INDEX(IlumaCalc!$AC$3:$AC$122,$T58)),"")</f>
        <v/>
      </c>
      <c r="L58" s="15">
        <f>IF(AND(ISNUMBER($T58),$T58&lt;&gt;""),IF(INDEX(IlumaCalc!$AD$3:$AD$122,$T58)="","—",INDEX(IlumaCalc!$AD$3:$AD$122,$T58)),"")</f>
        <v/>
      </c>
      <c r="M58" s="15">
        <f>IF(AND(ISNUMBER($T58),$T58&lt;&gt;""),IF(INDEX(IlumaCalc!$AE$3:$AE$122,$T58)="","—",INDEX(IlumaCalc!$AE$3:$AE$122,$T58)),"")</f>
        <v/>
      </c>
      <c r="N58" s="15">
        <f>IF(AND(ISNUMBER($T58),$T58&lt;&gt;""),IF(INDEX(IlumaCalc!$AF$3:$AF$122,$T58)="","—",INDEX(IlumaCalc!$AF$3:$AF$122,$T58)),"")</f>
        <v/>
      </c>
      <c r="O58" s="15">
        <f>IF(AND(ISNUMBER($T58),$T58&lt;&gt;""),IF(INDEX(IlumaCalc!$AG$3:$AG$122,$T58)="","—",INDEX(IlumaCalc!$AG$3:$AG$122,$T58)),"")</f>
        <v/>
      </c>
      <c r="P58" s="16">
        <f>IF(AND(ISNUMBER($T58),$T58&lt;&gt;""),IF(INDEX(IlumaCalc!$AJ$3:$AJ$122,$T58)="","—",INDEX(IlumaCalc!$AJ$3:$AJ$122,$T58)),"")</f>
        <v/>
      </c>
      <c r="Q58" s="16">
        <f>IF(AND(ISNUMBER($T58),$T58&lt;&gt;""),IF(INDEX(IlumaCalc!$AK$3:$AK$122,$T58)="","—",INDEX(IlumaCalc!$AK$3:$AK$122,$T58)),"")</f>
        <v/>
      </c>
      <c r="R58" s="15">
        <f>IF(AND(ISNUMBER($T58),$T58&lt;&gt;""),IF(INDEX(IlumaCalc!$AL$3:$AL$122,$T58)="","—",INDEX(IlumaCalc!$AL$3:$AL$122,$T58)),"")</f>
        <v/>
      </c>
      <c r="T58">
        <f>IFERROR(MATCH(54,IlumaCalc!$AN$3:$AN$122,0),"")</f>
        <v/>
      </c>
    </row>
    <row r="59">
      <c r="A59" s="19">
        <f>IF(AND(ISNUMBER($T59),$T59&lt;&gt;""),INDEX(IlumaCalc!$S$3:$S$122,$T59),"")</f>
        <v/>
      </c>
      <c r="B59" s="20">
        <f>IF(AND(ISNUMBER($T59),$T59&lt;&gt;""),IF(INDEX(IlumaCalc!$T$3:$T$122,$T59)="","—",INDEX(IlumaCalc!$T$3:$T$122,$T59)),"")</f>
        <v/>
      </c>
      <c r="C59" s="20">
        <f>IF(AND(ISNUMBER($T59),$T59&lt;&gt;""),IF(INDEX(IlumaCalc!$U$3:$U$122,$T59)="","—",INDEX(IlumaCalc!$U$3:$U$122,$T59)),"")</f>
        <v/>
      </c>
      <c r="D59" s="20">
        <f>IF(AND(ISNUMBER($T59),$T59&lt;&gt;""),IF(INDEX(IlumaCalc!$V$3:$V$122,$T59)="","—",INDEX(IlumaCalc!$V$3:$V$122,$T59)),"")</f>
        <v/>
      </c>
      <c r="E59" s="20">
        <f>IF(AND(ISNUMBER($T59),$T59&lt;&gt;""),IF(INDEX(IlumaCalc!$W$3:$W$122,$T59)="","—",INDEX(IlumaCalc!$W$3:$W$122,$T59)),"")</f>
        <v/>
      </c>
      <c r="F59" s="20">
        <f>IF(AND(ISNUMBER($T59),$T59&lt;&gt;""),IF(INDEX(IlumaCalc!$X$3:$X$122,$T59)="","—",INDEX(IlumaCalc!$X$3:$X$122,$T59)),"")</f>
        <v/>
      </c>
      <c r="G59" s="20">
        <f>IF(AND(ISNUMBER($T59),$T59&lt;&gt;""),IF(INDEX(IlumaCalc!$Y$3:$Y$122,$T59)="","—",INDEX(IlumaCalc!$Y$3:$Y$122,$T59)),"")</f>
        <v/>
      </c>
      <c r="H59" s="20">
        <f>IF(AND(ISNUMBER($T59),$T59&lt;&gt;""),IF(INDEX(IlumaCalc!$Z$3:$Z$122,$T59)="","—",INDEX(IlumaCalc!$Z$3:$Z$122,$T59)),"")</f>
        <v/>
      </c>
      <c r="I59" s="20">
        <f>IF(AND(ISNUMBER($T59),$T59&lt;&gt;""),IF(INDEX(IlumaCalc!$AA$3:$AA$122,$T59)="","—",INDEX(IlumaCalc!$AA$3:$AA$122,$T59)),"")</f>
        <v/>
      </c>
      <c r="J59" s="20">
        <f>IF(AND(ISNUMBER($T59),$T59&lt;&gt;""),IF(INDEX(IlumaCalc!$AB$3:$AB$122,$T59)="","—",INDEX(IlumaCalc!$AB$3:$AB$122,$T59)),"")</f>
        <v/>
      </c>
      <c r="K59" s="20">
        <f>IF(AND(ISNUMBER($T59),$T59&lt;&gt;""),IF(INDEX(IlumaCalc!$AC$3:$AC$122,$T59)="","—",INDEX(IlumaCalc!$AC$3:$AC$122,$T59)),"")</f>
        <v/>
      </c>
      <c r="L59" s="20">
        <f>IF(AND(ISNUMBER($T59),$T59&lt;&gt;""),IF(INDEX(IlumaCalc!$AD$3:$AD$122,$T59)="","—",INDEX(IlumaCalc!$AD$3:$AD$122,$T59)),"")</f>
        <v/>
      </c>
      <c r="M59" s="20">
        <f>IF(AND(ISNUMBER($T59),$T59&lt;&gt;""),IF(INDEX(IlumaCalc!$AE$3:$AE$122,$T59)="","—",INDEX(IlumaCalc!$AE$3:$AE$122,$T59)),"")</f>
        <v/>
      </c>
      <c r="N59" s="20">
        <f>IF(AND(ISNUMBER($T59),$T59&lt;&gt;""),IF(INDEX(IlumaCalc!$AF$3:$AF$122,$T59)="","—",INDEX(IlumaCalc!$AF$3:$AF$122,$T59)),"")</f>
        <v/>
      </c>
      <c r="O59" s="20">
        <f>IF(AND(ISNUMBER($T59),$T59&lt;&gt;""),IF(INDEX(IlumaCalc!$AG$3:$AG$122,$T59)="","—",INDEX(IlumaCalc!$AG$3:$AG$122,$T59)),"")</f>
        <v/>
      </c>
      <c r="P59" s="21">
        <f>IF(AND(ISNUMBER($T59),$T59&lt;&gt;""),IF(INDEX(IlumaCalc!$AJ$3:$AJ$122,$T59)="","—",INDEX(IlumaCalc!$AJ$3:$AJ$122,$T59)),"")</f>
        <v/>
      </c>
      <c r="Q59" s="21">
        <f>IF(AND(ISNUMBER($T59),$T59&lt;&gt;""),IF(INDEX(IlumaCalc!$AK$3:$AK$122,$T59)="","—",INDEX(IlumaCalc!$AK$3:$AK$122,$T59)),"")</f>
        <v/>
      </c>
      <c r="R59" s="20">
        <f>IF(AND(ISNUMBER($T59),$T59&lt;&gt;""),IF(INDEX(IlumaCalc!$AL$3:$AL$122,$T59)="","—",INDEX(IlumaCalc!$AL$3:$AL$122,$T59)),"")</f>
        <v/>
      </c>
      <c r="T59">
        <f>IFERROR(MATCH(55,IlumaCalc!$AN$3:$AN$122,0),"")</f>
        <v/>
      </c>
    </row>
    <row r="60">
      <c r="A60" s="14">
        <f>IF(AND(ISNUMBER($T60),$T60&lt;&gt;""),INDEX(IlumaCalc!$S$3:$S$122,$T60),"")</f>
        <v/>
      </c>
      <c r="B60" s="15">
        <f>IF(AND(ISNUMBER($T60),$T60&lt;&gt;""),IF(INDEX(IlumaCalc!$T$3:$T$122,$T60)="","—",INDEX(IlumaCalc!$T$3:$T$122,$T60)),"")</f>
        <v/>
      </c>
      <c r="C60" s="15">
        <f>IF(AND(ISNUMBER($T60),$T60&lt;&gt;""),IF(INDEX(IlumaCalc!$U$3:$U$122,$T60)="","—",INDEX(IlumaCalc!$U$3:$U$122,$T60)),"")</f>
        <v/>
      </c>
      <c r="D60" s="15">
        <f>IF(AND(ISNUMBER($T60),$T60&lt;&gt;""),IF(INDEX(IlumaCalc!$V$3:$V$122,$T60)="","—",INDEX(IlumaCalc!$V$3:$V$122,$T60)),"")</f>
        <v/>
      </c>
      <c r="E60" s="15">
        <f>IF(AND(ISNUMBER($T60),$T60&lt;&gt;""),IF(INDEX(IlumaCalc!$W$3:$W$122,$T60)="","—",INDEX(IlumaCalc!$W$3:$W$122,$T60)),"")</f>
        <v/>
      </c>
      <c r="F60" s="15">
        <f>IF(AND(ISNUMBER($T60),$T60&lt;&gt;""),IF(INDEX(IlumaCalc!$X$3:$X$122,$T60)="","—",INDEX(IlumaCalc!$X$3:$X$122,$T60)),"")</f>
        <v/>
      </c>
      <c r="G60" s="15">
        <f>IF(AND(ISNUMBER($T60),$T60&lt;&gt;""),IF(INDEX(IlumaCalc!$Y$3:$Y$122,$T60)="","—",INDEX(IlumaCalc!$Y$3:$Y$122,$T60)),"")</f>
        <v/>
      </c>
      <c r="H60" s="15">
        <f>IF(AND(ISNUMBER($T60),$T60&lt;&gt;""),IF(INDEX(IlumaCalc!$Z$3:$Z$122,$T60)="","—",INDEX(IlumaCalc!$Z$3:$Z$122,$T60)),"")</f>
        <v/>
      </c>
      <c r="I60" s="15">
        <f>IF(AND(ISNUMBER($T60),$T60&lt;&gt;""),IF(INDEX(IlumaCalc!$AA$3:$AA$122,$T60)="","—",INDEX(IlumaCalc!$AA$3:$AA$122,$T60)),"")</f>
        <v/>
      </c>
      <c r="J60" s="15">
        <f>IF(AND(ISNUMBER($T60),$T60&lt;&gt;""),IF(INDEX(IlumaCalc!$AB$3:$AB$122,$T60)="","—",INDEX(IlumaCalc!$AB$3:$AB$122,$T60)),"")</f>
        <v/>
      </c>
      <c r="K60" s="15">
        <f>IF(AND(ISNUMBER($T60),$T60&lt;&gt;""),IF(INDEX(IlumaCalc!$AC$3:$AC$122,$T60)="","—",INDEX(IlumaCalc!$AC$3:$AC$122,$T60)),"")</f>
        <v/>
      </c>
      <c r="L60" s="15">
        <f>IF(AND(ISNUMBER($T60),$T60&lt;&gt;""),IF(INDEX(IlumaCalc!$AD$3:$AD$122,$T60)="","—",INDEX(IlumaCalc!$AD$3:$AD$122,$T60)),"")</f>
        <v/>
      </c>
      <c r="M60" s="15">
        <f>IF(AND(ISNUMBER($T60),$T60&lt;&gt;""),IF(INDEX(IlumaCalc!$AE$3:$AE$122,$T60)="","—",INDEX(IlumaCalc!$AE$3:$AE$122,$T60)),"")</f>
        <v/>
      </c>
      <c r="N60" s="15">
        <f>IF(AND(ISNUMBER($T60),$T60&lt;&gt;""),IF(INDEX(IlumaCalc!$AF$3:$AF$122,$T60)="","—",INDEX(IlumaCalc!$AF$3:$AF$122,$T60)),"")</f>
        <v/>
      </c>
      <c r="O60" s="15">
        <f>IF(AND(ISNUMBER($T60),$T60&lt;&gt;""),IF(INDEX(IlumaCalc!$AG$3:$AG$122,$T60)="","—",INDEX(IlumaCalc!$AG$3:$AG$122,$T60)),"")</f>
        <v/>
      </c>
      <c r="P60" s="16">
        <f>IF(AND(ISNUMBER($T60),$T60&lt;&gt;""),IF(INDEX(IlumaCalc!$AJ$3:$AJ$122,$T60)="","—",INDEX(IlumaCalc!$AJ$3:$AJ$122,$T60)),"")</f>
        <v/>
      </c>
      <c r="Q60" s="16">
        <f>IF(AND(ISNUMBER($T60),$T60&lt;&gt;""),IF(INDEX(IlumaCalc!$AK$3:$AK$122,$T60)="","—",INDEX(IlumaCalc!$AK$3:$AK$122,$T60)),"")</f>
        <v/>
      </c>
      <c r="R60" s="15">
        <f>IF(AND(ISNUMBER($T60),$T60&lt;&gt;""),IF(INDEX(IlumaCalc!$AL$3:$AL$122,$T60)="","—",INDEX(IlumaCalc!$AL$3:$AL$122,$T60)),"")</f>
        <v/>
      </c>
      <c r="T60">
        <f>IFERROR(MATCH(56,IlumaCalc!$AN$3:$AN$122,0),"")</f>
        <v/>
      </c>
    </row>
    <row r="61">
      <c r="A61" s="19">
        <f>IF(AND(ISNUMBER($T61),$T61&lt;&gt;""),INDEX(IlumaCalc!$S$3:$S$122,$T61),"")</f>
        <v/>
      </c>
      <c r="B61" s="20">
        <f>IF(AND(ISNUMBER($T61),$T61&lt;&gt;""),IF(INDEX(IlumaCalc!$T$3:$T$122,$T61)="","—",INDEX(IlumaCalc!$T$3:$T$122,$T61)),"")</f>
        <v/>
      </c>
      <c r="C61" s="20">
        <f>IF(AND(ISNUMBER($T61),$T61&lt;&gt;""),IF(INDEX(IlumaCalc!$U$3:$U$122,$T61)="","—",INDEX(IlumaCalc!$U$3:$U$122,$T61)),"")</f>
        <v/>
      </c>
      <c r="D61" s="20">
        <f>IF(AND(ISNUMBER($T61),$T61&lt;&gt;""),IF(INDEX(IlumaCalc!$V$3:$V$122,$T61)="","—",INDEX(IlumaCalc!$V$3:$V$122,$T61)),"")</f>
        <v/>
      </c>
      <c r="E61" s="20">
        <f>IF(AND(ISNUMBER($T61),$T61&lt;&gt;""),IF(INDEX(IlumaCalc!$W$3:$W$122,$T61)="","—",INDEX(IlumaCalc!$W$3:$W$122,$T61)),"")</f>
        <v/>
      </c>
      <c r="F61" s="20">
        <f>IF(AND(ISNUMBER($T61),$T61&lt;&gt;""),IF(INDEX(IlumaCalc!$X$3:$X$122,$T61)="","—",INDEX(IlumaCalc!$X$3:$X$122,$T61)),"")</f>
        <v/>
      </c>
      <c r="G61" s="20">
        <f>IF(AND(ISNUMBER($T61),$T61&lt;&gt;""),IF(INDEX(IlumaCalc!$Y$3:$Y$122,$T61)="","—",INDEX(IlumaCalc!$Y$3:$Y$122,$T61)),"")</f>
        <v/>
      </c>
      <c r="H61" s="20">
        <f>IF(AND(ISNUMBER($T61),$T61&lt;&gt;""),IF(INDEX(IlumaCalc!$Z$3:$Z$122,$T61)="","—",INDEX(IlumaCalc!$Z$3:$Z$122,$T61)),"")</f>
        <v/>
      </c>
      <c r="I61" s="20">
        <f>IF(AND(ISNUMBER($T61),$T61&lt;&gt;""),IF(INDEX(IlumaCalc!$AA$3:$AA$122,$T61)="","—",INDEX(IlumaCalc!$AA$3:$AA$122,$T61)),"")</f>
        <v/>
      </c>
      <c r="J61" s="20">
        <f>IF(AND(ISNUMBER($T61),$T61&lt;&gt;""),IF(INDEX(IlumaCalc!$AB$3:$AB$122,$T61)="","—",INDEX(IlumaCalc!$AB$3:$AB$122,$T61)),"")</f>
        <v/>
      </c>
      <c r="K61" s="20">
        <f>IF(AND(ISNUMBER($T61),$T61&lt;&gt;""),IF(INDEX(IlumaCalc!$AC$3:$AC$122,$T61)="","—",INDEX(IlumaCalc!$AC$3:$AC$122,$T61)),"")</f>
        <v/>
      </c>
      <c r="L61" s="20">
        <f>IF(AND(ISNUMBER($T61),$T61&lt;&gt;""),IF(INDEX(IlumaCalc!$AD$3:$AD$122,$T61)="","—",INDEX(IlumaCalc!$AD$3:$AD$122,$T61)),"")</f>
        <v/>
      </c>
      <c r="M61" s="20">
        <f>IF(AND(ISNUMBER($T61),$T61&lt;&gt;""),IF(INDEX(IlumaCalc!$AE$3:$AE$122,$T61)="","—",INDEX(IlumaCalc!$AE$3:$AE$122,$T61)),"")</f>
        <v/>
      </c>
      <c r="N61" s="20">
        <f>IF(AND(ISNUMBER($T61),$T61&lt;&gt;""),IF(INDEX(IlumaCalc!$AF$3:$AF$122,$T61)="","—",INDEX(IlumaCalc!$AF$3:$AF$122,$T61)),"")</f>
        <v/>
      </c>
      <c r="O61" s="20">
        <f>IF(AND(ISNUMBER($T61),$T61&lt;&gt;""),IF(INDEX(IlumaCalc!$AG$3:$AG$122,$T61)="","—",INDEX(IlumaCalc!$AG$3:$AG$122,$T61)),"")</f>
        <v/>
      </c>
      <c r="P61" s="21">
        <f>IF(AND(ISNUMBER($T61),$T61&lt;&gt;""),IF(INDEX(IlumaCalc!$AJ$3:$AJ$122,$T61)="","—",INDEX(IlumaCalc!$AJ$3:$AJ$122,$T61)),"")</f>
        <v/>
      </c>
      <c r="Q61" s="21">
        <f>IF(AND(ISNUMBER($T61),$T61&lt;&gt;""),IF(INDEX(IlumaCalc!$AK$3:$AK$122,$T61)="","—",INDEX(IlumaCalc!$AK$3:$AK$122,$T61)),"")</f>
        <v/>
      </c>
      <c r="R61" s="20">
        <f>IF(AND(ISNUMBER($T61),$T61&lt;&gt;""),IF(INDEX(IlumaCalc!$AL$3:$AL$122,$T61)="","—",INDEX(IlumaCalc!$AL$3:$AL$122,$T61)),"")</f>
        <v/>
      </c>
      <c r="T61">
        <f>IFERROR(MATCH(57,IlumaCalc!$AN$3:$AN$122,0),"")</f>
        <v/>
      </c>
    </row>
    <row r="62">
      <c r="A62" s="14">
        <f>IF(AND(ISNUMBER($T62),$T62&lt;&gt;""),INDEX(IlumaCalc!$S$3:$S$122,$T62),"")</f>
        <v/>
      </c>
      <c r="B62" s="15">
        <f>IF(AND(ISNUMBER($T62),$T62&lt;&gt;""),IF(INDEX(IlumaCalc!$T$3:$T$122,$T62)="","—",INDEX(IlumaCalc!$T$3:$T$122,$T62)),"")</f>
        <v/>
      </c>
      <c r="C62" s="15">
        <f>IF(AND(ISNUMBER($T62),$T62&lt;&gt;""),IF(INDEX(IlumaCalc!$U$3:$U$122,$T62)="","—",INDEX(IlumaCalc!$U$3:$U$122,$T62)),"")</f>
        <v/>
      </c>
      <c r="D62" s="15">
        <f>IF(AND(ISNUMBER($T62),$T62&lt;&gt;""),IF(INDEX(IlumaCalc!$V$3:$V$122,$T62)="","—",INDEX(IlumaCalc!$V$3:$V$122,$T62)),"")</f>
        <v/>
      </c>
      <c r="E62" s="15">
        <f>IF(AND(ISNUMBER($T62),$T62&lt;&gt;""),IF(INDEX(IlumaCalc!$W$3:$W$122,$T62)="","—",INDEX(IlumaCalc!$W$3:$W$122,$T62)),"")</f>
        <v/>
      </c>
      <c r="F62" s="15">
        <f>IF(AND(ISNUMBER($T62),$T62&lt;&gt;""),IF(INDEX(IlumaCalc!$X$3:$X$122,$T62)="","—",INDEX(IlumaCalc!$X$3:$X$122,$T62)),"")</f>
        <v/>
      </c>
      <c r="G62" s="15">
        <f>IF(AND(ISNUMBER($T62),$T62&lt;&gt;""),IF(INDEX(IlumaCalc!$Y$3:$Y$122,$T62)="","—",INDEX(IlumaCalc!$Y$3:$Y$122,$T62)),"")</f>
        <v/>
      </c>
      <c r="H62" s="15">
        <f>IF(AND(ISNUMBER($T62),$T62&lt;&gt;""),IF(INDEX(IlumaCalc!$Z$3:$Z$122,$T62)="","—",INDEX(IlumaCalc!$Z$3:$Z$122,$T62)),"")</f>
        <v/>
      </c>
      <c r="I62" s="15">
        <f>IF(AND(ISNUMBER($T62),$T62&lt;&gt;""),IF(INDEX(IlumaCalc!$AA$3:$AA$122,$T62)="","—",INDEX(IlumaCalc!$AA$3:$AA$122,$T62)),"")</f>
        <v/>
      </c>
      <c r="J62" s="15">
        <f>IF(AND(ISNUMBER($T62),$T62&lt;&gt;""),IF(INDEX(IlumaCalc!$AB$3:$AB$122,$T62)="","—",INDEX(IlumaCalc!$AB$3:$AB$122,$T62)),"")</f>
        <v/>
      </c>
      <c r="K62" s="15">
        <f>IF(AND(ISNUMBER($T62),$T62&lt;&gt;""),IF(INDEX(IlumaCalc!$AC$3:$AC$122,$T62)="","—",INDEX(IlumaCalc!$AC$3:$AC$122,$T62)),"")</f>
        <v/>
      </c>
      <c r="L62" s="15">
        <f>IF(AND(ISNUMBER($T62),$T62&lt;&gt;""),IF(INDEX(IlumaCalc!$AD$3:$AD$122,$T62)="","—",INDEX(IlumaCalc!$AD$3:$AD$122,$T62)),"")</f>
        <v/>
      </c>
      <c r="M62" s="15">
        <f>IF(AND(ISNUMBER($T62),$T62&lt;&gt;""),IF(INDEX(IlumaCalc!$AE$3:$AE$122,$T62)="","—",INDEX(IlumaCalc!$AE$3:$AE$122,$T62)),"")</f>
        <v/>
      </c>
      <c r="N62" s="15">
        <f>IF(AND(ISNUMBER($T62),$T62&lt;&gt;""),IF(INDEX(IlumaCalc!$AF$3:$AF$122,$T62)="","—",INDEX(IlumaCalc!$AF$3:$AF$122,$T62)),"")</f>
        <v/>
      </c>
      <c r="O62" s="15">
        <f>IF(AND(ISNUMBER($T62),$T62&lt;&gt;""),IF(INDEX(IlumaCalc!$AG$3:$AG$122,$T62)="","—",INDEX(IlumaCalc!$AG$3:$AG$122,$T62)),"")</f>
        <v/>
      </c>
      <c r="P62" s="16">
        <f>IF(AND(ISNUMBER($T62),$T62&lt;&gt;""),IF(INDEX(IlumaCalc!$AJ$3:$AJ$122,$T62)="","—",INDEX(IlumaCalc!$AJ$3:$AJ$122,$T62)),"")</f>
        <v/>
      </c>
      <c r="Q62" s="16">
        <f>IF(AND(ISNUMBER($T62),$T62&lt;&gt;""),IF(INDEX(IlumaCalc!$AK$3:$AK$122,$T62)="","—",INDEX(IlumaCalc!$AK$3:$AK$122,$T62)),"")</f>
        <v/>
      </c>
      <c r="R62" s="15">
        <f>IF(AND(ISNUMBER($T62),$T62&lt;&gt;""),IF(INDEX(IlumaCalc!$AL$3:$AL$122,$T62)="","—",INDEX(IlumaCalc!$AL$3:$AL$122,$T62)),"")</f>
        <v/>
      </c>
      <c r="T62">
        <f>IFERROR(MATCH(58,IlumaCalc!$AN$3:$AN$122,0),"")</f>
        <v/>
      </c>
    </row>
    <row r="63">
      <c r="A63" s="19">
        <f>IF(AND(ISNUMBER($T63),$T63&lt;&gt;""),INDEX(IlumaCalc!$S$3:$S$122,$T63),"")</f>
        <v/>
      </c>
      <c r="B63" s="20">
        <f>IF(AND(ISNUMBER($T63),$T63&lt;&gt;""),IF(INDEX(IlumaCalc!$T$3:$T$122,$T63)="","—",INDEX(IlumaCalc!$T$3:$T$122,$T63)),"")</f>
        <v/>
      </c>
      <c r="C63" s="20">
        <f>IF(AND(ISNUMBER($T63),$T63&lt;&gt;""),IF(INDEX(IlumaCalc!$U$3:$U$122,$T63)="","—",INDEX(IlumaCalc!$U$3:$U$122,$T63)),"")</f>
        <v/>
      </c>
      <c r="D63" s="20">
        <f>IF(AND(ISNUMBER($T63),$T63&lt;&gt;""),IF(INDEX(IlumaCalc!$V$3:$V$122,$T63)="","—",INDEX(IlumaCalc!$V$3:$V$122,$T63)),"")</f>
        <v/>
      </c>
      <c r="E63" s="20">
        <f>IF(AND(ISNUMBER($T63),$T63&lt;&gt;""),IF(INDEX(IlumaCalc!$W$3:$W$122,$T63)="","—",INDEX(IlumaCalc!$W$3:$W$122,$T63)),"")</f>
        <v/>
      </c>
      <c r="F63" s="20">
        <f>IF(AND(ISNUMBER($T63),$T63&lt;&gt;""),IF(INDEX(IlumaCalc!$X$3:$X$122,$T63)="","—",INDEX(IlumaCalc!$X$3:$X$122,$T63)),"")</f>
        <v/>
      </c>
      <c r="G63" s="20">
        <f>IF(AND(ISNUMBER($T63),$T63&lt;&gt;""),IF(INDEX(IlumaCalc!$Y$3:$Y$122,$T63)="","—",INDEX(IlumaCalc!$Y$3:$Y$122,$T63)),"")</f>
        <v/>
      </c>
      <c r="H63" s="20">
        <f>IF(AND(ISNUMBER($T63),$T63&lt;&gt;""),IF(INDEX(IlumaCalc!$Z$3:$Z$122,$T63)="","—",INDEX(IlumaCalc!$Z$3:$Z$122,$T63)),"")</f>
        <v/>
      </c>
      <c r="I63" s="20">
        <f>IF(AND(ISNUMBER($T63),$T63&lt;&gt;""),IF(INDEX(IlumaCalc!$AA$3:$AA$122,$T63)="","—",INDEX(IlumaCalc!$AA$3:$AA$122,$T63)),"")</f>
        <v/>
      </c>
      <c r="J63" s="20">
        <f>IF(AND(ISNUMBER($T63),$T63&lt;&gt;""),IF(INDEX(IlumaCalc!$AB$3:$AB$122,$T63)="","—",INDEX(IlumaCalc!$AB$3:$AB$122,$T63)),"")</f>
        <v/>
      </c>
      <c r="K63" s="20">
        <f>IF(AND(ISNUMBER($T63),$T63&lt;&gt;""),IF(INDEX(IlumaCalc!$AC$3:$AC$122,$T63)="","—",INDEX(IlumaCalc!$AC$3:$AC$122,$T63)),"")</f>
        <v/>
      </c>
      <c r="L63" s="20">
        <f>IF(AND(ISNUMBER($T63),$T63&lt;&gt;""),IF(INDEX(IlumaCalc!$AD$3:$AD$122,$T63)="","—",INDEX(IlumaCalc!$AD$3:$AD$122,$T63)),"")</f>
        <v/>
      </c>
      <c r="M63" s="20">
        <f>IF(AND(ISNUMBER($T63),$T63&lt;&gt;""),IF(INDEX(IlumaCalc!$AE$3:$AE$122,$T63)="","—",INDEX(IlumaCalc!$AE$3:$AE$122,$T63)),"")</f>
        <v/>
      </c>
      <c r="N63" s="20">
        <f>IF(AND(ISNUMBER($T63),$T63&lt;&gt;""),IF(INDEX(IlumaCalc!$AF$3:$AF$122,$T63)="","—",INDEX(IlumaCalc!$AF$3:$AF$122,$T63)),"")</f>
        <v/>
      </c>
      <c r="O63" s="20">
        <f>IF(AND(ISNUMBER($T63),$T63&lt;&gt;""),IF(INDEX(IlumaCalc!$AG$3:$AG$122,$T63)="","—",INDEX(IlumaCalc!$AG$3:$AG$122,$T63)),"")</f>
        <v/>
      </c>
      <c r="P63" s="21">
        <f>IF(AND(ISNUMBER($T63),$T63&lt;&gt;""),IF(INDEX(IlumaCalc!$AJ$3:$AJ$122,$T63)="","—",INDEX(IlumaCalc!$AJ$3:$AJ$122,$T63)),"")</f>
        <v/>
      </c>
      <c r="Q63" s="21">
        <f>IF(AND(ISNUMBER($T63),$T63&lt;&gt;""),IF(INDEX(IlumaCalc!$AK$3:$AK$122,$T63)="","—",INDEX(IlumaCalc!$AK$3:$AK$122,$T63)),"")</f>
        <v/>
      </c>
      <c r="R63" s="20">
        <f>IF(AND(ISNUMBER($T63),$T63&lt;&gt;""),IF(INDEX(IlumaCalc!$AL$3:$AL$122,$T63)="","—",INDEX(IlumaCalc!$AL$3:$AL$122,$T63)),"")</f>
        <v/>
      </c>
      <c r="T63">
        <f>IFERROR(MATCH(59,IlumaCalc!$AN$3:$AN$122,0),"")</f>
        <v/>
      </c>
    </row>
    <row r="64">
      <c r="A64" s="14">
        <f>IF(AND(ISNUMBER($T64),$T64&lt;&gt;""),INDEX(IlumaCalc!$S$3:$S$122,$T64),"")</f>
        <v/>
      </c>
      <c r="B64" s="15">
        <f>IF(AND(ISNUMBER($T64),$T64&lt;&gt;""),IF(INDEX(IlumaCalc!$T$3:$T$122,$T64)="","—",INDEX(IlumaCalc!$T$3:$T$122,$T64)),"")</f>
        <v/>
      </c>
      <c r="C64" s="15">
        <f>IF(AND(ISNUMBER($T64),$T64&lt;&gt;""),IF(INDEX(IlumaCalc!$U$3:$U$122,$T64)="","—",INDEX(IlumaCalc!$U$3:$U$122,$T64)),"")</f>
        <v/>
      </c>
      <c r="D64" s="15">
        <f>IF(AND(ISNUMBER($T64),$T64&lt;&gt;""),IF(INDEX(IlumaCalc!$V$3:$V$122,$T64)="","—",INDEX(IlumaCalc!$V$3:$V$122,$T64)),"")</f>
        <v/>
      </c>
      <c r="E64" s="15">
        <f>IF(AND(ISNUMBER($T64),$T64&lt;&gt;""),IF(INDEX(IlumaCalc!$W$3:$W$122,$T64)="","—",INDEX(IlumaCalc!$W$3:$W$122,$T64)),"")</f>
        <v/>
      </c>
      <c r="F64" s="15">
        <f>IF(AND(ISNUMBER($T64),$T64&lt;&gt;""),IF(INDEX(IlumaCalc!$X$3:$X$122,$T64)="","—",INDEX(IlumaCalc!$X$3:$X$122,$T64)),"")</f>
        <v/>
      </c>
      <c r="G64" s="15">
        <f>IF(AND(ISNUMBER($T64),$T64&lt;&gt;""),IF(INDEX(IlumaCalc!$Y$3:$Y$122,$T64)="","—",INDEX(IlumaCalc!$Y$3:$Y$122,$T64)),"")</f>
        <v/>
      </c>
      <c r="H64" s="15">
        <f>IF(AND(ISNUMBER($T64),$T64&lt;&gt;""),IF(INDEX(IlumaCalc!$Z$3:$Z$122,$T64)="","—",INDEX(IlumaCalc!$Z$3:$Z$122,$T64)),"")</f>
        <v/>
      </c>
      <c r="I64" s="15">
        <f>IF(AND(ISNUMBER($T64),$T64&lt;&gt;""),IF(INDEX(IlumaCalc!$AA$3:$AA$122,$T64)="","—",INDEX(IlumaCalc!$AA$3:$AA$122,$T64)),"")</f>
        <v/>
      </c>
      <c r="J64" s="15">
        <f>IF(AND(ISNUMBER($T64),$T64&lt;&gt;""),IF(INDEX(IlumaCalc!$AB$3:$AB$122,$T64)="","—",INDEX(IlumaCalc!$AB$3:$AB$122,$T64)),"")</f>
        <v/>
      </c>
      <c r="K64" s="15">
        <f>IF(AND(ISNUMBER($T64),$T64&lt;&gt;""),IF(INDEX(IlumaCalc!$AC$3:$AC$122,$T64)="","—",INDEX(IlumaCalc!$AC$3:$AC$122,$T64)),"")</f>
        <v/>
      </c>
      <c r="L64" s="15">
        <f>IF(AND(ISNUMBER($T64),$T64&lt;&gt;""),IF(INDEX(IlumaCalc!$AD$3:$AD$122,$T64)="","—",INDEX(IlumaCalc!$AD$3:$AD$122,$T64)),"")</f>
        <v/>
      </c>
      <c r="M64" s="15">
        <f>IF(AND(ISNUMBER($T64),$T64&lt;&gt;""),IF(INDEX(IlumaCalc!$AE$3:$AE$122,$T64)="","—",INDEX(IlumaCalc!$AE$3:$AE$122,$T64)),"")</f>
        <v/>
      </c>
      <c r="N64" s="15">
        <f>IF(AND(ISNUMBER($T64),$T64&lt;&gt;""),IF(INDEX(IlumaCalc!$AF$3:$AF$122,$T64)="","—",INDEX(IlumaCalc!$AF$3:$AF$122,$T64)),"")</f>
        <v/>
      </c>
      <c r="O64" s="15">
        <f>IF(AND(ISNUMBER($T64),$T64&lt;&gt;""),IF(INDEX(IlumaCalc!$AG$3:$AG$122,$T64)="","—",INDEX(IlumaCalc!$AG$3:$AG$122,$T64)),"")</f>
        <v/>
      </c>
      <c r="P64" s="16">
        <f>IF(AND(ISNUMBER($T64),$T64&lt;&gt;""),IF(INDEX(IlumaCalc!$AJ$3:$AJ$122,$T64)="","—",INDEX(IlumaCalc!$AJ$3:$AJ$122,$T64)),"")</f>
        <v/>
      </c>
      <c r="Q64" s="16">
        <f>IF(AND(ISNUMBER($T64),$T64&lt;&gt;""),IF(INDEX(IlumaCalc!$AK$3:$AK$122,$T64)="","—",INDEX(IlumaCalc!$AK$3:$AK$122,$T64)),"")</f>
        <v/>
      </c>
      <c r="R64" s="15">
        <f>IF(AND(ISNUMBER($T64),$T64&lt;&gt;""),IF(INDEX(IlumaCalc!$AL$3:$AL$122,$T64)="","—",INDEX(IlumaCalc!$AL$3:$AL$122,$T64)),"")</f>
        <v/>
      </c>
      <c r="T64">
        <f>IFERROR(MATCH(60,IlumaCalc!$AN$3:$AN$122,0),"")</f>
        <v/>
      </c>
    </row>
    <row r="65">
      <c r="A65" s="19">
        <f>IF(AND(ISNUMBER($T65),$T65&lt;&gt;""),INDEX(IlumaCalc!$S$3:$S$122,$T65),"")</f>
        <v/>
      </c>
      <c r="B65" s="20">
        <f>IF(AND(ISNUMBER($T65),$T65&lt;&gt;""),IF(INDEX(IlumaCalc!$T$3:$T$122,$T65)="","—",INDEX(IlumaCalc!$T$3:$T$122,$T65)),"")</f>
        <v/>
      </c>
      <c r="C65" s="20">
        <f>IF(AND(ISNUMBER($T65),$T65&lt;&gt;""),IF(INDEX(IlumaCalc!$U$3:$U$122,$T65)="","—",INDEX(IlumaCalc!$U$3:$U$122,$T65)),"")</f>
        <v/>
      </c>
      <c r="D65" s="20">
        <f>IF(AND(ISNUMBER($T65),$T65&lt;&gt;""),IF(INDEX(IlumaCalc!$V$3:$V$122,$T65)="","—",INDEX(IlumaCalc!$V$3:$V$122,$T65)),"")</f>
        <v/>
      </c>
      <c r="E65" s="20">
        <f>IF(AND(ISNUMBER($T65),$T65&lt;&gt;""),IF(INDEX(IlumaCalc!$W$3:$W$122,$T65)="","—",INDEX(IlumaCalc!$W$3:$W$122,$T65)),"")</f>
        <v/>
      </c>
      <c r="F65" s="20">
        <f>IF(AND(ISNUMBER($T65),$T65&lt;&gt;""),IF(INDEX(IlumaCalc!$X$3:$X$122,$T65)="","—",INDEX(IlumaCalc!$X$3:$X$122,$T65)),"")</f>
        <v/>
      </c>
      <c r="G65" s="20">
        <f>IF(AND(ISNUMBER($T65),$T65&lt;&gt;""),IF(INDEX(IlumaCalc!$Y$3:$Y$122,$T65)="","—",INDEX(IlumaCalc!$Y$3:$Y$122,$T65)),"")</f>
        <v/>
      </c>
      <c r="H65" s="20">
        <f>IF(AND(ISNUMBER($T65),$T65&lt;&gt;""),IF(INDEX(IlumaCalc!$Z$3:$Z$122,$T65)="","—",INDEX(IlumaCalc!$Z$3:$Z$122,$T65)),"")</f>
        <v/>
      </c>
      <c r="I65" s="20">
        <f>IF(AND(ISNUMBER($T65),$T65&lt;&gt;""),IF(INDEX(IlumaCalc!$AA$3:$AA$122,$T65)="","—",INDEX(IlumaCalc!$AA$3:$AA$122,$T65)),"")</f>
        <v/>
      </c>
      <c r="J65" s="20">
        <f>IF(AND(ISNUMBER($T65),$T65&lt;&gt;""),IF(INDEX(IlumaCalc!$AB$3:$AB$122,$T65)="","—",INDEX(IlumaCalc!$AB$3:$AB$122,$T65)),"")</f>
        <v/>
      </c>
      <c r="K65" s="20">
        <f>IF(AND(ISNUMBER($T65),$T65&lt;&gt;""),IF(INDEX(IlumaCalc!$AC$3:$AC$122,$T65)="","—",INDEX(IlumaCalc!$AC$3:$AC$122,$T65)),"")</f>
        <v/>
      </c>
      <c r="L65" s="20">
        <f>IF(AND(ISNUMBER($T65),$T65&lt;&gt;""),IF(INDEX(IlumaCalc!$AD$3:$AD$122,$T65)="","—",INDEX(IlumaCalc!$AD$3:$AD$122,$T65)),"")</f>
        <v/>
      </c>
      <c r="M65" s="20">
        <f>IF(AND(ISNUMBER($T65),$T65&lt;&gt;""),IF(INDEX(IlumaCalc!$AE$3:$AE$122,$T65)="","—",INDEX(IlumaCalc!$AE$3:$AE$122,$T65)),"")</f>
        <v/>
      </c>
      <c r="N65" s="20">
        <f>IF(AND(ISNUMBER($T65),$T65&lt;&gt;""),IF(INDEX(IlumaCalc!$AF$3:$AF$122,$T65)="","—",INDEX(IlumaCalc!$AF$3:$AF$122,$T65)),"")</f>
        <v/>
      </c>
      <c r="O65" s="20">
        <f>IF(AND(ISNUMBER($T65),$T65&lt;&gt;""),IF(INDEX(IlumaCalc!$AG$3:$AG$122,$T65)="","—",INDEX(IlumaCalc!$AG$3:$AG$122,$T65)),"")</f>
        <v/>
      </c>
      <c r="P65" s="21">
        <f>IF(AND(ISNUMBER($T65),$T65&lt;&gt;""),IF(INDEX(IlumaCalc!$AJ$3:$AJ$122,$T65)="","—",INDEX(IlumaCalc!$AJ$3:$AJ$122,$T65)),"")</f>
        <v/>
      </c>
      <c r="Q65" s="21">
        <f>IF(AND(ISNUMBER($T65),$T65&lt;&gt;""),IF(INDEX(IlumaCalc!$AK$3:$AK$122,$T65)="","—",INDEX(IlumaCalc!$AK$3:$AK$122,$T65)),"")</f>
        <v/>
      </c>
      <c r="R65" s="20">
        <f>IF(AND(ISNUMBER($T65),$T65&lt;&gt;""),IF(INDEX(IlumaCalc!$AL$3:$AL$122,$T65)="","—",INDEX(IlumaCalc!$AL$3:$AL$122,$T65)),"")</f>
        <v/>
      </c>
      <c r="T65">
        <f>IFERROR(MATCH(61,IlumaCalc!$AN$3:$AN$122,0),"")</f>
        <v/>
      </c>
    </row>
    <row r="66">
      <c r="A66" s="14">
        <f>IF(AND(ISNUMBER($T66),$T66&lt;&gt;""),INDEX(IlumaCalc!$S$3:$S$122,$T66),"")</f>
        <v/>
      </c>
      <c r="B66" s="15">
        <f>IF(AND(ISNUMBER($T66),$T66&lt;&gt;""),IF(INDEX(IlumaCalc!$T$3:$T$122,$T66)="","—",INDEX(IlumaCalc!$T$3:$T$122,$T66)),"")</f>
        <v/>
      </c>
      <c r="C66" s="15">
        <f>IF(AND(ISNUMBER($T66),$T66&lt;&gt;""),IF(INDEX(IlumaCalc!$U$3:$U$122,$T66)="","—",INDEX(IlumaCalc!$U$3:$U$122,$T66)),"")</f>
        <v/>
      </c>
      <c r="D66" s="15">
        <f>IF(AND(ISNUMBER($T66),$T66&lt;&gt;""),IF(INDEX(IlumaCalc!$V$3:$V$122,$T66)="","—",INDEX(IlumaCalc!$V$3:$V$122,$T66)),"")</f>
        <v/>
      </c>
      <c r="E66" s="15">
        <f>IF(AND(ISNUMBER($T66),$T66&lt;&gt;""),IF(INDEX(IlumaCalc!$W$3:$W$122,$T66)="","—",INDEX(IlumaCalc!$W$3:$W$122,$T66)),"")</f>
        <v/>
      </c>
      <c r="F66" s="15">
        <f>IF(AND(ISNUMBER($T66),$T66&lt;&gt;""),IF(INDEX(IlumaCalc!$X$3:$X$122,$T66)="","—",INDEX(IlumaCalc!$X$3:$X$122,$T66)),"")</f>
        <v/>
      </c>
      <c r="G66" s="15">
        <f>IF(AND(ISNUMBER($T66),$T66&lt;&gt;""),IF(INDEX(IlumaCalc!$Y$3:$Y$122,$T66)="","—",INDEX(IlumaCalc!$Y$3:$Y$122,$T66)),"")</f>
        <v/>
      </c>
      <c r="H66" s="15">
        <f>IF(AND(ISNUMBER($T66),$T66&lt;&gt;""),IF(INDEX(IlumaCalc!$Z$3:$Z$122,$T66)="","—",INDEX(IlumaCalc!$Z$3:$Z$122,$T66)),"")</f>
        <v/>
      </c>
      <c r="I66" s="15">
        <f>IF(AND(ISNUMBER($T66),$T66&lt;&gt;""),IF(INDEX(IlumaCalc!$AA$3:$AA$122,$T66)="","—",INDEX(IlumaCalc!$AA$3:$AA$122,$T66)),"")</f>
        <v/>
      </c>
      <c r="J66" s="15">
        <f>IF(AND(ISNUMBER($T66),$T66&lt;&gt;""),IF(INDEX(IlumaCalc!$AB$3:$AB$122,$T66)="","—",INDEX(IlumaCalc!$AB$3:$AB$122,$T66)),"")</f>
        <v/>
      </c>
      <c r="K66" s="15">
        <f>IF(AND(ISNUMBER($T66),$T66&lt;&gt;""),IF(INDEX(IlumaCalc!$AC$3:$AC$122,$T66)="","—",INDEX(IlumaCalc!$AC$3:$AC$122,$T66)),"")</f>
        <v/>
      </c>
      <c r="L66" s="15">
        <f>IF(AND(ISNUMBER($T66),$T66&lt;&gt;""),IF(INDEX(IlumaCalc!$AD$3:$AD$122,$T66)="","—",INDEX(IlumaCalc!$AD$3:$AD$122,$T66)),"")</f>
        <v/>
      </c>
      <c r="M66" s="15">
        <f>IF(AND(ISNUMBER($T66),$T66&lt;&gt;""),IF(INDEX(IlumaCalc!$AE$3:$AE$122,$T66)="","—",INDEX(IlumaCalc!$AE$3:$AE$122,$T66)),"")</f>
        <v/>
      </c>
      <c r="N66" s="15">
        <f>IF(AND(ISNUMBER($T66),$T66&lt;&gt;""),IF(INDEX(IlumaCalc!$AF$3:$AF$122,$T66)="","—",INDEX(IlumaCalc!$AF$3:$AF$122,$T66)),"")</f>
        <v/>
      </c>
      <c r="O66" s="15">
        <f>IF(AND(ISNUMBER($T66),$T66&lt;&gt;""),IF(INDEX(IlumaCalc!$AG$3:$AG$122,$T66)="","—",INDEX(IlumaCalc!$AG$3:$AG$122,$T66)),"")</f>
        <v/>
      </c>
      <c r="P66" s="16">
        <f>IF(AND(ISNUMBER($T66),$T66&lt;&gt;""),IF(INDEX(IlumaCalc!$AJ$3:$AJ$122,$T66)="","—",INDEX(IlumaCalc!$AJ$3:$AJ$122,$T66)),"")</f>
        <v/>
      </c>
      <c r="Q66" s="16">
        <f>IF(AND(ISNUMBER($T66),$T66&lt;&gt;""),IF(INDEX(IlumaCalc!$AK$3:$AK$122,$T66)="","—",INDEX(IlumaCalc!$AK$3:$AK$122,$T66)),"")</f>
        <v/>
      </c>
      <c r="R66" s="15">
        <f>IF(AND(ISNUMBER($T66),$T66&lt;&gt;""),IF(INDEX(IlumaCalc!$AL$3:$AL$122,$T66)="","—",INDEX(IlumaCalc!$AL$3:$AL$122,$T66)),"")</f>
        <v/>
      </c>
      <c r="T66">
        <f>IFERROR(MATCH(62,IlumaCalc!$AN$3:$AN$122,0),"")</f>
        <v/>
      </c>
    </row>
    <row r="67">
      <c r="A67" s="19">
        <f>IF(AND(ISNUMBER($T67),$T67&lt;&gt;""),INDEX(IlumaCalc!$S$3:$S$122,$T67),"")</f>
        <v/>
      </c>
      <c r="B67" s="20">
        <f>IF(AND(ISNUMBER($T67),$T67&lt;&gt;""),IF(INDEX(IlumaCalc!$T$3:$T$122,$T67)="","—",INDEX(IlumaCalc!$T$3:$T$122,$T67)),"")</f>
        <v/>
      </c>
      <c r="C67" s="20">
        <f>IF(AND(ISNUMBER($T67),$T67&lt;&gt;""),IF(INDEX(IlumaCalc!$U$3:$U$122,$T67)="","—",INDEX(IlumaCalc!$U$3:$U$122,$T67)),"")</f>
        <v/>
      </c>
      <c r="D67" s="20">
        <f>IF(AND(ISNUMBER($T67),$T67&lt;&gt;""),IF(INDEX(IlumaCalc!$V$3:$V$122,$T67)="","—",INDEX(IlumaCalc!$V$3:$V$122,$T67)),"")</f>
        <v/>
      </c>
      <c r="E67" s="20">
        <f>IF(AND(ISNUMBER($T67),$T67&lt;&gt;""),IF(INDEX(IlumaCalc!$W$3:$W$122,$T67)="","—",INDEX(IlumaCalc!$W$3:$W$122,$T67)),"")</f>
        <v/>
      </c>
      <c r="F67" s="20">
        <f>IF(AND(ISNUMBER($T67),$T67&lt;&gt;""),IF(INDEX(IlumaCalc!$X$3:$X$122,$T67)="","—",INDEX(IlumaCalc!$X$3:$X$122,$T67)),"")</f>
        <v/>
      </c>
      <c r="G67" s="20">
        <f>IF(AND(ISNUMBER($T67),$T67&lt;&gt;""),IF(INDEX(IlumaCalc!$Y$3:$Y$122,$T67)="","—",INDEX(IlumaCalc!$Y$3:$Y$122,$T67)),"")</f>
        <v/>
      </c>
      <c r="H67" s="20">
        <f>IF(AND(ISNUMBER($T67),$T67&lt;&gt;""),IF(INDEX(IlumaCalc!$Z$3:$Z$122,$T67)="","—",INDEX(IlumaCalc!$Z$3:$Z$122,$T67)),"")</f>
        <v/>
      </c>
      <c r="I67" s="20">
        <f>IF(AND(ISNUMBER($T67),$T67&lt;&gt;""),IF(INDEX(IlumaCalc!$AA$3:$AA$122,$T67)="","—",INDEX(IlumaCalc!$AA$3:$AA$122,$T67)),"")</f>
        <v/>
      </c>
      <c r="J67" s="20">
        <f>IF(AND(ISNUMBER($T67),$T67&lt;&gt;""),IF(INDEX(IlumaCalc!$AB$3:$AB$122,$T67)="","—",INDEX(IlumaCalc!$AB$3:$AB$122,$T67)),"")</f>
        <v/>
      </c>
      <c r="K67" s="20">
        <f>IF(AND(ISNUMBER($T67),$T67&lt;&gt;""),IF(INDEX(IlumaCalc!$AC$3:$AC$122,$T67)="","—",INDEX(IlumaCalc!$AC$3:$AC$122,$T67)),"")</f>
        <v/>
      </c>
      <c r="L67" s="20">
        <f>IF(AND(ISNUMBER($T67),$T67&lt;&gt;""),IF(INDEX(IlumaCalc!$AD$3:$AD$122,$T67)="","—",INDEX(IlumaCalc!$AD$3:$AD$122,$T67)),"")</f>
        <v/>
      </c>
      <c r="M67" s="20">
        <f>IF(AND(ISNUMBER($T67),$T67&lt;&gt;""),IF(INDEX(IlumaCalc!$AE$3:$AE$122,$T67)="","—",INDEX(IlumaCalc!$AE$3:$AE$122,$T67)),"")</f>
        <v/>
      </c>
      <c r="N67" s="20">
        <f>IF(AND(ISNUMBER($T67),$T67&lt;&gt;""),IF(INDEX(IlumaCalc!$AF$3:$AF$122,$T67)="","—",INDEX(IlumaCalc!$AF$3:$AF$122,$T67)),"")</f>
        <v/>
      </c>
      <c r="O67" s="20">
        <f>IF(AND(ISNUMBER($T67),$T67&lt;&gt;""),IF(INDEX(IlumaCalc!$AG$3:$AG$122,$T67)="","—",INDEX(IlumaCalc!$AG$3:$AG$122,$T67)),"")</f>
        <v/>
      </c>
      <c r="P67" s="21">
        <f>IF(AND(ISNUMBER($T67),$T67&lt;&gt;""),IF(INDEX(IlumaCalc!$AJ$3:$AJ$122,$T67)="","—",INDEX(IlumaCalc!$AJ$3:$AJ$122,$T67)),"")</f>
        <v/>
      </c>
      <c r="Q67" s="21">
        <f>IF(AND(ISNUMBER($T67),$T67&lt;&gt;""),IF(INDEX(IlumaCalc!$AK$3:$AK$122,$T67)="","—",INDEX(IlumaCalc!$AK$3:$AK$122,$T67)),"")</f>
        <v/>
      </c>
      <c r="R67" s="20">
        <f>IF(AND(ISNUMBER($T67),$T67&lt;&gt;""),IF(INDEX(IlumaCalc!$AL$3:$AL$122,$T67)="","—",INDEX(IlumaCalc!$AL$3:$AL$122,$T67)),"")</f>
        <v/>
      </c>
      <c r="T67">
        <f>IFERROR(MATCH(63,IlumaCalc!$AN$3:$AN$122,0),"")</f>
        <v/>
      </c>
    </row>
    <row r="68">
      <c r="A68" s="14">
        <f>IF(AND(ISNUMBER($T68),$T68&lt;&gt;""),INDEX(IlumaCalc!$S$3:$S$122,$T68),"")</f>
        <v/>
      </c>
      <c r="B68" s="15">
        <f>IF(AND(ISNUMBER($T68),$T68&lt;&gt;""),IF(INDEX(IlumaCalc!$T$3:$T$122,$T68)="","—",INDEX(IlumaCalc!$T$3:$T$122,$T68)),"")</f>
        <v/>
      </c>
      <c r="C68" s="15">
        <f>IF(AND(ISNUMBER($T68),$T68&lt;&gt;""),IF(INDEX(IlumaCalc!$U$3:$U$122,$T68)="","—",INDEX(IlumaCalc!$U$3:$U$122,$T68)),"")</f>
        <v/>
      </c>
      <c r="D68" s="15">
        <f>IF(AND(ISNUMBER($T68),$T68&lt;&gt;""),IF(INDEX(IlumaCalc!$V$3:$V$122,$T68)="","—",INDEX(IlumaCalc!$V$3:$V$122,$T68)),"")</f>
        <v/>
      </c>
      <c r="E68" s="15">
        <f>IF(AND(ISNUMBER($T68),$T68&lt;&gt;""),IF(INDEX(IlumaCalc!$W$3:$W$122,$T68)="","—",INDEX(IlumaCalc!$W$3:$W$122,$T68)),"")</f>
        <v/>
      </c>
      <c r="F68" s="15">
        <f>IF(AND(ISNUMBER($T68),$T68&lt;&gt;""),IF(INDEX(IlumaCalc!$X$3:$X$122,$T68)="","—",INDEX(IlumaCalc!$X$3:$X$122,$T68)),"")</f>
        <v/>
      </c>
      <c r="G68" s="15">
        <f>IF(AND(ISNUMBER($T68),$T68&lt;&gt;""),IF(INDEX(IlumaCalc!$Y$3:$Y$122,$T68)="","—",INDEX(IlumaCalc!$Y$3:$Y$122,$T68)),"")</f>
        <v/>
      </c>
      <c r="H68" s="15">
        <f>IF(AND(ISNUMBER($T68),$T68&lt;&gt;""),IF(INDEX(IlumaCalc!$Z$3:$Z$122,$T68)="","—",INDEX(IlumaCalc!$Z$3:$Z$122,$T68)),"")</f>
        <v/>
      </c>
      <c r="I68" s="15">
        <f>IF(AND(ISNUMBER($T68),$T68&lt;&gt;""),IF(INDEX(IlumaCalc!$AA$3:$AA$122,$T68)="","—",INDEX(IlumaCalc!$AA$3:$AA$122,$T68)),"")</f>
        <v/>
      </c>
      <c r="J68" s="15">
        <f>IF(AND(ISNUMBER($T68),$T68&lt;&gt;""),IF(INDEX(IlumaCalc!$AB$3:$AB$122,$T68)="","—",INDEX(IlumaCalc!$AB$3:$AB$122,$T68)),"")</f>
        <v/>
      </c>
      <c r="K68" s="15">
        <f>IF(AND(ISNUMBER($T68),$T68&lt;&gt;""),IF(INDEX(IlumaCalc!$AC$3:$AC$122,$T68)="","—",INDEX(IlumaCalc!$AC$3:$AC$122,$T68)),"")</f>
        <v/>
      </c>
      <c r="L68" s="15">
        <f>IF(AND(ISNUMBER($T68),$T68&lt;&gt;""),IF(INDEX(IlumaCalc!$AD$3:$AD$122,$T68)="","—",INDEX(IlumaCalc!$AD$3:$AD$122,$T68)),"")</f>
        <v/>
      </c>
      <c r="M68" s="15">
        <f>IF(AND(ISNUMBER($T68),$T68&lt;&gt;""),IF(INDEX(IlumaCalc!$AE$3:$AE$122,$T68)="","—",INDEX(IlumaCalc!$AE$3:$AE$122,$T68)),"")</f>
        <v/>
      </c>
      <c r="N68" s="15">
        <f>IF(AND(ISNUMBER($T68),$T68&lt;&gt;""),IF(INDEX(IlumaCalc!$AF$3:$AF$122,$T68)="","—",INDEX(IlumaCalc!$AF$3:$AF$122,$T68)),"")</f>
        <v/>
      </c>
      <c r="O68" s="15">
        <f>IF(AND(ISNUMBER($T68),$T68&lt;&gt;""),IF(INDEX(IlumaCalc!$AG$3:$AG$122,$T68)="","—",INDEX(IlumaCalc!$AG$3:$AG$122,$T68)),"")</f>
        <v/>
      </c>
      <c r="P68" s="16">
        <f>IF(AND(ISNUMBER($T68),$T68&lt;&gt;""),IF(INDEX(IlumaCalc!$AJ$3:$AJ$122,$T68)="","—",INDEX(IlumaCalc!$AJ$3:$AJ$122,$T68)),"")</f>
        <v/>
      </c>
      <c r="Q68" s="16">
        <f>IF(AND(ISNUMBER($T68),$T68&lt;&gt;""),IF(INDEX(IlumaCalc!$AK$3:$AK$122,$T68)="","—",INDEX(IlumaCalc!$AK$3:$AK$122,$T68)),"")</f>
        <v/>
      </c>
      <c r="R68" s="15">
        <f>IF(AND(ISNUMBER($T68),$T68&lt;&gt;""),IF(INDEX(IlumaCalc!$AL$3:$AL$122,$T68)="","—",INDEX(IlumaCalc!$AL$3:$AL$122,$T68)),"")</f>
        <v/>
      </c>
      <c r="T68">
        <f>IFERROR(MATCH(64,IlumaCalc!$AN$3:$AN$122,0),"")</f>
        <v/>
      </c>
    </row>
    <row r="69">
      <c r="A69" s="19">
        <f>IF(AND(ISNUMBER($T69),$T69&lt;&gt;""),INDEX(IlumaCalc!$S$3:$S$122,$T69),"")</f>
        <v/>
      </c>
      <c r="B69" s="20">
        <f>IF(AND(ISNUMBER($T69),$T69&lt;&gt;""),IF(INDEX(IlumaCalc!$T$3:$T$122,$T69)="","—",INDEX(IlumaCalc!$T$3:$T$122,$T69)),"")</f>
        <v/>
      </c>
      <c r="C69" s="20">
        <f>IF(AND(ISNUMBER($T69),$T69&lt;&gt;""),IF(INDEX(IlumaCalc!$U$3:$U$122,$T69)="","—",INDEX(IlumaCalc!$U$3:$U$122,$T69)),"")</f>
        <v/>
      </c>
      <c r="D69" s="20">
        <f>IF(AND(ISNUMBER($T69),$T69&lt;&gt;""),IF(INDEX(IlumaCalc!$V$3:$V$122,$T69)="","—",INDEX(IlumaCalc!$V$3:$V$122,$T69)),"")</f>
        <v/>
      </c>
      <c r="E69" s="20">
        <f>IF(AND(ISNUMBER($T69),$T69&lt;&gt;""),IF(INDEX(IlumaCalc!$W$3:$W$122,$T69)="","—",INDEX(IlumaCalc!$W$3:$W$122,$T69)),"")</f>
        <v/>
      </c>
      <c r="F69" s="20">
        <f>IF(AND(ISNUMBER($T69),$T69&lt;&gt;""),IF(INDEX(IlumaCalc!$X$3:$X$122,$T69)="","—",INDEX(IlumaCalc!$X$3:$X$122,$T69)),"")</f>
        <v/>
      </c>
      <c r="G69" s="20">
        <f>IF(AND(ISNUMBER($T69),$T69&lt;&gt;""),IF(INDEX(IlumaCalc!$Y$3:$Y$122,$T69)="","—",INDEX(IlumaCalc!$Y$3:$Y$122,$T69)),"")</f>
        <v/>
      </c>
      <c r="H69" s="20">
        <f>IF(AND(ISNUMBER($T69),$T69&lt;&gt;""),IF(INDEX(IlumaCalc!$Z$3:$Z$122,$T69)="","—",INDEX(IlumaCalc!$Z$3:$Z$122,$T69)),"")</f>
        <v/>
      </c>
      <c r="I69" s="20">
        <f>IF(AND(ISNUMBER($T69),$T69&lt;&gt;""),IF(INDEX(IlumaCalc!$AA$3:$AA$122,$T69)="","—",INDEX(IlumaCalc!$AA$3:$AA$122,$T69)),"")</f>
        <v/>
      </c>
      <c r="J69" s="20">
        <f>IF(AND(ISNUMBER($T69),$T69&lt;&gt;""),IF(INDEX(IlumaCalc!$AB$3:$AB$122,$T69)="","—",INDEX(IlumaCalc!$AB$3:$AB$122,$T69)),"")</f>
        <v/>
      </c>
      <c r="K69" s="20">
        <f>IF(AND(ISNUMBER($T69),$T69&lt;&gt;""),IF(INDEX(IlumaCalc!$AC$3:$AC$122,$T69)="","—",INDEX(IlumaCalc!$AC$3:$AC$122,$T69)),"")</f>
        <v/>
      </c>
      <c r="L69" s="20">
        <f>IF(AND(ISNUMBER($T69),$T69&lt;&gt;""),IF(INDEX(IlumaCalc!$AD$3:$AD$122,$T69)="","—",INDEX(IlumaCalc!$AD$3:$AD$122,$T69)),"")</f>
        <v/>
      </c>
      <c r="M69" s="20">
        <f>IF(AND(ISNUMBER($T69),$T69&lt;&gt;""),IF(INDEX(IlumaCalc!$AE$3:$AE$122,$T69)="","—",INDEX(IlumaCalc!$AE$3:$AE$122,$T69)),"")</f>
        <v/>
      </c>
      <c r="N69" s="20">
        <f>IF(AND(ISNUMBER($T69),$T69&lt;&gt;""),IF(INDEX(IlumaCalc!$AF$3:$AF$122,$T69)="","—",INDEX(IlumaCalc!$AF$3:$AF$122,$T69)),"")</f>
        <v/>
      </c>
      <c r="O69" s="20">
        <f>IF(AND(ISNUMBER($T69),$T69&lt;&gt;""),IF(INDEX(IlumaCalc!$AG$3:$AG$122,$T69)="","—",INDEX(IlumaCalc!$AG$3:$AG$122,$T69)),"")</f>
        <v/>
      </c>
      <c r="P69" s="21">
        <f>IF(AND(ISNUMBER($T69),$T69&lt;&gt;""),IF(INDEX(IlumaCalc!$AJ$3:$AJ$122,$T69)="","—",INDEX(IlumaCalc!$AJ$3:$AJ$122,$T69)),"")</f>
        <v/>
      </c>
      <c r="Q69" s="21">
        <f>IF(AND(ISNUMBER($T69),$T69&lt;&gt;""),IF(INDEX(IlumaCalc!$AK$3:$AK$122,$T69)="","—",INDEX(IlumaCalc!$AK$3:$AK$122,$T69)),"")</f>
        <v/>
      </c>
      <c r="R69" s="20">
        <f>IF(AND(ISNUMBER($T69),$T69&lt;&gt;""),IF(INDEX(IlumaCalc!$AL$3:$AL$122,$T69)="","—",INDEX(IlumaCalc!$AL$3:$AL$122,$T69)),"")</f>
        <v/>
      </c>
      <c r="T69">
        <f>IFERROR(MATCH(65,IlumaCalc!$AN$3:$AN$122,0),"")</f>
        <v/>
      </c>
    </row>
    <row r="70">
      <c r="A70" s="14">
        <f>IF(AND(ISNUMBER($T70),$T70&lt;&gt;""),INDEX(IlumaCalc!$S$3:$S$122,$T70),"")</f>
        <v/>
      </c>
      <c r="B70" s="15">
        <f>IF(AND(ISNUMBER($T70),$T70&lt;&gt;""),IF(INDEX(IlumaCalc!$T$3:$T$122,$T70)="","—",INDEX(IlumaCalc!$T$3:$T$122,$T70)),"")</f>
        <v/>
      </c>
      <c r="C70" s="15">
        <f>IF(AND(ISNUMBER($T70),$T70&lt;&gt;""),IF(INDEX(IlumaCalc!$U$3:$U$122,$T70)="","—",INDEX(IlumaCalc!$U$3:$U$122,$T70)),"")</f>
        <v/>
      </c>
      <c r="D70" s="15">
        <f>IF(AND(ISNUMBER($T70),$T70&lt;&gt;""),IF(INDEX(IlumaCalc!$V$3:$V$122,$T70)="","—",INDEX(IlumaCalc!$V$3:$V$122,$T70)),"")</f>
        <v/>
      </c>
      <c r="E70" s="15">
        <f>IF(AND(ISNUMBER($T70),$T70&lt;&gt;""),IF(INDEX(IlumaCalc!$W$3:$W$122,$T70)="","—",INDEX(IlumaCalc!$W$3:$W$122,$T70)),"")</f>
        <v/>
      </c>
      <c r="F70" s="15">
        <f>IF(AND(ISNUMBER($T70),$T70&lt;&gt;""),IF(INDEX(IlumaCalc!$X$3:$X$122,$T70)="","—",INDEX(IlumaCalc!$X$3:$X$122,$T70)),"")</f>
        <v/>
      </c>
      <c r="G70" s="15">
        <f>IF(AND(ISNUMBER($T70),$T70&lt;&gt;""),IF(INDEX(IlumaCalc!$Y$3:$Y$122,$T70)="","—",INDEX(IlumaCalc!$Y$3:$Y$122,$T70)),"")</f>
        <v/>
      </c>
      <c r="H70" s="15">
        <f>IF(AND(ISNUMBER($T70),$T70&lt;&gt;""),IF(INDEX(IlumaCalc!$Z$3:$Z$122,$T70)="","—",INDEX(IlumaCalc!$Z$3:$Z$122,$T70)),"")</f>
        <v/>
      </c>
      <c r="I70" s="15">
        <f>IF(AND(ISNUMBER($T70),$T70&lt;&gt;""),IF(INDEX(IlumaCalc!$AA$3:$AA$122,$T70)="","—",INDEX(IlumaCalc!$AA$3:$AA$122,$T70)),"")</f>
        <v/>
      </c>
      <c r="J70" s="15">
        <f>IF(AND(ISNUMBER($T70),$T70&lt;&gt;""),IF(INDEX(IlumaCalc!$AB$3:$AB$122,$T70)="","—",INDEX(IlumaCalc!$AB$3:$AB$122,$T70)),"")</f>
        <v/>
      </c>
      <c r="K70" s="15">
        <f>IF(AND(ISNUMBER($T70),$T70&lt;&gt;""),IF(INDEX(IlumaCalc!$AC$3:$AC$122,$T70)="","—",INDEX(IlumaCalc!$AC$3:$AC$122,$T70)),"")</f>
        <v/>
      </c>
      <c r="L70" s="15">
        <f>IF(AND(ISNUMBER($T70),$T70&lt;&gt;""),IF(INDEX(IlumaCalc!$AD$3:$AD$122,$T70)="","—",INDEX(IlumaCalc!$AD$3:$AD$122,$T70)),"")</f>
        <v/>
      </c>
      <c r="M70" s="15">
        <f>IF(AND(ISNUMBER($T70),$T70&lt;&gt;""),IF(INDEX(IlumaCalc!$AE$3:$AE$122,$T70)="","—",INDEX(IlumaCalc!$AE$3:$AE$122,$T70)),"")</f>
        <v/>
      </c>
      <c r="N70" s="15">
        <f>IF(AND(ISNUMBER($T70),$T70&lt;&gt;""),IF(INDEX(IlumaCalc!$AF$3:$AF$122,$T70)="","—",INDEX(IlumaCalc!$AF$3:$AF$122,$T70)),"")</f>
        <v/>
      </c>
      <c r="O70" s="15">
        <f>IF(AND(ISNUMBER($T70),$T70&lt;&gt;""),IF(INDEX(IlumaCalc!$AG$3:$AG$122,$T70)="","—",INDEX(IlumaCalc!$AG$3:$AG$122,$T70)),"")</f>
        <v/>
      </c>
      <c r="P70" s="16">
        <f>IF(AND(ISNUMBER($T70),$T70&lt;&gt;""),IF(INDEX(IlumaCalc!$AJ$3:$AJ$122,$T70)="","—",INDEX(IlumaCalc!$AJ$3:$AJ$122,$T70)),"")</f>
        <v/>
      </c>
      <c r="Q70" s="16">
        <f>IF(AND(ISNUMBER($T70),$T70&lt;&gt;""),IF(INDEX(IlumaCalc!$AK$3:$AK$122,$T70)="","—",INDEX(IlumaCalc!$AK$3:$AK$122,$T70)),"")</f>
        <v/>
      </c>
      <c r="R70" s="15">
        <f>IF(AND(ISNUMBER($T70),$T70&lt;&gt;""),IF(INDEX(IlumaCalc!$AL$3:$AL$122,$T70)="","—",INDEX(IlumaCalc!$AL$3:$AL$122,$T70)),"")</f>
        <v/>
      </c>
      <c r="T70">
        <f>IFERROR(MATCH(66,IlumaCalc!$AN$3:$AN$122,0),"")</f>
        <v/>
      </c>
    </row>
    <row r="71">
      <c r="A71" s="19">
        <f>IF(AND(ISNUMBER($T71),$T71&lt;&gt;""),INDEX(IlumaCalc!$S$3:$S$122,$T71),"")</f>
        <v/>
      </c>
      <c r="B71" s="20">
        <f>IF(AND(ISNUMBER($T71),$T71&lt;&gt;""),IF(INDEX(IlumaCalc!$T$3:$T$122,$T71)="","—",INDEX(IlumaCalc!$T$3:$T$122,$T71)),"")</f>
        <v/>
      </c>
      <c r="C71" s="20">
        <f>IF(AND(ISNUMBER($T71),$T71&lt;&gt;""),IF(INDEX(IlumaCalc!$U$3:$U$122,$T71)="","—",INDEX(IlumaCalc!$U$3:$U$122,$T71)),"")</f>
        <v/>
      </c>
      <c r="D71" s="20">
        <f>IF(AND(ISNUMBER($T71),$T71&lt;&gt;""),IF(INDEX(IlumaCalc!$V$3:$V$122,$T71)="","—",INDEX(IlumaCalc!$V$3:$V$122,$T71)),"")</f>
        <v/>
      </c>
      <c r="E71" s="20">
        <f>IF(AND(ISNUMBER($T71),$T71&lt;&gt;""),IF(INDEX(IlumaCalc!$W$3:$W$122,$T71)="","—",INDEX(IlumaCalc!$W$3:$W$122,$T71)),"")</f>
        <v/>
      </c>
      <c r="F71" s="20">
        <f>IF(AND(ISNUMBER($T71),$T71&lt;&gt;""),IF(INDEX(IlumaCalc!$X$3:$X$122,$T71)="","—",INDEX(IlumaCalc!$X$3:$X$122,$T71)),"")</f>
        <v/>
      </c>
      <c r="G71" s="20">
        <f>IF(AND(ISNUMBER($T71),$T71&lt;&gt;""),IF(INDEX(IlumaCalc!$Y$3:$Y$122,$T71)="","—",INDEX(IlumaCalc!$Y$3:$Y$122,$T71)),"")</f>
        <v/>
      </c>
      <c r="H71" s="20">
        <f>IF(AND(ISNUMBER($T71),$T71&lt;&gt;""),IF(INDEX(IlumaCalc!$Z$3:$Z$122,$T71)="","—",INDEX(IlumaCalc!$Z$3:$Z$122,$T71)),"")</f>
        <v/>
      </c>
      <c r="I71" s="20">
        <f>IF(AND(ISNUMBER($T71),$T71&lt;&gt;""),IF(INDEX(IlumaCalc!$AA$3:$AA$122,$T71)="","—",INDEX(IlumaCalc!$AA$3:$AA$122,$T71)),"")</f>
        <v/>
      </c>
      <c r="J71" s="20">
        <f>IF(AND(ISNUMBER($T71),$T71&lt;&gt;""),IF(INDEX(IlumaCalc!$AB$3:$AB$122,$T71)="","—",INDEX(IlumaCalc!$AB$3:$AB$122,$T71)),"")</f>
        <v/>
      </c>
      <c r="K71" s="20">
        <f>IF(AND(ISNUMBER($T71),$T71&lt;&gt;""),IF(INDEX(IlumaCalc!$AC$3:$AC$122,$T71)="","—",INDEX(IlumaCalc!$AC$3:$AC$122,$T71)),"")</f>
        <v/>
      </c>
      <c r="L71" s="20">
        <f>IF(AND(ISNUMBER($T71),$T71&lt;&gt;""),IF(INDEX(IlumaCalc!$AD$3:$AD$122,$T71)="","—",INDEX(IlumaCalc!$AD$3:$AD$122,$T71)),"")</f>
        <v/>
      </c>
      <c r="M71" s="20">
        <f>IF(AND(ISNUMBER($T71),$T71&lt;&gt;""),IF(INDEX(IlumaCalc!$AE$3:$AE$122,$T71)="","—",INDEX(IlumaCalc!$AE$3:$AE$122,$T71)),"")</f>
        <v/>
      </c>
      <c r="N71" s="20">
        <f>IF(AND(ISNUMBER($T71),$T71&lt;&gt;""),IF(INDEX(IlumaCalc!$AF$3:$AF$122,$T71)="","—",INDEX(IlumaCalc!$AF$3:$AF$122,$T71)),"")</f>
        <v/>
      </c>
      <c r="O71" s="20">
        <f>IF(AND(ISNUMBER($T71),$T71&lt;&gt;""),IF(INDEX(IlumaCalc!$AG$3:$AG$122,$T71)="","—",INDEX(IlumaCalc!$AG$3:$AG$122,$T71)),"")</f>
        <v/>
      </c>
      <c r="P71" s="21">
        <f>IF(AND(ISNUMBER($T71),$T71&lt;&gt;""),IF(INDEX(IlumaCalc!$AJ$3:$AJ$122,$T71)="","—",INDEX(IlumaCalc!$AJ$3:$AJ$122,$T71)),"")</f>
        <v/>
      </c>
      <c r="Q71" s="21">
        <f>IF(AND(ISNUMBER($T71),$T71&lt;&gt;""),IF(INDEX(IlumaCalc!$AK$3:$AK$122,$T71)="","—",INDEX(IlumaCalc!$AK$3:$AK$122,$T71)),"")</f>
        <v/>
      </c>
      <c r="R71" s="20">
        <f>IF(AND(ISNUMBER($T71),$T71&lt;&gt;""),IF(INDEX(IlumaCalc!$AL$3:$AL$122,$T71)="","—",INDEX(IlumaCalc!$AL$3:$AL$122,$T71)),"")</f>
        <v/>
      </c>
      <c r="T71">
        <f>IFERROR(MATCH(67,IlumaCalc!$AN$3:$AN$122,0),"")</f>
        <v/>
      </c>
    </row>
    <row r="72">
      <c r="A72" s="14">
        <f>IF(AND(ISNUMBER($T72),$T72&lt;&gt;""),INDEX(IlumaCalc!$S$3:$S$122,$T72),"")</f>
        <v/>
      </c>
      <c r="B72" s="15">
        <f>IF(AND(ISNUMBER($T72),$T72&lt;&gt;""),IF(INDEX(IlumaCalc!$T$3:$T$122,$T72)="","—",INDEX(IlumaCalc!$T$3:$T$122,$T72)),"")</f>
        <v/>
      </c>
      <c r="C72" s="15">
        <f>IF(AND(ISNUMBER($T72),$T72&lt;&gt;""),IF(INDEX(IlumaCalc!$U$3:$U$122,$T72)="","—",INDEX(IlumaCalc!$U$3:$U$122,$T72)),"")</f>
        <v/>
      </c>
      <c r="D72" s="15">
        <f>IF(AND(ISNUMBER($T72),$T72&lt;&gt;""),IF(INDEX(IlumaCalc!$V$3:$V$122,$T72)="","—",INDEX(IlumaCalc!$V$3:$V$122,$T72)),"")</f>
        <v/>
      </c>
      <c r="E72" s="15">
        <f>IF(AND(ISNUMBER($T72),$T72&lt;&gt;""),IF(INDEX(IlumaCalc!$W$3:$W$122,$T72)="","—",INDEX(IlumaCalc!$W$3:$W$122,$T72)),"")</f>
        <v/>
      </c>
      <c r="F72" s="15">
        <f>IF(AND(ISNUMBER($T72),$T72&lt;&gt;""),IF(INDEX(IlumaCalc!$X$3:$X$122,$T72)="","—",INDEX(IlumaCalc!$X$3:$X$122,$T72)),"")</f>
        <v/>
      </c>
      <c r="G72" s="15">
        <f>IF(AND(ISNUMBER($T72),$T72&lt;&gt;""),IF(INDEX(IlumaCalc!$Y$3:$Y$122,$T72)="","—",INDEX(IlumaCalc!$Y$3:$Y$122,$T72)),"")</f>
        <v/>
      </c>
      <c r="H72" s="15">
        <f>IF(AND(ISNUMBER($T72),$T72&lt;&gt;""),IF(INDEX(IlumaCalc!$Z$3:$Z$122,$T72)="","—",INDEX(IlumaCalc!$Z$3:$Z$122,$T72)),"")</f>
        <v/>
      </c>
      <c r="I72" s="15">
        <f>IF(AND(ISNUMBER($T72),$T72&lt;&gt;""),IF(INDEX(IlumaCalc!$AA$3:$AA$122,$T72)="","—",INDEX(IlumaCalc!$AA$3:$AA$122,$T72)),"")</f>
        <v/>
      </c>
      <c r="J72" s="15">
        <f>IF(AND(ISNUMBER($T72),$T72&lt;&gt;""),IF(INDEX(IlumaCalc!$AB$3:$AB$122,$T72)="","—",INDEX(IlumaCalc!$AB$3:$AB$122,$T72)),"")</f>
        <v/>
      </c>
      <c r="K72" s="15">
        <f>IF(AND(ISNUMBER($T72),$T72&lt;&gt;""),IF(INDEX(IlumaCalc!$AC$3:$AC$122,$T72)="","—",INDEX(IlumaCalc!$AC$3:$AC$122,$T72)),"")</f>
        <v/>
      </c>
      <c r="L72" s="15">
        <f>IF(AND(ISNUMBER($T72),$T72&lt;&gt;""),IF(INDEX(IlumaCalc!$AD$3:$AD$122,$T72)="","—",INDEX(IlumaCalc!$AD$3:$AD$122,$T72)),"")</f>
        <v/>
      </c>
      <c r="M72" s="15">
        <f>IF(AND(ISNUMBER($T72),$T72&lt;&gt;""),IF(INDEX(IlumaCalc!$AE$3:$AE$122,$T72)="","—",INDEX(IlumaCalc!$AE$3:$AE$122,$T72)),"")</f>
        <v/>
      </c>
      <c r="N72" s="15">
        <f>IF(AND(ISNUMBER($T72),$T72&lt;&gt;""),IF(INDEX(IlumaCalc!$AF$3:$AF$122,$T72)="","—",INDEX(IlumaCalc!$AF$3:$AF$122,$T72)),"")</f>
        <v/>
      </c>
      <c r="O72" s="15">
        <f>IF(AND(ISNUMBER($T72),$T72&lt;&gt;""),IF(INDEX(IlumaCalc!$AG$3:$AG$122,$T72)="","—",INDEX(IlumaCalc!$AG$3:$AG$122,$T72)),"")</f>
        <v/>
      </c>
      <c r="P72" s="16">
        <f>IF(AND(ISNUMBER($T72),$T72&lt;&gt;""),IF(INDEX(IlumaCalc!$AJ$3:$AJ$122,$T72)="","—",INDEX(IlumaCalc!$AJ$3:$AJ$122,$T72)),"")</f>
        <v/>
      </c>
      <c r="Q72" s="16">
        <f>IF(AND(ISNUMBER($T72),$T72&lt;&gt;""),IF(INDEX(IlumaCalc!$AK$3:$AK$122,$T72)="","—",INDEX(IlumaCalc!$AK$3:$AK$122,$T72)),"")</f>
        <v/>
      </c>
      <c r="R72" s="15">
        <f>IF(AND(ISNUMBER($T72),$T72&lt;&gt;""),IF(INDEX(IlumaCalc!$AL$3:$AL$122,$T72)="","—",INDEX(IlumaCalc!$AL$3:$AL$122,$T72)),"")</f>
        <v/>
      </c>
      <c r="T72">
        <f>IFERROR(MATCH(68,IlumaCalc!$AN$3:$AN$122,0),"")</f>
        <v/>
      </c>
    </row>
    <row r="73">
      <c r="A73" s="19">
        <f>IF(AND(ISNUMBER($T73),$T73&lt;&gt;""),INDEX(IlumaCalc!$S$3:$S$122,$T73),"")</f>
        <v/>
      </c>
      <c r="B73" s="20">
        <f>IF(AND(ISNUMBER($T73),$T73&lt;&gt;""),IF(INDEX(IlumaCalc!$T$3:$T$122,$T73)="","—",INDEX(IlumaCalc!$T$3:$T$122,$T73)),"")</f>
        <v/>
      </c>
      <c r="C73" s="20">
        <f>IF(AND(ISNUMBER($T73),$T73&lt;&gt;""),IF(INDEX(IlumaCalc!$U$3:$U$122,$T73)="","—",INDEX(IlumaCalc!$U$3:$U$122,$T73)),"")</f>
        <v/>
      </c>
      <c r="D73" s="20">
        <f>IF(AND(ISNUMBER($T73),$T73&lt;&gt;""),IF(INDEX(IlumaCalc!$V$3:$V$122,$T73)="","—",INDEX(IlumaCalc!$V$3:$V$122,$T73)),"")</f>
        <v/>
      </c>
      <c r="E73" s="20">
        <f>IF(AND(ISNUMBER($T73),$T73&lt;&gt;""),IF(INDEX(IlumaCalc!$W$3:$W$122,$T73)="","—",INDEX(IlumaCalc!$W$3:$W$122,$T73)),"")</f>
        <v/>
      </c>
      <c r="F73" s="20">
        <f>IF(AND(ISNUMBER($T73),$T73&lt;&gt;""),IF(INDEX(IlumaCalc!$X$3:$X$122,$T73)="","—",INDEX(IlumaCalc!$X$3:$X$122,$T73)),"")</f>
        <v/>
      </c>
      <c r="G73" s="20">
        <f>IF(AND(ISNUMBER($T73),$T73&lt;&gt;""),IF(INDEX(IlumaCalc!$Y$3:$Y$122,$T73)="","—",INDEX(IlumaCalc!$Y$3:$Y$122,$T73)),"")</f>
        <v/>
      </c>
      <c r="H73" s="20">
        <f>IF(AND(ISNUMBER($T73),$T73&lt;&gt;""),IF(INDEX(IlumaCalc!$Z$3:$Z$122,$T73)="","—",INDEX(IlumaCalc!$Z$3:$Z$122,$T73)),"")</f>
        <v/>
      </c>
      <c r="I73" s="20">
        <f>IF(AND(ISNUMBER($T73),$T73&lt;&gt;""),IF(INDEX(IlumaCalc!$AA$3:$AA$122,$T73)="","—",INDEX(IlumaCalc!$AA$3:$AA$122,$T73)),"")</f>
        <v/>
      </c>
      <c r="J73" s="20">
        <f>IF(AND(ISNUMBER($T73),$T73&lt;&gt;""),IF(INDEX(IlumaCalc!$AB$3:$AB$122,$T73)="","—",INDEX(IlumaCalc!$AB$3:$AB$122,$T73)),"")</f>
        <v/>
      </c>
      <c r="K73" s="20">
        <f>IF(AND(ISNUMBER($T73),$T73&lt;&gt;""),IF(INDEX(IlumaCalc!$AC$3:$AC$122,$T73)="","—",INDEX(IlumaCalc!$AC$3:$AC$122,$T73)),"")</f>
        <v/>
      </c>
      <c r="L73" s="20">
        <f>IF(AND(ISNUMBER($T73),$T73&lt;&gt;""),IF(INDEX(IlumaCalc!$AD$3:$AD$122,$T73)="","—",INDEX(IlumaCalc!$AD$3:$AD$122,$T73)),"")</f>
        <v/>
      </c>
      <c r="M73" s="20">
        <f>IF(AND(ISNUMBER($T73),$T73&lt;&gt;""),IF(INDEX(IlumaCalc!$AE$3:$AE$122,$T73)="","—",INDEX(IlumaCalc!$AE$3:$AE$122,$T73)),"")</f>
        <v/>
      </c>
      <c r="N73" s="20">
        <f>IF(AND(ISNUMBER($T73),$T73&lt;&gt;""),IF(INDEX(IlumaCalc!$AF$3:$AF$122,$T73)="","—",INDEX(IlumaCalc!$AF$3:$AF$122,$T73)),"")</f>
        <v/>
      </c>
      <c r="O73" s="20">
        <f>IF(AND(ISNUMBER($T73),$T73&lt;&gt;""),IF(INDEX(IlumaCalc!$AG$3:$AG$122,$T73)="","—",INDEX(IlumaCalc!$AG$3:$AG$122,$T73)),"")</f>
        <v/>
      </c>
      <c r="P73" s="21">
        <f>IF(AND(ISNUMBER($T73),$T73&lt;&gt;""),IF(INDEX(IlumaCalc!$AJ$3:$AJ$122,$T73)="","—",INDEX(IlumaCalc!$AJ$3:$AJ$122,$T73)),"")</f>
        <v/>
      </c>
      <c r="Q73" s="21">
        <f>IF(AND(ISNUMBER($T73),$T73&lt;&gt;""),IF(INDEX(IlumaCalc!$AK$3:$AK$122,$T73)="","—",INDEX(IlumaCalc!$AK$3:$AK$122,$T73)),"")</f>
        <v/>
      </c>
      <c r="R73" s="20">
        <f>IF(AND(ISNUMBER($T73),$T73&lt;&gt;""),IF(INDEX(IlumaCalc!$AL$3:$AL$122,$T73)="","—",INDEX(IlumaCalc!$AL$3:$AL$122,$T73)),"")</f>
        <v/>
      </c>
      <c r="T73">
        <f>IFERROR(MATCH(69,IlumaCalc!$AN$3:$AN$122,0),"")</f>
        <v/>
      </c>
    </row>
    <row r="74">
      <c r="A74" s="14">
        <f>IF(AND(ISNUMBER($T74),$T74&lt;&gt;""),INDEX(IlumaCalc!$S$3:$S$122,$T74),"")</f>
        <v/>
      </c>
      <c r="B74" s="15">
        <f>IF(AND(ISNUMBER($T74),$T74&lt;&gt;""),IF(INDEX(IlumaCalc!$T$3:$T$122,$T74)="","—",INDEX(IlumaCalc!$T$3:$T$122,$T74)),"")</f>
        <v/>
      </c>
      <c r="C74" s="15">
        <f>IF(AND(ISNUMBER($T74),$T74&lt;&gt;""),IF(INDEX(IlumaCalc!$U$3:$U$122,$T74)="","—",INDEX(IlumaCalc!$U$3:$U$122,$T74)),"")</f>
        <v/>
      </c>
      <c r="D74" s="15">
        <f>IF(AND(ISNUMBER($T74),$T74&lt;&gt;""),IF(INDEX(IlumaCalc!$V$3:$V$122,$T74)="","—",INDEX(IlumaCalc!$V$3:$V$122,$T74)),"")</f>
        <v/>
      </c>
      <c r="E74" s="15">
        <f>IF(AND(ISNUMBER($T74),$T74&lt;&gt;""),IF(INDEX(IlumaCalc!$W$3:$W$122,$T74)="","—",INDEX(IlumaCalc!$W$3:$W$122,$T74)),"")</f>
        <v/>
      </c>
      <c r="F74" s="15">
        <f>IF(AND(ISNUMBER($T74),$T74&lt;&gt;""),IF(INDEX(IlumaCalc!$X$3:$X$122,$T74)="","—",INDEX(IlumaCalc!$X$3:$X$122,$T74)),"")</f>
        <v/>
      </c>
      <c r="G74" s="15">
        <f>IF(AND(ISNUMBER($T74),$T74&lt;&gt;""),IF(INDEX(IlumaCalc!$Y$3:$Y$122,$T74)="","—",INDEX(IlumaCalc!$Y$3:$Y$122,$T74)),"")</f>
        <v/>
      </c>
      <c r="H74" s="15">
        <f>IF(AND(ISNUMBER($T74),$T74&lt;&gt;""),IF(INDEX(IlumaCalc!$Z$3:$Z$122,$T74)="","—",INDEX(IlumaCalc!$Z$3:$Z$122,$T74)),"")</f>
        <v/>
      </c>
      <c r="I74" s="15">
        <f>IF(AND(ISNUMBER($T74),$T74&lt;&gt;""),IF(INDEX(IlumaCalc!$AA$3:$AA$122,$T74)="","—",INDEX(IlumaCalc!$AA$3:$AA$122,$T74)),"")</f>
        <v/>
      </c>
      <c r="J74" s="15">
        <f>IF(AND(ISNUMBER($T74),$T74&lt;&gt;""),IF(INDEX(IlumaCalc!$AB$3:$AB$122,$T74)="","—",INDEX(IlumaCalc!$AB$3:$AB$122,$T74)),"")</f>
        <v/>
      </c>
      <c r="K74" s="15">
        <f>IF(AND(ISNUMBER($T74),$T74&lt;&gt;""),IF(INDEX(IlumaCalc!$AC$3:$AC$122,$T74)="","—",INDEX(IlumaCalc!$AC$3:$AC$122,$T74)),"")</f>
        <v/>
      </c>
      <c r="L74" s="15">
        <f>IF(AND(ISNUMBER($T74),$T74&lt;&gt;""),IF(INDEX(IlumaCalc!$AD$3:$AD$122,$T74)="","—",INDEX(IlumaCalc!$AD$3:$AD$122,$T74)),"")</f>
        <v/>
      </c>
      <c r="M74" s="15">
        <f>IF(AND(ISNUMBER($T74),$T74&lt;&gt;""),IF(INDEX(IlumaCalc!$AE$3:$AE$122,$T74)="","—",INDEX(IlumaCalc!$AE$3:$AE$122,$T74)),"")</f>
        <v/>
      </c>
      <c r="N74" s="15">
        <f>IF(AND(ISNUMBER($T74),$T74&lt;&gt;""),IF(INDEX(IlumaCalc!$AF$3:$AF$122,$T74)="","—",INDEX(IlumaCalc!$AF$3:$AF$122,$T74)),"")</f>
        <v/>
      </c>
      <c r="O74" s="15">
        <f>IF(AND(ISNUMBER($T74),$T74&lt;&gt;""),IF(INDEX(IlumaCalc!$AG$3:$AG$122,$T74)="","—",INDEX(IlumaCalc!$AG$3:$AG$122,$T74)),"")</f>
        <v/>
      </c>
      <c r="P74" s="16">
        <f>IF(AND(ISNUMBER($T74),$T74&lt;&gt;""),IF(INDEX(IlumaCalc!$AJ$3:$AJ$122,$T74)="","—",INDEX(IlumaCalc!$AJ$3:$AJ$122,$T74)),"")</f>
        <v/>
      </c>
      <c r="Q74" s="16">
        <f>IF(AND(ISNUMBER($T74),$T74&lt;&gt;""),IF(INDEX(IlumaCalc!$AK$3:$AK$122,$T74)="","—",INDEX(IlumaCalc!$AK$3:$AK$122,$T74)),"")</f>
        <v/>
      </c>
      <c r="R74" s="15">
        <f>IF(AND(ISNUMBER($T74),$T74&lt;&gt;""),IF(INDEX(IlumaCalc!$AL$3:$AL$122,$T74)="","—",INDEX(IlumaCalc!$AL$3:$AL$122,$T74)),"")</f>
        <v/>
      </c>
      <c r="T74">
        <f>IFERROR(MATCH(70,IlumaCalc!$AN$3:$AN$122,0),"")</f>
        <v/>
      </c>
    </row>
    <row r="75">
      <c r="A75" s="19">
        <f>IF(AND(ISNUMBER($T75),$T75&lt;&gt;""),INDEX(IlumaCalc!$S$3:$S$122,$T75),"")</f>
        <v/>
      </c>
      <c r="B75" s="20">
        <f>IF(AND(ISNUMBER($T75),$T75&lt;&gt;""),IF(INDEX(IlumaCalc!$T$3:$T$122,$T75)="","—",INDEX(IlumaCalc!$T$3:$T$122,$T75)),"")</f>
        <v/>
      </c>
      <c r="C75" s="20">
        <f>IF(AND(ISNUMBER($T75),$T75&lt;&gt;""),IF(INDEX(IlumaCalc!$U$3:$U$122,$T75)="","—",INDEX(IlumaCalc!$U$3:$U$122,$T75)),"")</f>
        <v/>
      </c>
      <c r="D75" s="20">
        <f>IF(AND(ISNUMBER($T75),$T75&lt;&gt;""),IF(INDEX(IlumaCalc!$V$3:$V$122,$T75)="","—",INDEX(IlumaCalc!$V$3:$V$122,$T75)),"")</f>
        <v/>
      </c>
      <c r="E75" s="20">
        <f>IF(AND(ISNUMBER($T75),$T75&lt;&gt;""),IF(INDEX(IlumaCalc!$W$3:$W$122,$T75)="","—",INDEX(IlumaCalc!$W$3:$W$122,$T75)),"")</f>
        <v/>
      </c>
      <c r="F75" s="20">
        <f>IF(AND(ISNUMBER($T75),$T75&lt;&gt;""),IF(INDEX(IlumaCalc!$X$3:$X$122,$T75)="","—",INDEX(IlumaCalc!$X$3:$X$122,$T75)),"")</f>
        <v/>
      </c>
      <c r="G75" s="20">
        <f>IF(AND(ISNUMBER($T75),$T75&lt;&gt;""),IF(INDEX(IlumaCalc!$Y$3:$Y$122,$T75)="","—",INDEX(IlumaCalc!$Y$3:$Y$122,$T75)),"")</f>
        <v/>
      </c>
      <c r="H75" s="20">
        <f>IF(AND(ISNUMBER($T75),$T75&lt;&gt;""),IF(INDEX(IlumaCalc!$Z$3:$Z$122,$T75)="","—",INDEX(IlumaCalc!$Z$3:$Z$122,$T75)),"")</f>
        <v/>
      </c>
      <c r="I75" s="20">
        <f>IF(AND(ISNUMBER($T75),$T75&lt;&gt;""),IF(INDEX(IlumaCalc!$AA$3:$AA$122,$T75)="","—",INDEX(IlumaCalc!$AA$3:$AA$122,$T75)),"")</f>
        <v/>
      </c>
      <c r="J75" s="20">
        <f>IF(AND(ISNUMBER($T75),$T75&lt;&gt;""),IF(INDEX(IlumaCalc!$AB$3:$AB$122,$T75)="","—",INDEX(IlumaCalc!$AB$3:$AB$122,$T75)),"")</f>
        <v/>
      </c>
      <c r="K75" s="20">
        <f>IF(AND(ISNUMBER($T75),$T75&lt;&gt;""),IF(INDEX(IlumaCalc!$AC$3:$AC$122,$T75)="","—",INDEX(IlumaCalc!$AC$3:$AC$122,$T75)),"")</f>
        <v/>
      </c>
      <c r="L75" s="20">
        <f>IF(AND(ISNUMBER($T75),$T75&lt;&gt;""),IF(INDEX(IlumaCalc!$AD$3:$AD$122,$T75)="","—",INDEX(IlumaCalc!$AD$3:$AD$122,$T75)),"")</f>
        <v/>
      </c>
      <c r="M75" s="20">
        <f>IF(AND(ISNUMBER($T75),$T75&lt;&gt;""),IF(INDEX(IlumaCalc!$AE$3:$AE$122,$T75)="","—",INDEX(IlumaCalc!$AE$3:$AE$122,$T75)),"")</f>
        <v/>
      </c>
      <c r="N75" s="20">
        <f>IF(AND(ISNUMBER($T75),$T75&lt;&gt;""),IF(INDEX(IlumaCalc!$AF$3:$AF$122,$T75)="","—",INDEX(IlumaCalc!$AF$3:$AF$122,$T75)),"")</f>
        <v/>
      </c>
      <c r="O75" s="20">
        <f>IF(AND(ISNUMBER($T75),$T75&lt;&gt;""),IF(INDEX(IlumaCalc!$AG$3:$AG$122,$T75)="","—",INDEX(IlumaCalc!$AG$3:$AG$122,$T75)),"")</f>
        <v/>
      </c>
      <c r="P75" s="21">
        <f>IF(AND(ISNUMBER($T75),$T75&lt;&gt;""),IF(INDEX(IlumaCalc!$AJ$3:$AJ$122,$T75)="","—",INDEX(IlumaCalc!$AJ$3:$AJ$122,$T75)),"")</f>
        <v/>
      </c>
      <c r="Q75" s="21">
        <f>IF(AND(ISNUMBER($T75),$T75&lt;&gt;""),IF(INDEX(IlumaCalc!$AK$3:$AK$122,$T75)="","—",INDEX(IlumaCalc!$AK$3:$AK$122,$T75)),"")</f>
        <v/>
      </c>
      <c r="R75" s="20">
        <f>IF(AND(ISNUMBER($T75),$T75&lt;&gt;""),IF(INDEX(IlumaCalc!$AL$3:$AL$122,$T75)="","—",INDEX(IlumaCalc!$AL$3:$AL$122,$T75)),"")</f>
        <v/>
      </c>
      <c r="T75">
        <f>IFERROR(MATCH(71,IlumaCalc!$AN$3:$AN$122,0),"")</f>
        <v/>
      </c>
    </row>
    <row r="76">
      <c r="A76" s="14">
        <f>IF(AND(ISNUMBER($T76),$T76&lt;&gt;""),INDEX(IlumaCalc!$S$3:$S$122,$T76),"")</f>
        <v/>
      </c>
      <c r="B76" s="15">
        <f>IF(AND(ISNUMBER($T76),$T76&lt;&gt;""),IF(INDEX(IlumaCalc!$T$3:$T$122,$T76)="","—",INDEX(IlumaCalc!$T$3:$T$122,$T76)),"")</f>
        <v/>
      </c>
      <c r="C76" s="15">
        <f>IF(AND(ISNUMBER($T76),$T76&lt;&gt;""),IF(INDEX(IlumaCalc!$U$3:$U$122,$T76)="","—",INDEX(IlumaCalc!$U$3:$U$122,$T76)),"")</f>
        <v/>
      </c>
      <c r="D76" s="15">
        <f>IF(AND(ISNUMBER($T76),$T76&lt;&gt;""),IF(INDEX(IlumaCalc!$V$3:$V$122,$T76)="","—",INDEX(IlumaCalc!$V$3:$V$122,$T76)),"")</f>
        <v/>
      </c>
      <c r="E76" s="15">
        <f>IF(AND(ISNUMBER($T76),$T76&lt;&gt;""),IF(INDEX(IlumaCalc!$W$3:$W$122,$T76)="","—",INDEX(IlumaCalc!$W$3:$W$122,$T76)),"")</f>
        <v/>
      </c>
      <c r="F76" s="15">
        <f>IF(AND(ISNUMBER($T76),$T76&lt;&gt;""),IF(INDEX(IlumaCalc!$X$3:$X$122,$T76)="","—",INDEX(IlumaCalc!$X$3:$X$122,$T76)),"")</f>
        <v/>
      </c>
      <c r="G76" s="15">
        <f>IF(AND(ISNUMBER($T76),$T76&lt;&gt;""),IF(INDEX(IlumaCalc!$Y$3:$Y$122,$T76)="","—",INDEX(IlumaCalc!$Y$3:$Y$122,$T76)),"")</f>
        <v/>
      </c>
      <c r="H76" s="15">
        <f>IF(AND(ISNUMBER($T76),$T76&lt;&gt;""),IF(INDEX(IlumaCalc!$Z$3:$Z$122,$T76)="","—",INDEX(IlumaCalc!$Z$3:$Z$122,$T76)),"")</f>
        <v/>
      </c>
      <c r="I76" s="15">
        <f>IF(AND(ISNUMBER($T76),$T76&lt;&gt;""),IF(INDEX(IlumaCalc!$AA$3:$AA$122,$T76)="","—",INDEX(IlumaCalc!$AA$3:$AA$122,$T76)),"")</f>
        <v/>
      </c>
      <c r="J76" s="15">
        <f>IF(AND(ISNUMBER($T76),$T76&lt;&gt;""),IF(INDEX(IlumaCalc!$AB$3:$AB$122,$T76)="","—",INDEX(IlumaCalc!$AB$3:$AB$122,$T76)),"")</f>
        <v/>
      </c>
      <c r="K76" s="15">
        <f>IF(AND(ISNUMBER($T76),$T76&lt;&gt;""),IF(INDEX(IlumaCalc!$AC$3:$AC$122,$T76)="","—",INDEX(IlumaCalc!$AC$3:$AC$122,$T76)),"")</f>
        <v/>
      </c>
      <c r="L76" s="15">
        <f>IF(AND(ISNUMBER($T76),$T76&lt;&gt;""),IF(INDEX(IlumaCalc!$AD$3:$AD$122,$T76)="","—",INDEX(IlumaCalc!$AD$3:$AD$122,$T76)),"")</f>
        <v/>
      </c>
      <c r="M76" s="15">
        <f>IF(AND(ISNUMBER($T76),$T76&lt;&gt;""),IF(INDEX(IlumaCalc!$AE$3:$AE$122,$T76)="","—",INDEX(IlumaCalc!$AE$3:$AE$122,$T76)),"")</f>
        <v/>
      </c>
      <c r="N76" s="15">
        <f>IF(AND(ISNUMBER($T76),$T76&lt;&gt;""),IF(INDEX(IlumaCalc!$AF$3:$AF$122,$T76)="","—",INDEX(IlumaCalc!$AF$3:$AF$122,$T76)),"")</f>
        <v/>
      </c>
      <c r="O76" s="15">
        <f>IF(AND(ISNUMBER($T76),$T76&lt;&gt;""),IF(INDEX(IlumaCalc!$AG$3:$AG$122,$T76)="","—",INDEX(IlumaCalc!$AG$3:$AG$122,$T76)),"")</f>
        <v/>
      </c>
      <c r="P76" s="16">
        <f>IF(AND(ISNUMBER($T76),$T76&lt;&gt;""),IF(INDEX(IlumaCalc!$AJ$3:$AJ$122,$T76)="","—",INDEX(IlumaCalc!$AJ$3:$AJ$122,$T76)),"")</f>
        <v/>
      </c>
      <c r="Q76" s="16">
        <f>IF(AND(ISNUMBER($T76),$T76&lt;&gt;""),IF(INDEX(IlumaCalc!$AK$3:$AK$122,$T76)="","—",INDEX(IlumaCalc!$AK$3:$AK$122,$T76)),"")</f>
        <v/>
      </c>
      <c r="R76" s="15">
        <f>IF(AND(ISNUMBER($T76),$T76&lt;&gt;""),IF(INDEX(IlumaCalc!$AL$3:$AL$122,$T76)="","—",INDEX(IlumaCalc!$AL$3:$AL$122,$T76)),"")</f>
        <v/>
      </c>
      <c r="T76">
        <f>IFERROR(MATCH(72,IlumaCalc!$AN$3:$AN$122,0),"")</f>
        <v/>
      </c>
    </row>
    <row r="77">
      <c r="A77" s="19">
        <f>IF(AND(ISNUMBER($T77),$T77&lt;&gt;""),INDEX(IlumaCalc!$S$3:$S$122,$T77),"")</f>
        <v/>
      </c>
      <c r="B77" s="20">
        <f>IF(AND(ISNUMBER($T77),$T77&lt;&gt;""),IF(INDEX(IlumaCalc!$T$3:$T$122,$T77)="","—",INDEX(IlumaCalc!$T$3:$T$122,$T77)),"")</f>
        <v/>
      </c>
      <c r="C77" s="20">
        <f>IF(AND(ISNUMBER($T77),$T77&lt;&gt;""),IF(INDEX(IlumaCalc!$U$3:$U$122,$T77)="","—",INDEX(IlumaCalc!$U$3:$U$122,$T77)),"")</f>
        <v/>
      </c>
      <c r="D77" s="20">
        <f>IF(AND(ISNUMBER($T77),$T77&lt;&gt;""),IF(INDEX(IlumaCalc!$V$3:$V$122,$T77)="","—",INDEX(IlumaCalc!$V$3:$V$122,$T77)),"")</f>
        <v/>
      </c>
      <c r="E77" s="20">
        <f>IF(AND(ISNUMBER($T77),$T77&lt;&gt;""),IF(INDEX(IlumaCalc!$W$3:$W$122,$T77)="","—",INDEX(IlumaCalc!$W$3:$W$122,$T77)),"")</f>
        <v/>
      </c>
      <c r="F77" s="20">
        <f>IF(AND(ISNUMBER($T77),$T77&lt;&gt;""),IF(INDEX(IlumaCalc!$X$3:$X$122,$T77)="","—",INDEX(IlumaCalc!$X$3:$X$122,$T77)),"")</f>
        <v/>
      </c>
      <c r="G77" s="20">
        <f>IF(AND(ISNUMBER($T77),$T77&lt;&gt;""),IF(INDEX(IlumaCalc!$Y$3:$Y$122,$T77)="","—",INDEX(IlumaCalc!$Y$3:$Y$122,$T77)),"")</f>
        <v/>
      </c>
      <c r="H77" s="20">
        <f>IF(AND(ISNUMBER($T77),$T77&lt;&gt;""),IF(INDEX(IlumaCalc!$Z$3:$Z$122,$T77)="","—",INDEX(IlumaCalc!$Z$3:$Z$122,$T77)),"")</f>
        <v/>
      </c>
      <c r="I77" s="20">
        <f>IF(AND(ISNUMBER($T77),$T77&lt;&gt;""),IF(INDEX(IlumaCalc!$AA$3:$AA$122,$T77)="","—",INDEX(IlumaCalc!$AA$3:$AA$122,$T77)),"")</f>
        <v/>
      </c>
      <c r="J77" s="20">
        <f>IF(AND(ISNUMBER($T77),$T77&lt;&gt;""),IF(INDEX(IlumaCalc!$AB$3:$AB$122,$T77)="","—",INDEX(IlumaCalc!$AB$3:$AB$122,$T77)),"")</f>
        <v/>
      </c>
      <c r="K77" s="20">
        <f>IF(AND(ISNUMBER($T77),$T77&lt;&gt;""),IF(INDEX(IlumaCalc!$AC$3:$AC$122,$T77)="","—",INDEX(IlumaCalc!$AC$3:$AC$122,$T77)),"")</f>
        <v/>
      </c>
      <c r="L77" s="20">
        <f>IF(AND(ISNUMBER($T77),$T77&lt;&gt;""),IF(INDEX(IlumaCalc!$AD$3:$AD$122,$T77)="","—",INDEX(IlumaCalc!$AD$3:$AD$122,$T77)),"")</f>
        <v/>
      </c>
      <c r="M77" s="20">
        <f>IF(AND(ISNUMBER($T77),$T77&lt;&gt;""),IF(INDEX(IlumaCalc!$AE$3:$AE$122,$T77)="","—",INDEX(IlumaCalc!$AE$3:$AE$122,$T77)),"")</f>
        <v/>
      </c>
      <c r="N77" s="20">
        <f>IF(AND(ISNUMBER($T77),$T77&lt;&gt;""),IF(INDEX(IlumaCalc!$AF$3:$AF$122,$T77)="","—",INDEX(IlumaCalc!$AF$3:$AF$122,$T77)),"")</f>
        <v/>
      </c>
      <c r="O77" s="20">
        <f>IF(AND(ISNUMBER($T77),$T77&lt;&gt;""),IF(INDEX(IlumaCalc!$AG$3:$AG$122,$T77)="","—",INDEX(IlumaCalc!$AG$3:$AG$122,$T77)),"")</f>
        <v/>
      </c>
      <c r="P77" s="21">
        <f>IF(AND(ISNUMBER($T77),$T77&lt;&gt;""),IF(INDEX(IlumaCalc!$AJ$3:$AJ$122,$T77)="","—",INDEX(IlumaCalc!$AJ$3:$AJ$122,$T77)),"")</f>
        <v/>
      </c>
      <c r="Q77" s="21">
        <f>IF(AND(ISNUMBER($T77),$T77&lt;&gt;""),IF(INDEX(IlumaCalc!$AK$3:$AK$122,$T77)="","—",INDEX(IlumaCalc!$AK$3:$AK$122,$T77)),"")</f>
        <v/>
      </c>
      <c r="R77" s="20">
        <f>IF(AND(ISNUMBER($T77),$T77&lt;&gt;""),IF(INDEX(IlumaCalc!$AL$3:$AL$122,$T77)="","—",INDEX(IlumaCalc!$AL$3:$AL$122,$T77)),"")</f>
        <v/>
      </c>
      <c r="T77">
        <f>IFERROR(MATCH(73,IlumaCalc!$AN$3:$AN$122,0),"")</f>
        <v/>
      </c>
    </row>
    <row r="78">
      <c r="A78" s="14">
        <f>IF(AND(ISNUMBER($T78),$T78&lt;&gt;""),INDEX(IlumaCalc!$S$3:$S$122,$T78),"")</f>
        <v/>
      </c>
      <c r="B78" s="15">
        <f>IF(AND(ISNUMBER($T78),$T78&lt;&gt;""),IF(INDEX(IlumaCalc!$T$3:$T$122,$T78)="","—",INDEX(IlumaCalc!$T$3:$T$122,$T78)),"")</f>
        <v/>
      </c>
      <c r="C78" s="15">
        <f>IF(AND(ISNUMBER($T78),$T78&lt;&gt;""),IF(INDEX(IlumaCalc!$U$3:$U$122,$T78)="","—",INDEX(IlumaCalc!$U$3:$U$122,$T78)),"")</f>
        <v/>
      </c>
      <c r="D78" s="15">
        <f>IF(AND(ISNUMBER($T78),$T78&lt;&gt;""),IF(INDEX(IlumaCalc!$V$3:$V$122,$T78)="","—",INDEX(IlumaCalc!$V$3:$V$122,$T78)),"")</f>
        <v/>
      </c>
      <c r="E78" s="15">
        <f>IF(AND(ISNUMBER($T78),$T78&lt;&gt;""),IF(INDEX(IlumaCalc!$W$3:$W$122,$T78)="","—",INDEX(IlumaCalc!$W$3:$W$122,$T78)),"")</f>
        <v/>
      </c>
      <c r="F78" s="15">
        <f>IF(AND(ISNUMBER($T78),$T78&lt;&gt;""),IF(INDEX(IlumaCalc!$X$3:$X$122,$T78)="","—",INDEX(IlumaCalc!$X$3:$X$122,$T78)),"")</f>
        <v/>
      </c>
      <c r="G78" s="15">
        <f>IF(AND(ISNUMBER($T78),$T78&lt;&gt;""),IF(INDEX(IlumaCalc!$Y$3:$Y$122,$T78)="","—",INDEX(IlumaCalc!$Y$3:$Y$122,$T78)),"")</f>
        <v/>
      </c>
      <c r="H78" s="15">
        <f>IF(AND(ISNUMBER($T78),$T78&lt;&gt;""),IF(INDEX(IlumaCalc!$Z$3:$Z$122,$T78)="","—",INDEX(IlumaCalc!$Z$3:$Z$122,$T78)),"")</f>
        <v/>
      </c>
      <c r="I78" s="15">
        <f>IF(AND(ISNUMBER($T78),$T78&lt;&gt;""),IF(INDEX(IlumaCalc!$AA$3:$AA$122,$T78)="","—",INDEX(IlumaCalc!$AA$3:$AA$122,$T78)),"")</f>
        <v/>
      </c>
      <c r="J78" s="15">
        <f>IF(AND(ISNUMBER($T78),$T78&lt;&gt;""),IF(INDEX(IlumaCalc!$AB$3:$AB$122,$T78)="","—",INDEX(IlumaCalc!$AB$3:$AB$122,$T78)),"")</f>
        <v/>
      </c>
      <c r="K78" s="15">
        <f>IF(AND(ISNUMBER($T78),$T78&lt;&gt;""),IF(INDEX(IlumaCalc!$AC$3:$AC$122,$T78)="","—",INDEX(IlumaCalc!$AC$3:$AC$122,$T78)),"")</f>
        <v/>
      </c>
      <c r="L78" s="15">
        <f>IF(AND(ISNUMBER($T78),$T78&lt;&gt;""),IF(INDEX(IlumaCalc!$AD$3:$AD$122,$T78)="","—",INDEX(IlumaCalc!$AD$3:$AD$122,$T78)),"")</f>
        <v/>
      </c>
      <c r="M78" s="15">
        <f>IF(AND(ISNUMBER($T78),$T78&lt;&gt;""),IF(INDEX(IlumaCalc!$AE$3:$AE$122,$T78)="","—",INDEX(IlumaCalc!$AE$3:$AE$122,$T78)),"")</f>
        <v/>
      </c>
      <c r="N78" s="15">
        <f>IF(AND(ISNUMBER($T78),$T78&lt;&gt;""),IF(INDEX(IlumaCalc!$AF$3:$AF$122,$T78)="","—",INDEX(IlumaCalc!$AF$3:$AF$122,$T78)),"")</f>
        <v/>
      </c>
      <c r="O78" s="15">
        <f>IF(AND(ISNUMBER($T78),$T78&lt;&gt;""),IF(INDEX(IlumaCalc!$AG$3:$AG$122,$T78)="","—",INDEX(IlumaCalc!$AG$3:$AG$122,$T78)),"")</f>
        <v/>
      </c>
      <c r="P78" s="16">
        <f>IF(AND(ISNUMBER($T78),$T78&lt;&gt;""),IF(INDEX(IlumaCalc!$AJ$3:$AJ$122,$T78)="","—",INDEX(IlumaCalc!$AJ$3:$AJ$122,$T78)),"")</f>
        <v/>
      </c>
      <c r="Q78" s="16">
        <f>IF(AND(ISNUMBER($T78),$T78&lt;&gt;""),IF(INDEX(IlumaCalc!$AK$3:$AK$122,$T78)="","—",INDEX(IlumaCalc!$AK$3:$AK$122,$T78)),"")</f>
        <v/>
      </c>
      <c r="R78" s="15">
        <f>IF(AND(ISNUMBER($T78),$T78&lt;&gt;""),IF(INDEX(IlumaCalc!$AL$3:$AL$122,$T78)="","—",INDEX(IlumaCalc!$AL$3:$AL$122,$T78)),"")</f>
        <v/>
      </c>
      <c r="T78">
        <f>IFERROR(MATCH(74,IlumaCalc!$AN$3:$AN$122,0),"")</f>
        <v/>
      </c>
    </row>
    <row r="79">
      <c r="A79" s="19">
        <f>IF(AND(ISNUMBER($T79),$T79&lt;&gt;""),INDEX(IlumaCalc!$S$3:$S$122,$T79),"")</f>
        <v/>
      </c>
      <c r="B79" s="20">
        <f>IF(AND(ISNUMBER($T79),$T79&lt;&gt;""),IF(INDEX(IlumaCalc!$T$3:$T$122,$T79)="","—",INDEX(IlumaCalc!$T$3:$T$122,$T79)),"")</f>
        <v/>
      </c>
      <c r="C79" s="20">
        <f>IF(AND(ISNUMBER($T79),$T79&lt;&gt;""),IF(INDEX(IlumaCalc!$U$3:$U$122,$T79)="","—",INDEX(IlumaCalc!$U$3:$U$122,$T79)),"")</f>
        <v/>
      </c>
      <c r="D79" s="20">
        <f>IF(AND(ISNUMBER($T79),$T79&lt;&gt;""),IF(INDEX(IlumaCalc!$V$3:$V$122,$T79)="","—",INDEX(IlumaCalc!$V$3:$V$122,$T79)),"")</f>
        <v/>
      </c>
      <c r="E79" s="20">
        <f>IF(AND(ISNUMBER($T79),$T79&lt;&gt;""),IF(INDEX(IlumaCalc!$W$3:$W$122,$T79)="","—",INDEX(IlumaCalc!$W$3:$W$122,$T79)),"")</f>
        <v/>
      </c>
      <c r="F79" s="20">
        <f>IF(AND(ISNUMBER($T79),$T79&lt;&gt;""),IF(INDEX(IlumaCalc!$X$3:$X$122,$T79)="","—",INDEX(IlumaCalc!$X$3:$X$122,$T79)),"")</f>
        <v/>
      </c>
      <c r="G79" s="20">
        <f>IF(AND(ISNUMBER($T79),$T79&lt;&gt;""),IF(INDEX(IlumaCalc!$Y$3:$Y$122,$T79)="","—",INDEX(IlumaCalc!$Y$3:$Y$122,$T79)),"")</f>
        <v/>
      </c>
      <c r="H79" s="20">
        <f>IF(AND(ISNUMBER($T79),$T79&lt;&gt;""),IF(INDEX(IlumaCalc!$Z$3:$Z$122,$T79)="","—",INDEX(IlumaCalc!$Z$3:$Z$122,$T79)),"")</f>
        <v/>
      </c>
      <c r="I79" s="20">
        <f>IF(AND(ISNUMBER($T79),$T79&lt;&gt;""),IF(INDEX(IlumaCalc!$AA$3:$AA$122,$T79)="","—",INDEX(IlumaCalc!$AA$3:$AA$122,$T79)),"")</f>
        <v/>
      </c>
      <c r="J79" s="20">
        <f>IF(AND(ISNUMBER($T79),$T79&lt;&gt;""),IF(INDEX(IlumaCalc!$AB$3:$AB$122,$T79)="","—",INDEX(IlumaCalc!$AB$3:$AB$122,$T79)),"")</f>
        <v/>
      </c>
      <c r="K79" s="20">
        <f>IF(AND(ISNUMBER($T79),$T79&lt;&gt;""),IF(INDEX(IlumaCalc!$AC$3:$AC$122,$T79)="","—",INDEX(IlumaCalc!$AC$3:$AC$122,$T79)),"")</f>
        <v/>
      </c>
      <c r="L79" s="20">
        <f>IF(AND(ISNUMBER($T79),$T79&lt;&gt;""),IF(INDEX(IlumaCalc!$AD$3:$AD$122,$T79)="","—",INDEX(IlumaCalc!$AD$3:$AD$122,$T79)),"")</f>
        <v/>
      </c>
      <c r="M79" s="20">
        <f>IF(AND(ISNUMBER($T79),$T79&lt;&gt;""),IF(INDEX(IlumaCalc!$AE$3:$AE$122,$T79)="","—",INDEX(IlumaCalc!$AE$3:$AE$122,$T79)),"")</f>
        <v/>
      </c>
      <c r="N79" s="20">
        <f>IF(AND(ISNUMBER($T79),$T79&lt;&gt;""),IF(INDEX(IlumaCalc!$AF$3:$AF$122,$T79)="","—",INDEX(IlumaCalc!$AF$3:$AF$122,$T79)),"")</f>
        <v/>
      </c>
      <c r="O79" s="20">
        <f>IF(AND(ISNUMBER($T79),$T79&lt;&gt;""),IF(INDEX(IlumaCalc!$AG$3:$AG$122,$T79)="","—",INDEX(IlumaCalc!$AG$3:$AG$122,$T79)),"")</f>
        <v/>
      </c>
      <c r="P79" s="21">
        <f>IF(AND(ISNUMBER($T79),$T79&lt;&gt;""),IF(INDEX(IlumaCalc!$AJ$3:$AJ$122,$T79)="","—",INDEX(IlumaCalc!$AJ$3:$AJ$122,$T79)),"")</f>
        <v/>
      </c>
      <c r="Q79" s="21">
        <f>IF(AND(ISNUMBER($T79),$T79&lt;&gt;""),IF(INDEX(IlumaCalc!$AK$3:$AK$122,$T79)="","—",INDEX(IlumaCalc!$AK$3:$AK$122,$T79)),"")</f>
        <v/>
      </c>
      <c r="R79" s="20">
        <f>IF(AND(ISNUMBER($T79),$T79&lt;&gt;""),IF(INDEX(IlumaCalc!$AL$3:$AL$122,$T79)="","—",INDEX(IlumaCalc!$AL$3:$AL$122,$T79)),"")</f>
        <v/>
      </c>
      <c r="T79">
        <f>IFERROR(MATCH(75,IlumaCalc!$AN$3:$AN$122,0),"")</f>
        <v/>
      </c>
    </row>
    <row r="80">
      <c r="A80" s="14">
        <f>IF(AND(ISNUMBER($T80),$T80&lt;&gt;""),INDEX(IlumaCalc!$S$3:$S$122,$T80),"")</f>
        <v/>
      </c>
      <c r="B80" s="15">
        <f>IF(AND(ISNUMBER($T80),$T80&lt;&gt;""),IF(INDEX(IlumaCalc!$T$3:$T$122,$T80)="","—",INDEX(IlumaCalc!$T$3:$T$122,$T80)),"")</f>
        <v/>
      </c>
      <c r="C80" s="15">
        <f>IF(AND(ISNUMBER($T80),$T80&lt;&gt;""),IF(INDEX(IlumaCalc!$U$3:$U$122,$T80)="","—",INDEX(IlumaCalc!$U$3:$U$122,$T80)),"")</f>
        <v/>
      </c>
      <c r="D80" s="15">
        <f>IF(AND(ISNUMBER($T80),$T80&lt;&gt;""),IF(INDEX(IlumaCalc!$V$3:$V$122,$T80)="","—",INDEX(IlumaCalc!$V$3:$V$122,$T80)),"")</f>
        <v/>
      </c>
      <c r="E80" s="15">
        <f>IF(AND(ISNUMBER($T80),$T80&lt;&gt;""),IF(INDEX(IlumaCalc!$W$3:$W$122,$T80)="","—",INDEX(IlumaCalc!$W$3:$W$122,$T80)),"")</f>
        <v/>
      </c>
      <c r="F80" s="15">
        <f>IF(AND(ISNUMBER($T80),$T80&lt;&gt;""),IF(INDEX(IlumaCalc!$X$3:$X$122,$T80)="","—",INDEX(IlumaCalc!$X$3:$X$122,$T80)),"")</f>
        <v/>
      </c>
      <c r="G80" s="15">
        <f>IF(AND(ISNUMBER($T80),$T80&lt;&gt;""),IF(INDEX(IlumaCalc!$Y$3:$Y$122,$T80)="","—",INDEX(IlumaCalc!$Y$3:$Y$122,$T80)),"")</f>
        <v/>
      </c>
      <c r="H80" s="15">
        <f>IF(AND(ISNUMBER($T80),$T80&lt;&gt;""),IF(INDEX(IlumaCalc!$Z$3:$Z$122,$T80)="","—",INDEX(IlumaCalc!$Z$3:$Z$122,$T80)),"")</f>
        <v/>
      </c>
      <c r="I80" s="15">
        <f>IF(AND(ISNUMBER($T80),$T80&lt;&gt;""),IF(INDEX(IlumaCalc!$AA$3:$AA$122,$T80)="","—",INDEX(IlumaCalc!$AA$3:$AA$122,$T80)),"")</f>
        <v/>
      </c>
      <c r="J80" s="15">
        <f>IF(AND(ISNUMBER($T80),$T80&lt;&gt;""),IF(INDEX(IlumaCalc!$AB$3:$AB$122,$T80)="","—",INDEX(IlumaCalc!$AB$3:$AB$122,$T80)),"")</f>
        <v/>
      </c>
      <c r="K80" s="15">
        <f>IF(AND(ISNUMBER($T80),$T80&lt;&gt;""),IF(INDEX(IlumaCalc!$AC$3:$AC$122,$T80)="","—",INDEX(IlumaCalc!$AC$3:$AC$122,$T80)),"")</f>
        <v/>
      </c>
      <c r="L80" s="15">
        <f>IF(AND(ISNUMBER($T80),$T80&lt;&gt;""),IF(INDEX(IlumaCalc!$AD$3:$AD$122,$T80)="","—",INDEX(IlumaCalc!$AD$3:$AD$122,$T80)),"")</f>
        <v/>
      </c>
      <c r="M80" s="15">
        <f>IF(AND(ISNUMBER($T80),$T80&lt;&gt;""),IF(INDEX(IlumaCalc!$AE$3:$AE$122,$T80)="","—",INDEX(IlumaCalc!$AE$3:$AE$122,$T80)),"")</f>
        <v/>
      </c>
      <c r="N80" s="15">
        <f>IF(AND(ISNUMBER($T80),$T80&lt;&gt;""),IF(INDEX(IlumaCalc!$AF$3:$AF$122,$T80)="","—",INDEX(IlumaCalc!$AF$3:$AF$122,$T80)),"")</f>
        <v/>
      </c>
      <c r="O80" s="15">
        <f>IF(AND(ISNUMBER($T80),$T80&lt;&gt;""),IF(INDEX(IlumaCalc!$AG$3:$AG$122,$T80)="","—",INDEX(IlumaCalc!$AG$3:$AG$122,$T80)),"")</f>
        <v/>
      </c>
      <c r="P80" s="16">
        <f>IF(AND(ISNUMBER($T80),$T80&lt;&gt;""),IF(INDEX(IlumaCalc!$AJ$3:$AJ$122,$T80)="","—",INDEX(IlumaCalc!$AJ$3:$AJ$122,$T80)),"")</f>
        <v/>
      </c>
      <c r="Q80" s="16">
        <f>IF(AND(ISNUMBER($T80),$T80&lt;&gt;""),IF(INDEX(IlumaCalc!$AK$3:$AK$122,$T80)="","—",INDEX(IlumaCalc!$AK$3:$AK$122,$T80)),"")</f>
        <v/>
      </c>
      <c r="R80" s="15">
        <f>IF(AND(ISNUMBER($T80),$T80&lt;&gt;""),IF(INDEX(IlumaCalc!$AL$3:$AL$122,$T80)="","—",INDEX(IlumaCalc!$AL$3:$AL$122,$T80)),"")</f>
        <v/>
      </c>
      <c r="T80">
        <f>IFERROR(MATCH(76,IlumaCalc!$AN$3:$AN$122,0),"")</f>
        <v/>
      </c>
    </row>
    <row r="81">
      <c r="A81" s="19">
        <f>IF(AND(ISNUMBER($T81),$T81&lt;&gt;""),INDEX(IlumaCalc!$S$3:$S$122,$T81),"")</f>
        <v/>
      </c>
      <c r="B81" s="20">
        <f>IF(AND(ISNUMBER($T81),$T81&lt;&gt;""),IF(INDEX(IlumaCalc!$T$3:$T$122,$T81)="","—",INDEX(IlumaCalc!$T$3:$T$122,$T81)),"")</f>
        <v/>
      </c>
      <c r="C81" s="20">
        <f>IF(AND(ISNUMBER($T81),$T81&lt;&gt;""),IF(INDEX(IlumaCalc!$U$3:$U$122,$T81)="","—",INDEX(IlumaCalc!$U$3:$U$122,$T81)),"")</f>
        <v/>
      </c>
      <c r="D81" s="20">
        <f>IF(AND(ISNUMBER($T81),$T81&lt;&gt;""),IF(INDEX(IlumaCalc!$V$3:$V$122,$T81)="","—",INDEX(IlumaCalc!$V$3:$V$122,$T81)),"")</f>
        <v/>
      </c>
      <c r="E81" s="20">
        <f>IF(AND(ISNUMBER($T81),$T81&lt;&gt;""),IF(INDEX(IlumaCalc!$W$3:$W$122,$T81)="","—",INDEX(IlumaCalc!$W$3:$W$122,$T81)),"")</f>
        <v/>
      </c>
      <c r="F81" s="20">
        <f>IF(AND(ISNUMBER($T81),$T81&lt;&gt;""),IF(INDEX(IlumaCalc!$X$3:$X$122,$T81)="","—",INDEX(IlumaCalc!$X$3:$X$122,$T81)),"")</f>
        <v/>
      </c>
      <c r="G81" s="20">
        <f>IF(AND(ISNUMBER($T81),$T81&lt;&gt;""),IF(INDEX(IlumaCalc!$Y$3:$Y$122,$T81)="","—",INDEX(IlumaCalc!$Y$3:$Y$122,$T81)),"")</f>
        <v/>
      </c>
      <c r="H81" s="20">
        <f>IF(AND(ISNUMBER($T81),$T81&lt;&gt;""),IF(INDEX(IlumaCalc!$Z$3:$Z$122,$T81)="","—",INDEX(IlumaCalc!$Z$3:$Z$122,$T81)),"")</f>
        <v/>
      </c>
      <c r="I81" s="20">
        <f>IF(AND(ISNUMBER($T81),$T81&lt;&gt;""),IF(INDEX(IlumaCalc!$AA$3:$AA$122,$T81)="","—",INDEX(IlumaCalc!$AA$3:$AA$122,$T81)),"")</f>
        <v/>
      </c>
      <c r="J81" s="20">
        <f>IF(AND(ISNUMBER($T81),$T81&lt;&gt;""),IF(INDEX(IlumaCalc!$AB$3:$AB$122,$T81)="","—",INDEX(IlumaCalc!$AB$3:$AB$122,$T81)),"")</f>
        <v/>
      </c>
      <c r="K81" s="20">
        <f>IF(AND(ISNUMBER($T81),$T81&lt;&gt;""),IF(INDEX(IlumaCalc!$AC$3:$AC$122,$T81)="","—",INDEX(IlumaCalc!$AC$3:$AC$122,$T81)),"")</f>
        <v/>
      </c>
      <c r="L81" s="20">
        <f>IF(AND(ISNUMBER($T81),$T81&lt;&gt;""),IF(INDEX(IlumaCalc!$AD$3:$AD$122,$T81)="","—",INDEX(IlumaCalc!$AD$3:$AD$122,$T81)),"")</f>
        <v/>
      </c>
      <c r="M81" s="20">
        <f>IF(AND(ISNUMBER($T81),$T81&lt;&gt;""),IF(INDEX(IlumaCalc!$AE$3:$AE$122,$T81)="","—",INDEX(IlumaCalc!$AE$3:$AE$122,$T81)),"")</f>
        <v/>
      </c>
      <c r="N81" s="20">
        <f>IF(AND(ISNUMBER($T81),$T81&lt;&gt;""),IF(INDEX(IlumaCalc!$AF$3:$AF$122,$T81)="","—",INDEX(IlumaCalc!$AF$3:$AF$122,$T81)),"")</f>
        <v/>
      </c>
      <c r="O81" s="20">
        <f>IF(AND(ISNUMBER($T81),$T81&lt;&gt;""),IF(INDEX(IlumaCalc!$AG$3:$AG$122,$T81)="","—",INDEX(IlumaCalc!$AG$3:$AG$122,$T81)),"")</f>
        <v/>
      </c>
      <c r="P81" s="21">
        <f>IF(AND(ISNUMBER($T81),$T81&lt;&gt;""),IF(INDEX(IlumaCalc!$AJ$3:$AJ$122,$T81)="","—",INDEX(IlumaCalc!$AJ$3:$AJ$122,$T81)),"")</f>
        <v/>
      </c>
      <c r="Q81" s="21">
        <f>IF(AND(ISNUMBER($T81),$T81&lt;&gt;""),IF(INDEX(IlumaCalc!$AK$3:$AK$122,$T81)="","—",INDEX(IlumaCalc!$AK$3:$AK$122,$T81)),"")</f>
        <v/>
      </c>
      <c r="R81" s="20">
        <f>IF(AND(ISNUMBER($T81),$T81&lt;&gt;""),IF(INDEX(IlumaCalc!$AL$3:$AL$122,$T81)="","—",INDEX(IlumaCalc!$AL$3:$AL$122,$T81)),"")</f>
        <v/>
      </c>
      <c r="T81">
        <f>IFERROR(MATCH(77,IlumaCalc!$AN$3:$AN$122,0),"")</f>
        <v/>
      </c>
    </row>
    <row r="82">
      <c r="A82" s="14">
        <f>IF(AND(ISNUMBER($T82),$T82&lt;&gt;""),INDEX(IlumaCalc!$S$3:$S$122,$T82),"")</f>
        <v/>
      </c>
      <c r="B82" s="15">
        <f>IF(AND(ISNUMBER($T82),$T82&lt;&gt;""),IF(INDEX(IlumaCalc!$T$3:$T$122,$T82)="","—",INDEX(IlumaCalc!$T$3:$T$122,$T82)),"")</f>
        <v/>
      </c>
      <c r="C82" s="15">
        <f>IF(AND(ISNUMBER($T82),$T82&lt;&gt;""),IF(INDEX(IlumaCalc!$U$3:$U$122,$T82)="","—",INDEX(IlumaCalc!$U$3:$U$122,$T82)),"")</f>
        <v/>
      </c>
      <c r="D82" s="15">
        <f>IF(AND(ISNUMBER($T82),$T82&lt;&gt;""),IF(INDEX(IlumaCalc!$V$3:$V$122,$T82)="","—",INDEX(IlumaCalc!$V$3:$V$122,$T82)),"")</f>
        <v/>
      </c>
      <c r="E82" s="15">
        <f>IF(AND(ISNUMBER($T82),$T82&lt;&gt;""),IF(INDEX(IlumaCalc!$W$3:$W$122,$T82)="","—",INDEX(IlumaCalc!$W$3:$W$122,$T82)),"")</f>
        <v/>
      </c>
      <c r="F82" s="15">
        <f>IF(AND(ISNUMBER($T82),$T82&lt;&gt;""),IF(INDEX(IlumaCalc!$X$3:$X$122,$T82)="","—",INDEX(IlumaCalc!$X$3:$X$122,$T82)),"")</f>
        <v/>
      </c>
      <c r="G82" s="15">
        <f>IF(AND(ISNUMBER($T82),$T82&lt;&gt;""),IF(INDEX(IlumaCalc!$Y$3:$Y$122,$T82)="","—",INDEX(IlumaCalc!$Y$3:$Y$122,$T82)),"")</f>
        <v/>
      </c>
      <c r="H82" s="15">
        <f>IF(AND(ISNUMBER($T82),$T82&lt;&gt;""),IF(INDEX(IlumaCalc!$Z$3:$Z$122,$T82)="","—",INDEX(IlumaCalc!$Z$3:$Z$122,$T82)),"")</f>
        <v/>
      </c>
      <c r="I82" s="15">
        <f>IF(AND(ISNUMBER($T82),$T82&lt;&gt;""),IF(INDEX(IlumaCalc!$AA$3:$AA$122,$T82)="","—",INDEX(IlumaCalc!$AA$3:$AA$122,$T82)),"")</f>
        <v/>
      </c>
      <c r="J82" s="15">
        <f>IF(AND(ISNUMBER($T82),$T82&lt;&gt;""),IF(INDEX(IlumaCalc!$AB$3:$AB$122,$T82)="","—",INDEX(IlumaCalc!$AB$3:$AB$122,$T82)),"")</f>
        <v/>
      </c>
      <c r="K82" s="15">
        <f>IF(AND(ISNUMBER($T82),$T82&lt;&gt;""),IF(INDEX(IlumaCalc!$AC$3:$AC$122,$T82)="","—",INDEX(IlumaCalc!$AC$3:$AC$122,$T82)),"")</f>
        <v/>
      </c>
      <c r="L82" s="15">
        <f>IF(AND(ISNUMBER($T82),$T82&lt;&gt;""),IF(INDEX(IlumaCalc!$AD$3:$AD$122,$T82)="","—",INDEX(IlumaCalc!$AD$3:$AD$122,$T82)),"")</f>
        <v/>
      </c>
      <c r="M82" s="15">
        <f>IF(AND(ISNUMBER($T82),$T82&lt;&gt;""),IF(INDEX(IlumaCalc!$AE$3:$AE$122,$T82)="","—",INDEX(IlumaCalc!$AE$3:$AE$122,$T82)),"")</f>
        <v/>
      </c>
      <c r="N82" s="15">
        <f>IF(AND(ISNUMBER($T82),$T82&lt;&gt;""),IF(INDEX(IlumaCalc!$AF$3:$AF$122,$T82)="","—",INDEX(IlumaCalc!$AF$3:$AF$122,$T82)),"")</f>
        <v/>
      </c>
      <c r="O82" s="15">
        <f>IF(AND(ISNUMBER($T82),$T82&lt;&gt;""),IF(INDEX(IlumaCalc!$AG$3:$AG$122,$T82)="","—",INDEX(IlumaCalc!$AG$3:$AG$122,$T82)),"")</f>
        <v/>
      </c>
      <c r="P82" s="16">
        <f>IF(AND(ISNUMBER($T82),$T82&lt;&gt;""),IF(INDEX(IlumaCalc!$AJ$3:$AJ$122,$T82)="","—",INDEX(IlumaCalc!$AJ$3:$AJ$122,$T82)),"")</f>
        <v/>
      </c>
      <c r="Q82" s="16">
        <f>IF(AND(ISNUMBER($T82),$T82&lt;&gt;""),IF(INDEX(IlumaCalc!$AK$3:$AK$122,$T82)="","—",INDEX(IlumaCalc!$AK$3:$AK$122,$T82)),"")</f>
        <v/>
      </c>
      <c r="R82" s="15">
        <f>IF(AND(ISNUMBER($T82),$T82&lt;&gt;""),IF(INDEX(IlumaCalc!$AL$3:$AL$122,$T82)="","—",INDEX(IlumaCalc!$AL$3:$AL$122,$T82)),"")</f>
        <v/>
      </c>
      <c r="T82">
        <f>IFERROR(MATCH(78,IlumaCalc!$AN$3:$AN$122,0),"")</f>
        <v/>
      </c>
    </row>
    <row r="83">
      <c r="A83" s="19">
        <f>IF(AND(ISNUMBER($T83),$T83&lt;&gt;""),INDEX(IlumaCalc!$S$3:$S$122,$T83),"")</f>
        <v/>
      </c>
      <c r="B83" s="20">
        <f>IF(AND(ISNUMBER($T83),$T83&lt;&gt;""),IF(INDEX(IlumaCalc!$T$3:$T$122,$T83)="","—",INDEX(IlumaCalc!$T$3:$T$122,$T83)),"")</f>
        <v/>
      </c>
      <c r="C83" s="20">
        <f>IF(AND(ISNUMBER($T83),$T83&lt;&gt;""),IF(INDEX(IlumaCalc!$U$3:$U$122,$T83)="","—",INDEX(IlumaCalc!$U$3:$U$122,$T83)),"")</f>
        <v/>
      </c>
      <c r="D83" s="20">
        <f>IF(AND(ISNUMBER($T83),$T83&lt;&gt;""),IF(INDEX(IlumaCalc!$V$3:$V$122,$T83)="","—",INDEX(IlumaCalc!$V$3:$V$122,$T83)),"")</f>
        <v/>
      </c>
      <c r="E83" s="20">
        <f>IF(AND(ISNUMBER($T83),$T83&lt;&gt;""),IF(INDEX(IlumaCalc!$W$3:$W$122,$T83)="","—",INDEX(IlumaCalc!$W$3:$W$122,$T83)),"")</f>
        <v/>
      </c>
      <c r="F83" s="20">
        <f>IF(AND(ISNUMBER($T83),$T83&lt;&gt;""),IF(INDEX(IlumaCalc!$X$3:$X$122,$T83)="","—",INDEX(IlumaCalc!$X$3:$X$122,$T83)),"")</f>
        <v/>
      </c>
      <c r="G83" s="20">
        <f>IF(AND(ISNUMBER($T83),$T83&lt;&gt;""),IF(INDEX(IlumaCalc!$Y$3:$Y$122,$T83)="","—",INDEX(IlumaCalc!$Y$3:$Y$122,$T83)),"")</f>
        <v/>
      </c>
      <c r="H83" s="20">
        <f>IF(AND(ISNUMBER($T83),$T83&lt;&gt;""),IF(INDEX(IlumaCalc!$Z$3:$Z$122,$T83)="","—",INDEX(IlumaCalc!$Z$3:$Z$122,$T83)),"")</f>
        <v/>
      </c>
      <c r="I83" s="20">
        <f>IF(AND(ISNUMBER($T83),$T83&lt;&gt;""),IF(INDEX(IlumaCalc!$AA$3:$AA$122,$T83)="","—",INDEX(IlumaCalc!$AA$3:$AA$122,$T83)),"")</f>
        <v/>
      </c>
      <c r="J83" s="20">
        <f>IF(AND(ISNUMBER($T83),$T83&lt;&gt;""),IF(INDEX(IlumaCalc!$AB$3:$AB$122,$T83)="","—",INDEX(IlumaCalc!$AB$3:$AB$122,$T83)),"")</f>
        <v/>
      </c>
      <c r="K83" s="20">
        <f>IF(AND(ISNUMBER($T83),$T83&lt;&gt;""),IF(INDEX(IlumaCalc!$AC$3:$AC$122,$T83)="","—",INDEX(IlumaCalc!$AC$3:$AC$122,$T83)),"")</f>
        <v/>
      </c>
      <c r="L83" s="20">
        <f>IF(AND(ISNUMBER($T83),$T83&lt;&gt;""),IF(INDEX(IlumaCalc!$AD$3:$AD$122,$T83)="","—",INDEX(IlumaCalc!$AD$3:$AD$122,$T83)),"")</f>
        <v/>
      </c>
      <c r="M83" s="20">
        <f>IF(AND(ISNUMBER($T83),$T83&lt;&gt;""),IF(INDEX(IlumaCalc!$AE$3:$AE$122,$T83)="","—",INDEX(IlumaCalc!$AE$3:$AE$122,$T83)),"")</f>
        <v/>
      </c>
      <c r="N83" s="20">
        <f>IF(AND(ISNUMBER($T83),$T83&lt;&gt;""),IF(INDEX(IlumaCalc!$AF$3:$AF$122,$T83)="","—",INDEX(IlumaCalc!$AF$3:$AF$122,$T83)),"")</f>
        <v/>
      </c>
      <c r="O83" s="20">
        <f>IF(AND(ISNUMBER($T83),$T83&lt;&gt;""),IF(INDEX(IlumaCalc!$AG$3:$AG$122,$T83)="","—",INDEX(IlumaCalc!$AG$3:$AG$122,$T83)),"")</f>
        <v/>
      </c>
      <c r="P83" s="21">
        <f>IF(AND(ISNUMBER($T83),$T83&lt;&gt;""),IF(INDEX(IlumaCalc!$AJ$3:$AJ$122,$T83)="","—",INDEX(IlumaCalc!$AJ$3:$AJ$122,$T83)),"")</f>
        <v/>
      </c>
      <c r="Q83" s="21">
        <f>IF(AND(ISNUMBER($T83),$T83&lt;&gt;""),IF(INDEX(IlumaCalc!$AK$3:$AK$122,$T83)="","—",INDEX(IlumaCalc!$AK$3:$AK$122,$T83)),"")</f>
        <v/>
      </c>
      <c r="R83" s="20">
        <f>IF(AND(ISNUMBER($T83),$T83&lt;&gt;""),IF(INDEX(IlumaCalc!$AL$3:$AL$122,$T83)="","—",INDEX(IlumaCalc!$AL$3:$AL$122,$T83)),"")</f>
        <v/>
      </c>
      <c r="T83">
        <f>IFERROR(MATCH(79,IlumaCalc!$AN$3:$AN$122,0),"")</f>
        <v/>
      </c>
    </row>
    <row r="84">
      <c r="A84" s="14">
        <f>IF(AND(ISNUMBER($T84),$T84&lt;&gt;""),INDEX(IlumaCalc!$S$3:$S$122,$T84),"")</f>
        <v/>
      </c>
      <c r="B84" s="15">
        <f>IF(AND(ISNUMBER($T84),$T84&lt;&gt;""),IF(INDEX(IlumaCalc!$T$3:$T$122,$T84)="","—",INDEX(IlumaCalc!$T$3:$T$122,$T84)),"")</f>
        <v/>
      </c>
      <c r="C84" s="15">
        <f>IF(AND(ISNUMBER($T84),$T84&lt;&gt;""),IF(INDEX(IlumaCalc!$U$3:$U$122,$T84)="","—",INDEX(IlumaCalc!$U$3:$U$122,$T84)),"")</f>
        <v/>
      </c>
      <c r="D84" s="15">
        <f>IF(AND(ISNUMBER($T84),$T84&lt;&gt;""),IF(INDEX(IlumaCalc!$V$3:$V$122,$T84)="","—",INDEX(IlumaCalc!$V$3:$V$122,$T84)),"")</f>
        <v/>
      </c>
      <c r="E84" s="15">
        <f>IF(AND(ISNUMBER($T84),$T84&lt;&gt;""),IF(INDEX(IlumaCalc!$W$3:$W$122,$T84)="","—",INDEX(IlumaCalc!$W$3:$W$122,$T84)),"")</f>
        <v/>
      </c>
      <c r="F84" s="15">
        <f>IF(AND(ISNUMBER($T84),$T84&lt;&gt;""),IF(INDEX(IlumaCalc!$X$3:$X$122,$T84)="","—",INDEX(IlumaCalc!$X$3:$X$122,$T84)),"")</f>
        <v/>
      </c>
      <c r="G84" s="15">
        <f>IF(AND(ISNUMBER($T84),$T84&lt;&gt;""),IF(INDEX(IlumaCalc!$Y$3:$Y$122,$T84)="","—",INDEX(IlumaCalc!$Y$3:$Y$122,$T84)),"")</f>
        <v/>
      </c>
      <c r="H84" s="15">
        <f>IF(AND(ISNUMBER($T84),$T84&lt;&gt;""),IF(INDEX(IlumaCalc!$Z$3:$Z$122,$T84)="","—",INDEX(IlumaCalc!$Z$3:$Z$122,$T84)),"")</f>
        <v/>
      </c>
      <c r="I84" s="15">
        <f>IF(AND(ISNUMBER($T84),$T84&lt;&gt;""),IF(INDEX(IlumaCalc!$AA$3:$AA$122,$T84)="","—",INDEX(IlumaCalc!$AA$3:$AA$122,$T84)),"")</f>
        <v/>
      </c>
      <c r="J84" s="15">
        <f>IF(AND(ISNUMBER($T84),$T84&lt;&gt;""),IF(INDEX(IlumaCalc!$AB$3:$AB$122,$T84)="","—",INDEX(IlumaCalc!$AB$3:$AB$122,$T84)),"")</f>
        <v/>
      </c>
      <c r="K84" s="15">
        <f>IF(AND(ISNUMBER($T84),$T84&lt;&gt;""),IF(INDEX(IlumaCalc!$AC$3:$AC$122,$T84)="","—",INDEX(IlumaCalc!$AC$3:$AC$122,$T84)),"")</f>
        <v/>
      </c>
      <c r="L84" s="15">
        <f>IF(AND(ISNUMBER($T84),$T84&lt;&gt;""),IF(INDEX(IlumaCalc!$AD$3:$AD$122,$T84)="","—",INDEX(IlumaCalc!$AD$3:$AD$122,$T84)),"")</f>
        <v/>
      </c>
      <c r="M84" s="15">
        <f>IF(AND(ISNUMBER($T84),$T84&lt;&gt;""),IF(INDEX(IlumaCalc!$AE$3:$AE$122,$T84)="","—",INDEX(IlumaCalc!$AE$3:$AE$122,$T84)),"")</f>
        <v/>
      </c>
      <c r="N84" s="15">
        <f>IF(AND(ISNUMBER($T84),$T84&lt;&gt;""),IF(INDEX(IlumaCalc!$AF$3:$AF$122,$T84)="","—",INDEX(IlumaCalc!$AF$3:$AF$122,$T84)),"")</f>
        <v/>
      </c>
      <c r="O84" s="15">
        <f>IF(AND(ISNUMBER($T84),$T84&lt;&gt;""),IF(INDEX(IlumaCalc!$AG$3:$AG$122,$T84)="","—",INDEX(IlumaCalc!$AG$3:$AG$122,$T84)),"")</f>
        <v/>
      </c>
      <c r="P84" s="16">
        <f>IF(AND(ISNUMBER($T84),$T84&lt;&gt;""),IF(INDEX(IlumaCalc!$AJ$3:$AJ$122,$T84)="","—",INDEX(IlumaCalc!$AJ$3:$AJ$122,$T84)),"")</f>
        <v/>
      </c>
      <c r="Q84" s="16">
        <f>IF(AND(ISNUMBER($T84),$T84&lt;&gt;""),IF(INDEX(IlumaCalc!$AK$3:$AK$122,$T84)="","—",INDEX(IlumaCalc!$AK$3:$AK$122,$T84)),"")</f>
        <v/>
      </c>
      <c r="R84" s="15">
        <f>IF(AND(ISNUMBER($T84),$T84&lt;&gt;""),IF(INDEX(IlumaCalc!$AL$3:$AL$122,$T84)="","—",INDEX(IlumaCalc!$AL$3:$AL$122,$T84)),"")</f>
        <v/>
      </c>
      <c r="T84">
        <f>IFERROR(MATCH(80,IlumaCalc!$AN$3:$AN$122,0),"")</f>
        <v/>
      </c>
    </row>
    <row r="85">
      <c r="A85" s="19">
        <f>IF(AND(ISNUMBER($T85),$T85&lt;&gt;""),INDEX(IlumaCalc!$S$3:$S$122,$T85),"")</f>
        <v/>
      </c>
      <c r="B85" s="20">
        <f>IF(AND(ISNUMBER($T85),$T85&lt;&gt;""),IF(INDEX(IlumaCalc!$T$3:$T$122,$T85)="","—",INDEX(IlumaCalc!$T$3:$T$122,$T85)),"")</f>
        <v/>
      </c>
      <c r="C85" s="20">
        <f>IF(AND(ISNUMBER($T85),$T85&lt;&gt;""),IF(INDEX(IlumaCalc!$U$3:$U$122,$T85)="","—",INDEX(IlumaCalc!$U$3:$U$122,$T85)),"")</f>
        <v/>
      </c>
      <c r="D85" s="20">
        <f>IF(AND(ISNUMBER($T85),$T85&lt;&gt;""),IF(INDEX(IlumaCalc!$V$3:$V$122,$T85)="","—",INDEX(IlumaCalc!$V$3:$V$122,$T85)),"")</f>
        <v/>
      </c>
      <c r="E85" s="20">
        <f>IF(AND(ISNUMBER($T85),$T85&lt;&gt;""),IF(INDEX(IlumaCalc!$W$3:$W$122,$T85)="","—",INDEX(IlumaCalc!$W$3:$W$122,$T85)),"")</f>
        <v/>
      </c>
      <c r="F85" s="20">
        <f>IF(AND(ISNUMBER($T85),$T85&lt;&gt;""),IF(INDEX(IlumaCalc!$X$3:$X$122,$T85)="","—",INDEX(IlumaCalc!$X$3:$X$122,$T85)),"")</f>
        <v/>
      </c>
      <c r="G85" s="20">
        <f>IF(AND(ISNUMBER($T85),$T85&lt;&gt;""),IF(INDEX(IlumaCalc!$Y$3:$Y$122,$T85)="","—",INDEX(IlumaCalc!$Y$3:$Y$122,$T85)),"")</f>
        <v/>
      </c>
      <c r="H85" s="20">
        <f>IF(AND(ISNUMBER($T85),$T85&lt;&gt;""),IF(INDEX(IlumaCalc!$Z$3:$Z$122,$T85)="","—",INDEX(IlumaCalc!$Z$3:$Z$122,$T85)),"")</f>
        <v/>
      </c>
      <c r="I85" s="20">
        <f>IF(AND(ISNUMBER($T85),$T85&lt;&gt;""),IF(INDEX(IlumaCalc!$AA$3:$AA$122,$T85)="","—",INDEX(IlumaCalc!$AA$3:$AA$122,$T85)),"")</f>
        <v/>
      </c>
      <c r="J85" s="20">
        <f>IF(AND(ISNUMBER($T85),$T85&lt;&gt;""),IF(INDEX(IlumaCalc!$AB$3:$AB$122,$T85)="","—",INDEX(IlumaCalc!$AB$3:$AB$122,$T85)),"")</f>
        <v/>
      </c>
      <c r="K85" s="20">
        <f>IF(AND(ISNUMBER($T85),$T85&lt;&gt;""),IF(INDEX(IlumaCalc!$AC$3:$AC$122,$T85)="","—",INDEX(IlumaCalc!$AC$3:$AC$122,$T85)),"")</f>
        <v/>
      </c>
      <c r="L85" s="20">
        <f>IF(AND(ISNUMBER($T85),$T85&lt;&gt;""),IF(INDEX(IlumaCalc!$AD$3:$AD$122,$T85)="","—",INDEX(IlumaCalc!$AD$3:$AD$122,$T85)),"")</f>
        <v/>
      </c>
      <c r="M85" s="20">
        <f>IF(AND(ISNUMBER($T85),$T85&lt;&gt;""),IF(INDEX(IlumaCalc!$AE$3:$AE$122,$T85)="","—",INDEX(IlumaCalc!$AE$3:$AE$122,$T85)),"")</f>
        <v/>
      </c>
      <c r="N85" s="20">
        <f>IF(AND(ISNUMBER($T85),$T85&lt;&gt;""),IF(INDEX(IlumaCalc!$AF$3:$AF$122,$T85)="","—",INDEX(IlumaCalc!$AF$3:$AF$122,$T85)),"")</f>
        <v/>
      </c>
      <c r="O85" s="20">
        <f>IF(AND(ISNUMBER($T85),$T85&lt;&gt;""),IF(INDEX(IlumaCalc!$AG$3:$AG$122,$T85)="","—",INDEX(IlumaCalc!$AG$3:$AG$122,$T85)),"")</f>
        <v/>
      </c>
      <c r="P85" s="21">
        <f>IF(AND(ISNUMBER($T85),$T85&lt;&gt;""),IF(INDEX(IlumaCalc!$AJ$3:$AJ$122,$T85)="","—",INDEX(IlumaCalc!$AJ$3:$AJ$122,$T85)),"")</f>
        <v/>
      </c>
      <c r="Q85" s="21">
        <f>IF(AND(ISNUMBER($T85),$T85&lt;&gt;""),IF(INDEX(IlumaCalc!$AK$3:$AK$122,$T85)="","—",INDEX(IlumaCalc!$AK$3:$AK$122,$T85)),"")</f>
        <v/>
      </c>
      <c r="R85" s="20">
        <f>IF(AND(ISNUMBER($T85),$T85&lt;&gt;""),IF(INDEX(IlumaCalc!$AL$3:$AL$122,$T85)="","—",INDEX(IlumaCalc!$AL$3:$AL$122,$T85)),"")</f>
        <v/>
      </c>
      <c r="T85">
        <f>IFERROR(MATCH(81,IlumaCalc!$AN$3:$AN$122,0),"")</f>
        <v/>
      </c>
    </row>
    <row r="86">
      <c r="A86" s="14">
        <f>IF(AND(ISNUMBER($T86),$T86&lt;&gt;""),INDEX(IlumaCalc!$S$3:$S$122,$T86),"")</f>
        <v/>
      </c>
      <c r="B86" s="15">
        <f>IF(AND(ISNUMBER($T86),$T86&lt;&gt;""),IF(INDEX(IlumaCalc!$T$3:$T$122,$T86)="","—",INDEX(IlumaCalc!$T$3:$T$122,$T86)),"")</f>
        <v/>
      </c>
      <c r="C86" s="15">
        <f>IF(AND(ISNUMBER($T86),$T86&lt;&gt;""),IF(INDEX(IlumaCalc!$U$3:$U$122,$T86)="","—",INDEX(IlumaCalc!$U$3:$U$122,$T86)),"")</f>
        <v/>
      </c>
      <c r="D86" s="15">
        <f>IF(AND(ISNUMBER($T86),$T86&lt;&gt;""),IF(INDEX(IlumaCalc!$V$3:$V$122,$T86)="","—",INDEX(IlumaCalc!$V$3:$V$122,$T86)),"")</f>
        <v/>
      </c>
      <c r="E86" s="15">
        <f>IF(AND(ISNUMBER($T86),$T86&lt;&gt;""),IF(INDEX(IlumaCalc!$W$3:$W$122,$T86)="","—",INDEX(IlumaCalc!$W$3:$W$122,$T86)),"")</f>
        <v/>
      </c>
      <c r="F86" s="15">
        <f>IF(AND(ISNUMBER($T86),$T86&lt;&gt;""),IF(INDEX(IlumaCalc!$X$3:$X$122,$T86)="","—",INDEX(IlumaCalc!$X$3:$X$122,$T86)),"")</f>
        <v/>
      </c>
      <c r="G86" s="15">
        <f>IF(AND(ISNUMBER($T86),$T86&lt;&gt;""),IF(INDEX(IlumaCalc!$Y$3:$Y$122,$T86)="","—",INDEX(IlumaCalc!$Y$3:$Y$122,$T86)),"")</f>
        <v/>
      </c>
      <c r="H86" s="15">
        <f>IF(AND(ISNUMBER($T86),$T86&lt;&gt;""),IF(INDEX(IlumaCalc!$Z$3:$Z$122,$T86)="","—",INDEX(IlumaCalc!$Z$3:$Z$122,$T86)),"")</f>
        <v/>
      </c>
      <c r="I86" s="15">
        <f>IF(AND(ISNUMBER($T86),$T86&lt;&gt;""),IF(INDEX(IlumaCalc!$AA$3:$AA$122,$T86)="","—",INDEX(IlumaCalc!$AA$3:$AA$122,$T86)),"")</f>
        <v/>
      </c>
      <c r="J86" s="15">
        <f>IF(AND(ISNUMBER($T86),$T86&lt;&gt;""),IF(INDEX(IlumaCalc!$AB$3:$AB$122,$T86)="","—",INDEX(IlumaCalc!$AB$3:$AB$122,$T86)),"")</f>
        <v/>
      </c>
      <c r="K86" s="15">
        <f>IF(AND(ISNUMBER($T86),$T86&lt;&gt;""),IF(INDEX(IlumaCalc!$AC$3:$AC$122,$T86)="","—",INDEX(IlumaCalc!$AC$3:$AC$122,$T86)),"")</f>
        <v/>
      </c>
      <c r="L86" s="15">
        <f>IF(AND(ISNUMBER($T86),$T86&lt;&gt;""),IF(INDEX(IlumaCalc!$AD$3:$AD$122,$T86)="","—",INDEX(IlumaCalc!$AD$3:$AD$122,$T86)),"")</f>
        <v/>
      </c>
      <c r="M86" s="15">
        <f>IF(AND(ISNUMBER($T86),$T86&lt;&gt;""),IF(INDEX(IlumaCalc!$AE$3:$AE$122,$T86)="","—",INDEX(IlumaCalc!$AE$3:$AE$122,$T86)),"")</f>
        <v/>
      </c>
      <c r="N86" s="15">
        <f>IF(AND(ISNUMBER($T86),$T86&lt;&gt;""),IF(INDEX(IlumaCalc!$AF$3:$AF$122,$T86)="","—",INDEX(IlumaCalc!$AF$3:$AF$122,$T86)),"")</f>
        <v/>
      </c>
      <c r="O86" s="15">
        <f>IF(AND(ISNUMBER($T86),$T86&lt;&gt;""),IF(INDEX(IlumaCalc!$AG$3:$AG$122,$T86)="","—",INDEX(IlumaCalc!$AG$3:$AG$122,$T86)),"")</f>
        <v/>
      </c>
      <c r="P86" s="16">
        <f>IF(AND(ISNUMBER($T86),$T86&lt;&gt;""),IF(INDEX(IlumaCalc!$AJ$3:$AJ$122,$T86)="","—",INDEX(IlumaCalc!$AJ$3:$AJ$122,$T86)),"")</f>
        <v/>
      </c>
      <c r="Q86" s="16">
        <f>IF(AND(ISNUMBER($T86),$T86&lt;&gt;""),IF(INDEX(IlumaCalc!$AK$3:$AK$122,$T86)="","—",INDEX(IlumaCalc!$AK$3:$AK$122,$T86)),"")</f>
        <v/>
      </c>
      <c r="R86" s="15">
        <f>IF(AND(ISNUMBER($T86),$T86&lt;&gt;""),IF(INDEX(IlumaCalc!$AL$3:$AL$122,$T86)="","—",INDEX(IlumaCalc!$AL$3:$AL$122,$T86)),"")</f>
        <v/>
      </c>
      <c r="T86">
        <f>IFERROR(MATCH(82,IlumaCalc!$AN$3:$AN$122,0),"")</f>
        <v/>
      </c>
    </row>
    <row r="87">
      <c r="A87" s="19">
        <f>IF(AND(ISNUMBER($T87),$T87&lt;&gt;""),INDEX(IlumaCalc!$S$3:$S$122,$T87),"")</f>
        <v/>
      </c>
      <c r="B87" s="20">
        <f>IF(AND(ISNUMBER($T87),$T87&lt;&gt;""),IF(INDEX(IlumaCalc!$T$3:$T$122,$T87)="","—",INDEX(IlumaCalc!$T$3:$T$122,$T87)),"")</f>
        <v/>
      </c>
      <c r="C87" s="20">
        <f>IF(AND(ISNUMBER($T87),$T87&lt;&gt;""),IF(INDEX(IlumaCalc!$U$3:$U$122,$T87)="","—",INDEX(IlumaCalc!$U$3:$U$122,$T87)),"")</f>
        <v/>
      </c>
      <c r="D87" s="20">
        <f>IF(AND(ISNUMBER($T87),$T87&lt;&gt;""),IF(INDEX(IlumaCalc!$V$3:$V$122,$T87)="","—",INDEX(IlumaCalc!$V$3:$V$122,$T87)),"")</f>
        <v/>
      </c>
      <c r="E87" s="20">
        <f>IF(AND(ISNUMBER($T87),$T87&lt;&gt;""),IF(INDEX(IlumaCalc!$W$3:$W$122,$T87)="","—",INDEX(IlumaCalc!$W$3:$W$122,$T87)),"")</f>
        <v/>
      </c>
      <c r="F87" s="20">
        <f>IF(AND(ISNUMBER($T87),$T87&lt;&gt;""),IF(INDEX(IlumaCalc!$X$3:$X$122,$T87)="","—",INDEX(IlumaCalc!$X$3:$X$122,$T87)),"")</f>
        <v/>
      </c>
      <c r="G87" s="20">
        <f>IF(AND(ISNUMBER($T87),$T87&lt;&gt;""),IF(INDEX(IlumaCalc!$Y$3:$Y$122,$T87)="","—",INDEX(IlumaCalc!$Y$3:$Y$122,$T87)),"")</f>
        <v/>
      </c>
      <c r="H87" s="20">
        <f>IF(AND(ISNUMBER($T87),$T87&lt;&gt;""),IF(INDEX(IlumaCalc!$Z$3:$Z$122,$T87)="","—",INDEX(IlumaCalc!$Z$3:$Z$122,$T87)),"")</f>
        <v/>
      </c>
      <c r="I87" s="20">
        <f>IF(AND(ISNUMBER($T87),$T87&lt;&gt;""),IF(INDEX(IlumaCalc!$AA$3:$AA$122,$T87)="","—",INDEX(IlumaCalc!$AA$3:$AA$122,$T87)),"")</f>
        <v/>
      </c>
      <c r="J87" s="20">
        <f>IF(AND(ISNUMBER($T87),$T87&lt;&gt;""),IF(INDEX(IlumaCalc!$AB$3:$AB$122,$T87)="","—",INDEX(IlumaCalc!$AB$3:$AB$122,$T87)),"")</f>
        <v/>
      </c>
      <c r="K87" s="20">
        <f>IF(AND(ISNUMBER($T87),$T87&lt;&gt;""),IF(INDEX(IlumaCalc!$AC$3:$AC$122,$T87)="","—",INDEX(IlumaCalc!$AC$3:$AC$122,$T87)),"")</f>
        <v/>
      </c>
      <c r="L87" s="20">
        <f>IF(AND(ISNUMBER($T87),$T87&lt;&gt;""),IF(INDEX(IlumaCalc!$AD$3:$AD$122,$T87)="","—",INDEX(IlumaCalc!$AD$3:$AD$122,$T87)),"")</f>
        <v/>
      </c>
      <c r="M87" s="20">
        <f>IF(AND(ISNUMBER($T87),$T87&lt;&gt;""),IF(INDEX(IlumaCalc!$AE$3:$AE$122,$T87)="","—",INDEX(IlumaCalc!$AE$3:$AE$122,$T87)),"")</f>
        <v/>
      </c>
      <c r="N87" s="20">
        <f>IF(AND(ISNUMBER($T87),$T87&lt;&gt;""),IF(INDEX(IlumaCalc!$AF$3:$AF$122,$T87)="","—",INDEX(IlumaCalc!$AF$3:$AF$122,$T87)),"")</f>
        <v/>
      </c>
      <c r="O87" s="20">
        <f>IF(AND(ISNUMBER($T87),$T87&lt;&gt;""),IF(INDEX(IlumaCalc!$AG$3:$AG$122,$T87)="","—",INDEX(IlumaCalc!$AG$3:$AG$122,$T87)),"")</f>
        <v/>
      </c>
      <c r="P87" s="21">
        <f>IF(AND(ISNUMBER($T87),$T87&lt;&gt;""),IF(INDEX(IlumaCalc!$AJ$3:$AJ$122,$T87)="","—",INDEX(IlumaCalc!$AJ$3:$AJ$122,$T87)),"")</f>
        <v/>
      </c>
      <c r="Q87" s="21">
        <f>IF(AND(ISNUMBER($T87),$T87&lt;&gt;""),IF(INDEX(IlumaCalc!$AK$3:$AK$122,$T87)="","—",INDEX(IlumaCalc!$AK$3:$AK$122,$T87)),"")</f>
        <v/>
      </c>
      <c r="R87" s="20">
        <f>IF(AND(ISNUMBER($T87),$T87&lt;&gt;""),IF(INDEX(IlumaCalc!$AL$3:$AL$122,$T87)="","—",INDEX(IlumaCalc!$AL$3:$AL$122,$T87)),"")</f>
        <v/>
      </c>
      <c r="T87">
        <f>IFERROR(MATCH(83,IlumaCalc!$AN$3:$AN$122,0),"")</f>
        <v/>
      </c>
    </row>
    <row r="88">
      <c r="A88" s="14">
        <f>IF(AND(ISNUMBER($T88),$T88&lt;&gt;""),INDEX(IlumaCalc!$S$3:$S$122,$T88),"")</f>
        <v/>
      </c>
      <c r="B88" s="15">
        <f>IF(AND(ISNUMBER($T88),$T88&lt;&gt;""),IF(INDEX(IlumaCalc!$T$3:$T$122,$T88)="","—",INDEX(IlumaCalc!$T$3:$T$122,$T88)),"")</f>
        <v/>
      </c>
      <c r="C88" s="15">
        <f>IF(AND(ISNUMBER($T88),$T88&lt;&gt;""),IF(INDEX(IlumaCalc!$U$3:$U$122,$T88)="","—",INDEX(IlumaCalc!$U$3:$U$122,$T88)),"")</f>
        <v/>
      </c>
      <c r="D88" s="15">
        <f>IF(AND(ISNUMBER($T88),$T88&lt;&gt;""),IF(INDEX(IlumaCalc!$V$3:$V$122,$T88)="","—",INDEX(IlumaCalc!$V$3:$V$122,$T88)),"")</f>
        <v/>
      </c>
      <c r="E88" s="15">
        <f>IF(AND(ISNUMBER($T88),$T88&lt;&gt;""),IF(INDEX(IlumaCalc!$W$3:$W$122,$T88)="","—",INDEX(IlumaCalc!$W$3:$W$122,$T88)),"")</f>
        <v/>
      </c>
      <c r="F88" s="15">
        <f>IF(AND(ISNUMBER($T88),$T88&lt;&gt;""),IF(INDEX(IlumaCalc!$X$3:$X$122,$T88)="","—",INDEX(IlumaCalc!$X$3:$X$122,$T88)),"")</f>
        <v/>
      </c>
      <c r="G88" s="15">
        <f>IF(AND(ISNUMBER($T88),$T88&lt;&gt;""),IF(INDEX(IlumaCalc!$Y$3:$Y$122,$T88)="","—",INDEX(IlumaCalc!$Y$3:$Y$122,$T88)),"")</f>
        <v/>
      </c>
      <c r="H88" s="15">
        <f>IF(AND(ISNUMBER($T88),$T88&lt;&gt;""),IF(INDEX(IlumaCalc!$Z$3:$Z$122,$T88)="","—",INDEX(IlumaCalc!$Z$3:$Z$122,$T88)),"")</f>
        <v/>
      </c>
      <c r="I88" s="15">
        <f>IF(AND(ISNUMBER($T88),$T88&lt;&gt;""),IF(INDEX(IlumaCalc!$AA$3:$AA$122,$T88)="","—",INDEX(IlumaCalc!$AA$3:$AA$122,$T88)),"")</f>
        <v/>
      </c>
      <c r="J88" s="15">
        <f>IF(AND(ISNUMBER($T88),$T88&lt;&gt;""),IF(INDEX(IlumaCalc!$AB$3:$AB$122,$T88)="","—",INDEX(IlumaCalc!$AB$3:$AB$122,$T88)),"")</f>
        <v/>
      </c>
      <c r="K88" s="15">
        <f>IF(AND(ISNUMBER($T88),$T88&lt;&gt;""),IF(INDEX(IlumaCalc!$AC$3:$AC$122,$T88)="","—",INDEX(IlumaCalc!$AC$3:$AC$122,$T88)),"")</f>
        <v/>
      </c>
      <c r="L88" s="15">
        <f>IF(AND(ISNUMBER($T88),$T88&lt;&gt;""),IF(INDEX(IlumaCalc!$AD$3:$AD$122,$T88)="","—",INDEX(IlumaCalc!$AD$3:$AD$122,$T88)),"")</f>
        <v/>
      </c>
      <c r="M88" s="15">
        <f>IF(AND(ISNUMBER($T88),$T88&lt;&gt;""),IF(INDEX(IlumaCalc!$AE$3:$AE$122,$T88)="","—",INDEX(IlumaCalc!$AE$3:$AE$122,$T88)),"")</f>
        <v/>
      </c>
      <c r="N88" s="15">
        <f>IF(AND(ISNUMBER($T88),$T88&lt;&gt;""),IF(INDEX(IlumaCalc!$AF$3:$AF$122,$T88)="","—",INDEX(IlumaCalc!$AF$3:$AF$122,$T88)),"")</f>
        <v/>
      </c>
      <c r="O88" s="15">
        <f>IF(AND(ISNUMBER($T88),$T88&lt;&gt;""),IF(INDEX(IlumaCalc!$AG$3:$AG$122,$T88)="","—",INDEX(IlumaCalc!$AG$3:$AG$122,$T88)),"")</f>
        <v/>
      </c>
      <c r="P88" s="16">
        <f>IF(AND(ISNUMBER($T88),$T88&lt;&gt;""),IF(INDEX(IlumaCalc!$AJ$3:$AJ$122,$T88)="","—",INDEX(IlumaCalc!$AJ$3:$AJ$122,$T88)),"")</f>
        <v/>
      </c>
      <c r="Q88" s="16">
        <f>IF(AND(ISNUMBER($T88),$T88&lt;&gt;""),IF(INDEX(IlumaCalc!$AK$3:$AK$122,$T88)="","—",INDEX(IlumaCalc!$AK$3:$AK$122,$T88)),"")</f>
        <v/>
      </c>
      <c r="R88" s="15">
        <f>IF(AND(ISNUMBER($T88),$T88&lt;&gt;""),IF(INDEX(IlumaCalc!$AL$3:$AL$122,$T88)="","—",INDEX(IlumaCalc!$AL$3:$AL$122,$T88)),"")</f>
        <v/>
      </c>
      <c r="T88">
        <f>IFERROR(MATCH(84,IlumaCalc!$AN$3:$AN$122,0),"")</f>
        <v/>
      </c>
    </row>
    <row r="89">
      <c r="A89" s="19">
        <f>IF(AND(ISNUMBER($T89),$T89&lt;&gt;""),INDEX(IlumaCalc!$S$3:$S$122,$T89),"")</f>
        <v/>
      </c>
      <c r="B89" s="20">
        <f>IF(AND(ISNUMBER($T89),$T89&lt;&gt;""),IF(INDEX(IlumaCalc!$T$3:$T$122,$T89)="","—",INDEX(IlumaCalc!$T$3:$T$122,$T89)),"")</f>
        <v/>
      </c>
      <c r="C89" s="20">
        <f>IF(AND(ISNUMBER($T89),$T89&lt;&gt;""),IF(INDEX(IlumaCalc!$U$3:$U$122,$T89)="","—",INDEX(IlumaCalc!$U$3:$U$122,$T89)),"")</f>
        <v/>
      </c>
      <c r="D89" s="20">
        <f>IF(AND(ISNUMBER($T89),$T89&lt;&gt;""),IF(INDEX(IlumaCalc!$V$3:$V$122,$T89)="","—",INDEX(IlumaCalc!$V$3:$V$122,$T89)),"")</f>
        <v/>
      </c>
      <c r="E89" s="20">
        <f>IF(AND(ISNUMBER($T89),$T89&lt;&gt;""),IF(INDEX(IlumaCalc!$W$3:$W$122,$T89)="","—",INDEX(IlumaCalc!$W$3:$W$122,$T89)),"")</f>
        <v/>
      </c>
      <c r="F89" s="20">
        <f>IF(AND(ISNUMBER($T89),$T89&lt;&gt;""),IF(INDEX(IlumaCalc!$X$3:$X$122,$T89)="","—",INDEX(IlumaCalc!$X$3:$X$122,$T89)),"")</f>
        <v/>
      </c>
      <c r="G89" s="20">
        <f>IF(AND(ISNUMBER($T89),$T89&lt;&gt;""),IF(INDEX(IlumaCalc!$Y$3:$Y$122,$T89)="","—",INDEX(IlumaCalc!$Y$3:$Y$122,$T89)),"")</f>
        <v/>
      </c>
      <c r="H89" s="20">
        <f>IF(AND(ISNUMBER($T89),$T89&lt;&gt;""),IF(INDEX(IlumaCalc!$Z$3:$Z$122,$T89)="","—",INDEX(IlumaCalc!$Z$3:$Z$122,$T89)),"")</f>
        <v/>
      </c>
      <c r="I89" s="20">
        <f>IF(AND(ISNUMBER($T89),$T89&lt;&gt;""),IF(INDEX(IlumaCalc!$AA$3:$AA$122,$T89)="","—",INDEX(IlumaCalc!$AA$3:$AA$122,$T89)),"")</f>
        <v/>
      </c>
      <c r="J89" s="20">
        <f>IF(AND(ISNUMBER($T89),$T89&lt;&gt;""),IF(INDEX(IlumaCalc!$AB$3:$AB$122,$T89)="","—",INDEX(IlumaCalc!$AB$3:$AB$122,$T89)),"")</f>
        <v/>
      </c>
      <c r="K89" s="20">
        <f>IF(AND(ISNUMBER($T89),$T89&lt;&gt;""),IF(INDEX(IlumaCalc!$AC$3:$AC$122,$T89)="","—",INDEX(IlumaCalc!$AC$3:$AC$122,$T89)),"")</f>
        <v/>
      </c>
      <c r="L89" s="20">
        <f>IF(AND(ISNUMBER($T89),$T89&lt;&gt;""),IF(INDEX(IlumaCalc!$AD$3:$AD$122,$T89)="","—",INDEX(IlumaCalc!$AD$3:$AD$122,$T89)),"")</f>
        <v/>
      </c>
      <c r="M89" s="20">
        <f>IF(AND(ISNUMBER($T89),$T89&lt;&gt;""),IF(INDEX(IlumaCalc!$AE$3:$AE$122,$T89)="","—",INDEX(IlumaCalc!$AE$3:$AE$122,$T89)),"")</f>
        <v/>
      </c>
      <c r="N89" s="20">
        <f>IF(AND(ISNUMBER($T89),$T89&lt;&gt;""),IF(INDEX(IlumaCalc!$AF$3:$AF$122,$T89)="","—",INDEX(IlumaCalc!$AF$3:$AF$122,$T89)),"")</f>
        <v/>
      </c>
      <c r="O89" s="20">
        <f>IF(AND(ISNUMBER($T89),$T89&lt;&gt;""),IF(INDEX(IlumaCalc!$AG$3:$AG$122,$T89)="","—",INDEX(IlumaCalc!$AG$3:$AG$122,$T89)),"")</f>
        <v/>
      </c>
      <c r="P89" s="21">
        <f>IF(AND(ISNUMBER($T89),$T89&lt;&gt;""),IF(INDEX(IlumaCalc!$AJ$3:$AJ$122,$T89)="","—",INDEX(IlumaCalc!$AJ$3:$AJ$122,$T89)),"")</f>
        <v/>
      </c>
      <c r="Q89" s="21">
        <f>IF(AND(ISNUMBER($T89),$T89&lt;&gt;""),IF(INDEX(IlumaCalc!$AK$3:$AK$122,$T89)="","—",INDEX(IlumaCalc!$AK$3:$AK$122,$T89)),"")</f>
        <v/>
      </c>
      <c r="R89" s="20">
        <f>IF(AND(ISNUMBER($T89),$T89&lt;&gt;""),IF(INDEX(IlumaCalc!$AL$3:$AL$122,$T89)="","—",INDEX(IlumaCalc!$AL$3:$AL$122,$T89)),"")</f>
        <v/>
      </c>
      <c r="T89">
        <f>IFERROR(MATCH(85,IlumaCalc!$AN$3:$AN$122,0),"")</f>
        <v/>
      </c>
    </row>
    <row r="90">
      <c r="A90" s="14">
        <f>IF(AND(ISNUMBER($T90),$T90&lt;&gt;""),INDEX(IlumaCalc!$S$3:$S$122,$T90),"")</f>
        <v/>
      </c>
      <c r="B90" s="15">
        <f>IF(AND(ISNUMBER($T90),$T90&lt;&gt;""),IF(INDEX(IlumaCalc!$T$3:$T$122,$T90)="","—",INDEX(IlumaCalc!$T$3:$T$122,$T90)),"")</f>
        <v/>
      </c>
      <c r="C90" s="15">
        <f>IF(AND(ISNUMBER($T90),$T90&lt;&gt;""),IF(INDEX(IlumaCalc!$U$3:$U$122,$T90)="","—",INDEX(IlumaCalc!$U$3:$U$122,$T90)),"")</f>
        <v/>
      </c>
      <c r="D90" s="15">
        <f>IF(AND(ISNUMBER($T90),$T90&lt;&gt;""),IF(INDEX(IlumaCalc!$V$3:$V$122,$T90)="","—",INDEX(IlumaCalc!$V$3:$V$122,$T90)),"")</f>
        <v/>
      </c>
      <c r="E90" s="15">
        <f>IF(AND(ISNUMBER($T90),$T90&lt;&gt;""),IF(INDEX(IlumaCalc!$W$3:$W$122,$T90)="","—",INDEX(IlumaCalc!$W$3:$W$122,$T90)),"")</f>
        <v/>
      </c>
      <c r="F90" s="15">
        <f>IF(AND(ISNUMBER($T90),$T90&lt;&gt;""),IF(INDEX(IlumaCalc!$X$3:$X$122,$T90)="","—",INDEX(IlumaCalc!$X$3:$X$122,$T90)),"")</f>
        <v/>
      </c>
      <c r="G90" s="15">
        <f>IF(AND(ISNUMBER($T90),$T90&lt;&gt;""),IF(INDEX(IlumaCalc!$Y$3:$Y$122,$T90)="","—",INDEX(IlumaCalc!$Y$3:$Y$122,$T90)),"")</f>
        <v/>
      </c>
      <c r="H90" s="15">
        <f>IF(AND(ISNUMBER($T90),$T90&lt;&gt;""),IF(INDEX(IlumaCalc!$Z$3:$Z$122,$T90)="","—",INDEX(IlumaCalc!$Z$3:$Z$122,$T90)),"")</f>
        <v/>
      </c>
      <c r="I90" s="15">
        <f>IF(AND(ISNUMBER($T90),$T90&lt;&gt;""),IF(INDEX(IlumaCalc!$AA$3:$AA$122,$T90)="","—",INDEX(IlumaCalc!$AA$3:$AA$122,$T90)),"")</f>
        <v/>
      </c>
      <c r="J90" s="15">
        <f>IF(AND(ISNUMBER($T90),$T90&lt;&gt;""),IF(INDEX(IlumaCalc!$AB$3:$AB$122,$T90)="","—",INDEX(IlumaCalc!$AB$3:$AB$122,$T90)),"")</f>
        <v/>
      </c>
      <c r="K90" s="15">
        <f>IF(AND(ISNUMBER($T90),$T90&lt;&gt;""),IF(INDEX(IlumaCalc!$AC$3:$AC$122,$T90)="","—",INDEX(IlumaCalc!$AC$3:$AC$122,$T90)),"")</f>
        <v/>
      </c>
      <c r="L90" s="15">
        <f>IF(AND(ISNUMBER($T90),$T90&lt;&gt;""),IF(INDEX(IlumaCalc!$AD$3:$AD$122,$T90)="","—",INDEX(IlumaCalc!$AD$3:$AD$122,$T90)),"")</f>
        <v/>
      </c>
      <c r="M90" s="15">
        <f>IF(AND(ISNUMBER($T90),$T90&lt;&gt;""),IF(INDEX(IlumaCalc!$AE$3:$AE$122,$T90)="","—",INDEX(IlumaCalc!$AE$3:$AE$122,$T90)),"")</f>
        <v/>
      </c>
      <c r="N90" s="15">
        <f>IF(AND(ISNUMBER($T90),$T90&lt;&gt;""),IF(INDEX(IlumaCalc!$AF$3:$AF$122,$T90)="","—",INDEX(IlumaCalc!$AF$3:$AF$122,$T90)),"")</f>
        <v/>
      </c>
      <c r="O90" s="15">
        <f>IF(AND(ISNUMBER($T90),$T90&lt;&gt;""),IF(INDEX(IlumaCalc!$AG$3:$AG$122,$T90)="","—",INDEX(IlumaCalc!$AG$3:$AG$122,$T90)),"")</f>
        <v/>
      </c>
      <c r="P90" s="16">
        <f>IF(AND(ISNUMBER($T90),$T90&lt;&gt;""),IF(INDEX(IlumaCalc!$AJ$3:$AJ$122,$T90)="","—",INDEX(IlumaCalc!$AJ$3:$AJ$122,$T90)),"")</f>
        <v/>
      </c>
      <c r="Q90" s="16">
        <f>IF(AND(ISNUMBER($T90),$T90&lt;&gt;""),IF(INDEX(IlumaCalc!$AK$3:$AK$122,$T90)="","—",INDEX(IlumaCalc!$AK$3:$AK$122,$T90)),"")</f>
        <v/>
      </c>
      <c r="R90" s="15">
        <f>IF(AND(ISNUMBER($T90),$T90&lt;&gt;""),IF(INDEX(IlumaCalc!$AL$3:$AL$122,$T90)="","—",INDEX(IlumaCalc!$AL$3:$AL$122,$T90)),"")</f>
        <v/>
      </c>
      <c r="T90">
        <f>IFERROR(MATCH(86,IlumaCalc!$AN$3:$AN$122,0),"")</f>
        <v/>
      </c>
    </row>
    <row r="91">
      <c r="A91" s="19">
        <f>IF(AND(ISNUMBER($T91),$T91&lt;&gt;""),INDEX(IlumaCalc!$S$3:$S$122,$T91),"")</f>
        <v/>
      </c>
      <c r="B91" s="20">
        <f>IF(AND(ISNUMBER($T91),$T91&lt;&gt;""),IF(INDEX(IlumaCalc!$T$3:$T$122,$T91)="","—",INDEX(IlumaCalc!$T$3:$T$122,$T91)),"")</f>
        <v/>
      </c>
      <c r="C91" s="20">
        <f>IF(AND(ISNUMBER($T91),$T91&lt;&gt;""),IF(INDEX(IlumaCalc!$U$3:$U$122,$T91)="","—",INDEX(IlumaCalc!$U$3:$U$122,$T91)),"")</f>
        <v/>
      </c>
      <c r="D91" s="20">
        <f>IF(AND(ISNUMBER($T91),$T91&lt;&gt;""),IF(INDEX(IlumaCalc!$V$3:$V$122,$T91)="","—",INDEX(IlumaCalc!$V$3:$V$122,$T91)),"")</f>
        <v/>
      </c>
      <c r="E91" s="20">
        <f>IF(AND(ISNUMBER($T91),$T91&lt;&gt;""),IF(INDEX(IlumaCalc!$W$3:$W$122,$T91)="","—",INDEX(IlumaCalc!$W$3:$W$122,$T91)),"")</f>
        <v/>
      </c>
      <c r="F91" s="20">
        <f>IF(AND(ISNUMBER($T91),$T91&lt;&gt;""),IF(INDEX(IlumaCalc!$X$3:$X$122,$T91)="","—",INDEX(IlumaCalc!$X$3:$X$122,$T91)),"")</f>
        <v/>
      </c>
      <c r="G91" s="20">
        <f>IF(AND(ISNUMBER($T91),$T91&lt;&gt;""),IF(INDEX(IlumaCalc!$Y$3:$Y$122,$T91)="","—",INDEX(IlumaCalc!$Y$3:$Y$122,$T91)),"")</f>
        <v/>
      </c>
      <c r="H91" s="20">
        <f>IF(AND(ISNUMBER($T91),$T91&lt;&gt;""),IF(INDEX(IlumaCalc!$Z$3:$Z$122,$T91)="","—",INDEX(IlumaCalc!$Z$3:$Z$122,$T91)),"")</f>
        <v/>
      </c>
      <c r="I91" s="20">
        <f>IF(AND(ISNUMBER($T91),$T91&lt;&gt;""),IF(INDEX(IlumaCalc!$AA$3:$AA$122,$T91)="","—",INDEX(IlumaCalc!$AA$3:$AA$122,$T91)),"")</f>
        <v/>
      </c>
      <c r="J91" s="20">
        <f>IF(AND(ISNUMBER($T91),$T91&lt;&gt;""),IF(INDEX(IlumaCalc!$AB$3:$AB$122,$T91)="","—",INDEX(IlumaCalc!$AB$3:$AB$122,$T91)),"")</f>
        <v/>
      </c>
      <c r="K91" s="20">
        <f>IF(AND(ISNUMBER($T91),$T91&lt;&gt;""),IF(INDEX(IlumaCalc!$AC$3:$AC$122,$T91)="","—",INDEX(IlumaCalc!$AC$3:$AC$122,$T91)),"")</f>
        <v/>
      </c>
      <c r="L91" s="20">
        <f>IF(AND(ISNUMBER($T91),$T91&lt;&gt;""),IF(INDEX(IlumaCalc!$AD$3:$AD$122,$T91)="","—",INDEX(IlumaCalc!$AD$3:$AD$122,$T91)),"")</f>
        <v/>
      </c>
      <c r="M91" s="20">
        <f>IF(AND(ISNUMBER($T91),$T91&lt;&gt;""),IF(INDEX(IlumaCalc!$AE$3:$AE$122,$T91)="","—",INDEX(IlumaCalc!$AE$3:$AE$122,$T91)),"")</f>
        <v/>
      </c>
      <c r="N91" s="20">
        <f>IF(AND(ISNUMBER($T91),$T91&lt;&gt;""),IF(INDEX(IlumaCalc!$AF$3:$AF$122,$T91)="","—",INDEX(IlumaCalc!$AF$3:$AF$122,$T91)),"")</f>
        <v/>
      </c>
      <c r="O91" s="20">
        <f>IF(AND(ISNUMBER($T91),$T91&lt;&gt;""),IF(INDEX(IlumaCalc!$AG$3:$AG$122,$T91)="","—",INDEX(IlumaCalc!$AG$3:$AG$122,$T91)),"")</f>
        <v/>
      </c>
      <c r="P91" s="21">
        <f>IF(AND(ISNUMBER($T91),$T91&lt;&gt;""),IF(INDEX(IlumaCalc!$AJ$3:$AJ$122,$T91)="","—",INDEX(IlumaCalc!$AJ$3:$AJ$122,$T91)),"")</f>
        <v/>
      </c>
      <c r="Q91" s="21">
        <f>IF(AND(ISNUMBER($T91),$T91&lt;&gt;""),IF(INDEX(IlumaCalc!$AK$3:$AK$122,$T91)="","—",INDEX(IlumaCalc!$AK$3:$AK$122,$T91)),"")</f>
        <v/>
      </c>
      <c r="R91" s="20">
        <f>IF(AND(ISNUMBER($T91),$T91&lt;&gt;""),IF(INDEX(IlumaCalc!$AL$3:$AL$122,$T91)="","—",INDEX(IlumaCalc!$AL$3:$AL$122,$T91)),"")</f>
        <v/>
      </c>
      <c r="T91">
        <f>IFERROR(MATCH(87,IlumaCalc!$AN$3:$AN$122,0),"")</f>
        <v/>
      </c>
    </row>
    <row r="92">
      <c r="A92" s="14">
        <f>IF(AND(ISNUMBER($T92),$T92&lt;&gt;""),INDEX(IlumaCalc!$S$3:$S$122,$T92),"")</f>
        <v/>
      </c>
      <c r="B92" s="15">
        <f>IF(AND(ISNUMBER($T92),$T92&lt;&gt;""),IF(INDEX(IlumaCalc!$T$3:$T$122,$T92)="","—",INDEX(IlumaCalc!$T$3:$T$122,$T92)),"")</f>
        <v/>
      </c>
      <c r="C92" s="15">
        <f>IF(AND(ISNUMBER($T92),$T92&lt;&gt;""),IF(INDEX(IlumaCalc!$U$3:$U$122,$T92)="","—",INDEX(IlumaCalc!$U$3:$U$122,$T92)),"")</f>
        <v/>
      </c>
      <c r="D92" s="15">
        <f>IF(AND(ISNUMBER($T92),$T92&lt;&gt;""),IF(INDEX(IlumaCalc!$V$3:$V$122,$T92)="","—",INDEX(IlumaCalc!$V$3:$V$122,$T92)),"")</f>
        <v/>
      </c>
      <c r="E92" s="15">
        <f>IF(AND(ISNUMBER($T92),$T92&lt;&gt;""),IF(INDEX(IlumaCalc!$W$3:$W$122,$T92)="","—",INDEX(IlumaCalc!$W$3:$W$122,$T92)),"")</f>
        <v/>
      </c>
      <c r="F92" s="15">
        <f>IF(AND(ISNUMBER($T92),$T92&lt;&gt;""),IF(INDEX(IlumaCalc!$X$3:$X$122,$T92)="","—",INDEX(IlumaCalc!$X$3:$X$122,$T92)),"")</f>
        <v/>
      </c>
      <c r="G92" s="15">
        <f>IF(AND(ISNUMBER($T92),$T92&lt;&gt;""),IF(INDEX(IlumaCalc!$Y$3:$Y$122,$T92)="","—",INDEX(IlumaCalc!$Y$3:$Y$122,$T92)),"")</f>
        <v/>
      </c>
      <c r="H92" s="15">
        <f>IF(AND(ISNUMBER($T92),$T92&lt;&gt;""),IF(INDEX(IlumaCalc!$Z$3:$Z$122,$T92)="","—",INDEX(IlumaCalc!$Z$3:$Z$122,$T92)),"")</f>
        <v/>
      </c>
      <c r="I92" s="15">
        <f>IF(AND(ISNUMBER($T92),$T92&lt;&gt;""),IF(INDEX(IlumaCalc!$AA$3:$AA$122,$T92)="","—",INDEX(IlumaCalc!$AA$3:$AA$122,$T92)),"")</f>
        <v/>
      </c>
      <c r="J92" s="15">
        <f>IF(AND(ISNUMBER($T92),$T92&lt;&gt;""),IF(INDEX(IlumaCalc!$AB$3:$AB$122,$T92)="","—",INDEX(IlumaCalc!$AB$3:$AB$122,$T92)),"")</f>
        <v/>
      </c>
      <c r="K92" s="15">
        <f>IF(AND(ISNUMBER($T92),$T92&lt;&gt;""),IF(INDEX(IlumaCalc!$AC$3:$AC$122,$T92)="","—",INDEX(IlumaCalc!$AC$3:$AC$122,$T92)),"")</f>
        <v/>
      </c>
      <c r="L92" s="15">
        <f>IF(AND(ISNUMBER($T92),$T92&lt;&gt;""),IF(INDEX(IlumaCalc!$AD$3:$AD$122,$T92)="","—",INDEX(IlumaCalc!$AD$3:$AD$122,$T92)),"")</f>
        <v/>
      </c>
      <c r="M92" s="15">
        <f>IF(AND(ISNUMBER($T92),$T92&lt;&gt;""),IF(INDEX(IlumaCalc!$AE$3:$AE$122,$T92)="","—",INDEX(IlumaCalc!$AE$3:$AE$122,$T92)),"")</f>
        <v/>
      </c>
      <c r="N92" s="15">
        <f>IF(AND(ISNUMBER($T92),$T92&lt;&gt;""),IF(INDEX(IlumaCalc!$AF$3:$AF$122,$T92)="","—",INDEX(IlumaCalc!$AF$3:$AF$122,$T92)),"")</f>
        <v/>
      </c>
      <c r="O92" s="15">
        <f>IF(AND(ISNUMBER($T92),$T92&lt;&gt;""),IF(INDEX(IlumaCalc!$AG$3:$AG$122,$T92)="","—",INDEX(IlumaCalc!$AG$3:$AG$122,$T92)),"")</f>
        <v/>
      </c>
      <c r="P92" s="16">
        <f>IF(AND(ISNUMBER($T92),$T92&lt;&gt;""),IF(INDEX(IlumaCalc!$AJ$3:$AJ$122,$T92)="","—",INDEX(IlumaCalc!$AJ$3:$AJ$122,$T92)),"")</f>
        <v/>
      </c>
      <c r="Q92" s="16">
        <f>IF(AND(ISNUMBER($T92),$T92&lt;&gt;""),IF(INDEX(IlumaCalc!$AK$3:$AK$122,$T92)="","—",INDEX(IlumaCalc!$AK$3:$AK$122,$T92)),"")</f>
        <v/>
      </c>
      <c r="R92" s="15">
        <f>IF(AND(ISNUMBER($T92),$T92&lt;&gt;""),IF(INDEX(IlumaCalc!$AL$3:$AL$122,$T92)="","—",INDEX(IlumaCalc!$AL$3:$AL$122,$T92)),"")</f>
        <v/>
      </c>
      <c r="T92">
        <f>IFERROR(MATCH(88,IlumaCalc!$AN$3:$AN$122,0),"")</f>
        <v/>
      </c>
    </row>
    <row r="93">
      <c r="A93" s="19">
        <f>IF(AND(ISNUMBER($T93),$T93&lt;&gt;""),INDEX(IlumaCalc!$S$3:$S$122,$T93),"")</f>
        <v/>
      </c>
      <c r="B93" s="20">
        <f>IF(AND(ISNUMBER($T93),$T93&lt;&gt;""),IF(INDEX(IlumaCalc!$T$3:$T$122,$T93)="","—",INDEX(IlumaCalc!$T$3:$T$122,$T93)),"")</f>
        <v/>
      </c>
      <c r="C93" s="20">
        <f>IF(AND(ISNUMBER($T93),$T93&lt;&gt;""),IF(INDEX(IlumaCalc!$U$3:$U$122,$T93)="","—",INDEX(IlumaCalc!$U$3:$U$122,$T93)),"")</f>
        <v/>
      </c>
      <c r="D93" s="20">
        <f>IF(AND(ISNUMBER($T93),$T93&lt;&gt;""),IF(INDEX(IlumaCalc!$V$3:$V$122,$T93)="","—",INDEX(IlumaCalc!$V$3:$V$122,$T93)),"")</f>
        <v/>
      </c>
      <c r="E93" s="20">
        <f>IF(AND(ISNUMBER($T93),$T93&lt;&gt;""),IF(INDEX(IlumaCalc!$W$3:$W$122,$T93)="","—",INDEX(IlumaCalc!$W$3:$W$122,$T93)),"")</f>
        <v/>
      </c>
      <c r="F93" s="20">
        <f>IF(AND(ISNUMBER($T93),$T93&lt;&gt;""),IF(INDEX(IlumaCalc!$X$3:$X$122,$T93)="","—",INDEX(IlumaCalc!$X$3:$X$122,$T93)),"")</f>
        <v/>
      </c>
      <c r="G93" s="20">
        <f>IF(AND(ISNUMBER($T93),$T93&lt;&gt;""),IF(INDEX(IlumaCalc!$Y$3:$Y$122,$T93)="","—",INDEX(IlumaCalc!$Y$3:$Y$122,$T93)),"")</f>
        <v/>
      </c>
      <c r="H93" s="20">
        <f>IF(AND(ISNUMBER($T93),$T93&lt;&gt;""),IF(INDEX(IlumaCalc!$Z$3:$Z$122,$T93)="","—",INDEX(IlumaCalc!$Z$3:$Z$122,$T93)),"")</f>
        <v/>
      </c>
      <c r="I93" s="20">
        <f>IF(AND(ISNUMBER($T93),$T93&lt;&gt;""),IF(INDEX(IlumaCalc!$AA$3:$AA$122,$T93)="","—",INDEX(IlumaCalc!$AA$3:$AA$122,$T93)),"")</f>
        <v/>
      </c>
      <c r="J93" s="20">
        <f>IF(AND(ISNUMBER($T93),$T93&lt;&gt;""),IF(INDEX(IlumaCalc!$AB$3:$AB$122,$T93)="","—",INDEX(IlumaCalc!$AB$3:$AB$122,$T93)),"")</f>
        <v/>
      </c>
      <c r="K93" s="20">
        <f>IF(AND(ISNUMBER($T93),$T93&lt;&gt;""),IF(INDEX(IlumaCalc!$AC$3:$AC$122,$T93)="","—",INDEX(IlumaCalc!$AC$3:$AC$122,$T93)),"")</f>
        <v/>
      </c>
      <c r="L93" s="20">
        <f>IF(AND(ISNUMBER($T93),$T93&lt;&gt;""),IF(INDEX(IlumaCalc!$AD$3:$AD$122,$T93)="","—",INDEX(IlumaCalc!$AD$3:$AD$122,$T93)),"")</f>
        <v/>
      </c>
      <c r="M93" s="20">
        <f>IF(AND(ISNUMBER($T93),$T93&lt;&gt;""),IF(INDEX(IlumaCalc!$AE$3:$AE$122,$T93)="","—",INDEX(IlumaCalc!$AE$3:$AE$122,$T93)),"")</f>
        <v/>
      </c>
      <c r="N93" s="20">
        <f>IF(AND(ISNUMBER($T93),$T93&lt;&gt;""),IF(INDEX(IlumaCalc!$AF$3:$AF$122,$T93)="","—",INDEX(IlumaCalc!$AF$3:$AF$122,$T93)),"")</f>
        <v/>
      </c>
      <c r="O93" s="20">
        <f>IF(AND(ISNUMBER($T93),$T93&lt;&gt;""),IF(INDEX(IlumaCalc!$AG$3:$AG$122,$T93)="","—",INDEX(IlumaCalc!$AG$3:$AG$122,$T93)),"")</f>
        <v/>
      </c>
      <c r="P93" s="21">
        <f>IF(AND(ISNUMBER($T93),$T93&lt;&gt;""),IF(INDEX(IlumaCalc!$AJ$3:$AJ$122,$T93)="","—",INDEX(IlumaCalc!$AJ$3:$AJ$122,$T93)),"")</f>
        <v/>
      </c>
      <c r="Q93" s="21">
        <f>IF(AND(ISNUMBER($T93),$T93&lt;&gt;""),IF(INDEX(IlumaCalc!$AK$3:$AK$122,$T93)="","—",INDEX(IlumaCalc!$AK$3:$AK$122,$T93)),"")</f>
        <v/>
      </c>
      <c r="R93" s="20">
        <f>IF(AND(ISNUMBER($T93),$T93&lt;&gt;""),IF(INDEX(IlumaCalc!$AL$3:$AL$122,$T93)="","—",INDEX(IlumaCalc!$AL$3:$AL$122,$T93)),"")</f>
        <v/>
      </c>
      <c r="T93">
        <f>IFERROR(MATCH(89,IlumaCalc!$AN$3:$AN$122,0),"")</f>
        <v/>
      </c>
    </row>
    <row r="94">
      <c r="A94" s="14">
        <f>IF(AND(ISNUMBER($T94),$T94&lt;&gt;""),INDEX(IlumaCalc!$S$3:$S$122,$T94),"")</f>
        <v/>
      </c>
      <c r="B94" s="15">
        <f>IF(AND(ISNUMBER($T94),$T94&lt;&gt;""),IF(INDEX(IlumaCalc!$T$3:$T$122,$T94)="","—",INDEX(IlumaCalc!$T$3:$T$122,$T94)),"")</f>
        <v/>
      </c>
      <c r="C94" s="15">
        <f>IF(AND(ISNUMBER($T94),$T94&lt;&gt;""),IF(INDEX(IlumaCalc!$U$3:$U$122,$T94)="","—",INDEX(IlumaCalc!$U$3:$U$122,$T94)),"")</f>
        <v/>
      </c>
      <c r="D94" s="15">
        <f>IF(AND(ISNUMBER($T94),$T94&lt;&gt;""),IF(INDEX(IlumaCalc!$V$3:$V$122,$T94)="","—",INDEX(IlumaCalc!$V$3:$V$122,$T94)),"")</f>
        <v/>
      </c>
      <c r="E94" s="15">
        <f>IF(AND(ISNUMBER($T94),$T94&lt;&gt;""),IF(INDEX(IlumaCalc!$W$3:$W$122,$T94)="","—",INDEX(IlumaCalc!$W$3:$W$122,$T94)),"")</f>
        <v/>
      </c>
      <c r="F94" s="15">
        <f>IF(AND(ISNUMBER($T94),$T94&lt;&gt;""),IF(INDEX(IlumaCalc!$X$3:$X$122,$T94)="","—",INDEX(IlumaCalc!$X$3:$X$122,$T94)),"")</f>
        <v/>
      </c>
      <c r="G94" s="15">
        <f>IF(AND(ISNUMBER($T94),$T94&lt;&gt;""),IF(INDEX(IlumaCalc!$Y$3:$Y$122,$T94)="","—",INDEX(IlumaCalc!$Y$3:$Y$122,$T94)),"")</f>
        <v/>
      </c>
      <c r="H94" s="15">
        <f>IF(AND(ISNUMBER($T94),$T94&lt;&gt;""),IF(INDEX(IlumaCalc!$Z$3:$Z$122,$T94)="","—",INDEX(IlumaCalc!$Z$3:$Z$122,$T94)),"")</f>
        <v/>
      </c>
      <c r="I94" s="15">
        <f>IF(AND(ISNUMBER($T94),$T94&lt;&gt;""),IF(INDEX(IlumaCalc!$AA$3:$AA$122,$T94)="","—",INDEX(IlumaCalc!$AA$3:$AA$122,$T94)),"")</f>
        <v/>
      </c>
      <c r="J94" s="15">
        <f>IF(AND(ISNUMBER($T94),$T94&lt;&gt;""),IF(INDEX(IlumaCalc!$AB$3:$AB$122,$T94)="","—",INDEX(IlumaCalc!$AB$3:$AB$122,$T94)),"")</f>
        <v/>
      </c>
      <c r="K94" s="15">
        <f>IF(AND(ISNUMBER($T94),$T94&lt;&gt;""),IF(INDEX(IlumaCalc!$AC$3:$AC$122,$T94)="","—",INDEX(IlumaCalc!$AC$3:$AC$122,$T94)),"")</f>
        <v/>
      </c>
      <c r="L94" s="15">
        <f>IF(AND(ISNUMBER($T94),$T94&lt;&gt;""),IF(INDEX(IlumaCalc!$AD$3:$AD$122,$T94)="","—",INDEX(IlumaCalc!$AD$3:$AD$122,$T94)),"")</f>
        <v/>
      </c>
      <c r="M94" s="15">
        <f>IF(AND(ISNUMBER($T94),$T94&lt;&gt;""),IF(INDEX(IlumaCalc!$AE$3:$AE$122,$T94)="","—",INDEX(IlumaCalc!$AE$3:$AE$122,$T94)),"")</f>
        <v/>
      </c>
      <c r="N94" s="15">
        <f>IF(AND(ISNUMBER($T94),$T94&lt;&gt;""),IF(INDEX(IlumaCalc!$AF$3:$AF$122,$T94)="","—",INDEX(IlumaCalc!$AF$3:$AF$122,$T94)),"")</f>
        <v/>
      </c>
      <c r="O94" s="15">
        <f>IF(AND(ISNUMBER($T94),$T94&lt;&gt;""),IF(INDEX(IlumaCalc!$AG$3:$AG$122,$T94)="","—",INDEX(IlumaCalc!$AG$3:$AG$122,$T94)),"")</f>
        <v/>
      </c>
      <c r="P94" s="16">
        <f>IF(AND(ISNUMBER($T94),$T94&lt;&gt;""),IF(INDEX(IlumaCalc!$AJ$3:$AJ$122,$T94)="","—",INDEX(IlumaCalc!$AJ$3:$AJ$122,$T94)),"")</f>
        <v/>
      </c>
      <c r="Q94" s="16">
        <f>IF(AND(ISNUMBER($T94),$T94&lt;&gt;""),IF(INDEX(IlumaCalc!$AK$3:$AK$122,$T94)="","—",INDEX(IlumaCalc!$AK$3:$AK$122,$T94)),"")</f>
        <v/>
      </c>
      <c r="R94" s="15">
        <f>IF(AND(ISNUMBER($T94),$T94&lt;&gt;""),IF(INDEX(IlumaCalc!$AL$3:$AL$122,$T94)="","—",INDEX(IlumaCalc!$AL$3:$AL$122,$T94)),"")</f>
        <v/>
      </c>
      <c r="T94">
        <f>IFERROR(MATCH(90,IlumaCalc!$AN$3:$AN$122,0),"")</f>
        <v/>
      </c>
    </row>
    <row r="95">
      <c r="A95" s="19">
        <f>IF(AND(ISNUMBER($T95),$T95&lt;&gt;""),INDEX(IlumaCalc!$S$3:$S$122,$T95),"")</f>
        <v/>
      </c>
      <c r="B95" s="20">
        <f>IF(AND(ISNUMBER($T95),$T95&lt;&gt;""),IF(INDEX(IlumaCalc!$T$3:$T$122,$T95)="","—",INDEX(IlumaCalc!$T$3:$T$122,$T95)),"")</f>
        <v/>
      </c>
      <c r="C95" s="20">
        <f>IF(AND(ISNUMBER($T95),$T95&lt;&gt;""),IF(INDEX(IlumaCalc!$U$3:$U$122,$T95)="","—",INDEX(IlumaCalc!$U$3:$U$122,$T95)),"")</f>
        <v/>
      </c>
      <c r="D95" s="20">
        <f>IF(AND(ISNUMBER($T95),$T95&lt;&gt;""),IF(INDEX(IlumaCalc!$V$3:$V$122,$T95)="","—",INDEX(IlumaCalc!$V$3:$V$122,$T95)),"")</f>
        <v/>
      </c>
      <c r="E95" s="20">
        <f>IF(AND(ISNUMBER($T95),$T95&lt;&gt;""),IF(INDEX(IlumaCalc!$W$3:$W$122,$T95)="","—",INDEX(IlumaCalc!$W$3:$W$122,$T95)),"")</f>
        <v/>
      </c>
      <c r="F95" s="20">
        <f>IF(AND(ISNUMBER($T95),$T95&lt;&gt;""),IF(INDEX(IlumaCalc!$X$3:$X$122,$T95)="","—",INDEX(IlumaCalc!$X$3:$X$122,$T95)),"")</f>
        <v/>
      </c>
      <c r="G95" s="20">
        <f>IF(AND(ISNUMBER($T95),$T95&lt;&gt;""),IF(INDEX(IlumaCalc!$Y$3:$Y$122,$T95)="","—",INDEX(IlumaCalc!$Y$3:$Y$122,$T95)),"")</f>
        <v/>
      </c>
      <c r="H95" s="20">
        <f>IF(AND(ISNUMBER($T95),$T95&lt;&gt;""),IF(INDEX(IlumaCalc!$Z$3:$Z$122,$T95)="","—",INDEX(IlumaCalc!$Z$3:$Z$122,$T95)),"")</f>
        <v/>
      </c>
      <c r="I95" s="20">
        <f>IF(AND(ISNUMBER($T95),$T95&lt;&gt;""),IF(INDEX(IlumaCalc!$AA$3:$AA$122,$T95)="","—",INDEX(IlumaCalc!$AA$3:$AA$122,$T95)),"")</f>
        <v/>
      </c>
      <c r="J95" s="20">
        <f>IF(AND(ISNUMBER($T95),$T95&lt;&gt;""),IF(INDEX(IlumaCalc!$AB$3:$AB$122,$T95)="","—",INDEX(IlumaCalc!$AB$3:$AB$122,$T95)),"")</f>
        <v/>
      </c>
      <c r="K95" s="20">
        <f>IF(AND(ISNUMBER($T95),$T95&lt;&gt;""),IF(INDEX(IlumaCalc!$AC$3:$AC$122,$T95)="","—",INDEX(IlumaCalc!$AC$3:$AC$122,$T95)),"")</f>
        <v/>
      </c>
      <c r="L95" s="20">
        <f>IF(AND(ISNUMBER($T95),$T95&lt;&gt;""),IF(INDEX(IlumaCalc!$AD$3:$AD$122,$T95)="","—",INDEX(IlumaCalc!$AD$3:$AD$122,$T95)),"")</f>
        <v/>
      </c>
      <c r="M95" s="20">
        <f>IF(AND(ISNUMBER($T95),$T95&lt;&gt;""),IF(INDEX(IlumaCalc!$AE$3:$AE$122,$T95)="","—",INDEX(IlumaCalc!$AE$3:$AE$122,$T95)),"")</f>
        <v/>
      </c>
      <c r="N95" s="20">
        <f>IF(AND(ISNUMBER($T95),$T95&lt;&gt;""),IF(INDEX(IlumaCalc!$AF$3:$AF$122,$T95)="","—",INDEX(IlumaCalc!$AF$3:$AF$122,$T95)),"")</f>
        <v/>
      </c>
      <c r="O95" s="20">
        <f>IF(AND(ISNUMBER($T95),$T95&lt;&gt;""),IF(INDEX(IlumaCalc!$AG$3:$AG$122,$T95)="","—",INDEX(IlumaCalc!$AG$3:$AG$122,$T95)),"")</f>
        <v/>
      </c>
      <c r="P95" s="21">
        <f>IF(AND(ISNUMBER($T95),$T95&lt;&gt;""),IF(INDEX(IlumaCalc!$AJ$3:$AJ$122,$T95)="","—",INDEX(IlumaCalc!$AJ$3:$AJ$122,$T95)),"")</f>
        <v/>
      </c>
      <c r="Q95" s="21">
        <f>IF(AND(ISNUMBER($T95),$T95&lt;&gt;""),IF(INDEX(IlumaCalc!$AK$3:$AK$122,$T95)="","—",INDEX(IlumaCalc!$AK$3:$AK$122,$T95)),"")</f>
        <v/>
      </c>
      <c r="R95" s="20">
        <f>IF(AND(ISNUMBER($T95),$T95&lt;&gt;""),IF(INDEX(IlumaCalc!$AL$3:$AL$122,$T95)="","—",INDEX(IlumaCalc!$AL$3:$AL$122,$T95)),"")</f>
        <v/>
      </c>
      <c r="T95">
        <f>IFERROR(MATCH(91,IlumaCalc!$AN$3:$AN$122,0),"")</f>
        <v/>
      </c>
    </row>
    <row r="96">
      <c r="A96" s="14">
        <f>IF(AND(ISNUMBER($T96),$T96&lt;&gt;""),INDEX(IlumaCalc!$S$3:$S$122,$T96),"")</f>
        <v/>
      </c>
      <c r="B96" s="15">
        <f>IF(AND(ISNUMBER($T96),$T96&lt;&gt;""),IF(INDEX(IlumaCalc!$T$3:$T$122,$T96)="","—",INDEX(IlumaCalc!$T$3:$T$122,$T96)),"")</f>
        <v/>
      </c>
      <c r="C96" s="15">
        <f>IF(AND(ISNUMBER($T96),$T96&lt;&gt;""),IF(INDEX(IlumaCalc!$U$3:$U$122,$T96)="","—",INDEX(IlumaCalc!$U$3:$U$122,$T96)),"")</f>
        <v/>
      </c>
      <c r="D96" s="15">
        <f>IF(AND(ISNUMBER($T96),$T96&lt;&gt;""),IF(INDEX(IlumaCalc!$V$3:$V$122,$T96)="","—",INDEX(IlumaCalc!$V$3:$V$122,$T96)),"")</f>
        <v/>
      </c>
      <c r="E96" s="15">
        <f>IF(AND(ISNUMBER($T96),$T96&lt;&gt;""),IF(INDEX(IlumaCalc!$W$3:$W$122,$T96)="","—",INDEX(IlumaCalc!$W$3:$W$122,$T96)),"")</f>
        <v/>
      </c>
      <c r="F96" s="15">
        <f>IF(AND(ISNUMBER($T96),$T96&lt;&gt;""),IF(INDEX(IlumaCalc!$X$3:$X$122,$T96)="","—",INDEX(IlumaCalc!$X$3:$X$122,$T96)),"")</f>
        <v/>
      </c>
      <c r="G96" s="15">
        <f>IF(AND(ISNUMBER($T96),$T96&lt;&gt;""),IF(INDEX(IlumaCalc!$Y$3:$Y$122,$T96)="","—",INDEX(IlumaCalc!$Y$3:$Y$122,$T96)),"")</f>
        <v/>
      </c>
      <c r="H96" s="15">
        <f>IF(AND(ISNUMBER($T96),$T96&lt;&gt;""),IF(INDEX(IlumaCalc!$Z$3:$Z$122,$T96)="","—",INDEX(IlumaCalc!$Z$3:$Z$122,$T96)),"")</f>
        <v/>
      </c>
      <c r="I96" s="15">
        <f>IF(AND(ISNUMBER($T96),$T96&lt;&gt;""),IF(INDEX(IlumaCalc!$AA$3:$AA$122,$T96)="","—",INDEX(IlumaCalc!$AA$3:$AA$122,$T96)),"")</f>
        <v/>
      </c>
      <c r="J96" s="15">
        <f>IF(AND(ISNUMBER($T96),$T96&lt;&gt;""),IF(INDEX(IlumaCalc!$AB$3:$AB$122,$T96)="","—",INDEX(IlumaCalc!$AB$3:$AB$122,$T96)),"")</f>
        <v/>
      </c>
      <c r="K96" s="15">
        <f>IF(AND(ISNUMBER($T96),$T96&lt;&gt;""),IF(INDEX(IlumaCalc!$AC$3:$AC$122,$T96)="","—",INDEX(IlumaCalc!$AC$3:$AC$122,$T96)),"")</f>
        <v/>
      </c>
      <c r="L96" s="15">
        <f>IF(AND(ISNUMBER($T96),$T96&lt;&gt;""),IF(INDEX(IlumaCalc!$AD$3:$AD$122,$T96)="","—",INDEX(IlumaCalc!$AD$3:$AD$122,$T96)),"")</f>
        <v/>
      </c>
      <c r="M96" s="15">
        <f>IF(AND(ISNUMBER($T96),$T96&lt;&gt;""),IF(INDEX(IlumaCalc!$AE$3:$AE$122,$T96)="","—",INDEX(IlumaCalc!$AE$3:$AE$122,$T96)),"")</f>
        <v/>
      </c>
      <c r="N96" s="15">
        <f>IF(AND(ISNUMBER($T96),$T96&lt;&gt;""),IF(INDEX(IlumaCalc!$AF$3:$AF$122,$T96)="","—",INDEX(IlumaCalc!$AF$3:$AF$122,$T96)),"")</f>
        <v/>
      </c>
      <c r="O96" s="15">
        <f>IF(AND(ISNUMBER($T96),$T96&lt;&gt;""),IF(INDEX(IlumaCalc!$AG$3:$AG$122,$T96)="","—",INDEX(IlumaCalc!$AG$3:$AG$122,$T96)),"")</f>
        <v/>
      </c>
      <c r="P96" s="16">
        <f>IF(AND(ISNUMBER($T96),$T96&lt;&gt;""),IF(INDEX(IlumaCalc!$AJ$3:$AJ$122,$T96)="","—",INDEX(IlumaCalc!$AJ$3:$AJ$122,$T96)),"")</f>
        <v/>
      </c>
      <c r="Q96" s="16">
        <f>IF(AND(ISNUMBER($T96),$T96&lt;&gt;""),IF(INDEX(IlumaCalc!$AK$3:$AK$122,$T96)="","—",INDEX(IlumaCalc!$AK$3:$AK$122,$T96)),"")</f>
        <v/>
      </c>
      <c r="R96" s="15">
        <f>IF(AND(ISNUMBER($T96),$T96&lt;&gt;""),IF(INDEX(IlumaCalc!$AL$3:$AL$122,$T96)="","—",INDEX(IlumaCalc!$AL$3:$AL$122,$T96)),"")</f>
        <v/>
      </c>
      <c r="T96">
        <f>IFERROR(MATCH(92,IlumaCalc!$AN$3:$AN$122,0),"")</f>
        <v/>
      </c>
    </row>
    <row r="97">
      <c r="A97" s="19">
        <f>IF(AND(ISNUMBER($T97),$T97&lt;&gt;""),INDEX(IlumaCalc!$S$3:$S$122,$T97),"")</f>
        <v/>
      </c>
      <c r="B97" s="20">
        <f>IF(AND(ISNUMBER($T97),$T97&lt;&gt;""),IF(INDEX(IlumaCalc!$T$3:$T$122,$T97)="","—",INDEX(IlumaCalc!$T$3:$T$122,$T97)),"")</f>
        <v/>
      </c>
      <c r="C97" s="20">
        <f>IF(AND(ISNUMBER($T97),$T97&lt;&gt;""),IF(INDEX(IlumaCalc!$U$3:$U$122,$T97)="","—",INDEX(IlumaCalc!$U$3:$U$122,$T97)),"")</f>
        <v/>
      </c>
      <c r="D97" s="20">
        <f>IF(AND(ISNUMBER($T97),$T97&lt;&gt;""),IF(INDEX(IlumaCalc!$V$3:$V$122,$T97)="","—",INDEX(IlumaCalc!$V$3:$V$122,$T97)),"")</f>
        <v/>
      </c>
      <c r="E97" s="20">
        <f>IF(AND(ISNUMBER($T97),$T97&lt;&gt;""),IF(INDEX(IlumaCalc!$W$3:$W$122,$T97)="","—",INDEX(IlumaCalc!$W$3:$W$122,$T97)),"")</f>
        <v/>
      </c>
      <c r="F97" s="20">
        <f>IF(AND(ISNUMBER($T97),$T97&lt;&gt;""),IF(INDEX(IlumaCalc!$X$3:$X$122,$T97)="","—",INDEX(IlumaCalc!$X$3:$X$122,$T97)),"")</f>
        <v/>
      </c>
      <c r="G97" s="20">
        <f>IF(AND(ISNUMBER($T97),$T97&lt;&gt;""),IF(INDEX(IlumaCalc!$Y$3:$Y$122,$T97)="","—",INDEX(IlumaCalc!$Y$3:$Y$122,$T97)),"")</f>
        <v/>
      </c>
      <c r="H97" s="20">
        <f>IF(AND(ISNUMBER($T97),$T97&lt;&gt;""),IF(INDEX(IlumaCalc!$Z$3:$Z$122,$T97)="","—",INDEX(IlumaCalc!$Z$3:$Z$122,$T97)),"")</f>
        <v/>
      </c>
      <c r="I97" s="20">
        <f>IF(AND(ISNUMBER($T97),$T97&lt;&gt;""),IF(INDEX(IlumaCalc!$AA$3:$AA$122,$T97)="","—",INDEX(IlumaCalc!$AA$3:$AA$122,$T97)),"")</f>
        <v/>
      </c>
      <c r="J97" s="20">
        <f>IF(AND(ISNUMBER($T97),$T97&lt;&gt;""),IF(INDEX(IlumaCalc!$AB$3:$AB$122,$T97)="","—",INDEX(IlumaCalc!$AB$3:$AB$122,$T97)),"")</f>
        <v/>
      </c>
      <c r="K97" s="20">
        <f>IF(AND(ISNUMBER($T97),$T97&lt;&gt;""),IF(INDEX(IlumaCalc!$AC$3:$AC$122,$T97)="","—",INDEX(IlumaCalc!$AC$3:$AC$122,$T97)),"")</f>
        <v/>
      </c>
      <c r="L97" s="20">
        <f>IF(AND(ISNUMBER($T97),$T97&lt;&gt;""),IF(INDEX(IlumaCalc!$AD$3:$AD$122,$T97)="","—",INDEX(IlumaCalc!$AD$3:$AD$122,$T97)),"")</f>
        <v/>
      </c>
      <c r="M97" s="20">
        <f>IF(AND(ISNUMBER($T97),$T97&lt;&gt;""),IF(INDEX(IlumaCalc!$AE$3:$AE$122,$T97)="","—",INDEX(IlumaCalc!$AE$3:$AE$122,$T97)),"")</f>
        <v/>
      </c>
      <c r="N97" s="20">
        <f>IF(AND(ISNUMBER($T97),$T97&lt;&gt;""),IF(INDEX(IlumaCalc!$AF$3:$AF$122,$T97)="","—",INDEX(IlumaCalc!$AF$3:$AF$122,$T97)),"")</f>
        <v/>
      </c>
      <c r="O97" s="20">
        <f>IF(AND(ISNUMBER($T97),$T97&lt;&gt;""),IF(INDEX(IlumaCalc!$AG$3:$AG$122,$T97)="","—",INDEX(IlumaCalc!$AG$3:$AG$122,$T97)),"")</f>
        <v/>
      </c>
      <c r="P97" s="21">
        <f>IF(AND(ISNUMBER($T97),$T97&lt;&gt;""),IF(INDEX(IlumaCalc!$AJ$3:$AJ$122,$T97)="","—",INDEX(IlumaCalc!$AJ$3:$AJ$122,$T97)),"")</f>
        <v/>
      </c>
      <c r="Q97" s="21">
        <f>IF(AND(ISNUMBER($T97),$T97&lt;&gt;""),IF(INDEX(IlumaCalc!$AK$3:$AK$122,$T97)="","—",INDEX(IlumaCalc!$AK$3:$AK$122,$T97)),"")</f>
        <v/>
      </c>
      <c r="R97" s="20">
        <f>IF(AND(ISNUMBER($T97),$T97&lt;&gt;""),IF(INDEX(IlumaCalc!$AL$3:$AL$122,$T97)="","—",INDEX(IlumaCalc!$AL$3:$AL$122,$T97)),"")</f>
        <v/>
      </c>
      <c r="T97">
        <f>IFERROR(MATCH(93,IlumaCalc!$AN$3:$AN$122,0),"")</f>
        <v/>
      </c>
    </row>
    <row r="98">
      <c r="A98" s="14">
        <f>IF(AND(ISNUMBER($T98),$T98&lt;&gt;""),INDEX(IlumaCalc!$S$3:$S$122,$T98),"")</f>
        <v/>
      </c>
      <c r="B98" s="15">
        <f>IF(AND(ISNUMBER($T98),$T98&lt;&gt;""),IF(INDEX(IlumaCalc!$T$3:$T$122,$T98)="","—",INDEX(IlumaCalc!$T$3:$T$122,$T98)),"")</f>
        <v/>
      </c>
      <c r="C98" s="15">
        <f>IF(AND(ISNUMBER($T98),$T98&lt;&gt;""),IF(INDEX(IlumaCalc!$U$3:$U$122,$T98)="","—",INDEX(IlumaCalc!$U$3:$U$122,$T98)),"")</f>
        <v/>
      </c>
      <c r="D98" s="15">
        <f>IF(AND(ISNUMBER($T98),$T98&lt;&gt;""),IF(INDEX(IlumaCalc!$V$3:$V$122,$T98)="","—",INDEX(IlumaCalc!$V$3:$V$122,$T98)),"")</f>
        <v/>
      </c>
      <c r="E98" s="15">
        <f>IF(AND(ISNUMBER($T98),$T98&lt;&gt;""),IF(INDEX(IlumaCalc!$W$3:$W$122,$T98)="","—",INDEX(IlumaCalc!$W$3:$W$122,$T98)),"")</f>
        <v/>
      </c>
      <c r="F98" s="15">
        <f>IF(AND(ISNUMBER($T98),$T98&lt;&gt;""),IF(INDEX(IlumaCalc!$X$3:$X$122,$T98)="","—",INDEX(IlumaCalc!$X$3:$X$122,$T98)),"")</f>
        <v/>
      </c>
      <c r="G98" s="15">
        <f>IF(AND(ISNUMBER($T98),$T98&lt;&gt;""),IF(INDEX(IlumaCalc!$Y$3:$Y$122,$T98)="","—",INDEX(IlumaCalc!$Y$3:$Y$122,$T98)),"")</f>
        <v/>
      </c>
      <c r="H98" s="15">
        <f>IF(AND(ISNUMBER($T98),$T98&lt;&gt;""),IF(INDEX(IlumaCalc!$Z$3:$Z$122,$T98)="","—",INDEX(IlumaCalc!$Z$3:$Z$122,$T98)),"")</f>
        <v/>
      </c>
      <c r="I98" s="15">
        <f>IF(AND(ISNUMBER($T98),$T98&lt;&gt;""),IF(INDEX(IlumaCalc!$AA$3:$AA$122,$T98)="","—",INDEX(IlumaCalc!$AA$3:$AA$122,$T98)),"")</f>
        <v/>
      </c>
      <c r="J98" s="15">
        <f>IF(AND(ISNUMBER($T98),$T98&lt;&gt;""),IF(INDEX(IlumaCalc!$AB$3:$AB$122,$T98)="","—",INDEX(IlumaCalc!$AB$3:$AB$122,$T98)),"")</f>
        <v/>
      </c>
      <c r="K98" s="15">
        <f>IF(AND(ISNUMBER($T98),$T98&lt;&gt;""),IF(INDEX(IlumaCalc!$AC$3:$AC$122,$T98)="","—",INDEX(IlumaCalc!$AC$3:$AC$122,$T98)),"")</f>
        <v/>
      </c>
      <c r="L98" s="15">
        <f>IF(AND(ISNUMBER($T98),$T98&lt;&gt;""),IF(INDEX(IlumaCalc!$AD$3:$AD$122,$T98)="","—",INDEX(IlumaCalc!$AD$3:$AD$122,$T98)),"")</f>
        <v/>
      </c>
      <c r="M98" s="15">
        <f>IF(AND(ISNUMBER($T98),$T98&lt;&gt;""),IF(INDEX(IlumaCalc!$AE$3:$AE$122,$T98)="","—",INDEX(IlumaCalc!$AE$3:$AE$122,$T98)),"")</f>
        <v/>
      </c>
      <c r="N98" s="15">
        <f>IF(AND(ISNUMBER($T98),$T98&lt;&gt;""),IF(INDEX(IlumaCalc!$AF$3:$AF$122,$T98)="","—",INDEX(IlumaCalc!$AF$3:$AF$122,$T98)),"")</f>
        <v/>
      </c>
      <c r="O98" s="15">
        <f>IF(AND(ISNUMBER($T98),$T98&lt;&gt;""),IF(INDEX(IlumaCalc!$AG$3:$AG$122,$T98)="","—",INDEX(IlumaCalc!$AG$3:$AG$122,$T98)),"")</f>
        <v/>
      </c>
      <c r="P98" s="16">
        <f>IF(AND(ISNUMBER($T98),$T98&lt;&gt;""),IF(INDEX(IlumaCalc!$AJ$3:$AJ$122,$T98)="","—",INDEX(IlumaCalc!$AJ$3:$AJ$122,$T98)),"")</f>
        <v/>
      </c>
      <c r="Q98" s="16">
        <f>IF(AND(ISNUMBER($T98),$T98&lt;&gt;""),IF(INDEX(IlumaCalc!$AK$3:$AK$122,$T98)="","—",INDEX(IlumaCalc!$AK$3:$AK$122,$T98)),"")</f>
        <v/>
      </c>
      <c r="R98" s="15">
        <f>IF(AND(ISNUMBER($T98),$T98&lt;&gt;""),IF(INDEX(IlumaCalc!$AL$3:$AL$122,$T98)="","—",INDEX(IlumaCalc!$AL$3:$AL$122,$T98)),"")</f>
        <v/>
      </c>
      <c r="T98">
        <f>IFERROR(MATCH(94,IlumaCalc!$AN$3:$AN$122,0),"")</f>
        <v/>
      </c>
    </row>
    <row r="99">
      <c r="A99" s="19">
        <f>IF(AND(ISNUMBER($T99),$T99&lt;&gt;""),INDEX(IlumaCalc!$S$3:$S$122,$T99),"")</f>
        <v/>
      </c>
      <c r="B99" s="20">
        <f>IF(AND(ISNUMBER($T99),$T99&lt;&gt;""),IF(INDEX(IlumaCalc!$T$3:$T$122,$T99)="","—",INDEX(IlumaCalc!$T$3:$T$122,$T99)),"")</f>
        <v/>
      </c>
      <c r="C99" s="20">
        <f>IF(AND(ISNUMBER($T99),$T99&lt;&gt;""),IF(INDEX(IlumaCalc!$U$3:$U$122,$T99)="","—",INDEX(IlumaCalc!$U$3:$U$122,$T99)),"")</f>
        <v/>
      </c>
      <c r="D99" s="20">
        <f>IF(AND(ISNUMBER($T99),$T99&lt;&gt;""),IF(INDEX(IlumaCalc!$V$3:$V$122,$T99)="","—",INDEX(IlumaCalc!$V$3:$V$122,$T99)),"")</f>
        <v/>
      </c>
      <c r="E99" s="20">
        <f>IF(AND(ISNUMBER($T99),$T99&lt;&gt;""),IF(INDEX(IlumaCalc!$W$3:$W$122,$T99)="","—",INDEX(IlumaCalc!$W$3:$W$122,$T99)),"")</f>
        <v/>
      </c>
      <c r="F99" s="20">
        <f>IF(AND(ISNUMBER($T99),$T99&lt;&gt;""),IF(INDEX(IlumaCalc!$X$3:$X$122,$T99)="","—",INDEX(IlumaCalc!$X$3:$X$122,$T99)),"")</f>
        <v/>
      </c>
      <c r="G99" s="20">
        <f>IF(AND(ISNUMBER($T99),$T99&lt;&gt;""),IF(INDEX(IlumaCalc!$Y$3:$Y$122,$T99)="","—",INDEX(IlumaCalc!$Y$3:$Y$122,$T99)),"")</f>
        <v/>
      </c>
      <c r="H99" s="20">
        <f>IF(AND(ISNUMBER($T99),$T99&lt;&gt;""),IF(INDEX(IlumaCalc!$Z$3:$Z$122,$T99)="","—",INDEX(IlumaCalc!$Z$3:$Z$122,$T99)),"")</f>
        <v/>
      </c>
      <c r="I99" s="20">
        <f>IF(AND(ISNUMBER($T99),$T99&lt;&gt;""),IF(INDEX(IlumaCalc!$AA$3:$AA$122,$T99)="","—",INDEX(IlumaCalc!$AA$3:$AA$122,$T99)),"")</f>
        <v/>
      </c>
      <c r="J99" s="20">
        <f>IF(AND(ISNUMBER($T99),$T99&lt;&gt;""),IF(INDEX(IlumaCalc!$AB$3:$AB$122,$T99)="","—",INDEX(IlumaCalc!$AB$3:$AB$122,$T99)),"")</f>
        <v/>
      </c>
      <c r="K99" s="20">
        <f>IF(AND(ISNUMBER($T99),$T99&lt;&gt;""),IF(INDEX(IlumaCalc!$AC$3:$AC$122,$T99)="","—",INDEX(IlumaCalc!$AC$3:$AC$122,$T99)),"")</f>
        <v/>
      </c>
      <c r="L99" s="20">
        <f>IF(AND(ISNUMBER($T99),$T99&lt;&gt;""),IF(INDEX(IlumaCalc!$AD$3:$AD$122,$T99)="","—",INDEX(IlumaCalc!$AD$3:$AD$122,$T99)),"")</f>
        <v/>
      </c>
      <c r="M99" s="20">
        <f>IF(AND(ISNUMBER($T99),$T99&lt;&gt;""),IF(INDEX(IlumaCalc!$AE$3:$AE$122,$T99)="","—",INDEX(IlumaCalc!$AE$3:$AE$122,$T99)),"")</f>
        <v/>
      </c>
      <c r="N99" s="20">
        <f>IF(AND(ISNUMBER($T99),$T99&lt;&gt;""),IF(INDEX(IlumaCalc!$AF$3:$AF$122,$T99)="","—",INDEX(IlumaCalc!$AF$3:$AF$122,$T99)),"")</f>
        <v/>
      </c>
      <c r="O99" s="20">
        <f>IF(AND(ISNUMBER($T99),$T99&lt;&gt;""),IF(INDEX(IlumaCalc!$AG$3:$AG$122,$T99)="","—",INDEX(IlumaCalc!$AG$3:$AG$122,$T99)),"")</f>
        <v/>
      </c>
      <c r="P99" s="21">
        <f>IF(AND(ISNUMBER($T99),$T99&lt;&gt;""),IF(INDEX(IlumaCalc!$AJ$3:$AJ$122,$T99)="","—",INDEX(IlumaCalc!$AJ$3:$AJ$122,$T99)),"")</f>
        <v/>
      </c>
      <c r="Q99" s="21">
        <f>IF(AND(ISNUMBER($T99),$T99&lt;&gt;""),IF(INDEX(IlumaCalc!$AK$3:$AK$122,$T99)="","—",INDEX(IlumaCalc!$AK$3:$AK$122,$T99)),"")</f>
        <v/>
      </c>
      <c r="R99" s="20">
        <f>IF(AND(ISNUMBER($T99),$T99&lt;&gt;""),IF(INDEX(IlumaCalc!$AL$3:$AL$122,$T99)="","—",INDEX(IlumaCalc!$AL$3:$AL$122,$T99)),"")</f>
        <v/>
      </c>
      <c r="T99">
        <f>IFERROR(MATCH(95,IlumaCalc!$AN$3:$AN$122,0),"")</f>
        <v/>
      </c>
    </row>
    <row r="100">
      <c r="A100" s="14">
        <f>IF(AND(ISNUMBER($T100),$T100&lt;&gt;""),INDEX(IlumaCalc!$S$3:$S$122,$T100),"")</f>
        <v/>
      </c>
      <c r="B100" s="15">
        <f>IF(AND(ISNUMBER($T100),$T100&lt;&gt;""),IF(INDEX(IlumaCalc!$T$3:$T$122,$T100)="","—",INDEX(IlumaCalc!$T$3:$T$122,$T100)),"")</f>
        <v/>
      </c>
      <c r="C100" s="15">
        <f>IF(AND(ISNUMBER($T100),$T100&lt;&gt;""),IF(INDEX(IlumaCalc!$U$3:$U$122,$T100)="","—",INDEX(IlumaCalc!$U$3:$U$122,$T100)),"")</f>
        <v/>
      </c>
      <c r="D100" s="15">
        <f>IF(AND(ISNUMBER($T100),$T100&lt;&gt;""),IF(INDEX(IlumaCalc!$V$3:$V$122,$T100)="","—",INDEX(IlumaCalc!$V$3:$V$122,$T100)),"")</f>
        <v/>
      </c>
      <c r="E100" s="15">
        <f>IF(AND(ISNUMBER($T100),$T100&lt;&gt;""),IF(INDEX(IlumaCalc!$W$3:$W$122,$T100)="","—",INDEX(IlumaCalc!$W$3:$W$122,$T100)),"")</f>
        <v/>
      </c>
      <c r="F100" s="15">
        <f>IF(AND(ISNUMBER($T100),$T100&lt;&gt;""),IF(INDEX(IlumaCalc!$X$3:$X$122,$T100)="","—",INDEX(IlumaCalc!$X$3:$X$122,$T100)),"")</f>
        <v/>
      </c>
      <c r="G100" s="15">
        <f>IF(AND(ISNUMBER($T100),$T100&lt;&gt;""),IF(INDEX(IlumaCalc!$Y$3:$Y$122,$T100)="","—",INDEX(IlumaCalc!$Y$3:$Y$122,$T100)),"")</f>
        <v/>
      </c>
      <c r="H100" s="15">
        <f>IF(AND(ISNUMBER($T100),$T100&lt;&gt;""),IF(INDEX(IlumaCalc!$Z$3:$Z$122,$T100)="","—",INDEX(IlumaCalc!$Z$3:$Z$122,$T100)),"")</f>
        <v/>
      </c>
      <c r="I100" s="15">
        <f>IF(AND(ISNUMBER($T100),$T100&lt;&gt;""),IF(INDEX(IlumaCalc!$AA$3:$AA$122,$T100)="","—",INDEX(IlumaCalc!$AA$3:$AA$122,$T100)),"")</f>
        <v/>
      </c>
      <c r="J100" s="15">
        <f>IF(AND(ISNUMBER($T100),$T100&lt;&gt;""),IF(INDEX(IlumaCalc!$AB$3:$AB$122,$T100)="","—",INDEX(IlumaCalc!$AB$3:$AB$122,$T100)),"")</f>
        <v/>
      </c>
      <c r="K100" s="15">
        <f>IF(AND(ISNUMBER($T100),$T100&lt;&gt;""),IF(INDEX(IlumaCalc!$AC$3:$AC$122,$T100)="","—",INDEX(IlumaCalc!$AC$3:$AC$122,$T100)),"")</f>
        <v/>
      </c>
      <c r="L100" s="15">
        <f>IF(AND(ISNUMBER($T100),$T100&lt;&gt;""),IF(INDEX(IlumaCalc!$AD$3:$AD$122,$T100)="","—",INDEX(IlumaCalc!$AD$3:$AD$122,$T100)),"")</f>
        <v/>
      </c>
      <c r="M100" s="15">
        <f>IF(AND(ISNUMBER($T100),$T100&lt;&gt;""),IF(INDEX(IlumaCalc!$AE$3:$AE$122,$T100)="","—",INDEX(IlumaCalc!$AE$3:$AE$122,$T100)),"")</f>
        <v/>
      </c>
      <c r="N100" s="15">
        <f>IF(AND(ISNUMBER($T100),$T100&lt;&gt;""),IF(INDEX(IlumaCalc!$AF$3:$AF$122,$T100)="","—",INDEX(IlumaCalc!$AF$3:$AF$122,$T100)),"")</f>
        <v/>
      </c>
      <c r="O100" s="15">
        <f>IF(AND(ISNUMBER($T100),$T100&lt;&gt;""),IF(INDEX(IlumaCalc!$AG$3:$AG$122,$T100)="","—",INDEX(IlumaCalc!$AG$3:$AG$122,$T100)),"")</f>
        <v/>
      </c>
      <c r="P100" s="16">
        <f>IF(AND(ISNUMBER($T100),$T100&lt;&gt;""),IF(INDEX(IlumaCalc!$AJ$3:$AJ$122,$T100)="","—",INDEX(IlumaCalc!$AJ$3:$AJ$122,$T100)),"")</f>
        <v/>
      </c>
      <c r="Q100" s="16">
        <f>IF(AND(ISNUMBER($T100),$T100&lt;&gt;""),IF(INDEX(IlumaCalc!$AK$3:$AK$122,$T100)="","—",INDEX(IlumaCalc!$AK$3:$AK$122,$T100)),"")</f>
        <v/>
      </c>
      <c r="R100" s="15">
        <f>IF(AND(ISNUMBER($T100),$T100&lt;&gt;""),IF(INDEX(IlumaCalc!$AL$3:$AL$122,$T100)="","—",INDEX(IlumaCalc!$AL$3:$AL$122,$T100)),"")</f>
        <v/>
      </c>
      <c r="T100">
        <f>IFERROR(MATCH(96,IlumaCalc!$AN$3:$AN$122,0),"")</f>
        <v/>
      </c>
    </row>
    <row r="101">
      <c r="A101" s="19">
        <f>IF(AND(ISNUMBER($T101),$T101&lt;&gt;""),INDEX(IlumaCalc!$S$3:$S$122,$T101),"")</f>
        <v/>
      </c>
      <c r="B101" s="20">
        <f>IF(AND(ISNUMBER($T101),$T101&lt;&gt;""),IF(INDEX(IlumaCalc!$T$3:$T$122,$T101)="","—",INDEX(IlumaCalc!$T$3:$T$122,$T101)),"")</f>
        <v/>
      </c>
      <c r="C101" s="20">
        <f>IF(AND(ISNUMBER($T101),$T101&lt;&gt;""),IF(INDEX(IlumaCalc!$U$3:$U$122,$T101)="","—",INDEX(IlumaCalc!$U$3:$U$122,$T101)),"")</f>
        <v/>
      </c>
      <c r="D101" s="20">
        <f>IF(AND(ISNUMBER($T101),$T101&lt;&gt;""),IF(INDEX(IlumaCalc!$V$3:$V$122,$T101)="","—",INDEX(IlumaCalc!$V$3:$V$122,$T101)),"")</f>
        <v/>
      </c>
      <c r="E101" s="20">
        <f>IF(AND(ISNUMBER($T101),$T101&lt;&gt;""),IF(INDEX(IlumaCalc!$W$3:$W$122,$T101)="","—",INDEX(IlumaCalc!$W$3:$W$122,$T101)),"")</f>
        <v/>
      </c>
      <c r="F101" s="20">
        <f>IF(AND(ISNUMBER($T101),$T101&lt;&gt;""),IF(INDEX(IlumaCalc!$X$3:$X$122,$T101)="","—",INDEX(IlumaCalc!$X$3:$X$122,$T101)),"")</f>
        <v/>
      </c>
      <c r="G101" s="20">
        <f>IF(AND(ISNUMBER($T101),$T101&lt;&gt;""),IF(INDEX(IlumaCalc!$Y$3:$Y$122,$T101)="","—",INDEX(IlumaCalc!$Y$3:$Y$122,$T101)),"")</f>
        <v/>
      </c>
      <c r="H101" s="20">
        <f>IF(AND(ISNUMBER($T101),$T101&lt;&gt;""),IF(INDEX(IlumaCalc!$Z$3:$Z$122,$T101)="","—",INDEX(IlumaCalc!$Z$3:$Z$122,$T101)),"")</f>
        <v/>
      </c>
      <c r="I101" s="20">
        <f>IF(AND(ISNUMBER($T101),$T101&lt;&gt;""),IF(INDEX(IlumaCalc!$AA$3:$AA$122,$T101)="","—",INDEX(IlumaCalc!$AA$3:$AA$122,$T101)),"")</f>
        <v/>
      </c>
      <c r="J101" s="20">
        <f>IF(AND(ISNUMBER($T101),$T101&lt;&gt;""),IF(INDEX(IlumaCalc!$AB$3:$AB$122,$T101)="","—",INDEX(IlumaCalc!$AB$3:$AB$122,$T101)),"")</f>
        <v/>
      </c>
      <c r="K101" s="20">
        <f>IF(AND(ISNUMBER($T101),$T101&lt;&gt;""),IF(INDEX(IlumaCalc!$AC$3:$AC$122,$T101)="","—",INDEX(IlumaCalc!$AC$3:$AC$122,$T101)),"")</f>
        <v/>
      </c>
      <c r="L101" s="20">
        <f>IF(AND(ISNUMBER($T101),$T101&lt;&gt;""),IF(INDEX(IlumaCalc!$AD$3:$AD$122,$T101)="","—",INDEX(IlumaCalc!$AD$3:$AD$122,$T101)),"")</f>
        <v/>
      </c>
      <c r="M101" s="20">
        <f>IF(AND(ISNUMBER($T101),$T101&lt;&gt;""),IF(INDEX(IlumaCalc!$AE$3:$AE$122,$T101)="","—",INDEX(IlumaCalc!$AE$3:$AE$122,$T101)),"")</f>
        <v/>
      </c>
      <c r="N101" s="20">
        <f>IF(AND(ISNUMBER($T101),$T101&lt;&gt;""),IF(INDEX(IlumaCalc!$AF$3:$AF$122,$T101)="","—",INDEX(IlumaCalc!$AF$3:$AF$122,$T101)),"")</f>
        <v/>
      </c>
      <c r="O101" s="20">
        <f>IF(AND(ISNUMBER($T101),$T101&lt;&gt;""),IF(INDEX(IlumaCalc!$AG$3:$AG$122,$T101)="","—",INDEX(IlumaCalc!$AG$3:$AG$122,$T101)),"")</f>
        <v/>
      </c>
      <c r="P101" s="21">
        <f>IF(AND(ISNUMBER($T101),$T101&lt;&gt;""),IF(INDEX(IlumaCalc!$AJ$3:$AJ$122,$T101)="","—",INDEX(IlumaCalc!$AJ$3:$AJ$122,$T101)),"")</f>
        <v/>
      </c>
      <c r="Q101" s="21">
        <f>IF(AND(ISNUMBER($T101),$T101&lt;&gt;""),IF(INDEX(IlumaCalc!$AK$3:$AK$122,$T101)="","—",INDEX(IlumaCalc!$AK$3:$AK$122,$T101)),"")</f>
        <v/>
      </c>
      <c r="R101" s="20">
        <f>IF(AND(ISNUMBER($T101),$T101&lt;&gt;""),IF(INDEX(IlumaCalc!$AL$3:$AL$122,$T101)="","—",INDEX(IlumaCalc!$AL$3:$AL$122,$T101)),"")</f>
        <v/>
      </c>
      <c r="T101">
        <f>IFERROR(MATCH(97,IlumaCalc!$AN$3:$AN$122,0),"")</f>
        <v/>
      </c>
    </row>
    <row r="102">
      <c r="A102" s="14">
        <f>IF(AND(ISNUMBER($T102),$T102&lt;&gt;""),INDEX(IlumaCalc!$S$3:$S$122,$T102),"")</f>
        <v/>
      </c>
      <c r="B102" s="15">
        <f>IF(AND(ISNUMBER($T102),$T102&lt;&gt;""),IF(INDEX(IlumaCalc!$T$3:$T$122,$T102)="","—",INDEX(IlumaCalc!$T$3:$T$122,$T102)),"")</f>
        <v/>
      </c>
      <c r="C102" s="15">
        <f>IF(AND(ISNUMBER($T102),$T102&lt;&gt;""),IF(INDEX(IlumaCalc!$U$3:$U$122,$T102)="","—",INDEX(IlumaCalc!$U$3:$U$122,$T102)),"")</f>
        <v/>
      </c>
      <c r="D102" s="15">
        <f>IF(AND(ISNUMBER($T102),$T102&lt;&gt;""),IF(INDEX(IlumaCalc!$V$3:$V$122,$T102)="","—",INDEX(IlumaCalc!$V$3:$V$122,$T102)),"")</f>
        <v/>
      </c>
      <c r="E102" s="15">
        <f>IF(AND(ISNUMBER($T102),$T102&lt;&gt;""),IF(INDEX(IlumaCalc!$W$3:$W$122,$T102)="","—",INDEX(IlumaCalc!$W$3:$W$122,$T102)),"")</f>
        <v/>
      </c>
      <c r="F102" s="15">
        <f>IF(AND(ISNUMBER($T102),$T102&lt;&gt;""),IF(INDEX(IlumaCalc!$X$3:$X$122,$T102)="","—",INDEX(IlumaCalc!$X$3:$X$122,$T102)),"")</f>
        <v/>
      </c>
      <c r="G102" s="15">
        <f>IF(AND(ISNUMBER($T102),$T102&lt;&gt;""),IF(INDEX(IlumaCalc!$Y$3:$Y$122,$T102)="","—",INDEX(IlumaCalc!$Y$3:$Y$122,$T102)),"")</f>
        <v/>
      </c>
      <c r="H102" s="15">
        <f>IF(AND(ISNUMBER($T102),$T102&lt;&gt;""),IF(INDEX(IlumaCalc!$Z$3:$Z$122,$T102)="","—",INDEX(IlumaCalc!$Z$3:$Z$122,$T102)),"")</f>
        <v/>
      </c>
      <c r="I102" s="15">
        <f>IF(AND(ISNUMBER($T102),$T102&lt;&gt;""),IF(INDEX(IlumaCalc!$AA$3:$AA$122,$T102)="","—",INDEX(IlumaCalc!$AA$3:$AA$122,$T102)),"")</f>
        <v/>
      </c>
      <c r="J102" s="15">
        <f>IF(AND(ISNUMBER($T102),$T102&lt;&gt;""),IF(INDEX(IlumaCalc!$AB$3:$AB$122,$T102)="","—",INDEX(IlumaCalc!$AB$3:$AB$122,$T102)),"")</f>
        <v/>
      </c>
      <c r="K102" s="15">
        <f>IF(AND(ISNUMBER($T102),$T102&lt;&gt;""),IF(INDEX(IlumaCalc!$AC$3:$AC$122,$T102)="","—",INDEX(IlumaCalc!$AC$3:$AC$122,$T102)),"")</f>
        <v/>
      </c>
      <c r="L102" s="15">
        <f>IF(AND(ISNUMBER($T102),$T102&lt;&gt;""),IF(INDEX(IlumaCalc!$AD$3:$AD$122,$T102)="","—",INDEX(IlumaCalc!$AD$3:$AD$122,$T102)),"")</f>
        <v/>
      </c>
      <c r="M102" s="15">
        <f>IF(AND(ISNUMBER($T102),$T102&lt;&gt;""),IF(INDEX(IlumaCalc!$AE$3:$AE$122,$T102)="","—",INDEX(IlumaCalc!$AE$3:$AE$122,$T102)),"")</f>
        <v/>
      </c>
      <c r="N102" s="15">
        <f>IF(AND(ISNUMBER($T102),$T102&lt;&gt;""),IF(INDEX(IlumaCalc!$AF$3:$AF$122,$T102)="","—",INDEX(IlumaCalc!$AF$3:$AF$122,$T102)),"")</f>
        <v/>
      </c>
      <c r="O102" s="15">
        <f>IF(AND(ISNUMBER($T102),$T102&lt;&gt;""),IF(INDEX(IlumaCalc!$AG$3:$AG$122,$T102)="","—",INDEX(IlumaCalc!$AG$3:$AG$122,$T102)),"")</f>
        <v/>
      </c>
      <c r="P102" s="16">
        <f>IF(AND(ISNUMBER($T102),$T102&lt;&gt;""),IF(INDEX(IlumaCalc!$AJ$3:$AJ$122,$T102)="","—",INDEX(IlumaCalc!$AJ$3:$AJ$122,$T102)),"")</f>
        <v/>
      </c>
      <c r="Q102" s="16">
        <f>IF(AND(ISNUMBER($T102),$T102&lt;&gt;""),IF(INDEX(IlumaCalc!$AK$3:$AK$122,$T102)="","—",INDEX(IlumaCalc!$AK$3:$AK$122,$T102)),"")</f>
        <v/>
      </c>
      <c r="R102" s="15">
        <f>IF(AND(ISNUMBER($T102),$T102&lt;&gt;""),IF(INDEX(IlumaCalc!$AL$3:$AL$122,$T102)="","—",INDEX(IlumaCalc!$AL$3:$AL$122,$T102)),"")</f>
        <v/>
      </c>
      <c r="T102">
        <f>IFERROR(MATCH(98,IlumaCalc!$AN$3:$AN$122,0),"")</f>
        <v/>
      </c>
    </row>
    <row r="103">
      <c r="A103" s="19">
        <f>IF(AND(ISNUMBER($T103),$T103&lt;&gt;""),INDEX(IlumaCalc!$S$3:$S$122,$T103),"")</f>
        <v/>
      </c>
      <c r="B103" s="20">
        <f>IF(AND(ISNUMBER($T103),$T103&lt;&gt;""),IF(INDEX(IlumaCalc!$T$3:$T$122,$T103)="","—",INDEX(IlumaCalc!$T$3:$T$122,$T103)),"")</f>
        <v/>
      </c>
      <c r="C103" s="20">
        <f>IF(AND(ISNUMBER($T103),$T103&lt;&gt;""),IF(INDEX(IlumaCalc!$U$3:$U$122,$T103)="","—",INDEX(IlumaCalc!$U$3:$U$122,$T103)),"")</f>
        <v/>
      </c>
      <c r="D103" s="20">
        <f>IF(AND(ISNUMBER($T103),$T103&lt;&gt;""),IF(INDEX(IlumaCalc!$V$3:$V$122,$T103)="","—",INDEX(IlumaCalc!$V$3:$V$122,$T103)),"")</f>
        <v/>
      </c>
      <c r="E103" s="20">
        <f>IF(AND(ISNUMBER($T103),$T103&lt;&gt;""),IF(INDEX(IlumaCalc!$W$3:$W$122,$T103)="","—",INDEX(IlumaCalc!$W$3:$W$122,$T103)),"")</f>
        <v/>
      </c>
      <c r="F103" s="20">
        <f>IF(AND(ISNUMBER($T103),$T103&lt;&gt;""),IF(INDEX(IlumaCalc!$X$3:$X$122,$T103)="","—",INDEX(IlumaCalc!$X$3:$X$122,$T103)),"")</f>
        <v/>
      </c>
      <c r="G103" s="20">
        <f>IF(AND(ISNUMBER($T103),$T103&lt;&gt;""),IF(INDEX(IlumaCalc!$Y$3:$Y$122,$T103)="","—",INDEX(IlumaCalc!$Y$3:$Y$122,$T103)),"")</f>
        <v/>
      </c>
      <c r="H103" s="20">
        <f>IF(AND(ISNUMBER($T103),$T103&lt;&gt;""),IF(INDEX(IlumaCalc!$Z$3:$Z$122,$T103)="","—",INDEX(IlumaCalc!$Z$3:$Z$122,$T103)),"")</f>
        <v/>
      </c>
      <c r="I103" s="20">
        <f>IF(AND(ISNUMBER($T103),$T103&lt;&gt;""),IF(INDEX(IlumaCalc!$AA$3:$AA$122,$T103)="","—",INDEX(IlumaCalc!$AA$3:$AA$122,$T103)),"")</f>
        <v/>
      </c>
      <c r="J103" s="20">
        <f>IF(AND(ISNUMBER($T103),$T103&lt;&gt;""),IF(INDEX(IlumaCalc!$AB$3:$AB$122,$T103)="","—",INDEX(IlumaCalc!$AB$3:$AB$122,$T103)),"")</f>
        <v/>
      </c>
      <c r="K103" s="20">
        <f>IF(AND(ISNUMBER($T103),$T103&lt;&gt;""),IF(INDEX(IlumaCalc!$AC$3:$AC$122,$T103)="","—",INDEX(IlumaCalc!$AC$3:$AC$122,$T103)),"")</f>
        <v/>
      </c>
      <c r="L103" s="20">
        <f>IF(AND(ISNUMBER($T103),$T103&lt;&gt;""),IF(INDEX(IlumaCalc!$AD$3:$AD$122,$T103)="","—",INDEX(IlumaCalc!$AD$3:$AD$122,$T103)),"")</f>
        <v/>
      </c>
      <c r="M103" s="20">
        <f>IF(AND(ISNUMBER($T103),$T103&lt;&gt;""),IF(INDEX(IlumaCalc!$AE$3:$AE$122,$T103)="","—",INDEX(IlumaCalc!$AE$3:$AE$122,$T103)),"")</f>
        <v/>
      </c>
      <c r="N103" s="20">
        <f>IF(AND(ISNUMBER($T103),$T103&lt;&gt;""),IF(INDEX(IlumaCalc!$AF$3:$AF$122,$T103)="","—",INDEX(IlumaCalc!$AF$3:$AF$122,$T103)),"")</f>
        <v/>
      </c>
      <c r="O103" s="20">
        <f>IF(AND(ISNUMBER($T103),$T103&lt;&gt;""),IF(INDEX(IlumaCalc!$AG$3:$AG$122,$T103)="","—",INDEX(IlumaCalc!$AG$3:$AG$122,$T103)),"")</f>
        <v/>
      </c>
      <c r="P103" s="21">
        <f>IF(AND(ISNUMBER($T103),$T103&lt;&gt;""),IF(INDEX(IlumaCalc!$AJ$3:$AJ$122,$T103)="","—",INDEX(IlumaCalc!$AJ$3:$AJ$122,$T103)),"")</f>
        <v/>
      </c>
      <c r="Q103" s="21">
        <f>IF(AND(ISNUMBER($T103),$T103&lt;&gt;""),IF(INDEX(IlumaCalc!$AK$3:$AK$122,$T103)="","—",INDEX(IlumaCalc!$AK$3:$AK$122,$T103)),"")</f>
        <v/>
      </c>
      <c r="R103" s="20">
        <f>IF(AND(ISNUMBER($T103),$T103&lt;&gt;""),IF(INDEX(IlumaCalc!$AL$3:$AL$122,$T103)="","—",INDEX(IlumaCalc!$AL$3:$AL$122,$T103)),"")</f>
        <v/>
      </c>
      <c r="T103">
        <f>IFERROR(MATCH(99,IlumaCalc!$AN$3:$AN$122,0),"")</f>
        <v/>
      </c>
    </row>
    <row r="104">
      <c r="A104" s="14">
        <f>IF(AND(ISNUMBER($T104),$T104&lt;&gt;""),INDEX(IlumaCalc!$S$3:$S$122,$T104),"")</f>
        <v/>
      </c>
      <c r="B104" s="15">
        <f>IF(AND(ISNUMBER($T104),$T104&lt;&gt;""),IF(INDEX(IlumaCalc!$T$3:$T$122,$T104)="","—",INDEX(IlumaCalc!$T$3:$T$122,$T104)),"")</f>
        <v/>
      </c>
      <c r="C104" s="15">
        <f>IF(AND(ISNUMBER($T104),$T104&lt;&gt;""),IF(INDEX(IlumaCalc!$U$3:$U$122,$T104)="","—",INDEX(IlumaCalc!$U$3:$U$122,$T104)),"")</f>
        <v/>
      </c>
      <c r="D104" s="15">
        <f>IF(AND(ISNUMBER($T104),$T104&lt;&gt;""),IF(INDEX(IlumaCalc!$V$3:$V$122,$T104)="","—",INDEX(IlumaCalc!$V$3:$V$122,$T104)),"")</f>
        <v/>
      </c>
      <c r="E104" s="15">
        <f>IF(AND(ISNUMBER($T104),$T104&lt;&gt;""),IF(INDEX(IlumaCalc!$W$3:$W$122,$T104)="","—",INDEX(IlumaCalc!$W$3:$W$122,$T104)),"")</f>
        <v/>
      </c>
      <c r="F104" s="15">
        <f>IF(AND(ISNUMBER($T104),$T104&lt;&gt;""),IF(INDEX(IlumaCalc!$X$3:$X$122,$T104)="","—",INDEX(IlumaCalc!$X$3:$X$122,$T104)),"")</f>
        <v/>
      </c>
      <c r="G104" s="15">
        <f>IF(AND(ISNUMBER($T104),$T104&lt;&gt;""),IF(INDEX(IlumaCalc!$Y$3:$Y$122,$T104)="","—",INDEX(IlumaCalc!$Y$3:$Y$122,$T104)),"")</f>
        <v/>
      </c>
      <c r="H104" s="15">
        <f>IF(AND(ISNUMBER($T104),$T104&lt;&gt;""),IF(INDEX(IlumaCalc!$Z$3:$Z$122,$T104)="","—",INDEX(IlumaCalc!$Z$3:$Z$122,$T104)),"")</f>
        <v/>
      </c>
      <c r="I104" s="15">
        <f>IF(AND(ISNUMBER($T104),$T104&lt;&gt;""),IF(INDEX(IlumaCalc!$AA$3:$AA$122,$T104)="","—",INDEX(IlumaCalc!$AA$3:$AA$122,$T104)),"")</f>
        <v/>
      </c>
      <c r="J104" s="15">
        <f>IF(AND(ISNUMBER($T104),$T104&lt;&gt;""),IF(INDEX(IlumaCalc!$AB$3:$AB$122,$T104)="","—",INDEX(IlumaCalc!$AB$3:$AB$122,$T104)),"")</f>
        <v/>
      </c>
      <c r="K104" s="15">
        <f>IF(AND(ISNUMBER($T104),$T104&lt;&gt;""),IF(INDEX(IlumaCalc!$AC$3:$AC$122,$T104)="","—",INDEX(IlumaCalc!$AC$3:$AC$122,$T104)),"")</f>
        <v/>
      </c>
      <c r="L104" s="15">
        <f>IF(AND(ISNUMBER($T104),$T104&lt;&gt;""),IF(INDEX(IlumaCalc!$AD$3:$AD$122,$T104)="","—",INDEX(IlumaCalc!$AD$3:$AD$122,$T104)),"")</f>
        <v/>
      </c>
      <c r="M104" s="15">
        <f>IF(AND(ISNUMBER($T104),$T104&lt;&gt;""),IF(INDEX(IlumaCalc!$AE$3:$AE$122,$T104)="","—",INDEX(IlumaCalc!$AE$3:$AE$122,$T104)),"")</f>
        <v/>
      </c>
      <c r="N104" s="15">
        <f>IF(AND(ISNUMBER($T104),$T104&lt;&gt;""),IF(INDEX(IlumaCalc!$AF$3:$AF$122,$T104)="","—",INDEX(IlumaCalc!$AF$3:$AF$122,$T104)),"")</f>
        <v/>
      </c>
      <c r="O104" s="15">
        <f>IF(AND(ISNUMBER($T104),$T104&lt;&gt;""),IF(INDEX(IlumaCalc!$AG$3:$AG$122,$T104)="","—",INDEX(IlumaCalc!$AG$3:$AG$122,$T104)),"")</f>
        <v/>
      </c>
      <c r="P104" s="16">
        <f>IF(AND(ISNUMBER($T104),$T104&lt;&gt;""),IF(INDEX(IlumaCalc!$AJ$3:$AJ$122,$T104)="","—",INDEX(IlumaCalc!$AJ$3:$AJ$122,$T104)),"")</f>
        <v/>
      </c>
      <c r="Q104" s="16">
        <f>IF(AND(ISNUMBER($T104),$T104&lt;&gt;""),IF(INDEX(IlumaCalc!$AK$3:$AK$122,$T104)="","—",INDEX(IlumaCalc!$AK$3:$AK$122,$T104)),"")</f>
        <v/>
      </c>
      <c r="R104" s="15">
        <f>IF(AND(ISNUMBER($T104),$T104&lt;&gt;""),IF(INDEX(IlumaCalc!$AL$3:$AL$122,$T104)="","—",INDEX(IlumaCalc!$AL$3:$AL$122,$T104)),"")</f>
        <v/>
      </c>
      <c r="T104">
        <f>IFERROR(MATCH(100,IlumaCalc!$AN$3:$AN$122,0),"")</f>
        <v/>
      </c>
    </row>
    <row r="105">
      <c r="A105" s="19">
        <f>IF(AND(ISNUMBER($T105),$T105&lt;&gt;""),INDEX(IlumaCalc!$S$3:$S$122,$T105),"")</f>
        <v/>
      </c>
      <c r="B105" s="20">
        <f>IF(AND(ISNUMBER($T105),$T105&lt;&gt;""),IF(INDEX(IlumaCalc!$T$3:$T$122,$T105)="","—",INDEX(IlumaCalc!$T$3:$T$122,$T105)),"")</f>
        <v/>
      </c>
      <c r="C105" s="20">
        <f>IF(AND(ISNUMBER($T105),$T105&lt;&gt;""),IF(INDEX(IlumaCalc!$U$3:$U$122,$T105)="","—",INDEX(IlumaCalc!$U$3:$U$122,$T105)),"")</f>
        <v/>
      </c>
      <c r="D105" s="20">
        <f>IF(AND(ISNUMBER($T105),$T105&lt;&gt;""),IF(INDEX(IlumaCalc!$V$3:$V$122,$T105)="","—",INDEX(IlumaCalc!$V$3:$V$122,$T105)),"")</f>
        <v/>
      </c>
      <c r="E105" s="20">
        <f>IF(AND(ISNUMBER($T105),$T105&lt;&gt;""),IF(INDEX(IlumaCalc!$W$3:$W$122,$T105)="","—",INDEX(IlumaCalc!$W$3:$W$122,$T105)),"")</f>
        <v/>
      </c>
      <c r="F105" s="20">
        <f>IF(AND(ISNUMBER($T105),$T105&lt;&gt;""),IF(INDEX(IlumaCalc!$X$3:$X$122,$T105)="","—",INDEX(IlumaCalc!$X$3:$X$122,$T105)),"")</f>
        <v/>
      </c>
      <c r="G105" s="20">
        <f>IF(AND(ISNUMBER($T105),$T105&lt;&gt;""),IF(INDEX(IlumaCalc!$Y$3:$Y$122,$T105)="","—",INDEX(IlumaCalc!$Y$3:$Y$122,$T105)),"")</f>
        <v/>
      </c>
      <c r="H105" s="20">
        <f>IF(AND(ISNUMBER($T105),$T105&lt;&gt;""),IF(INDEX(IlumaCalc!$Z$3:$Z$122,$T105)="","—",INDEX(IlumaCalc!$Z$3:$Z$122,$T105)),"")</f>
        <v/>
      </c>
      <c r="I105" s="20">
        <f>IF(AND(ISNUMBER($T105),$T105&lt;&gt;""),IF(INDEX(IlumaCalc!$AA$3:$AA$122,$T105)="","—",INDEX(IlumaCalc!$AA$3:$AA$122,$T105)),"")</f>
        <v/>
      </c>
      <c r="J105" s="20">
        <f>IF(AND(ISNUMBER($T105),$T105&lt;&gt;""),IF(INDEX(IlumaCalc!$AB$3:$AB$122,$T105)="","—",INDEX(IlumaCalc!$AB$3:$AB$122,$T105)),"")</f>
        <v/>
      </c>
      <c r="K105" s="20">
        <f>IF(AND(ISNUMBER($T105),$T105&lt;&gt;""),IF(INDEX(IlumaCalc!$AC$3:$AC$122,$T105)="","—",INDEX(IlumaCalc!$AC$3:$AC$122,$T105)),"")</f>
        <v/>
      </c>
      <c r="L105" s="20">
        <f>IF(AND(ISNUMBER($T105),$T105&lt;&gt;""),IF(INDEX(IlumaCalc!$AD$3:$AD$122,$T105)="","—",INDEX(IlumaCalc!$AD$3:$AD$122,$T105)),"")</f>
        <v/>
      </c>
      <c r="M105" s="20">
        <f>IF(AND(ISNUMBER($T105),$T105&lt;&gt;""),IF(INDEX(IlumaCalc!$AE$3:$AE$122,$T105)="","—",INDEX(IlumaCalc!$AE$3:$AE$122,$T105)),"")</f>
        <v/>
      </c>
      <c r="N105" s="20">
        <f>IF(AND(ISNUMBER($T105),$T105&lt;&gt;""),IF(INDEX(IlumaCalc!$AF$3:$AF$122,$T105)="","—",INDEX(IlumaCalc!$AF$3:$AF$122,$T105)),"")</f>
        <v/>
      </c>
      <c r="O105" s="20">
        <f>IF(AND(ISNUMBER($T105),$T105&lt;&gt;""),IF(INDEX(IlumaCalc!$AG$3:$AG$122,$T105)="","—",INDEX(IlumaCalc!$AG$3:$AG$122,$T105)),"")</f>
        <v/>
      </c>
      <c r="P105" s="21">
        <f>IF(AND(ISNUMBER($T105),$T105&lt;&gt;""),IF(INDEX(IlumaCalc!$AJ$3:$AJ$122,$T105)="","—",INDEX(IlumaCalc!$AJ$3:$AJ$122,$T105)),"")</f>
        <v/>
      </c>
      <c r="Q105" s="21">
        <f>IF(AND(ISNUMBER($T105),$T105&lt;&gt;""),IF(INDEX(IlumaCalc!$AK$3:$AK$122,$T105)="","—",INDEX(IlumaCalc!$AK$3:$AK$122,$T105)),"")</f>
        <v/>
      </c>
      <c r="R105" s="20">
        <f>IF(AND(ISNUMBER($T105),$T105&lt;&gt;""),IF(INDEX(IlumaCalc!$AL$3:$AL$122,$T105)="","—",INDEX(IlumaCalc!$AL$3:$AL$122,$T105)),"")</f>
        <v/>
      </c>
      <c r="T105">
        <f>IFERROR(MATCH(101,IlumaCalc!$AN$3:$AN$122,0),"")</f>
        <v/>
      </c>
    </row>
    <row r="106">
      <c r="A106" s="14">
        <f>IF(AND(ISNUMBER($T106),$T106&lt;&gt;""),INDEX(IlumaCalc!$S$3:$S$122,$T106),"")</f>
        <v/>
      </c>
      <c r="B106" s="15">
        <f>IF(AND(ISNUMBER($T106),$T106&lt;&gt;""),IF(INDEX(IlumaCalc!$T$3:$T$122,$T106)="","—",INDEX(IlumaCalc!$T$3:$T$122,$T106)),"")</f>
        <v/>
      </c>
      <c r="C106" s="15">
        <f>IF(AND(ISNUMBER($T106),$T106&lt;&gt;""),IF(INDEX(IlumaCalc!$U$3:$U$122,$T106)="","—",INDEX(IlumaCalc!$U$3:$U$122,$T106)),"")</f>
        <v/>
      </c>
      <c r="D106" s="15">
        <f>IF(AND(ISNUMBER($T106),$T106&lt;&gt;""),IF(INDEX(IlumaCalc!$V$3:$V$122,$T106)="","—",INDEX(IlumaCalc!$V$3:$V$122,$T106)),"")</f>
        <v/>
      </c>
      <c r="E106" s="15">
        <f>IF(AND(ISNUMBER($T106),$T106&lt;&gt;""),IF(INDEX(IlumaCalc!$W$3:$W$122,$T106)="","—",INDEX(IlumaCalc!$W$3:$W$122,$T106)),"")</f>
        <v/>
      </c>
      <c r="F106" s="15">
        <f>IF(AND(ISNUMBER($T106),$T106&lt;&gt;""),IF(INDEX(IlumaCalc!$X$3:$X$122,$T106)="","—",INDEX(IlumaCalc!$X$3:$X$122,$T106)),"")</f>
        <v/>
      </c>
      <c r="G106" s="15">
        <f>IF(AND(ISNUMBER($T106),$T106&lt;&gt;""),IF(INDEX(IlumaCalc!$Y$3:$Y$122,$T106)="","—",INDEX(IlumaCalc!$Y$3:$Y$122,$T106)),"")</f>
        <v/>
      </c>
      <c r="H106" s="15">
        <f>IF(AND(ISNUMBER($T106),$T106&lt;&gt;""),IF(INDEX(IlumaCalc!$Z$3:$Z$122,$T106)="","—",INDEX(IlumaCalc!$Z$3:$Z$122,$T106)),"")</f>
        <v/>
      </c>
      <c r="I106" s="15">
        <f>IF(AND(ISNUMBER($T106),$T106&lt;&gt;""),IF(INDEX(IlumaCalc!$AA$3:$AA$122,$T106)="","—",INDEX(IlumaCalc!$AA$3:$AA$122,$T106)),"")</f>
        <v/>
      </c>
      <c r="J106" s="15">
        <f>IF(AND(ISNUMBER($T106),$T106&lt;&gt;""),IF(INDEX(IlumaCalc!$AB$3:$AB$122,$T106)="","—",INDEX(IlumaCalc!$AB$3:$AB$122,$T106)),"")</f>
        <v/>
      </c>
      <c r="K106" s="15">
        <f>IF(AND(ISNUMBER($T106),$T106&lt;&gt;""),IF(INDEX(IlumaCalc!$AC$3:$AC$122,$T106)="","—",INDEX(IlumaCalc!$AC$3:$AC$122,$T106)),"")</f>
        <v/>
      </c>
      <c r="L106" s="15">
        <f>IF(AND(ISNUMBER($T106),$T106&lt;&gt;""),IF(INDEX(IlumaCalc!$AD$3:$AD$122,$T106)="","—",INDEX(IlumaCalc!$AD$3:$AD$122,$T106)),"")</f>
        <v/>
      </c>
      <c r="M106" s="15">
        <f>IF(AND(ISNUMBER($T106),$T106&lt;&gt;""),IF(INDEX(IlumaCalc!$AE$3:$AE$122,$T106)="","—",INDEX(IlumaCalc!$AE$3:$AE$122,$T106)),"")</f>
        <v/>
      </c>
      <c r="N106" s="15">
        <f>IF(AND(ISNUMBER($T106),$T106&lt;&gt;""),IF(INDEX(IlumaCalc!$AF$3:$AF$122,$T106)="","—",INDEX(IlumaCalc!$AF$3:$AF$122,$T106)),"")</f>
        <v/>
      </c>
      <c r="O106" s="15">
        <f>IF(AND(ISNUMBER($T106),$T106&lt;&gt;""),IF(INDEX(IlumaCalc!$AG$3:$AG$122,$T106)="","—",INDEX(IlumaCalc!$AG$3:$AG$122,$T106)),"")</f>
        <v/>
      </c>
      <c r="P106" s="16">
        <f>IF(AND(ISNUMBER($T106),$T106&lt;&gt;""),IF(INDEX(IlumaCalc!$AJ$3:$AJ$122,$T106)="","—",INDEX(IlumaCalc!$AJ$3:$AJ$122,$T106)),"")</f>
        <v/>
      </c>
      <c r="Q106" s="16">
        <f>IF(AND(ISNUMBER($T106),$T106&lt;&gt;""),IF(INDEX(IlumaCalc!$AK$3:$AK$122,$T106)="","—",INDEX(IlumaCalc!$AK$3:$AK$122,$T106)),"")</f>
        <v/>
      </c>
      <c r="R106" s="15">
        <f>IF(AND(ISNUMBER($T106),$T106&lt;&gt;""),IF(INDEX(IlumaCalc!$AL$3:$AL$122,$T106)="","—",INDEX(IlumaCalc!$AL$3:$AL$122,$T106)),"")</f>
        <v/>
      </c>
      <c r="T106">
        <f>IFERROR(MATCH(102,IlumaCalc!$AN$3:$AN$122,0),"")</f>
        <v/>
      </c>
    </row>
    <row r="107">
      <c r="A107" s="19">
        <f>IF(AND(ISNUMBER($T107),$T107&lt;&gt;""),INDEX(IlumaCalc!$S$3:$S$122,$T107),"")</f>
        <v/>
      </c>
      <c r="B107" s="20">
        <f>IF(AND(ISNUMBER($T107),$T107&lt;&gt;""),IF(INDEX(IlumaCalc!$T$3:$T$122,$T107)="","—",INDEX(IlumaCalc!$T$3:$T$122,$T107)),"")</f>
        <v/>
      </c>
      <c r="C107" s="20">
        <f>IF(AND(ISNUMBER($T107),$T107&lt;&gt;""),IF(INDEX(IlumaCalc!$U$3:$U$122,$T107)="","—",INDEX(IlumaCalc!$U$3:$U$122,$T107)),"")</f>
        <v/>
      </c>
      <c r="D107" s="20">
        <f>IF(AND(ISNUMBER($T107),$T107&lt;&gt;""),IF(INDEX(IlumaCalc!$V$3:$V$122,$T107)="","—",INDEX(IlumaCalc!$V$3:$V$122,$T107)),"")</f>
        <v/>
      </c>
      <c r="E107" s="20">
        <f>IF(AND(ISNUMBER($T107),$T107&lt;&gt;""),IF(INDEX(IlumaCalc!$W$3:$W$122,$T107)="","—",INDEX(IlumaCalc!$W$3:$W$122,$T107)),"")</f>
        <v/>
      </c>
      <c r="F107" s="20">
        <f>IF(AND(ISNUMBER($T107),$T107&lt;&gt;""),IF(INDEX(IlumaCalc!$X$3:$X$122,$T107)="","—",INDEX(IlumaCalc!$X$3:$X$122,$T107)),"")</f>
        <v/>
      </c>
      <c r="G107" s="20">
        <f>IF(AND(ISNUMBER($T107),$T107&lt;&gt;""),IF(INDEX(IlumaCalc!$Y$3:$Y$122,$T107)="","—",INDEX(IlumaCalc!$Y$3:$Y$122,$T107)),"")</f>
        <v/>
      </c>
      <c r="H107" s="20">
        <f>IF(AND(ISNUMBER($T107),$T107&lt;&gt;""),IF(INDEX(IlumaCalc!$Z$3:$Z$122,$T107)="","—",INDEX(IlumaCalc!$Z$3:$Z$122,$T107)),"")</f>
        <v/>
      </c>
      <c r="I107" s="20">
        <f>IF(AND(ISNUMBER($T107),$T107&lt;&gt;""),IF(INDEX(IlumaCalc!$AA$3:$AA$122,$T107)="","—",INDEX(IlumaCalc!$AA$3:$AA$122,$T107)),"")</f>
        <v/>
      </c>
      <c r="J107" s="20">
        <f>IF(AND(ISNUMBER($T107),$T107&lt;&gt;""),IF(INDEX(IlumaCalc!$AB$3:$AB$122,$T107)="","—",INDEX(IlumaCalc!$AB$3:$AB$122,$T107)),"")</f>
        <v/>
      </c>
      <c r="K107" s="20">
        <f>IF(AND(ISNUMBER($T107),$T107&lt;&gt;""),IF(INDEX(IlumaCalc!$AC$3:$AC$122,$T107)="","—",INDEX(IlumaCalc!$AC$3:$AC$122,$T107)),"")</f>
        <v/>
      </c>
      <c r="L107" s="20">
        <f>IF(AND(ISNUMBER($T107),$T107&lt;&gt;""),IF(INDEX(IlumaCalc!$AD$3:$AD$122,$T107)="","—",INDEX(IlumaCalc!$AD$3:$AD$122,$T107)),"")</f>
        <v/>
      </c>
      <c r="M107" s="20">
        <f>IF(AND(ISNUMBER($T107),$T107&lt;&gt;""),IF(INDEX(IlumaCalc!$AE$3:$AE$122,$T107)="","—",INDEX(IlumaCalc!$AE$3:$AE$122,$T107)),"")</f>
        <v/>
      </c>
      <c r="N107" s="20">
        <f>IF(AND(ISNUMBER($T107),$T107&lt;&gt;""),IF(INDEX(IlumaCalc!$AF$3:$AF$122,$T107)="","—",INDEX(IlumaCalc!$AF$3:$AF$122,$T107)),"")</f>
        <v/>
      </c>
      <c r="O107" s="20">
        <f>IF(AND(ISNUMBER($T107),$T107&lt;&gt;""),IF(INDEX(IlumaCalc!$AG$3:$AG$122,$T107)="","—",INDEX(IlumaCalc!$AG$3:$AG$122,$T107)),"")</f>
        <v/>
      </c>
      <c r="P107" s="21">
        <f>IF(AND(ISNUMBER($T107),$T107&lt;&gt;""),IF(INDEX(IlumaCalc!$AJ$3:$AJ$122,$T107)="","—",INDEX(IlumaCalc!$AJ$3:$AJ$122,$T107)),"")</f>
        <v/>
      </c>
      <c r="Q107" s="21">
        <f>IF(AND(ISNUMBER($T107),$T107&lt;&gt;""),IF(INDEX(IlumaCalc!$AK$3:$AK$122,$T107)="","—",INDEX(IlumaCalc!$AK$3:$AK$122,$T107)),"")</f>
        <v/>
      </c>
      <c r="R107" s="20">
        <f>IF(AND(ISNUMBER($T107),$T107&lt;&gt;""),IF(INDEX(IlumaCalc!$AL$3:$AL$122,$T107)="","—",INDEX(IlumaCalc!$AL$3:$AL$122,$T107)),"")</f>
        <v/>
      </c>
      <c r="T107">
        <f>IFERROR(MATCH(103,IlumaCalc!$AN$3:$AN$122,0),"")</f>
        <v/>
      </c>
    </row>
    <row r="108">
      <c r="A108" s="14">
        <f>IF(AND(ISNUMBER($T108),$T108&lt;&gt;""),INDEX(IlumaCalc!$S$3:$S$122,$T108),"")</f>
        <v/>
      </c>
      <c r="B108" s="15">
        <f>IF(AND(ISNUMBER($T108),$T108&lt;&gt;""),IF(INDEX(IlumaCalc!$T$3:$T$122,$T108)="","—",INDEX(IlumaCalc!$T$3:$T$122,$T108)),"")</f>
        <v/>
      </c>
      <c r="C108" s="15">
        <f>IF(AND(ISNUMBER($T108),$T108&lt;&gt;""),IF(INDEX(IlumaCalc!$U$3:$U$122,$T108)="","—",INDEX(IlumaCalc!$U$3:$U$122,$T108)),"")</f>
        <v/>
      </c>
      <c r="D108" s="15">
        <f>IF(AND(ISNUMBER($T108),$T108&lt;&gt;""),IF(INDEX(IlumaCalc!$V$3:$V$122,$T108)="","—",INDEX(IlumaCalc!$V$3:$V$122,$T108)),"")</f>
        <v/>
      </c>
      <c r="E108" s="15">
        <f>IF(AND(ISNUMBER($T108),$T108&lt;&gt;""),IF(INDEX(IlumaCalc!$W$3:$W$122,$T108)="","—",INDEX(IlumaCalc!$W$3:$W$122,$T108)),"")</f>
        <v/>
      </c>
      <c r="F108" s="15">
        <f>IF(AND(ISNUMBER($T108),$T108&lt;&gt;""),IF(INDEX(IlumaCalc!$X$3:$X$122,$T108)="","—",INDEX(IlumaCalc!$X$3:$X$122,$T108)),"")</f>
        <v/>
      </c>
      <c r="G108" s="15">
        <f>IF(AND(ISNUMBER($T108),$T108&lt;&gt;""),IF(INDEX(IlumaCalc!$Y$3:$Y$122,$T108)="","—",INDEX(IlumaCalc!$Y$3:$Y$122,$T108)),"")</f>
        <v/>
      </c>
      <c r="H108" s="15">
        <f>IF(AND(ISNUMBER($T108),$T108&lt;&gt;""),IF(INDEX(IlumaCalc!$Z$3:$Z$122,$T108)="","—",INDEX(IlumaCalc!$Z$3:$Z$122,$T108)),"")</f>
        <v/>
      </c>
      <c r="I108" s="15">
        <f>IF(AND(ISNUMBER($T108),$T108&lt;&gt;""),IF(INDEX(IlumaCalc!$AA$3:$AA$122,$T108)="","—",INDEX(IlumaCalc!$AA$3:$AA$122,$T108)),"")</f>
        <v/>
      </c>
      <c r="J108" s="15">
        <f>IF(AND(ISNUMBER($T108),$T108&lt;&gt;""),IF(INDEX(IlumaCalc!$AB$3:$AB$122,$T108)="","—",INDEX(IlumaCalc!$AB$3:$AB$122,$T108)),"")</f>
        <v/>
      </c>
      <c r="K108" s="15">
        <f>IF(AND(ISNUMBER($T108),$T108&lt;&gt;""),IF(INDEX(IlumaCalc!$AC$3:$AC$122,$T108)="","—",INDEX(IlumaCalc!$AC$3:$AC$122,$T108)),"")</f>
        <v/>
      </c>
      <c r="L108" s="15">
        <f>IF(AND(ISNUMBER($T108),$T108&lt;&gt;""),IF(INDEX(IlumaCalc!$AD$3:$AD$122,$T108)="","—",INDEX(IlumaCalc!$AD$3:$AD$122,$T108)),"")</f>
        <v/>
      </c>
      <c r="M108" s="15">
        <f>IF(AND(ISNUMBER($T108),$T108&lt;&gt;""),IF(INDEX(IlumaCalc!$AE$3:$AE$122,$T108)="","—",INDEX(IlumaCalc!$AE$3:$AE$122,$T108)),"")</f>
        <v/>
      </c>
      <c r="N108" s="15">
        <f>IF(AND(ISNUMBER($T108),$T108&lt;&gt;""),IF(INDEX(IlumaCalc!$AF$3:$AF$122,$T108)="","—",INDEX(IlumaCalc!$AF$3:$AF$122,$T108)),"")</f>
        <v/>
      </c>
      <c r="O108" s="15">
        <f>IF(AND(ISNUMBER($T108),$T108&lt;&gt;""),IF(INDEX(IlumaCalc!$AG$3:$AG$122,$T108)="","—",INDEX(IlumaCalc!$AG$3:$AG$122,$T108)),"")</f>
        <v/>
      </c>
      <c r="P108" s="16">
        <f>IF(AND(ISNUMBER($T108),$T108&lt;&gt;""),IF(INDEX(IlumaCalc!$AJ$3:$AJ$122,$T108)="","—",INDEX(IlumaCalc!$AJ$3:$AJ$122,$T108)),"")</f>
        <v/>
      </c>
      <c r="Q108" s="16">
        <f>IF(AND(ISNUMBER($T108),$T108&lt;&gt;""),IF(INDEX(IlumaCalc!$AK$3:$AK$122,$T108)="","—",INDEX(IlumaCalc!$AK$3:$AK$122,$T108)),"")</f>
        <v/>
      </c>
      <c r="R108" s="15">
        <f>IF(AND(ISNUMBER($T108),$T108&lt;&gt;""),IF(INDEX(IlumaCalc!$AL$3:$AL$122,$T108)="","—",INDEX(IlumaCalc!$AL$3:$AL$122,$T108)),"")</f>
        <v/>
      </c>
      <c r="T108">
        <f>IFERROR(MATCH(104,IlumaCalc!$AN$3:$AN$122,0),"")</f>
        <v/>
      </c>
    </row>
    <row r="109">
      <c r="A109" s="19">
        <f>IF(AND(ISNUMBER($T109),$T109&lt;&gt;""),INDEX(IlumaCalc!$S$3:$S$122,$T109),"")</f>
        <v/>
      </c>
      <c r="B109" s="20">
        <f>IF(AND(ISNUMBER($T109),$T109&lt;&gt;""),IF(INDEX(IlumaCalc!$T$3:$T$122,$T109)="","—",INDEX(IlumaCalc!$T$3:$T$122,$T109)),"")</f>
        <v/>
      </c>
      <c r="C109" s="20">
        <f>IF(AND(ISNUMBER($T109),$T109&lt;&gt;""),IF(INDEX(IlumaCalc!$U$3:$U$122,$T109)="","—",INDEX(IlumaCalc!$U$3:$U$122,$T109)),"")</f>
        <v/>
      </c>
      <c r="D109" s="20">
        <f>IF(AND(ISNUMBER($T109),$T109&lt;&gt;""),IF(INDEX(IlumaCalc!$V$3:$V$122,$T109)="","—",INDEX(IlumaCalc!$V$3:$V$122,$T109)),"")</f>
        <v/>
      </c>
      <c r="E109" s="20">
        <f>IF(AND(ISNUMBER($T109),$T109&lt;&gt;""),IF(INDEX(IlumaCalc!$W$3:$W$122,$T109)="","—",INDEX(IlumaCalc!$W$3:$W$122,$T109)),"")</f>
        <v/>
      </c>
      <c r="F109" s="20">
        <f>IF(AND(ISNUMBER($T109),$T109&lt;&gt;""),IF(INDEX(IlumaCalc!$X$3:$X$122,$T109)="","—",INDEX(IlumaCalc!$X$3:$X$122,$T109)),"")</f>
        <v/>
      </c>
      <c r="G109" s="20">
        <f>IF(AND(ISNUMBER($T109),$T109&lt;&gt;""),IF(INDEX(IlumaCalc!$Y$3:$Y$122,$T109)="","—",INDEX(IlumaCalc!$Y$3:$Y$122,$T109)),"")</f>
        <v/>
      </c>
      <c r="H109" s="20">
        <f>IF(AND(ISNUMBER($T109),$T109&lt;&gt;""),IF(INDEX(IlumaCalc!$Z$3:$Z$122,$T109)="","—",INDEX(IlumaCalc!$Z$3:$Z$122,$T109)),"")</f>
        <v/>
      </c>
      <c r="I109" s="20">
        <f>IF(AND(ISNUMBER($T109),$T109&lt;&gt;""),IF(INDEX(IlumaCalc!$AA$3:$AA$122,$T109)="","—",INDEX(IlumaCalc!$AA$3:$AA$122,$T109)),"")</f>
        <v/>
      </c>
      <c r="J109" s="20">
        <f>IF(AND(ISNUMBER($T109),$T109&lt;&gt;""),IF(INDEX(IlumaCalc!$AB$3:$AB$122,$T109)="","—",INDEX(IlumaCalc!$AB$3:$AB$122,$T109)),"")</f>
        <v/>
      </c>
      <c r="K109" s="20">
        <f>IF(AND(ISNUMBER($T109),$T109&lt;&gt;""),IF(INDEX(IlumaCalc!$AC$3:$AC$122,$T109)="","—",INDEX(IlumaCalc!$AC$3:$AC$122,$T109)),"")</f>
        <v/>
      </c>
      <c r="L109" s="20">
        <f>IF(AND(ISNUMBER($T109),$T109&lt;&gt;""),IF(INDEX(IlumaCalc!$AD$3:$AD$122,$T109)="","—",INDEX(IlumaCalc!$AD$3:$AD$122,$T109)),"")</f>
        <v/>
      </c>
      <c r="M109" s="20">
        <f>IF(AND(ISNUMBER($T109),$T109&lt;&gt;""),IF(INDEX(IlumaCalc!$AE$3:$AE$122,$T109)="","—",INDEX(IlumaCalc!$AE$3:$AE$122,$T109)),"")</f>
        <v/>
      </c>
      <c r="N109" s="20">
        <f>IF(AND(ISNUMBER($T109),$T109&lt;&gt;""),IF(INDEX(IlumaCalc!$AF$3:$AF$122,$T109)="","—",INDEX(IlumaCalc!$AF$3:$AF$122,$T109)),"")</f>
        <v/>
      </c>
      <c r="O109" s="20">
        <f>IF(AND(ISNUMBER($T109),$T109&lt;&gt;""),IF(INDEX(IlumaCalc!$AG$3:$AG$122,$T109)="","—",INDEX(IlumaCalc!$AG$3:$AG$122,$T109)),"")</f>
        <v/>
      </c>
      <c r="P109" s="21">
        <f>IF(AND(ISNUMBER($T109),$T109&lt;&gt;""),IF(INDEX(IlumaCalc!$AJ$3:$AJ$122,$T109)="","—",INDEX(IlumaCalc!$AJ$3:$AJ$122,$T109)),"")</f>
        <v/>
      </c>
      <c r="Q109" s="21">
        <f>IF(AND(ISNUMBER($T109),$T109&lt;&gt;""),IF(INDEX(IlumaCalc!$AK$3:$AK$122,$T109)="","—",INDEX(IlumaCalc!$AK$3:$AK$122,$T109)),"")</f>
        <v/>
      </c>
      <c r="R109" s="20">
        <f>IF(AND(ISNUMBER($T109),$T109&lt;&gt;""),IF(INDEX(IlumaCalc!$AL$3:$AL$122,$T109)="","—",INDEX(IlumaCalc!$AL$3:$AL$122,$T109)),"")</f>
        <v/>
      </c>
      <c r="T109">
        <f>IFERROR(MATCH(105,IlumaCalc!$AN$3:$AN$122,0),"")</f>
        <v/>
      </c>
    </row>
    <row r="110">
      <c r="A110" s="14">
        <f>IF(AND(ISNUMBER($T110),$T110&lt;&gt;""),INDEX(IlumaCalc!$S$3:$S$122,$T110),"")</f>
        <v/>
      </c>
      <c r="B110" s="15">
        <f>IF(AND(ISNUMBER($T110),$T110&lt;&gt;""),IF(INDEX(IlumaCalc!$T$3:$T$122,$T110)="","—",INDEX(IlumaCalc!$T$3:$T$122,$T110)),"")</f>
        <v/>
      </c>
      <c r="C110" s="15">
        <f>IF(AND(ISNUMBER($T110),$T110&lt;&gt;""),IF(INDEX(IlumaCalc!$U$3:$U$122,$T110)="","—",INDEX(IlumaCalc!$U$3:$U$122,$T110)),"")</f>
        <v/>
      </c>
      <c r="D110" s="15">
        <f>IF(AND(ISNUMBER($T110),$T110&lt;&gt;""),IF(INDEX(IlumaCalc!$V$3:$V$122,$T110)="","—",INDEX(IlumaCalc!$V$3:$V$122,$T110)),"")</f>
        <v/>
      </c>
      <c r="E110" s="15">
        <f>IF(AND(ISNUMBER($T110),$T110&lt;&gt;""),IF(INDEX(IlumaCalc!$W$3:$W$122,$T110)="","—",INDEX(IlumaCalc!$W$3:$W$122,$T110)),"")</f>
        <v/>
      </c>
      <c r="F110" s="15">
        <f>IF(AND(ISNUMBER($T110),$T110&lt;&gt;""),IF(INDEX(IlumaCalc!$X$3:$X$122,$T110)="","—",INDEX(IlumaCalc!$X$3:$X$122,$T110)),"")</f>
        <v/>
      </c>
      <c r="G110" s="15">
        <f>IF(AND(ISNUMBER($T110),$T110&lt;&gt;""),IF(INDEX(IlumaCalc!$Y$3:$Y$122,$T110)="","—",INDEX(IlumaCalc!$Y$3:$Y$122,$T110)),"")</f>
        <v/>
      </c>
      <c r="H110" s="15">
        <f>IF(AND(ISNUMBER($T110),$T110&lt;&gt;""),IF(INDEX(IlumaCalc!$Z$3:$Z$122,$T110)="","—",INDEX(IlumaCalc!$Z$3:$Z$122,$T110)),"")</f>
        <v/>
      </c>
      <c r="I110" s="15">
        <f>IF(AND(ISNUMBER($T110),$T110&lt;&gt;""),IF(INDEX(IlumaCalc!$AA$3:$AA$122,$T110)="","—",INDEX(IlumaCalc!$AA$3:$AA$122,$T110)),"")</f>
        <v/>
      </c>
      <c r="J110" s="15">
        <f>IF(AND(ISNUMBER($T110),$T110&lt;&gt;""),IF(INDEX(IlumaCalc!$AB$3:$AB$122,$T110)="","—",INDEX(IlumaCalc!$AB$3:$AB$122,$T110)),"")</f>
        <v/>
      </c>
      <c r="K110" s="15">
        <f>IF(AND(ISNUMBER($T110),$T110&lt;&gt;""),IF(INDEX(IlumaCalc!$AC$3:$AC$122,$T110)="","—",INDEX(IlumaCalc!$AC$3:$AC$122,$T110)),"")</f>
        <v/>
      </c>
      <c r="L110" s="15">
        <f>IF(AND(ISNUMBER($T110),$T110&lt;&gt;""),IF(INDEX(IlumaCalc!$AD$3:$AD$122,$T110)="","—",INDEX(IlumaCalc!$AD$3:$AD$122,$T110)),"")</f>
        <v/>
      </c>
      <c r="M110" s="15">
        <f>IF(AND(ISNUMBER($T110),$T110&lt;&gt;""),IF(INDEX(IlumaCalc!$AE$3:$AE$122,$T110)="","—",INDEX(IlumaCalc!$AE$3:$AE$122,$T110)),"")</f>
        <v/>
      </c>
      <c r="N110" s="15">
        <f>IF(AND(ISNUMBER($T110),$T110&lt;&gt;""),IF(INDEX(IlumaCalc!$AF$3:$AF$122,$T110)="","—",INDEX(IlumaCalc!$AF$3:$AF$122,$T110)),"")</f>
        <v/>
      </c>
      <c r="O110" s="15">
        <f>IF(AND(ISNUMBER($T110),$T110&lt;&gt;""),IF(INDEX(IlumaCalc!$AG$3:$AG$122,$T110)="","—",INDEX(IlumaCalc!$AG$3:$AG$122,$T110)),"")</f>
        <v/>
      </c>
      <c r="P110" s="16">
        <f>IF(AND(ISNUMBER($T110),$T110&lt;&gt;""),IF(INDEX(IlumaCalc!$AJ$3:$AJ$122,$T110)="","—",INDEX(IlumaCalc!$AJ$3:$AJ$122,$T110)),"")</f>
        <v/>
      </c>
      <c r="Q110" s="16">
        <f>IF(AND(ISNUMBER($T110),$T110&lt;&gt;""),IF(INDEX(IlumaCalc!$AK$3:$AK$122,$T110)="","—",INDEX(IlumaCalc!$AK$3:$AK$122,$T110)),"")</f>
        <v/>
      </c>
      <c r="R110" s="15">
        <f>IF(AND(ISNUMBER($T110),$T110&lt;&gt;""),IF(INDEX(IlumaCalc!$AL$3:$AL$122,$T110)="","—",INDEX(IlumaCalc!$AL$3:$AL$122,$T110)),"")</f>
        <v/>
      </c>
      <c r="T110">
        <f>IFERROR(MATCH(106,IlumaCalc!$AN$3:$AN$122,0),"")</f>
        <v/>
      </c>
    </row>
    <row r="111">
      <c r="A111" s="19">
        <f>IF(AND(ISNUMBER($T111),$T111&lt;&gt;""),INDEX(IlumaCalc!$S$3:$S$122,$T111),"")</f>
        <v/>
      </c>
      <c r="B111" s="20">
        <f>IF(AND(ISNUMBER($T111),$T111&lt;&gt;""),IF(INDEX(IlumaCalc!$T$3:$T$122,$T111)="","—",INDEX(IlumaCalc!$T$3:$T$122,$T111)),"")</f>
        <v/>
      </c>
      <c r="C111" s="20">
        <f>IF(AND(ISNUMBER($T111),$T111&lt;&gt;""),IF(INDEX(IlumaCalc!$U$3:$U$122,$T111)="","—",INDEX(IlumaCalc!$U$3:$U$122,$T111)),"")</f>
        <v/>
      </c>
      <c r="D111" s="20">
        <f>IF(AND(ISNUMBER($T111),$T111&lt;&gt;""),IF(INDEX(IlumaCalc!$V$3:$V$122,$T111)="","—",INDEX(IlumaCalc!$V$3:$V$122,$T111)),"")</f>
        <v/>
      </c>
      <c r="E111" s="20">
        <f>IF(AND(ISNUMBER($T111),$T111&lt;&gt;""),IF(INDEX(IlumaCalc!$W$3:$W$122,$T111)="","—",INDEX(IlumaCalc!$W$3:$W$122,$T111)),"")</f>
        <v/>
      </c>
      <c r="F111" s="20">
        <f>IF(AND(ISNUMBER($T111),$T111&lt;&gt;""),IF(INDEX(IlumaCalc!$X$3:$X$122,$T111)="","—",INDEX(IlumaCalc!$X$3:$X$122,$T111)),"")</f>
        <v/>
      </c>
      <c r="G111" s="20">
        <f>IF(AND(ISNUMBER($T111),$T111&lt;&gt;""),IF(INDEX(IlumaCalc!$Y$3:$Y$122,$T111)="","—",INDEX(IlumaCalc!$Y$3:$Y$122,$T111)),"")</f>
        <v/>
      </c>
      <c r="H111" s="20">
        <f>IF(AND(ISNUMBER($T111),$T111&lt;&gt;""),IF(INDEX(IlumaCalc!$Z$3:$Z$122,$T111)="","—",INDEX(IlumaCalc!$Z$3:$Z$122,$T111)),"")</f>
        <v/>
      </c>
      <c r="I111" s="20">
        <f>IF(AND(ISNUMBER($T111),$T111&lt;&gt;""),IF(INDEX(IlumaCalc!$AA$3:$AA$122,$T111)="","—",INDEX(IlumaCalc!$AA$3:$AA$122,$T111)),"")</f>
        <v/>
      </c>
      <c r="J111" s="20">
        <f>IF(AND(ISNUMBER($T111),$T111&lt;&gt;""),IF(INDEX(IlumaCalc!$AB$3:$AB$122,$T111)="","—",INDEX(IlumaCalc!$AB$3:$AB$122,$T111)),"")</f>
        <v/>
      </c>
      <c r="K111" s="20">
        <f>IF(AND(ISNUMBER($T111),$T111&lt;&gt;""),IF(INDEX(IlumaCalc!$AC$3:$AC$122,$T111)="","—",INDEX(IlumaCalc!$AC$3:$AC$122,$T111)),"")</f>
        <v/>
      </c>
      <c r="L111" s="20">
        <f>IF(AND(ISNUMBER($T111),$T111&lt;&gt;""),IF(INDEX(IlumaCalc!$AD$3:$AD$122,$T111)="","—",INDEX(IlumaCalc!$AD$3:$AD$122,$T111)),"")</f>
        <v/>
      </c>
      <c r="M111" s="20">
        <f>IF(AND(ISNUMBER($T111),$T111&lt;&gt;""),IF(INDEX(IlumaCalc!$AE$3:$AE$122,$T111)="","—",INDEX(IlumaCalc!$AE$3:$AE$122,$T111)),"")</f>
        <v/>
      </c>
      <c r="N111" s="20">
        <f>IF(AND(ISNUMBER($T111),$T111&lt;&gt;""),IF(INDEX(IlumaCalc!$AF$3:$AF$122,$T111)="","—",INDEX(IlumaCalc!$AF$3:$AF$122,$T111)),"")</f>
        <v/>
      </c>
      <c r="O111" s="20">
        <f>IF(AND(ISNUMBER($T111),$T111&lt;&gt;""),IF(INDEX(IlumaCalc!$AG$3:$AG$122,$T111)="","—",INDEX(IlumaCalc!$AG$3:$AG$122,$T111)),"")</f>
        <v/>
      </c>
      <c r="P111" s="21">
        <f>IF(AND(ISNUMBER($T111),$T111&lt;&gt;""),IF(INDEX(IlumaCalc!$AJ$3:$AJ$122,$T111)="","—",INDEX(IlumaCalc!$AJ$3:$AJ$122,$T111)),"")</f>
        <v/>
      </c>
      <c r="Q111" s="21">
        <f>IF(AND(ISNUMBER($T111),$T111&lt;&gt;""),IF(INDEX(IlumaCalc!$AK$3:$AK$122,$T111)="","—",INDEX(IlumaCalc!$AK$3:$AK$122,$T111)),"")</f>
        <v/>
      </c>
      <c r="R111" s="20">
        <f>IF(AND(ISNUMBER($T111),$T111&lt;&gt;""),IF(INDEX(IlumaCalc!$AL$3:$AL$122,$T111)="","—",INDEX(IlumaCalc!$AL$3:$AL$122,$T111)),"")</f>
        <v/>
      </c>
      <c r="T111">
        <f>IFERROR(MATCH(107,IlumaCalc!$AN$3:$AN$122,0),"")</f>
        <v/>
      </c>
    </row>
    <row r="112">
      <c r="A112" s="14">
        <f>IF(AND(ISNUMBER($T112),$T112&lt;&gt;""),INDEX(IlumaCalc!$S$3:$S$122,$T112),"")</f>
        <v/>
      </c>
      <c r="B112" s="15">
        <f>IF(AND(ISNUMBER($T112),$T112&lt;&gt;""),IF(INDEX(IlumaCalc!$T$3:$T$122,$T112)="","—",INDEX(IlumaCalc!$T$3:$T$122,$T112)),"")</f>
        <v/>
      </c>
      <c r="C112" s="15">
        <f>IF(AND(ISNUMBER($T112),$T112&lt;&gt;""),IF(INDEX(IlumaCalc!$U$3:$U$122,$T112)="","—",INDEX(IlumaCalc!$U$3:$U$122,$T112)),"")</f>
        <v/>
      </c>
      <c r="D112" s="15">
        <f>IF(AND(ISNUMBER($T112),$T112&lt;&gt;""),IF(INDEX(IlumaCalc!$V$3:$V$122,$T112)="","—",INDEX(IlumaCalc!$V$3:$V$122,$T112)),"")</f>
        <v/>
      </c>
      <c r="E112" s="15">
        <f>IF(AND(ISNUMBER($T112),$T112&lt;&gt;""),IF(INDEX(IlumaCalc!$W$3:$W$122,$T112)="","—",INDEX(IlumaCalc!$W$3:$W$122,$T112)),"")</f>
        <v/>
      </c>
      <c r="F112" s="15">
        <f>IF(AND(ISNUMBER($T112),$T112&lt;&gt;""),IF(INDEX(IlumaCalc!$X$3:$X$122,$T112)="","—",INDEX(IlumaCalc!$X$3:$X$122,$T112)),"")</f>
        <v/>
      </c>
      <c r="G112" s="15">
        <f>IF(AND(ISNUMBER($T112),$T112&lt;&gt;""),IF(INDEX(IlumaCalc!$Y$3:$Y$122,$T112)="","—",INDEX(IlumaCalc!$Y$3:$Y$122,$T112)),"")</f>
        <v/>
      </c>
      <c r="H112" s="15">
        <f>IF(AND(ISNUMBER($T112),$T112&lt;&gt;""),IF(INDEX(IlumaCalc!$Z$3:$Z$122,$T112)="","—",INDEX(IlumaCalc!$Z$3:$Z$122,$T112)),"")</f>
        <v/>
      </c>
      <c r="I112" s="15">
        <f>IF(AND(ISNUMBER($T112),$T112&lt;&gt;""),IF(INDEX(IlumaCalc!$AA$3:$AA$122,$T112)="","—",INDEX(IlumaCalc!$AA$3:$AA$122,$T112)),"")</f>
        <v/>
      </c>
      <c r="J112" s="15">
        <f>IF(AND(ISNUMBER($T112),$T112&lt;&gt;""),IF(INDEX(IlumaCalc!$AB$3:$AB$122,$T112)="","—",INDEX(IlumaCalc!$AB$3:$AB$122,$T112)),"")</f>
        <v/>
      </c>
      <c r="K112" s="15">
        <f>IF(AND(ISNUMBER($T112),$T112&lt;&gt;""),IF(INDEX(IlumaCalc!$AC$3:$AC$122,$T112)="","—",INDEX(IlumaCalc!$AC$3:$AC$122,$T112)),"")</f>
        <v/>
      </c>
      <c r="L112" s="15">
        <f>IF(AND(ISNUMBER($T112),$T112&lt;&gt;""),IF(INDEX(IlumaCalc!$AD$3:$AD$122,$T112)="","—",INDEX(IlumaCalc!$AD$3:$AD$122,$T112)),"")</f>
        <v/>
      </c>
      <c r="M112" s="15">
        <f>IF(AND(ISNUMBER($T112),$T112&lt;&gt;""),IF(INDEX(IlumaCalc!$AE$3:$AE$122,$T112)="","—",INDEX(IlumaCalc!$AE$3:$AE$122,$T112)),"")</f>
        <v/>
      </c>
      <c r="N112" s="15">
        <f>IF(AND(ISNUMBER($T112),$T112&lt;&gt;""),IF(INDEX(IlumaCalc!$AF$3:$AF$122,$T112)="","—",INDEX(IlumaCalc!$AF$3:$AF$122,$T112)),"")</f>
        <v/>
      </c>
      <c r="O112" s="15">
        <f>IF(AND(ISNUMBER($T112),$T112&lt;&gt;""),IF(INDEX(IlumaCalc!$AG$3:$AG$122,$T112)="","—",INDEX(IlumaCalc!$AG$3:$AG$122,$T112)),"")</f>
        <v/>
      </c>
      <c r="P112" s="16">
        <f>IF(AND(ISNUMBER($T112),$T112&lt;&gt;""),IF(INDEX(IlumaCalc!$AJ$3:$AJ$122,$T112)="","—",INDEX(IlumaCalc!$AJ$3:$AJ$122,$T112)),"")</f>
        <v/>
      </c>
      <c r="Q112" s="16">
        <f>IF(AND(ISNUMBER($T112),$T112&lt;&gt;""),IF(INDEX(IlumaCalc!$AK$3:$AK$122,$T112)="","—",INDEX(IlumaCalc!$AK$3:$AK$122,$T112)),"")</f>
        <v/>
      </c>
      <c r="R112" s="15">
        <f>IF(AND(ISNUMBER($T112),$T112&lt;&gt;""),IF(INDEX(IlumaCalc!$AL$3:$AL$122,$T112)="","—",INDEX(IlumaCalc!$AL$3:$AL$122,$T112)),"")</f>
        <v/>
      </c>
      <c r="T112">
        <f>IFERROR(MATCH(108,IlumaCalc!$AN$3:$AN$122,0),"")</f>
        <v/>
      </c>
    </row>
    <row r="113">
      <c r="A113" s="19">
        <f>IF(AND(ISNUMBER($T113),$T113&lt;&gt;""),INDEX(IlumaCalc!$S$3:$S$122,$T113),"")</f>
        <v/>
      </c>
      <c r="B113" s="20">
        <f>IF(AND(ISNUMBER($T113),$T113&lt;&gt;""),IF(INDEX(IlumaCalc!$T$3:$T$122,$T113)="","—",INDEX(IlumaCalc!$T$3:$T$122,$T113)),"")</f>
        <v/>
      </c>
      <c r="C113" s="20">
        <f>IF(AND(ISNUMBER($T113),$T113&lt;&gt;""),IF(INDEX(IlumaCalc!$U$3:$U$122,$T113)="","—",INDEX(IlumaCalc!$U$3:$U$122,$T113)),"")</f>
        <v/>
      </c>
      <c r="D113" s="20">
        <f>IF(AND(ISNUMBER($T113),$T113&lt;&gt;""),IF(INDEX(IlumaCalc!$V$3:$V$122,$T113)="","—",INDEX(IlumaCalc!$V$3:$V$122,$T113)),"")</f>
        <v/>
      </c>
      <c r="E113" s="20">
        <f>IF(AND(ISNUMBER($T113),$T113&lt;&gt;""),IF(INDEX(IlumaCalc!$W$3:$W$122,$T113)="","—",INDEX(IlumaCalc!$W$3:$W$122,$T113)),"")</f>
        <v/>
      </c>
      <c r="F113" s="20">
        <f>IF(AND(ISNUMBER($T113),$T113&lt;&gt;""),IF(INDEX(IlumaCalc!$X$3:$X$122,$T113)="","—",INDEX(IlumaCalc!$X$3:$X$122,$T113)),"")</f>
        <v/>
      </c>
      <c r="G113" s="20">
        <f>IF(AND(ISNUMBER($T113),$T113&lt;&gt;""),IF(INDEX(IlumaCalc!$Y$3:$Y$122,$T113)="","—",INDEX(IlumaCalc!$Y$3:$Y$122,$T113)),"")</f>
        <v/>
      </c>
      <c r="H113" s="20">
        <f>IF(AND(ISNUMBER($T113),$T113&lt;&gt;""),IF(INDEX(IlumaCalc!$Z$3:$Z$122,$T113)="","—",INDEX(IlumaCalc!$Z$3:$Z$122,$T113)),"")</f>
        <v/>
      </c>
      <c r="I113" s="20">
        <f>IF(AND(ISNUMBER($T113),$T113&lt;&gt;""),IF(INDEX(IlumaCalc!$AA$3:$AA$122,$T113)="","—",INDEX(IlumaCalc!$AA$3:$AA$122,$T113)),"")</f>
        <v/>
      </c>
      <c r="J113" s="20">
        <f>IF(AND(ISNUMBER($T113),$T113&lt;&gt;""),IF(INDEX(IlumaCalc!$AB$3:$AB$122,$T113)="","—",INDEX(IlumaCalc!$AB$3:$AB$122,$T113)),"")</f>
        <v/>
      </c>
      <c r="K113" s="20">
        <f>IF(AND(ISNUMBER($T113),$T113&lt;&gt;""),IF(INDEX(IlumaCalc!$AC$3:$AC$122,$T113)="","—",INDEX(IlumaCalc!$AC$3:$AC$122,$T113)),"")</f>
        <v/>
      </c>
      <c r="L113" s="20">
        <f>IF(AND(ISNUMBER($T113),$T113&lt;&gt;""),IF(INDEX(IlumaCalc!$AD$3:$AD$122,$T113)="","—",INDEX(IlumaCalc!$AD$3:$AD$122,$T113)),"")</f>
        <v/>
      </c>
      <c r="M113" s="20">
        <f>IF(AND(ISNUMBER($T113),$T113&lt;&gt;""),IF(INDEX(IlumaCalc!$AE$3:$AE$122,$T113)="","—",INDEX(IlumaCalc!$AE$3:$AE$122,$T113)),"")</f>
        <v/>
      </c>
      <c r="N113" s="20">
        <f>IF(AND(ISNUMBER($T113),$T113&lt;&gt;""),IF(INDEX(IlumaCalc!$AF$3:$AF$122,$T113)="","—",INDEX(IlumaCalc!$AF$3:$AF$122,$T113)),"")</f>
        <v/>
      </c>
      <c r="O113" s="20">
        <f>IF(AND(ISNUMBER($T113),$T113&lt;&gt;""),IF(INDEX(IlumaCalc!$AG$3:$AG$122,$T113)="","—",INDEX(IlumaCalc!$AG$3:$AG$122,$T113)),"")</f>
        <v/>
      </c>
      <c r="P113" s="21">
        <f>IF(AND(ISNUMBER($T113),$T113&lt;&gt;""),IF(INDEX(IlumaCalc!$AJ$3:$AJ$122,$T113)="","—",INDEX(IlumaCalc!$AJ$3:$AJ$122,$T113)),"")</f>
        <v/>
      </c>
      <c r="Q113" s="21">
        <f>IF(AND(ISNUMBER($T113),$T113&lt;&gt;""),IF(INDEX(IlumaCalc!$AK$3:$AK$122,$T113)="","—",INDEX(IlumaCalc!$AK$3:$AK$122,$T113)),"")</f>
        <v/>
      </c>
      <c r="R113" s="20">
        <f>IF(AND(ISNUMBER($T113),$T113&lt;&gt;""),IF(INDEX(IlumaCalc!$AL$3:$AL$122,$T113)="","—",INDEX(IlumaCalc!$AL$3:$AL$122,$T113)),"")</f>
        <v/>
      </c>
      <c r="T113">
        <f>IFERROR(MATCH(109,IlumaCalc!$AN$3:$AN$122,0),"")</f>
        <v/>
      </c>
    </row>
    <row r="114">
      <c r="A114" s="14">
        <f>IF(AND(ISNUMBER($T114),$T114&lt;&gt;""),INDEX(IlumaCalc!$S$3:$S$122,$T114),"")</f>
        <v/>
      </c>
      <c r="B114" s="15">
        <f>IF(AND(ISNUMBER($T114),$T114&lt;&gt;""),IF(INDEX(IlumaCalc!$T$3:$T$122,$T114)="","—",INDEX(IlumaCalc!$T$3:$T$122,$T114)),"")</f>
        <v/>
      </c>
      <c r="C114" s="15">
        <f>IF(AND(ISNUMBER($T114),$T114&lt;&gt;""),IF(INDEX(IlumaCalc!$U$3:$U$122,$T114)="","—",INDEX(IlumaCalc!$U$3:$U$122,$T114)),"")</f>
        <v/>
      </c>
      <c r="D114" s="15">
        <f>IF(AND(ISNUMBER($T114),$T114&lt;&gt;""),IF(INDEX(IlumaCalc!$V$3:$V$122,$T114)="","—",INDEX(IlumaCalc!$V$3:$V$122,$T114)),"")</f>
        <v/>
      </c>
      <c r="E114" s="15">
        <f>IF(AND(ISNUMBER($T114),$T114&lt;&gt;""),IF(INDEX(IlumaCalc!$W$3:$W$122,$T114)="","—",INDEX(IlumaCalc!$W$3:$W$122,$T114)),"")</f>
        <v/>
      </c>
      <c r="F114" s="15">
        <f>IF(AND(ISNUMBER($T114),$T114&lt;&gt;""),IF(INDEX(IlumaCalc!$X$3:$X$122,$T114)="","—",INDEX(IlumaCalc!$X$3:$X$122,$T114)),"")</f>
        <v/>
      </c>
      <c r="G114" s="15">
        <f>IF(AND(ISNUMBER($T114),$T114&lt;&gt;""),IF(INDEX(IlumaCalc!$Y$3:$Y$122,$T114)="","—",INDEX(IlumaCalc!$Y$3:$Y$122,$T114)),"")</f>
        <v/>
      </c>
      <c r="H114" s="15">
        <f>IF(AND(ISNUMBER($T114),$T114&lt;&gt;""),IF(INDEX(IlumaCalc!$Z$3:$Z$122,$T114)="","—",INDEX(IlumaCalc!$Z$3:$Z$122,$T114)),"")</f>
        <v/>
      </c>
      <c r="I114" s="15">
        <f>IF(AND(ISNUMBER($T114),$T114&lt;&gt;""),IF(INDEX(IlumaCalc!$AA$3:$AA$122,$T114)="","—",INDEX(IlumaCalc!$AA$3:$AA$122,$T114)),"")</f>
        <v/>
      </c>
      <c r="J114" s="15">
        <f>IF(AND(ISNUMBER($T114),$T114&lt;&gt;""),IF(INDEX(IlumaCalc!$AB$3:$AB$122,$T114)="","—",INDEX(IlumaCalc!$AB$3:$AB$122,$T114)),"")</f>
        <v/>
      </c>
      <c r="K114" s="15">
        <f>IF(AND(ISNUMBER($T114),$T114&lt;&gt;""),IF(INDEX(IlumaCalc!$AC$3:$AC$122,$T114)="","—",INDEX(IlumaCalc!$AC$3:$AC$122,$T114)),"")</f>
        <v/>
      </c>
      <c r="L114" s="15">
        <f>IF(AND(ISNUMBER($T114),$T114&lt;&gt;""),IF(INDEX(IlumaCalc!$AD$3:$AD$122,$T114)="","—",INDEX(IlumaCalc!$AD$3:$AD$122,$T114)),"")</f>
        <v/>
      </c>
      <c r="M114" s="15">
        <f>IF(AND(ISNUMBER($T114),$T114&lt;&gt;""),IF(INDEX(IlumaCalc!$AE$3:$AE$122,$T114)="","—",INDEX(IlumaCalc!$AE$3:$AE$122,$T114)),"")</f>
        <v/>
      </c>
      <c r="N114" s="15">
        <f>IF(AND(ISNUMBER($T114),$T114&lt;&gt;""),IF(INDEX(IlumaCalc!$AF$3:$AF$122,$T114)="","—",INDEX(IlumaCalc!$AF$3:$AF$122,$T114)),"")</f>
        <v/>
      </c>
      <c r="O114" s="15">
        <f>IF(AND(ISNUMBER($T114),$T114&lt;&gt;""),IF(INDEX(IlumaCalc!$AG$3:$AG$122,$T114)="","—",INDEX(IlumaCalc!$AG$3:$AG$122,$T114)),"")</f>
        <v/>
      </c>
      <c r="P114" s="16">
        <f>IF(AND(ISNUMBER($T114),$T114&lt;&gt;""),IF(INDEX(IlumaCalc!$AJ$3:$AJ$122,$T114)="","—",INDEX(IlumaCalc!$AJ$3:$AJ$122,$T114)),"")</f>
        <v/>
      </c>
      <c r="Q114" s="16">
        <f>IF(AND(ISNUMBER($T114),$T114&lt;&gt;""),IF(INDEX(IlumaCalc!$AK$3:$AK$122,$T114)="","—",INDEX(IlumaCalc!$AK$3:$AK$122,$T114)),"")</f>
        <v/>
      </c>
      <c r="R114" s="15">
        <f>IF(AND(ISNUMBER($T114),$T114&lt;&gt;""),IF(INDEX(IlumaCalc!$AL$3:$AL$122,$T114)="","—",INDEX(IlumaCalc!$AL$3:$AL$122,$T114)),"")</f>
        <v/>
      </c>
      <c r="T114">
        <f>IFERROR(MATCH(110,IlumaCalc!$AN$3:$AN$122,0),"")</f>
        <v/>
      </c>
    </row>
    <row r="115">
      <c r="A115" s="19">
        <f>IF(AND(ISNUMBER($T115),$T115&lt;&gt;""),INDEX(IlumaCalc!$S$3:$S$122,$T115),"")</f>
        <v/>
      </c>
      <c r="B115" s="20">
        <f>IF(AND(ISNUMBER($T115),$T115&lt;&gt;""),IF(INDEX(IlumaCalc!$T$3:$T$122,$T115)="","—",INDEX(IlumaCalc!$T$3:$T$122,$T115)),"")</f>
        <v/>
      </c>
      <c r="C115" s="20">
        <f>IF(AND(ISNUMBER($T115),$T115&lt;&gt;""),IF(INDEX(IlumaCalc!$U$3:$U$122,$T115)="","—",INDEX(IlumaCalc!$U$3:$U$122,$T115)),"")</f>
        <v/>
      </c>
      <c r="D115" s="20">
        <f>IF(AND(ISNUMBER($T115),$T115&lt;&gt;""),IF(INDEX(IlumaCalc!$V$3:$V$122,$T115)="","—",INDEX(IlumaCalc!$V$3:$V$122,$T115)),"")</f>
        <v/>
      </c>
      <c r="E115" s="20">
        <f>IF(AND(ISNUMBER($T115),$T115&lt;&gt;""),IF(INDEX(IlumaCalc!$W$3:$W$122,$T115)="","—",INDEX(IlumaCalc!$W$3:$W$122,$T115)),"")</f>
        <v/>
      </c>
      <c r="F115" s="20">
        <f>IF(AND(ISNUMBER($T115),$T115&lt;&gt;""),IF(INDEX(IlumaCalc!$X$3:$X$122,$T115)="","—",INDEX(IlumaCalc!$X$3:$X$122,$T115)),"")</f>
        <v/>
      </c>
      <c r="G115" s="20">
        <f>IF(AND(ISNUMBER($T115),$T115&lt;&gt;""),IF(INDEX(IlumaCalc!$Y$3:$Y$122,$T115)="","—",INDEX(IlumaCalc!$Y$3:$Y$122,$T115)),"")</f>
        <v/>
      </c>
      <c r="H115" s="20">
        <f>IF(AND(ISNUMBER($T115),$T115&lt;&gt;""),IF(INDEX(IlumaCalc!$Z$3:$Z$122,$T115)="","—",INDEX(IlumaCalc!$Z$3:$Z$122,$T115)),"")</f>
        <v/>
      </c>
      <c r="I115" s="20">
        <f>IF(AND(ISNUMBER($T115),$T115&lt;&gt;""),IF(INDEX(IlumaCalc!$AA$3:$AA$122,$T115)="","—",INDEX(IlumaCalc!$AA$3:$AA$122,$T115)),"")</f>
        <v/>
      </c>
      <c r="J115" s="20">
        <f>IF(AND(ISNUMBER($T115),$T115&lt;&gt;""),IF(INDEX(IlumaCalc!$AB$3:$AB$122,$T115)="","—",INDEX(IlumaCalc!$AB$3:$AB$122,$T115)),"")</f>
        <v/>
      </c>
      <c r="K115" s="20">
        <f>IF(AND(ISNUMBER($T115),$T115&lt;&gt;""),IF(INDEX(IlumaCalc!$AC$3:$AC$122,$T115)="","—",INDEX(IlumaCalc!$AC$3:$AC$122,$T115)),"")</f>
        <v/>
      </c>
      <c r="L115" s="20">
        <f>IF(AND(ISNUMBER($T115),$T115&lt;&gt;""),IF(INDEX(IlumaCalc!$AD$3:$AD$122,$T115)="","—",INDEX(IlumaCalc!$AD$3:$AD$122,$T115)),"")</f>
        <v/>
      </c>
      <c r="M115" s="20">
        <f>IF(AND(ISNUMBER($T115),$T115&lt;&gt;""),IF(INDEX(IlumaCalc!$AE$3:$AE$122,$T115)="","—",INDEX(IlumaCalc!$AE$3:$AE$122,$T115)),"")</f>
        <v/>
      </c>
      <c r="N115" s="20">
        <f>IF(AND(ISNUMBER($T115),$T115&lt;&gt;""),IF(INDEX(IlumaCalc!$AF$3:$AF$122,$T115)="","—",INDEX(IlumaCalc!$AF$3:$AF$122,$T115)),"")</f>
        <v/>
      </c>
      <c r="O115" s="20">
        <f>IF(AND(ISNUMBER($T115),$T115&lt;&gt;""),IF(INDEX(IlumaCalc!$AG$3:$AG$122,$T115)="","—",INDEX(IlumaCalc!$AG$3:$AG$122,$T115)),"")</f>
        <v/>
      </c>
      <c r="P115" s="21">
        <f>IF(AND(ISNUMBER($T115),$T115&lt;&gt;""),IF(INDEX(IlumaCalc!$AJ$3:$AJ$122,$T115)="","—",INDEX(IlumaCalc!$AJ$3:$AJ$122,$T115)),"")</f>
        <v/>
      </c>
      <c r="Q115" s="21">
        <f>IF(AND(ISNUMBER($T115),$T115&lt;&gt;""),IF(INDEX(IlumaCalc!$AK$3:$AK$122,$T115)="","—",INDEX(IlumaCalc!$AK$3:$AK$122,$T115)),"")</f>
        <v/>
      </c>
      <c r="R115" s="20">
        <f>IF(AND(ISNUMBER($T115),$T115&lt;&gt;""),IF(INDEX(IlumaCalc!$AL$3:$AL$122,$T115)="","—",INDEX(IlumaCalc!$AL$3:$AL$122,$T115)),"")</f>
        <v/>
      </c>
      <c r="T115">
        <f>IFERROR(MATCH(111,IlumaCalc!$AN$3:$AN$122,0),"")</f>
        <v/>
      </c>
    </row>
    <row r="116">
      <c r="A116" s="14">
        <f>IF(AND(ISNUMBER($T116),$T116&lt;&gt;""),INDEX(IlumaCalc!$S$3:$S$122,$T116),"")</f>
        <v/>
      </c>
      <c r="B116" s="15">
        <f>IF(AND(ISNUMBER($T116),$T116&lt;&gt;""),IF(INDEX(IlumaCalc!$T$3:$T$122,$T116)="","—",INDEX(IlumaCalc!$T$3:$T$122,$T116)),"")</f>
        <v/>
      </c>
      <c r="C116" s="15">
        <f>IF(AND(ISNUMBER($T116),$T116&lt;&gt;""),IF(INDEX(IlumaCalc!$U$3:$U$122,$T116)="","—",INDEX(IlumaCalc!$U$3:$U$122,$T116)),"")</f>
        <v/>
      </c>
      <c r="D116" s="15">
        <f>IF(AND(ISNUMBER($T116),$T116&lt;&gt;""),IF(INDEX(IlumaCalc!$V$3:$V$122,$T116)="","—",INDEX(IlumaCalc!$V$3:$V$122,$T116)),"")</f>
        <v/>
      </c>
      <c r="E116" s="15">
        <f>IF(AND(ISNUMBER($T116),$T116&lt;&gt;""),IF(INDEX(IlumaCalc!$W$3:$W$122,$T116)="","—",INDEX(IlumaCalc!$W$3:$W$122,$T116)),"")</f>
        <v/>
      </c>
      <c r="F116" s="15">
        <f>IF(AND(ISNUMBER($T116),$T116&lt;&gt;""),IF(INDEX(IlumaCalc!$X$3:$X$122,$T116)="","—",INDEX(IlumaCalc!$X$3:$X$122,$T116)),"")</f>
        <v/>
      </c>
      <c r="G116" s="15">
        <f>IF(AND(ISNUMBER($T116),$T116&lt;&gt;""),IF(INDEX(IlumaCalc!$Y$3:$Y$122,$T116)="","—",INDEX(IlumaCalc!$Y$3:$Y$122,$T116)),"")</f>
        <v/>
      </c>
      <c r="H116" s="15">
        <f>IF(AND(ISNUMBER($T116),$T116&lt;&gt;""),IF(INDEX(IlumaCalc!$Z$3:$Z$122,$T116)="","—",INDEX(IlumaCalc!$Z$3:$Z$122,$T116)),"")</f>
        <v/>
      </c>
      <c r="I116" s="15">
        <f>IF(AND(ISNUMBER($T116),$T116&lt;&gt;""),IF(INDEX(IlumaCalc!$AA$3:$AA$122,$T116)="","—",INDEX(IlumaCalc!$AA$3:$AA$122,$T116)),"")</f>
        <v/>
      </c>
      <c r="J116" s="15">
        <f>IF(AND(ISNUMBER($T116),$T116&lt;&gt;""),IF(INDEX(IlumaCalc!$AB$3:$AB$122,$T116)="","—",INDEX(IlumaCalc!$AB$3:$AB$122,$T116)),"")</f>
        <v/>
      </c>
      <c r="K116" s="15">
        <f>IF(AND(ISNUMBER($T116),$T116&lt;&gt;""),IF(INDEX(IlumaCalc!$AC$3:$AC$122,$T116)="","—",INDEX(IlumaCalc!$AC$3:$AC$122,$T116)),"")</f>
        <v/>
      </c>
      <c r="L116" s="15">
        <f>IF(AND(ISNUMBER($T116),$T116&lt;&gt;""),IF(INDEX(IlumaCalc!$AD$3:$AD$122,$T116)="","—",INDEX(IlumaCalc!$AD$3:$AD$122,$T116)),"")</f>
        <v/>
      </c>
      <c r="M116" s="15">
        <f>IF(AND(ISNUMBER($T116),$T116&lt;&gt;""),IF(INDEX(IlumaCalc!$AE$3:$AE$122,$T116)="","—",INDEX(IlumaCalc!$AE$3:$AE$122,$T116)),"")</f>
        <v/>
      </c>
      <c r="N116" s="15">
        <f>IF(AND(ISNUMBER($T116),$T116&lt;&gt;""),IF(INDEX(IlumaCalc!$AF$3:$AF$122,$T116)="","—",INDEX(IlumaCalc!$AF$3:$AF$122,$T116)),"")</f>
        <v/>
      </c>
      <c r="O116" s="15">
        <f>IF(AND(ISNUMBER($T116),$T116&lt;&gt;""),IF(INDEX(IlumaCalc!$AG$3:$AG$122,$T116)="","—",INDEX(IlumaCalc!$AG$3:$AG$122,$T116)),"")</f>
        <v/>
      </c>
      <c r="P116" s="16">
        <f>IF(AND(ISNUMBER($T116),$T116&lt;&gt;""),IF(INDEX(IlumaCalc!$AJ$3:$AJ$122,$T116)="","—",INDEX(IlumaCalc!$AJ$3:$AJ$122,$T116)),"")</f>
        <v/>
      </c>
      <c r="Q116" s="16">
        <f>IF(AND(ISNUMBER($T116),$T116&lt;&gt;""),IF(INDEX(IlumaCalc!$AK$3:$AK$122,$T116)="","—",INDEX(IlumaCalc!$AK$3:$AK$122,$T116)),"")</f>
        <v/>
      </c>
      <c r="R116" s="15">
        <f>IF(AND(ISNUMBER($T116),$T116&lt;&gt;""),IF(INDEX(IlumaCalc!$AL$3:$AL$122,$T116)="","—",INDEX(IlumaCalc!$AL$3:$AL$122,$T116)),"")</f>
        <v/>
      </c>
      <c r="T116">
        <f>IFERROR(MATCH(112,IlumaCalc!$AN$3:$AN$122,0),"")</f>
        <v/>
      </c>
    </row>
    <row r="117">
      <c r="A117" s="19">
        <f>IF(AND(ISNUMBER($T117),$T117&lt;&gt;""),INDEX(IlumaCalc!$S$3:$S$122,$T117),"")</f>
        <v/>
      </c>
      <c r="B117" s="20">
        <f>IF(AND(ISNUMBER($T117),$T117&lt;&gt;""),IF(INDEX(IlumaCalc!$T$3:$T$122,$T117)="","—",INDEX(IlumaCalc!$T$3:$T$122,$T117)),"")</f>
        <v/>
      </c>
      <c r="C117" s="20">
        <f>IF(AND(ISNUMBER($T117),$T117&lt;&gt;""),IF(INDEX(IlumaCalc!$U$3:$U$122,$T117)="","—",INDEX(IlumaCalc!$U$3:$U$122,$T117)),"")</f>
        <v/>
      </c>
      <c r="D117" s="20">
        <f>IF(AND(ISNUMBER($T117),$T117&lt;&gt;""),IF(INDEX(IlumaCalc!$V$3:$V$122,$T117)="","—",INDEX(IlumaCalc!$V$3:$V$122,$T117)),"")</f>
        <v/>
      </c>
      <c r="E117" s="20">
        <f>IF(AND(ISNUMBER($T117),$T117&lt;&gt;""),IF(INDEX(IlumaCalc!$W$3:$W$122,$T117)="","—",INDEX(IlumaCalc!$W$3:$W$122,$T117)),"")</f>
        <v/>
      </c>
      <c r="F117" s="20">
        <f>IF(AND(ISNUMBER($T117),$T117&lt;&gt;""),IF(INDEX(IlumaCalc!$X$3:$X$122,$T117)="","—",INDEX(IlumaCalc!$X$3:$X$122,$T117)),"")</f>
        <v/>
      </c>
      <c r="G117" s="20">
        <f>IF(AND(ISNUMBER($T117),$T117&lt;&gt;""),IF(INDEX(IlumaCalc!$Y$3:$Y$122,$T117)="","—",INDEX(IlumaCalc!$Y$3:$Y$122,$T117)),"")</f>
        <v/>
      </c>
      <c r="H117" s="20">
        <f>IF(AND(ISNUMBER($T117),$T117&lt;&gt;""),IF(INDEX(IlumaCalc!$Z$3:$Z$122,$T117)="","—",INDEX(IlumaCalc!$Z$3:$Z$122,$T117)),"")</f>
        <v/>
      </c>
      <c r="I117" s="20">
        <f>IF(AND(ISNUMBER($T117),$T117&lt;&gt;""),IF(INDEX(IlumaCalc!$AA$3:$AA$122,$T117)="","—",INDEX(IlumaCalc!$AA$3:$AA$122,$T117)),"")</f>
        <v/>
      </c>
      <c r="J117" s="20">
        <f>IF(AND(ISNUMBER($T117),$T117&lt;&gt;""),IF(INDEX(IlumaCalc!$AB$3:$AB$122,$T117)="","—",INDEX(IlumaCalc!$AB$3:$AB$122,$T117)),"")</f>
        <v/>
      </c>
      <c r="K117" s="20">
        <f>IF(AND(ISNUMBER($T117),$T117&lt;&gt;""),IF(INDEX(IlumaCalc!$AC$3:$AC$122,$T117)="","—",INDEX(IlumaCalc!$AC$3:$AC$122,$T117)),"")</f>
        <v/>
      </c>
      <c r="L117" s="20">
        <f>IF(AND(ISNUMBER($T117),$T117&lt;&gt;""),IF(INDEX(IlumaCalc!$AD$3:$AD$122,$T117)="","—",INDEX(IlumaCalc!$AD$3:$AD$122,$T117)),"")</f>
        <v/>
      </c>
      <c r="M117" s="20">
        <f>IF(AND(ISNUMBER($T117),$T117&lt;&gt;""),IF(INDEX(IlumaCalc!$AE$3:$AE$122,$T117)="","—",INDEX(IlumaCalc!$AE$3:$AE$122,$T117)),"")</f>
        <v/>
      </c>
      <c r="N117" s="20">
        <f>IF(AND(ISNUMBER($T117),$T117&lt;&gt;""),IF(INDEX(IlumaCalc!$AF$3:$AF$122,$T117)="","—",INDEX(IlumaCalc!$AF$3:$AF$122,$T117)),"")</f>
        <v/>
      </c>
      <c r="O117" s="20">
        <f>IF(AND(ISNUMBER($T117),$T117&lt;&gt;""),IF(INDEX(IlumaCalc!$AG$3:$AG$122,$T117)="","—",INDEX(IlumaCalc!$AG$3:$AG$122,$T117)),"")</f>
        <v/>
      </c>
      <c r="P117" s="21">
        <f>IF(AND(ISNUMBER($T117),$T117&lt;&gt;""),IF(INDEX(IlumaCalc!$AJ$3:$AJ$122,$T117)="","—",INDEX(IlumaCalc!$AJ$3:$AJ$122,$T117)),"")</f>
        <v/>
      </c>
      <c r="Q117" s="21">
        <f>IF(AND(ISNUMBER($T117),$T117&lt;&gt;""),IF(INDEX(IlumaCalc!$AK$3:$AK$122,$T117)="","—",INDEX(IlumaCalc!$AK$3:$AK$122,$T117)),"")</f>
        <v/>
      </c>
      <c r="R117" s="20">
        <f>IF(AND(ISNUMBER($T117),$T117&lt;&gt;""),IF(INDEX(IlumaCalc!$AL$3:$AL$122,$T117)="","—",INDEX(IlumaCalc!$AL$3:$AL$122,$T117)),"")</f>
        <v/>
      </c>
      <c r="T117">
        <f>IFERROR(MATCH(113,IlumaCalc!$AN$3:$AN$122,0),"")</f>
        <v/>
      </c>
    </row>
    <row r="118">
      <c r="A118" s="14">
        <f>IF(AND(ISNUMBER($T118),$T118&lt;&gt;""),INDEX(IlumaCalc!$S$3:$S$122,$T118),"")</f>
        <v/>
      </c>
      <c r="B118" s="15">
        <f>IF(AND(ISNUMBER($T118),$T118&lt;&gt;""),IF(INDEX(IlumaCalc!$T$3:$T$122,$T118)="","—",INDEX(IlumaCalc!$T$3:$T$122,$T118)),"")</f>
        <v/>
      </c>
      <c r="C118" s="15">
        <f>IF(AND(ISNUMBER($T118),$T118&lt;&gt;""),IF(INDEX(IlumaCalc!$U$3:$U$122,$T118)="","—",INDEX(IlumaCalc!$U$3:$U$122,$T118)),"")</f>
        <v/>
      </c>
      <c r="D118" s="15">
        <f>IF(AND(ISNUMBER($T118),$T118&lt;&gt;""),IF(INDEX(IlumaCalc!$V$3:$V$122,$T118)="","—",INDEX(IlumaCalc!$V$3:$V$122,$T118)),"")</f>
        <v/>
      </c>
      <c r="E118" s="15">
        <f>IF(AND(ISNUMBER($T118),$T118&lt;&gt;""),IF(INDEX(IlumaCalc!$W$3:$W$122,$T118)="","—",INDEX(IlumaCalc!$W$3:$W$122,$T118)),"")</f>
        <v/>
      </c>
      <c r="F118" s="15">
        <f>IF(AND(ISNUMBER($T118),$T118&lt;&gt;""),IF(INDEX(IlumaCalc!$X$3:$X$122,$T118)="","—",INDEX(IlumaCalc!$X$3:$X$122,$T118)),"")</f>
        <v/>
      </c>
      <c r="G118" s="15">
        <f>IF(AND(ISNUMBER($T118),$T118&lt;&gt;""),IF(INDEX(IlumaCalc!$Y$3:$Y$122,$T118)="","—",INDEX(IlumaCalc!$Y$3:$Y$122,$T118)),"")</f>
        <v/>
      </c>
      <c r="H118" s="15">
        <f>IF(AND(ISNUMBER($T118),$T118&lt;&gt;""),IF(INDEX(IlumaCalc!$Z$3:$Z$122,$T118)="","—",INDEX(IlumaCalc!$Z$3:$Z$122,$T118)),"")</f>
        <v/>
      </c>
      <c r="I118" s="15">
        <f>IF(AND(ISNUMBER($T118),$T118&lt;&gt;""),IF(INDEX(IlumaCalc!$AA$3:$AA$122,$T118)="","—",INDEX(IlumaCalc!$AA$3:$AA$122,$T118)),"")</f>
        <v/>
      </c>
      <c r="J118" s="15">
        <f>IF(AND(ISNUMBER($T118),$T118&lt;&gt;""),IF(INDEX(IlumaCalc!$AB$3:$AB$122,$T118)="","—",INDEX(IlumaCalc!$AB$3:$AB$122,$T118)),"")</f>
        <v/>
      </c>
      <c r="K118" s="15">
        <f>IF(AND(ISNUMBER($T118),$T118&lt;&gt;""),IF(INDEX(IlumaCalc!$AC$3:$AC$122,$T118)="","—",INDEX(IlumaCalc!$AC$3:$AC$122,$T118)),"")</f>
        <v/>
      </c>
      <c r="L118" s="15">
        <f>IF(AND(ISNUMBER($T118),$T118&lt;&gt;""),IF(INDEX(IlumaCalc!$AD$3:$AD$122,$T118)="","—",INDEX(IlumaCalc!$AD$3:$AD$122,$T118)),"")</f>
        <v/>
      </c>
      <c r="M118" s="15">
        <f>IF(AND(ISNUMBER($T118),$T118&lt;&gt;""),IF(INDEX(IlumaCalc!$AE$3:$AE$122,$T118)="","—",INDEX(IlumaCalc!$AE$3:$AE$122,$T118)),"")</f>
        <v/>
      </c>
      <c r="N118" s="15">
        <f>IF(AND(ISNUMBER($T118),$T118&lt;&gt;""),IF(INDEX(IlumaCalc!$AF$3:$AF$122,$T118)="","—",INDEX(IlumaCalc!$AF$3:$AF$122,$T118)),"")</f>
        <v/>
      </c>
      <c r="O118" s="15">
        <f>IF(AND(ISNUMBER($T118),$T118&lt;&gt;""),IF(INDEX(IlumaCalc!$AG$3:$AG$122,$T118)="","—",INDEX(IlumaCalc!$AG$3:$AG$122,$T118)),"")</f>
        <v/>
      </c>
      <c r="P118" s="16">
        <f>IF(AND(ISNUMBER($T118),$T118&lt;&gt;""),IF(INDEX(IlumaCalc!$AJ$3:$AJ$122,$T118)="","—",INDEX(IlumaCalc!$AJ$3:$AJ$122,$T118)),"")</f>
        <v/>
      </c>
      <c r="Q118" s="16">
        <f>IF(AND(ISNUMBER($T118),$T118&lt;&gt;""),IF(INDEX(IlumaCalc!$AK$3:$AK$122,$T118)="","—",INDEX(IlumaCalc!$AK$3:$AK$122,$T118)),"")</f>
        <v/>
      </c>
      <c r="R118" s="15">
        <f>IF(AND(ISNUMBER($T118),$T118&lt;&gt;""),IF(INDEX(IlumaCalc!$AL$3:$AL$122,$T118)="","—",INDEX(IlumaCalc!$AL$3:$AL$122,$T118)),"")</f>
        <v/>
      </c>
      <c r="T118">
        <f>IFERROR(MATCH(114,IlumaCalc!$AN$3:$AN$122,0),"")</f>
        <v/>
      </c>
    </row>
    <row r="119">
      <c r="A119" s="19">
        <f>IF(AND(ISNUMBER($T119),$T119&lt;&gt;""),INDEX(IlumaCalc!$S$3:$S$122,$T119),"")</f>
        <v/>
      </c>
      <c r="B119" s="20">
        <f>IF(AND(ISNUMBER($T119),$T119&lt;&gt;""),IF(INDEX(IlumaCalc!$T$3:$T$122,$T119)="","—",INDEX(IlumaCalc!$T$3:$T$122,$T119)),"")</f>
        <v/>
      </c>
      <c r="C119" s="20">
        <f>IF(AND(ISNUMBER($T119),$T119&lt;&gt;""),IF(INDEX(IlumaCalc!$U$3:$U$122,$T119)="","—",INDEX(IlumaCalc!$U$3:$U$122,$T119)),"")</f>
        <v/>
      </c>
      <c r="D119" s="20">
        <f>IF(AND(ISNUMBER($T119),$T119&lt;&gt;""),IF(INDEX(IlumaCalc!$V$3:$V$122,$T119)="","—",INDEX(IlumaCalc!$V$3:$V$122,$T119)),"")</f>
        <v/>
      </c>
      <c r="E119" s="20">
        <f>IF(AND(ISNUMBER($T119),$T119&lt;&gt;""),IF(INDEX(IlumaCalc!$W$3:$W$122,$T119)="","—",INDEX(IlumaCalc!$W$3:$W$122,$T119)),"")</f>
        <v/>
      </c>
      <c r="F119" s="20">
        <f>IF(AND(ISNUMBER($T119),$T119&lt;&gt;""),IF(INDEX(IlumaCalc!$X$3:$X$122,$T119)="","—",INDEX(IlumaCalc!$X$3:$X$122,$T119)),"")</f>
        <v/>
      </c>
      <c r="G119" s="20">
        <f>IF(AND(ISNUMBER($T119),$T119&lt;&gt;""),IF(INDEX(IlumaCalc!$Y$3:$Y$122,$T119)="","—",INDEX(IlumaCalc!$Y$3:$Y$122,$T119)),"")</f>
        <v/>
      </c>
      <c r="H119" s="20">
        <f>IF(AND(ISNUMBER($T119),$T119&lt;&gt;""),IF(INDEX(IlumaCalc!$Z$3:$Z$122,$T119)="","—",INDEX(IlumaCalc!$Z$3:$Z$122,$T119)),"")</f>
        <v/>
      </c>
      <c r="I119" s="20">
        <f>IF(AND(ISNUMBER($T119),$T119&lt;&gt;""),IF(INDEX(IlumaCalc!$AA$3:$AA$122,$T119)="","—",INDEX(IlumaCalc!$AA$3:$AA$122,$T119)),"")</f>
        <v/>
      </c>
      <c r="J119" s="20">
        <f>IF(AND(ISNUMBER($T119),$T119&lt;&gt;""),IF(INDEX(IlumaCalc!$AB$3:$AB$122,$T119)="","—",INDEX(IlumaCalc!$AB$3:$AB$122,$T119)),"")</f>
        <v/>
      </c>
      <c r="K119" s="20">
        <f>IF(AND(ISNUMBER($T119),$T119&lt;&gt;""),IF(INDEX(IlumaCalc!$AC$3:$AC$122,$T119)="","—",INDEX(IlumaCalc!$AC$3:$AC$122,$T119)),"")</f>
        <v/>
      </c>
      <c r="L119" s="20">
        <f>IF(AND(ISNUMBER($T119),$T119&lt;&gt;""),IF(INDEX(IlumaCalc!$AD$3:$AD$122,$T119)="","—",INDEX(IlumaCalc!$AD$3:$AD$122,$T119)),"")</f>
        <v/>
      </c>
      <c r="M119" s="20">
        <f>IF(AND(ISNUMBER($T119),$T119&lt;&gt;""),IF(INDEX(IlumaCalc!$AE$3:$AE$122,$T119)="","—",INDEX(IlumaCalc!$AE$3:$AE$122,$T119)),"")</f>
        <v/>
      </c>
      <c r="N119" s="20">
        <f>IF(AND(ISNUMBER($T119),$T119&lt;&gt;""),IF(INDEX(IlumaCalc!$AF$3:$AF$122,$T119)="","—",INDEX(IlumaCalc!$AF$3:$AF$122,$T119)),"")</f>
        <v/>
      </c>
      <c r="O119" s="20">
        <f>IF(AND(ISNUMBER($T119),$T119&lt;&gt;""),IF(INDEX(IlumaCalc!$AG$3:$AG$122,$T119)="","—",INDEX(IlumaCalc!$AG$3:$AG$122,$T119)),"")</f>
        <v/>
      </c>
      <c r="P119" s="21">
        <f>IF(AND(ISNUMBER($T119),$T119&lt;&gt;""),IF(INDEX(IlumaCalc!$AJ$3:$AJ$122,$T119)="","—",INDEX(IlumaCalc!$AJ$3:$AJ$122,$T119)),"")</f>
        <v/>
      </c>
      <c r="Q119" s="21">
        <f>IF(AND(ISNUMBER($T119),$T119&lt;&gt;""),IF(INDEX(IlumaCalc!$AK$3:$AK$122,$T119)="","—",INDEX(IlumaCalc!$AK$3:$AK$122,$T119)),"")</f>
        <v/>
      </c>
      <c r="R119" s="20">
        <f>IF(AND(ISNUMBER($T119),$T119&lt;&gt;""),IF(INDEX(IlumaCalc!$AL$3:$AL$122,$T119)="","—",INDEX(IlumaCalc!$AL$3:$AL$122,$T119)),"")</f>
        <v/>
      </c>
      <c r="T119">
        <f>IFERROR(MATCH(115,IlumaCalc!$AN$3:$AN$122,0),"")</f>
        <v/>
      </c>
    </row>
    <row r="120">
      <c r="A120" s="14">
        <f>IF(AND(ISNUMBER($T120),$T120&lt;&gt;""),INDEX(IlumaCalc!$S$3:$S$122,$T120),"")</f>
        <v/>
      </c>
      <c r="B120" s="15">
        <f>IF(AND(ISNUMBER($T120),$T120&lt;&gt;""),IF(INDEX(IlumaCalc!$T$3:$T$122,$T120)="","—",INDEX(IlumaCalc!$T$3:$T$122,$T120)),"")</f>
        <v/>
      </c>
      <c r="C120" s="15">
        <f>IF(AND(ISNUMBER($T120),$T120&lt;&gt;""),IF(INDEX(IlumaCalc!$U$3:$U$122,$T120)="","—",INDEX(IlumaCalc!$U$3:$U$122,$T120)),"")</f>
        <v/>
      </c>
      <c r="D120" s="15">
        <f>IF(AND(ISNUMBER($T120),$T120&lt;&gt;""),IF(INDEX(IlumaCalc!$V$3:$V$122,$T120)="","—",INDEX(IlumaCalc!$V$3:$V$122,$T120)),"")</f>
        <v/>
      </c>
      <c r="E120" s="15">
        <f>IF(AND(ISNUMBER($T120),$T120&lt;&gt;""),IF(INDEX(IlumaCalc!$W$3:$W$122,$T120)="","—",INDEX(IlumaCalc!$W$3:$W$122,$T120)),"")</f>
        <v/>
      </c>
      <c r="F120" s="15">
        <f>IF(AND(ISNUMBER($T120),$T120&lt;&gt;""),IF(INDEX(IlumaCalc!$X$3:$X$122,$T120)="","—",INDEX(IlumaCalc!$X$3:$X$122,$T120)),"")</f>
        <v/>
      </c>
      <c r="G120" s="15">
        <f>IF(AND(ISNUMBER($T120),$T120&lt;&gt;""),IF(INDEX(IlumaCalc!$Y$3:$Y$122,$T120)="","—",INDEX(IlumaCalc!$Y$3:$Y$122,$T120)),"")</f>
        <v/>
      </c>
      <c r="H120" s="15">
        <f>IF(AND(ISNUMBER($T120),$T120&lt;&gt;""),IF(INDEX(IlumaCalc!$Z$3:$Z$122,$T120)="","—",INDEX(IlumaCalc!$Z$3:$Z$122,$T120)),"")</f>
        <v/>
      </c>
      <c r="I120" s="15">
        <f>IF(AND(ISNUMBER($T120),$T120&lt;&gt;""),IF(INDEX(IlumaCalc!$AA$3:$AA$122,$T120)="","—",INDEX(IlumaCalc!$AA$3:$AA$122,$T120)),"")</f>
        <v/>
      </c>
      <c r="J120" s="15">
        <f>IF(AND(ISNUMBER($T120),$T120&lt;&gt;""),IF(INDEX(IlumaCalc!$AB$3:$AB$122,$T120)="","—",INDEX(IlumaCalc!$AB$3:$AB$122,$T120)),"")</f>
        <v/>
      </c>
      <c r="K120" s="15">
        <f>IF(AND(ISNUMBER($T120),$T120&lt;&gt;""),IF(INDEX(IlumaCalc!$AC$3:$AC$122,$T120)="","—",INDEX(IlumaCalc!$AC$3:$AC$122,$T120)),"")</f>
        <v/>
      </c>
      <c r="L120" s="15">
        <f>IF(AND(ISNUMBER($T120),$T120&lt;&gt;""),IF(INDEX(IlumaCalc!$AD$3:$AD$122,$T120)="","—",INDEX(IlumaCalc!$AD$3:$AD$122,$T120)),"")</f>
        <v/>
      </c>
      <c r="M120" s="15">
        <f>IF(AND(ISNUMBER($T120),$T120&lt;&gt;""),IF(INDEX(IlumaCalc!$AE$3:$AE$122,$T120)="","—",INDEX(IlumaCalc!$AE$3:$AE$122,$T120)),"")</f>
        <v/>
      </c>
      <c r="N120" s="15">
        <f>IF(AND(ISNUMBER($T120),$T120&lt;&gt;""),IF(INDEX(IlumaCalc!$AF$3:$AF$122,$T120)="","—",INDEX(IlumaCalc!$AF$3:$AF$122,$T120)),"")</f>
        <v/>
      </c>
      <c r="O120" s="15">
        <f>IF(AND(ISNUMBER($T120),$T120&lt;&gt;""),IF(INDEX(IlumaCalc!$AG$3:$AG$122,$T120)="","—",INDEX(IlumaCalc!$AG$3:$AG$122,$T120)),"")</f>
        <v/>
      </c>
      <c r="P120" s="16">
        <f>IF(AND(ISNUMBER($T120),$T120&lt;&gt;""),IF(INDEX(IlumaCalc!$AJ$3:$AJ$122,$T120)="","—",INDEX(IlumaCalc!$AJ$3:$AJ$122,$T120)),"")</f>
        <v/>
      </c>
      <c r="Q120" s="16">
        <f>IF(AND(ISNUMBER($T120),$T120&lt;&gt;""),IF(INDEX(IlumaCalc!$AK$3:$AK$122,$T120)="","—",INDEX(IlumaCalc!$AK$3:$AK$122,$T120)),"")</f>
        <v/>
      </c>
      <c r="R120" s="15">
        <f>IF(AND(ISNUMBER($T120),$T120&lt;&gt;""),IF(INDEX(IlumaCalc!$AL$3:$AL$122,$T120)="","—",INDEX(IlumaCalc!$AL$3:$AL$122,$T120)),"")</f>
        <v/>
      </c>
      <c r="T120">
        <f>IFERROR(MATCH(116,IlumaCalc!$AN$3:$AN$122,0),"")</f>
        <v/>
      </c>
    </row>
    <row r="121">
      <c r="A121" s="19">
        <f>IF(AND(ISNUMBER($T121),$T121&lt;&gt;""),INDEX(IlumaCalc!$S$3:$S$122,$T121),"")</f>
        <v/>
      </c>
      <c r="B121" s="20">
        <f>IF(AND(ISNUMBER($T121),$T121&lt;&gt;""),IF(INDEX(IlumaCalc!$T$3:$T$122,$T121)="","—",INDEX(IlumaCalc!$T$3:$T$122,$T121)),"")</f>
        <v/>
      </c>
      <c r="C121" s="20">
        <f>IF(AND(ISNUMBER($T121),$T121&lt;&gt;""),IF(INDEX(IlumaCalc!$U$3:$U$122,$T121)="","—",INDEX(IlumaCalc!$U$3:$U$122,$T121)),"")</f>
        <v/>
      </c>
      <c r="D121" s="20">
        <f>IF(AND(ISNUMBER($T121),$T121&lt;&gt;""),IF(INDEX(IlumaCalc!$V$3:$V$122,$T121)="","—",INDEX(IlumaCalc!$V$3:$V$122,$T121)),"")</f>
        <v/>
      </c>
      <c r="E121" s="20">
        <f>IF(AND(ISNUMBER($T121),$T121&lt;&gt;""),IF(INDEX(IlumaCalc!$W$3:$W$122,$T121)="","—",INDEX(IlumaCalc!$W$3:$W$122,$T121)),"")</f>
        <v/>
      </c>
      <c r="F121" s="20">
        <f>IF(AND(ISNUMBER($T121),$T121&lt;&gt;""),IF(INDEX(IlumaCalc!$X$3:$X$122,$T121)="","—",INDEX(IlumaCalc!$X$3:$X$122,$T121)),"")</f>
        <v/>
      </c>
      <c r="G121" s="20">
        <f>IF(AND(ISNUMBER($T121),$T121&lt;&gt;""),IF(INDEX(IlumaCalc!$Y$3:$Y$122,$T121)="","—",INDEX(IlumaCalc!$Y$3:$Y$122,$T121)),"")</f>
        <v/>
      </c>
      <c r="H121" s="20">
        <f>IF(AND(ISNUMBER($T121),$T121&lt;&gt;""),IF(INDEX(IlumaCalc!$Z$3:$Z$122,$T121)="","—",INDEX(IlumaCalc!$Z$3:$Z$122,$T121)),"")</f>
        <v/>
      </c>
      <c r="I121" s="20">
        <f>IF(AND(ISNUMBER($T121),$T121&lt;&gt;""),IF(INDEX(IlumaCalc!$AA$3:$AA$122,$T121)="","—",INDEX(IlumaCalc!$AA$3:$AA$122,$T121)),"")</f>
        <v/>
      </c>
      <c r="J121" s="20">
        <f>IF(AND(ISNUMBER($T121),$T121&lt;&gt;""),IF(INDEX(IlumaCalc!$AB$3:$AB$122,$T121)="","—",INDEX(IlumaCalc!$AB$3:$AB$122,$T121)),"")</f>
        <v/>
      </c>
      <c r="K121" s="20">
        <f>IF(AND(ISNUMBER($T121),$T121&lt;&gt;""),IF(INDEX(IlumaCalc!$AC$3:$AC$122,$T121)="","—",INDEX(IlumaCalc!$AC$3:$AC$122,$T121)),"")</f>
        <v/>
      </c>
      <c r="L121" s="20">
        <f>IF(AND(ISNUMBER($T121),$T121&lt;&gt;""),IF(INDEX(IlumaCalc!$AD$3:$AD$122,$T121)="","—",INDEX(IlumaCalc!$AD$3:$AD$122,$T121)),"")</f>
        <v/>
      </c>
      <c r="M121" s="20">
        <f>IF(AND(ISNUMBER($T121),$T121&lt;&gt;""),IF(INDEX(IlumaCalc!$AE$3:$AE$122,$T121)="","—",INDEX(IlumaCalc!$AE$3:$AE$122,$T121)),"")</f>
        <v/>
      </c>
      <c r="N121" s="20">
        <f>IF(AND(ISNUMBER($T121),$T121&lt;&gt;""),IF(INDEX(IlumaCalc!$AF$3:$AF$122,$T121)="","—",INDEX(IlumaCalc!$AF$3:$AF$122,$T121)),"")</f>
        <v/>
      </c>
      <c r="O121" s="20">
        <f>IF(AND(ISNUMBER($T121),$T121&lt;&gt;""),IF(INDEX(IlumaCalc!$AG$3:$AG$122,$T121)="","—",INDEX(IlumaCalc!$AG$3:$AG$122,$T121)),"")</f>
        <v/>
      </c>
      <c r="P121" s="21">
        <f>IF(AND(ISNUMBER($T121),$T121&lt;&gt;""),IF(INDEX(IlumaCalc!$AJ$3:$AJ$122,$T121)="","—",INDEX(IlumaCalc!$AJ$3:$AJ$122,$T121)),"")</f>
        <v/>
      </c>
      <c r="Q121" s="21">
        <f>IF(AND(ISNUMBER($T121),$T121&lt;&gt;""),IF(INDEX(IlumaCalc!$AK$3:$AK$122,$T121)="","—",INDEX(IlumaCalc!$AK$3:$AK$122,$T121)),"")</f>
        <v/>
      </c>
      <c r="R121" s="20">
        <f>IF(AND(ISNUMBER($T121),$T121&lt;&gt;""),IF(INDEX(IlumaCalc!$AL$3:$AL$122,$T121)="","—",INDEX(IlumaCalc!$AL$3:$AL$122,$T121)),"")</f>
        <v/>
      </c>
      <c r="T121">
        <f>IFERROR(MATCH(117,IlumaCalc!$AN$3:$AN$122,0),"")</f>
        <v/>
      </c>
    </row>
    <row r="122">
      <c r="A122" s="14">
        <f>IF(AND(ISNUMBER($T122),$T122&lt;&gt;""),INDEX(IlumaCalc!$S$3:$S$122,$T122),"")</f>
        <v/>
      </c>
      <c r="B122" s="15">
        <f>IF(AND(ISNUMBER($T122),$T122&lt;&gt;""),IF(INDEX(IlumaCalc!$T$3:$T$122,$T122)="","—",INDEX(IlumaCalc!$T$3:$T$122,$T122)),"")</f>
        <v/>
      </c>
      <c r="C122" s="15">
        <f>IF(AND(ISNUMBER($T122),$T122&lt;&gt;""),IF(INDEX(IlumaCalc!$U$3:$U$122,$T122)="","—",INDEX(IlumaCalc!$U$3:$U$122,$T122)),"")</f>
        <v/>
      </c>
      <c r="D122" s="15">
        <f>IF(AND(ISNUMBER($T122),$T122&lt;&gt;""),IF(INDEX(IlumaCalc!$V$3:$V$122,$T122)="","—",INDEX(IlumaCalc!$V$3:$V$122,$T122)),"")</f>
        <v/>
      </c>
      <c r="E122" s="15">
        <f>IF(AND(ISNUMBER($T122),$T122&lt;&gt;""),IF(INDEX(IlumaCalc!$W$3:$W$122,$T122)="","—",INDEX(IlumaCalc!$W$3:$W$122,$T122)),"")</f>
        <v/>
      </c>
      <c r="F122" s="15">
        <f>IF(AND(ISNUMBER($T122),$T122&lt;&gt;""),IF(INDEX(IlumaCalc!$X$3:$X$122,$T122)="","—",INDEX(IlumaCalc!$X$3:$X$122,$T122)),"")</f>
        <v/>
      </c>
      <c r="G122" s="15">
        <f>IF(AND(ISNUMBER($T122),$T122&lt;&gt;""),IF(INDEX(IlumaCalc!$Y$3:$Y$122,$T122)="","—",INDEX(IlumaCalc!$Y$3:$Y$122,$T122)),"")</f>
        <v/>
      </c>
      <c r="H122" s="15">
        <f>IF(AND(ISNUMBER($T122),$T122&lt;&gt;""),IF(INDEX(IlumaCalc!$Z$3:$Z$122,$T122)="","—",INDEX(IlumaCalc!$Z$3:$Z$122,$T122)),"")</f>
        <v/>
      </c>
      <c r="I122" s="15">
        <f>IF(AND(ISNUMBER($T122),$T122&lt;&gt;""),IF(INDEX(IlumaCalc!$AA$3:$AA$122,$T122)="","—",INDEX(IlumaCalc!$AA$3:$AA$122,$T122)),"")</f>
        <v/>
      </c>
      <c r="J122" s="15">
        <f>IF(AND(ISNUMBER($T122),$T122&lt;&gt;""),IF(INDEX(IlumaCalc!$AB$3:$AB$122,$T122)="","—",INDEX(IlumaCalc!$AB$3:$AB$122,$T122)),"")</f>
        <v/>
      </c>
      <c r="K122" s="15">
        <f>IF(AND(ISNUMBER($T122),$T122&lt;&gt;""),IF(INDEX(IlumaCalc!$AC$3:$AC$122,$T122)="","—",INDEX(IlumaCalc!$AC$3:$AC$122,$T122)),"")</f>
        <v/>
      </c>
      <c r="L122" s="15">
        <f>IF(AND(ISNUMBER($T122),$T122&lt;&gt;""),IF(INDEX(IlumaCalc!$AD$3:$AD$122,$T122)="","—",INDEX(IlumaCalc!$AD$3:$AD$122,$T122)),"")</f>
        <v/>
      </c>
      <c r="M122" s="15">
        <f>IF(AND(ISNUMBER($T122),$T122&lt;&gt;""),IF(INDEX(IlumaCalc!$AE$3:$AE$122,$T122)="","—",INDEX(IlumaCalc!$AE$3:$AE$122,$T122)),"")</f>
        <v/>
      </c>
      <c r="N122" s="15">
        <f>IF(AND(ISNUMBER($T122),$T122&lt;&gt;""),IF(INDEX(IlumaCalc!$AF$3:$AF$122,$T122)="","—",INDEX(IlumaCalc!$AF$3:$AF$122,$T122)),"")</f>
        <v/>
      </c>
      <c r="O122" s="15">
        <f>IF(AND(ISNUMBER($T122),$T122&lt;&gt;""),IF(INDEX(IlumaCalc!$AG$3:$AG$122,$T122)="","—",INDEX(IlumaCalc!$AG$3:$AG$122,$T122)),"")</f>
        <v/>
      </c>
      <c r="P122" s="16">
        <f>IF(AND(ISNUMBER($T122),$T122&lt;&gt;""),IF(INDEX(IlumaCalc!$AJ$3:$AJ$122,$T122)="","—",INDEX(IlumaCalc!$AJ$3:$AJ$122,$T122)),"")</f>
        <v/>
      </c>
      <c r="Q122" s="16">
        <f>IF(AND(ISNUMBER($T122),$T122&lt;&gt;""),IF(INDEX(IlumaCalc!$AK$3:$AK$122,$T122)="","—",INDEX(IlumaCalc!$AK$3:$AK$122,$T122)),"")</f>
        <v/>
      </c>
      <c r="R122" s="15">
        <f>IF(AND(ISNUMBER($T122),$T122&lt;&gt;""),IF(INDEX(IlumaCalc!$AL$3:$AL$122,$T122)="","—",INDEX(IlumaCalc!$AL$3:$AL$122,$T122)),"")</f>
        <v/>
      </c>
      <c r="T122">
        <f>IFERROR(MATCH(118,IlumaCalc!$AN$3:$AN$122,0),"")</f>
        <v/>
      </c>
    </row>
    <row r="123">
      <c r="A123" s="19">
        <f>IF(AND(ISNUMBER($T123),$T123&lt;&gt;""),INDEX(IlumaCalc!$S$3:$S$122,$T123),"")</f>
        <v/>
      </c>
      <c r="B123" s="20">
        <f>IF(AND(ISNUMBER($T123),$T123&lt;&gt;""),IF(INDEX(IlumaCalc!$T$3:$T$122,$T123)="","—",INDEX(IlumaCalc!$T$3:$T$122,$T123)),"")</f>
        <v/>
      </c>
      <c r="C123" s="20">
        <f>IF(AND(ISNUMBER($T123),$T123&lt;&gt;""),IF(INDEX(IlumaCalc!$U$3:$U$122,$T123)="","—",INDEX(IlumaCalc!$U$3:$U$122,$T123)),"")</f>
        <v/>
      </c>
      <c r="D123" s="20">
        <f>IF(AND(ISNUMBER($T123),$T123&lt;&gt;""),IF(INDEX(IlumaCalc!$V$3:$V$122,$T123)="","—",INDEX(IlumaCalc!$V$3:$V$122,$T123)),"")</f>
        <v/>
      </c>
      <c r="E123" s="20">
        <f>IF(AND(ISNUMBER($T123),$T123&lt;&gt;""),IF(INDEX(IlumaCalc!$W$3:$W$122,$T123)="","—",INDEX(IlumaCalc!$W$3:$W$122,$T123)),"")</f>
        <v/>
      </c>
      <c r="F123" s="20">
        <f>IF(AND(ISNUMBER($T123),$T123&lt;&gt;""),IF(INDEX(IlumaCalc!$X$3:$X$122,$T123)="","—",INDEX(IlumaCalc!$X$3:$X$122,$T123)),"")</f>
        <v/>
      </c>
      <c r="G123" s="20">
        <f>IF(AND(ISNUMBER($T123),$T123&lt;&gt;""),IF(INDEX(IlumaCalc!$Y$3:$Y$122,$T123)="","—",INDEX(IlumaCalc!$Y$3:$Y$122,$T123)),"")</f>
        <v/>
      </c>
      <c r="H123" s="20">
        <f>IF(AND(ISNUMBER($T123),$T123&lt;&gt;""),IF(INDEX(IlumaCalc!$Z$3:$Z$122,$T123)="","—",INDEX(IlumaCalc!$Z$3:$Z$122,$T123)),"")</f>
        <v/>
      </c>
      <c r="I123" s="20">
        <f>IF(AND(ISNUMBER($T123),$T123&lt;&gt;""),IF(INDEX(IlumaCalc!$AA$3:$AA$122,$T123)="","—",INDEX(IlumaCalc!$AA$3:$AA$122,$T123)),"")</f>
        <v/>
      </c>
      <c r="J123" s="20">
        <f>IF(AND(ISNUMBER($T123),$T123&lt;&gt;""),IF(INDEX(IlumaCalc!$AB$3:$AB$122,$T123)="","—",INDEX(IlumaCalc!$AB$3:$AB$122,$T123)),"")</f>
        <v/>
      </c>
      <c r="K123" s="20">
        <f>IF(AND(ISNUMBER($T123),$T123&lt;&gt;""),IF(INDEX(IlumaCalc!$AC$3:$AC$122,$T123)="","—",INDEX(IlumaCalc!$AC$3:$AC$122,$T123)),"")</f>
        <v/>
      </c>
      <c r="L123" s="20">
        <f>IF(AND(ISNUMBER($T123),$T123&lt;&gt;""),IF(INDEX(IlumaCalc!$AD$3:$AD$122,$T123)="","—",INDEX(IlumaCalc!$AD$3:$AD$122,$T123)),"")</f>
        <v/>
      </c>
      <c r="M123" s="20">
        <f>IF(AND(ISNUMBER($T123),$T123&lt;&gt;""),IF(INDEX(IlumaCalc!$AE$3:$AE$122,$T123)="","—",INDEX(IlumaCalc!$AE$3:$AE$122,$T123)),"")</f>
        <v/>
      </c>
      <c r="N123" s="20">
        <f>IF(AND(ISNUMBER($T123),$T123&lt;&gt;""),IF(INDEX(IlumaCalc!$AF$3:$AF$122,$T123)="","—",INDEX(IlumaCalc!$AF$3:$AF$122,$T123)),"")</f>
        <v/>
      </c>
      <c r="O123" s="20">
        <f>IF(AND(ISNUMBER($T123),$T123&lt;&gt;""),IF(INDEX(IlumaCalc!$AG$3:$AG$122,$T123)="","—",INDEX(IlumaCalc!$AG$3:$AG$122,$T123)),"")</f>
        <v/>
      </c>
      <c r="P123" s="21">
        <f>IF(AND(ISNUMBER($T123),$T123&lt;&gt;""),IF(INDEX(IlumaCalc!$AJ$3:$AJ$122,$T123)="","—",INDEX(IlumaCalc!$AJ$3:$AJ$122,$T123)),"")</f>
        <v/>
      </c>
      <c r="Q123" s="21">
        <f>IF(AND(ISNUMBER($T123),$T123&lt;&gt;""),IF(INDEX(IlumaCalc!$AK$3:$AK$122,$T123)="","—",INDEX(IlumaCalc!$AK$3:$AK$122,$T123)),"")</f>
        <v/>
      </c>
      <c r="R123" s="20">
        <f>IF(AND(ISNUMBER($T123),$T123&lt;&gt;""),IF(INDEX(IlumaCalc!$AL$3:$AL$122,$T123)="","—",INDEX(IlumaCalc!$AL$3:$AL$122,$T123)),"")</f>
        <v/>
      </c>
      <c r="T123">
        <f>IFERROR(MATCH(119,IlumaCalc!$AN$3:$AN$122,0),"")</f>
        <v/>
      </c>
    </row>
    <row r="124">
      <c r="A124" s="14">
        <f>IF(AND(ISNUMBER($T124),$T124&lt;&gt;""),INDEX(IlumaCalc!$S$3:$S$122,$T124),"")</f>
        <v/>
      </c>
      <c r="B124" s="15">
        <f>IF(AND(ISNUMBER($T124),$T124&lt;&gt;""),IF(INDEX(IlumaCalc!$T$3:$T$122,$T124)="","—",INDEX(IlumaCalc!$T$3:$T$122,$T124)),"")</f>
        <v/>
      </c>
      <c r="C124" s="15">
        <f>IF(AND(ISNUMBER($T124),$T124&lt;&gt;""),IF(INDEX(IlumaCalc!$U$3:$U$122,$T124)="","—",INDEX(IlumaCalc!$U$3:$U$122,$T124)),"")</f>
        <v/>
      </c>
      <c r="D124" s="15">
        <f>IF(AND(ISNUMBER($T124),$T124&lt;&gt;""),IF(INDEX(IlumaCalc!$V$3:$V$122,$T124)="","—",INDEX(IlumaCalc!$V$3:$V$122,$T124)),"")</f>
        <v/>
      </c>
      <c r="E124" s="15">
        <f>IF(AND(ISNUMBER($T124),$T124&lt;&gt;""),IF(INDEX(IlumaCalc!$W$3:$W$122,$T124)="","—",INDEX(IlumaCalc!$W$3:$W$122,$T124)),"")</f>
        <v/>
      </c>
      <c r="F124" s="15">
        <f>IF(AND(ISNUMBER($T124),$T124&lt;&gt;""),IF(INDEX(IlumaCalc!$X$3:$X$122,$T124)="","—",INDEX(IlumaCalc!$X$3:$X$122,$T124)),"")</f>
        <v/>
      </c>
      <c r="G124" s="15">
        <f>IF(AND(ISNUMBER($T124),$T124&lt;&gt;""),IF(INDEX(IlumaCalc!$Y$3:$Y$122,$T124)="","—",INDEX(IlumaCalc!$Y$3:$Y$122,$T124)),"")</f>
        <v/>
      </c>
      <c r="H124" s="15">
        <f>IF(AND(ISNUMBER($T124),$T124&lt;&gt;""),IF(INDEX(IlumaCalc!$Z$3:$Z$122,$T124)="","—",INDEX(IlumaCalc!$Z$3:$Z$122,$T124)),"")</f>
        <v/>
      </c>
      <c r="I124" s="15">
        <f>IF(AND(ISNUMBER($T124),$T124&lt;&gt;""),IF(INDEX(IlumaCalc!$AA$3:$AA$122,$T124)="","—",INDEX(IlumaCalc!$AA$3:$AA$122,$T124)),"")</f>
        <v/>
      </c>
      <c r="J124" s="15">
        <f>IF(AND(ISNUMBER($T124),$T124&lt;&gt;""),IF(INDEX(IlumaCalc!$AB$3:$AB$122,$T124)="","—",INDEX(IlumaCalc!$AB$3:$AB$122,$T124)),"")</f>
        <v/>
      </c>
      <c r="K124" s="15">
        <f>IF(AND(ISNUMBER($T124),$T124&lt;&gt;""),IF(INDEX(IlumaCalc!$AC$3:$AC$122,$T124)="","—",INDEX(IlumaCalc!$AC$3:$AC$122,$T124)),"")</f>
        <v/>
      </c>
      <c r="L124" s="15">
        <f>IF(AND(ISNUMBER($T124),$T124&lt;&gt;""),IF(INDEX(IlumaCalc!$AD$3:$AD$122,$T124)="","—",INDEX(IlumaCalc!$AD$3:$AD$122,$T124)),"")</f>
        <v/>
      </c>
      <c r="M124" s="15">
        <f>IF(AND(ISNUMBER($T124),$T124&lt;&gt;""),IF(INDEX(IlumaCalc!$AE$3:$AE$122,$T124)="","—",INDEX(IlumaCalc!$AE$3:$AE$122,$T124)),"")</f>
        <v/>
      </c>
      <c r="N124" s="15">
        <f>IF(AND(ISNUMBER($T124),$T124&lt;&gt;""),IF(INDEX(IlumaCalc!$AF$3:$AF$122,$T124)="","—",INDEX(IlumaCalc!$AF$3:$AF$122,$T124)),"")</f>
        <v/>
      </c>
      <c r="O124" s="15">
        <f>IF(AND(ISNUMBER($T124),$T124&lt;&gt;""),IF(INDEX(IlumaCalc!$AG$3:$AG$122,$T124)="","—",INDEX(IlumaCalc!$AG$3:$AG$122,$T124)),"")</f>
        <v/>
      </c>
      <c r="P124" s="16">
        <f>IF(AND(ISNUMBER($T124),$T124&lt;&gt;""),IF(INDEX(IlumaCalc!$AJ$3:$AJ$122,$T124)="","—",INDEX(IlumaCalc!$AJ$3:$AJ$122,$T124)),"")</f>
        <v/>
      </c>
      <c r="Q124" s="16">
        <f>IF(AND(ISNUMBER($T124),$T124&lt;&gt;""),IF(INDEX(IlumaCalc!$AK$3:$AK$122,$T124)="","—",INDEX(IlumaCalc!$AK$3:$AK$122,$T124)),"")</f>
        <v/>
      </c>
      <c r="R124" s="15">
        <f>IF(AND(ISNUMBER($T124),$T124&lt;&gt;""),IF(INDEX(IlumaCalc!$AL$3:$AL$122,$T124)="","—",INDEX(IlumaCalc!$AL$3:$AL$122,$T124)),"")</f>
        <v/>
      </c>
      <c r="T124">
        <f>IFERROR(MATCH(120,IlumaCalc!$AN$3:$AN$122,0),"")</f>
        <v/>
      </c>
    </row>
  </sheetData>
  <mergeCells count="1">
    <mergeCell ref="A2:R2"/>
  </mergeCells>
  <conditionalFormatting sqref="B5:Q124">
    <cfRule type="expression" priority="1" dxfId="0" stopIfTrue="1">
      <formula>AND(ISNUMBER(B5),B5=0)</formula>
    </cfRule>
    <cfRule type="expression" priority="2" dxfId="1" stopIfTrue="1">
      <formula>AND(ISNUMBER(B5),ABS(B5)&gt;=10)</formula>
    </cfRule>
    <cfRule type="expression" priority="3" dxfId="2" stopIfTrue="1">
      <formula>AND(ISNUMBER(B5),ABS(B5)&gt;=5)</formula>
    </cfRule>
    <cfRule type="expression" priority="4" dxfId="3" stopIfTrue="1">
      <formula>AND(ISNUMBER(B5),ABS(B5)&gt;=1)</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sheetPr>
  <dimension ref="A1:A36"/>
  <sheetViews>
    <sheetView showGridLines="0" workbookViewId="0">
      <selection activeCell="A1" sqref="A1"/>
    </sheetView>
  </sheetViews>
  <sheetFormatPr baseColWidth="8" defaultRowHeight="15"/>
  <cols>
    <col width="112" customWidth="1" min="1" max="1"/>
  </cols>
  <sheetData>
    <row r="1">
      <c r="A1" s="24" t="inlineStr">
        <is>
          <t>Reconciliation — how to read this</t>
        </is>
      </c>
    </row>
    <row r="2">
      <c r="A2" s="27" t="inlineStr"/>
    </row>
    <row r="3">
      <c r="A3" s="28" t="inlineStr">
        <is>
          <t>One shelf, one pair of tabs</t>
        </is>
      </c>
    </row>
    <row r="4">
      <c r="A4" s="27" t="inlineStr">
        <is>
          <t>Daily and Trends are cigarettes, Lubes Daily and Lubes Trends are lubes and Iluma Daily and Iluma Trends are heated tobacco.</t>
        </is>
      </c>
    </row>
    <row r="5">
      <c r="A5" s="27" t="inlineStr">
        <is>
          <t>They are the same layout repeated, and they read nothing from each other: each pair is fed by its own query, because each shelf is counted separately and reconciles against its own POS report. Everything below applies to all of them.</t>
        </is>
      </c>
    </row>
    <row r="6">
      <c r="A6" s="27" t="inlineStr">
        <is>
          <t>A shelf with no sales report imported yet still fills in — opening, added, closing and Sold (counted) all come from the counts. It is Sold (POS) and Variance that stay as dashes until that shelf's report is loaded, which is the honest answer: nothing has been checked against anything.</t>
        </is>
      </c>
    </row>
    <row r="7">
      <c r="A7" s="27" t="inlineStr"/>
    </row>
    <row r="8">
      <c r="A8" s="28" t="inlineStr">
        <is>
          <t>Daily</t>
        </is>
      </c>
    </row>
    <row r="9">
      <c r="A9" s="27" t="inlineStr">
        <is>
          <t>Pick a trading day from the dropdown at the top. Everything below it, and every figure in the summary, follows that one choice — one table, one set of formatting. Rows are ordered by how far the variance is from zero, so whatever needs attention is at the top rather than wherever the alphabet put it.</t>
        </is>
      </c>
    </row>
    <row r="10">
      <c r="A10" s="27" t="inlineStr">
        <is>
          <t>Ctrl+P prints exactly the day on screen, on one page, with the header row repeated.</t>
        </is>
      </c>
    </row>
    <row r="11">
      <c r="A11" s="27" t="inlineStr">
        <is>
          <t>The line at the top right says how many days are loaded and what the latest one is. If the day you counted this morning is not the latest, the file has not been refreshed — press Data &gt; Refresh All.</t>
        </is>
      </c>
    </row>
    <row r="12">
      <c r="A12" s="27" t="inlineStr"/>
    </row>
    <row r="13">
      <c r="A13" s="28" t="inlineStr">
        <is>
          <t>What the columns mean</t>
        </is>
      </c>
    </row>
    <row r="14">
      <c r="A14" s="27" t="inlineStr">
        <is>
          <t>Opening — what the previous submitted count left on the shelf. "Opening from" in the summary is the day that count was taken. If it is not the day before, a day was skipped, and two days of sales are folded into one figure.</t>
        </is>
      </c>
    </row>
    <row r="15">
      <c r="A15" s="27" t="inlineStr">
        <is>
          <t>Added — packs put onto the shelf since that opening count, from the restock records. Several restocks in the same period are summed.</t>
        </is>
      </c>
    </row>
    <row r="16">
      <c r="A16" s="27" t="inlineStr">
        <is>
          <t>Closing — what was counted on the trading day named at the top.</t>
        </is>
      </c>
    </row>
    <row r="17">
      <c r="A17" s="27" t="inlineStr">
        <is>
          <t>Sold (counted) — Opening plus Added minus Closing. What the shelf says went out.</t>
        </is>
      </c>
    </row>
    <row r="18">
      <c r="A18" s="27" t="inlineStr">
        <is>
          <t>Sold (POS) — what the till says it sold, from the imported sales report.</t>
        </is>
      </c>
    </row>
    <row r="19">
      <c r="A19" s="27" t="inlineStr">
        <is>
          <t>Variance — Sold (counted) minus Sold (POS), straight from the database view. It is not recalculated here, so it cannot drift from what the system believes.</t>
        </is>
      </c>
    </row>
    <row r="20">
      <c r="A20" s="27" t="inlineStr">
        <is>
          <t xml:space="preserve">  positive — more left the shelf than the till sold: shrinkage, a miscount, or stock put out and not recorded.</t>
        </is>
      </c>
    </row>
    <row r="21">
      <c r="A21" s="27" t="inlineStr">
        <is>
          <t xml:space="preserve">  negative — the till sold more than the shelf lost: usually a delivery.</t>
        </is>
      </c>
    </row>
    <row r="22">
      <c r="A22" s="27" t="inlineStr">
        <is>
          <t xml:space="preserve">  an em dash — not known, not zero. Either no POS sales are loaded for that day, or it is the first count of that product and there is no opening to sell down from.</t>
        </is>
      </c>
    </row>
    <row r="23">
      <c r="A23" s="27" t="inlineStr">
        <is>
          <t>Variance RM — the variance valued at the price that day's report printed, falling back to the product list price. Blank means neither is known.</t>
        </is>
      </c>
    </row>
    <row r="24">
      <c r="A24" s="27" t="inlineStr"/>
    </row>
    <row r="25">
      <c r="A25" s="28" t="inlineStr">
        <is>
          <t>Trends</t>
        </is>
      </c>
    </row>
    <row r="26">
      <c r="A26" s="27" t="inlineStr">
        <is>
          <t>Variance by product over the last 14 counted days, sorted by how many days each product was off before how large the gap was. That ordering is the point: five nights of one pack is a leak worth chasing, one night of five packs is an event. The leak sits at the top. Anything older than 14 days is still on the Data sheet.</t>
        </is>
      </c>
    </row>
    <row r="27">
      <c r="A27" s="27" t="inlineStr"/>
    </row>
    <row r="28">
      <c r="A28" s="28" t="inlineStr">
        <is>
          <t>Two things that will skew variance</t>
        </is>
      </c>
    </row>
    <row r="29">
      <c r="A29" s="27" t="inlineStr">
        <is>
          <t>Deliveries have to be recorded to count. The count screen collects one number per product and does not capture stock put out during the day; that is what the Restock screen is for, and what the Added column shows. A delivery nobody recorded still reads as negative variance, because as far as the shelf is concerned the packs appeared from nowhere. Check Added before believing a large negative day.</t>
        </is>
      </c>
    </row>
    <row r="30">
      <c r="A30" s="27" t="inlineStr">
        <is>
          <t>Counts must be consecutive. Opening is the previous submitted count's closing, whatever date that was. Check "Opening from" before believing a large variance.</t>
        </is>
      </c>
    </row>
    <row r="31">
      <c r="A31" s="27" t="inlineStr"/>
    </row>
    <row r="32">
      <c r="A32" s="28" t="inlineStr">
        <is>
          <t>Refreshing</t>
        </is>
      </c>
    </row>
    <row r="33">
      <c r="A33" s="27" t="inlineStr">
        <is>
          <t>Data &gt; Refresh All, or just open the file if refresh-on-open is ticked. It refreshes every shelf at once. The rows come from the database through one query per shelf — Counts for cigarettes, Lubes for lubes and Iluma for heated tobacco; the sheets are formulas on top of them, so new days and new products appear without anything being edited.</t>
        </is>
      </c>
    </row>
    <row r="34">
      <c r="A34" s="27" t="inlineStr">
        <is>
          <t>The Data and Calc sheets are hidden — one pair per shelf. Data is a query's landing zone and Calc holds the working-out. Neither should be edited by hand: Data is overwritten on every refresh, and Calc is what that shelf's tabs read.</t>
        </is>
      </c>
    </row>
    <row r="35">
      <c r="A35" s="27" t="inlineStr">
        <is>
          <t>If a Daily tab says WRONG QUERY at the top right, it is being fed another shelf's query — the queries differ by one line and two of them have been mixed up. Reattach that one with the right Category line; the Setup sheet has the detail.</t>
        </is>
      </c>
    </row>
    <row r="36">
      <c r="A36" s="27" t="inlineStr">
        <is>
          <t>An empty pair of tabs means no count of that shelf has been SUBMITTED yet. A draft never reaches Excel, which is deliberate: a half-finished count must not reconcile.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2"/>
  <sheetViews>
    <sheetView showGridLines="0" workbookViewId="0">
      <selection activeCell="A1" sqref="A1"/>
    </sheetView>
  </sheetViews>
  <sheetFormatPr baseColWidth="8" defaultRowHeight="15"/>
  <cols>
    <col width="104" customWidth="1" min="1" max="1"/>
  </cols>
  <sheetData>
    <row r="1">
      <c r="A1" s="24" t="inlineStr">
        <is>
          <t>Attach the data — about fifteen minutes, once</t>
        </is>
      </c>
    </row>
    <row r="2">
      <c r="A2" s="27" t="inlineStr"/>
    </row>
    <row r="3">
      <c r="A3" s="27" t="inlineStr">
        <is>
          <t>There is one query per shelf, 3 in all, and each one lands on its own hidden sheet. You paste the query once and duplicate it for the rest, so the extra shelves are a couple of minutes each. Until a shelf's query is attached its tabs are empty and the line at the top right of its Daily tab says so. Nothing is broken; the rows simply are not there yet. After it is done the workbook refreshes itself and this sheet can be ignored.</t>
        </is>
      </c>
    </row>
    <row r="4">
      <c r="A4" s="27" t="inlineStr"/>
    </row>
    <row r="5">
      <c r="A5" s="27" t="inlineStr">
        <is>
          <t xml:space="preserve">     Cigarettes       query named  Counts   loads to  Data!$A$1</t>
        </is>
      </c>
    </row>
    <row r="6">
      <c r="A6" s="27" t="inlineStr">
        <is>
          <t xml:space="preserve">     Lubes            query named  Lubes    loads to  LubesData!$A$1</t>
        </is>
      </c>
    </row>
    <row r="7">
      <c r="A7" s="27" t="inlineStr">
        <is>
          <t xml:space="preserve">     Heated Tobacco   query named  Iluma    loads to  IlumaData!$A$1</t>
        </is>
      </c>
    </row>
    <row r="8">
      <c r="A8" s="27" t="inlineStr"/>
    </row>
    <row r="9">
      <c r="A9" s="27" t="inlineStr">
        <is>
          <t>All 3 queries are the SAME FILE with one line changed. That is the one thing to be careful about here, and the workbook checks it for you: if a tab ends up fed by the wrong shelf's query, the line at its top right says WRONG QUERY instead of naming a date. A tab quietly showing another shelf's rows would otherwise look perfectly reasonable and be about the wrong stock entirely.</t>
        </is>
      </c>
    </row>
    <row r="10">
      <c r="A10" s="27" t="inlineStr"/>
    </row>
    <row r="11">
      <c r="A11" s="28" t="inlineStr">
        <is>
          <t>Paste the query ONCE, then duplicate it</t>
        </is>
      </c>
    </row>
    <row r="12">
      <c r="A12" s="27" t="inlineStr">
        <is>
          <t>Steps 1 to 5 build the first shelf from the .m file. Step 6 clones it for the others, which is quicker and cannot introduce a typo into the parts that must stay identical — only the Category line is ever meant to differ.</t>
        </is>
      </c>
    </row>
    <row r="13">
      <c r="A13" s="27" t="inlineStr"/>
    </row>
    <row r="14">
      <c r="A14" s="28" t="inlineStr">
        <is>
          <t>1. Open a blank query</t>
        </is>
      </c>
    </row>
    <row r="15">
      <c r="A15" s="27" t="inlineStr">
        <is>
          <t>Data &gt; Get Data &gt; From Other Sources &gt; Blank Query.</t>
        </is>
      </c>
    </row>
    <row r="16">
      <c r="A16" s="27" t="inlineStr"/>
    </row>
    <row r="17">
      <c r="A17" s="28" t="inlineStr">
        <is>
          <t>2. Paste the query</t>
        </is>
      </c>
    </row>
    <row r="18">
      <c r="A18" s="27" t="inlineStr">
        <is>
          <t>Home &gt; Advanced Editor. Delete what is there. Paste the whole of counts_query.m from the excel folder. Done.</t>
        </is>
      </c>
    </row>
    <row r="19">
      <c r="A19" s="27" t="inlineStr"/>
    </row>
    <row r="20">
      <c r="A20" s="28" t="inlineStr">
        <is>
          <t>3. Name it  Counts</t>
        </is>
      </c>
    </row>
    <row r="21">
      <c r="A21" s="27" t="inlineStr">
        <is>
          <t>In the Query Settings pane on the right. Leave the Category line alone — it already says "CIGARETTES". The name drives no formula, since the sheets address columns by position, but the next person has to be able to tell the queries apart.</t>
        </is>
      </c>
    </row>
    <row r="22">
      <c r="A22" s="27" t="inlineStr"/>
    </row>
    <row r="23">
      <c r="A23" s="28" t="inlineStr">
        <is>
          <t>4. Load it onto  Data!$A$1</t>
        </is>
      </c>
    </row>
    <row r="24">
      <c r="A24" s="27" t="inlineStr">
        <is>
          <t>Home &gt; Close &amp; Load To... &gt; Table &gt; Existing worksheet &gt; put the cursor in Data!$A$1 &gt; OK. If Excel asks about credentials for supabase.co, choose Anonymous.</t>
        </is>
      </c>
    </row>
    <row r="25">
      <c r="A25" s="27" t="inlineStr">
        <is>
          <t>IMPORTANT: it must land at A1 of that sheet, and the columns must sit in the order the query returns them, because every formula in the workbook finds its values by column position. If it lands somewhere else, undo and redo this step.</t>
        </is>
      </c>
    </row>
    <row r="26">
      <c r="A26" s="27" t="inlineStr">
        <is>
          <t>Do NOT use plain "Close &amp; Load" — that makes a new sheet of its own and leaves the Data sheet empty, so every tab stays blank while looking attached.</t>
        </is>
      </c>
    </row>
    <row r="27">
      <c r="A27" s="27" t="inlineStr"/>
    </row>
    <row r="28">
      <c r="A28" s="28" t="inlineStr">
        <is>
          <t>5. Make it automatic</t>
        </is>
      </c>
    </row>
    <row r="29">
      <c r="A29" s="27" t="inlineStr">
        <is>
          <t>Data &gt; Queries &amp; Connections &gt; right-click the query &gt; Properties. Tick "Refresh data when opening the file" and "Refresh every 60 minutes".</t>
        </is>
      </c>
    </row>
    <row r="30">
      <c r="A30" s="27" t="inlineStr"/>
    </row>
    <row r="31">
      <c r="A31" s="28" t="inlineStr">
        <is>
          <t>6. Duplicate it for the other shelves</t>
        </is>
      </c>
    </row>
    <row r="32">
      <c r="A32" s="27" t="inlineStr">
        <is>
          <t>Data &gt; Queries &amp; Connections. Right-click Counts &gt; Duplicate. Then on the copy:</t>
        </is>
      </c>
    </row>
    <row r="33">
      <c r="A33" s="27" t="inlineStr">
        <is>
          <t xml:space="preserve">  a. Rename it to the query name in the table above.</t>
        </is>
      </c>
    </row>
    <row r="34">
      <c r="A34" s="27" t="inlineStr">
        <is>
          <t xml:space="preserve">  b. Home &gt; Advanced Editor, and change the one Category line to that shelf.</t>
        </is>
      </c>
    </row>
    <row r="35">
      <c r="A35" s="27" t="inlineStr">
        <is>
          <t xml:space="preserve">  c. Close &amp; Load To... &gt; Table &gt; Existing worksheet &gt; that shelf's cell from the table above.</t>
        </is>
      </c>
    </row>
    <row r="36">
      <c r="A36" s="27" t="inlineStr">
        <is>
          <t xml:space="preserve">  d. Properties &gt; tick the same two refresh boxes.</t>
        </is>
      </c>
    </row>
    <row r="37">
      <c r="A37" s="27" t="inlineStr">
        <is>
          <t>2 more times, one per remaining row. The queries are independent: attaching one does nothing to the others, and a shelf with no query is simply a pair of empty tabs.</t>
        </is>
      </c>
    </row>
    <row r="38">
      <c r="A38" s="27" t="inlineStr"/>
    </row>
    <row r="39">
      <c r="A39" s="28" t="inlineStr">
        <is>
          <t>Then check three things</t>
        </is>
      </c>
    </row>
    <row r="40">
      <c r="A40" s="27" t="inlineStr">
        <is>
          <t>The top right of each Daily tab names that shelf's latest counted day. It should be the most recent count of that shelf that has been submitted — and it must not say WRONG QUERY.</t>
        </is>
      </c>
    </row>
    <row r="41">
      <c r="A41" s="27" t="inlineStr">
        <is>
          <t>Pick the earliest day in the dropdown — the very first count. Variance, Opening and Sold (counted) should all read as dashes, and the amber line should say there is no opening figure. If any of those read 0 instead, tell Claude: a dash means "not checked" and a zero means "agreed", and they must never be confused.</t>
        </is>
      </c>
    </row>
    <row r="42">
      <c r="A42" s="27" t="inlineStr">
        <is>
          <t>Submit a count, then press Data &gt; Refresh All. The new day should appear in that shelf's dropdown on its own.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122"/>
  <sheetViews>
    <sheetView workbookViewId="0">
      <selection activeCell="A1" sqref="A1"/>
    </sheetView>
  </sheetViews>
  <sheetFormatPr baseColWidth="8" defaultRowHeight="15"/>
  <sheetData>
    <row r="1">
      <c r="A1" s="29" t="inlineStr">
        <is>
          <t>per-day summary (day_no 1 = most recent counted day)</t>
        </is>
      </c>
      <c r="R1" s="29" t="inlineStr">
        <is>
          <t>per-product trends over the last 14 days</t>
        </is>
      </c>
    </row>
    <row r="2">
      <c r="A2" s="30" t="inlineStr">
        <is>
          <t>day_no</t>
        </is>
      </c>
      <c r="B2" s="30" t="inlineStr">
        <is>
          <t>date</t>
        </is>
      </c>
      <c r="C2" s="30" t="inlineStr">
        <is>
          <t>staff</t>
        </is>
      </c>
      <c r="D2" s="30" t="inlineStr">
        <is>
          <t>opening_date</t>
        </is>
      </c>
      <c r="E2" s="30" t="inlineStr">
        <is>
          <t>products</t>
        </is>
      </c>
      <c r="F2" s="30" t="inlineStr">
        <is>
          <t>known</t>
        </is>
      </c>
      <c r="G2" s="30" t="inlineStr">
        <is>
          <t>zeros</t>
        </is>
      </c>
      <c r="H2" s="30" t="inlineStr">
        <is>
          <t>with_variance</t>
        </is>
      </c>
      <c r="I2" s="30" t="inlineStr">
        <is>
          <t>total_packs</t>
        </is>
      </c>
      <c r="J2" s="30" t="inlineStr">
        <is>
          <t>priced</t>
        </is>
      </c>
      <c r="K2" s="30" t="inlineStr">
        <is>
          <t>total_rm</t>
        </is>
      </c>
      <c r="L2" s="30" t="inlineStr">
        <is>
          <t>pos_rows</t>
        </is>
      </c>
      <c r="M2" s="30" t="inlineStr">
        <is>
          <t>pos_state</t>
        </is>
      </c>
      <c r="N2" s="30" t="inlineStr">
        <is>
          <t>opening_known</t>
        </is>
      </c>
      <c r="O2" s="30" t="inlineStr">
        <is>
          <t>message</t>
        </is>
      </c>
      <c r="R2" s="30" t="inlineStr">
        <is>
          <t>prod_no</t>
        </is>
      </c>
      <c r="S2" s="30" t="inlineStr">
        <is>
          <t>product</t>
        </is>
      </c>
      <c r="T2" s="30" t="inlineStr">
        <is>
          <t>d1</t>
        </is>
      </c>
      <c r="U2" s="30" t="inlineStr">
        <is>
          <t>d2</t>
        </is>
      </c>
      <c r="V2" s="30" t="inlineStr">
        <is>
          <t>d3</t>
        </is>
      </c>
      <c r="W2" s="30" t="inlineStr">
        <is>
          <t>d4</t>
        </is>
      </c>
      <c r="X2" s="30" t="inlineStr">
        <is>
          <t>d5</t>
        </is>
      </c>
      <c r="Y2" s="30" t="inlineStr">
        <is>
          <t>d6</t>
        </is>
      </c>
      <c r="Z2" s="30" t="inlineStr">
        <is>
          <t>d7</t>
        </is>
      </c>
      <c r="AA2" s="30" t="inlineStr">
        <is>
          <t>d8</t>
        </is>
      </c>
      <c r="AB2" s="30" t="inlineStr">
        <is>
          <t>d9</t>
        </is>
      </c>
      <c r="AC2" s="30" t="inlineStr">
        <is>
          <t>d10</t>
        </is>
      </c>
      <c r="AD2" s="30" t="inlineStr">
        <is>
          <t>d11</t>
        </is>
      </c>
      <c r="AE2" s="30" t="inlineStr">
        <is>
          <t>d12</t>
        </is>
      </c>
      <c r="AF2" s="30" t="inlineStr">
        <is>
          <t>d13</t>
        </is>
      </c>
      <c r="AG2" s="30" t="inlineStr">
        <is>
          <t>d14</t>
        </is>
      </c>
      <c r="AH2" s="30" t="inlineStr">
        <is>
          <t>known</t>
        </is>
      </c>
      <c r="AI2" s="30" t="inlineStr">
        <is>
          <t>zeros</t>
        </is>
      </c>
      <c r="AJ2" s="30" t="inlineStr">
        <is>
          <t>days_off</t>
        </is>
      </c>
      <c r="AK2" s="30" t="inlineStr">
        <is>
          <t>total</t>
        </is>
      </c>
      <c r="AL2" s="30" t="inlineStr">
        <is>
          <t>worst</t>
        </is>
      </c>
      <c r="AM2" s="30" t="inlineStr">
        <is>
          <t>sortkey</t>
        </is>
      </c>
      <c r="AN2" s="30" t="inlineStr">
        <is>
          <t>rank</t>
        </is>
      </c>
    </row>
    <row r="3">
      <c r="A3" t="n">
        <v>1</v>
      </c>
      <c r="B3" s="31">
        <f>IFERROR(IF(INDEX(Data!$B:$B,MATCH($A3,Data!$U:$U,0))="","",INDEX(Data!$B:$B,MATCH($A3,Data!$U:$U,0))),"")</f>
        <v/>
      </c>
      <c r="C3">
        <f>IFERROR(IF(INDEX(Data!$D:$D,MATCH($A3,Data!$U:$U,0))="","",INDEX(Data!$D:$D,MATCH($A3,Data!$U:$U,0))),"")</f>
        <v/>
      </c>
      <c r="D3" s="31">
        <f>IFERROR(IF(INDEX(Data!$O:$O,MATCH($A3,Data!$U:$U,0))="","",INDEX(Data!$O:$O,MATCH($A3,Data!$U:$U,0))),"")</f>
        <v/>
      </c>
      <c r="E3">
        <f>COUNTIFS(Data!$U:$U,$A3)</f>
        <v/>
      </c>
      <c r="F3">
        <f>COUNTIFS(Data!$U:$U,$A3,Data!$N:$N,"&lt;&gt;")</f>
        <v/>
      </c>
      <c r="G3">
        <f>COUNTIFS(Data!$U:$U,$A3,Data!$N:$N,0)</f>
        <v/>
      </c>
      <c r="H3">
        <f>IF($F3=0,"",$F3-$G3)</f>
        <v/>
      </c>
      <c r="I3">
        <f>IF($F3=0,"",SUMIFS(Data!$N:$N,Data!$U:$U,$A3))</f>
        <v/>
      </c>
      <c r="J3">
        <f>COUNTIFS(Data!$U:$U,$A3,Data!$Q:$Q,"&lt;&gt;")</f>
        <v/>
      </c>
      <c r="K3">
        <f>IF($J3=0,"",SUMIFS(Data!$Q:$Q,Data!$U:$U,$A3))</f>
        <v/>
      </c>
      <c r="L3">
        <f>COUNTIFS(Data!$U:$U,$A3,Data!$M:$M,"&lt;&gt;")</f>
        <v/>
      </c>
      <c r="M3">
        <f>IF($E3=0,"",IF($L3=0,"not loaded","loaded"))</f>
        <v/>
      </c>
      <c r="N3">
        <f>COUNTIFS(Data!$U:$U,$A3,Data!$I:$I,"&lt;&gt;")</f>
        <v/>
      </c>
      <c r="O3">
        <f>IF($E3=0,"",IF($L3=0,"No POS sales have been loaded for this date, so variance cannot be worked out. Import the sales report for this day and it fills in.",IF($N3=0,"This is the first count of these products, so there is no opening figure to sell down from. Variance starts from the next count.",IF($F3-$G3=0,"Physical and POS agree on every product.",($F3-$G3)&amp;" of "&amp;$F3&amp;" products disagree with the POS. Largest first below."))))</f>
        <v/>
      </c>
      <c r="R3" t="n">
        <v>1</v>
      </c>
      <c r="S3">
        <f>IFERROR(INDEX(Data!$G:$G,MATCH($R3,Data!$V:$V,0)),"")</f>
        <v/>
      </c>
      <c r="T3">
        <f>IF(COUNTIFS(Data!$V:$V,$R3,Data!$U:$U,1,Data!$N:$N,"&lt;&gt;")=0,"",SUMIFS(Data!$N:$N,Data!$V:$V,$R3,Data!$U:$U,1))</f>
        <v/>
      </c>
      <c r="U3">
        <f>IF(COUNTIFS(Data!$V:$V,$R3,Data!$U:$U,2,Data!$N:$N,"&lt;&gt;")=0,"",SUMIFS(Data!$N:$N,Data!$V:$V,$R3,Data!$U:$U,2))</f>
        <v/>
      </c>
      <c r="V3">
        <f>IF(COUNTIFS(Data!$V:$V,$R3,Data!$U:$U,3,Data!$N:$N,"&lt;&gt;")=0,"",SUMIFS(Data!$N:$N,Data!$V:$V,$R3,Data!$U:$U,3))</f>
        <v/>
      </c>
      <c r="W3">
        <f>IF(COUNTIFS(Data!$V:$V,$R3,Data!$U:$U,4,Data!$N:$N,"&lt;&gt;")=0,"",SUMIFS(Data!$N:$N,Data!$V:$V,$R3,Data!$U:$U,4))</f>
        <v/>
      </c>
      <c r="X3">
        <f>IF(COUNTIFS(Data!$V:$V,$R3,Data!$U:$U,5,Data!$N:$N,"&lt;&gt;")=0,"",SUMIFS(Data!$N:$N,Data!$V:$V,$R3,Data!$U:$U,5))</f>
        <v/>
      </c>
      <c r="Y3">
        <f>IF(COUNTIFS(Data!$V:$V,$R3,Data!$U:$U,6,Data!$N:$N,"&lt;&gt;")=0,"",SUMIFS(Data!$N:$N,Data!$V:$V,$R3,Data!$U:$U,6))</f>
        <v/>
      </c>
      <c r="Z3">
        <f>IF(COUNTIFS(Data!$V:$V,$R3,Data!$U:$U,7,Data!$N:$N,"&lt;&gt;")=0,"",SUMIFS(Data!$N:$N,Data!$V:$V,$R3,Data!$U:$U,7))</f>
        <v/>
      </c>
      <c r="AA3">
        <f>IF(COUNTIFS(Data!$V:$V,$R3,Data!$U:$U,8,Data!$N:$N,"&lt;&gt;")=0,"",SUMIFS(Data!$N:$N,Data!$V:$V,$R3,Data!$U:$U,8))</f>
        <v/>
      </c>
      <c r="AB3">
        <f>IF(COUNTIFS(Data!$V:$V,$R3,Data!$U:$U,9,Data!$N:$N,"&lt;&gt;")=0,"",SUMIFS(Data!$N:$N,Data!$V:$V,$R3,Data!$U:$U,9))</f>
        <v/>
      </c>
      <c r="AC3">
        <f>IF(COUNTIFS(Data!$V:$V,$R3,Data!$U:$U,10,Data!$N:$N,"&lt;&gt;")=0,"",SUMIFS(Data!$N:$N,Data!$V:$V,$R3,Data!$U:$U,10))</f>
        <v/>
      </c>
      <c r="AD3">
        <f>IF(COUNTIFS(Data!$V:$V,$R3,Data!$U:$U,11,Data!$N:$N,"&lt;&gt;")=0,"",SUMIFS(Data!$N:$N,Data!$V:$V,$R3,Data!$U:$U,11))</f>
        <v/>
      </c>
      <c r="AE3">
        <f>IF(COUNTIFS(Data!$V:$V,$R3,Data!$U:$U,12,Data!$N:$N,"&lt;&gt;")=0,"",SUMIFS(Data!$N:$N,Data!$V:$V,$R3,Data!$U:$U,12))</f>
        <v/>
      </c>
      <c r="AF3">
        <f>IF(COUNTIFS(Data!$V:$V,$R3,Data!$U:$U,13,Data!$N:$N,"&lt;&gt;")=0,"",SUMIFS(Data!$N:$N,Data!$V:$V,$R3,Data!$U:$U,13))</f>
        <v/>
      </c>
      <c r="AG3">
        <f>IF(COUNTIFS(Data!$V:$V,$R3,Data!$U:$U,14,Data!$N:$N,"&lt;&gt;")=0,"",SUMIFS(Data!$N:$N,Data!$V:$V,$R3,Data!$U:$U,14))</f>
        <v/>
      </c>
      <c r="AH3">
        <f>COUNTIFS(Data!$V:$V,$R3,Data!$U:$U,"&lt;="&amp;14,Data!$N:$N,"&lt;&gt;")</f>
        <v/>
      </c>
      <c r="AI3">
        <f>COUNTIFS(Data!$V:$V,$R3,Data!$U:$U,"&lt;="&amp;14,Data!$N:$N,0)</f>
        <v/>
      </c>
      <c r="AJ3">
        <f>IF(AH3=0,"",AH3-AI3)</f>
        <v/>
      </c>
      <c r="AK3">
        <f>IF(AH3=0,"",SUMIFS(Data!$N:$N,Data!$V:$V,$R3,Data!$U:$U,"&lt;="&amp;14))</f>
        <v/>
      </c>
      <c r="AL3">
        <f>IF(AH3=0,"",IF(ABS(MAX(T3:AG3))&gt;=ABS(MIN(T3:AG3)),MAX(T3:AG3),MIN(T3:AG3)))</f>
        <v/>
      </c>
      <c r="AM3">
        <f>IF(AH3=0,-1,AJ3*100000+MIN(ABS(AK3),99999))</f>
        <v/>
      </c>
      <c r="AN3">
        <f>IF($S3="","",1+COUNTIFS($AM$3:$AM$122,"&gt;"&amp;AM3)+COUNTIFS($AM$3:$AM$122,AM3,$R$3:$R$122,"&lt;"&amp;$R3))</f>
        <v/>
      </c>
    </row>
    <row r="4">
      <c r="A4" t="n">
        <v>2</v>
      </c>
      <c r="B4" s="31">
        <f>IFERROR(IF(INDEX(Data!$B:$B,MATCH($A4,Data!$U:$U,0))="","",INDEX(Data!$B:$B,MATCH($A4,Data!$U:$U,0))),"")</f>
        <v/>
      </c>
      <c r="C4">
        <f>IFERROR(IF(INDEX(Data!$D:$D,MATCH($A4,Data!$U:$U,0))="","",INDEX(Data!$D:$D,MATCH($A4,Data!$U:$U,0))),"")</f>
        <v/>
      </c>
      <c r="D4" s="31">
        <f>IFERROR(IF(INDEX(Data!$O:$O,MATCH($A4,Data!$U:$U,0))="","",INDEX(Data!$O:$O,MATCH($A4,Data!$U:$U,0))),"")</f>
        <v/>
      </c>
      <c r="E4">
        <f>COUNTIFS(Data!$U:$U,$A4)</f>
        <v/>
      </c>
      <c r="F4">
        <f>COUNTIFS(Data!$U:$U,$A4,Data!$N:$N,"&lt;&gt;")</f>
        <v/>
      </c>
      <c r="G4">
        <f>COUNTIFS(Data!$U:$U,$A4,Data!$N:$N,0)</f>
        <v/>
      </c>
      <c r="H4">
        <f>IF($F4=0,"",$F4-$G4)</f>
        <v/>
      </c>
      <c r="I4">
        <f>IF($F4=0,"",SUMIFS(Data!$N:$N,Data!$U:$U,$A4))</f>
        <v/>
      </c>
      <c r="J4">
        <f>COUNTIFS(Data!$U:$U,$A4,Data!$Q:$Q,"&lt;&gt;")</f>
        <v/>
      </c>
      <c r="K4">
        <f>IF($J4=0,"",SUMIFS(Data!$Q:$Q,Data!$U:$U,$A4))</f>
        <v/>
      </c>
      <c r="L4">
        <f>COUNTIFS(Data!$U:$U,$A4,Data!$M:$M,"&lt;&gt;")</f>
        <v/>
      </c>
      <c r="M4">
        <f>IF($E4=0,"",IF($L4=0,"not loaded","loaded"))</f>
        <v/>
      </c>
      <c r="N4">
        <f>COUNTIFS(Data!$U:$U,$A4,Data!$I:$I,"&lt;&gt;")</f>
        <v/>
      </c>
      <c r="O4">
        <f>IF($E4=0,"",IF($L4=0,"No POS sales have been loaded for this date, so variance cannot be worked out. Import the sales report for this day and it fills in.",IF($N4=0,"This is the first count of these products, so there is no opening figure to sell down from. Variance starts from the next count.",IF($F4-$G4=0,"Physical and POS agree on every product.",($F4-$G4)&amp;" of "&amp;$F4&amp;" products disagree with the POS. Largest first below."))))</f>
        <v/>
      </c>
      <c r="R4" t="n">
        <v>2</v>
      </c>
      <c r="S4">
        <f>IFERROR(INDEX(Data!$G:$G,MATCH($R4,Data!$V:$V,0)),"")</f>
        <v/>
      </c>
      <c r="T4">
        <f>IF(COUNTIFS(Data!$V:$V,$R4,Data!$U:$U,1,Data!$N:$N,"&lt;&gt;")=0,"",SUMIFS(Data!$N:$N,Data!$V:$V,$R4,Data!$U:$U,1))</f>
        <v/>
      </c>
      <c r="U4">
        <f>IF(COUNTIFS(Data!$V:$V,$R4,Data!$U:$U,2,Data!$N:$N,"&lt;&gt;")=0,"",SUMIFS(Data!$N:$N,Data!$V:$V,$R4,Data!$U:$U,2))</f>
        <v/>
      </c>
      <c r="V4">
        <f>IF(COUNTIFS(Data!$V:$V,$R4,Data!$U:$U,3,Data!$N:$N,"&lt;&gt;")=0,"",SUMIFS(Data!$N:$N,Data!$V:$V,$R4,Data!$U:$U,3))</f>
        <v/>
      </c>
      <c r="W4">
        <f>IF(COUNTIFS(Data!$V:$V,$R4,Data!$U:$U,4,Data!$N:$N,"&lt;&gt;")=0,"",SUMIFS(Data!$N:$N,Data!$V:$V,$R4,Data!$U:$U,4))</f>
        <v/>
      </c>
      <c r="X4">
        <f>IF(COUNTIFS(Data!$V:$V,$R4,Data!$U:$U,5,Data!$N:$N,"&lt;&gt;")=0,"",SUMIFS(Data!$N:$N,Data!$V:$V,$R4,Data!$U:$U,5))</f>
        <v/>
      </c>
      <c r="Y4">
        <f>IF(COUNTIFS(Data!$V:$V,$R4,Data!$U:$U,6,Data!$N:$N,"&lt;&gt;")=0,"",SUMIFS(Data!$N:$N,Data!$V:$V,$R4,Data!$U:$U,6))</f>
        <v/>
      </c>
      <c r="Z4">
        <f>IF(COUNTIFS(Data!$V:$V,$R4,Data!$U:$U,7,Data!$N:$N,"&lt;&gt;")=0,"",SUMIFS(Data!$N:$N,Data!$V:$V,$R4,Data!$U:$U,7))</f>
        <v/>
      </c>
      <c r="AA4">
        <f>IF(COUNTIFS(Data!$V:$V,$R4,Data!$U:$U,8,Data!$N:$N,"&lt;&gt;")=0,"",SUMIFS(Data!$N:$N,Data!$V:$V,$R4,Data!$U:$U,8))</f>
        <v/>
      </c>
      <c r="AB4">
        <f>IF(COUNTIFS(Data!$V:$V,$R4,Data!$U:$U,9,Data!$N:$N,"&lt;&gt;")=0,"",SUMIFS(Data!$N:$N,Data!$V:$V,$R4,Data!$U:$U,9))</f>
        <v/>
      </c>
      <c r="AC4">
        <f>IF(COUNTIFS(Data!$V:$V,$R4,Data!$U:$U,10,Data!$N:$N,"&lt;&gt;")=0,"",SUMIFS(Data!$N:$N,Data!$V:$V,$R4,Data!$U:$U,10))</f>
        <v/>
      </c>
      <c r="AD4">
        <f>IF(COUNTIFS(Data!$V:$V,$R4,Data!$U:$U,11,Data!$N:$N,"&lt;&gt;")=0,"",SUMIFS(Data!$N:$N,Data!$V:$V,$R4,Data!$U:$U,11))</f>
        <v/>
      </c>
      <c r="AE4">
        <f>IF(COUNTIFS(Data!$V:$V,$R4,Data!$U:$U,12,Data!$N:$N,"&lt;&gt;")=0,"",SUMIFS(Data!$N:$N,Data!$V:$V,$R4,Data!$U:$U,12))</f>
        <v/>
      </c>
      <c r="AF4">
        <f>IF(COUNTIFS(Data!$V:$V,$R4,Data!$U:$U,13,Data!$N:$N,"&lt;&gt;")=0,"",SUMIFS(Data!$N:$N,Data!$V:$V,$R4,Data!$U:$U,13))</f>
        <v/>
      </c>
      <c r="AG4">
        <f>IF(COUNTIFS(Data!$V:$V,$R4,Data!$U:$U,14,Data!$N:$N,"&lt;&gt;")=0,"",SUMIFS(Data!$N:$N,Data!$V:$V,$R4,Data!$U:$U,14))</f>
        <v/>
      </c>
      <c r="AH4">
        <f>COUNTIFS(Data!$V:$V,$R4,Data!$U:$U,"&lt;="&amp;14,Data!$N:$N,"&lt;&gt;")</f>
        <v/>
      </c>
      <c r="AI4">
        <f>COUNTIFS(Data!$V:$V,$R4,Data!$U:$U,"&lt;="&amp;14,Data!$N:$N,0)</f>
        <v/>
      </c>
      <c r="AJ4">
        <f>IF(AH4=0,"",AH4-AI4)</f>
        <v/>
      </c>
      <c r="AK4">
        <f>IF(AH4=0,"",SUMIFS(Data!$N:$N,Data!$V:$V,$R4,Data!$U:$U,"&lt;="&amp;14))</f>
        <v/>
      </c>
      <c r="AL4">
        <f>IF(AH4=0,"",IF(ABS(MAX(T4:AG4))&gt;=ABS(MIN(T4:AG4)),MAX(T4:AG4),MIN(T4:AG4)))</f>
        <v/>
      </c>
      <c r="AM4">
        <f>IF(AH4=0,-1,AJ4*100000+MIN(ABS(AK4),99999))</f>
        <v/>
      </c>
      <c r="AN4">
        <f>IF($S4="","",1+COUNTIFS($AM$3:$AM$122,"&gt;"&amp;AM4)+COUNTIFS($AM$3:$AM$122,AM4,$R$3:$R$122,"&lt;"&amp;$R4))</f>
        <v/>
      </c>
    </row>
    <row r="5">
      <c r="A5" t="n">
        <v>3</v>
      </c>
      <c r="B5" s="31">
        <f>IFERROR(IF(INDEX(Data!$B:$B,MATCH($A5,Data!$U:$U,0))="","",INDEX(Data!$B:$B,MATCH($A5,Data!$U:$U,0))),"")</f>
        <v/>
      </c>
      <c r="C5">
        <f>IFERROR(IF(INDEX(Data!$D:$D,MATCH($A5,Data!$U:$U,0))="","",INDEX(Data!$D:$D,MATCH($A5,Data!$U:$U,0))),"")</f>
        <v/>
      </c>
      <c r="D5" s="31">
        <f>IFERROR(IF(INDEX(Data!$O:$O,MATCH($A5,Data!$U:$U,0))="","",INDEX(Data!$O:$O,MATCH($A5,Data!$U:$U,0))),"")</f>
        <v/>
      </c>
      <c r="E5">
        <f>COUNTIFS(Data!$U:$U,$A5)</f>
        <v/>
      </c>
      <c r="F5">
        <f>COUNTIFS(Data!$U:$U,$A5,Data!$N:$N,"&lt;&gt;")</f>
        <v/>
      </c>
      <c r="G5">
        <f>COUNTIFS(Data!$U:$U,$A5,Data!$N:$N,0)</f>
        <v/>
      </c>
      <c r="H5">
        <f>IF($F5=0,"",$F5-$G5)</f>
        <v/>
      </c>
      <c r="I5">
        <f>IF($F5=0,"",SUMIFS(Data!$N:$N,Data!$U:$U,$A5))</f>
        <v/>
      </c>
      <c r="J5">
        <f>COUNTIFS(Data!$U:$U,$A5,Data!$Q:$Q,"&lt;&gt;")</f>
        <v/>
      </c>
      <c r="K5">
        <f>IF($J5=0,"",SUMIFS(Data!$Q:$Q,Data!$U:$U,$A5))</f>
        <v/>
      </c>
      <c r="L5">
        <f>COUNTIFS(Data!$U:$U,$A5,Data!$M:$M,"&lt;&gt;")</f>
        <v/>
      </c>
      <c r="M5">
        <f>IF($E5=0,"",IF($L5=0,"not loaded","loaded"))</f>
        <v/>
      </c>
      <c r="N5">
        <f>COUNTIFS(Data!$U:$U,$A5,Data!$I:$I,"&lt;&gt;")</f>
        <v/>
      </c>
      <c r="O5">
        <f>IF($E5=0,"",IF($L5=0,"No POS sales have been loaded for this date, so variance cannot be worked out. Import the sales report for this day and it fills in.",IF($N5=0,"This is the first count of these products, so there is no opening figure to sell down from. Variance starts from the next count.",IF($F5-$G5=0,"Physical and POS agree on every product.",($F5-$G5)&amp;" of "&amp;$F5&amp;" products disagree with the POS. Largest first below."))))</f>
        <v/>
      </c>
      <c r="R5" t="n">
        <v>3</v>
      </c>
      <c r="S5">
        <f>IFERROR(INDEX(Data!$G:$G,MATCH($R5,Data!$V:$V,0)),"")</f>
        <v/>
      </c>
      <c r="T5">
        <f>IF(COUNTIFS(Data!$V:$V,$R5,Data!$U:$U,1,Data!$N:$N,"&lt;&gt;")=0,"",SUMIFS(Data!$N:$N,Data!$V:$V,$R5,Data!$U:$U,1))</f>
        <v/>
      </c>
      <c r="U5">
        <f>IF(COUNTIFS(Data!$V:$V,$R5,Data!$U:$U,2,Data!$N:$N,"&lt;&gt;")=0,"",SUMIFS(Data!$N:$N,Data!$V:$V,$R5,Data!$U:$U,2))</f>
        <v/>
      </c>
      <c r="V5">
        <f>IF(COUNTIFS(Data!$V:$V,$R5,Data!$U:$U,3,Data!$N:$N,"&lt;&gt;")=0,"",SUMIFS(Data!$N:$N,Data!$V:$V,$R5,Data!$U:$U,3))</f>
        <v/>
      </c>
      <c r="W5">
        <f>IF(COUNTIFS(Data!$V:$V,$R5,Data!$U:$U,4,Data!$N:$N,"&lt;&gt;")=0,"",SUMIFS(Data!$N:$N,Data!$V:$V,$R5,Data!$U:$U,4))</f>
        <v/>
      </c>
      <c r="X5">
        <f>IF(COUNTIFS(Data!$V:$V,$R5,Data!$U:$U,5,Data!$N:$N,"&lt;&gt;")=0,"",SUMIFS(Data!$N:$N,Data!$V:$V,$R5,Data!$U:$U,5))</f>
        <v/>
      </c>
      <c r="Y5">
        <f>IF(COUNTIFS(Data!$V:$V,$R5,Data!$U:$U,6,Data!$N:$N,"&lt;&gt;")=0,"",SUMIFS(Data!$N:$N,Data!$V:$V,$R5,Data!$U:$U,6))</f>
        <v/>
      </c>
      <c r="Z5">
        <f>IF(COUNTIFS(Data!$V:$V,$R5,Data!$U:$U,7,Data!$N:$N,"&lt;&gt;")=0,"",SUMIFS(Data!$N:$N,Data!$V:$V,$R5,Data!$U:$U,7))</f>
        <v/>
      </c>
      <c r="AA5">
        <f>IF(COUNTIFS(Data!$V:$V,$R5,Data!$U:$U,8,Data!$N:$N,"&lt;&gt;")=0,"",SUMIFS(Data!$N:$N,Data!$V:$V,$R5,Data!$U:$U,8))</f>
        <v/>
      </c>
      <c r="AB5">
        <f>IF(COUNTIFS(Data!$V:$V,$R5,Data!$U:$U,9,Data!$N:$N,"&lt;&gt;")=0,"",SUMIFS(Data!$N:$N,Data!$V:$V,$R5,Data!$U:$U,9))</f>
        <v/>
      </c>
      <c r="AC5">
        <f>IF(COUNTIFS(Data!$V:$V,$R5,Data!$U:$U,10,Data!$N:$N,"&lt;&gt;")=0,"",SUMIFS(Data!$N:$N,Data!$V:$V,$R5,Data!$U:$U,10))</f>
        <v/>
      </c>
      <c r="AD5">
        <f>IF(COUNTIFS(Data!$V:$V,$R5,Data!$U:$U,11,Data!$N:$N,"&lt;&gt;")=0,"",SUMIFS(Data!$N:$N,Data!$V:$V,$R5,Data!$U:$U,11))</f>
        <v/>
      </c>
      <c r="AE5">
        <f>IF(COUNTIFS(Data!$V:$V,$R5,Data!$U:$U,12,Data!$N:$N,"&lt;&gt;")=0,"",SUMIFS(Data!$N:$N,Data!$V:$V,$R5,Data!$U:$U,12))</f>
        <v/>
      </c>
      <c r="AF5">
        <f>IF(COUNTIFS(Data!$V:$V,$R5,Data!$U:$U,13,Data!$N:$N,"&lt;&gt;")=0,"",SUMIFS(Data!$N:$N,Data!$V:$V,$R5,Data!$U:$U,13))</f>
        <v/>
      </c>
      <c r="AG5">
        <f>IF(COUNTIFS(Data!$V:$V,$R5,Data!$U:$U,14,Data!$N:$N,"&lt;&gt;")=0,"",SUMIFS(Data!$N:$N,Data!$V:$V,$R5,Data!$U:$U,14))</f>
        <v/>
      </c>
      <c r="AH5">
        <f>COUNTIFS(Data!$V:$V,$R5,Data!$U:$U,"&lt;="&amp;14,Data!$N:$N,"&lt;&gt;")</f>
        <v/>
      </c>
      <c r="AI5">
        <f>COUNTIFS(Data!$V:$V,$R5,Data!$U:$U,"&lt;="&amp;14,Data!$N:$N,0)</f>
        <v/>
      </c>
      <c r="AJ5">
        <f>IF(AH5=0,"",AH5-AI5)</f>
        <v/>
      </c>
      <c r="AK5">
        <f>IF(AH5=0,"",SUMIFS(Data!$N:$N,Data!$V:$V,$R5,Data!$U:$U,"&lt;="&amp;14))</f>
        <v/>
      </c>
      <c r="AL5">
        <f>IF(AH5=0,"",IF(ABS(MAX(T5:AG5))&gt;=ABS(MIN(T5:AG5)),MAX(T5:AG5),MIN(T5:AG5)))</f>
        <v/>
      </c>
      <c r="AM5">
        <f>IF(AH5=0,-1,AJ5*100000+MIN(ABS(AK5),99999))</f>
        <v/>
      </c>
      <c r="AN5">
        <f>IF($S5="","",1+COUNTIFS($AM$3:$AM$122,"&gt;"&amp;AM5)+COUNTIFS($AM$3:$AM$122,AM5,$R$3:$R$122,"&lt;"&amp;$R5))</f>
        <v/>
      </c>
    </row>
    <row r="6">
      <c r="A6" t="n">
        <v>4</v>
      </c>
      <c r="B6" s="31">
        <f>IFERROR(IF(INDEX(Data!$B:$B,MATCH($A6,Data!$U:$U,0))="","",INDEX(Data!$B:$B,MATCH($A6,Data!$U:$U,0))),"")</f>
        <v/>
      </c>
      <c r="C6">
        <f>IFERROR(IF(INDEX(Data!$D:$D,MATCH($A6,Data!$U:$U,0))="","",INDEX(Data!$D:$D,MATCH($A6,Data!$U:$U,0))),"")</f>
        <v/>
      </c>
      <c r="D6" s="31">
        <f>IFERROR(IF(INDEX(Data!$O:$O,MATCH($A6,Data!$U:$U,0))="","",INDEX(Data!$O:$O,MATCH($A6,Data!$U:$U,0))),"")</f>
        <v/>
      </c>
      <c r="E6">
        <f>COUNTIFS(Data!$U:$U,$A6)</f>
        <v/>
      </c>
      <c r="F6">
        <f>COUNTIFS(Data!$U:$U,$A6,Data!$N:$N,"&lt;&gt;")</f>
        <v/>
      </c>
      <c r="G6">
        <f>COUNTIFS(Data!$U:$U,$A6,Data!$N:$N,0)</f>
        <v/>
      </c>
      <c r="H6">
        <f>IF($F6=0,"",$F6-$G6)</f>
        <v/>
      </c>
      <c r="I6">
        <f>IF($F6=0,"",SUMIFS(Data!$N:$N,Data!$U:$U,$A6))</f>
        <v/>
      </c>
      <c r="J6">
        <f>COUNTIFS(Data!$U:$U,$A6,Data!$Q:$Q,"&lt;&gt;")</f>
        <v/>
      </c>
      <c r="K6">
        <f>IF($J6=0,"",SUMIFS(Data!$Q:$Q,Data!$U:$U,$A6))</f>
        <v/>
      </c>
      <c r="L6">
        <f>COUNTIFS(Data!$U:$U,$A6,Data!$M:$M,"&lt;&gt;")</f>
        <v/>
      </c>
      <c r="M6">
        <f>IF($E6=0,"",IF($L6=0,"not loaded","loaded"))</f>
        <v/>
      </c>
      <c r="N6">
        <f>COUNTIFS(Data!$U:$U,$A6,Data!$I:$I,"&lt;&gt;")</f>
        <v/>
      </c>
      <c r="O6">
        <f>IF($E6=0,"",IF($L6=0,"No POS sales have been loaded for this date, so variance cannot be worked out. Import the sales report for this day and it fills in.",IF($N6=0,"This is the first count of these products, so there is no opening figure to sell down from. Variance starts from the next count.",IF($F6-$G6=0,"Physical and POS agree on every product.",($F6-$G6)&amp;" of "&amp;$F6&amp;" products disagree with the POS. Largest first below."))))</f>
        <v/>
      </c>
      <c r="R6" t="n">
        <v>4</v>
      </c>
      <c r="S6">
        <f>IFERROR(INDEX(Data!$G:$G,MATCH($R6,Data!$V:$V,0)),"")</f>
        <v/>
      </c>
      <c r="T6">
        <f>IF(COUNTIFS(Data!$V:$V,$R6,Data!$U:$U,1,Data!$N:$N,"&lt;&gt;")=0,"",SUMIFS(Data!$N:$N,Data!$V:$V,$R6,Data!$U:$U,1))</f>
        <v/>
      </c>
      <c r="U6">
        <f>IF(COUNTIFS(Data!$V:$V,$R6,Data!$U:$U,2,Data!$N:$N,"&lt;&gt;")=0,"",SUMIFS(Data!$N:$N,Data!$V:$V,$R6,Data!$U:$U,2))</f>
        <v/>
      </c>
      <c r="V6">
        <f>IF(COUNTIFS(Data!$V:$V,$R6,Data!$U:$U,3,Data!$N:$N,"&lt;&gt;")=0,"",SUMIFS(Data!$N:$N,Data!$V:$V,$R6,Data!$U:$U,3))</f>
        <v/>
      </c>
      <c r="W6">
        <f>IF(COUNTIFS(Data!$V:$V,$R6,Data!$U:$U,4,Data!$N:$N,"&lt;&gt;")=0,"",SUMIFS(Data!$N:$N,Data!$V:$V,$R6,Data!$U:$U,4))</f>
        <v/>
      </c>
      <c r="X6">
        <f>IF(COUNTIFS(Data!$V:$V,$R6,Data!$U:$U,5,Data!$N:$N,"&lt;&gt;")=0,"",SUMIFS(Data!$N:$N,Data!$V:$V,$R6,Data!$U:$U,5))</f>
        <v/>
      </c>
      <c r="Y6">
        <f>IF(COUNTIFS(Data!$V:$V,$R6,Data!$U:$U,6,Data!$N:$N,"&lt;&gt;")=0,"",SUMIFS(Data!$N:$N,Data!$V:$V,$R6,Data!$U:$U,6))</f>
        <v/>
      </c>
      <c r="Z6">
        <f>IF(COUNTIFS(Data!$V:$V,$R6,Data!$U:$U,7,Data!$N:$N,"&lt;&gt;")=0,"",SUMIFS(Data!$N:$N,Data!$V:$V,$R6,Data!$U:$U,7))</f>
        <v/>
      </c>
      <c r="AA6">
        <f>IF(COUNTIFS(Data!$V:$V,$R6,Data!$U:$U,8,Data!$N:$N,"&lt;&gt;")=0,"",SUMIFS(Data!$N:$N,Data!$V:$V,$R6,Data!$U:$U,8))</f>
        <v/>
      </c>
      <c r="AB6">
        <f>IF(COUNTIFS(Data!$V:$V,$R6,Data!$U:$U,9,Data!$N:$N,"&lt;&gt;")=0,"",SUMIFS(Data!$N:$N,Data!$V:$V,$R6,Data!$U:$U,9))</f>
        <v/>
      </c>
      <c r="AC6">
        <f>IF(COUNTIFS(Data!$V:$V,$R6,Data!$U:$U,10,Data!$N:$N,"&lt;&gt;")=0,"",SUMIFS(Data!$N:$N,Data!$V:$V,$R6,Data!$U:$U,10))</f>
        <v/>
      </c>
      <c r="AD6">
        <f>IF(COUNTIFS(Data!$V:$V,$R6,Data!$U:$U,11,Data!$N:$N,"&lt;&gt;")=0,"",SUMIFS(Data!$N:$N,Data!$V:$V,$R6,Data!$U:$U,11))</f>
        <v/>
      </c>
      <c r="AE6">
        <f>IF(COUNTIFS(Data!$V:$V,$R6,Data!$U:$U,12,Data!$N:$N,"&lt;&gt;")=0,"",SUMIFS(Data!$N:$N,Data!$V:$V,$R6,Data!$U:$U,12))</f>
        <v/>
      </c>
      <c r="AF6">
        <f>IF(COUNTIFS(Data!$V:$V,$R6,Data!$U:$U,13,Data!$N:$N,"&lt;&gt;")=0,"",SUMIFS(Data!$N:$N,Data!$V:$V,$R6,Data!$U:$U,13))</f>
        <v/>
      </c>
      <c r="AG6">
        <f>IF(COUNTIFS(Data!$V:$V,$R6,Data!$U:$U,14,Data!$N:$N,"&lt;&gt;")=0,"",SUMIFS(Data!$N:$N,Data!$V:$V,$R6,Data!$U:$U,14))</f>
        <v/>
      </c>
      <c r="AH6">
        <f>COUNTIFS(Data!$V:$V,$R6,Data!$U:$U,"&lt;="&amp;14,Data!$N:$N,"&lt;&gt;")</f>
        <v/>
      </c>
      <c r="AI6">
        <f>COUNTIFS(Data!$V:$V,$R6,Data!$U:$U,"&lt;="&amp;14,Data!$N:$N,0)</f>
        <v/>
      </c>
      <c r="AJ6">
        <f>IF(AH6=0,"",AH6-AI6)</f>
        <v/>
      </c>
      <c r="AK6">
        <f>IF(AH6=0,"",SUMIFS(Data!$N:$N,Data!$V:$V,$R6,Data!$U:$U,"&lt;="&amp;14))</f>
        <v/>
      </c>
      <c r="AL6">
        <f>IF(AH6=0,"",IF(ABS(MAX(T6:AG6))&gt;=ABS(MIN(T6:AG6)),MAX(T6:AG6),MIN(T6:AG6)))</f>
        <v/>
      </c>
      <c r="AM6">
        <f>IF(AH6=0,-1,AJ6*100000+MIN(ABS(AK6),99999))</f>
        <v/>
      </c>
      <c r="AN6">
        <f>IF($S6="","",1+COUNTIFS($AM$3:$AM$122,"&gt;"&amp;AM6)+COUNTIFS($AM$3:$AM$122,AM6,$R$3:$R$122,"&lt;"&amp;$R6))</f>
        <v/>
      </c>
    </row>
    <row r="7">
      <c r="A7" t="n">
        <v>5</v>
      </c>
      <c r="B7" s="31">
        <f>IFERROR(IF(INDEX(Data!$B:$B,MATCH($A7,Data!$U:$U,0))="","",INDEX(Data!$B:$B,MATCH($A7,Data!$U:$U,0))),"")</f>
        <v/>
      </c>
      <c r="C7">
        <f>IFERROR(IF(INDEX(Data!$D:$D,MATCH($A7,Data!$U:$U,0))="","",INDEX(Data!$D:$D,MATCH($A7,Data!$U:$U,0))),"")</f>
        <v/>
      </c>
      <c r="D7" s="31">
        <f>IFERROR(IF(INDEX(Data!$O:$O,MATCH($A7,Data!$U:$U,0))="","",INDEX(Data!$O:$O,MATCH($A7,Data!$U:$U,0))),"")</f>
        <v/>
      </c>
      <c r="E7">
        <f>COUNTIFS(Data!$U:$U,$A7)</f>
        <v/>
      </c>
      <c r="F7">
        <f>COUNTIFS(Data!$U:$U,$A7,Data!$N:$N,"&lt;&gt;")</f>
        <v/>
      </c>
      <c r="G7">
        <f>COUNTIFS(Data!$U:$U,$A7,Data!$N:$N,0)</f>
        <v/>
      </c>
      <c r="H7">
        <f>IF($F7=0,"",$F7-$G7)</f>
        <v/>
      </c>
      <c r="I7">
        <f>IF($F7=0,"",SUMIFS(Data!$N:$N,Data!$U:$U,$A7))</f>
        <v/>
      </c>
      <c r="J7">
        <f>COUNTIFS(Data!$U:$U,$A7,Data!$Q:$Q,"&lt;&gt;")</f>
        <v/>
      </c>
      <c r="K7">
        <f>IF($J7=0,"",SUMIFS(Data!$Q:$Q,Data!$U:$U,$A7))</f>
        <v/>
      </c>
      <c r="L7">
        <f>COUNTIFS(Data!$U:$U,$A7,Data!$M:$M,"&lt;&gt;")</f>
        <v/>
      </c>
      <c r="M7">
        <f>IF($E7=0,"",IF($L7=0,"not loaded","loaded"))</f>
        <v/>
      </c>
      <c r="N7">
        <f>COUNTIFS(Data!$U:$U,$A7,Data!$I:$I,"&lt;&gt;")</f>
        <v/>
      </c>
      <c r="O7">
        <f>IF($E7=0,"",IF($L7=0,"No POS sales have been loaded for this date, so variance cannot be worked out. Import the sales report for this day and it fills in.",IF($N7=0,"This is the first count of these products, so there is no opening figure to sell down from. Variance starts from the next count.",IF($F7-$G7=0,"Physical and POS agree on every product.",($F7-$G7)&amp;" of "&amp;$F7&amp;" products disagree with the POS. Largest first below."))))</f>
        <v/>
      </c>
      <c r="R7" t="n">
        <v>5</v>
      </c>
      <c r="S7">
        <f>IFERROR(INDEX(Data!$G:$G,MATCH($R7,Data!$V:$V,0)),"")</f>
        <v/>
      </c>
      <c r="T7">
        <f>IF(COUNTIFS(Data!$V:$V,$R7,Data!$U:$U,1,Data!$N:$N,"&lt;&gt;")=0,"",SUMIFS(Data!$N:$N,Data!$V:$V,$R7,Data!$U:$U,1))</f>
        <v/>
      </c>
      <c r="U7">
        <f>IF(COUNTIFS(Data!$V:$V,$R7,Data!$U:$U,2,Data!$N:$N,"&lt;&gt;")=0,"",SUMIFS(Data!$N:$N,Data!$V:$V,$R7,Data!$U:$U,2))</f>
        <v/>
      </c>
      <c r="V7">
        <f>IF(COUNTIFS(Data!$V:$V,$R7,Data!$U:$U,3,Data!$N:$N,"&lt;&gt;")=0,"",SUMIFS(Data!$N:$N,Data!$V:$V,$R7,Data!$U:$U,3))</f>
        <v/>
      </c>
      <c r="W7">
        <f>IF(COUNTIFS(Data!$V:$V,$R7,Data!$U:$U,4,Data!$N:$N,"&lt;&gt;")=0,"",SUMIFS(Data!$N:$N,Data!$V:$V,$R7,Data!$U:$U,4))</f>
        <v/>
      </c>
      <c r="X7">
        <f>IF(COUNTIFS(Data!$V:$V,$R7,Data!$U:$U,5,Data!$N:$N,"&lt;&gt;")=0,"",SUMIFS(Data!$N:$N,Data!$V:$V,$R7,Data!$U:$U,5))</f>
        <v/>
      </c>
      <c r="Y7">
        <f>IF(COUNTIFS(Data!$V:$V,$R7,Data!$U:$U,6,Data!$N:$N,"&lt;&gt;")=0,"",SUMIFS(Data!$N:$N,Data!$V:$V,$R7,Data!$U:$U,6))</f>
        <v/>
      </c>
      <c r="Z7">
        <f>IF(COUNTIFS(Data!$V:$V,$R7,Data!$U:$U,7,Data!$N:$N,"&lt;&gt;")=0,"",SUMIFS(Data!$N:$N,Data!$V:$V,$R7,Data!$U:$U,7))</f>
        <v/>
      </c>
      <c r="AA7">
        <f>IF(COUNTIFS(Data!$V:$V,$R7,Data!$U:$U,8,Data!$N:$N,"&lt;&gt;")=0,"",SUMIFS(Data!$N:$N,Data!$V:$V,$R7,Data!$U:$U,8))</f>
        <v/>
      </c>
      <c r="AB7">
        <f>IF(COUNTIFS(Data!$V:$V,$R7,Data!$U:$U,9,Data!$N:$N,"&lt;&gt;")=0,"",SUMIFS(Data!$N:$N,Data!$V:$V,$R7,Data!$U:$U,9))</f>
        <v/>
      </c>
      <c r="AC7">
        <f>IF(COUNTIFS(Data!$V:$V,$R7,Data!$U:$U,10,Data!$N:$N,"&lt;&gt;")=0,"",SUMIFS(Data!$N:$N,Data!$V:$V,$R7,Data!$U:$U,10))</f>
        <v/>
      </c>
      <c r="AD7">
        <f>IF(COUNTIFS(Data!$V:$V,$R7,Data!$U:$U,11,Data!$N:$N,"&lt;&gt;")=0,"",SUMIFS(Data!$N:$N,Data!$V:$V,$R7,Data!$U:$U,11))</f>
        <v/>
      </c>
      <c r="AE7">
        <f>IF(COUNTIFS(Data!$V:$V,$R7,Data!$U:$U,12,Data!$N:$N,"&lt;&gt;")=0,"",SUMIFS(Data!$N:$N,Data!$V:$V,$R7,Data!$U:$U,12))</f>
        <v/>
      </c>
      <c r="AF7">
        <f>IF(COUNTIFS(Data!$V:$V,$R7,Data!$U:$U,13,Data!$N:$N,"&lt;&gt;")=0,"",SUMIFS(Data!$N:$N,Data!$V:$V,$R7,Data!$U:$U,13))</f>
        <v/>
      </c>
      <c r="AG7">
        <f>IF(COUNTIFS(Data!$V:$V,$R7,Data!$U:$U,14,Data!$N:$N,"&lt;&gt;")=0,"",SUMIFS(Data!$N:$N,Data!$V:$V,$R7,Data!$U:$U,14))</f>
        <v/>
      </c>
      <c r="AH7">
        <f>COUNTIFS(Data!$V:$V,$R7,Data!$U:$U,"&lt;="&amp;14,Data!$N:$N,"&lt;&gt;")</f>
        <v/>
      </c>
      <c r="AI7">
        <f>COUNTIFS(Data!$V:$V,$R7,Data!$U:$U,"&lt;="&amp;14,Data!$N:$N,0)</f>
        <v/>
      </c>
      <c r="AJ7">
        <f>IF(AH7=0,"",AH7-AI7)</f>
        <v/>
      </c>
      <c r="AK7">
        <f>IF(AH7=0,"",SUMIFS(Data!$N:$N,Data!$V:$V,$R7,Data!$U:$U,"&lt;="&amp;14))</f>
        <v/>
      </c>
      <c r="AL7">
        <f>IF(AH7=0,"",IF(ABS(MAX(T7:AG7))&gt;=ABS(MIN(T7:AG7)),MAX(T7:AG7),MIN(T7:AG7)))</f>
        <v/>
      </c>
      <c r="AM7">
        <f>IF(AH7=0,-1,AJ7*100000+MIN(ABS(AK7),99999))</f>
        <v/>
      </c>
      <c r="AN7">
        <f>IF($S7="","",1+COUNTIFS($AM$3:$AM$122,"&gt;"&amp;AM7)+COUNTIFS($AM$3:$AM$122,AM7,$R$3:$R$122,"&lt;"&amp;$R7))</f>
        <v/>
      </c>
    </row>
    <row r="8">
      <c r="A8" t="n">
        <v>6</v>
      </c>
      <c r="B8" s="31">
        <f>IFERROR(IF(INDEX(Data!$B:$B,MATCH($A8,Data!$U:$U,0))="","",INDEX(Data!$B:$B,MATCH($A8,Data!$U:$U,0))),"")</f>
        <v/>
      </c>
      <c r="C8">
        <f>IFERROR(IF(INDEX(Data!$D:$D,MATCH($A8,Data!$U:$U,0))="","",INDEX(Data!$D:$D,MATCH($A8,Data!$U:$U,0))),"")</f>
        <v/>
      </c>
      <c r="D8" s="31">
        <f>IFERROR(IF(INDEX(Data!$O:$O,MATCH($A8,Data!$U:$U,0))="","",INDEX(Data!$O:$O,MATCH($A8,Data!$U:$U,0))),"")</f>
        <v/>
      </c>
      <c r="E8">
        <f>COUNTIFS(Data!$U:$U,$A8)</f>
        <v/>
      </c>
      <c r="F8">
        <f>COUNTIFS(Data!$U:$U,$A8,Data!$N:$N,"&lt;&gt;")</f>
        <v/>
      </c>
      <c r="G8">
        <f>COUNTIFS(Data!$U:$U,$A8,Data!$N:$N,0)</f>
        <v/>
      </c>
      <c r="H8">
        <f>IF($F8=0,"",$F8-$G8)</f>
        <v/>
      </c>
      <c r="I8">
        <f>IF($F8=0,"",SUMIFS(Data!$N:$N,Data!$U:$U,$A8))</f>
        <v/>
      </c>
      <c r="J8">
        <f>COUNTIFS(Data!$U:$U,$A8,Data!$Q:$Q,"&lt;&gt;")</f>
        <v/>
      </c>
      <c r="K8">
        <f>IF($J8=0,"",SUMIFS(Data!$Q:$Q,Data!$U:$U,$A8))</f>
        <v/>
      </c>
      <c r="L8">
        <f>COUNTIFS(Data!$U:$U,$A8,Data!$M:$M,"&lt;&gt;")</f>
        <v/>
      </c>
      <c r="M8">
        <f>IF($E8=0,"",IF($L8=0,"not loaded","loaded"))</f>
        <v/>
      </c>
      <c r="N8">
        <f>COUNTIFS(Data!$U:$U,$A8,Data!$I:$I,"&lt;&gt;")</f>
        <v/>
      </c>
      <c r="O8">
        <f>IF($E8=0,"",IF($L8=0,"No POS sales have been loaded for this date, so variance cannot be worked out. Import the sales report for this day and it fills in.",IF($N8=0,"This is the first count of these products, so there is no opening figure to sell down from. Variance starts from the next count.",IF($F8-$G8=0,"Physical and POS agree on every product.",($F8-$G8)&amp;" of "&amp;$F8&amp;" products disagree with the POS. Largest first below."))))</f>
        <v/>
      </c>
      <c r="R8" t="n">
        <v>6</v>
      </c>
      <c r="S8">
        <f>IFERROR(INDEX(Data!$G:$G,MATCH($R8,Data!$V:$V,0)),"")</f>
        <v/>
      </c>
      <c r="T8">
        <f>IF(COUNTIFS(Data!$V:$V,$R8,Data!$U:$U,1,Data!$N:$N,"&lt;&gt;")=0,"",SUMIFS(Data!$N:$N,Data!$V:$V,$R8,Data!$U:$U,1))</f>
        <v/>
      </c>
      <c r="U8">
        <f>IF(COUNTIFS(Data!$V:$V,$R8,Data!$U:$U,2,Data!$N:$N,"&lt;&gt;")=0,"",SUMIFS(Data!$N:$N,Data!$V:$V,$R8,Data!$U:$U,2))</f>
        <v/>
      </c>
      <c r="V8">
        <f>IF(COUNTIFS(Data!$V:$V,$R8,Data!$U:$U,3,Data!$N:$N,"&lt;&gt;")=0,"",SUMIFS(Data!$N:$N,Data!$V:$V,$R8,Data!$U:$U,3))</f>
        <v/>
      </c>
      <c r="W8">
        <f>IF(COUNTIFS(Data!$V:$V,$R8,Data!$U:$U,4,Data!$N:$N,"&lt;&gt;")=0,"",SUMIFS(Data!$N:$N,Data!$V:$V,$R8,Data!$U:$U,4))</f>
        <v/>
      </c>
      <c r="X8">
        <f>IF(COUNTIFS(Data!$V:$V,$R8,Data!$U:$U,5,Data!$N:$N,"&lt;&gt;")=0,"",SUMIFS(Data!$N:$N,Data!$V:$V,$R8,Data!$U:$U,5))</f>
        <v/>
      </c>
      <c r="Y8">
        <f>IF(COUNTIFS(Data!$V:$V,$R8,Data!$U:$U,6,Data!$N:$N,"&lt;&gt;")=0,"",SUMIFS(Data!$N:$N,Data!$V:$V,$R8,Data!$U:$U,6))</f>
        <v/>
      </c>
      <c r="Z8">
        <f>IF(COUNTIFS(Data!$V:$V,$R8,Data!$U:$U,7,Data!$N:$N,"&lt;&gt;")=0,"",SUMIFS(Data!$N:$N,Data!$V:$V,$R8,Data!$U:$U,7))</f>
        <v/>
      </c>
      <c r="AA8">
        <f>IF(COUNTIFS(Data!$V:$V,$R8,Data!$U:$U,8,Data!$N:$N,"&lt;&gt;")=0,"",SUMIFS(Data!$N:$N,Data!$V:$V,$R8,Data!$U:$U,8))</f>
        <v/>
      </c>
      <c r="AB8">
        <f>IF(COUNTIFS(Data!$V:$V,$R8,Data!$U:$U,9,Data!$N:$N,"&lt;&gt;")=0,"",SUMIFS(Data!$N:$N,Data!$V:$V,$R8,Data!$U:$U,9))</f>
        <v/>
      </c>
      <c r="AC8">
        <f>IF(COUNTIFS(Data!$V:$V,$R8,Data!$U:$U,10,Data!$N:$N,"&lt;&gt;")=0,"",SUMIFS(Data!$N:$N,Data!$V:$V,$R8,Data!$U:$U,10))</f>
        <v/>
      </c>
      <c r="AD8">
        <f>IF(COUNTIFS(Data!$V:$V,$R8,Data!$U:$U,11,Data!$N:$N,"&lt;&gt;")=0,"",SUMIFS(Data!$N:$N,Data!$V:$V,$R8,Data!$U:$U,11))</f>
        <v/>
      </c>
      <c r="AE8">
        <f>IF(COUNTIFS(Data!$V:$V,$R8,Data!$U:$U,12,Data!$N:$N,"&lt;&gt;")=0,"",SUMIFS(Data!$N:$N,Data!$V:$V,$R8,Data!$U:$U,12))</f>
        <v/>
      </c>
      <c r="AF8">
        <f>IF(COUNTIFS(Data!$V:$V,$R8,Data!$U:$U,13,Data!$N:$N,"&lt;&gt;")=0,"",SUMIFS(Data!$N:$N,Data!$V:$V,$R8,Data!$U:$U,13))</f>
        <v/>
      </c>
      <c r="AG8">
        <f>IF(COUNTIFS(Data!$V:$V,$R8,Data!$U:$U,14,Data!$N:$N,"&lt;&gt;")=0,"",SUMIFS(Data!$N:$N,Data!$V:$V,$R8,Data!$U:$U,14))</f>
        <v/>
      </c>
      <c r="AH8">
        <f>COUNTIFS(Data!$V:$V,$R8,Data!$U:$U,"&lt;="&amp;14,Data!$N:$N,"&lt;&gt;")</f>
        <v/>
      </c>
      <c r="AI8">
        <f>COUNTIFS(Data!$V:$V,$R8,Data!$U:$U,"&lt;="&amp;14,Data!$N:$N,0)</f>
        <v/>
      </c>
      <c r="AJ8">
        <f>IF(AH8=0,"",AH8-AI8)</f>
        <v/>
      </c>
      <c r="AK8">
        <f>IF(AH8=0,"",SUMIFS(Data!$N:$N,Data!$V:$V,$R8,Data!$U:$U,"&lt;="&amp;14))</f>
        <v/>
      </c>
      <c r="AL8">
        <f>IF(AH8=0,"",IF(ABS(MAX(T8:AG8))&gt;=ABS(MIN(T8:AG8)),MAX(T8:AG8),MIN(T8:AG8)))</f>
        <v/>
      </c>
      <c r="AM8">
        <f>IF(AH8=0,-1,AJ8*100000+MIN(ABS(AK8),99999))</f>
        <v/>
      </c>
      <c r="AN8">
        <f>IF($S8="","",1+COUNTIFS($AM$3:$AM$122,"&gt;"&amp;AM8)+COUNTIFS($AM$3:$AM$122,AM8,$R$3:$R$122,"&lt;"&amp;$R8))</f>
        <v/>
      </c>
    </row>
    <row r="9">
      <c r="A9" t="n">
        <v>7</v>
      </c>
      <c r="B9" s="31">
        <f>IFERROR(IF(INDEX(Data!$B:$B,MATCH($A9,Data!$U:$U,0))="","",INDEX(Data!$B:$B,MATCH($A9,Data!$U:$U,0))),"")</f>
        <v/>
      </c>
      <c r="C9">
        <f>IFERROR(IF(INDEX(Data!$D:$D,MATCH($A9,Data!$U:$U,0))="","",INDEX(Data!$D:$D,MATCH($A9,Data!$U:$U,0))),"")</f>
        <v/>
      </c>
      <c r="D9" s="31">
        <f>IFERROR(IF(INDEX(Data!$O:$O,MATCH($A9,Data!$U:$U,0))="","",INDEX(Data!$O:$O,MATCH($A9,Data!$U:$U,0))),"")</f>
        <v/>
      </c>
      <c r="E9">
        <f>COUNTIFS(Data!$U:$U,$A9)</f>
        <v/>
      </c>
      <c r="F9">
        <f>COUNTIFS(Data!$U:$U,$A9,Data!$N:$N,"&lt;&gt;")</f>
        <v/>
      </c>
      <c r="G9">
        <f>COUNTIFS(Data!$U:$U,$A9,Data!$N:$N,0)</f>
        <v/>
      </c>
      <c r="H9">
        <f>IF($F9=0,"",$F9-$G9)</f>
        <v/>
      </c>
      <c r="I9">
        <f>IF($F9=0,"",SUMIFS(Data!$N:$N,Data!$U:$U,$A9))</f>
        <v/>
      </c>
      <c r="J9">
        <f>COUNTIFS(Data!$U:$U,$A9,Data!$Q:$Q,"&lt;&gt;")</f>
        <v/>
      </c>
      <c r="K9">
        <f>IF($J9=0,"",SUMIFS(Data!$Q:$Q,Data!$U:$U,$A9))</f>
        <v/>
      </c>
      <c r="L9">
        <f>COUNTIFS(Data!$U:$U,$A9,Data!$M:$M,"&lt;&gt;")</f>
        <v/>
      </c>
      <c r="M9">
        <f>IF($E9=0,"",IF($L9=0,"not loaded","loaded"))</f>
        <v/>
      </c>
      <c r="N9">
        <f>COUNTIFS(Data!$U:$U,$A9,Data!$I:$I,"&lt;&gt;")</f>
        <v/>
      </c>
      <c r="O9">
        <f>IF($E9=0,"",IF($L9=0,"No POS sales have been loaded for this date, so variance cannot be worked out. Import the sales report for this day and it fills in.",IF($N9=0,"This is the first count of these products, so there is no opening figure to sell down from. Variance starts from the next count.",IF($F9-$G9=0,"Physical and POS agree on every product.",($F9-$G9)&amp;" of "&amp;$F9&amp;" products disagree with the POS. Largest first below."))))</f>
        <v/>
      </c>
      <c r="R9" t="n">
        <v>7</v>
      </c>
      <c r="S9">
        <f>IFERROR(INDEX(Data!$G:$G,MATCH($R9,Data!$V:$V,0)),"")</f>
        <v/>
      </c>
      <c r="T9">
        <f>IF(COUNTIFS(Data!$V:$V,$R9,Data!$U:$U,1,Data!$N:$N,"&lt;&gt;")=0,"",SUMIFS(Data!$N:$N,Data!$V:$V,$R9,Data!$U:$U,1))</f>
        <v/>
      </c>
      <c r="U9">
        <f>IF(COUNTIFS(Data!$V:$V,$R9,Data!$U:$U,2,Data!$N:$N,"&lt;&gt;")=0,"",SUMIFS(Data!$N:$N,Data!$V:$V,$R9,Data!$U:$U,2))</f>
        <v/>
      </c>
      <c r="V9">
        <f>IF(COUNTIFS(Data!$V:$V,$R9,Data!$U:$U,3,Data!$N:$N,"&lt;&gt;")=0,"",SUMIFS(Data!$N:$N,Data!$V:$V,$R9,Data!$U:$U,3))</f>
        <v/>
      </c>
      <c r="W9">
        <f>IF(COUNTIFS(Data!$V:$V,$R9,Data!$U:$U,4,Data!$N:$N,"&lt;&gt;")=0,"",SUMIFS(Data!$N:$N,Data!$V:$V,$R9,Data!$U:$U,4))</f>
        <v/>
      </c>
      <c r="X9">
        <f>IF(COUNTIFS(Data!$V:$V,$R9,Data!$U:$U,5,Data!$N:$N,"&lt;&gt;")=0,"",SUMIFS(Data!$N:$N,Data!$V:$V,$R9,Data!$U:$U,5))</f>
        <v/>
      </c>
      <c r="Y9">
        <f>IF(COUNTIFS(Data!$V:$V,$R9,Data!$U:$U,6,Data!$N:$N,"&lt;&gt;")=0,"",SUMIFS(Data!$N:$N,Data!$V:$V,$R9,Data!$U:$U,6))</f>
        <v/>
      </c>
      <c r="Z9">
        <f>IF(COUNTIFS(Data!$V:$V,$R9,Data!$U:$U,7,Data!$N:$N,"&lt;&gt;")=0,"",SUMIFS(Data!$N:$N,Data!$V:$V,$R9,Data!$U:$U,7))</f>
        <v/>
      </c>
      <c r="AA9">
        <f>IF(COUNTIFS(Data!$V:$V,$R9,Data!$U:$U,8,Data!$N:$N,"&lt;&gt;")=0,"",SUMIFS(Data!$N:$N,Data!$V:$V,$R9,Data!$U:$U,8))</f>
        <v/>
      </c>
      <c r="AB9">
        <f>IF(COUNTIFS(Data!$V:$V,$R9,Data!$U:$U,9,Data!$N:$N,"&lt;&gt;")=0,"",SUMIFS(Data!$N:$N,Data!$V:$V,$R9,Data!$U:$U,9))</f>
        <v/>
      </c>
      <c r="AC9">
        <f>IF(COUNTIFS(Data!$V:$V,$R9,Data!$U:$U,10,Data!$N:$N,"&lt;&gt;")=0,"",SUMIFS(Data!$N:$N,Data!$V:$V,$R9,Data!$U:$U,10))</f>
        <v/>
      </c>
      <c r="AD9">
        <f>IF(COUNTIFS(Data!$V:$V,$R9,Data!$U:$U,11,Data!$N:$N,"&lt;&gt;")=0,"",SUMIFS(Data!$N:$N,Data!$V:$V,$R9,Data!$U:$U,11))</f>
        <v/>
      </c>
      <c r="AE9">
        <f>IF(COUNTIFS(Data!$V:$V,$R9,Data!$U:$U,12,Data!$N:$N,"&lt;&gt;")=0,"",SUMIFS(Data!$N:$N,Data!$V:$V,$R9,Data!$U:$U,12))</f>
        <v/>
      </c>
      <c r="AF9">
        <f>IF(COUNTIFS(Data!$V:$V,$R9,Data!$U:$U,13,Data!$N:$N,"&lt;&gt;")=0,"",SUMIFS(Data!$N:$N,Data!$V:$V,$R9,Data!$U:$U,13))</f>
        <v/>
      </c>
      <c r="AG9">
        <f>IF(COUNTIFS(Data!$V:$V,$R9,Data!$U:$U,14,Data!$N:$N,"&lt;&gt;")=0,"",SUMIFS(Data!$N:$N,Data!$V:$V,$R9,Data!$U:$U,14))</f>
        <v/>
      </c>
      <c r="AH9">
        <f>COUNTIFS(Data!$V:$V,$R9,Data!$U:$U,"&lt;="&amp;14,Data!$N:$N,"&lt;&gt;")</f>
        <v/>
      </c>
      <c r="AI9">
        <f>COUNTIFS(Data!$V:$V,$R9,Data!$U:$U,"&lt;="&amp;14,Data!$N:$N,0)</f>
        <v/>
      </c>
      <c r="AJ9">
        <f>IF(AH9=0,"",AH9-AI9)</f>
        <v/>
      </c>
      <c r="AK9">
        <f>IF(AH9=0,"",SUMIFS(Data!$N:$N,Data!$V:$V,$R9,Data!$U:$U,"&lt;="&amp;14))</f>
        <v/>
      </c>
      <c r="AL9">
        <f>IF(AH9=0,"",IF(ABS(MAX(T9:AG9))&gt;=ABS(MIN(T9:AG9)),MAX(T9:AG9),MIN(T9:AG9)))</f>
        <v/>
      </c>
      <c r="AM9">
        <f>IF(AH9=0,-1,AJ9*100000+MIN(ABS(AK9),99999))</f>
        <v/>
      </c>
      <c r="AN9">
        <f>IF($S9="","",1+COUNTIFS($AM$3:$AM$122,"&gt;"&amp;AM9)+COUNTIFS($AM$3:$AM$122,AM9,$R$3:$R$122,"&lt;"&amp;$R9))</f>
        <v/>
      </c>
    </row>
    <row r="10">
      <c r="A10" t="n">
        <v>8</v>
      </c>
      <c r="B10" s="31">
        <f>IFERROR(IF(INDEX(Data!$B:$B,MATCH($A10,Data!$U:$U,0))="","",INDEX(Data!$B:$B,MATCH($A10,Data!$U:$U,0))),"")</f>
        <v/>
      </c>
      <c r="C10">
        <f>IFERROR(IF(INDEX(Data!$D:$D,MATCH($A10,Data!$U:$U,0))="","",INDEX(Data!$D:$D,MATCH($A10,Data!$U:$U,0))),"")</f>
        <v/>
      </c>
      <c r="D10" s="31">
        <f>IFERROR(IF(INDEX(Data!$O:$O,MATCH($A10,Data!$U:$U,0))="","",INDEX(Data!$O:$O,MATCH($A10,Data!$U:$U,0))),"")</f>
        <v/>
      </c>
      <c r="E10">
        <f>COUNTIFS(Data!$U:$U,$A10)</f>
        <v/>
      </c>
      <c r="F10">
        <f>COUNTIFS(Data!$U:$U,$A10,Data!$N:$N,"&lt;&gt;")</f>
        <v/>
      </c>
      <c r="G10">
        <f>COUNTIFS(Data!$U:$U,$A10,Data!$N:$N,0)</f>
        <v/>
      </c>
      <c r="H10">
        <f>IF($F10=0,"",$F10-$G10)</f>
        <v/>
      </c>
      <c r="I10">
        <f>IF($F10=0,"",SUMIFS(Data!$N:$N,Data!$U:$U,$A10))</f>
        <v/>
      </c>
      <c r="J10">
        <f>COUNTIFS(Data!$U:$U,$A10,Data!$Q:$Q,"&lt;&gt;")</f>
        <v/>
      </c>
      <c r="K10">
        <f>IF($J10=0,"",SUMIFS(Data!$Q:$Q,Data!$U:$U,$A10))</f>
        <v/>
      </c>
      <c r="L10">
        <f>COUNTIFS(Data!$U:$U,$A10,Data!$M:$M,"&lt;&gt;")</f>
        <v/>
      </c>
      <c r="M10">
        <f>IF($E10=0,"",IF($L10=0,"not loaded","loaded"))</f>
        <v/>
      </c>
      <c r="N10">
        <f>COUNTIFS(Data!$U:$U,$A10,Data!$I:$I,"&lt;&gt;")</f>
        <v/>
      </c>
      <c r="O10">
        <f>IF($E10=0,"",IF($L10=0,"No POS sales have been loaded for this date, so variance cannot be worked out. Import the sales report for this day and it fills in.",IF($N10=0,"This is the first count of these products, so there is no opening figure to sell down from. Variance starts from the next count.",IF($F10-$G10=0,"Physical and POS agree on every product.",($F10-$G10)&amp;" of "&amp;$F10&amp;" products disagree with the POS. Largest first below."))))</f>
        <v/>
      </c>
      <c r="R10" t="n">
        <v>8</v>
      </c>
      <c r="S10">
        <f>IFERROR(INDEX(Data!$G:$G,MATCH($R10,Data!$V:$V,0)),"")</f>
        <v/>
      </c>
      <c r="T10">
        <f>IF(COUNTIFS(Data!$V:$V,$R10,Data!$U:$U,1,Data!$N:$N,"&lt;&gt;")=0,"",SUMIFS(Data!$N:$N,Data!$V:$V,$R10,Data!$U:$U,1))</f>
        <v/>
      </c>
      <c r="U10">
        <f>IF(COUNTIFS(Data!$V:$V,$R10,Data!$U:$U,2,Data!$N:$N,"&lt;&gt;")=0,"",SUMIFS(Data!$N:$N,Data!$V:$V,$R10,Data!$U:$U,2))</f>
        <v/>
      </c>
      <c r="V10">
        <f>IF(COUNTIFS(Data!$V:$V,$R10,Data!$U:$U,3,Data!$N:$N,"&lt;&gt;")=0,"",SUMIFS(Data!$N:$N,Data!$V:$V,$R10,Data!$U:$U,3))</f>
        <v/>
      </c>
      <c r="W10">
        <f>IF(COUNTIFS(Data!$V:$V,$R10,Data!$U:$U,4,Data!$N:$N,"&lt;&gt;")=0,"",SUMIFS(Data!$N:$N,Data!$V:$V,$R10,Data!$U:$U,4))</f>
        <v/>
      </c>
      <c r="X10">
        <f>IF(COUNTIFS(Data!$V:$V,$R10,Data!$U:$U,5,Data!$N:$N,"&lt;&gt;")=0,"",SUMIFS(Data!$N:$N,Data!$V:$V,$R10,Data!$U:$U,5))</f>
        <v/>
      </c>
      <c r="Y10">
        <f>IF(COUNTIFS(Data!$V:$V,$R10,Data!$U:$U,6,Data!$N:$N,"&lt;&gt;")=0,"",SUMIFS(Data!$N:$N,Data!$V:$V,$R10,Data!$U:$U,6))</f>
        <v/>
      </c>
      <c r="Z10">
        <f>IF(COUNTIFS(Data!$V:$V,$R10,Data!$U:$U,7,Data!$N:$N,"&lt;&gt;")=0,"",SUMIFS(Data!$N:$N,Data!$V:$V,$R10,Data!$U:$U,7))</f>
        <v/>
      </c>
      <c r="AA10">
        <f>IF(COUNTIFS(Data!$V:$V,$R10,Data!$U:$U,8,Data!$N:$N,"&lt;&gt;")=0,"",SUMIFS(Data!$N:$N,Data!$V:$V,$R10,Data!$U:$U,8))</f>
        <v/>
      </c>
      <c r="AB10">
        <f>IF(COUNTIFS(Data!$V:$V,$R10,Data!$U:$U,9,Data!$N:$N,"&lt;&gt;")=0,"",SUMIFS(Data!$N:$N,Data!$V:$V,$R10,Data!$U:$U,9))</f>
        <v/>
      </c>
      <c r="AC10">
        <f>IF(COUNTIFS(Data!$V:$V,$R10,Data!$U:$U,10,Data!$N:$N,"&lt;&gt;")=0,"",SUMIFS(Data!$N:$N,Data!$V:$V,$R10,Data!$U:$U,10))</f>
        <v/>
      </c>
      <c r="AD10">
        <f>IF(COUNTIFS(Data!$V:$V,$R10,Data!$U:$U,11,Data!$N:$N,"&lt;&gt;")=0,"",SUMIFS(Data!$N:$N,Data!$V:$V,$R10,Data!$U:$U,11))</f>
        <v/>
      </c>
      <c r="AE10">
        <f>IF(COUNTIFS(Data!$V:$V,$R10,Data!$U:$U,12,Data!$N:$N,"&lt;&gt;")=0,"",SUMIFS(Data!$N:$N,Data!$V:$V,$R10,Data!$U:$U,12))</f>
        <v/>
      </c>
      <c r="AF10">
        <f>IF(COUNTIFS(Data!$V:$V,$R10,Data!$U:$U,13,Data!$N:$N,"&lt;&gt;")=0,"",SUMIFS(Data!$N:$N,Data!$V:$V,$R10,Data!$U:$U,13))</f>
        <v/>
      </c>
      <c r="AG10">
        <f>IF(COUNTIFS(Data!$V:$V,$R10,Data!$U:$U,14,Data!$N:$N,"&lt;&gt;")=0,"",SUMIFS(Data!$N:$N,Data!$V:$V,$R10,Data!$U:$U,14))</f>
        <v/>
      </c>
      <c r="AH10">
        <f>COUNTIFS(Data!$V:$V,$R10,Data!$U:$U,"&lt;="&amp;14,Data!$N:$N,"&lt;&gt;")</f>
        <v/>
      </c>
      <c r="AI10">
        <f>COUNTIFS(Data!$V:$V,$R10,Data!$U:$U,"&lt;="&amp;14,Data!$N:$N,0)</f>
        <v/>
      </c>
      <c r="AJ10">
        <f>IF(AH10=0,"",AH10-AI10)</f>
        <v/>
      </c>
      <c r="AK10">
        <f>IF(AH10=0,"",SUMIFS(Data!$N:$N,Data!$V:$V,$R10,Data!$U:$U,"&lt;="&amp;14))</f>
        <v/>
      </c>
      <c r="AL10">
        <f>IF(AH10=0,"",IF(ABS(MAX(T10:AG10))&gt;=ABS(MIN(T10:AG10)),MAX(T10:AG10),MIN(T10:AG10)))</f>
        <v/>
      </c>
      <c r="AM10">
        <f>IF(AH10=0,-1,AJ10*100000+MIN(ABS(AK10),99999))</f>
        <v/>
      </c>
      <c r="AN10">
        <f>IF($S10="","",1+COUNTIFS($AM$3:$AM$122,"&gt;"&amp;AM10)+COUNTIFS($AM$3:$AM$122,AM10,$R$3:$R$122,"&lt;"&amp;$R10))</f>
        <v/>
      </c>
    </row>
    <row r="11">
      <c r="A11" t="n">
        <v>9</v>
      </c>
      <c r="B11" s="31">
        <f>IFERROR(IF(INDEX(Data!$B:$B,MATCH($A11,Data!$U:$U,0))="","",INDEX(Data!$B:$B,MATCH($A11,Data!$U:$U,0))),"")</f>
        <v/>
      </c>
      <c r="C11">
        <f>IFERROR(IF(INDEX(Data!$D:$D,MATCH($A11,Data!$U:$U,0))="","",INDEX(Data!$D:$D,MATCH($A11,Data!$U:$U,0))),"")</f>
        <v/>
      </c>
      <c r="D11" s="31">
        <f>IFERROR(IF(INDEX(Data!$O:$O,MATCH($A11,Data!$U:$U,0))="","",INDEX(Data!$O:$O,MATCH($A11,Data!$U:$U,0))),"")</f>
        <v/>
      </c>
      <c r="E11">
        <f>COUNTIFS(Data!$U:$U,$A11)</f>
        <v/>
      </c>
      <c r="F11">
        <f>COUNTIFS(Data!$U:$U,$A11,Data!$N:$N,"&lt;&gt;")</f>
        <v/>
      </c>
      <c r="G11">
        <f>COUNTIFS(Data!$U:$U,$A11,Data!$N:$N,0)</f>
        <v/>
      </c>
      <c r="H11">
        <f>IF($F11=0,"",$F11-$G11)</f>
        <v/>
      </c>
      <c r="I11">
        <f>IF($F11=0,"",SUMIFS(Data!$N:$N,Data!$U:$U,$A11))</f>
        <v/>
      </c>
      <c r="J11">
        <f>COUNTIFS(Data!$U:$U,$A11,Data!$Q:$Q,"&lt;&gt;")</f>
        <v/>
      </c>
      <c r="K11">
        <f>IF($J11=0,"",SUMIFS(Data!$Q:$Q,Data!$U:$U,$A11))</f>
        <v/>
      </c>
      <c r="L11">
        <f>COUNTIFS(Data!$U:$U,$A11,Data!$M:$M,"&lt;&gt;")</f>
        <v/>
      </c>
      <c r="M11">
        <f>IF($E11=0,"",IF($L11=0,"not loaded","loaded"))</f>
        <v/>
      </c>
      <c r="N11">
        <f>COUNTIFS(Data!$U:$U,$A11,Data!$I:$I,"&lt;&gt;")</f>
        <v/>
      </c>
      <c r="O11">
        <f>IF($E11=0,"",IF($L11=0,"No POS sales have been loaded for this date, so variance cannot be worked out. Import the sales report for this day and it fills in.",IF($N11=0,"This is the first count of these products, so there is no opening figure to sell down from. Variance starts from the next count.",IF($F11-$G11=0,"Physical and POS agree on every product.",($F11-$G11)&amp;" of "&amp;$F11&amp;" products disagree with the POS. Largest first below."))))</f>
        <v/>
      </c>
      <c r="R11" t="n">
        <v>9</v>
      </c>
      <c r="S11">
        <f>IFERROR(INDEX(Data!$G:$G,MATCH($R11,Data!$V:$V,0)),"")</f>
        <v/>
      </c>
      <c r="T11">
        <f>IF(COUNTIFS(Data!$V:$V,$R11,Data!$U:$U,1,Data!$N:$N,"&lt;&gt;")=0,"",SUMIFS(Data!$N:$N,Data!$V:$V,$R11,Data!$U:$U,1))</f>
        <v/>
      </c>
      <c r="U11">
        <f>IF(COUNTIFS(Data!$V:$V,$R11,Data!$U:$U,2,Data!$N:$N,"&lt;&gt;")=0,"",SUMIFS(Data!$N:$N,Data!$V:$V,$R11,Data!$U:$U,2))</f>
        <v/>
      </c>
      <c r="V11">
        <f>IF(COUNTIFS(Data!$V:$V,$R11,Data!$U:$U,3,Data!$N:$N,"&lt;&gt;")=0,"",SUMIFS(Data!$N:$N,Data!$V:$V,$R11,Data!$U:$U,3))</f>
        <v/>
      </c>
      <c r="W11">
        <f>IF(COUNTIFS(Data!$V:$V,$R11,Data!$U:$U,4,Data!$N:$N,"&lt;&gt;")=0,"",SUMIFS(Data!$N:$N,Data!$V:$V,$R11,Data!$U:$U,4))</f>
        <v/>
      </c>
      <c r="X11">
        <f>IF(COUNTIFS(Data!$V:$V,$R11,Data!$U:$U,5,Data!$N:$N,"&lt;&gt;")=0,"",SUMIFS(Data!$N:$N,Data!$V:$V,$R11,Data!$U:$U,5))</f>
        <v/>
      </c>
      <c r="Y11">
        <f>IF(COUNTIFS(Data!$V:$V,$R11,Data!$U:$U,6,Data!$N:$N,"&lt;&gt;")=0,"",SUMIFS(Data!$N:$N,Data!$V:$V,$R11,Data!$U:$U,6))</f>
        <v/>
      </c>
      <c r="Z11">
        <f>IF(COUNTIFS(Data!$V:$V,$R11,Data!$U:$U,7,Data!$N:$N,"&lt;&gt;")=0,"",SUMIFS(Data!$N:$N,Data!$V:$V,$R11,Data!$U:$U,7))</f>
        <v/>
      </c>
      <c r="AA11">
        <f>IF(COUNTIFS(Data!$V:$V,$R11,Data!$U:$U,8,Data!$N:$N,"&lt;&gt;")=0,"",SUMIFS(Data!$N:$N,Data!$V:$V,$R11,Data!$U:$U,8))</f>
        <v/>
      </c>
      <c r="AB11">
        <f>IF(COUNTIFS(Data!$V:$V,$R11,Data!$U:$U,9,Data!$N:$N,"&lt;&gt;")=0,"",SUMIFS(Data!$N:$N,Data!$V:$V,$R11,Data!$U:$U,9))</f>
        <v/>
      </c>
      <c r="AC11">
        <f>IF(COUNTIFS(Data!$V:$V,$R11,Data!$U:$U,10,Data!$N:$N,"&lt;&gt;")=0,"",SUMIFS(Data!$N:$N,Data!$V:$V,$R11,Data!$U:$U,10))</f>
        <v/>
      </c>
      <c r="AD11">
        <f>IF(COUNTIFS(Data!$V:$V,$R11,Data!$U:$U,11,Data!$N:$N,"&lt;&gt;")=0,"",SUMIFS(Data!$N:$N,Data!$V:$V,$R11,Data!$U:$U,11))</f>
        <v/>
      </c>
      <c r="AE11">
        <f>IF(COUNTIFS(Data!$V:$V,$R11,Data!$U:$U,12,Data!$N:$N,"&lt;&gt;")=0,"",SUMIFS(Data!$N:$N,Data!$V:$V,$R11,Data!$U:$U,12))</f>
        <v/>
      </c>
      <c r="AF11">
        <f>IF(COUNTIFS(Data!$V:$V,$R11,Data!$U:$U,13,Data!$N:$N,"&lt;&gt;")=0,"",SUMIFS(Data!$N:$N,Data!$V:$V,$R11,Data!$U:$U,13))</f>
        <v/>
      </c>
      <c r="AG11">
        <f>IF(COUNTIFS(Data!$V:$V,$R11,Data!$U:$U,14,Data!$N:$N,"&lt;&gt;")=0,"",SUMIFS(Data!$N:$N,Data!$V:$V,$R11,Data!$U:$U,14))</f>
        <v/>
      </c>
      <c r="AH11">
        <f>COUNTIFS(Data!$V:$V,$R11,Data!$U:$U,"&lt;="&amp;14,Data!$N:$N,"&lt;&gt;")</f>
        <v/>
      </c>
      <c r="AI11">
        <f>COUNTIFS(Data!$V:$V,$R11,Data!$U:$U,"&lt;="&amp;14,Data!$N:$N,0)</f>
        <v/>
      </c>
      <c r="AJ11">
        <f>IF(AH11=0,"",AH11-AI11)</f>
        <v/>
      </c>
      <c r="AK11">
        <f>IF(AH11=0,"",SUMIFS(Data!$N:$N,Data!$V:$V,$R11,Data!$U:$U,"&lt;="&amp;14))</f>
        <v/>
      </c>
      <c r="AL11">
        <f>IF(AH11=0,"",IF(ABS(MAX(T11:AG11))&gt;=ABS(MIN(T11:AG11)),MAX(T11:AG11),MIN(T11:AG11)))</f>
        <v/>
      </c>
      <c r="AM11">
        <f>IF(AH11=0,-1,AJ11*100000+MIN(ABS(AK11),99999))</f>
        <v/>
      </c>
      <c r="AN11">
        <f>IF($S11="","",1+COUNTIFS($AM$3:$AM$122,"&gt;"&amp;AM11)+COUNTIFS($AM$3:$AM$122,AM11,$R$3:$R$122,"&lt;"&amp;$R11))</f>
        <v/>
      </c>
    </row>
    <row r="12">
      <c r="A12" t="n">
        <v>10</v>
      </c>
      <c r="B12" s="31">
        <f>IFERROR(IF(INDEX(Data!$B:$B,MATCH($A12,Data!$U:$U,0))="","",INDEX(Data!$B:$B,MATCH($A12,Data!$U:$U,0))),"")</f>
        <v/>
      </c>
      <c r="C12">
        <f>IFERROR(IF(INDEX(Data!$D:$D,MATCH($A12,Data!$U:$U,0))="","",INDEX(Data!$D:$D,MATCH($A12,Data!$U:$U,0))),"")</f>
        <v/>
      </c>
      <c r="D12" s="31">
        <f>IFERROR(IF(INDEX(Data!$O:$O,MATCH($A12,Data!$U:$U,0))="","",INDEX(Data!$O:$O,MATCH($A12,Data!$U:$U,0))),"")</f>
        <v/>
      </c>
      <c r="E12">
        <f>COUNTIFS(Data!$U:$U,$A12)</f>
        <v/>
      </c>
      <c r="F12">
        <f>COUNTIFS(Data!$U:$U,$A12,Data!$N:$N,"&lt;&gt;")</f>
        <v/>
      </c>
      <c r="G12">
        <f>COUNTIFS(Data!$U:$U,$A12,Data!$N:$N,0)</f>
        <v/>
      </c>
      <c r="H12">
        <f>IF($F12=0,"",$F12-$G12)</f>
        <v/>
      </c>
      <c r="I12">
        <f>IF($F12=0,"",SUMIFS(Data!$N:$N,Data!$U:$U,$A12))</f>
        <v/>
      </c>
      <c r="J12">
        <f>COUNTIFS(Data!$U:$U,$A12,Data!$Q:$Q,"&lt;&gt;")</f>
        <v/>
      </c>
      <c r="K12">
        <f>IF($J12=0,"",SUMIFS(Data!$Q:$Q,Data!$U:$U,$A12))</f>
        <v/>
      </c>
      <c r="L12">
        <f>COUNTIFS(Data!$U:$U,$A12,Data!$M:$M,"&lt;&gt;")</f>
        <v/>
      </c>
      <c r="M12">
        <f>IF($E12=0,"",IF($L12=0,"not loaded","loaded"))</f>
        <v/>
      </c>
      <c r="N12">
        <f>COUNTIFS(Data!$U:$U,$A12,Data!$I:$I,"&lt;&gt;")</f>
        <v/>
      </c>
      <c r="O12">
        <f>IF($E12=0,"",IF($L12=0,"No POS sales have been loaded for this date, so variance cannot be worked out. Import the sales report for this day and it fills in.",IF($N12=0,"This is the first count of these products, so there is no opening figure to sell down from. Variance starts from the next count.",IF($F12-$G12=0,"Physical and POS agree on every product.",($F12-$G12)&amp;" of "&amp;$F12&amp;" products disagree with the POS. Largest first below."))))</f>
        <v/>
      </c>
      <c r="R12" t="n">
        <v>10</v>
      </c>
      <c r="S12">
        <f>IFERROR(INDEX(Data!$G:$G,MATCH($R12,Data!$V:$V,0)),"")</f>
        <v/>
      </c>
      <c r="T12">
        <f>IF(COUNTIFS(Data!$V:$V,$R12,Data!$U:$U,1,Data!$N:$N,"&lt;&gt;")=0,"",SUMIFS(Data!$N:$N,Data!$V:$V,$R12,Data!$U:$U,1))</f>
        <v/>
      </c>
      <c r="U12">
        <f>IF(COUNTIFS(Data!$V:$V,$R12,Data!$U:$U,2,Data!$N:$N,"&lt;&gt;")=0,"",SUMIFS(Data!$N:$N,Data!$V:$V,$R12,Data!$U:$U,2))</f>
        <v/>
      </c>
      <c r="V12">
        <f>IF(COUNTIFS(Data!$V:$V,$R12,Data!$U:$U,3,Data!$N:$N,"&lt;&gt;")=0,"",SUMIFS(Data!$N:$N,Data!$V:$V,$R12,Data!$U:$U,3))</f>
        <v/>
      </c>
      <c r="W12">
        <f>IF(COUNTIFS(Data!$V:$V,$R12,Data!$U:$U,4,Data!$N:$N,"&lt;&gt;")=0,"",SUMIFS(Data!$N:$N,Data!$V:$V,$R12,Data!$U:$U,4))</f>
        <v/>
      </c>
      <c r="X12">
        <f>IF(COUNTIFS(Data!$V:$V,$R12,Data!$U:$U,5,Data!$N:$N,"&lt;&gt;")=0,"",SUMIFS(Data!$N:$N,Data!$V:$V,$R12,Data!$U:$U,5))</f>
        <v/>
      </c>
      <c r="Y12">
        <f>IF(COUNTIFS(Data!$V:$V,$R12,Data!$U:$U,6,Data!$N:$N,"&lt;&gt;")=0,"",SUMIFS(Data!$N:$N,Data!$V:$V,$R12,Data!$U:$U,6))</f>
        <v/>
      </c>
      <c r="Z12">
        <f>IF(COUNTIFS(Data!$V:$V,$R12,Data!$U:$U,7,Data!$N:$N,"&lt;&gt;")=0,"",SUMIFS(Data!$N:$N,Data!$V:$V,$R12,Data!$U:$U,7))</f>
        <v/>
      </c>
      <c r="AA12">
        <f>IF(COUNTIFS(Data!$V:$V,$R12,Data!$U:$U,8,Data!$N:$N,"&lt;&gt;")=0,"",SUMIFS(Data!$N:$N,Data!$V:$V,$R12,Data!$U:$U,8))</f>
        <v/>
      </c>
      <c r="AB12">
        <f>IF(COUNTIFS(Data!$V:$V,$R12,Data!$U:$U,9,Data!$N:$N,"&lt;&gt;")=0,"",SUMIFS(Data!$N:$N,Data!$V:$V,$R12,Data!$U:$U,9))</f>
        <v/>
      </c>
      <c r="AC12">
        <f>IF(COUNTIFS(Data!$V:$V,$R12,Data!$U:$U,10,Data!$N:$N,"&lt;&gt;")=0,"",SUMIFS(Data!$N:$N,Data!$V:$V,$R12,Data!$U:$U,10))</f>
        <v/>
      </c>
      <c r="AD12">
        <f>IF(COUNTIFS(Data!$V:$V,$R12,Data!$U:$U,11,Data!$N:$N,"&lt;&gt;")=0,"",SUMIFS(Data!$N:$N,Data!$V:$V,$R12,Data!$U:$U,11))</f>
        <v/>
      </c>
      <c r="AE12">
        <f>IF(COUNTIFS(Data!$V:$V,$R12,Data!$U:$U,12,Data!$N:$N,"&lt;&gt;")=0,"",SUMIFS(Data!$N:$N,Data!$V:$V,$R12,Data!$U:$U,12))</f>
        <v/>
      </c>
      <c r="AF12">
        <f>IF(COUNTIFS(Data!$V:$V,$R12,Data!$U:$U,13,Data!$N:$N,"&lt;&gt;")=0,"",SUMIFS(Data!$N:$N,Data!$V:$V,$R12,Data!$U:$U,13))</f>
        <v/>
      </c>
      <c r="AG12">
        <f>IF(COUNTIFS(Data!$V:$V,$R12,Data!$U:$U,14,Data!$N:$N,"&lt;&gt;")=0,"",SUMIFS(Data!$N:$N,Data!$V:$V,$R12,Data!$U:$U,14))</f>
        <v/>
      </c>
      <c r="AH12">
        <f>COUNTIFS(Data!$V:$V,$R12,Data!$U:$U,"&lt;="&amp;14,Data!$N:$N,"&lt;&gt;")</f>
        <v/>
      </c>
      <c r="AI12">
        <f>COUNTIFS(Data!$V:$V,$R12,Data!$U:$U,"&lt;="&amp;14,Data!$N:$N,0)</f>
        <v/>
      </c>
      <c r="AJ12">
        <f>IF(AH12=0,"",AH12-AI12)</f>
        <v/>
      </c>
      <c r="AK12">
        <f>IF(AH12=0,"",SUMIFS(Data!$N:$N,Data!$V:$V,$R12,Data!$U:$U,"&lt;="&amp;14))</f>
        <v/>
      </c>
      <c r="AL12">
        <f>IF(AH12=0,"",IF(ABS(MAX(T12:AG12))&gt;=ABS(MIN(T12:AG12)),MAX(T12:AG12),MIN(T12:AG12)))</f>
        <v/>
      </c>
      <c r="AM12">
        <f>IF(AH12=0,-1,AJ12*100000+MIN(ABS(AK12),99999))</f>
        <v/>
      </c>
      <c r="AN12">
        <f>IF($S12="","",1+COUNTIFS($AM$3:$AM$122,"&gt;"&amp;AM12)+COUNTIFS($AM$3:$AM$122,AM12,$R$3:$R$122,"&lt;"&amp;$R12))</f>
        <v/>
      </c>
    </row>
    <row r="13">
      <c r="A13" t="n">
        <v>11</v>
      </c>
      <c r="B13" s="31">
        <f>IFERROR(IF(INDEX(Data!$B:$B,MATCH($A13,Data!$U:$U,0))="","",INDEX(Data!$B:$B,MATCH($A13,Data!$U:$U,0))),"")</f>
        <v/>
      </c>
      <c r="C13">
        <f>IFERROR(IF(INDEX(Data!$D:$D,MATCH($A13,Data!$U:$U,0))="","",INDEX(Data!$D:$D,MATCH($A13,Data!$U:$U,0))),"")</f>
        <v/>
      </c>
      <c r="D13" s="31">
        <f>IFERROR(IF(INDEX(Data!$O:$O,MATCH($A13,Data!$U:$U,0))="","",INDEX(Data!$O:$O,MATCH($A13,Data!$U:$U,0))),"")</f>
        <v/>
      </c>
      <c r="E13">
        <f>COUNTIFS(Data!$U:$U,$A13)</f>
        <v/>
      </c>
      <c r="F13">
        <f>COUNTIFS(Data!$U:$U,$A13,Data!$N:$N,"&lt;&gt;")</f>
        <v/>
      </c>
      <c r="G13">
        <f>COUNTIFS(Data!$U:$U,$A13,Data!$N:$N,0)</f>
        <v/>
      </c>
      <c r="H13">
        <f>IF($F13=0,"",$F13-$G13)</f>
        <v/>
      </c>
      <c r="I13">
        <f>IF($F13=0,"",SUMIFS(Data!$N:$N,Data!$U:$U,$A13))</f>
        <v/>
      </c>
      <c r="J13">
        <f>COUNTIFS(Data!$U:$U,$A13,Data!$Q:$Q,"&lt;&gt;")</f>
        <v/>
      </c>
      <c r="K13">
        <f>IF($J13=0,"",SUMIFS(Data!$Q:$Q,Data!$U:$U,$A13))</f>
        <v/>
      </c>
      <c r="L13">
        <f>COUNTIFS(Data!$U:$U,$A13,Data!$M:$M,"&lt;&gt;")</f>
        <v/>
      </c>
      <c r="M13">
        <f>IF($E13=0,"",IF($L13=0,"not loaded","loaded"))</f>
        <v/>
      </c>
      <c r="N13">
        <f>COUNTIFS(Data!$U:$U,$A13,Data!$I:$I,"&lt;&gt;")</f>
        <v/>
      </c>
      <c r="O13">
        <f>IF($E13=0,"",IF($L13=0,"No POS sales have been loaded for this date, so variance cannot be worked out. Import the sales report for this day and it fills in.",IF($N13=0,"This is the first count of these products, so there is no opening figure to sell down from. Variance starts from the next count.",IF($F13-$G13=0,"Physical and POS agree on every product.",($F13-$G13)&amp;" of "&amp;$F13&amp;" products disagree with the POS. Largest first below."))))</f>
        <v/>
      </c>
      <c r="R13" t="n">
        <v>11</v>
      </c>
      <c r="S13">
        <f>IFERROR(INDEX(Data!$G:$G,MATCH($R13,Data!$V:$V,0)),"")</f>
        <v/>
      </c>
      <c r="T13">
        <f>IF(COUNTIFS(Data!$V:$V,$R13,Data!$U:$U,1,Data!$N:$N,"&lt;&gt;")=0,"",SUMIFS(Data!$N:$N,Data!$V:$V,$R13,Data!$U:$U,1))</f>
        <v/>
      </c>
      <c r="U13">
        <f>IF(COUNTIFS(Data!$V:$V,$R13,Data!$U:$U,2,Data!$N:$N,"&lt;&gt;")=0,"",SUMIFS(Data!$N:$N,Data!$V:$V,$R13,Data!$U:$U,2))</f>
        <v/>
      </c>
      <c r="V13">
        <f>IF(COUNTIFS(Data!$V:$V,$R13,Data!$U:$U,3,Data!$N:$N,"&lt;&gt;")=0,"",SUMIFS(Data!$N:$N,Data!$V:$V,$R13,Data!$U:$U,3))</f>
        <v/>
      </c>
      <c r="W13">
        <f>IF(COUNTIFS(Data!$V:$V,$R13,Data!$U:$U,4,Data!$N:$N,"&lt;&gt;")=0,"",SUMIFS(Data!$N:$N,Data!$V:$V,$R13,Data!$U:$U,4))</f>
        <v/>
      </c>
      <c r="X13">
        <f>IF(COUNTIFS(Data!$V:$V,$R13,Data!$U:$U,5,Data!$N:$N,"&lt;&gt;")=0,"",SUMIFS(Data!$N:$N,Data!$V:$V,$R13,Data!$U:$U,5))</f>
        <v/>
      </c>
      <c r="Y13">
        <f>IF(COUNTIFS(Data!$V:$V,$R13,Data!$U:$U,6,Data!$N:$N,"&lt;&gt;")=0,"",SUMIFS(Data!$N:$N,Data!$V:$V,$R13,Data!$U:$U,6))</f>
        <v/>
      </c>
      <c r="Z13">
        <f>IF(COUNTIFS(Data!$V:$V,$R13,Data!$U:$U,7,Data!$N:$N,"&lt;&gt;")=0,"",SUMIFS(Data!$N:$N,Data!$V:$V,$R13,Data!$U:$U,7))</f>
        <v/>
      </c>
      <c r="AA13">
        <f>IF(COUNTIFS(Data!$V:$V,$R13,Data!$U:$U,8,Data!$N:$N,"&lt;&gt;")=0,"",SUMIFS(Data!$N:$N,Data!$V:$V,$R13,Data!$U:$U,8))</f>
        <v/>
      </c>
      <c r="AB13">
        <f>IF(COUNTIFS(Data!$V:$V,$R13,Data!$U:$U,9,Data!$N:$N,"&lt;&gt;")=0,"",SUMIFS(Data!$N:$N,Data!$V:$V,$R13,Data!$U:$U,9))</f>
        <v/>
      </c>
      <c r="AC13">
        <f>IF(COUNTIFS(Data!$V:$V,$R13,Data!$U:$U,10,Data!$N:$N,"&lt;&gt;")=0,"",SUMIFS(Data!$N:$N,Data!$V:$V,$R13,Data!$U:$U,10))</f>
        <v/>
      </c>
      <c r="AD13">
        <f>IF(COUNTIFS(Data!$V:$V,$R13,Data!$U:$U,11,Data!$N:$N,"&lt;&gt;")=0,"",SUMIFS(Data!$N:$N,Data!$V:$V,$R13,Data!$U:$U,11))</f>
        <v/>
      </c>
      <c r="AE13">
        <f>IF(COUNTIFS(Data!$V:$V,$R13,Data!$U:$U,12,Data!$N:$N,"&lt;&gt;")=0,"",SUMIFS(Data!$N:$N,Data!$V:$V,$R13,Data!$U:$U,12))</f>
        <v/>
      </c>
      <c r="AF13">
        <f>IF(COUNTIFS(Data!$V:$V,$R13,Data!$U:$U,13,Data!$N:$N,"&lt;&gt;")=0,"",SUMIFS(Data!$N:$N,Data!$V:$V,$R13,Data!$U:$U,13))</f>
        <v/>
      </c>
      <c r="AG13">
        <f>IF(COUNTIFS(Data!$V:$V,$R13,Data!$U:$U,14,Data!$N:$N,"&lt;&gt;")=0,"",SUMIFS(Data!$N:$N,Data!$V:$V,$R13,Data!$U:$U,14))</f>
        <v/>
      </c>
      <c r="AH13">
        <f>COUNTIFS(Data!$V:$V,$R13,Data!$U:$U,"&lt;="&amp;14,Data!$N:$N,"&lt;&gt;")</f>
        <v/>
      </c>
      <c r="AI13">
        <f>COUNTIFS(Data!$V:$V,$R13,Data!$U:$U,"&lt;="&amp;14,Data!$N:$N,0)</f>
        <v/>
      </c>
      <c r="AJ13">
        <f>IF(AH13=0,"",AH13-AI13)</f>
        <v/>
      </c>
      <c r="AK13">
        <f>IF(AH13=0,"",SUMIFS(Data!$N:$N,Data!$V:$V,$R13,Data!$U:$U,"&lt;="&amp;14))</f>
        <v/>
      </c>
      <c r="AL13">
        <f>IF(AH13=0,"",IF(ABS(MAX(T13:AG13))&gt;=ABS(MIN(T13:AG13)),MAX(T13:AG13),MIN(T13:AG13)))</f>
        <v/>
      </c>
      <c r="AM13">
        <f>IF(AH13=0,-1,AJ13*100000+MIN(ABS(AK13),99999))</f>
        <v/>
      </c>
      <c r="AN13">
        <f>IF($S13="","",1+COUNTIFS($AM$3:$AM$122,"&gt;"&amp;AM13)+COUNTIFS($AM$3:$AM$122,AM13,$R$3:$R$122,"&lt;"&amp;$R13))</f>
        <v/>
      </c>
    </row>
    <row r="14">
      <c r="A14" t="n">
        <v>12</v>
      </c>
      <c r="B14" s="31">
        <f>IFERROR(IF(INDEX(Data!$B:$B,MATCH($A14,Data!$U:$U,0))="","",INDEX(Data!$B:$B,MATCH($A14,Data!$U:$U,0))),"")</f>
        <v/>
      </c>
      <c r="C14">
        <f>IFERROR(IF(INDEX(Data!$D:$D,MATCH($A14,Data!$U:$U,0))="","",INDEX(Data!$D:$D,MATCH($A14,Data!$U:$U,0))),"")</f>
        <v/>
      </c>
      <c r="D14" s="31">
        <f>IFERROR(IF(INDEX(Data!$O:$O,MATCH($A14,Data!$U:$U,0))="","",INDEX(Data!$O:$O,MATCH($A14,Data!$U:$U,0))),"")</f>
        <v/>
      </c>
      <c r="E14">
        <f>COUNTIFS(Data!$U:$U,$A14)</f>
        <v/>
      </c>
      <c r="F14">
        <f>COUNTIFS(Data!$U:$U,$A14,Data!$N:$N,"&lt;&gt;")</f>
        <v/>
      </c>
      <c r="G14">
        <f>COUNTIFS(Data!$U:$U,$A14,Data!$N:$N,0)</f>
        <v/>
      </c>
      <c r="H14">
        <f>IF($F14=0,"",$F14-$G14)</f>
        <v/>
      </c>
      <c r="I14">
        <f>IF($F14=0,"",SUMIFS(Data!$N:$N,Data!$U:$U,$A14))</f>
        <v/>
      </c>
      <c r="J14">
        <f>COUNTIFS(Data!$U:$U,$A14,Data!$Q:$Q,"&lt;&gt;")</f>
        <v/>
      </c>
      <c r="K14">
        <f>IF($J14=0,"",SUMIFS(Data!$Q:$Q,Data!$U:$U,$A14))</f>
        <v/>
      </c>
      <c r="L14">
        <f>COUNTIFS(Data!$U:$U,$A14,Data!$M:$M,"&lt;&gt;")</f>
        <v/>
      </c>
      <c r="M14">
        <f>IF($E14=0,"",IF($L14=0,"not loaded","loaded"))</f>
        <v/>
      </c>
      <c r="N14">
        <f>COUNTIFS(Data!$U:$U,$A14,Data!$I:$I,"&lt;&gt;")</f>
        <v/>
      </c>
      <c r="O14">
        <f>IF($E14=0,"",IF($L14=0,"No POS sales have been loaded for this date, so variance cannot be worked out. Import the sales report for this day and it fills in.",IF($N14=0,"This is the first count of these products, so there is no opening figure to sell down from. Variance starts from the next count.",IF($F14-$G14=0,"Physical and POS agree on every product.",($F14-$G14)&amp;" of "&amp;$F14&amp;" products disagree with the POS. Largest first below."))))</f>
        <v/>
      </c>
      <c r="R14" t="n">
        <v>12</v>
      </c>
      <c r="S14">
        <f>IFERROR(INDEX(Data!$G:$G,MATCH($R14,Data!$V:$V,0)),"")</f>
        <v/>
      </c>
      <c r="T14">
        <f>IF(COUNTIFS(Data!$V:$V,$R14,Data!$U:$U,1,Data!$N:$N,"&lt;&gt;")=0,"",SUMIFS(Data!$N:$N,Data!$V:$V,$R14,Data!$U:$U,1))</f>
        <v/>
      </c>
      <c r="U14">
        <f>IF(COUNTIFS(Data!$V:$V,$R14,Data!$U:$U,2,Data!$N:$N,"&lt;&gt;")=0,"",SUMIFS(Data!$N:$N,Data!$V:$V,$R14,Data!$U:$U,2))</f>
        <v/>
      </c>
      <c r="V14">
        <f>IF(COUNTIFS(Data!$V:$V,$R14,Data!$U:$U,3,Data!$N:$N,"&lt;&gt;")=0,"",SUMIFS(Data!$N:$N,Data!$V:$V,$R14,Data!$U:$U,3))</f>
        <v/>
      </c>
      <c r="W14">
        <f>IF(COUNTIFS(Data!$V:$V,$R14,Data!$U:$U,4,Data!$N:$N,"&lt;&gt;")=0,"",SUMIFS(Data!$N:$N,Data!$V:$V,$R14,Data!$U:$U,4))</f>
        <v/>
      </c>
      <c r="X14">
        <f>IF(COUNTIFS(Data!$V:$V,$R14,Data!$U:$U,5,Data!$N:$N,"&lt;&gt;")=0,"",SUMIFS(Data!$N:$N,Data!$V:$V,$R14,Data!$U:$U,5))</f>
        <v/>
      </c>
      <c r="Y14">
        <f>IF(COUNTIFS(Data!$V:$V,$R14,Data!$U:$U,6,Data!$N:$N,"&lt;&gt;")=0,"",SUMIFS(Data!$N:$N,Data!$V:$V,$R14,Data!$U:$U,6))</f>
        <v/>
      </c>
      <c r="Z14">
        <f>IF(COUNTIFS(Data!$V:$V,$R14,Data!$U:$U,7,Data!$N:$N,"&lt;&gt;")=0,"",SUMIFS(Data!$N:$N,Data!$V:$V,$R14,Data!$U:$U,7))</f>
        <v/>
      </c>
      <c r="AA14">
        <f>IF(COUNTIFS(Data!$V:$V,$R14,Data!$U:$U,8,Data!$N:$N,"&lt;&gt;")=0,"",SUMIFS(Data!$N:$N,Data!$V:$V,$R14,Data!$U:$U,8))</f>
        <v/>
      </c>
      <c r="AB14">
        <f>IF(COUNTIFS(Data!$V:$V,$R14,Data!$U:$U,9,Data!$N:$N,"&lt;&gt;")=0,"",SUMIFS(Data!$N:$N,Data!$V:$V,$R14,Data!$U:$U,9))</f>
        <v/>
      </c>
      <c r="AC14">
        <f>IF(COUNTIFS(Data!$V:$V,$R14,Data!$U:$U,10,Data!$N:$N,"&lt;&gt;")=0,"",SUMIFS(Data!$N:$N,Data!$V:$V,$R14,Data!$U:$U,10))</f>
        <v/>
      </c>
      <c r="AD14">
        <f>IF(COUNTIFS(Data!$V:$V,$R14,Data!$U:$U,11,Data!$N:$N,"&lt;&gt;")=0,"",SUMIFS(Data!$N:$N,Data!$V:$V,$R14,Data!$U:$U,11))</f>
        <v/>
      </c>
      <c r="AE14">
        <f>IF(COUNTIFS(Data!$V:$V,$R14,Data!$U:$U,12,Data!$N:$N,"&lt;&gt;")=0,"",SUMIFS(Data!$N:$N,Data!$V:$V,$R14,Data!$U:$U,12))</f>
        <v/>
      </c>
      <c r="AF14">
        <f>IF(COUNTIFS(Data!$V:$V,$R14,Data!$U:$U,13,Data!$N:$N,"&lt;&gt;")=0,"",SUMIFS(Data!$N:$N,Data!$V:$V,$R14,Data!$U:$U,13))</f>
        <v/>
      </c>
      <c r="AG14">
        <f>IF(COUNTIFS(Data!$V:$V,$R14,Data!$U:$U,14,Data!$N:$N,"&lt;&gt;")=0,"",SUMIFS(Data!$N:$N,Data!$V:$V,$R14,Data!$U:$U,14))</f>
        <v/>
      </c>
      <c r="AH14">
        <f>COUNTIFS(Data!$V:$V,$R14,Data!$U:$U,"&lt;="&amp;14,Data!$N:$N,"&lt;&gt;")</f>
        <v/>
      </c>
      <c r="AI14">
        <f>COUNTIFS(Data!$V:$V,$R14,Data!$U:$U,"&lt;="&amp;14,Data!$N:$N,0)</f>
        <v/>
      </c>
      <c r="AJ14">
        <f>IF(AH14=0,"",AH14-AI14)</f>
        <v/>
      </c>
      <c r="AK14">
        <f>IF(AH14=0,"",SUMIFS(Data!$N:$N,Data!$V:$V,$R14,Data!$U:$U,"&lt;="&amp;14))</f>
        <v/>
      </c>
      <c r="AL14">
        <f>IF(AH14=0,"",IF(ABS(MAX(T14:AG14))&gt;=ABS(MIN(T14:AG14)),MAX(T14:AG14),MIN(T14:AG14)))</f>
        <v/>
      </c>
      <c r="AM14">
        <f>IF(AH14=0,-1,AJ14*100000+MIN(ABS(AK14),99999))</f>
        <v/>
      </c>
      <c r="AN14">
        <f>IF($S14="","",1+COUNTIFS($AM$3:$AM$122,"&gt;"&amp;AM14)+COUNTIFS($AM$3:$AM$122,AM14,$R$3:$R$122,"&lt;"&amp;$R14))</f>
        <v/>
      </c>
    </row>
    <row r="15">
      <c r="A15" t="n">
        <v>13</v>
      </c>
      <c r="B15" s="31">
        <f>IFERROR(IF(INDEX(Data!$B:$B,MATCH($A15,Data!$U:$U,0))="","",INDEX(Data!$B:$B,MATCH($A15,Data!$U:$U,0))),"")</f>
        <v/>
      </c>
      <c r="C15">
        <f>IFERROR(IF(INDEX(Data!$D:$D,MATCH($A15,Data!$U:$U,0))="","",INDEX(Data!$D:$D,MATCH($A15,Data!$U:$U,0))),"")</f>
        <v/>
      </c>
      <c r="D15" s="31">
        <f>IFERROR(IF(INDEX(Data!$O:$O,MATCH($A15,Data!$U:$U,0))="","",INDEX(Data!$O:$O,MATCH($A15,Data!$U:$U,0))),"")</f>
        <v/>
      </c>
      <c r="E15">
        <f>COUNTIFS(Data!$U:$U,$A15)</f>
        <v/>
      </c>
      <c r="F15">
        <f>COUNTIFS(Data!$U:$U,$A15,Data!$N:$N,"&lt;&gt;")</f>
        <v/>
      </c>
      <c r="G15">
        <f>COUNTIFS(Data!$U:$U,$A15,Data!$N:$N,0)</f>
        <v/>
      </c>
      <c r="H15">
        <f>IF($F15=0,"",$F15-$G15)</f>
        <v/>
      </c>
      <c r="I15">
        <f>IF($F15=0,"",SUMIFS(Data!$N:$N,Data!$U:$U,$A15))</f>
        <v/>
      </c>
      <c r="J15">
        <f>COUNTIFS(Data!$U:$U,$A15,Data!$Q:$Q,"&lt;&gt;")</f>
        <v/>
      </c>
      <c r="K15">
        <f>IF($J15=0,"",SUMIFS(Data!$Q:$Q,Data!$U:$U,$A15))</f>
        <v/>
      </c>
      <c r="L15">
        <f>COUNTIFS(Data!$U:$U,$A15,Data!$M:$M,"&lt;&gt;")</f>
        <v/>
      </c>
      <c r="M15">
        <f>IF($E15=0,"",IF($L15=0,"not loaded","loaded"))</f>
        <v/>
      </c>
      <c r="N15">
        <f>COUNTIFS(Data!$U:$U,$A15,Data!$I:$I,"&lt;&gt;")</f>
        <v/>
      </c>
      <c r="O15">
        <f>IF($E15=0,"",IF($L15=0,"No POS sales have been loaded for this date, so variance cannot be worked out. Import the sales report for this day and it fills in.",IF($N15=0,"This is the first count of these products, so there is no opening figure to sell down from. Variance starts from the next count.",IF($F15-$G15=0,"Physical and POS agree on every product.",($F15-$G15)&amp;" of "&amp;$F15&amp;" products disagree with the POS. Largest first below."))))</f>
        <v/>
      </c>
      <c r="R15" t="n">
        <v>13</v>
      </c>
      <c r="S15">
        <f>IFERROR(INDEX(Data!$G:$G,MATCH($R15,Data!$V:$V,0)),"")</f>
        <v/>
      </c>
      <c r="T15">
        <f>IF(COUNTIFS(Data!$V:$V,$R15,Data!$U:$U,1,Data!$N:$N,"&lt;&gt;")=0,"",SUMIFS(Data!$N:$N,Data!$V:$V,$R15,Data!$U:$U,1))</f>
        <v/>
      </c>
      <c r="U15">
        <f>IF(COUNTIFS(Data!$V:$V,$R15,Data!$U:$U,2,Data!$N:$N,"&lt;&gt;")=0,"",SUMIFS(Data!$N:$N,Data!$V:$V,$R15,Data!$U:$U,2))</f>
        <v/>
      </c>
      <c r="V15">
        <f>IF(COUNTIFS(Data!$V:$V,$R15,Data!$U:$U,3,Data!$N:$N,"&lt;&gt;")=0,"",SUMIFS(Data!$N:$N,Data!$V:$V,$R15,Data!$U:$U,3))</f>
        <v/>
      </c>
      <c r="W15">
        <f>IF(COUNTIFS(Data!$V:$V,$R15,Data!$U:$U,4,Data!$N:$N,"&lt;&gt;")=0,"",SUMIFS(Data!$N:$N,Data!$V:$V,$R15,Data!$U:$U,4))</f>
        <v/>
      </c>
      <c r="X15">
        <f>IF(COUNTIFS(Data!$V:$V,$R15,Data!$U:$U,5,Data!$N:$N,"&lt;&gt;")=0,"",SUMIFS(Data!$N:$N,Data!$V:$V,$R15,Data!$U:$U,5))</f>
        <v/>
      </c>
      <c r="Y15">
        <f>IF(COUNTIFS(Data!$V:$V,$R15,Data!$U:$U,6,Data!$N:$N,"&lt;&gt;")=0,"",SUMIFS(Data!$N:$N,Data!$V:$V,$R15,Data!$U:$U,6))</f>
        <v/>
      </c>
      <c r="Z15">
        <f>IF(COUNTIFS(Data!$V:$V,$R15,Data!$U:$U,7,Data!$N:$N,"&lt;&gt;")=0,"",SUMIFS(Data!$N:$N,Data!$V:$V,$R15,Data!$U:$U,7))</f>
        <v/>
      </c>
      <c r="AA15">
        <f>IF(COUNTIFS(Data!$V:$V,$R15,Data!$U:$U,8,Data!$N:$N,"&lt;&gt;")=0,"",SUMIFS(Data!$N:$N,Data!$V:$V,$R15,Data!$U:$U,8))</f>
        <v/>
      </c>
      <c r="AB15">
        <f>IF(COUNTIFS(Data!$V:$V,$R15,Data!$U:$U,9,Data!$N:$N,"&lt;&gt;")=0,"",SUMIFS(Data!$N:$N,Data!$V:$V,$R15,Data!$U:$U,9))</f>
        <v/>
      </c>
      <c r="AC15">
        <f>IF(COUNTIFS(Data!$V:$V,$R15,Data!$U:$U,10,Data!$N:$N,"&lt;&gt;")=0,"",SUMIFS(Data!$N:$N,Data!$V:$V,$R15,Data!$U:$U,10))</f>
        <v/>
      </c>
      <c r="AD15">
        <f>IF(COUNTIFS(Data!$V:$V,$R15,Data!$U:$U,11,Data!$N:$N,"&lt;&gt;")=0,"",SUMIFS(Data!$N:$N,Data!$V:$V,$R15,Data!$U:$U,11))</f>
        <v/>
      </c>
      <c r="AE15">
        <f>IF(COUNTIFS(Data!$V:$V,$R15,Data!$U:$U,12,Data!$N:$N,"&lt;&gt;")=0,"",SUMIFS(Data!$N:$N,Data!$V:$V,$R15,Data!$U:$U,12))</f>
        <v/>
      </c>
      <c r="AF15">
        <f>IF(COUNTIFS(Data!$V:$V,$R15,Data!$U:$U,13,Data!$N:$N,"&lt;&gt;")=0,"",SUMIFS(Data!$N:$N,Data!$V:$V,$R15,Data!$U:$U,13))</f>
        <v/>
      </c>
      <c r="AG15">
        <f>IF(COUNTIFS(Data!$V:$V,$R15,Data!$U:$U,14,Data!$N:$N,"&lt;&gt;")=0,"",SUMIFS(Data!$N:$N,Data!$V:$V,$R15,Data!$U:$U,14))</f>
        <v/>
      </c>
      <c r="AH15">
        <f>COUNTIFS(Data!$V:$V,$R15,Data!$U:$U,"&lt;="&amp;14,Data!$N:$N,"&lt;&gt;")</f>
        <v/>
      </c>
      <c r="AI15">
        <f>COUNTIFS(Data!$V:$V,$R15,Data!$U:$U,"&lt;="&amp;14,Data!$N:$N,0)</f>
        <v/>
      </c>
      <c r="AJ15">
        <f>IF(AH15=0,"",AH15-AI15)</f>
        <v/>
      </c>
      <c r="AK15">
        <f>IF(AH15=0,"",SUMIFS(Data!$N:$N,Data!$V:$V,$R15,Data!$U:$U,"&lt;="&amp;14))</f>
        <v/>
      </c>
      <c r="AL15">
        <f>IF(AH15=0,"",IF(ABS(MAX(T15:AG15))&gt;=ABS(MIN(T15:AG15)),MAX(T15:AG15),MIN(T15:AG15)))</f>
        <v/>
      </c>
      <c r="AM15">
        <f>IF(AH15=0,-1,AJ15*100000+MIN(ABS(AK15),99999))</f>
        <v/>
      </c>
      <c r="AN15">
        <f>IF($S15="","",1+COUNTIFS($AM$3:$AM$122,"&gt;"&amp;AM15)+COUNTIFS($AM$3:$AM$122,AM15,$R$3:$R$122,"&lt;"&amp;$R15))</f>
        <v/>
      </c>
    </row>
    <row r="16">
      <c r="A16" t="n">
        <v>14</v>
      </c>
      <c r="B16" s="31">
        <f>IFERROR(IF(INDEX(Data!$B:$B,MATCH($A16,Data!$U:$U,0))="","",INDEX(Data!$B:$B,MATCH($A16,Data!$U:$U,0))),"")</f>
        <v/>
      </c>
      <c r="C16">
        <f>IFERROR(IF(INDEX(Data!$D:$D,MATCH($A16,Data!$U:$U,0))="","",INDEX(Data!$D:$D,MATCH($A16,Data!$U:$U,0))),"")</f>
        <v/>
      </c>
      <c r="D16" s="31">
        <f>IFERROR(IF(INDEX(Data!$O:$O,MATCH($A16,Data!$U:$U,0))="","",INDEX(Data!$O:$O,MATCH($A16,Data!$U:$U,0))),"")</f>
        <v/>
      </c>
      <c r="E16">
        <f>COUNTIFS(Data!$U:$U,$A16)</f>
        <v/>
      </c>
      <c r="F16">
        <f>COUNTIFS(Data!$U:$U,$A16,Data!$N:$N,"&lt;&gt;")</f>
        <v/>
      </c>
      <c r="G16">
        <f>COUNTIFS(Data!$U:$U,$A16,Data!$N:$N,0)</f>
        <v/>
      </c>
      <c r="H16">
        <f>IF($F16=0,"",$F16-$G16)</f>
        <v/>
      </c>
      <c r="I16">
        <f>IF($F16=0,"",SUMIFS(Data!$N:$N,Data!$U:$U,$A16))</f>
        <v/>
      </c>
      <c r="J16">
        <f>COUNTIFS(Data!$U:$U,$A16,Data!$Q:$Q,"&lt;&gt;")</f>
        <v/>
      </c>
      <c r="K16">
        <f>IF($J16=0,"",SUMIFS(Data!$Q:$Q,Data!$U:$U,$A16))</f>
        <v/>
      </c>
      <c r="L16">
        <f>COUNTIFS(Data!$U:$U,$A16,Data!$M:$M,"&lt;&gt;")</f>
        <v/>
      </c>
      <c r="M16">
        <f>IF($E16=0,"",IF($L16=0,"not loaded","loaded"))</f>
        <v/>
      </c>
      <c r="N16">
        <f>COUNTIFS(Data!$U:$U,$A16,Data!$I:$I,"&lt;&gt;")</f>
        <v/>
      </c>
      <c r="O16">
        <f>IF($E16=0,"",IF($L16=0,"No POS sales have been loaded for this date, so variance cannot be worked out. Import the sales report for this day and it fills in.",IF($N16=0,"This is the first count of these products, so there is no opening figure to sell down from. Variance starts from the next count.",IF($F16-$G16=0,"Physical and POS agree on every product.",($F16-$G16)&amp;" of "&amp;$F16&amp;" products disagree with the POS. Largest first below."))))</f>
        <v/>
      </c>
      <c r="R16" t="n">
        <v>14</v>
      </c>
      <c r="S16">
        <f>IFERROR(INDEX(Data!$G:$G,MATCH($R16,Data!$V:$V,0)),"")</f>
        <v/>
      </c>
      <c r="T16">
        <f>IF(COUNTIFS(Data!$V:$V,$R16,Data!$U:$U,1,Data!$N:$N,"&lt;&gt;")=0,"",SUMIFS(Data!$N:$N,Data!$V:$V,$R16,Data!$U:$U,1))</f>
        <v/>
      </c>
      <c r="U16">
        <f>IF(COUNTIFS(Data!$V:$V,$R16,Data!$U:$U,2,Data!$N:$N,"&lt;&gt;")=0,"",SUMIFS(Data!$N:$N,Data!$V:$V,$R16,Data!$U:$U,2))</f>
        <v/>
      </c>
      <c r="V16">
        <f>IF(COUNTIFS(Data!$V:$V,$R16,Data!$U:$U,3,Data!$N:$N,"&lt;&gt;")=0,"",SUMIFS(Data!$N:$N,Data!$V:$V,$R16,Data!$U:$U,3))</f>
        <v/>
      </c>
      <c r="W16">
        <f>IF(COUNTIFS(Data!$V:$V,$R16,Data!$U:$U,4,Data!$N:$N,"&lt;&gt;")=0,"",SUMIFS(Data!$N:$N,Data!$V:$V,$R16,Data!$U:$U,4))</f>
        <v/>
      </c>
      <c r="X16">
        <f>IF(COUNTIFS(Data!$V:$V,$R16,Data!$U:$U,5,Data!$N:$N,"&lt;&gt;")=0,"",SUMIFS(Data!$N:$N,Data!$V:$V,$R16,Data!$U:$U,5))</f>
        <v/>
      </c>
      <c r="Y16">
        <f>IF(COUNTIFS(Data!$V:$V,$R16,Data!$U:$U,6,Data!$N:$N,"&lt;&gt;")=0,"",SUMIFS(Data!$N:$N,Data!$V:$V,$R16,Data!$U:$U,6))</f>
        <v/>
      </c>
      <c r="Z16">
        <f>IF(COUNTIFS(Data!$V:$V,$R16,Data!$U:$U,7,Data!$N:$N,"&lt;&gt;")=0,"",SUMIFS(Data!$N:$N,Data!$V:$V,$R16,Data!$U:$U,7))</f>
        <v/>
      </c>
      <c r="AA16">
        <f>IF(COUNTIFS(Data!$V:$V,$R16,Data!$U:$U,8,Data!$N:$N,"&lt;&gt;")=0,"",SUMIFS(Data!$N:$N,Data!$V:$V,$R16,Data!$U:$U,8))</f>
        <v/>
      </c>
      <c r="AB16">
        <f>IF(COUNTIFS(Data!$V:$V,$R16,Data!$U:$U,9,Data!$N:$N,"&lt;&gt;")=0,"",SUMIFS(Data!$N:$N,Data!$V:$V,$R16,Data!$U:$U,9))</f>
        <v/>
      </c>
      <c r="AC16">
        <f>IF(COUNTIFS(Data!$V:$V,$R16,Data!$U:$U,10,Data!$N:$N,"&lt;&gt;")=0,"",SUMIFS(Data!$N:$N,Data!$V:$V,$R16,Data!$U:$U,10))</f>
        <v/>
      </c>
      <c r="AD16">
        <f>IF(COUNTIFS(Data!$V:$V,$R16,Data!$U:$U,11,Data!$N:$N,"&lt;&gt;")=0,"",SUMIFS(Data!$N:$N,Data!$V:$V,$R16,Data!$U:$U,11))</f>
        <v/>
      </c>
      <c r="AE16">
        <f>IF(COUNTIFS(Data!$V:$V,$R16,Data!$U:$U,12,Data!$N:$N,"&lt;&gt;")=0,"",SUMIFS(Data!$N:$N,Data!$V:$V,$R16,Data!$U:$U,12))</f>
        <v/>
      </c>
      <c r="AF16">
        <f>IF(COUNTIFS(Data!$V:$V,$R16,Data!$U:$U,13,Data!$N:$N,"&lt;&gt;")=0,"",SUMIFS(Data!$N:$N,Data!$V:$V,$R16,Data!$U:$U,13))</f>
        <v/>
      </c>
      <c r="AG16">
        <f>IF(COUNTIFS(Data!$V:$V,$R16,Data!$U:$U,14,Data!$N:$N,"&lt;&gt;")=0,"",SUMIFS(Data!$N:$N,Data!$V:$V,$R16,Data!$U:$U,14))</f>
        <v/>
      </c>
      <c r="AH16">
        <f>COUNTIFS(Data!$V:$V,$R16,Data!$U:$U,"&lt;="&amp;14,Data!$N:$N,"&lt;&gt;")</f>
        <v/>
      </c>
      <c r="AI16">
        <f>COUNTIFS(Data!$V:$V,$R16,Data!$U:$U,"&lt;="&amp;14,Data!$N:$N,0)</f>
        <v/>
      </c>
      <c r="AJ16">
        <f>IF(AH16=0,"",AH16-AI16)</f>
        <v/>
      </c>
      <c r="AK16">
        <f>IF(AH16=0,"",SUMIFS(Data!$N:$N,Data!$V:$V,$R16,Data!$U:$U,"&lt;="&amp;14))</f>
        <v/>
      </c>
      <c r="AL16">
        <f>IF(AH16=0,"",IF(ABS(MAX(T16:AG16))&gt;=ABS(MIN(T16:AG16)),MAX(T16:AG16),MIN(T16:AG16)))</f>
        <v/>
      </c>
      <c r="AM16">
        <f>IF(AH16=0,-1,AJ16*100000+MIN(ABS(AK16),99999))</f>
        <v/>
      </c>
      <c r="AN16">
        <f>IF($S16="","",1+COUNTIFS($AM$3:$AM$122,"&gt;"&amp;AM16)+COUNTIFS($AM$3:$AM$122,AM16,$R$3:$R$122,"&lt;"&amp;$R16))</f>
        <v/>
      </c>
    </row>
    <row r="17">
      <c r="A17" t="n">
        <v>15</v>
      </c>
      <c r="B17" s="31">
        <f>IFERROR(IF(INDEX(Data!$B:$B,MATCH($A17,Data!$U:$U,0))="","",INDEX(Data!$B:$B,MATCH($A17,Data!$U:$U,0))),"")</f>
        <v/>
      </c>
      <c r="C17">
        <f>IFERROR(IF(INDEX(Data!$D:$D,MATCH($A17,Data!$U:$U,0))="","",INDEX(Data!$D:$D,MATCH($A17,Data!$U:$U,0))),"")</f>
        <v/>
      </c>
      <c r="D17" s="31">
        <f>IFERROR(IF(INDEX(Data!$O:$O,MATCH($A17,Data!$U:$U,0))="","",INDEX(Data!$O:$O,MATCH($A17,Data!$U:$U,0))),"")</f>
        <v/>
      </c>
      <c r="E17">
        <f>COUNTIFS(Data!$U:$U,$A17)</f>
        <v/>
      </c>
      <c r="F17">
        <f>COUNTIFS(Data!$U:$U,$A17,Data!$N:$N,"&lt;&gt;")</f>
        <v/>
      </c>
      <c r="G17">
        <f>COUNTIFS(Data!$U:$U,$A17,Data!$N:$N,0)</f>
        <v/>
      </c>
      <c r="H17">
        <f>IF($F17=0,"",$F17-$G17)</f>
        <v/>
      </c>
      <c r="I17">
        <f>IF($F17=0,"",SUMIFS(Data!$N:$N,Data!$U:$U,$A17))</f>
        <v/>
      </c>
      <c r="J17">
        <f>COUNTIFS(Data!$U:$U,$A17,Data!$Q:$Q,"&lt;&gt;")</f>
        <v/>
      </c>
      <c r="K17">
        <f>IF($J17=0,"",SUMIFS(Data!$Q:$Q,Data!$U:$U,$A17))</f>
        <v/>
      </c>
      <c r="L17">
        <f>COUNTIFS(Data!$U:$U,$A17,Data!$M:$M,"&lt;&gt;")</f>
        <v/>
      </c>
      <c r="M17">
        <f>IF($E17=0,"",IF($L17=0,"not loaded","loaded"))</f>
        <v/>
      </c>
      <c r="N17">
        <f>COUNTIFS(Data!$U:$U,$A17,Data!$I:$I,"&lt;&gt;")</f>
        <v/>
      </c>
      <c r="O17">
        <f>IF($E17=0,"",IF($L17=0,"No POS sales have been loaded for this date, so variance cannot be worked out. Import the sales report for this day and it fills in.",IF($N17=0,"This is the first count of these products, so there is no opening figure to sell down from. Variance starts from the next count.",IF($F17-$G17=0,"Physical and POS agree on every product.",($F17-$G17)&amp;" of "&amp;$F17&amp;" products disagree with the POS. Largest first below."))))</f>
        <v/>
      </c>
      <c r="R17" t="n">
        <v>15</v>
      </c>
      <c r="S17">
        <f>IFERROR(INDEX(Data!$G:$G,MATCH($R17,Data!$V:$V,0)),"")</f>
        <v/>
      </c>
      <c r="T17">
        <f>IF(COUNTIFS(Data!$V:$V,$R17,Data!$U:$U,1,Data!$N:$N,"&lt;&gt;")=0,"",SUMIFS(Data!$N:$N,Data!$V:$V,$R17,Data!$U:$U,1))</f>
        <v/>
      </c>
      <c r="U17">
        <f>IF(COUNTIFS(Data!$V:$V,$R17,Data!$U:$U,2,Data!$N:$N,"&lt;&gt;")=0,"",SUMIFS(Data!$N:$N,Data!$V:$V,$R17,Data!$U:$U,2))</f>
        <v/>
      </c>
      <c r="V17">
        <f>IF(COUNTIFS(Data!$V:$V,$R17,Data!$U:$U,3,Data!$N:$N,"&lt;&gt;")=0,"",SUMIFS(Data!$N:$N,Data!$V:$V,$R17,Data!$U:$U,3))</f>
        <v/>
      </c>
      <c r="W17">
        <f>IF(COUNTIFS(Data!$V:$V,$R17,Data!$U:$U,4,Data!$N:$N,"&lt;&gt;")=0,"",SUMIFS(Data!$N:$N,Data!$V:$V,$R17,Data!$U:$U,4))</f>
        <v/>
      </c>
      <c r="X17">
        <f>IF(COUNTIFS(Data!$V:$V,$R17,Data!$U:$U,5,Data!$N:$N,"&lt;&gt;")=0,"",SUMIFS(Data!$N:$N,Data!$V:$V,$R17,Data!$U:$U,5))</f>
        <v/>
      </c>
      <c r="Y17">
        <f>IF(COUNTIFS(Data!$V:$V,$R17,Data!$U:$U,6,Data!$N:$N,"&lt;&gt;")=0,"",SUMIFS(Data!$N:$N,Data!$V:$V,$R17,Data!$U:$U,6))</f>
        <v/>
      </c>
      <c r="Z17">
        <f>IF(COUNTIFS(Data!$V:$V,$R17,Data!$U:$U,7,Data!$N:$N,"&lt;&gt;")=0,"",SUMIFS(Data!$N:$N,Data!$V:$V,$R17,Data!$U:$U,7))</f>
        <v/>
      </c>
      <c r="AA17">
        <f>IF(COUNTIFS(Data!$V:$V,$R17,Data!$U:$U,8,Data!$N:$N,"&lt;&gt;")=0,"",SUMIFS(Data!$N:$N,Data!$V:$V,$R17,Data!$U:$U,8))</f>
        <v/>
      </c>
      <c r="AB17">
        <f>IF(COUNTIFS(Data!$V:$V,$R17,Data!$U:$U,9,Data!$N:$N,"&lt;&gt;")=0,"",SUMIFS(Data!$N:$N,Data!$V:$V,$R17,Data!$U:$U,9))</f>
        <v/>
      </c>
      <c r="AC17">
        <f>IF(COUNTIFS(Data!$V:$V,$R17,Data!$U:$U,10,Data!$N:$N,"&lt;&gt;")=0,"",SUMIFS(Data!$N:$N,Data!$V:$V,$R17,Data!$U:$U,10))</f>
        <v/>
      </c>
      <c r="AD17">
        <f>IF(COUNTIFS(Data!$V:$V,$R17,Data!$U:$U,11,Data!$N:$N,"&lt;&gt;")=0,"",SUMIFS(Data!$N:$N,Data!$V:$V,$R17,Data!$U:$U,11))</f>
        <v/>
      </c>
      <c r="AE17">
        <f>IF(COUNTIFS(Data!$V:$V,$R17,Data!$U:$U,12,Data!$N:$N,"&lt;&gt;")=0,"",SUMIFS(Data!$N:$N,Data!$V:$V,$R17,Data!$U:$U,12))</f>
        <v/>
      </c>
      <c r="AF17">
        <f>IF(COUNTIFS(Data!$V:$V,$R17,Data!$U:$U,13,Data!$N:$N,"&lt;&gt;")=0,"",SUMIFS(Data!$N:$N,Data!$V:$V,$R17,Data!$U:$U,13))</f>
        <v/>
      </c>
      <c r="AG17">
        <f>IF(COUNTIFS(Data!$V:$V,$R17,Data!$U:$U,14,Data!$N:$N,"&lt;&gt;")=0,"",SUMIFS(Data!$N:$N,Data!$V:$V,$R17,Data!$U:$U,14))</f>
        <v/>
      </c>
      <c r="AH17">
        <f>COUNTIFS(Data!$V:$V,$R17,Data!$U:$U,"&lt;="&amp;14,Data!$N:$N,"&lt;&gt;")</f>
        <v/>
      </c>
      <c r="AI17">
        <f>COUNTIFS(Data!$V:$V,$R17,Data!$U:$U,"&lt;="&amp;14,Data!$N:$N,0)</f>
        <v/>
      </c>
      <c r="AJ17">
        <f>IF(AH17=0,"",AH17-AI17)</f>
        <v/>
      </c>
      <c r="AK17">
        <f>IF(AH17=0,"",SUMIFS(Data!$N:$N,Data!$V:$V,$R17,Data!$U:$U,"&lt;="&amp;14))</f>
        <v/>
      </c>
      <c r="AL17">
        <f>IF(AH17=0,"",IF(ABS(MAX(T17:AG17))&gt;=ABS(MIN(T17:AG17)),MAX(T17:AG17),MIN(T17:AG17)))</f>
        <v/>
      </c>
      <c r="AM17">
        <f>IF(AH17=0,-1,AJ17*100000+MIN(ABS(AK17),99999))</f>
        <v/>
      </c>
      <c r="AN17">
        <f>IF($S17="","",1+COUNTIFS($AM$3:$AM$122,"&gt;"&amp;AM17)+COUNTIFS($AM$3:$AM$122,AM17,$R$3:$R$122,"&lt;"&amp;$R17))</f>
        <v/>
      </c>
    </row>
    <row r="18">
      <c r="A18" t="n">
        <v>16</v>
      </c>
      <c r="B18" s="31">
        <f>IFERROR(IF(INDEX(Data!$B:$B,MATCH($A18,Data!$U:$U,0))="","",INDEX(Data!$B:$B,MATCH($A18,Data!$U:$U,0))),"")</f>
        <v/>
      </c>
      <c r="C18">
        <f>IFERROR(IF(INDEX(Data!$D:$D,MATCH($A18,Data!$U:$U,0))="","",INDEX(Data!$D:$D,MATCH($A18,Data!$U:$U,0))),"")</f>
        <v/>
      </c>
      <c r="D18" s="31">
        <f>IFERROR(IF(INDEX(Data!$O:$O,MATCH($A18,Data!$U:$U,0))="","",INDEX(Data!$O:$O,MATCH($A18,Data!$U:$U,0))),"")</f>
        <v/>
      </c>
      <c r="E18">
        <f>COUNTIFS(Data!$U:$U,$A18)</f>
        <v/>
      </c>
      <c r="F18">
        <f>COUNTIFS(Data!$U:$U,$A18,Data!$N:$N,"&lt;&gt;")</f>
        <v/>
      </c>
      <c r="G18">
        <f>COUNTIFS(Data!$U:$U,$A18,Data!$N:$N,0)</f>
        <v/>
      </c>
      <c r="H18">
        <f>IF($F18=0,"",$F18-$G18)</f>
        <v/>
      </c>
      <c r="I18">
        <f>IF($F18=0,"",SUMIFS(Data!$N:$N,Data!$U:$U,$A18))</f>
        <v/>
      </c>
      <c r="J18">
        <f>COUNTIFS(Data!$U:$U,$A18,Data!$Q:$Q,"&lt;&gt;")</f>
        <v/>
      </c>
      <c r="K18">
        <f>IF($J18=0,"",SUMIFS(Data!$Q:$Q,Data!$U:$U,$A18))</f>
        <v/>
      </c>
      <c r="L18">
        <f>COUNTIFS(Data!$U:$U,$A18,Data!$M:$M,"&lt;&gt;")</f>
        <v/>
      </c>
      <c r="M18">
        <f>IF($E18=0,"",IF($L18=0,"not loaded","loaded"))</f>
        <v/>
      </c>
      <c r="N18">
        <f>COUNTIFS(Data!$U:$U,$A18,Data!$I:$I,"&lt;&gt;")</f>
        <v/>
      </c>
      <c r="O18">
        <f>IF($E18=0,"",IF($L18=0,"No POS sales have been loaded for this date, so variance cannot be worked out. Import the sales report for this day and it fills in.",IF($N18=0,"This is the first count of these products, so there is no opening figure to sell down from. Variance starts from the next count.",IF($F18-$G18=0,"Physical and POS agree on every product.",($F18-$G18)&amp;" of "&amp;$F18&amp;" products disagree with the POS. Largest first below."))))</f>
        <v/>
      </c>
      <c r="R18" t="n">
        <v>16</v>
      </c>
      <c r="S18">
        <f>IFERROR(INDEX(Data!$G:$G,MATCH($R18,Data!$V:$V,0)),"")</f>
        <v/>
      </c>
      <c r="T18">
        <f>IF(COUNTIFS(Data!$V:$V,$R18,Data!$U:$U,1,Data!$N:$N,"&lt;&gt;")=0,"",SUMIFS(Data!$N:$N,Data!$V:$V,$R18,Data!$U:$U,1))</f>
        <v/>
      </c>
      <c r="U18">
        <f>IF(COUNTIFS(Data!$V:$V,$R18,Data!$U:$U,2,Data!$N:$N,"&lt;&gt;")=0,"",SUMIFS(Data!$N:$N,Data!$V:$V,$R18,Data!$U:$U,2))</f>
        <v/>
      </c>
      <c r="V18">
        <f>IF(COUNTIFS(Data!$V:$V,$R18,Data!$U:$U,3,Data!$N:$N,"&lt;&gt;")=0,"",SUMIFS(Data!$N:$N,Data!$V:$V,$R18,Data!$U:$U,3))</f>
        <v/>
      </c>
      <c r="W18">
        <f>IF(COUNTIFS(Data!$V:$V,$R18,Data!$U:$U,4,Data!$N:$N,"&lt;&gt;")=0,"",SUMIFS(Data!$N:$N,Data!$V:$V,$R18,Data!$U:$U,4))</f>
        <v/>
      </c>
      <c r="X18">
        <f>IF(COUNTIFS(Data!$V:$V,$R18,Data!$U:$U,5,Data!$N:$N,"&lt;&gt;")=0,"",SUMIFS(Data!$N:$N,Data!$V:$V,$R18,Data!$U:$U,5))</f>
        <v/>
      </c>
      <c r="Y18">
        <f>IF(COUNTIFS(Data!$V:$V,$R18,Data!$U:$U,6,Data!$N:$N,"&lt;&gt;")=0,"",SUMIFS(Data!$N:$N,Data!$V:$V,$R18,Data!$U:$U,6))</f>
        <v/>
      </c>
      <c r="Z18">
        <f>IF(COUNTIFS(Data!$V:$V,$R18,Data!$U:$U,7,Data!$N:$N,"&lt;&gt;")=0,"",SUMIFS(Data!$N:$N,Data!$V:$V,$R18,Data!$U:$U,7))</f>
        <v/>
      </c>
      <c r="AA18">
        <f>IF(COUNTIFS(Data!$V:$V,$R18,Data!$U:$U,8,Data!$N:$N,"&lt;&gt;")=0,"",SUMIFS(Data!$N:$N,Data!$V:$V,$R18,Data!$U:$U,8))</f>
        <v/>
      </c>
      <c r="AB18">
        <f>IF(COUNTIFS(Data!$V:$V,$R18,Data!$U:$U,9,Data!$N:$N,"&lt;&gt;")=0,"",SUMIFS(Data!$N:$N,Data!$V:$V,$R18,Data!$U:$U,9))</f>
        <v/>
      </c>
      <c r="AC18">
        <f>IF(COUNTIFS(Data!$V:$V,$R18,Data!$U:$U,10,Data!$N:$N,"&lt;&gt;")=0,"",SUMIFS(Data!$N:$N,Data!$V:$V,$R18,Data!$U:$U,10))</f>
        <v/>
      </c>
      <c r="AD18">
        <f>IF(COUNTIFS(Data!$V:$V,$R18,Data!$U:$U,11,Data!$N:$N,"&lt;&gt;")=0,"",SUMIFS(Data!$N:$N,Data!$V:$V,$R18,Data!$U:$U,11))</f>
        <v/>
      </c>
      <c r="AE18">
        <f>IF(COUNTIFS(Data!$V:$V,$R18,Data!$U:$U,12,Data!$N:$N,"&lt;&gt;")=0,"",SUMIFS(Data!$N:$N,Data!$V:$V,$R18,Data!$U:$U,12))</f>
        <v/>
      </c>
      <c r="AF18">
        <f>IF(COUNTIFS(Data!$V:$V,$R18,Data!$U:$U,13,Data!$N:$N,"&lt;&gt;")=0,"",SUMIFS(Data!$N:$N,Data!$V:$V,$R18,Data!$U:$U,13))</f>
        <v/>
      </c>
      <c r="AG18">
        <f>IF(COUNTIFS(Data!$V:$V,$R18,Data!$U:$U,14,Data!$N:$N,"&lt;&gt;")=0,"",SUMIFS(Data!$N:$N,Data!$V:$V,$R18,Data!$U:$U,14))</f>
        <v/>
      </c>
      <c r="AH18">
        <f>COUNTIFS(Data!$V:$V,$R18,Data!$U:$U,"&lt;="&amp;14,Data!$N:$N,"&lt;&gt;")</f>
        <v/>
      </c>
      <c r="AI18">
        <f>COUNTIFS(Data!$V:$V,$R18,Data!$U:$U,"&lt;="&amp;14,Data!$N:$N,0)</f>
        <v/>
      </c>
      <c r="AJ18">
        <f>IF(AH18=0,"",AH18-AI18)</f>
        <v/>
      </c>
      <c r="AK18">
        <f>IF(AH18=0,"",SUMIFS(Data!$N:$N,Data!$V:$V,$R18,Data!$U:$U,"&lt;="&amp;14))</f>
        <v/>
      </c>
      <c r="AL18">
        <f>IF(AH18=0,"",IF(ABS(MAX(T18:AG18))&gt;=ABS(MIN(T18:AG18)),MAX(T18:AG18),MIN(T18:AG18)))</f>
        <v/>
      </c>
      <c r="AM18">
        <f>IF(AH18=0,-1,AJ18*100000+MIN(ABS(AK18),99999))</f>
        <v/>
      </c>
      <c r="AN18">
        <f>IF($S18="","",1+COUNTIFS($AM$3:$AM$122,"&gt;"&amp;AM18)+COUNTIFS($AM$3:$AM$122,AM18,$R$3:$R$122,"&lt;"&amp;$R18))</f>
        <v/>
      </c>
    </row>
    <row r="19">
      <c r="A19" t="n">
        <v>17</v>
      </c>
      <c r="B19" s="31">
        <f>IFERROR(IF(INDEX(Data!$B:$B,MATCH($A19,Data!$U:$U,0))="","",INDEX(Data!$B:$B,MATCH($A19,Data!$U:$U,0))),"")</f>
        <v/>
      </c>
      <c r="C19">
        <f>IFERROR(IF(INDEX(Data!$D:$D,MATCH($A19,Data!$U:$U,0))="","",INDEX(Data!$D:$D,MATCH($A19,Data!$U:$U,0))),"")</f>
        <v/>
      </c>
      <c r="D19" s="31">
        <f>IFERROR(IF(INDEX(Data!$O:$O,MATCH($A19,Data!$U:$U,0))="","",INDEX(Data!$O:$O,MATCH($A19,Data!$U:$U,0))),"")</f>
        <v/>
      </c>
      <c r="E19">
        <f>COUNTIFS(Data!$U:$U,$A19)</f>
        <v/>
      </c>
      <c r="F19">
        <f>COUNTIFS(Data!$U:$U,$A19,Data!$N:$N,"&lt;&gt;")</f>
        <v/>
      </c>
      <c r="G19">
        <f>COUNTIFS(Data!$U:$U,$A19,Data!$N:$N,0)</f>
        <v/>
      </c>
      <c r="H19">
        <f>IF($F19=0,"",$F19-$G19)</f>
        <v/>
      </c>
      <c r="I19">
        <f>IF($F19=0,"",SUMIFS(Data!$N:$N,Data!$U:$U,$A19))</f>
        <v/>
      </c>
      <c r="J19">
        <f>COUNTIFS(Data!$U:$U,$A19,Data!$Q:$Q,"&lt;&gt;")</f>
        <v/>
      </c>
      <c r="K19">
        <f>IF($J19=0,"",SUMIFS(Data!$Q:$Q,Data!$U:$U,$A19))</f>
        <v/>
      </c>
      <c r="L19">
        <f>COUNTIFS(Data!$U:$U,$A19,Data!$M:$M,"&lt;&gt;")</f>
        <v/>
      </c>
      <c r="M19">
        <f>IF($E19=0,"",IF($L19=0,"not loaded","loaded"))</f>
        <v/>
      </c>
      <c r="N19">
        <f>COUNTIFS(Data!$U:$U,$A19,Data!$I:$I,"&lt;&gt;")</f>
        <v/>
      </c>
      <c r="O19">
        <f>IF($E19=0,"",IF($L19=0,"No POS sales have been loaded for this date, so variance cannot be worked out. Import the sales report for this day and it fills in.",IF($N19=0,"This is the first count of these products, so there is no opening figure to sell down from. Variance starts from the next count.",IF($F19-$G19=0,"Physical and POS agree on every product.",($F19-$G19)&amp;" of "&amp;$F19&amp;" products disagree with the POS. Largest first below."))))</f>
        <v/>
      </c>
      <c r="R19" t="n">
        <v>17</v>
      </c>
      <c r="S19">
        <f>IFERROR(INDEX(Data!$G:$G,MATCH($R19,Data!$V:$V,0)),"")</f>
        <v/>
      </c>
      <c r="T19">
        <f>IF(COUNTIFS(Data!$V:$V,$R19,Data!$U:$U,1,Data!$N:$N,"&lt;&gt;")=0,"",SUMIFS(Data!$N:$N,Data!$V:$V,$R19,Data!$U:$U,1))</f>
        <v/>
      </c>
      <c r="U19">
        <f>IF(COUNTIFS(Data!$V:$V,$R19,Data!$U:$U,2,Data!$N:$N,"&lt;&gt;")=0,"",SUMIFS(Data!$N:$N,Data!$V:$V,$R19,Data!$U:$U,2))</f>
        <v/>
      </c>
      <c r="V19">
        <f>IF(COUNTIFS(Data!$V:$V,$R19,Data!$U:$U,3,Data!$N:$N,"&lt;&gt;")=0,"",SUMIFS(Data!$N:$N,Data!$V:$V,$R19,Data!$U:$U,3))</f>
        <v/>
      </c>
      <c r="W19">
        <f>IF(COUNTIFS(Data!$V:$V,$R19,Data!$U:$U,4,Data!$N:$N,"&lt;&gt;")=0,"",SUMIFS(Data!$N:$N,Data!$V:$V,$R19,Data!$U:$U,4))</f>
        <v/>
      </c>
      <c r="X19">
        <f>IF(COUNTIFS(Data!$V:$V,$R19,Data!$U:$U,5,Data!$N:$N,"&lt;&gt;")=0,"",SUMIFS(Data!$N:$N,Data!$V:$V,$R19,Data!$U:$U,5))</f>
        <v/>
      </c>
      <c r="Y19">
        <f>IF(COUNTIFS(Data!$V:$V,$R19,Data!$U:$U,6,Data!$N:$N,"&lt;&gt;")=0,"",SUMIFS(Data!$N:$N,Data!$V:$V,$R19,Data!$U:$U,6))</f>
        <v/>
      </c>
      <c r="Z19">
        <f>IF(COUNTIFS(Data!$V:$V,$R19,Data!$U:$U,7,Data!$N:$N,"&lt;&gt;")=0,"",SUMIFS(Data!$N:$N,Data!$V:$V,$R19,Data!$U:$U,7))</f>
        <v/>
      </c>
      <c r="AA19">
        <f>IF(COUNTIFS(Data!$V:$V,$R19,Data!$U:$U,8,Data!$N:$N,"&lt;&gt;")=0,"",SUMIFS(Data!$N:$N,Data!$V:$V,$R19,Data!$U:$U,8))</f>
        <v/>
      </c>
      <c r="AB19">
        <f>IF(COUNTIFS(Data!$V:$V,$R19,Data!$U:$U,9,Data!$N:$N,"&lt;&gt;")=0,"",SUMIFS(Data!$N:$N,Data!$V:$V,$R19,Data!$U:$U,9))</f>
        <v/>
      </c>
      <c r="AC19">
        <f>IF(COUNTIFS(Data!$V:$V,$R19,Data!$U:$U,10,Data!$N:$N,"&lt;&gt;")=0,"",SUMIFS(Data!$N:$N,Data!$V:$V,$R19,Data!$U:$U,10))</f>
        <v/>
      </c>
      <c r="AD19">
        <f>IF(COUNTIFS(Data!$V:$V,$R19,Data!$U:$U,11,Data!$N:$N,"&lt;&gt;")=0,"",SUMIFS(Data!$N:$N,Data!$V:$V,$R19,Data!$U:$U,11))</f>
        <v/>
      </c>
      <c r="AE19">
        <f>IF(COUNTIFS(Data!$V:$V,$R19,Data!$U:$U,12,Data!$N:$N,"&lt;&gt;")=0,"",SUMIFS(Data!$N:$N,Data!$V:$V,$R19,Data!$U:$U,12))</f>
        <v/>
      </c>
      <c r="AF19">
        <f>IF(COUNTIFS(Data!$V:$V,$R19,Data!$U:$U,13,Data!$N:$N,"&lt;&gt;")=0,"",SUMIFS(Data!$N:$N,Data!$V:$V,$R19,Data!$U:$U,13))</f>
        <v/>
      </c>
      <c r="AG19">
        <f>IF(COUNTIFS(Data!$V:$V,$R19,Data!$U:$U,14,Data!$N:$N,"&lt;&gt;")=0,"",SUMIFS(Data!$N:$N,Data!$V:$V,$R19,Data!$U:$U,14))</f>
        <v/>
      </c>
      <c r="AH19">
        <f>COUNTIFS(Data!$V:$V,$R19,Data!$U:$U,"&lt;="&amp;14,Data!$N:$N,"&lt;&gt;")</f>
        <v/>
      </c>
      <c r="AI19">
        <f>COUNTIFS(Data!$V:$V,$R19,Data!$U:$U,"&lt;="&amp;14,Data!$N:$N,0)</f>
        <v/>
      </c>
      <c r="AJ19">
        <f>IF(AH19=0,"",AH19-AI19)</f>
        <v/>
      </c>
      <c r="AK19">
        <f>IF(AH19=0,"",SUMIFS(Data!$N:$N,Data!$V:$V,$R19,Data!$U:$U,"&lt;="&amp;14))</f>
        <v/>
      </c>
      <c r="AL19">
        <f>IF(AH19=0,"",IF(ABS(MAX(T19:AG19))&gt;=ABS(MIN(T19:AG19)),MAX(T19:AG19),MIN(T19:AG19)))</f>
        <v/>
      </c>
      <c r="AM19">
        <f>IF(AH19=0,-1,AJ19*100000+MIN(ABS(AK19),99999))</f>
        <v/>
      </c>
      <c r="AN19">
        <f>IF($S19="","",1+COUNTIFS($AM$3:$AM$122,"&gt;"&amp;AM19)+COUNTIFS($AM$3:$AM$122,AM19,$R$3:$R$122,"&lt;"&amp;$R19))</f>
        <v/>
      </c>
    </row>
    <row r="20">
      <c r="A20" t="n">
        <v>18</v>
      </c>
      <c r="B20" s="31">
        <f>IFERROR(IF(INDEX(Data!$B:$B,MATCH($A20,Data!$U:$U,0))="","",INDEX(Data!$B:$B,MATCH($A20,Data!$U:$U,0))),"")</f>
        <v/>
      </c>
      <c r="C20">
        <f>IFERROR(IF(INDEX(Data!$D:$D,MATCH($A20,Data!$U:$U,0))="","",INDEX(Data!$D:$D,MATCH($A20,Data!$U:$U,0))),"")</f>
        <v/>
      </c>
      <c r="D20" s="31">
        <f>IFERROR(IF(INDEX(Data!$O:$O,MATCH($A20,Data!$U:$U,0))="","",INDEX(Data!$O:$O,MATCH($A20,Data!$U:$U,0))),"")</f>
        <v/>
      </c>
      <c r="E20">
        <f>COUNTIFS(Data!$U:$U,$A20)</f>
        <v/>
      </c>
      <c r="F20">
        <f>COUNTIFS(Data!$U:$U,$A20,Data!$N:$N,"&lt;&gt;")</f>
        <v/>
      </c>
      <c r="G20">
        <f>COUNTIFS(Data!$U:$U,$A20,Data!$N:$N,0)</f>
        <v/>
      </c>
      <c r="H20">
        <f>IF($F20=0,"",$F20-$G20)</f>
        <v/>
      </c>
      <c r="I20">
        <f>IF($F20=0,"",SUMIFS(Data!$N:$N,Data!$U:$U,$A20))</f>
        <v/>
      </c>
      <c r="J20">
        <f>COUNTIFS(Data!$U:$U,$A20,Data!$Q:$Q,"&lt;&gt;")</f>
        <v/>
      </c>
      <c r="K20">
        <f>IF($J20=0,"",SUMIFS(Data!$Q:$Q,Data!$U:$U,$A20))</f>
        <v/>
      </c>
      <c r="L20">
        <f>COUNTIFS(Data!$U:$U,$A20,Data!$M:$M,"&lt;&gt;")</f>
        <v/>
      </c>
      <c r="M20">
        <f>IF($E20=0,"",IF($L20=0,"not loaded","loaded"))</f>
        <v/>
      </c>
      <c r="N20">
        <f>COUNTIFS(Data!$U:$U,$A20,Data!$I:$I,"&lt;&gt;")</f>
        <v/>
      </c>
      <c r="O20">
        <f>IF($E20=0,"",IF($L20=0,"No POS sales have been loaded for this date, so variance cannot be worked out. Import the sales report for this day and it fills in.",IF($N20=0,"This is the first count of these products, so there is no opening figure to sell down from. Variance starts from the next count.",IF($F20-$G20=0,"Physical and POS agree on every product.",($F20-$G20)&amp;" of "&amp;$F20&amp;" products disagree with the POS. Largest first below."))))</f>
        <v/>
      </c>
      <c r="R20" t="n">
        <v>18</v>
      </c>
      <c r="S20">
        <f>IFERROR(INDEX(Data!$G:$G,MATCH($R20,Data!$V:$V,0)),"")</f>
        <v/>
      </c>
      <c r="T20">
        <f>IF(COUNTIFS(Data!$V:$V,$R20,Data!$U:$U,1,Data!$N:$N,"&lt;&gt;")=0,"",SUMIFS(Data!$N:$N,Data!$V:$V,$R20,Data!$U:$U,1))</f>
        <v/>
      </c>
      <c r="U20">
        <f>IF(COUNTIFS(Data!$V:$V,$R20,Data!$U:$U,2,Data!$N:$N,"&lt;&gt;")=0,"",SUMIFS(Data!$N:$N,Data!$V:$V,$R20,Data!$U:$U,2))</f>
        <v/>
      </c>
      <c r="V20">
        <f>IF(COUNTIFS(Data!$V:$V,$R20,Data!$U:$U,3,Data!$N:$N,"&lt;&gt;")=0,"",SUMIFS(Data!$N:$N,Data!$V:$V,$R20,Data!$U:$U,3))</f>
        <v/>
      </c>
      <c r="W20">
        <f>IF(COUNTIFS(Data!$V:$V,$R20,Data!$U:$U,4,Data!$N:$N,"&lt;&gt;")=0,"",SUMIFS(Data!$N:$N,Data!$V:$V,$R20,Data!$U:$U,4))</f>
        <v/>
      </c>
      <c r="X20">
        <f>IF(COUNTIFS(Data!$V:$V,$R20,Data!$U:$U,5,Data!$N:$N,"&lt;&gt;")=0,"",SUMIFS(Data!$N:$N,Data!$V:$V,$R20,Data!$U:$U,5))</f>
        <v/>
      </c>
      <c r="Y20">
        <f>IF(COUNTIFS(Data!$V:$V,$R20,Data!$U:$U,6,Data!$N:$N,"&lt;&gt;")=0,"",SUMIFS(Data!$N:$N,Data!$V:$V,$R20,Data!$U:$U,6))</f>
        <v/>
      </c>
      <c r="Z20">
        <f>IF(COUNTIFS(Data!$V:$V,$R20,Data!$U:$U,7,Data!$N:$N,"&lt;&gt;")=0,"",SUMIFS(Data!$N:$N,Data!$V:$V,$R20,Data!$U:$U,7))</f>
        <v/>
      </c>
      <c r="AA20">
        <f>IF(COUNTIFS(Data!$V:$V,$R20,Data!$U:$U,8,Data!$N:$N,"&lt;&gt;")=0,"",SUMIFS(Data!$N:$N,Data!$V:$V,$R20,Data!$U:$U,8))</f>
        <v/>
      </c>
      <c r="AB20">
        <f>IF(COUNTIFS(Data!$V:$V,$R20,Data!$U:$U,9,Data!$N:$N,"&lt;&gt;")=0,"",SUMIFS(Data!$N:$N,Data!$V:$V,$R20,Data!$U:$U,9))</f>
        <v/>
      </c>
      <c r="AC20">
        <f>IF(COUNTIFS(Data!$V:$V,$R20,Data!$U:$U,10,Data!$N:$N,"&lt;&gt;")=0,"",SUMIFS(Data!$N:$N,Data!$V:$V,$R20,Data!$U:$U,10))</f>
        <v/>
      </c>
      <c r="AD20">
        <f>IF(COUNTIFS(Data!$V:$V,$R20,Data!$U:$U,11,Data!$N:$N,"&lt;&gt;")=0,"",SUMIFS(Data!$N:$N,Data!$V:$V,$R20,Data!$U:$U,11))</f>
        <v/>
      </c>
      <c r="AE20">
        <f>IF(COUNTIFS(Data!$V:$V,$R20,Data!$U:$U,12,Data!$N:$N,"&lt;&gt;")=0,"",SUMIFS(Data!$N:$N,Data!$V:$V,$R20,Data!$U:$U,12))</f>
        <v/>
      </c>
      <c r="AF20">
        <f>IF(COUNTIFS(Data!$V:$V,$R20,Data!$U:$U,13,Data!$N:$N,"&lt;&gt;")=0,"",SUMIFS(Data!$N:$N,Data!$V:$V,$R20,Data!$U:$U,13))</f>
        <v/>
      </c>
      <c r="AG20">
        <f>IF(COUNTIFS(Data!$V:$V,$R20,Data!$U:$U,14,Data!$N:$N,"&lt;&gt;")=0,"",SUMIFS(Data!$N:$N,Data!$V:$V,$R20,Data!$U:$U,14))</f>
        <v/>
      </c>
      <c r="AH20">
        <f>COUNTIFS(Data!$V:$V,$R20,Data!$U:$U,"&lt;="&amp;14,Data!$N:$N,"&lt;&gt;")</f>
        <v/>
      </c>
      <c r="AI20">
        <f>COUNTIFS(Data!$V:$V,$R20,Data!$U:$U,"&lt;="&amp;14,Data!$N:$N,0)</f>
        <v/>
      </c>
      <c r="AJ20">
        <f>IF(AH20=0,"",AH20-AI20)</f>
        <v/>
      </c>
      <c r="AK20">
        <f>IF(AH20=0,"",SUMIFS(Data!$N:$N,Data!$V:$V,$R20,Data!$U:$U,"&lt;="&amp;14))</f>
        <v/>
      </c>
      <c r="AL20">
        <f>IF(AH20=0,"",IF(ABS(MAX(T20:AG20))&gt;=ABS(MIN(T20:AG20)),MAX(T20:AG20),MIN(T20:AG20)))</f>
        <v/>
      </c>
      <c r="AM20">
        <f>IF(AH20=0,-1,AJ20*100000+MIN(ABS(AK20),99999))</f>
        <v/>
      </c>
      <c r="AN20">
        <f>IF($S20="","",1+COUNTIFS($AM$3:$AM$122,"&gt;"&amp;AM20)+COUNTIFS($AM$3:$AM$122,AM20,$R$3:$R$122,"&lt;"&amp;$R20))</f>
        <v/>
      </c>
    </row>
    <row r="21">
      <c r="A21" t="n">
        <v>19</v>
      </c>
      <c r="B21" s="31">
        <f>IFERROR(IF(INDEX(Data!$B:$B,MATCH($A21,Data!$U:$U,0))="","",INDEX(Data!$B:$B,MATCH($A21,Data!$U:$U,0))),"")</f>
        <v/>
      </c>
      <c r="C21">
        <f>IFERROR(IF(INDEX(Data!$D:$D,MATCH($A21,Data!$U:$U,0))="","",INDEX(Data!$D:$D,MATCH($A21,Data!$U:$U,0))),"")</f>
        <v/>
      </c>
      <c r="D21" s="31">
        <f>IFERROR(IF(INDEX(Data!$O:$O,MATCH($A21,Data!$U:$U,0))="","",INDEX(Data!$O:$O,MATCH($A21,Data!$U:$U,0))),"")</f>
        <v/>
      </c>
      <c r="E21">
        <f>COUNTIFS(Data!$U:$U,$A21)</f>
        <v/>
      </c>
      <c r="F21">
        <f>COUNTIFS(Data!$U:$U,$A21,Data!$N:$N,"&lt;&gt;")</f>
        <v/>
      </c>
      <c r="G21">
        <f>COUNTIFS(Data!$U:$U,$A21,Data!$N:$N,0)</f>
        <v/>
      </c>
      <c r="H21">
        <f>IF($F21=0,"",$F21-$G21)</f>
        <v/>
      </c>
      <c r="I21">
        <f>IF($F21=0,"",SUMIFS(Data!$N:$N,Data!$U:$U,$A21))</f>
        <v/>
      </c>
      <c r="J21">
        <f>COUNTIFS(Data!$U:$U,$A21,Data!$Q:$Q,"&lt;&gt;")</f>
        <v/>
      </c>
      <c r="K21">
        <f>IF($J21=0,"",SUMIFS(Data!$Q:$Q,Data!$U:$U,$A21))</f>
        <v/>
      </c>
      <c r="L21">
        <f>COUNTIFS(Data!$U:$U,$A21,Data!$M:$M,"&lt;&gt;")</f>
        <v/>
      </c>
      <c r="M21">
        <f>IF($E21=0,"",IF($L21=0,"not loaded","loaded"))</f>
        <v/>
      </c>
      <c r="N21">
        <f>COUNTIFS(Data!$U:$U,$A21,Data!$I:$I,"&lt;&gt;")</f>
        <v/>
      </c>
      <c r="O21">
        <f>IF($E21=0,"",IF($L21=0,"No POS sales have been loaded for this date, so variance cannot be worked out. Import the sales report for this day and it fills in.",IF($N21=0,"This is the first count of these products, so there is no opening figure to sell down from. Variance starts from the next count.",IF($F21-$G21=0,"Physical and POS agree on every product.",($F21-$G21)&amp;" of "&amp;$F21&amp;" products disagree with the POS. Largest first below."))))</f>
        <v/>
      </c>
      <c r="R21" t="n">
        <v>19</v>
      </c>
      <c r="S21">
        <f>IFERROR(INDEX(Data!$G:$G,MATCH($R21,Data!$V:$V,0)),"")</f>
        <v/>
      </c>
      <c r="T21">
        <f>IF(COUNTIFS(Data!$V:$V,$R21,Data!$U:$U,1,Data!$N:$N,"&lt;&gt;")=0,"",SUMIFS(Data!$N:$N,Data!$V:$V,$R21,Data!$U:$U,1))</f>
        <v/>
      </c>
      <c r="U21">
        <f>IF(COUNTIFS(Data!$V:$V,$R21,Data!$U:$U,2,Data!$N:$N,"&lt;&gt;")=0,"",SUMIFS(Data!$N:$N,Data!$V:$V,$R21,Data!$U:$U,2))</f>
        <v/>
      </c>
      <c r="V21">
        <f>IF(COUNTIFS(Data!$V:$V,$R21,Data!$U:$U,3,Data!$N:$N,"&lt;&gt;")=0,"",SUMIFS(Data!$N:$N,Data!$V:$V,$R21,Data!$U:$U,3))</f>
        <v/>
      </c>
      <c r="W21">
        <f>IF(COUNTIFS(Data!$V:$V,$R21,Data!$U:$U,4,Data!$N:$N,"&lt;&gt;")=0,"",SUMIFS(Data!$N:$N,Data!$V:$V,$R21,Data!$U:$U,4))</f>
        <v/>
      </c>
      <c r="X21">
        <f>IF(COUNTIFS(Data!$V:$V,$R21,Data!$U:$U,5,Data!$N:$N,"&lt;&gt;")=0,"",SUMIFS(Data!$N:$N,Data!$V:$V,$R21,Data!$U:$U,5))</f>
        <v/>
      </c>
      <c r="Y21">
        <f>IF(COUNTIFS(Data!$V:$V,$R21,Data!$U:$U,6,Data!$N:$N,"&lt;&gt;")=0,"",SUMIFS(Data!$N:$N,Data!$V:$V,$R21,Data!$U:$U,6))</f>
        <v/>
      </c>
      <c r="Z21">
        <f>IF(COUNTIFS(Data!$V:$V,$R21,Data!$U:$U,7,Data!$N:$N,"&lt;&gt;")=0,"",SUMIFS(Data!$N:$N,Data!$V:$V,$R21,Data!$U:$U,7))</f>
        <v/>
      </c>
      <c r="AA21">
        <f>IF(COUNTIFS(Data!$V:$V,$R21,Data!$U:$U,8,Data!$N:$N,"&lt;&gt;")=0,"",SUMIFS(Data!$N:$N,Data!$V:$V,$R21,Data!$U:$U,8))</f>
        <v/>
      </c>
      <c r="AB21">
        <f>IF(COUNTIFS(Data!$V:$V,$R21,Data!$U:$U,9,Data!$N:$N,"&lt;&gt;")=0,"",SUMIFS(Data!$N:$N,Data!$V:$V,$R21,Data!$U:$U,9))</f>
        <v/>
      </c>
      <c r="AC21">
        <f>IF(COUNTIFS(Data!$V:$V,$R21,Data!$U:$U,10,Data!$N:$N,"&lt;&gt;")=0,"",SUMIFS(Data!$N:$N,Data!$V:$V,$R21,Data!$U:$U,10))</f>
        <v/>
      </c>
      <c r="AD21">
        <f>IF(COUNTIFS(Data!$V:$V,$R21,Data!$U:$U,11,Data!$N:$N,"&lt;&gt;")=0,"",SUMIFS(Data!$N:$N,Data!$V:$V,$R21,Data!$U:$U,11))</f>
        <v/>
      </c>
      <c r="AE21">
        <f>IF(COUNTIFS(Data!$V:$V,$R21,Data!$U:$U,12,Data!$N:$N,"&lt;&gt;")=0,"",SUMIFS(Data!$N:$N,Data!$V:$V,$R21,Data!$U:$U,12))</f>
        <v/>
      </c>
      <c r="AF21">
        <f>IF(COUNTIFS(Data!$V:$V,$R21,Data!$U:$U,13,Data!$N:$N,"&lt;&gt;")=0,"",SUMIFS(Data!$N:$N,Data!$V:$V,$R21,Data!$U:$U,13))</f>
        <v/>
      </c>
      <c r="AG21">
        <f>IF(COUNTIFS(Data!$V:$V,$R21,Data!$U:$U,14,Data!$N:$N,"&lt;&gt;")=0,"",SUMIFS(Data!$N:$N,Data!$V:$V,$R21,Data!$U:$U,14))</f>
        <v/>
      </c>
      <c r="AH21">
        <f>COUNTIFS(Data!$V:$V,$R21,Data!$U:$U,"&lt;="&amp;14,Data!$N:$N,"&lt;&gt;")</f>
        <v/>
      </c>
      <c r="AI21">
        <f>COUNTIFS(Data!$V:$V,$R21,Data!$U:$U,"&lt;="&amp;14,Data!$N:$N,0)</f>
        <v/>
      </c>
      <c r="AJ21">
        <f>IF(AH21=0,"",AH21-AI21)</f>
        <v/>
      </c>
      <c r="AK21">
        <f>IF(AH21=0,"",SUMIFS(Data!$N:$N,Data!$V:$V,$R21,Data!$U:$U,"&lt;="&amp;14))</f>
        <v/>
      </c>
      <c r="AL21">
        <f>IF(AH21=0,"",IF(ABS(MAX(T21:AG21))&gt;=ABS(MIN(T21:AG21)),MAX(T21:AG21),MIN(T21:AG21)))</f>
        <v/>
      </c>
      <c r="AM21">
        <f>IF(AH21=0,-1,AJ21*100000+MIN(ABS(AK21),99999))</f>
        <v/>
      </c>
      <c r="AN21">
        <f>IF($S21="","",1+COUNTIFS($AM$3:$AM$122,"&gt;"&amp;AM21)+COUNTIFS($AM$3:$AM$122,AM21,$R$3:$R$122,"&lt;"&amp;$R21))</f>
        <v/>
      </c>
    </row>
    <row r="22">
      <c r="A22" t="n">
        <v>20</v>
      </c>
      <c r="B22" s="31">
        <f>IFERROR(IF(INDEX(Data!$B:$B,MATCH($A22,Data!$U:$U,0))="","",INDEX(Data!$B:$B,MATCH($A22,Data!$U:$U,0))),"")</f>
        <v/>
      </c>
      <c r="C22">
        <f>IFERROR(IF(INDEX(Data!$D:$D,MATCH($A22,Data!$U:$U,0))="","",INDEX(Data!$D:$D,MATCH($A22,Data!$U:$U,0))),"")</f>
        <v/>
      </c>
      <c r="D22" s="31">
        <f>IFERROR(IF(INDEX(Data!$O:$O,MATCH($A22,Data!$U:$U,0))="","",INDEX(Data!$O:$O,MATCH($A22,Data!$U:$U,0))),"")</f>
        <v/>
      </c>
      <c r="E22">
        <f>COUNTIFS(Data!$U:$U,$A22)</f>
        <v/>
      </c>
      <c r="F22">
        <f>COUNTIFS(Data!$U:$U,$A22,Data!$N:$N,"&lt;&gt;")</f>
        <v/>
      </c>
      <c r="G22">
        <f>COUNTIFS(Data!$U:$U,$A22,Data!$N:$N,0)</f>
        <v/>
      </c>
      <c r="H22">
        <f>IF($F22=0,"",$F22-$G22)</f>
        <v/>
      </c>
      <c r="I22">
        <f>IF($F22=0,"",SUMIFS(Data!$N:$N,Data!$U:$U,$A22))</f>
        <v/>
      </c>
      <c r="J22">
        <f>COUNTIFS(Data!$U:$U,$A22,Data!$Q:$Q,"&lt;&gt;")</f>
        <v/>
      </c>
      <c r="K22">
        <f>IF($J22=0,"",SUMIFS(Data!$Q:$Q,Data!$U:$U,$A22))</f>
        <v/>
      </c>
      <c r="L22">
        <f>COUNTIFS(Data!$U:$U,$A22,Data!$M:$M,"&lt;&gt;")</f>
        <v/>
      </c>
      <c r="M22">
        <f>IF($E22=0,"",IF($L22=0,"not loaded","loaded"))</f>
        <v/>
      </c>
      <c r="N22">
        <f>COUNTIFS(Data!$U:$U,$A22,Data!$I:$I,"&lt;&gt;")</f>
        <v/>
      </c>
      <c r="O22">
        <f>IF($E22=0,"",IF($L22=0,"No POS sales have been loaded for this date, so variance cannot be worked out. Import the sales report for this day and it fills in.",IF($N22=0,"This is the first count of these products, so there is no opening figure to sell down from. Variance starts from the next count.",IF($F22-$G22=0,"Physical and POS agree on every product.",($F22-$G22)&amp;" of "&amp;$F22&amp;" products disagree with the POS. Largest first below."))))</f>
        <v/>
      </c>
      <c r="R22" t="n">
        <v>20</v>
      </c>
      <c r="S22">
        <f>IFERROR(INDEX(Data!$G:$G,MATCH($R22,Data!$V:$V,0)),"")</f>
        <v/>
      </c>
      <c r="T22">
        <f>IF(COUNTIFS(Data!$V:$V,$R22,Data!$U:$U,1,Data!$N:$N,"&lt;&gt;")=0,"",SUMIFS(Data!$N:$N,Data!$V:$V,$R22,Data!$U:$U,1))</f>
        <v/>
      </c>
      <c r="U22">
        <f>IF(COUNTIFS(Data!$V:$V,$R22,Data!$U:$U,2,Data!$N:$N,"&lt;&gt;")=0,"",SUMIFS(Data!$N:$N,Data!$V:$V,$R22,Data!$U:$U,2))</f>
        <v/>
      </c>
      <c r="V22">
        <f>IF(COUNTIFS(Data!$V:$V,$R22,Data!$U:$U,3,Data!$N:$N,"&lt;&gt;")=0,"",SUMIFS(Data!$N:$N,Data!$V:$V,$R22,Data!$U:$U,3))</f>
        <v/>
      </c>
      <c r="W22">
        <f>IF(COUNTIFS(Data!$V:$V,$R22,Data!$U:$U,4,Data!$N:$N,"&lt;&gt;")=0,"",SUMIFS(Data!$N:$N,Data!$V:$V,$R22,Data!$U:$U,4))</f>
        <v/>
      </c>
      <c r="X22">
        <f>IF(COUNTIFS(Data!$V:$V,$R22,Data!$U:$U,5,Data!$N:$N,"&lt;&gt;")=0,"",SUMIFS(Data!$N:$N,Data!$V:$V,$R22,Data!$U:$U,5))</f>
        <v/>
      </c>
      <c r="Y22">
        <f>IF(COUNTIFS(Data!$V:$V,$R22,Data!$U:$U,6,Data!$N:$N,"&lt;&gt;")=0,"",SUMIFS(Data!$N:$N,Data!$V:$V,$R22,Data!$U:$U,6))</f>
        <v/>
      </c>
      <c r="Z22">
        <f>IF(COUNTIFS(Data!$V:$V,$R22,Data!$U:$U,7,Data!$N:$N,"&lt;&gt;")=0,"",SUMIFS(Data!$N:$N,Data!$V:$V,$R22,Data!$U:$U,7))</f>
        <v/>
      </c>
      <c r="AA22">
        <f>IF(COUNTIFS(Data!$V:$V,$R22,Data!$U:$U,8,Data!$N:$N,"&lt;&gt;")=0,"",SUMIFS(Data!$N:$N,Data!$V:$V,$R22,Data!$U:$U,8))</f>
        <v/>
      </c>
      <c r="AB22">
        <f>IF(COUNTIFS(Data!$V:$V,$R22,Data!$U:$U,9,Data!$N:$N,"&lt;&gt;")=0,"",SUMIFS(Data!$N:$N,Data!$V:$V,$R22,Data!$U:$U,9))</f>
        <v/>
      </c>
      <c r="AC22">
        <f>IF(COUNTIFS(Data!$V:$V,$R22,Data!$U:$U,10,Data!$N:$N,"&lt;&gt;")=0,"",SUMIFS(Data!$N:$N,Data!$V:$V,$R22,Data!$U:$U,10))</f>
        <v/>
      </c>
      <c r="AD22">
        <f>IF(COUNTIFS(Data!$V:$V,$R22,Data!$U:$U,11,Data!$N:$N,"&lt;&gt;")=0,"",SUMIFS(Data!$N:$N,Data!$V:$V,$R22,Data!$U:$U,11))</f>
        <v/>
      </c>
      <c r="AE22">
        <f>IF(COUNTIFS(Data!$V:$V,$R22,Data!$U:$U,12,Data!$N:$N,"&lt;&gt;")=0,"",SUMIFS(Data!$N:$N,Data!$V:$V,$R22,Data!$U:$U,12))</f>
        <v/>
      </c>
      <c r="AF22">
        <f>IF(COUNTIFS(Data!$V:$V,$R22,Data!$U:$U,13,Data!$N:$N,"&lt;&gt;")=0,"",SUMIFS(Data!$N:$N,Data!$V:$V,$R22,Data!$U:$U,13))</f>
        <v/>
      </c>
      <c r="AG22">
        <f>IF(COUNTIFS(Data!$V:$V,$R22,Data!$U:$U,14,Data!$N:$N,"&lt;&gt;")=0,"",SUMIFS(Data!$N:$N,Data!$V:$V,$R22,Data!$U:$U,14))</f>
        <v/>
      </c>
      <c r="AH22">
        <f>COUNTIFS(Data!$V:$V,$R22,Data!$U:$U,"&lt;="&amp;14,Data!$N:$N,"&lt;&gt;")</f>
        <v/>
      </c>
      <c r="AI22">
        <f>COUNTIFS(Data!$V:$V,$R22,Data!$U:$U,"&lt;="&amp;14,Data!$N:$N,0)</f>
        <v/>
      </c>
      <c r="AJ22">
        <f>IF(AH22=0,"",AH22-AI22)</f>
        <v/>
      </c>
      <c r="AK22">
        <f>IF(AH22=0,"",SUMIFS(Data!$N:$N,Data!$V:$V,$R22,Data!$U:$U,"&lt;="&amp;14))</f>
        <v/>
      </c>
      <c r="AL22">
        <f>IF(AH22=0,"",IF(ABS(MAX(T22:AG22))&gt;=ABS(MIN(T22:AG22)),MAX(T22:AG22),MIN(T22:AG22)))</f>
        <v/>
      </c>
      <c r="AM22">
        <f>IF(AH22=0,-1,AJ22*100000+MIN(ABS(AK22),99999))</f>
        <v/>
      </c>
      <c r="AN22">
        <f>IF($S22="","",1+COUNTIFS($AM$3:$AM$122,"&gt;"&amp;AM22)+COUNTIFS($AM$3:$AM$122,AM22,$R$3:$R$122,"&lt;"&amp;$R22))</f>
        <v/>
      </c>
    </row>
    <row r="23">
      <c r="A23" t="n">
        <v>21</v>
      </c>
      <c r="B23" s="31">
        <f>IFERROR(IF(INDEX(Data!$B:$B,MATCH($A23,Data!$U:$U,0))="","",INDEX(Data!$B:$B,MATCH($A23,Data!$U:$U,0))),"")</f>
        <v/>
      </c>
      <c r="C23">
        <f>IFERROR(IF(INDEX(Data!$D:$D,MATCH($A23,Data!$U:$U,0))="","",INDEX(Data!$D:$D,MATCH($A23,Data!$U:$U,0))),"")</f>
        <v/>
      </c>
      <c r="D23" s="31">
        <f>IFERROR(IF(INDEX(Data!$O:$O,MATCH($A23,Data!$U:$U,0))="","",INDEX(Data!$O:$O,MATCH($A23,Data!$U:$U,0))),"")</f>
        <v/>
      </c>
      <c r="E23">
        <f>COUNTIFS(Data!$U:$U,$A23)</f>
        <v/>
      </c>
      <c r="F23">
        <f>COUNTIFS(Data!$U:$U,$A23,Data!$N:$N,"&lt;&gt;")</f>
        <v/>
      </c>
      <c r="G23">
        <f>COUNTIFS(Data!$U:$U,$A23,Data!$N:$N,0)</f>
        <v/>
      </c>
      <c r="H23">
        <f>IF($F23=0,"",$F23-$G23)</f>
        <v/>
      </c>
      <c r="I23">
        <f>IF($F23=0,"",SUMIFS(Data!$N:$N,Data!$U:$U,$A23))</f>
        <v/>
      </c>
      <c r="J23">
        <f>COUNTIFS(Data!$U:$U,$A23,Data!$Q:$Q,"&lt;&gt;")</f>
        <v/>
      </c>
      <c r="K23">
        <f>IF($J23=0,"",SUMIFS(Data!$Q:$Q,Data!$U:$U,$A23))</f>
        <v/>
      </c>
      <c r="L23">
        <f>COUNTIFS(Data!$U:$U,$A23,Data!$M:$M,"&lt;&gt;")</f>
        <v/>
      </c>
      <c r="M23">
        <f>IF($E23=0,"",IF($L23=0,"not loaded","loaded"))</f>
        <v/>
      </c>
      <c r="N23">
        <f>COUNTIFS(Data!$U:$U,$A23,Data!$I:$I,"&lt;&gt;")</f>
        <v/>
      </c>
      <c r="O23">
        <f>IF($E23=0,"",IF($L23=0,"No POS sales have been loaded for this date, so variance cannot be worked out. Import the sales report for this day and it fills in.",IF($N23=0,"This is the first count of these products, so there is no opening figure to sell down from. Variance starts from the next count.",IF($F23-$G23=0,"Physical and POS agree on every product.",($F23-$G23)&amp;" of "&amp;$F23&amp;" products disagree with the POS. Largest first below."))))</f>
        <v/>
      </c>
      <c r="R23" t="n">
        <v>21</v>
      </c>
      <c r="S23">
        <f>IFERROR(INDEX(Data!$G:$G,MATCH($R23,Data!$V:$V,0)),"")</f>
        <v/>
      </c>
      <c r="T23">
        <f>IF(COUNTIFS(Data!$V:$V,$R23,Data!$U:$U,1,Data!$N:$N,"&lt;&gt;")=0,"",SUMIFS(Data!$N:$N,Data!$V:$V,$R23,Data!$U:$U,1))</f>
        <v/>
      </c>
      <c r="U23">
        <f>IF(COUNTIFS(Data!$V:$V,$R23,Data!$U:$U,2,Data!$N:$N,"&lt;&gt;")=0,"",SUMIFS(Data!$N:$N,Data!$V:$V,$R23,Data!$U:$U,2))</f>
        <v/>
      </c>
      <c r="V23">
        <f>IF(COUNTIFS(Data!$V:$V,$R23,Data!$U:$U,3,Data!$N:$N,"&lt;&gt;")=0,"",SUMIFS(Data!$N:$N,Data!$V:$V,$R23,Data!$U:$U,3))</f>
        <v/>
      </c>
      <c r="W23">
        <f>IF(COUNTIFS(Data!$V:$V,$R23,Data!$U:$U,4,Data!$N:$N,"&lt;&gt;")=0,"",SUMIFS(Data!$N:$N,Data!$V:$V,$R23,Data!$U:$U,4))</f>
        <v/>
      </c>
      <c r="X23">
        <f>IF(COUNTIFS(Data!$V:$V,$R23,Data!$U:$U,5,Data!$N:$N,"&lt;&gt;")=0,"",SUMIFS(Data!$N:$N,Data!$V:$V,$R23,Data!$U:$U,5))</f>
        <v/>
      </c>
      <c r="Y23">
        <f>IF(COUNTIFS(Data!$V:$V,$R23,Data!$U:$U,6,Data!$N:$N,"&lt;&gt;")=0,"",SUMIFS(Data!$N:$N,Data!$V:$V,$R23,Data!$U:$U,6))</f>
        <v/>
      </c>
      <c r="Z23">
        <f>IF(COUNTIFS(Data!$V:$V,$R23,Data!$U:$U,7,Data!$N:$N,"&lt;&gt;")=0,"",SUMIFS(Data!$N:$N,Data!$V:$V,$R23,Data!$U:$U,7))</f>
        <v/>
      </c>
      <c r="AA23">
        <f>IF(COUNTIFS(Data!$V:$V,$R23,Data!$U:$U,8,Data!$N:$N,"&lt;&gt;")=0,"",SUMIFS(Data!$N:$N,Data!$V:$V,$R23,Data!$U:$U,8))</f>
        <v/>
      </c>
      <c r="AB23">
        <f>IF(COUNTIFS(Data!$V:$V,$R23,Data!$U:$U,9,Data!$N:$N,"&lt;&gt;")=0,"",SUMIFS(Data!$N:$N,Data!$V:$V,$R23,Data!$U:$U,9))</f>
        <v/>
      </c>
      <c r="AC23">
        <f>IF(COUNTIFS(Data!$V:$V,$R23,Data!$U:$U,10,Data!$N:$N,"&lt;&gt;")=0,"",SUMIFS(Data!$N:$N,Data!$V:$V,$R23,Data!$U:$U,10))</f>
        <v/>
      </c>
      <c r="AD23">
        <f>IF(COUNTIFS(Data!$V:$V,$R23,Data!$U:$U,11,Data!$N:$N,"&lt;&gt;")=0,"",SUMIFS(Data!$N:$N,Data!$V:$V,$R23,Data!$U:$U,11))</f>
        <v/>
      </c>
      <c r="AE23">
        <f>IF(COUNTIFS(Data!$V:$V,$R23,Data!$U:$U,12,Data!$N:$N,"&lt;&gt;")=0,"",SUMIFS(Data!$N:$N,Data!$V:$V,$R23,Data!$U:$U,12))</f>
        <v/>
      </c>
      <c r="AF23">
        <f>IF(COUNTIFS(Data!$V:$V,$R23,Data!$U:$U,13,Data!$N:$N,"&lt;&gt;")=0,"",SUMIFS(Data!$N:$N,Data!$V:$V,$R23,Data!$U:$U,13))</f>
        <v/>
      </c>
      <c r="AG23">
        <f>IF(COUNTIFS(Data!$V:$V,$R23,Data!$U:$U,14,Data!$N:$N,"&lt;&gt;")=0,"",SUMIFS(Data!$N:$N,Data!$V:$V,$R23,Data!$U:$U,14))</f>
        <v/>
      </c>
      <c r="AH23">
        <f>COUNTIFS(Data!$V:$V,$R23,Data!$U:$U,"&lt;="&amp;14,Data!$N:$N,"&lt;&gt;")</f>
        <v/>
      </c>
      <c r="AI23">
        <f>COUNTIFS(Data!$V:$V,$R23,Data!$U:$U,"&lt;="&amp;14,Data!$N:$N,0)</f>
        <v/>
      </c>
      <c r="AJ23">
        <f>IF(AH23=0,"",AH23-AI23)</f>
        <v/>
      </c>
      <c r="AK23">
        <f>IF(AH23=0,"",SUMIFS(Data!$N:$N,Data!$V:$V,$R23,Data!$U:$U,"&lt;="&amp;14))</f>
        <v/>
      </c>
      <c r="AL23">
        <f>IF(AH23=0,"",IF(ABS(MAX(T23:AG23))&gt;=ABS(MIN(T23:AG23)),MAX(T23:AG23),MIN(T23:AG23)))</f>
        <v/>
      </c>
      <c r="AM23">
        <f>IF(AH23=0,-1,AJ23*100000+MIN(ABS(AK23),99999))</f>
        <v/>
      </c>
      <c r="AN23">
        <f>IF($S23="","",1+COUNTIFS($AM$3:$AM$122,"&gt;"&amp;AM23)+COUNTIFS($AM$3:$AM$122,AM23,$R$3:$R$122,"&lt;"&amp;$R23))</f>
        <v/>
      </c>
    </row>
    <row r="24">
      <c r="A24" t="n">
        <v>22</v>
      </c>
      <c r="B24" s="31">
        <f>IFERROR(IF(INDEX(Data!$B:$B,MATCH($A24,Data!$U:$U,0))="","",INDEX(Data!$B:$B,MATCH($A24,Data!$U:$U,0))),"")</f>
        <v/>
      </c>
      <c r="C24">
        <f>IFERROR(IF(INDEX(Data!$D:$D,MATCH($A24,Data!$U:$U,0))="","",INDEX(Data!$D:$D,MATCH($A24,Data!$U:$U,0))),"")</f>
        <v/>
      </c>
      <c r="D24" s="31">
        <f>IFERROR(IF(INDEX(Data!$O:$O,MATCH($A24,Data!$U:$U,0))="","",INDEX(Data!$O:$O,MATCH($A24,Data!$U:$U,0))),"")</f>
        <v/>
      </c>
      <c r="E24">
        <f>COUNTIFS(Data!$U:$U,$A24)</f>
        <v/>
      </c>
      <c r="F24">
        <f>COUNTIFS(Data!$U:$U,$A24,Data!$N:$N,"&lt;&gt;")</f>
        <v/>
      </c>
      <c r="G24">
        <f>COUNTIFS(Data!$U:$U,$A24,Data!$N:$N,0)</f>
        <v/>
      </c>
      <c r="H24">
        <f>IF($F24=0,"",$F24-$G24)</f>
        <v/>
      </c>
      <c r="I24">
        <f>IF($F24=0,"",SUMIFS(Data!$N:$N,Data!$U:$U,$A24))</f>
        <v/>
      </c>
      <c r="J24">
        <f>COUNTIFS(Data!$U:$U,$A24,Data!$Q:$Q,"&lt;&gt;")</f>
        <v/>
      </c>
      <c r="K24">
        <f>IF($J24=0,"",SUMIFS(Data!$Q:$Q,Data!$U:$U,$A24))</f>
        <v/>
      </c>
      <c r="L24">
        <f>COUNTIFS(Data!$U:$U,$A24,Data!$M:$M,"&lt;&gt;")</f>
        <v/>
      </c>
      <c r="M24">
        <f>IF($E24=0,"",IF($L24=0,"not loaded","loaded"))</f>
        <v/>
      </c>
      <c r="N24">
        <f>COUNTIFS(Data!$U:$U,$A24,Data!$I:$I,"&lt;&gt;")</f>
        <v/>
      </c>
      <c r="O24">
        <f>IF($E24=0,"",IF($L24=0,"No POS sales have been loaded for this date, so variance cannot be worked out. Import the sales report for this day and it fills in.",IF($N24=0,"This is the first count of these products, so there is no opening figure to sell down from. Variance starts from the next count.",IF($F24-$G24=0,"Physical and POS agree on every product.",($F24-$G24)&amp;" of "&amp;$F24&amp;" products disagree with the POS. Largest first below."))))</f>
        <v/>
      </c>
      <c r="R24" t="n">
        <v>22</v>
      </c>
      <c r="S24">
        <f>IFERROR(INDEX(Data!$G:$G,MATCH($R24,Data!$V:$V,0)),"")</f>
        <v/>
      </c>
      <c r="T24">
        <f>IF(COUNTIFS(Data!$V:$V,$R24,Data!$U:$U,1,Data!$N:$N,"&lt;&gt;")=0,"",SUMIFS(Data!$N:$N,Data!$V:$V,$R24,Data!$U:$U,1))</f>
        <v/>
      </c>
      <c r="U24">
        <f>IF(COUNTIFS(Data!$V:$V,$R24,Data!$U:$U,2,Data!$N:$N,"&lt;&gt;")=0,"",SUMIFS(Data!$N:$N,Data!$V:$V,$R24,Data!$U:$U,2))</f>
        <v/>
      </c>
      <c r="V24">
        <f>IF(COUNTIFS(Data!$V:$V,$R24,Data!$U:$U,3,Data!$N:$N,"&lt;&gt;")=0,"",SUMIFS(Data!$N:$N,Data!$V:$V,$R24,Data!$U:$U,3))</f>
        <v/>
      </c>
      <c r="W24">
        <f>IF(COUNTIFS(Data!$V:$V,$R24,Data!$U:$U,4,Data!$N:$N,"&lt;&gt;")=0,"",SUMIFS(Data!$N:$N,Data!$V:$V,$R24,Data!$U:$U,4))</f>
        <v/>
      </c>
      <c r="X24">
        <f>IF(COUNTIFS(Data!$V:$V,$R24,Data!$U:$U,5,Data!$N:$N,"&lt;&gt;")=0,"",SUMIFS(Data!$N:$N,Data!$V:$V,$R24,Data!$U:$U,5))</f>
        <v/>
      </c>
      <c r="Y24">
        <f>IF(COUNTIFS(Data!$V:$V,$R24,Data!$U:$U,6,Data!$N:$N,"&lt;&gt;")=0,"",SUMIFS(Data!$N:$N,Data!$V:$V,$R24,Data!$U:$U,6))</f>
        <v/>
      </c>
      <c r="Z24">
        <f>IF(COUNTIFS(Data!$V:$V,$R24,Data!$U:$U,7,Data!$N:$N,"&lt;&gt;")=0,"",SUMIFS(Data!$N:$N,Data!$V:$V,$R24,Data!$U:$U,7))</f>
        <v/>
      </c>
      <c r="AA24">
        <f>IF(COUNTIFS(Data!$V:$V,$R24,Data!$U:$U,8,Data!$N:$N,"&lt;&gt;")=0,"",SUMIFS(Data!$N:$N,Data!$V:$V,$R24,Data!$U:$U,8))</f>
        <v/>
      </c>
      <c r="AB24">
        <f>IF(COUNTIFS(Data!$V:$V,$R24,Data!$U:$U,9,Data!$N:$N,"&lt;&gt;")=0,"",SUMIFS(Data!$N:$N,Data!$V:$V,$R24,Data!$U:$U,9))</f>
        <v/>
      </c>
      <c r="AC24">
        <f>IF(COUNTIFS(Data!$V:$V,$R24,Data!$U:$U,10,Data!$N:$N,"&lt;&gt;")=0,"",SUMIFS(Data!$N:$N,Data!$V:$V,$R24,Data!$U:$U,10))</f>
        <v/>
      </c>
      <c r="AD24">
        <f>IF(COUNTIFS(Data!$V:$V,$R24,Data!$U:$U,11,Data!$N:$N,"&lt;&gt;")=0,"",SUMIFS(Data!$N:$N,Data!$V:$V,$R24,Data!$U:$U,11))</f>
        <v/>
      </c>
      <c r="AE24">
        <f>IF(COUNTIFS(Data!$V:$V,$R24,Data!$U:$U,12,Data!$N:$N,"&lt;&gt;")=0,"",SUMIFS(Data!$N:$N,Data!$V:$V,$R24,Data!$U:$U,12))</f>
        <v/>
      </c>
      <c r="AF24">
        <f>IF(COUNTIFS(Data!$V:$V,$R24,Data!$U:$U,13,Data!$N:$N,"&lt;&gt;")=0,"",SUMIFS(Data!$N:$N,Data!$V:$V,$R24,Data!$U:$U,13))</f>
        <v/>
      </c>
      <c r="AG24">
        <f>IF(COUNTIFS(Data!$V:$V,$R24,Data!$U:$U,14,Data!$N:$N,"&lt;&gt;")=0,"",SUMIFS(Data!$N:$N,Data!$V:$V,$R24,Data!$U:$U,14))</f>
        <v/>
      </c>
      <c r="AH24">
        <f>COUNTIFS(Data!$V:$V,$R24,Data!$U:$U,"&lt;="&amp;14,Data!$N:$N,"&lt;&gt;")</f>
        <v/>
      </c>
      <c r="AI24">
        <f>COUNTIFS(Data!$V:$V,$R24,Data!$U:$U,"&lt;="&amp;14,Data!$N:$N,0)</f>
        <v/>
      </c>
      <c r="AJ24">
        <f>IF(AH24=0,"",AH24-AI24)</f>
        <v/>
      </c>
      <c r="AK24">
        <f>IF(AH24=0,"",SUMIFS(Data!$N:$N,Data!$V:$V,$R24,Data!$U:$U,"&lt;="&amp;14))</f>
        <v/>
      </c>
      <c r="AL24">
        <f>IF(AH24=0,"",IF(ABS(MAX(T24:AG24))&gt;=ABS(MIN(T24:AG24)),MAX(T24:AG24),MIN(T24:AG24)))</f>
        <v/>
      </c>
      <c r="AM24">
        <f>IF(AH24=0,-1,AJ24*100000+MIN(ABS(AK24),99999))</f>
        <v/>
      </c>
      <c r="AN24">
        <f>IF($S24="","",1+COUNTIFS($AM$3:$AM$122,"&gt;"&amp;AM24)+COUNTIFS($AM$3:$AM$122,AM24,$R$3:$R$122,"&lt;"&amp;$R24))</f>
        <v/>
      </c>
    </row>
    <row r="25">
      <c r="A25" t="n">
        <v>23</v>
      </c>
      <c r="B25" s="31">
        <f>IFERROR(IF(INDEX(Data!$B:$B,MATCH($A25,Data!$U:$U,0))="","",INDEX(Data!$B:$B,MATCH($A25,Data!$U:$U,0))),"")</f>
        <v/>
      </c>
      <c r="C25">
        <f>IFERROR(IF(INDEX(Data!$D:$D,MATCH($A25,Data!$U:$U,0))="","",INDEX(Data!$D:$D,MATCH($A25,Data!$U:$U,0))),"")</f>
        <v/>
      </c>
      <c r="D25" s="31">
        <f>IFERROR(IF(INDEX(Data!$O:$O,MATCH($A25,Data!$U:$U,0))="","",INDEX(Data!$O:$O,MATCH($A25,Data!$U:$U,0))),"")</f>
        <v/>
      </c>
      <c r="E25">
        <f>COUNTIFS(Data!$U:$U,$A25)</f>
        <v/>
      </c>
      <c r="F25">
        <f>COUNTIFS(Data!$U:$U,$A25,Data!$N:$N,"&lt;&gt;")</f>
        <v/>
      </c>
      <c r="G25">
        <f>COUNTIFS(Data!$U:$U,$A25,Data!$N:$N,0)</f>
        <v/>
      </c>
      <c r="H25">
        <f>IF($F25=0,"",$F25-$G25)</f>
        <v/>
      </c>
      <c r="I25">
        <f>IF($F25=0,"",SUMIFS(Data!$N:$N,Data!$U:$U,$A25))</f>
        <v/>
      </c>
      <c r="J25">
        <f>COUNTIFS(Data!$U:$U,$A25,Data!$Q:$Q,"&lt;&gt;")</f>
        <v/>
      </c>
      <c r="K25">
        <f>IF($J25=0,"",SUMIFS(Data!$Q:$Q,Data!$U:$U,$A25))</f>
        <v/>
      </c>
      <c r="L25">
        <f>COUNTIFS(Data!$U:$U,$A25,Data!$M:$M,"&lt;&gt;")</f>
        <v/>
      </c>
      <c r="M25">
        <f>IF($E25=0,"",IF($L25=0,"not loaded","loaded"))</f>
        <v/>
      </c>
      <c r="N25">
        <f>COUNTIFS(Data!$U:$U,$A25,Data!$I:$I,"&lt;&gt;")</f>
        <v/>
      </c>
      <c r="O25">
        <f>IF($E25=0,"",IF($L25=0,"No POS sales have been loaded for this date, so variance cannot be worked out. Import the sales report for this day and it fills in.",IF($N25=0,"This is the first count of these products, so there is no opening figure to sell down from. Variance starts from the next count.",IF($F25-$G25=0,"Physical and POS agree on every product.",($F25-$G25)&amp;" of "&amp;$F25&amp;" products disagree with the POS. Largest first below."))))</f>
        <v/>
      </c>
      <c r="R25" t="n">
        <v>23</v>
      </c>
      <c r="S25">
        <f>IFERROR(INDEX(Data!$G:$G,MATCH($R25,Data!$V:$V,0)),"")</f>
        <v/>
      </c>
      <c r="T25">
        <f>IF(COUNTIFS(Data!$V:$V,$R25,Data!$U:$U,1,Data!$N:$N,"&lt;&gt;")=0,"",SUMIFS(Data!$N:$N,Data!$V:$V,$R25,Data!$U:$U,1))</f>
        <v/>
      </c>
      <c r="U25">
        <f>IF(COUNTIFS(Data!$V:$V,$R25,Data!$U:$U,2,Data!$N:$N,"&lt;&gt;")=0,"",SUMIFS(Data!$N:$N,Data!$V:$V,$R25,Data!$U:$U,2))</f>
        <v/>
      </c>
      <c r="V25">
        <f>IF(COUNTIFS(Data!$V:$V,$R25,Data!$U:$U,3,Data!$N:$N,"&lt;&gt;")=0,"",SUMIFS(Data!$N:$N,Data!$V:$V,$R25,Data!$U:$U,3))</f>
        <v/>
      </c>
      <c r="W25">
        <f>IF(COUNTIFS(Data!$V:$V,$R25,Data!$U:$U,4,Data!$N:$N,"&lt;&gt;")=0,"",SUMIFS(Data!$N:$N,Data!$V:$V,$R25,Data!$U:$U,4))</f>
        <v/>
      </c>
      <c r="X25">
        <f>IF(COUNTIFS(Data!$V:$V,$R25,Data!$U:$U,5,Data!$N:$N,"&lt;&gt;")=0,"",SUMIFS(Data!$N:$N,Data!$V:$V,$R25,Data!$U:$U,5))</f>
        <v/>
      </c>
      <c r="Y25">
        <f>IF(COUNTIFS(Data!$V:$V,$R25,Data!$U:$U,6,Data!$N:$N,"&lt;&gt;")=0,"",SUMIFS(Data!$N:$N,Data!$V:$V,$R25,Data!$U:$U,6))</f>
        <v/>
      </c>
      <c r="Z25">
        <f>IF(COUNTIFS(Data!$V:$V,$R25,Data!$U:$U,7,Data!$N:$N,"&lt;&gt;")=0,"",SUMIFS(Data!$N:$N,Data!$V:$V,$R25,Data!$U:$U,7))</f>
        <v/>
      </c>
      <c r="AA25">
        <f>IF(COUNTIFS(Data!$V:$V,$R25,Data!$U:$U,8,Data!$N:$N,"&lt;&gt;")=0,"",SUMIFS(Data!$N:$N,Data!$V:$V,$R25,Data!$U:$U,8))</f>
        <v/>
      </c>
      <c r="AB25">
        <f>IF(COUNTIFS(Data!$V:$V,$R25,Data!$U:$U,9,Data!$N:$N,"&lt;&gt;")=0,"",SUMIFS(Data!$N:$N,Data!$V:$V,$R25,Data!$U:$U,9))</f>
        <v/>
      </c>
      <c r="AC25">
        <f>IF(COUNTIFS(Data!$V:$V,$R25,Data!$U:$U,10,Data!$N:$N,"&lt;&gt;")=0,"",SUMIFS(Data!$N:$N,Data!$V:$V,$R25,Data!$U:$U,10))</f>
        <v/>
      </c>
      <c r="AD25">
        <f>IF(COUNTIFS(Data!$V:$V,$R25,Data!$U:$U,11,Data!$N:$N,"&lt;&gt;")=0,"",SUMIFS(Data!$N:$N,Data!$V:$V,$R25,Data!$U:$U,11))</f>
        <v/>
      </c>
      <c r="AE25">
        <f>IF(COUNTIFS(Data!$V:$V,$R25,Data!$U:$U,12,Data!$N:$N,"&lt;&gt;")=0,"",SUMIFS(Data!$N:$N,Data!$V:$V,$R25,Data!$U:$U,12))</f>
        <v/>
      </c>
      <c r="AF25">
        <f>IF(COUNTIFS(Data!$V:$V,$R25,Data!$U:$U,13,Data!$N:$N,"&lt;&gt;")=0,"",SUMIFS(Data!$N:$N,Data!$V:$V,$R25,Data!$U:$U,13))</f>
        <v/>
      </c>
      <c r="AG25">
        <f>IF(COUNTIFS(Data!$V:$V,$R25,Data!$U:$U,14,Data!$N:$N,"&lt;&gt;")=0,"",SUMIFS(Data!$N:$N,Data!$V:$V,$R25,Data!$U:$U,14))</f>
        <v/>
      </c>
      <c r="AH25">
        <f>COUNTIFS(Data!$V:$V,$R25,Data!$U:$U,"&lt;="&amp;14,Data!$N:$N,"&lt;&gt;")</f>
        <v/>
      </c>
      <c r="AI25">
        <f>COUNTIFS(Data!$V:$V,$R25,Data!$U:$U,"&lt;="&amp;14,Data!$N:$N,0)</f>
        <v/>
      </c>
      <c r="AJ25">
        <f>IF(AH25=0,"",AH25-AI25)</f>
        <v/>
      </c>
      <c r="AK25">
        <f>IF(AH25=0,"",SUMIFS(Data!$N:$N,Data!$V:$V,$R25,Data!$U:$U,"&lt;="&amp;14))</f>
        <v/>
      </c>
      <c r="AL25">
        <f>IF(AH25=0,"",IF(ABS(MAX(T25:AG25))&gt;=ABS(MIN(T25:AG25)),MAX(T25:AG25),MIN(T25:AG25)))</f>
        <v/>
      </c>
      <c r="AM25">
        <f>IF(AH25=0,-1,AJ25*100000+MIN(ABS(AK25),99999))</f>
        <v/>
      </c>
      <c r="AN25">
        <f>IF($S25="","",1+COUNTIFS($AM$3:$AM$122,"&gt;"&amp;AM25)+COUNTIFS($AM$3:$AM$122,AM25,$R$3:$R$122,"&lt;"&amp;$R25))</f>
        <v/>
      </c>
    </row>
    <row r="26">
      <c r="A26" t="n">
        <v>24</v>
      </c>
      <c r="B26" s="31">
        <f>IFERROR(IF(INDEX(Data!$B:$B,MATCH($A26,Data!$U:$U,0))="","",INDEX(Data!$B:$B,MATCH($A26,Data!$U:$U,0))),"")</f>
        <v/>
      </c>
      <c r="C26">
        <f>IFERROR(IF(INDEX(Data!$D:$D,MATCH($A26,Data!$U:$U,0))="","",INDEX(Data!$D:$D,MATCH($A26,Data!$U:$U,0))),"")</f>
        <v/>
      </c>
      <c r="D26" s="31">
        <f>IFERROR(IF(INDEX(Data!$O:$O,MATCH($A26,Data!$U:$U,0))="","",INDEX(Data!$O:$O,MATCH($A26,Data!$U:$U,0))),"")</f>
        <v/>
      </c>
      <c r="E26">
        <f>COUNTIFS(Data!$U:$U,$A26)</f>
        <v/>
      </c>
      <c r="F26">
        <f>COUNTIFS(Data!$U:$U,$A26,Data!$N:$N,"&lt;&gt;")</f>
        <v/>
      </c>
      <c r="G26">
        <f>COUNTIFS(Data!$U:$U,$A26,Data!$N:$N,0)</f>
        <v/>
      </c>
      <c r="H26">
        <f>IF($F26=0,"",$F26-$G26)</f>
        <v/>
      </c>
      <c r="I26">
        <f>IF($F26=0,"",SUMIFS(Data!$N:$N,Data!$U:$U,$A26))</f>
        <v/>
      </c>
      <c r="J26">
        <f>COUNTIFS(Data!$U:$U,$A26,Data!$Q:$Q,"&lt;&gt;")</f>
        <v/>
      </c>
      <c r="K26">
        <f>IF($J26=0,"",SUMIFS(Data!$Q:$Q,Data!$U:$U,$A26))</f>
        <v/>
      </c>
      <c r="L26">
        <f>COUNTIFS(Data!$U:$U,$A26,Data!$M:$M,"&lt;&gt;")</f>
        <v/>
      </c>
      <c r="M26">
        <f>IF($E26=0,"",IF($L26=0,"not loaded","loaded"))</f>
        <v/>
      </c>
      <c r="N26">
        <f>COUNTIFS(Data!$U:$U,$A26,Data!$I:$I,"&lt;&gt;")</f>
        <v/>
      </c>
      <c r="O26">
        <f>IF($E26=0,"",IF($L26=0,"No POS sales have been loaded for this date, so variance cannot be worked out. Import the sales report for this day and it fills in.",IF($N26=0,"This is the first count of these products, so there is no opening figure to sell down from. Variance starts from the next count.",IF($F26-$G26=0,"Physical and POS agree on every product.",($F26-$G26)&amp;" of "&amp;$F26&amp;" products disagree with the POS. Largest first below."))))</f>
        <v/>
      </c>
      <c r="R26" t="n">
        <v>24</v>
      </c>
      <c r="S26">
        <f>IFERROR(INDEX(Data!$G:$G,MATCH($R26,Data!$V:$V,0)),"")</f>
        <v/>
      </c>
      <c r="T26">
        <f>IF(COUNTIFS(Data!$V:$V,$R26,Data!$U:$U,1,Data!$N:$N,"&lt;&gt;")=0,"",SUMIFS(Data!$N:$N,Data!$V:$V,$R26,Data!$U:$U,1))</f>
        <v/>
      </c>
      <c r="U26">
        <f>IF(COUNTIFS(Data!$V:$V,$R26,Data!$U:$U,2,Data!$N:$N,"&lt;&gt;")=0,"",SUMIFS(Data!$N:$N,Data!$V:$V,$R26,Data!$U:$U,2))</f>
        <v/>
      </c>
      <c r="V26">
        <f>IF(COUNTIFS(Data!$V:$V,$R26,Data!$U:$U,3,Data!$N:$N,"&lt;&gt;")=0,"",SUMIFS(Data!$N:$N,Data!$V:$V,$R26,Data!$U:$U,3))</f>
        <v/>
      </c>
      <c r="W26">
        <f>IF(COUNTIFS(Data!$V:$V,$R26,Data!$U:$U,4,Data!$N:$N,"&lt;&gt;")=0,"",SUMIFS(Data!$N:$N,Data!$V:$V,$R26,Data!$U:$U,4))</f>
        <v/>
      </c>
      <c r="X26">
        <f>IF(COUNTIFS(Data!$V:$V,$R26,Data!$U:$U,5,Data!$N:$N,"&lt;&gt;")=0,"",SUMIFS(Data!$N:$N,Data!$V:$V,$R26,Data!$U:$U,5))</f>
        <v/>
      </c>
      <c r="Y26">
        <f>IF(COUNTIFS(Data!$V:$V,$R26,Data!$U:$U,6,Data!$N:$N,"&lt;&gt;")=0,"",SUMIFS(Data!$N:$N,Data!$V:$V,$R26,Data!$U:$U,6))</f>
        <v/>
      </c>
      <c r="Z26">
        <f>IF(COUNTIFS(Data!$V:$V,$R26,Data!$U:$U,7,Data!$N:$N,"&lt;&gt;")=0,"",SUMIFS(Data!$N:$N,Data!$V:$V,$R26,Data!$U:$U,7))</f>
        <v/>
      </c>
      <c r="AA26">
        <f>IF(COUNTIFS(Data!$V:$V,$R26,Data!$U:$U,8,Data!$N:$N,"&lt;&gt;")=0,"",SUMIFS(Data!$N:$N,Data!$V:$V,$R26,Data!$U:$U,8))</f>
        <v/>
      </c>
      <c r="AB26">
        <f>IF(COUNTIFS(Data!$V:$V,$R26,Data!$U:$U,9,Data!$N:$N,"&lt;&gt;")=0,"",SUMIFS(Data!$N:$N,Data!$V:$V,$R26,Data!$U:$U,9))</f>
        <v/>
      </c>
      <c r="AC26">
        <f>IF(COUNTIFS(Data!$V:$V,$R26,Data!$U:$U,10,Data!$N:$N,"&lt;&gt;")=0,"",SUMIFS(Data!$N:$N,Data!$V:$V,$R26,Data!$U:$U,10))</f>
        <v/>
      </c>
      <c r="AD26">
        <f>IF(COUNTIFS(Data!$V:$V,$R26,Data!$U:$U,11,Data!$N:$N,"&lt;&gt;")=0,"",SUMIFS(Data!$N:$N,Data!$V:$V,$R26,Data!$U:$U,11))</f>
        <v/>
      </c>
      <c r="AE26">
        <f>IF(COUNTIFS(Data!$V:$V,$R26,Data!$U:$U,12,Data!$N:$N,"&lt;&gt;")=0,"",SUMIFS(Data!$N:$N,Data!$V:$V,$R26,Data!$U:$U,12))</f>
        <v/>
      </c>
      <c r="AF26">
        <f>IF(COUNTIFS(Data!$V:$V,$R26,Data!$U:$U,13,Data!$N:$N,"&lt;&gt;")=0,"",SUMIFS(Data!$N:$N,Data!$V:$V,$R26,Data!$U:$U,13))</f>
        <v/>
      </c>
      <c r="AG26">
        <f>IF(COUNTIFS(Data!$V:$V,$R26,Data!$U:$U,14,Data!$N:$N,"&lt;&gt;")=0,"",SUMIFS(Data!$N:$N,Data!$V:$V,$R26,Data!$U:$U,14))</f>
        <v/>
      </c>
      <c r="AH26">
        <f>COUNTIFS(Data!$V:$V,$R26,Data!$U:$U,"&lt;="&amp;14,Data!$N:$N,"&lt;&gt;")</f>
        <v/>
      </c>
      <c r="AI26">
        <f>COUNTIFS(Data!$V:$V,$R26,Data!$U:$U,"&lt;="&amp;14,Data!$N:$N,0)</f>
        <v/>
      </c>
      <c r="AJ26">
        <f>IF(AH26=0,"",AH26-AI26)</f>
        <v/>
      </c>
      <c r="AK26">
        <f>IF(AH26=0,"",SUMIFS(Data!$N:$N,Data!$V:$V,$R26,Data!$U:$U,"&lt;="&amp;14))</f>
        <v/>
      </c>
      <c r="AL26">
        <f>IF(AH26=0,"",IF(ABS(MAX(T26:AG26))&gt;=ABS(MIN(T26:AG26)),MAX(T26:AG26),MIN(T26:AG26)))</f>
        <v/>
      </c>
      <c r="AM26">
        <f>IF(AH26=0,-1,AJ26*100000+MIN(ABS(AK26),99999))</f>
        <v/>
      </c>
      <c r="AN26">
        <f>IF($S26="","",1+COUNTIFS($AM$3:$AM$122,"&gt;"&amp;AM26)+COUNTIFS($AM$3:$AM$122,AM26,$R$3:$R$122,"&lt;"&amp;$R26))</f>
        <v/>
      </c>
    </row>
    <row r="27">
      <c r="A27" t="n">
        <v>25</v>
      </c>
      <c r="B27" s="31">
        <f>IFERROR(IF(INDEX(Data!$B:$B,MATCH($A27,Data!$U:$U,0))="","",INDEX(Data!$B:$B,MATCH($A27,Data!$U:$U,0))),"")</f>
        <v/>
      </c>
      <c r="C27">
        <f>IFERROR(IF(INDEX(Data!$D:$D,MATCH($A27,Data!$U:$U,0))="","",INDEX(Data!$D:$D,MATCH($A27,Data!$U:$U,0))),"")</f>
        <v/>
      </c>
      <c r="D27" s="31">
        <f>IFERROR(IF(INDEX(Data!$O:$O,MATCH($A27,Data!$U:$U,0))="","",INDEX(Data!$O:$O,MATCH($A27,Data!$U:$U,0))),"")</f>
        <v/>
      </c>
      <c r="E27">
        <f>COUNTIFS(Data!$U:$U,$A27)</f>
        <v/>
      </c>
      <c r="F27">
        <f>COUNTIFS(Data!$U:$U,$A27,Data!$N:$N,"&lt;&gt;")</f>
        <v/>
      </c>
      <c r="G27">
        <f>COUNTIFS(Data!$U:$U,$A27,Data!$N:$N,0)</f>
        <v/>
      </c>
      <c r="H27">
        <f>IF($F27=0,"",$F27-$G27)</f>
        <v/>
      </c>
      <c r="I27">
        <f>IF($F27=0,"",SUMIFS(Data!$N:$N,Data!$U:$U,$A27))</f>
        <v/>
      </c>
      <c r="J27">
        <f>COUNTIFS(Data!$U:$U,$A27,Data!$Q:$Q,"&lt;&gt;")</f>
        <v/>
      </c>
      <c r="K27">
        <f>IF($J27=0,"",SUMIFS(Data!$Q:$Q,Data!$U:$U,$A27))</f>
        <v/>
      </c>
      <c r="L27">
        <f>COUNTIFS(Data!$U:$U,$A27,Data!$M:$M,"&lt;&gt;")</f>
        <v/>
      </c>
      <c r="M27">
        <f>IF($E27=0,"",IF($L27=0,"not loaded","loaded"))</f>
        <v/>
      </c>
      <c r="N27">
        <f>COUNTIFS(Data!$U:$U,$A27,Data!$I:$I,"&lt;&gt;")</f>
        <v/>
      </c>
      <c r="O27">
        <f>IF($E27=0,"",IF($L27=0,"No POS sales have been loaded for this date, so variance cannot be worked out. Import the sales report for this day and it fills in.",IF($N27=0,"This is the first count of these products, so there is no opening figure to sell down from. Variance starts from the next count.",IF($F27-$G27=0,"Physical and POS agree on every product.",($F27-$G27)&amp;" of "&amp;$F27&amp;" products disagree with the POS. Largest first below."))))</f>
        <v/>
      </c>
      <c r="R27" t="n">
        <v>25</v>
      </c>
      <c r="S27">
        <f>IFERROR(INDEX(Data!$G:$G,MATCH($R27,Data!$V:$V,0)),"")</f>
        <v/>
      </c>
      <c r="T27">
        <f>IF(COUNTIFS(Data!$V:$V,$R27,Data!$U:$U,1,Data!$N:$N,"&lt;&gt;")=0,"",SUMIFS(Data!$N:$N,Data!$V:$V,$R27,Data!$U:$U,1))</f>
        <v/>
      </c>
      <c r="U27">
        <f>IF(COUNTIFS(Data!$V:$V,$R27,Data!$U:$U,2,Data!$N:$N,"&lt;&gt;")=0,"",SUMIFS(Data!$N:$N,Data!$V:$V,$R27,Data!$U:$U,2))</f>
        <v/>
      </c>
      <c r="V27">
        <f>IF(COUNTIFS(Data!$V:$V,$R27,Data!$U:$U,3,Data!$N:$N,"&lt;&gt;")=0,"",SUMIFS(Data!$N:$N,Data!$V:$V,$R27,Data!$U:$U,3))</f>
        <v/>
      </c>
      <c r="W27">
        <f>IF(COUNTIFS(Data!$V:$V,$R27,Data!$U:$U,4,Data!$N:$N,"&lt;&gt;")=0,"",SUMIFS(Data!$N:$N,Data!$V:$V,$R27,Data!$U:$U,4))</f>
        <v/>
      </c>
      <c r="X27">
        <f>IF(COUNTIFS(Data!$V:$V,$R27,Data!$U:$U,5,Data!$N:$N,"&lt;&gt;")=0,"",SUMIFS(Data!$N:$N,Data!$V:$V,$R27,Data!$U:$U,5))</f>
        <v/>
      </c>
      <c r="Y27">
        <f>IF(COUNTIFS(Data!$V:$V,$R27,Data!$U:$U,6,Data!$N:$N,"&lt;&gt;")=0,"",SUMIFS(Data!$N:$N,Data!$V:$V,$R27,Data!$U:$U,6))</f>
        <v/>
      </c>
      <c r="Z27">
        <f>IF(COUNTIFS(Data!$V:$V,$R27,Data!$U:$U,7,Data!$N:$N,"&lt;&gt;")=0,"",SUMIFS(Data!$N:$N,Data!$V:$V,$R27,Data!$U:$U,7))</f>
        <v/>
      </c>
      <c r="AA27">
        <f>IF(COUNTIFS(Data!$V:$V,$R27,Data!$U:$U,8,Data!$N:$N,"&lt;&gt;")=0,"",SUMIFS(Data!$N:$N,Data!$V:$V,$R27,Data!$U:$U,8))</f>
        <v/>
      </c>
      <c r="AB27">
        <f>IF(COUNTIFS(Data!$V:$V,$R27,Data!$U:$U,9,Data!$N:$N,"&lt;&gt;")=0,"",SUMIFS(Data!$N:$N,Data!$V:$V,$R27,Data!$U:$U,9))</f>
        <v/>
      </c>
      <c r="AC27">
        <f>IF(COUNTIFS(Data!$V:$V,$R27,Data!$U:$U,10,Data!$N:$N,"&lt;&gt;")=0,"",SUMIFS(Data!$N:$N,Data!$V:$V,$R27,Data!$U:$U,10))</f>
        <v/>
      </c>
      <c r="AD27">
        <f>IF(COUNTIFS(Data!$V:$V,$R27,Data!$U:$U,11,Data!$N:$N,"&lt;&gt;")=0,"",SUMIFS(Data!$N:$N,Data!$V:$V,$R27,Data!$U:$U,11))</f>
        <v/>
      </c>
      <c r="AE27">
        <f>IF(COUNTIFS(Data!$V:$V,$R27,Data!$U:$U,12,Data!$N:$N,"&lt;&gt;")=0,"",SUMIFS(Data!$N:$N,Data!$V:$V,$R27,Data!$U:$U,12))</f>
        <v/>
      </c>
      <c r="AF27">
        <f>IF(COUNTIFS(Data!$V:$V,$R27,Data!$U:$U,13,Data!$N:$N,"&lt;&gt;")=0,"",SUMIFS(Data!$N:$N,Data!$V:$V,$R27,Data!$U:$U,13))</f>
        <v/>
      </c>
      <c r="AG27">
        <f>IF(COUNTIFS(Data!$V:$V,$R27,Data!$U:$U,14,Data!$N:$N,"&lt;&gt;")=0,"",SUMIFS(Data!$N:$N,Data!$V:$V,$R27,Data!$U:$U,14))</f>
        <v/>
      </c>
      <c r="AH27">
        <f>COUNTIFS(Data!$V:$V,$R27,Data!$U:$U,"&lt;="&amp;14,Data!$N:$N,"&lt;&gt;")</f>
        <v/>
      </c>
      <c r="AI27">
        <f>COUNTIFS(Data!$V:$V,$R27,Data!$U:$U,"&lt;="&amp;14,Data!$N:$N,0)</f>
        <v/>
      </c>
      <c r="AJ27">
        <f>IF(AH27=0,"",AH27-AI27)</f>
        <v/>
      </c>
      <c r="AK27">
        <f>IF(AH27=0,"",SUMIFS(Data!$N:$N,Data!$V:$V,$R27,Data!$U:$U,"&lt;="&amp;14))</f>
        <v/>
      </c>
      <c r="AL27">
        <f>IF(AH27=0,"",IF(ABS(MAX(T27:AG27))&gt;=ABS(MIN(T27:AG27)),MAX(T27:AG27),MIN(T27:AG27)))</f>
        <v/>
      </c>
      <c r="AM27">
        <f>IF(AH27=0,-1,AJ27*100000+MIN(ABS(AK27),99999))</f>
        <v/>
      </c>
      <c r="AN27">
        <f>IF($S27="","",1+COUNTIFS($AM$3:$AM$122,"&gt;"&amp;AM27)+COUNTIFS($AM$3:$AM$122,AM27,$R$3:$R$122,"&lt;"&amp;$R27))</f>
        <v/>
      </c>
    </row>
    <row r="28">
      <c r="A28" t="n">
        <v>26</v>
      </c>
      <c r="B28" s="31">
        <f>IFERROR(IF(INDEX(Data!$B:$B,MATCH($A28,Data!$U:$U,0))="","",INDEX(Data!$B:$B,MATCH($A28,Data!$U:$U,0))),"")</f>
        <v/>
      </c>
      <c r="C28">
        <f>IFERROR(IF(INDEX(Data!$D:$D,MATCH($A28,Data!$U:$U,0))="","",INDEX(Data!$D:$D,MATCH($A28,Data!$U:$U,0))),"")</f>
        <v/>
      </c>
      <c r="D28" s="31">
        <f>IFERROR(IF(INDEX(Data!$O:$O,MATCH($A28,Data!$U:$U,0))="","",INDEX(Data!$O:$O,MATCH($A28,Data!$U:$U,0))),"")</f>
        <v/>
      </c>
      <c r="E28">
        <f>COUNTIFS(Data!$U:$U,$A28)</f>
        <v/>
      </c>
      <c r="F28">
        <f>COUNTIFS(Data!$U:$U,$A28,Data!$N:$N,"&lt;&gt;")</f>
        <v/>
      </c>
      <c r="G28">
        <f>COUNTIFS(Data!$U:$U,$A28,Data!$N:$N,0)</f>
        <v/>
      </c>
      <c r="H28">
        <f>IF($F28=0,"",$F28-$G28)</f>
        <v/>
      </c>
      <c r="I28">
        <f>IF($F28=0,"",SUMIFS(Data!$N:$N,Data!$U:$U,$A28))</f>
        <v/>
      </c>
      <c r="J28">
        <f>COUNTIFS(Data!$U:$U,$A28,Data!$Q:$Q,"&lt;&gt;")</f>
        <v/>
      </c>
      <c r="K28">
        <f>IF($J28=0,"",SUMIFS(Data!$Q:$Q,Data!$U:$U,$A28))</f>
        <v/>
      </c>
      <c r="L28">
        <f>COUNTIFS(Data!$U:$U,$A28,Data!$M:$M,"&lt;&gt;")</f>
        <v/>
      </c>
      <c r="M28">
        <f>IF($E28=0,"",IF($L28=0,"not loaded","loaded"))</f>
        <v/>
      </c>
      <c r="N28">
        <f>COUNTIFS(Data!$U:$U,$A28,Data!$I:$I,"&lt;&gt;")</f>
        <v/>
      </c>
      <c r="O28">
        <f>IF($E28=0,"",IF($L28=0,"No POS sales have been loaded for this date, so variance cannot be worked out. Import the sales report for this day and it fills in.",IF($N28=0,"This is the first count of these products, so there is no opening figure to sell down from. Variance starts from the next count.",IF($F28-$G28=0,"Physical and POS agree on every product.",($F28-$G28)&amp;" of "&amp;$F28&amp;" products disagree with the POS. Largest first below."))))</f>
        <v/>
      </c>
      <c r="R28" t="n">
        <v>26</v>
      </c>
      <c r="S28">
        <f>IFERROR(INDEX(Data!$G:$G,MATCH($R28,Data!$V:$V,0)),"")</f>
        <v/>
      </c>
      <c r="T28">
        <f>IF(COUNTIFS(Data!$V:$V,$R28,Data!$U:$U,1,Data!$N:$N,"&lt;&gt;")=0,"",SUMIFS(Data!$N:$N,Data!$V:$V,$R28,Data!$U:$U,1))</f>
        <v/>
      </c>
      <c r="U28">
        <f>IF(COUNTIFS(Data!$V:$V,$R28,Data!$U:$U,2,Data!$N:$N,"&lt;&gt;")=0,"",SUMIFS(Data!$N:$N,Data!$V:$V,$R28,Data!$U:$U,2))</f>
        <v/>
      </c>
      <c r="V28">
        <f>IF(COUNTIFS(Data!$V:$V,$R28,Data!$U:$U,3,Data!$N:$N,"&lt;&gt;")=0,"",SUMIFS(Data!$N:$N,Data!$V:$V,$R28,Data!$U:$U,3))</f>
        <v/>
      </c>
      <c r="W28">
        <f>IF(COUNTIFS(Data!$V:$V,$R28,Data!$U:$U,4,Data!$N:$N,"&lt;&gt;")=0,"",SUMIFS(Data!$N:$N,Data!$V:$V,$R28,Data!$U:$U,4))</f>
        <v/>
      </c>
      <c r="X28">
        <f>IF(COUNTIFS(Data!$V:$V,$R28,Data!$U:$U,5,Data!$N:$N,"&lt;&gt;")=0,"",SUMIFS(Data!$N:$N,Data!$V:$V,$R28,Data!$U:$U,5))</f>
        <v/>
      </c>
      <c r="Y28">
        <f>IF(COUNTIFS(Data!$V:$V,$R28,Data!$U:$U,6,Data!$N:$N,"&lt;&gt;")=0,"",SUMIFS(Data!$N:$N,Data!$V:$V,$R28,Data!$U:$U,6))</f>
        <v/>
      </c>
      <c r="Z28">
        <f>IF(COUNTIFS(Data!$V:$V,$R28,Data!$U:$U,7,Data!$N:$N,"&lt;&gt;")=0,"",SUMIFS(Data!$N:$N,Data!$V:$V,$R28,Data!$U:$U,7))</f>
        <v/>
      </c>
      <c r="AA28">
        <f>IF(COUNTIFS(Data!$V:$V,$R28,Data!$U:$U,8,Data!$N:$N,"&lt;&gt;")=0,"",SUMIFS(Data!$N:$N,Data!$V:$V,$R28,Data!$U:$U,8))</f>
        <v/>
      </c>
      <c r="AB28">
        <f>IF(COUNTIFS(Data!$V:$V,$R28,Data!$U:$U,9,Data!$N:$N,"&lt;&gt;")=0,"",SUMIFS(Data!$N:$N,Data!$V:$V,$R28,Data!$U:$U,9))</f>
        <v/>
      </c>
      <c r="AC28">
        <f>IF(COUNTIFS(Data!$V:$V,$R28,Data!$U:$U,10,Data!$N:$N,"&lt;&gt;")=0,"",SUMIFS(Data!$N:$N,Data!$V:$V,$R28,Data!$U:$U,10))</f>
        <v/>
      </c>
      <c r="AD28">
        <f>IF(COUNTIFS(Data!$V:$V,$R28,Data!$U:$U,11,Data!$N:$N,"&lt;&gt;")=0,"",SUMIFS(Data!$N:$N,Data!$V:$V,$R28,Data!$U:$U,11))</f>
        <v/>
      </c>
      <c r="AE28">
        <f>IF(COUNTIFS(Data!$V:$V,$R28,Data!$U:$U,12,Data!$N:$N,"&lt;&gt;")=0,"",SUMIFS(Data!$N:$N,Data!$V:$V,$R28,Data!$U:$U,12))</f>
        <v/>
      </c>
      <c r="AF28">
        <f>IF(COUNTIFS(Data!$V:$V,$R28,Data!$U:$U,13,Data!$N:$N,"&lt;&gt;")=0,"",SUMIFS(Data!$N:$N,Data!$V:$V,$R28,Data!$U:$U,13))</f>
        <v/>
      </c>
      <c r="AG28">
        <f>IF(COUNTIFS(Data!$V:$V,$R28,Data!$U:$U,14,Data!$N:$N,"&lt;&gt;")=0,"",SUMIFS(Data!$N:$N,Data!$V:$V,$R28,Data!$U:$U,14))</f>
        <v/>
      </c>
      <c r="AH28">
        <f>COUNTIFS(Data!$V:$V,$R28,Data!$U:$U,"&lt;="&amp;14,Data!$N:$N,"&lt;&gt;")</f>
        <v/>
      </c>
      <c r="AI28">
        <f>COUNTIFS(Data!$V:$V,$R28,Data!$U:$U,"&lt;="&amp;14,Data!$N:$N,0)</f>
        <v/>
      </c>
      <c r="AJ28">
        <f>IF(AH28=0,"",AH28-AI28)</f>
        <v/>
      </c>
      <c r="AK28">
        <f>IF(AH28=0,"",SUMIFS(Data!$N:$N,Data!$V:$V,$R28,Data!$U:$U,"&lt;="&amp;14))</f>
        <v/>
      </c>
      <c r="AL28">
        <f>IF(AH28=0,"",IF(ABS(MAX(T28:AG28))&gt;=ABS(MIN(T28:AG28)),MAX(T28:AG28),MIN(T28:AG28)))</f>
        <v/>
      </c>
      <c r="AM28">
        <f>IF(AH28=0,-1,AJ28*100000+MIN(ABS(AK28),99999))</f>
        <v/>
      </c>
      <c r="AN28">
        <f>IF($S28="","",1+COUNTIFS($AM$3:$AM$122,"&gt;"&amp;AM28)+COUNTIFS($AM$3:$AM$122,AM28,$R$3:$R$122,"&lt;"&amp;$R28))</f>
        <v/>
      </c>
    </row>
    <row r="29">
      <c r="A29" t="n">
        <v>27</v>
      </c>
      <c r="B29" s="31">
        <f>IFERROR(IF(INDEX(Data!$B:$B,MATCH($A29,Data!$U:$U,0))="","",INDEX(Data!$B:$B,MATCH($A29,Data!$U:$U,0))),"")</f>
        <v/>
      </c>
      <c r="C29">
        <f>IFERROR(IF(INDEX(Data!$D:$D,MATCH($A29,Data!$U:$U,0))="","",INDEX(Data!$D:$D,MATCH($A29,Data!$U:$U,0))),"")</f>
        <v/>
      </c>
      <c r="D29" s="31">
        <f>IFERROR(IF(INDEX(Data!$O:$O,MATCH($A29,Data!$U:$U,0))="","",INDEX(Data!$O:$O,MATCH($A29,Data!$U:$U,0))),"")</f>
        <v/>
      </c>
      <c r="E29">
        <f>COUNTIFS(Data!$U:$U,$A29)</f>
        <v/>
      </c>
      <c r="F29">
        <f>COUNTIFS(Data!$U:$U,$A29,Data!$N:$N,"&lt;&gt;")</f>
        <v/>
      </c>
      <c r="G29">
        <f>COUNTIFS(Data!$U:$U,$A29,Data!$N:$N,0)</f>
        <v/>
      </c>
      <c r="H29">
        <f>IF($F29=0,"",$F29-$G29)</f>
        <v/>
      </c>
      <c r="I29">
        <f>IF($F29=0,"",SUMIFS(Data!$N:$N,Data!$U:$U,$A29))</f>
        <v/>
      </c>
      <c r="J29">
        <f>COUNTIFS(Data!$U:$U,$A29,Data!$Q:$Q,"&lt;&gt;")</f>
        <v/>
      </c>
      <c r="K29">
        <f>IF($J29=0,"",SUMIFS(Data!$Q:$Q,Data!$U:$U,$A29))</f>
        <v/>
      </c>
      <c r="L29">
        <f>COUNTIFS(Data!$U:$U,$A29,Data!$M:$M,"&lt;&gt;")</f>
        <v/>
      </c>
      <c r="M29">
        <f>IF($E29=0,"",IF($L29=0,"not loaded","loaded"))</f>
        <v/>
      </c>
      <c r="N29">
        <f>COUNTIFS(Data!$U:$U,$A29,Data!$I:$I,"&lt;&gt;")</f>
        <v/>
      </c>
      <c r="O29">
        <f>IF($E29=0,"",IF($L29=0,"No POS sales have been loaded for this date, so variance cannot be worked out. Import the sales report for this day and it fills in.",IF($N29=0,"This is the first count of these products, so there is no opening figure to sell down from. Variance starts from the next count.",IF($F29-$G29=0,"Physical and POS agree on every product.",($F29-$G29)&amp;" of "&amp;$F29&amp;" products disagree with the POS. Largest first below."))))</f>
        <v/>
      </c>
      <c r="R29" t="n">
        <v>27</v>
      </c>
      <c r="S29">
        <f>IFERROR(INDEX(Data!$G:$G,MATCH($R29,Data!$V:$V,0)),"")</f>
        <v/>
      </c>
      <c r="T29">
        <f>IF(COUNTIFS(Data!$V:$V,$R29,Data!$U:$U,1,Data!$N:$N,"&lt;&gt;")=0,"",SUMIFS(Data!$N:$N,Data!$V:$V,$R29,Data!$U:$U,1))</f>
        <v/>
      </c>
      <c r="U29">
        <f>IF(COUNTIFS(Data!$V:$V,$R29,Data!$U:$U,2,Data!$N:$N,"&lt;&gt;")=0,"",SUMIFS(Data!$N:$N,Data!$V:$V,$R29,Data!$U:$U,2))</f>
        <v/>
      </c>
      <c r="V29">
        <f>IF(COUNTIFS(Data!$V:$V,$R29,Data!$U:$U,3,Data!$N:$N,"&lt;&gt;")=0,"",SUMIFS(Data!$N:$N,Data!$V:$V,$R29,Data!$U:$U,3))</f>
        <v/>
      </c>
      <c r="W29">
        <f>IF(COUNTIFS(Data!$V:$V,$R29,Data!$U:$U,4,Data!$N:$N,"&lt;&gt;")=0,"",SUMIFS(Data!$N:$N,Data!$V:$V,$R29,Data!$U:$U,4))</f>
        <v/>
      </c>
      <c r="X29">
        <f>IF(COUNTIFS(Data!$V:$V,$R29,Data!$U:$U,5,Data!$N:$N,"&lt;&gt;")=0,"",SUMIFS(Data!$N:$N,Data!$V:$V,$R29,Data!$U:$U,5))</f>
        <v/>
      </c>
      <c r="Y29">
        <f>IF(COUNTIFS(Data!$V:$V,$R29,Data!$U:$U,6,Data!$N:$N,"&lt;&gt;")=0,"",SUMIFS(Data!$N:$N,Data!$V:$V,$R29,Data!$U:$U,6))</f>
        <v/>
      </c>
      <c r="Z29">
        <f>IF(COUNTIFS(Data!$V:$V,$R29,Data!$U:$U,7,Data!$N:$N,"&lt;&gt;")=0,"",SUMIFS(Data!$N:$N,Data!$V:$V,$R29,Data!$U:$U,7))</f>
        <v/>
      </c>
      <c r="AA29">
        <f>IF(COUNTIFS(Data!$V:$V,$R29,Data!$U:$U,8,Data!$N:$N,"&lt;&gt;")=0,"",SUMIFS(Data!$N:$N,Data!$V:$V,$R29,Data!$U:$U,8))</f>
        <v/>
      </c>
      <c r="AB29">
        <f>IF(COUNTIFS(Data!$V:$V,$R29,Data!$U:$U,9,Data!$N:$N,"&lt;&gt;")=0,"",SUMIFS(Data!$N:$N,Data!$V:$V,$R29,Data!$U:$U,9))</f>
        <v/>
      </c>
      <c r="AC29">
        <f>IF(COUNTIFS(Data!$V:$V,$R29,Data!$U:$U,10,Data!$N:$N,"&lt;&gt;")=0,"",SUMIFS(Data!$N:$N,Data!$V:$V,$R29,Data!$U:$U,10))</f>
        <v/>
      </c>
      <c r="AD29">
        <f>IF(COUNTIFS(Data!$V:$V,$R29,Data!$U:$U,11,Data!$N:$N,"&lt;&gt;")=0,"",SUMIFS(Data!$N:$N,Data!$V:$V,$R29,Data!$U:$U,11))</f>
        <v/>
      </c>
      <c r="AE29">
        <f>IF(COUNTIFS(Data!$V:$V,$R29,Data!$U:$U,12,Data!$N:$N,"&lt;&gt;")=0,"",SUMIFS(Data!$N:$N,Data!$V:$V,$R29,Data!$U:$U,12))</f>
        <v/>
      </c>
      <c r="AF29">
        <f>IF(COUNTIFS(Data!$V:$V,$R29,Data!$U:$U,13,Data!$N:$N,"&lt;&gt;")=0,"",SUMIFS(Data!$N:$N,Data!$V:$V,$R29,Data!$U:$U,13))</f>
        <v/>
      </c>
      <c r="AG29">
        <f>IF(COUNTIFS(Data!$V:$V,$R29,Data!$U:$U,14,Data!$N:$N,"&lt;&gt;")=0,"",SUMIFS(Data!$N:$N,Data!$V:$V,$R29,Data!$U:$U,14))</f>
        <v/>
      </c>
      <c r="AH29">
        <f>COUNTIFS(Data!$V:$V,$R29,Data!$U:$U,"&lt;="&amp;14,Data!$N:$N,"&lt;&gt;")</f>
        <v/>
      </c>
      <c r="AI29">
        <f>COUNTIFS(Data!$V:$V,$R29,Data!$U:$U,"&lt;="&amp;14,Data!$N:$N,0)</f>
        <v/>
      </c>
      <c r="AJ29">
        <f>IF(AH29=0,"",AH29-AI29)</f>
        <v/>
      </c>
      <c r="AK29">
        <f>IF(AH29=0,"",SUMIFS(Data!$N:$N,Data!$V:$V,$R29,Data!$U:$U,"&lt;="&amp;14))</f>
        <v/>
      </c>
      <c r="AL29">
        <f>IF(AH29=0,"",IF(ABS(MAX(T29:AG29))&gt;=ABS(MIN(T29:AG29)),MAX(T29:AG29),MIN(T29:AG29)))</f>
        <v/>
      </c>
      <c r="AM29">
        <f>IF(AH29=0,-1,AJ29*100000+MIN(ABS(AK29),99999))</f>
        <v/>
      </c>
      <c r="AN29">
        <f>IF($S29="","",1+COUNTIFS($AM$3:$AM$122,"&gt;"&amp;AM29)+COUNTIFS($AM$3:$AM$122,AM29,$R$3:$R$122,"&lt;"&amp;$R29))</f>
        <v/>
      </c>
    </row>
    <row r="30">
      <c r="A30" t="n">
        <v>28</v>
      </c>
      <c r="B30" s="31">
        <f>IFERROR(IF(INDEX(Data!$B:$B,MATCH($A30,Data!$U:$U,0))="","",INDEX(Data!$B:$B,MATCH($A30,Data!$U:$U,0))),"")</f>
        <v/>
      </c>
      <c r="C30">
        <f>IFERROR(IF(INDEX(Data!$D:$D,MATCH($A30,Data!$U:$U,0))="","",INDEX(Data!$D:$D,MATCH($A30,Data!$U:$U,0))),"")</f>
        <v/>
      </c>
      <c r="D30" s="31">
        <f>IFERROR(IF(INDEX(Data!$O:$O,MATCH($A30,Data!$U:$U,0))="","",INDEX(Data!$O:$O,MATCH($A30,Data!$U:$U,0))),"")</f>
        <v/>
      </c>
      <c r="E30">
        <f>COUNTIFS(Data!$U:$U,$A30)</f>
        <v/>
      </c>
      <c r="F30">
        <f>COUNTIFS(Data!$U:$U,$A30,Data!$N:$N,"&lt;&gt;")</f>
        <v/>
      </c>
      <c r="G30">
        <f>COUNTIFS(Data!$U:$U,$A30,Data!$N:$N,0)</f>
        <v/>
      </c>
      <c r="H30">
        <f>IF($F30=0,"",$F30-$G30)</f>
        <v/>
      </c>
      <c r="I30">
        <f>IF($F30=0,"",SUMIFS(Data!$N:$N,Data!$U:$U,$A30))</f>
        <v/>
      </c>
      <c r="J30">
        <f>COUNTIFS(Data!$U:$U,$A30,Data!$Q:$Q,"&lt;&gt;")</f>
        <v/>
      </c>
      <c r="K30">
        <f>IF($J30=0,"",SUMIFS(Data!$Q:$Q,Data!$U:$U,$A30))</f>
        <v/>
      </c>
      <c r="L30">
        <f>COUNTIFS(Data!$U:$U,$A30,Data!$M:$M,"&lt;&gt;")</f>
        <v/>
      </c>
      <c r="M30">
        <f>IF($E30=0,"",IF($L30=0,"not loaded","loaded"))</f>
        <v/>
      </c>
      <c r="N30">
        <f>COUNTIFS(Data!$U:$U,$A30,Data!$I:$I,"&lt;&gt;")</f>
        <v/>
      </c>
      <c r="O30">
        <f>IF($E30=0,"",IF($L30=0,"No POS sales have been loaded for this date, so variance cannot be worked out. Import the sales report for this day and it fills in.",IF($N30=0,"This is the first count of these products, so there is no opening figure to sell down from. Variance starts from the next count.",IF($F30-$G30=0,"Physical and POS agree on every product.",($F30-$G30)&amp;" of "&amp;$F30&amp;" products disagree with the POS. Largest first below."))))</f>
        <v/>
      </c>
      <c r="R30" t="n">
        <v>28</v>
      </c>
      <c r="S30">
        <f>IFERROR(INDEX(Data!$G:$G,MATCH($R30,Data!$V:$V,0)),"")</f>
        <v/>
      </c>
      <c r="T30">
        <f>IF(COUNTIFS(Data!$V:$V,$R30,Data!$U:$U,1,Data!$N:$N,"&lt;&gt;")=0,"",SUMIFS(Data!$N:$N,Data!$V:$V,$R30,Data!$U:$U,1))</f>
        <v/>
      </c>
      <c r="U30">
        <f>IF(COUNTIFS(Data!$V:$V,$R30,Data!$U:$U,2,Data!$N:$N,"&lt;&gt;")=0,"",SUMIFS(Data!$N:$N,Data!$V:$V,$R30,Data!$U:$U,2))</f>
        <v/>
      </c>
      <c r="V30">
        <f>IF(COUNTIFS(Data!$V:$V,$R30,Data!$U:$U,3,Data!$N:$N,"&lt;&gt;")=0,"",SUMIFS(Data!$N:$N,Data!$V:$V,$R30,Data!$U:$U,3))</f>
        <v/>
      </c>
      <c r="W30">
        <f>IF(COUNTIFS(Data!$V:$V,$R30,Data!$U:$U,4,Data!$N:$N,"&lt;&gt;")=0,"",SUMIFS(Data!$N:$N,Data!$V:$V,$R30,Data!$U:$U,4))</f>
        <v/>
      </c>
      <c r="X30">
        <f>IF(COUNTIFS(Data!$V:$V,$R30,Data!$U:$U,5,Data!$N:$N,"&lt;&gt;")=0,"",SUMIFS(Data!$N:$N,Data!$V:$V,$R30,Data!$U:$U,5))</f>
        <v/>
      </c>
      <c r="Y30">
        <f>IF(COUNTIFS(Data!$V:$V,$R30,Data!$U:$U,6,Data!$N:$N,"&lt;&gt;")=0,"",SUMIFS(Data!$N:$N,Data!$V:$V,$R30,Data!$U:$U,6))</f>
        <v/>
      </c>
      <c r="Z30">
        <f>IF(COUNTIFS(Data!$V:$V,$R30,Data!$U:$U,7,Data!$N:$N,"&lt;&gt;")=0,"",SUMIFS(Data!$N:$N,Data!$V:$V,$R30,Data!$U:$U,7))</f>
        <v/>
      </c>
      <c r="AA30">
        <f>IF(COUNTIFS(Data!$V:$V,$R30,Data!$U:$U,8,Data!$N:$N,"&lt;&gt;")=0,"",SUMIFS(Data!$N:$N,Data!$V:$V,$R30,Data!$U:$U,8))</f>
        <v/>
      </c>
      <c r="AB30">
        <f>IF(COUNTIFS(Data!$V:$V,$R30,Data!$U:$U,9,Data!$N:$N,"&lt;&gt;")=0,"",SUMIFS(Data!$N:$N,Data!$V:$V,$R30,Data!$U:$U,9))</f>
        <v/>
      </c>
      <c r="AC30">
        <f>IF(COUNTIFS(Data!$V:$V,$R30,Data!$U:$U,10,Data!$N:$N,"&lt;&gt;")=0,"",SUMIFS(Data!$N:$N,Data!$V:$V,$R30,Data!$U:$U,10))</f>
        <v/>
      </c>
      <c r="AD30">
        <f>IF(COUNTIFS(Data!$V:$V,$R30,Data!$U:$U,11,Data!$N:$N,"&lt;&gt;")=0,"",SUMIFS(Data!$N:$N,Data!$V:$V,$R30,Data!$U:$U,11))</f>
        <v/>
      </c>
      <c r="AE30">
        <f>IF(COUNTIFS(Data!$V:$V,$R30,Data!$U:$U,12,Data!$N:$N,"&lt;&gt;")=0,"",SUMIFS(Data!$N:$N,Data!$V:$V,$R30,Data!$U:$U,12))</f>
        <v/>
      </c>
      <c r="AF30">
        <f>IF(COUNTIFS(Data!$V:$V,$R30,Data!$U:$U,13,Data!$N:$N,"&lt;&gt;")=0,"",SUMIFS(Data!$N:$N,Data!$V:$V,$R30,Data!$U:$U,13))</f>
        <v/>
      </c>
      <c r="AG30">
        <f>IF(COUNTIFS(Data!$V:$V,$R30,Data!$U:$U,14,Data!$N:$N,"&lt;&gt;")=0,"",SUMIFS(Data!$N:$N,Data!$V:$V,$R30,Data!$U:$U,14))</f>
        <v/>
      </c>
      <c r="AH30">
        <f>COUNTIFS(Data!$V:$V,$R30,Data!$U:$U,"&lt;="&amp;14,Data!$N:$N,"&lt;&gt;")</f>
        <v/>
      </c>
      <c r="AI30">
        <f>COUNTIFS(Data!$V:$V,$R30,Data!$U:$U,"&lt;="&amp;14,Data!$N:$N,0)</f>
        <v/>
      </c>
      <c r="AJ30">
        <f>IF(AH30=0,"",AH30-AI30)</f>
        <v/>
      </c>
      <c r="AK30">
        <f>IF(AH30=0,"",SUMIFS(Data!$N:$N,Data!$V:$V,$R30,Data!$U:$U,"&lt;="&amp;14))</f>
        <v/>
      </c>
      <c r="AL30">
        <f>IF(AH30=0,"",IF(ABS(MAX(T30:AG30))&gt;=ABS(MIN(T30:AG30)),MAX(T30:AG30),MIN(T30:AG30)))</f>
        <v/>
      </c>
      <c r="AM30">
        <f>IF(AH30=0,-1,AJ30*100000+MIN(ABS(AK30),99999))</f>
        <v/>
      </c>
      <c r="AN30">
        <f>IF($S30="","",1+COUNTIFS($AM$3:$AM$122,"&gt;"&amp;AM30)+COUNTIFS($AM$3:$AM$122,AM30,$R$3:$R$122,"&lt;"&amp;$R30))</f>
        <v/>
      </c>
    </row>
    <row r="31">
      <c r="A31" t="n">
        <v>29</v>
      </c>
      <c r="B31" s="31">
        <f>IFERROR(IF(INDEX(Data!$B:$B,MATCH($A31,Data!$U:$U,0))="","",INDEX(Data!$B:$B,MATCH($A31,Data!$U:$U,0))),"")</f>
        <v/>
      </c>
      <c r="C31">
        <f>IFERROR(IF(INDEX(Data!$D:$D,MATCH($A31,Data!$U:$U,0))="","",INDEX(Data!$D:$D,MATCH($A31,Data!$U:$U,0))),"")</f>
        <v/>
      </c>
      <c r="D31" s="31">
        <f>IFERROR(IF(INDEX(Data!$O:$O,MATCH($A31,Data!$U:$U,0))="","",INDEX(Data!$O:$O,MATCH($A31,Data!$U:$U,0))),"")</f>
        <v/>
      </c>
      <c r="E31">
        <f>COUNTIFS(Data!$U:$U,$A31)</f>
        <v/>
      </c>
      <c r="F31">
        <f>COUNTIFS(Data!$U:$U,$A31,Data!$N:$N,"&lt;&gt;")</f>
        <v/>
      </c>
      <c r="G31">
        <f>COUNTIFS(Data!$U:$U,$A31,Data!$N:$N,0)</f>
        <v/>
      </c>
      <c r="H31">
        <f>IF($F31=0,"",$F31-$G31)</f>
        <v/>
      </c>
      <c r="I31">
        <f>IF($F31=0,"",SUMIFS(Data!$N:$N,Data!$U:$U,$A31))</f>
        <v/>
      </c>
      <c r="J31">
        <f>COUNTIFS(Data!$U:$U,$A31,Data!$Q:$Q,"&lt;&gt;")</f>
        <v/>
      </c>
      <c r="K31">
        <f>IF($J31=0,"",SUMIFS(Data!$Q:$Q,Data!$U:$U,$A31))</f>
        <v/>
      </c>
      <c r="L31">
        <f>COUNTIFS(Data!$U:$U,$A31,Data!$M:$M,"&lt;&gt;")</f>
        <v/>
      </c>
      <c r="M31">
        <f>IF($E31=0,"",IF($L31=0,"not loaded","loaded"))</f>
        <v/>
      </c>
      <c r="N31">
        <f>COUNTIFS(Data!$U:$U,$A31,Data!$I:$I,"&lt;&gt;")</f>
        <v/>
      </c>
      <c r="O31">
        <f>IF($E31=0,"",IF($L31=0,"No POS sales have been loaded for this date, so variance cannot be worked out. Import the sales report for this day and it fills in.",IF($N31=0,"This is the first count of these products, so there is no opening figure to sell down from. Variance starts from the next count.",IF($F31-$G31=0,"Physical and POS agree on every product.",($F31-$G31)&amp;" of "&amp;$F31&amp;" products disagree with the POS. Largest first below."))))</f>
        <v/>
      </c>
      <c r="R31" t="n">
        <v>29</v>
      </c>
      <c r="S31">
        <f>IFERROR(INDEX(Data!$G:$G,MATCH($R31,Data!$V:$V,0)),"")</f>
        <v/>
      </c>
      <c r="T31">
        <f>IF(COUNTIFS(Data!$V:$V,$R31,Data!$U:$U,1,Data!$N:$N,"&lt;&gt;")=0,"",SUMIFS(Data!$N:$N,Data!$V:$V,$R31,Data!$U:$U,1))</f>
        <v/>
      </c>
      <c r="U31">
        <f>IF(COUNTIFS(Data!$V:$V,$R31,Data!$U:$U,2,Data!$N:$N,"&lt;&gt;")=0,"",SUMIFS(Data!$N:$N,Data!$V:$V,$R31,Data!$U:$U,2))</f>
        <v/>
      </c>
      <c r="V31">
        <f>IF(COUNTIFS(Data!$V:$V,$R31,Data!$U:$U,3,Data!$N:$N,"&lt;&gt;")=0,"",SUMIFS(Data!$N:$N,Data!$V:$V,$R31,Data!$U:$U,3))</f>
        <v/>
      </c>
      <c r="W31">
        <f>IF(COUNTIFS(Data!$V:$V,$R31,Data!$U:$U,4,Data!$N:$N,"&lt;&gt;")=0,"",SUMIFS(Data!$N:$N,Data!$V:$V,$R31,Data!$U:$U,4))</f>
        <v/>
      </c>
      <c r="X31">
        <f>IF(COUNTIFS(Data!$V:$V,$R31,Data!$U:$U,5,Data!$N:$N,"&lt;&gt;")=0,"",SUMIFS(Data!$N:$N,Data!$V:$V,$R31,Data!$U:$U,5))</f>
        <v/>
      </c>
      <c r="Y31">
        <f>IF(COUNTIFS(Data!$V:$V,$R31,Data!$U:$U,6,Data!$N:$N,"&lt;&gt;")=0,"",SUMIFS(Data!$N:$N,Data!$V:$V,$R31,Data!$U:$U,6))</f>
        <v/>
      </c>
      <c r="Z31">
        <f>IF(COUNTIFS(Data!$V:$V,$R31,Data!$U:$U,7,Data!$N:$N,"&lt;&gt;")=0,"",SUMIFS(Data!$N:$N,Data!$V:$V,$R31,Data!$U:$U,7))</f>
        <v/>
      </c>
      <c r="AA31">
        <f>IF(COUNTIFS(Data!$V:$V,$R31,Data!$U:$U,8,Data!$N:$N,"&lt;&gt;")=0,"",SUMIFS(Data!$N:$N,Data!$V:$V,$R31,Data!$U:$U,8))</f>
        <v/>
      </c>
      <c r="AB31">
        <f>IF(COUNTIFS(Data!$V:$V,$R31,Data!$U:$U,9,Data!$N:$N,"&lt;&gt;")=0,"",SUMIFS(Data!$N:$N,Data!$V:$V,$R31,Data!$U:$U,9))</f>
        <v/>
      </c>
      <c r="AC31">
        <f>IF(COUNTIFS(Data!$V:$V,$R31,Data!$U:$U,10,Data!$N:$N,"&lt;&gt;")=0,"",SUMIFS(Data!$N:$N,Data!$V:$V,$R31,Data!$U:$U,10))</f>
        <v/>
      </c>
      <c r="AD31">
        <f>IF(COUNTIFS(Data!$V:$V,$R31,Data!$U:$U,11,Data!$N:$N,"&lt;&gt;")=0,"",SUMIFS(Data!$N:$N,Data!$V:$V,$R31,Data!$U:$U,11))</f>
        <v/>
      </c>
      <c r="AE31">
        <f>IF(COUNTIFS(Data!$V:$V,$R31,Data!$U:$U,12,Data!$N:$N,"&lt;&gt;")=0,"",SUMIFS(Data!$N:$N,Data!$V:$V,$R31,Data!$U:$U,12))</f>
        <v/>
      </c>
      <c r="AF31">
        <f>IF(COUNTIFS(Data!$V:$V,$R31,Data!$U:$U,13,Data!$N:$N,"&lt;&gt;")=0,"",SUMIFS(Data!$N:$N,Data!$V:$V,$R31,Data!$U:$U,13))</f>
        <v/>
      </c>
      <c r="AG31">
        <f>IF(COUNTIFS(Data!$V:$V,$R31,Data!$U:$U,14,Data!$N:$N,"&lt;&gt;")=0,"",SUMIFS(Data!$N:$N,Data!$V:$V,$R31,Data!$U:$U,14))</f>
        <v/>
      </c>
      <c r="AH31">
        <f>COUNTIFS(Data!$V:$V,$R31,Data!$U:$U,"&lt;="&amp;14,Data!$N:$N,"&lt;&gt;")</f>
        <v/>
      </c>
      <c r="AI31">
        <f>COUNTIFS(Data!$V:$V,$R31,Data!$U:$U,"&lt;="&amp;14,Data!$N:$N,0)</f>
        <v/>
      </c>
      <c r="AJ31">
        <f>IF(AH31=0,"",AH31-AI31)</f>
        <v/>
      </c>
      <c r="AK31">
        <f>IF(AH31=0,"",SUMIFS(Data!$N:$N,Data!$V:$V,$R31,Data!$U:$U,"&lt;="&amp;14))</f>
        <v/>
      </c>
      <c r="AL31">
        <f>IF(AH31=0,"",IF(ABS(MAX(T31:AG31))&gt;=ABS(MIN(T31:AG31)),MAX(T31:AG31),MIN(T31:AG31)))</f>
        <v/>
      </c>
      <c r="AM31">
        <f>IF(AH31=0,-1,AJ31*100000+MIN(ABS(AK31),99999))</f>
        <v/>
      </c>
      <c r="AN31">
        <f>IF($S31="","",1+COUNTIFS($AM$3:$AM$122,"&gt;"&amp;AM31)+COUNTIFS($AM$3:$AM$122,AM31,$R$3:$R$122,"&lt;"&amp;$R31))</f>
        <v/>
      </c>
    </row>
    <row r="32">
      <c r="A32" t="n">
        <v>30</v>
      </c>
      <c r="B32" s="31">
        <f>IFERROR(IF(INDEX(Data!$B:$B,MATCH($A32,Data!$U:$U,0))="","",INDEX(Data!$B:$B,MATCH($A32,Data!$U:$U,0))),"")</f>
        <v/>
      </c>
      <c r="C32">
        <f>IFERROR(IF(INDEX(Data!$D:$D,MATCH($A32,Data!$U:$U,0))="","",INDEX(Data!$D:$D,MATCH($A32,Data!$U:$U,0))),"")</f>
        <v/>
      </c>
      <c r="D32" s="31">
        <f>IFERROR(IF(INDEX(Data!$O:$O,MATCH($A32,Data!$U:$U,0))="","",INDEX(Data!$O:$O,MATCH($A32,Data!$U:$U,0))),"")</f>
        <v/>
      </c>
      <c r="E32">
        <f>COUNTIFS(Data!$U:$U,$A32)</f>
        <v/>
      </c>
      <c r="F32">
        <f>COUNTIFS(Data!$U:$U,$A32,Data!$N:$N,"&lt;&gt;")</f>
        <v/>
      </c>
      <c r="G32">
        <f>COUNTIFS(Data!$U:$U,$A32,Data!$N:$N,0)</f>
        <v/>
      </c>
      <c r="H32">
        <f>IF($F32=0,"",$F32-$G32)</f>
        <v/>
      </c>
      <c r="I32">
        <f>IF($F32=0,"",SUMIFS(Data!$N:$N,Data!$U:$U,$A32))</f>
        <v/>
      </c>
      <c r="J32">
        <f>COUNTIFS(Data!$U:$U,$A32,Data!$Q:$Q,"&lt;&gt;")</f>
        <v/>
      </c>
      <c r="K32">
        <f>IF($J32=0,"",SUMIFS(Data!$Q:$Q,Data!$U:$U,$A32))</f>
        <v/>
      </c>
      <c r="L32">
        <f>COUNTIFS(Data!$U:$U,$A32,Data!$M:$M,"&lt;&gt;")</f>
        <v/>
      </c>
      <c r="M32">
        <f>IF($E32=0,"",IF($L32=0,"not loaded","loaded"))</f>
        <v/>
      </c>
      <c r="N32">
        <f>COUNTIFS(Data!$U:$U,$A32,Data!$I:$I,"&lt;&gt;")</f>
        <v/>
      </c>
      <c r="O32">
        <f>IF($E32=0,"",IF($L32=0,"No POS sales have been loaded for this date, so variance cannot be worked out. Import the sales report for this day and it fills in.",IF($N32=0,"This is the first count of these products, so there is no opening figure to sell down from. Variance starts from the next count.",IF($F32-$G32=0,"Physical and POS agree on every product.",($F32-$G32)&amp;" of "&amp;$F32&amp;" products disagree with the POS. Largest first below."))))</f>
        <v/>
      </c>
      <c r="R32" t="n">
        <v>30</v>
      </c>
      <c r="S32">
        <f>IFERROR(INDEX(Data!$G:$G,MATCH($R32,Data!$V:$V,0)),"")</f>
        <v/>
      </c>
      <c r="T32">
        <f>IF(COUNTIFS(Data!$V:$V,$R32,Data!$U:$U,1,Data!$N:$N,"&lt;&gt;")=0,"",SUMIFS(Data!$N:$N,Data!$V:$V,$R32,Data!$U:$U,1))</f>
        <v/>
      </c>
      <c r="U32">
        <f>IF(COUNTIFS(Data!$V:$V,$R32,Data!$U:$U,2,Data!$N:$N,"&lt;&gt;")=0,"",SUMIFS(Data!$N:$N,Data!$V:$V,$R32,Data!$U:$U,2))</f>
        <v/>
      </c>
      <c r="V32">
        <f>IF(COUNTIFS(Data!$V:$V,$R32,Data!$U:$U,3,Data!$N:$N,"&lt;&gt;")=0,"",SUMIFS(Data!$N:$N,Data!$V:$V,$R32,Data!$U:$U,3))</f>
        <v/>
      </c>
      <c r="W32">
        <f>IF(COUNTIFS(Data!$V:$V,$R32,Data!$U:$U,4,Data!$N:$N,"&lt;&gt;")=0,"",SUMIFS(Data!$N:$N,Data!$V:$V,$R32,Data!$U:$U,4))</f>
        <v/>
      </c>
      <c r="X32">
        <f>IF(COUNTIFS(Data!$V:$V,$R32,Data!$U:$U,5,Data!$N:$N,"&lt;&gt;")=0,"",SUMIFS(Data!$N:$N,Data!$V:$V,$R32,Data!$U:$U,5))</f>
        <v/>
      </c>
      <c r="Y32">
        <f>IF(COUNTIFS(Data!$V:$V,$R32,Data!$U:$U,6,Data!$N:$N,"&lt;&gt;")=0,"",SUMIFS(Data!$N:$N,Data!$V:$V,$R32,Data!$U:$U,6))</f>
        <v/>
      </c>
      <c r="Z32">
        <f>IF(COUNTIFS(Data!$V:$V,$R32,Data!$U:$U,7,Data!$N:$N,"&lt;&gt;")=0,"",SUMIFS(Data!$N:$N,Data!$V:$V,$R32,Data!$U:$U,7))</f>
        <v/>
      </c>
      <c r="AA32">
        <f>IF(COUNTIFS(Data!$V:$V,$R32,Data!$U:$U,8,Data!$N:$N,"&lt;&gt;")=0,"",SUMIFS(Data!$N:$N,Data!$V:$V,$R32,Data!$U:$U,8))</f>
        <v/>
      </c>
      <c r="AB32">
        <f>IF(COUNTIFS(Data!$V:$V,$R32,Data!$U:$U,9,Data!$N:$N,"&lt;&gt;")=0,"",SUMIFS(Data!$N:$N,Data!$V:$V,$R32,Data!$U:$U,9))</f>
        <v/>
      </c>
      <c r="AC32">
        <f>IF(COUNTIFS(Data!$V:$V,$R32,Data!$U:$U,10,Data!$N:$N,"&lt;&gt;")=0,"",SUMIFS(Data!$N:$N,Data!$V:$V,$R32,Data!$U:$U,10))</f>
        <v/>
      </c>
      <c r="AD32">
        <f>IF(COUNTIFS(Data!$V:$V,$R32,Data!$U:$U,11,Data!$N:$N,"&lt;&gt;")=0,"",SUMIFS(Data!$N:$N,Data!$V:$V,$R32,Data!$U:$U,11))</f>
        <v/>
      </c>
      <c r="AE32">
        <f>IF(COUNTIFS(Data!$V:$V,$R32,Data!$U:$U,12,Data!$N:$N,"&lt;&gt;")=0,"",SUMIFS(Data!$N:$N,Data!$V:$V,$R32,Data!$U:$U,12))</f>
        <v/>
      </c>
      <c r="AF32">
        <f>IF(COUNTIFS(Data!$V:$V,$R32,Data!$U:$U,13,Data!$N:$N,"&lt;&gt;")=0,"",SUMIFS(Data!$N:$N,Data!$V:$V,$R32,Data!$U:$U,13))</f>
        <v/>
      </c>
      <c r="AG32">
        <f>IF(COUNTIFS(Data!$V:$V,$R32,Data!$U:$U,14,Data!$N:$N,"&lt;&gt;")=0,"",SUMIFS(Data!$N:$N,Data!$V:$V,$R32,Data!$U:$U,14))</f>
        <v/>
      </c>
      <c r="AH32">
        <f>COUNTIFS(Data!$V:$V,$R32,Data!$U:$U,"&lt;="&amp;14,Data!$N:$N,"&lt;&gt;")</f>
        <v/>
      </c>
      <c r="AI32">
        <f>COUNTIFS(Data!$V:$V,$R32,Data!$U:$U,"&lt;="&amp;14,Data!$N:$N,0)</f>
        <v/>
      </c>
      <c r="AJ32">
        <f>IF(AH32=0,"",AH32-AI32)</f>
        <v/>
      </c>
      <c r="AK32">
        <f>IF(AH32=0,"",SUMIFS(Data!$N:$N,Data!$V:$V,$R32,Data!$U:$U,"&lt;="&amp;14))</f>
        <v/>
      </c>
      <c r="AL32">
        <f>IF(AH32=0,"",IF(ABS(MAX(T32:AG32))&gt;=ABS(MIN(T32:AG32)),MAX(T32:AG32),MIN(T32:AG32)))</f>
        <v/>
      </c>
      <c r="AM32">
        <f>IF(AH32=0,-1,AJ32*100000+MIN(ABS(AK32),99999))</f>
        <v/>
      </c>
      <c r="AN32">
        <f>IF($S32="","",1+COUNTIFS($AM$3:$AM$122,"&gt;"&amp;AM32)+COUNTIFS($AM$3:$AM$122,AM32,$R$3:$R$122,"&lt;"&amp;$R32))</f>
        <v/>
      </c>
    </row>
    <row r="33">
      <c r="A33" t="n">
        <v>31</v>
      </c>
      <c r="B33" s="31">
        <f>IFERROR(IF(INDEX(Data!$B:$B,MATCH($A33,Data!$U:$U,0))="","",INDEX(Data!$B:$B,MATCH($A33,Data!$U:$U,0))),"")</f>
        <v/>
      </c>
      <c r="C33">
        <f>IFERROR(IF(INDEX(Data!$D:$D,MATCH($A33,Data!$U:$U,0))="","",INDEX(Data!$D:$D,MATCH($A33,Data!$U:$U,0))),"")</f>
        <v/>
      </c>
      <c r="D33" s="31">
        <f>IFERROR(IF(INDEX(Data!$O:$O,MATCH($A33,Data!$U:$U,0))="","",INDEX(Data!$O:$O,MATCH($A33,Data!$U:$U,0))),"")</f>
        <v/>
      </c>
      <c r="E33">
        <f>COUNTIFS(Data!$U:$U,$A33)</f>
        <v/>
      </c>
      <c r="F33">
        <f>COUNTIFS(Data!$U:$U,$A33,Data!$N:$N,"&lt;&gt;")</f>
        <v/>
      </c>
      <c r="G33">
        <f>COUNTIFS(Data!$U:$U,$A33,Data!$N:$N,0)</f>
        <v/>
      </c>
      <c r="H33">
        <f>IF($F33=0,"",$F33-$G33)</f>
        <v/>
      </c>
      <c r="I33">
        <f>IF($F33=0,"",SUMIFS(Data!$N:$N,Data!$U:$U,$A33))</f>
        <v/>
      </c>
      <c r="J33">
        <f>COUNTIFS(Data!$U:$U,$A33,Data!$Q:$Q,"&lt;&gt;")</f>
        <v/>
      </c>
      <c r="K33">
        <f>IF($J33=0,"",SUMIFS(Data!$Q:$Q,Data!$U:$U,$A33))</f>
        <v/>
      </c>
      <c r="L33">
        <f>COUNTIFS(Data!$U:$U,$A33,Data!$M:$M,"&lt;&gt;")</f>
        <v/>
      </c>
      <c r="M33">
        <f>IF($E33=0,"",IF($L33=0,"not loaded","loaded"))</f>
        <v/>
      </c>
      <c r="N33">
        <f>COUNTIFS(Data!$U:$U,$A33,Data!$I:$I,"&lt;&gt;")</f>
        <v/>
      </c>
      <c r="O33">
        <f>IF($E33=0,"",IF($L33=0,"No POS sales have been loaded for this date, so variance cannot be worked out. Import the sales report for this day and it fills in.",IF($N33=0,"This is the first count of these products, so there is no opening figure to sell down from. Variance starts from the next count.",IF($F33-$G33=0,"Physical and POS agree on every product.",($F33-$G33)&amp;" of "&amp;$F33&amp;" products disagree with the POS. Largest first below."))))</f>
        <v/>
      </c>
      <c r="R33" t="n">
        <v>31</v>
      </c>
      <c r="S33">
        <f>IFERROR(INDEX(Data!$G:$G,MATCH($R33,Data!$V:$V,0)),"")</f>
        <v/>
      </c>
      <c r="T33">
        <f>IF(COUNTIFS(Data!$V:$V,$R33,Data!$U:$U,1,Data!$N:$N,"&lt;&gt;")=0,"",SUMIFS(Data!$N:$N,Data!$V:$V,$R33,Data!$U:$U,1))</f>
        <v/>
      </c>
      <c r="U33">
        <f>IF(COUNTIFS(Data!$V:$V,$R33,Data!$U:$U,2,Data!$N:$N,"&lt;&gt;")=0,"",SUMIFS(Data!$N:$N,Data!$V:$V,$R33,Data!$U:$U,2))</f>
        <v/>
      </c>
      <c r="V33">
        <f>IF(COUNTIFS(Data!$V:$V,$R33,Data!$U:$U,3,Data!$N:$N,"&lt;&gt;")=0,"",SUMIFS(Data!$N:$N,Data!$V:$V,$R33,Data!$U:$U,3))</f>
        <v/>
      </c>
      <c r="W33">
        <f>IF(COUNTIFS(Data!$V:$V,$R33,Data!$U:$U,4,Data!$N:$N,"&lt;&gt;")=0,"",SUMIFS(Data!$N:$N,Data!$V:$V,$R33,Data!$U:$U,4))</f>
        <v/>
      </c>
      <c r="X33">
        <f>IF(COUNTIFS(Data!$V:$V,$R33,Data!$U:$U,5,Data!$N:$N,"&lt;&gt;")=0,"",SUMIFS(Data!$N:$N,Data!$V:$V,$R33,Data!$U:$U,5))</f>
        <v/>
      </c>
      <c r="Y33">
        <f>IF(COUNTIFS(Data!$V:$V,$R33,Data!$U:$U,6,Data!$N:$N,"&lt;&gt;")=0,"",SUMIFS(Data!$N:$N,Data!$V:$V,$R33,Data!$U:$U,6))</f>
        <v/>
      </c>
      <c r="Z33">
        <f>IF(COUNTIFS(Data!$V:$V,$R33,Data!$U:$U,7,Data!$N:$N,"&lt;&gt;")=0,"",SUMIFS(Data!$N:$N,Data!$V:$V,$R33,Data!$U:$U,7))</f>
        <v/>
      </c>
      <c r="AA33">
        <f>IF(COUNTIFS(Data!$V:$V,$R33,Data!$U:$U,8,Data!$N:$N,"&lt;&gt;")=0,"",SUMIFS(Data!$N:$N,Data!$V:$V,$R33,Data!$U:$U,8))</f>
        <v/>
      </c>
      <c r="AB33">
        <f>IF(COUNTIFS(Data!$V:$V,$R33,Data!$U:$U,9,Data!$N:$N,"&lt;&gt;")=0,"",SUMIFS(Data!$N:$N,Data!$V:$V,$R33,Data!$U:$U,9))</f>
        <v/>
      </c>
      <c r="AC33">
        <f>IF(COUNTIFS(Data!$V:$V,$R33,Data!$U:$U,10,Data!$N:$N,"&lt;&gt;")=0,"",SUMIFS(Data!$N:$N,Data!$V:$V,$R33,Data!$U:$U,10))</f>
        <v/>
      </c>
      <c r="AD33">
        <f>IF(COUNTIFS(Data!$V:$V,$R33,Data!$U:$U,11,Data!$N:$N,"&lt;&gt;")=0,"",SUMIFS(Data!$N:$N,Data!$V:$V,$R33,Data!$U:$U,11))</f>
        <v/>
      </c>
      <c r="AE33">
        <f>IF(COUNTIFS(Data!$V:$V,$R33,Data!$U:$U,12,Data!$N:$N,"&lt;&gt;")=0,"",SUMIFS(Data!$N:$N,Data!$V:$V,$R33,Data!$U:$U,12))</f>
        <v/>
      </c>
      <c r="AF33">
        <f>IF(COUNTIFS(Data!$V:$V,$R33,Data!$U:$U,13,Data!$N:$N,"&lt;&gt;")=0,"",SUMIFS(Data!$N:$N,Data!$V:$V,$R33,Data!$U:$U,13))</f>
        <v/>
      </c>
      <c r="AG33">
        <f>IF(COUNTIFS(Data!$V:$V,$R33,Data!$U:$U,14,Data!$N:$N,"&lt;&gt;")=0,"",SUMIFS(Data!$N:$N,Data!$V:$V,$R33,Data!$U:$U,14))</f>
        <v/>
      </c>
      <c r="AH33">
        <f>COUNTIFS(Data!$V:$V,$R33,Data!$U:$U,"&lt;="&amp;14,Data!$N:$N,"&lt;&gt;")</f>
        <v/>
      </c>
      <c r="AI33">
        <f>COUNTIFS(Data!$V:$V,$R33,Data!$U:$U,"&lt;="&amp;14,Data!$N:$N,0)</f>
        <v/>
      </c>
      <c r="AJ33">
        <f>IF(AH33=0,"",AH33-AI33)</f>
        <v/>
      </c>
      <c r="AK33">
        <f>IF(AH33=0,"",SUMIFS(Data!$N:$N,Data!$V:$V,$R33,Data!$U:$U,"&lt;="&amp;14))</f>
        <v/>
      </c>
      <c r="AL33">
        <f>IF(AH33=0,"",IF(ABS(MAX(T33:AG33))&gt;=ABS(MIN(T33:AG33)),MAX(T33:AG33),MIN(T33:AG33)))</f>
        <v/>
      </c>
      <c r="AM33">
        <f>IF(AH33=0,-1,AJ33*100000+MIN(ABS(AK33),99999))</f>
        <v/>
      </c>
      <c r="AN33">
        <f>IF($S33="","",1+COUNTIFS($AM$3:$AM$122,"&gt;"&amp;AM33)+COUNTIFS($AM$3:$AM$122,AM33,$R$3:$R$122,"&lt;"&amp;$R33))</f>
        <v/>
      </c>
    </row>
    <row r="34">
      <c r="A34" t="n">
        <v>32</v>
      </c>
      <c r="B34" s="31">
        <f>IFERROR(IF(INDEX(Data!$B:$B,MATCH($A34,Data!$U:$U,0))="","",INDEX(Data!$B:$B,MATCH($A34,Data!$U:$U,0))),"")</f>
        <v/>
      </c>
      <c r="C34">
        <f>IFERROR(IF(INDEX(Data!$D:$D,MATCH($A34,Data!$U:$U,0))="","",INDEX(Data!$D:$D,MATCH($A34,Data!$U:$U,0))),"")</f>
        <v/>
      </c>
      <c r="D34" s="31">
        <f>IFERROR(IF(INDEX(Data!$O:$O,MATCH($A34,Data!$U:$U,0))="","",INDEX(Data!$O:$O,MATCH($A34,Data!$U:$U,0))),"")</f>
        <v/>
      </c>
      <c r="E34">
        <f>COUNTIFS(Data!$U:$U,$A34)</f>
        <v/>
      </c>
      <c r="F34">
        <f>COUNTIFS(Data!$U:$U,$A34,Data!$N:$N,"&lt;&gt;")</f>
        <v/>
      </c>
      <c r="G34">
        <f>COUNTIFS(Data!$U:$U,$A34,Data!$N:$N,0)</f>
        <v/>
      </c>
      <c r="H34">
        <f>IF($F34=0,"",$F34-$G34)</f>
        <v/>
      </c>
      <c r="I34">
        <f>IF($F34=0,"",SUMIFS(Data!$N:$N,Data!$U:$U,$A34))</f>
        <v/>
      </c>
      <c r="J34">
        <f>COUNTIFS(Data!$U:$U,$A34,Data!$Q:$Q,"&lt;&gt;")</f>
        <v/>
      </c>
      <c r="K34">
        <f>IF($J34=0,"",SUMIFS(Data!$Q:$Q,Data!$U:$U,$A34))</f>
        <v/>
      </c>
      <c r="L34">
        <f>COUNTIFS(Data!$U:$U,$A34,Data!$M:$M,"&lt;&gt;")</f>
        <v/>
      </c>
      <c r="M34">
        <f>IF($E34=0,"",IF($L34=0,"not loaded","loaded"))</f>
        <v/>
      </c>
      <c r="N34">
        <f>COUNTIFS(Data!$U:$U,$A34,Data!$I:$I,"&lt;&gt;")</f>
        <v/>
      </c>
      <c r="O34">
        <f>IF($E34=0,"",IF($L34=0,"No POS sales have been loaded for this date, so variance cannot be worked out. Import the sales report for this day and it fills in.",IF($N34=0,"This is the first count of these products, so there is no opening figure to sell down from. Variance starts from the next count.",IF($F34-$G34=0,"Physical and POS agree on every product.",($F34-$G34)&amp;" of "&amp;$F34&amp;" products disagree with the POS. Largest first below."))))</f>
        <v/>
      </c>
      <c r="R34" t="n">
        <v>32</v>
      </c>
      <c r="S34">
        <f>IFERROR(INDEX(Data!$G:$G,MATCH($R34,Data!$V:$V,0)),"")</f>
        <v/>
      </c>
      <c r="T34">
        <f>IF(COUNTIFS(Data!$V:$V,$R34,Data!$U:$U,1,Data!$N:$N,"&lt;&gt;")=0,"",SUMIFS(Data!$N:$N,Data!$V:$V,$R34,Data!$U:$U,1))</f>
        <v/>
      </c>
      <c r="U34">
        <f>IF(COUNTIFS(Data!$V:$V,$R34,Data!$U:$U,2,Data!$N:$N,"&lt;&gt;")=0,"",SUMIFS(Data!$N:$N,Data!$V:$V,$R34,Data!$U:$U,2))</f>
        <v/>
      </c>
      <c r="V34">
        <f>IF(COUNTIFS(Data!$V:$V,$R34,Data!$U:$U,3,Data!$N:$N,"&lt;&gt;")=0,"",SUMIFS(Data!$N:$N,Data!$V:$V,$R34,Data!$U:$U,3))</f>
        <v/>
      </c>
      <c r="W34">
        <f>IF(COUNTIFS(Data!$V:$V,$R34,Data!$U:$U,4,Data!$N:$N,"&lt;&gt;")=0,"",SUMIFS(Data!$N:$N,Data!$V:$V,$R34,Data!$U:$U,4))</f>
        <v/>
      </c>
      <c r="X34">
        <f>IF(COUNTIFS(Data!$V:$V,$R34,Data!$U:$U,5,Data!$N:$N,"&lt;&gt;")=0,"",SUMIFS(Data!$N:$N,Data!$V:$V,$R34,Data!$U:$U,5))</f>
        <v/>
      </c>
      <c r="Y34">
        <f>IF(COUNTIFS(Data!$V:$V,$R34,Data!$U:$U,6,Data!$N:$N,"&lt;&gt;")=0,"",SUMIFS(Data!$N:$N,Data!$V:$V,$R34,Data!$U:$U,6))</f>
        <v/>
      </c>
      <c r="Z34">
        <f>IF(COUNTIFS(Data!$V:$V,$R34,Data!$U:$U,7,Data!$N:$N,"&lt;&gt;")=0,"",SUMIFS(Data!$N:$N,Data!$V:$V,$R34,Data!$U:$U,7))</f>
        <v/>
      </c>
      <c r="AA34">
        <f>IF(COUNTIFS(Data!$V:$V,$R34,Data!$U:$U,8,Data!$N:$N,"&lt;&gt;")=0,"",SUMIFS(Data!$N:$N,Data!$V:$V,$R34,Data!$U:$U,8))</f>
        <v/>
      </c>
      <c r="AB34">
        <f>IF(COUNTIFS(Data!$V:$V,$R34,Data!$U:$U,9,Data!$N:$N,"&lt;&gt;")=0,"",SUMIFS(Data!$N:$N,Data!$V:$V,$R34,Data!$U:$U,9))</f>
        <v/>
      </c>
      <c r="AC34">
        <f>IF(COUNTIFS(Data!$V:$V,$R34,Data!$U:$U,10,Data!$N:$N,"&lt;&gt;")=0,"",SUMIFS(Data!$N:$N,Data!$V:$V,$R34,Data!$U:$U,10))</f>
        <v/>
      </c>
      <c r="AD34">
        <f>IF(COUNTIFS(Data!$V:$V,$R34,Data!$U:$U,11,Data!$N:$N,"&lt;&gt;")=0,"",SUMIFS(Data!$N:$N,Data!$V:$V,$R34,Data!$U:$U,11))</f>
        <v/>
      </c>
      <c r="AE34">
        <f>IF(COUNTIFS(Data!$V:$V,$R34,Data!$U:$U,12,Data!$N:$N,"&lt;&gt;")=0,"",SUMIFS(Data!$N:$N,Data!$V:$V,$R34,Data!$U:$U,12))</f>
        <v/>
      </c>
      <c r="AF34">
        <f>IF(COUNTIFS(Data!$V:$V,$R34,Data!$U:$U,13,Data!$N:$N,"&lt;&gt;")=0,"",SUMIFS(Data!$N:$N,Data!$V:$V,$R34,Data!$U:$U,13))</f>
        <v/>
      </c>
      <c r="AG34">
        <f>IF(COUNTIFS(Data!$V:$V,$R34,Data!$U:$U,14,Data!$N:$N,"&lt;&gt;")=0,"",SUMIFS(Data!$N:$N,Data!$V:$V,$R34,Data!$U:$U,14))</f>
        <v/>
      </c>
      <c r="AH34">
        <f>COUNTIFS(Data!$V:$V,$R34,Data!$U:$U,"&lt;="&amp;14,Data!$N:$N,"&lt;&gt;")</f>
        <v/>
      </c>
      <c r="AI34">
        <f>COUNTIFS(Data!$V:$V,$R34,Data!$U:$U,"&lt;="&amp;14,Data!$N:$N,0)</f>
        <v/>
      </c>
      <c r="AJ34">
        <f>IF(AH34=0,"",AH34-AI34)</f>
        <v/>
      </c>
      <c r="AK34">
        <f>IF(AH34=0,"",SUMIFS(Data!$N:$N,Data!$V:$V,$R34,Data!$U:$U,"&lt;="&amp;14))</f>
        <v/>
      </c>
      <c r="AL34">
        <f>IF(AH34=0,"",IF(ABS(MAX(T34:AG34))&gt;=ABS(MIN(T34:AG34)),MAX(T34:AG34),MIN(T34:AG34)))</f>
        <v/>
      </c>
      <c r="AM34">
        <f>IF(AH34=0,-1,AJ34*100000+MIN(ABS(AK34),99999))</f>
        <v/>
      </c>
      <c r="AN34">
        <f>IF($S34="","",1+COUNTIFS($AM$3:$AM$122,"&gt;"&amp;AM34)+COUNTIFS($AM$3:$AM$122,AM34,$R$3:$R$122,"&lt;"&amp;$R34))</f>
        <v/>
      </c>
    </row>
    <row r="35">
      <c r="A35" t="n">
        <v>33</v>
      </c>
      <c r="B35" s="31">
        <f>IFERROR(IF(INDEX(Data!$B:$B,MATCH($A35,Data!$U:$U,0))="","",INDEX(Data!$B:$B,MATCH($A35,Data!$U:$U,0))),"")</f>
        <v/>
      </c>
      <c r="C35">
        <f>IFERROR(IF(INDEX(Data!$D:$D,MATCH($A35,Data!$U:$U,0))="","",INDEX(Data!$D:$D,MATCH($A35,Data!$U:$U,0))),"")</f>
        <v/>
      </c>
      <c r="D35" s="31">
        <f>IFERROR(IF(INDEX(Data!$O:$O,MATCH($A35,Data!$U:$U,0))="","",INDEX(Data!$O:$O,MATCH($A35,Data!$U:$U,0))),"")</f>
        <v/>
      </c>
      <c r="E35">
        <f>COUNTIFS(Data!$U:$U,$A35)</f>
        <v/>
      </c>
      <c r="F35">
        <f>COUNTIFS(Data!$U:$U,$A35,Data!$N:$N,"&lt;&gt;")</f>
        <v/>
      </c>
      <c r="G35">
        <f>COUNTIFS(Data!$U:$U,$A35,Data!$N:$N,0)</f>
        <v/>
      </c>
      <c r="H35">
        <f>IF($F35=0,"",$F35-$G35)</f>
        <v/>
      </c>
      <c r="I35">
        <f>IF($F35=0,"",SUMIFS(Data!$N:$N,Data!$U:$U,$A35))</f>
        <v/>
      </c>
      <c r="J35">
        <f>COUNTIFS(Data!$U:$U,$A35,Data!$Q:$Q,"&lt;&gt;")</f>
        <v/>
      </c>
      <c r="K35">
        <f>IF($J35=0,"",SUMIFS(Data!$Q:$Q,Data!$U:$U,$A35))</f>
        <v/>
      </c>
      <c r="L35">
        <f>COUNTIFS(Data!$U:$U,$A35,Data!$M:$M,"&lt;&gt;")</f>
        <v/>
      </c>
      <c r="M35">
        <f>IF($E35=0,"",IF($L35=0,"not loaded","loaded"))</f>
        <v/>
      </c>
      <c r="N35">
        <f>COUNTIFS(Data!$U:$U,$A35,Data!$I:$I,"&lt;&gt;")</f>
        <v/>
      </c>
      <c r="O35">
        <f>IF($E35=0,"",IF($L35=0,"No POS sales have been loaded for this date, so variance cannot be worked out. Import the sales report for this day and it fills in.",IF($N35=0,"This is the first count of these products, so there is no opening figure to sell down from. Variance starts from the next count.",IF($F35-$G35=0,"Physical and POS agree on every product.",($F35-$G35)&amp;" of "&amp;$F35&amp;" products disagree with the POS. Largest first below."))))</f>
        <v/>
      </c>
      <c r="R35" t="n">
        <v>33</v>
      </c>
      <c r="S35">
        <f>IFERROR(INDEX(Data!$G:$G,MATCH($R35,Data!$V:$V,0)),"")</f>
        <v/>
      </c>
      <c r="T35">
        <f>IF(COUNTIFS(Data!$V:$V,$R35,Data!$U:$U,1,Data!$N:$N,"&lt;&gt;")=0,"",SUMIFS(Data!$N:$N,Data!$V:$V,$R35,Data!$U:$U,1))</f>
        <v/>
      </c>
      <c r="U35">
        <f>IF(COUNTIFS(Data!$V:$V,$R35,Data!$U:$U,2,Data!$N:$N,"&lt;&gt;")=0,"",SUMIFS(Data!$N:$N,Data!$V:$V,$R35,Data!$U:$U,2))</f>
        <v/>
      </c>
      <c r="V35">
        <f>IF(COUNTIFS(Data!$V:$V,$R35,Data!$U:$U,3,Data!$N:$N,"&lt;&gt;")=0,"",SUMIFS(Data!$N:$N,Data!$V:$V,$R35,Data!$U:$U,3))</f>
        <v/>
      </c>
      <c r="W35">
        <f>IF(COUNTIFS(Data!$V:$V,$R35,Data!$U:$U,4,Data!$N:$N,"&lt;&gt;")=0,"",SUMIFS(Data!$N:$N,Data!$V:$V,$R35,Data!$U:$U,4))</f>
        <v/>
      </c>
      <c r="X35">
        <f>IF(COUNTIFS(Data!$V:$V,$R35,Data!$U:$U,5,Data!$N:$N,"&lt;&gt;")=0,"",SUMIFS(Data!$N:$N,Data!$V:$V,$R35,Data!$U:$U,5))</f>
        <v/>
      </c>
      <c r="Y35">
        <f>IF(COUNTIFS(Data!$V:$V,$R35,Data!$U:$U,6,Data!$N:$N,"&lt;&gt;")=0,"",SUMIFS(Data!$N:$N,Data!$V:$V,$R35,Data!$U:$U,6))</f>
        <v/>
      </c>
      <c r="Z35">
        <f>IF(COUNTIFS(Data!$V:$V,$R35,Data!$U:$U,7,Data!$N:$N,"&lt;&gt;")=0,"",SUMIFS(Data!$N:$N,Data!$V:$V,$R35,Data!$U:$U,7))</f>
        <v/>
      </c>
      <c r="AA35">
        <f>IF(COUNTIFS(Data!$V:$V,$R35,Data!$U:$U,8,Data!$N:$N,"&lt;&gt;")=0,"",SUMIFS(Data!$N:$N,Data!$V:$V,$R35,Data!$U:$U,8))</f>
        <v/>
      </c>
      <c r="AB35">
        <f>IF(COUNTIFS(Data!$V:$V,$R35,Data!$U:$U,9,Data!$N:$N,"&lt;&gt;")=0,"",SUMIFS(Data!$N:$N,Data!$V:$V,$R35,Data!$U:$U,9))</f>
        <v/>
      </c>
      <c r="AC35">
        <f>IF(COUNTIFS(Data!$V:$V,$R35,Data!$U:$U,10,Data!$N:$N,"&lt;&gt;")=0,"",SUMIFS(Data!$N:$N,Data!$V:$V,$R35,Data!$U:$U,10))</f>
        <v/>
      </c>
      <c r="AD35">
        <f>IF(COUNTIFS(Data!$V:$V,$R35,Data!$U:$U,11,Data!$N:$N,"&lt;&gt;")=0,"",SUMIFS(Data!$N:$N,Data!$V:$V,$R35,Data!$U:$U,11))</f>
        <v/>
      </c>
      <c r="AE35">
        <f>IF(COUNTIFS(Data!$V:$V,$R35,Data!$U:$U,12,Data!$N:$N,"&lt;&gt;")=0,"",SUMIFS(Data!$N:$N,Data!$V:$V,$R35,Data!$U:$U,12))</f>
        <v/>
      </c>
      <c r="AF35">
        <f>IF(COUNTIFS(Data!$V:$V,$R35,Data!$U:$U,13,Data!$N:$N,"&lt;&gt;")=0,"",SUMIFS(Data!$N:$N,Data!$V:$V,$R35,Data!$U:$U,13))</f>
        <v/>
      </c>
      <c r="AG35">
        <f>IF(COUNTIFS(Data!$V:$V,$R35,Data!$U:$U,14,Data!$N:$N,"&lt;&gt;")=0,"",SUMIFS(Data!$N:$N,Data!$V:$V,$R35,Data!$U:$U,14))</f>
        <v/>
      </c>
      <c r="AH35">
        <f>COUNTIFS(Data!$V:$V,$R35,Data!$U:$U,"&lt;="&amp;14,Data!$N:$N,"&lt;&gt;")</f>
        <v/>
      </c>
      <c r="AI35">
        <f>COUNTIFS(Data!$V:$V,$R35,Data!$U:$U,"&lt;="&amp;14,Data!$N:$N,0)</f>
        <v/>
      </c>
      <c r="AJ35">
        <f>IF(AH35=0,"",AH35-AI35)</f>
        <v/>
      </c>
      <c r="AK35">
        <f>IF(AH35=0,"",SUMIFS(Data!$N:$N,Data!$V:$V,$R35,Data!$U:$U,"&lt;="&amp;14))</f>
        <v/>
      </c>
      <c r="AL35">
        <f>IF(AH35=0,"",IF(ABS(MAX(T35:AG35))&gt;=ABS(MIN(T35:AG35)),MAX(T35:AG35),MIN(T35:AG35)))</f>
        <v/>
      </c>
      <c r="AM35">
        <f>IF(AH35=0,-1,AJ35*100000+MIN(ABS(AK35),99999))</f>
        <v/>
      </c>
      <c r="AN35">
        <f>IF($S35="","",1+COUNTIFS($AM$3:$AM$122,"&gt;"&amp;AM35)+COUNTIFS($AM$3:$AM$122,AM35,$R$3:$R$122,"&lt;"&amp;$R35))</f>
        <v/>
      </c>
    </row>
    <row r="36">
      <c r="A36" t="n">
        <v>34</v>
      </c>
      <c r="B36" s="31">
        <f>IFERROR(IF(INDEX(Data!$B:$B,MATCH($A36,Data!$U:$U,0))="","",INDEX(Data!$B:$B,MATCH($A36,Data!$U:$U,0))),"")</f>
        <v/>
      </c>
      <c r="C36">
        <f>IFERROR(IF(INDEX(Data!$D:$D,MATCH($A36,Data!$U:$U,0))="","",INDEX(Data!$D:$D,MATCH($A36,Data!$U:$U,0))),"")</f>
        <v/>
      </c>
      <c r="D36" s="31">
        <f>IFERROR(IF(INDEX(Data!$O:$O,MATCH($A36,Data!$U:$U,0))="","",INDEX(Data!$O:$O,MATCH($A36,Data!$U:$U,0))),"")</f>
        <v/>
      </c>
      <c r="E36">
        <f>COUNTIFS(Data!$U:$U,$A36)</f>
        <v/>
      </c>
      <c r="F36">
        <f>COUNTIFS(Data!$U:$U,$A36,Data!$N:$N,"&lt;&gt;")</f>
        <v/>
      </c>
      <c r="G36">
        <f>COUNTIFS(Data!$U:$U,$A36,Data!$N:$N,0)</f>
        <v/>
      </c>
      <c r="H36">
        <f>IF($F36=0,"",$F36-$G36)</f>
        <v/>
      </c>
      <c r="I36">
        <f>IF($F36=0,"",SUMIFS(Data!$N:$N,Data!$U:$U,$A36))</f>
        <v/>
      </c>
      <c r="J36">
        <f>COUNTIFS(Data!$U:$U,$A36,Data!$Q:$Q,"&lt;&gt;")</f>
        <v/>
      </c>
      <c r="K36">
        <f>IF($J36=0,"",SUMIFS(Data!$Q:$Q,Data!$U:$U,$A36))</f>
        <v/>
      </c>
      <c r="L36">
        <f>COUNTIFS(Data!$U:$U,$A36,Data!$M:$M,"&lt;&gt;")</f>
        <v/>
      </c>
      <c r="M36">
        <f>IF($E36=0,"",IF($L36=0,"not loaded","loaded"))</f>
        <v/>
      </c>
      <c r="N36">
        <f>COUNTIFS(Data!$U:$U,$A36,Data!$I:$I,"&lt;&gt;")</f>
        <v/>
      </c>
      <c r="O36">
        <f>IF($E36=0,"",IF($L36=0,"No POS sales have been loaded for this date, so variance cannot be worked out. Import the sales report for this day and it fills in.",IF($N36=0,"This is the first count of these products, so there is no opening figure to sell down from. Variance starts from the next count.",IF($F36-$G36=0,"Physical and POS agree on every product.",($F36-$G36)&amp;" of "&amp;$F36&amp;" products disagree with the POS. Largest first below."))))</f>
        <v/>
      </c>
      <c r="R36" t="n">
        <v>34</v>
      </c>
      <c r="S36">
        <f>IFERROR(INDEX(Data!$G:$G,MATCH($R36,Data!$V:$V,0)),"")</f>
        <v/>
      </c>
      <c r="T36">
        <f>IF(COUNTIFS(Data!$V:$V,$R36,Data!$U:$U,1,Data!$N:$N,"&lt;&gt;")=0,"",SUMIFS(Data!$N:$N,Data!$V:$V,$R36,Data!$U:$U,1))</f>
        <v/>
      </c>
      <c r="U36">
        <f>IF(COUNTIFS(Data!$V:$V,$R36,Data!$U:$U,2,Data!$N:$N,"&lt;&gt;")=0,"",SUMIFS(Data!$N:$N,Data!$V:$V,$R36,Data!$U:$U,2))</f>
        <v/>
      </c>
      <c r="V36">
        <f>IF(COUNTIFS(Data!$V:$V,$R36,Data!$U:$U,3,Data!$N:$N,"&lt;&gt;")=0,"",SUMIFS(Data!$N:$N,Data!$V:$V,$R36,Data!$U:$U,3))</f>
        <v/>
      </c>
      <c r="W36">
        <f>IF(COUNTIFS(Data!$V:$V,$R36,Data!$U:$U,4,Data!$N:$N,"&lt;&gt;")=0,"",SUMIFS(Data!$N:$N,Data!$V:$V,$R36,Data!$U:$U,4))</f>
        <v/>
      </c>
      <c r="X36">
        <f>IF(COUNTIFS(Data!$V:$V,$R36,Data!$U:$U,5,Data!$N:$N,"&lt;&gt;")=0,"",SUMIFS(Data!$N:$N,Data!$V:$V,$R36,Data!$U:$U,5))</f>
        <v/>
      </c>
      <c r="Y36">
        <f>IF(COUNTIFS(Data!$V:$V,$R36,Data!$U:$U,6,Data!$N:$N,"&lt;&gt;")=0,"",SUMIFS(Data!$N:$N,Data!$V:$V,$R36,Data!$U:$U,6))</f>
        <v/>
      </c>
      <c r="Z36">
        <f>IF(COUNTIFS(Data!$V:$V,$R36,Data!$U:$U,7,Data!$N:$N,"&lt;&gt;")=0,"",SUMIFS(Data!$N:$N,Data!$V:$V,$R36,Data!$U:$U,7))</f>
        <v/>
      </c>
      <c r="AA36">
        <f>IF(COUNTIFS(Data!$V:$V,$R36,Data!$U:$U,8,Data!$N:$N,"&lt;&gt;")=0,"",SUMIFS(Data!$N:$N,Data!$V:$V,$R36,Data!$U:$U,8))</f>
        <v/>
      </c>
      <c r="AB36">
        <f>IF(COUNTIFS(Data!$V:$V,$R36,Data!$U:$U,9,Data!$N:$N,"&lt;&gt;")=0,"",SUMIFS(Data!$N:$N,Data!$V:$V,$R36,Data!$U:$U,9))</f>
        <v/>
      </c>
      <c r="AC36">
        <f>IF(COUNTIFS(Data!$V:$V,$R36,Data!$U:$U,10,Data!$N:$N,"&lt;&gt;")=0,"",SUMIFS(Data!$N:$N,Data!$V:$V,$R36,Data!$U:$U,10))</f>
        <v/>
      </c>
      <c r="AD36">
        <f>IF(COUNTIFS(Data!$V:$V,$R36,Data!$U:$U,11,Data!$N:$N,"&lt;&gt;")=0,"",SUMIFS(Data!$N:$N,Data!$V:$V,$R36,Data!$U:$U,11))</f>
        <v/>
      </c>
      <c r="AE36">
        <f>IF(COUNTIFS(Data!$V:$V,$R36,Data!$U:$U,12,Data!$N:$N,"&lt;&gt;")=0,"",SUMIFS(Data!$N:$N,Data!$V:$V,$R36,Data!$U:$U,12))</f>
        <v/>
      </c>
      <c r="AF36">
        <f>IF(COUNTIFS(Data!$V:$V,$R36,Data!$U:$U,13,Data!$N:$N,"&lt;&gt;")=0,"",SUMIFS(Data!$N:$N,Data!$V:$V,$R36,Data!$U:$U,13))</f>
        <v/>
      </c>
      <c r="AG36">
        <f>IF(COUNTIFS(Data!$V:$V,$R36,Data!$U:$U,14,Data!$N:$N,"&lt;&gt;")=0,"",SUMIFS(Data!$N:$N,Data!$V:$V,$R36,Data!$U:$U,14))</f>
        <v/>
      </c>
      <c r="AH36">
        <f>COUNTIFS(Data!$V:$V,$R36,Data!$U:$U,"&lt;="&amp;14,Data!$N:$N,"&lt;&gt;")</f>
        <v/>
      </c>
      <c r="AI36">
        <f>COUNTIFS(Data!$V:$V,$R36,Data!$U:$U,"&lt;="&amp;14,Data!$N:$N,0)</f>
        <v/>
      </c>
      <c r="AJ36">
        <f>IF(AH36=0,"",AH36-AI36)</f>
        <v/>
      </c>
      <c r="AK36">
        <f>IF(AH36=0,"",SUMIFS(Data!$N:$N,Data!$V:$V,$R36,Data!$U:$U,"&lt;="&amp;14))</f>
        <v/>
      </c>
      <c r="AL36">
        <f>IF(AH36=0,"",IF(ABS(MAX(T36:AG36))&gt;=ABS(MIN(T36:AG36)),MAX(T36:AG36),MIN(T36:AG36)))</f>
        <v/>
      </c>
      <c r="AM36">
        <f>IF(AH36=0,-1,AJ36*100000+MIN(ABS(AK36),99999))</f>
        <v/>
      </c>
      <c r="AN36">
        <f>IF($S36="","",1+COUNTIFS($AM$3:$AM$122,"&gt;"&amp;AM36)+COUNTIFS($AM$3:$AM$122,AM36,$R$3:$R$122,"&lt;"&amp;$R36))</f>
        <v/>
      </c>
    </row>
    <row r="37">
      <c r="A37" t="n">
        <v>35</v>
      </c>
      <c r="B37" s="31">
        <f>IFERROR(IF(INDEX(Data!$B:$B,MATCH($A37,Data!$U:$U,0))="","",INDEX(Data!$B:$B,MATCH($A37,Data!$U:$U,0))),"")</f>
        <v/>
      </c>
      <c r="C37">
        <f>IFERROR(IF(INDEX(Data!$D:$D,MATCH($A37,Data!$U:$U,0))="","",INDEX(Data!$D:$D,MATCH($A37,Data!$U:$U,0))),"")</f>
        <v/>
      </c>
      <c r="D37" s="31">
        <f>IFERROR(IF(INDEX(Data!$O:$O,MATCH($A37,Data!$U:$U,0))="","",INDEX(Data!$O:$O,MATCH($A37,Data!$U:$U,0))),"")</f>
        <v/>
      </c>
      <c r="E37">
        <f>COUNTIFS(Data!$U:$U,$A37)</f>
        <v/>
      </c>
      <c r="F37">
        <f>COUNTIFS(Data!$U:$U,$A37,Data!$N:$N,"&lt;&gt;")</f>
        <v/>
      </c>
      <c r="G37">
        <f>COUNTIFS(Data!$U:$U,$A37,Data!$N:$N,0)</f>
        <v/>
      </c>
      <c r="H37">
        <f>IF($F37=0,"",$F37-$G37)</f>
        <v/>
      </c>
      <c r="I37">
        <f>IF($F37=0,"",SUMIFS(Data!$N:$N,Data!$U:$U,$A37))</f>
        <v/>
      </c>
      <c r="J37">
        <f>COUNTIFS(Data!$U:$U,$A37,Data!$Q:$Q,"&lt;&gt;")</f>
        <v/>
      </c>
      <c r="K37">
        <f>IF($J37=0,"",SUMIFS(Data!$Q:$Q,Data!$U:$U,$A37))</f>
        <v/>
      </c>
      <c r="L37">
        <f>COUNTIFS(Data!$U:$U,$A37,Data!$M:$M,"&lt;&gt;")</f>
        <v/>
      </c>
      <c r="M37">
        <f>IF($E37=0,"",IF($L37=0,"not loaded","loaded"))</f>
        <v/>
      </c>
      <c r="N37">
        <f>COUNTIFS(Data!$U:$U,$A37,Data!$I:$I,"&lt;&gt;")</f>
        <v/>
      </c>
      <c r="O37">
        <f>IF($E37=0,"",IF($L37=0,"No POS sales have been loaded for this date, so variance cannot be worked out. Import the sales report for this day and it fills in.",IF($N37=0,"This is the first count of these products, so there is no opening figure to sell down from. Variance starts from the next count.",IF($F37-$G37=0,"Physical and POS agree on every product.",($F37-$G37)&amp;" of "&amp;$F37&amp;" products disagree with the POS. Largest first below."))))</f>
        <v/>
      </c>
      <c r="R37" t="n">
        <v>35</v>
      </c>
      <c r="S37">
        <f>IFERROR(INDEX(Data!$G:$G,MATCH($R37,Data!$V:$V,0)),"")</f>
        <v/>
      </c>
      <c r="T37">
        <f>IF(COUNTIFS(Data!$V:$V,$R37,Data!$U:$U,1,Data!$N:$N,"&lt;&gt;")=0,"",SUMIFS(Data!$N:$N,Data!$V:$V,$R37,Data!$U:$U,1))</f>
        <v/>
      </c>
      <c r="U37">
        <f>IF(COUNTIFS(Data!$V:$V,$R37,Data!$U:$U,2,Data!$N:$N,"&lt;&gt;")=0,"",SUMIFS(Data!$N:$N,Data!$V:$V,$R37,Data!$U:$U,2))</f>
        <v/>
      </c>
      <c r="V37">
        <f>IF(COUNTIFS(Data!$V:$V,$R37,Data!$U:$U,3,Data!$N:$N,"&lt;&gt;")=0,"",SUMIFS(Data!$N:$N,Data!$V:$V,$R37,Data!$U:$U,3))</f>
        <v/>
      </c>
      <c r="W37">
        <f>IF(COUNTIFS(Data!$V:$V,$R37,Data!$U:$U,4,Data!$N:$N,"&lt;&gt;")=0,"",SUMIFS(Data!$N:$N,Data!$V:$V,$R37,Data!$U:$U,4))</f>
        <v/>
      </c>
      <c r="X37">
        <f>IF(COUNTIFS(Data!$V:$V,$R37,Data!$U:$U,5,Data!$N:$N,"&lt;&gt;")=0,"",SUMIFS(Data!$N:$N,Data!$V:$V,$R37,Data!$U:$U,5))</f>
        <v/>
      </c>
      <c r="Y37">
        <f>IF(COUNTIFS(Data!$V:$V,$R37,Data!$U:$U,6,Data!$N:$N,"&lt;&gt;")=0,"",SUMIFS(Data!$N:$N,Data!$V:$V,$R37,Data!$U:$U,6))</f>
        <v/>
      </c>
      <c r="Z37">
        <f>IF(COUNTIFS(Data!$V:$V,$R37,Data!$U:$U,7,Data!$N:$N,"&lt;&gt;")=0,"",SUMIFS(Data!$N:$N,Data!$V:$V,$R37,Data!$U:$U,7))</f>
        <v/>
      </c>
      <c r="AA37">
        <f>IF(COUNTIFS(Data!$V:$V,$R37,Data!$U:$U,8,Data!$N:$N,"&lt;&gt;")=0,"",SUMIFS(Data!$N:$N,Data!$V:$V,$R37,Data!$U:$U,8))</f>
        <v/>
      </c>
      <c r="AB37">
        <f>IF(COUNTIFS(Data!$V:$V,$R37,Data!$U:$U,9,Data!$N:$N,"&lt;&gt;")=0,"",SUMIFS(Data!$N:$N,Data!$V:$V,$R37,Data!$U:$U,9))</f>
        <v/>
      </c>
      <c r="AC37">
        <f>IF(COUNTIFS(Data!$V:$V,$R37,Data!$U:$U,10,Data!$N:$N,"&lt;&gt;")=0,"",SUMIFS(Data!$N:$N,Data!$V:$V,$R37,Data!$U:$U,10))</f>
        <v/>
      </c>
      <c r="AD37">
        <f>IF(COUNTIFS(Data!$V:$V,$R37,Data!$U:$U,11,Data!$N:$N,"&lt;&gt;")=0,"",SUMIFS(Data!$N:$N,Data!$V:$V,$R37,Data!$U:$U,11))</f>
        <v/>
      </c>
      <c r="AE37">
        <f>IF(COUNTIFS(Data!$V:$V,$R37,Data!$U:$U,12,Data!$N:$N,"&lt;&gt;")=0,"",SUMIFS(Data!$N:$N,Data!$V:$V,$R37,Data!$U:$U,12))</f>
        <v/>
      </c>
      <c r="AF37">
        <f>IF(COUNTIFS(Data!$V:$V,$R37,Data!$U:$U,13,Data!$N:$N,"&lt;&gt;")=0,"",SUMIFS(Data!$N:$N,Data!$V:$V,$R37,Data!$U:$U,13))</f>
        <v/>
      </c>
      <c r="AG37">
        <f>IF(COUNTIFS(Data!$V:$V,$R37,Data!$U:$U,14,Data!$N:$N,"&lt;&gt;")=0,"",SUMIFS(Data!$N:$N,Data!$V:$V,$R37,Data!$U:$U,14))</f>
        <v/>
      </c>
      <c r="AH37">
        <f>COUNTIFS(Data!$V:$V,$R37,Data!$U:$U,"&lt;="&amp;14,Data!$N:$N,"&lt;&gt;")</f>
        <v/>
      </c>
      <c r="AI37">
        <f>COUNTIFS(Data!$V:$V,$R37,Data!$U:$U,"&lt;="&amp;14,Data!$N:$N,0)</f>
        <v/>
      </c>
      <c r="AJ37">
        <f>IF(AH37=0,"",AH37-AI37)</f>
        <v/>
      </c>
      <c r="AK37">
        <f>IF(AH37=0,"",SUMIFS(Data!$N:$N,Data!$V:$V,$R37,Data!$U:$U,"&lt;="&amp;14))</f>
        <v/>
      </c>
      <c r="AL37">
        <f>IF(AH37=0,"",IF(ABS(MAX(T37:AG37))&gt;=ABS(MIN(T37:AG37)),MAX(T37:AG37),MIN(T37:AG37)))</f>
        <v/>
      </c>
      <c r="AM37">
        <f>IF(AH37=0,-1,AJ37*100000+MIN(ABS(AK37),99999))</f>
        <v/>
      </c>
      <c r="AN37">
        <f>IF($S37="","",1+COUNTIFS($AM$3:$AM$122,"&gt;"&amp;AM37)+COUNTIFS($AM$3:$AM$122,AM37,$R$3:$R$122,"&lt;"&amp;$R37))</f>
        <v/>
      </c>
    </row>
    <row r="38">
      <c r="A38" t="n">
        <v>36</v>
      </c>
      <c r="B38" s="31">
        <f>IFERROR(IF(INDEX(Data!$B:$B,MATCH($A38,Data!$U:$U,0))="","",INDEX(Data!$B:$B,MATCH($A38,Data!$U:$U,0))),"")</f>
        <v/>
      </c>
      <c r="C38">
        <f>IFERROR(IF(INDEX(Data!$D:$D,MATCH($A38,Data!$U:$U,0))="","",INDEX(Data!$D:$D,MATCH($A38,Data!$U:$U,0))),"")</f>
        <v/>
      </c>
      <c r="D38" s="31">
        <f>IFERROR(IF(INDEX(Data!$O:$O,MATCH($A38,Data!$U:$U,0))="","",INDEX(Data!$O:$O,MATCH($A38,Data!$U:$U,0))),"")</f>
        <v/>
      </c>
      <c r="E38">
        <f>COUNTIFS(Data!$U:$U,$A38)</f>
        <v/>
      </c>
      <c r="F38">
        <f>COUNTIFS(Data!$U:$U,$A38,Data!$N:$N,"&lt;&gt;")</f>
        <v/>
      </c>
      <c r="G38">
        <f>COUNTIFS(Data!$U:$U,$A38,Data!$N:$N,0)</f>
        <v/>
      </c>
      <c r="H38">
        <f>IF($F38=0,"",$F38-$G38)</f>
        <v/>
      </c>
      <c r="I38">
        <f>IF($F38=0,"",SUMIFS(Data!$N:$N,Data!$U:$U,$A38))</f>
        <v/>
      </c>
      <c r="J38">
        <f>COUNTIFS(Data!$U:$U,$A38,Data!$Q:$Q,"&lt;&gt;")</f>
        <v/>
      </c>
      <c r="K38">
        <f>IF($J38=0,"",SUMIFS(Data!$Q:$Q,Data!$U:$U,$A38))</f>
        <v/>
      </c>
      <c r="L38">
        <f>COUNTIFS(Data!$U:$U,$A38,Data!$M:$M,"&lt;&gt;")</f>
        <v/>
      </c>
      <c r="M38">
        <f>IF($E38=0,"",IF($L38=0,"not loaded","loaded"))</f>
        <v/>
      </c>
      <c r="N38">
        <f>COUNTIFS(Data!$U:$U,$A38,Data!$I:$I,"&lt;&gt;")</f>
        <v/>
      </c>
      <c r="O38">
        <f>IF($E38=0,"",IF($L38=0,"No POS sales have been loaded for this date, so variance cannot be worked out. Import the sales report for this day and it fills in.",IF($N38=0,"This is the first count of these products, so there is no opening figure to sell down from. Variance starts from the next count.",IF($F38-$G38=0,"Physical and POS agree on every product.",($F38-$G38)&amp;" of "&amp;$F38&amp;" products disagree with the POS. Largest first below."))))</f>
        <v/>
      </c>
      <c r="R38" t="n">
        <v>36</v>
      </c>
      <c r="S38">
        <f>IFERROR(INDEX(Data!$G:$G,MATCH($R38,Data!$V:$V,0)),"")</f>
        <v/>
      </c>
      <c r="T38">
        <f>IF(COUNTIFS(Data!$V:$V,$R38,Data!$U:$U,1,Data!$N:$N,"&lt;&gt;")=0,"",SUMIFS(Data!$N:$N,Data!$V:$V,$R38,Data!$U:$U,1))</f>
        <v/>
      </c>
      <c r="U38">
        <f>IF(COUNTIFS(Data!$V:$V,$R38,Data!$U:$U,2,Data!$N:$N,"&lt;&gt;")=0,"",SUMIFS(Data!$N:$N,Data!$V:$V,$R38,Data!$U:$U,2))</f>
        <v/>
      </c>
      <c r="V38">
        <f>IF(COUNTIFS(Data!$V:$V,$R38,Data!$U:$U,3,Data!$N:$N,"&lt;&gt;")=0,"",SUMIFS(Data!$N:$N,Data!$V:$V,$R38,Data!$U:$U,3))</f>
        <v/>
      </c>
      <c r="W38">
        <f>IF(COUNTIFS(Data!$V:$V,$R38,Data!$U:$U,4,Data!$N:$N,"&lt;&gt;")=0,"",SUMIFS(Data!$N:$N,Data!$V:$V,$R38,Data!$U:$U,4))</f>
        <v/>
      </c>
      <c r="X38">
        <f>IF(COUNTIFS(Data!$V:$V,$R38,Data!$U:$U,5,Data!$N:$N,"&lt;&gt;")=0,"",SUMIFS(Data!$N:$N,Data!$V:$V,$R38,Data!$U:$U,5))</f>
        <v/>
      </c>
      <c r="Y38">
        <f>IF(COUNTIFS(Data!$V:$V,$R38,Data!$U:$U,6,Data!$N:$N,"&lt;&gt;")=0,"",SUMIFS(Data!$N:$N,Data!$V:$V,$R38,Data!$U:$U,6))</f>
        <v/>
      </c>
      <c r="Z38">
        <f>IF(COUNTIFS(Data!$V:$V,$R38,Data!$U:$U,7,Data!$N:$N,"&lt;&gt;")=0,"",SUMIFS(Data!$N:$N,Data!$V:$V,$R38,Data!$U:$U,7))</f>
        <v/>
      </c>
      <c r="AA38">
        <f>IF(COUNTIFS(Data!$V:$V,$R38,Data!$U:$U,8,Data!$N:$N,"&lt;&gt;")=0,"",SUMIFS(Data!$N:$N,Data!$V:$V,$R38,Data!$U:$U,8))</f>
        <v/>
      </c>
      <c r="AB38">
        <f>IF(COUNTIFS(Data!$V:$V,$R38,Data!$U:$U,9,Data!$N:$N,"&lt;&gt;")=0,"",SUMIFS(Data!$N:$N,Data!$V:$V,$R38,Data!$U:$U,9))</f>
        <v/>
      </c>
      <c r="AC38">
        <f>IF(COUNTIFS(Data!$V:$V,$R38,Data!$U:$U,10,Data!$N:$N,"&lt;&gt;")=0,"",SUMIFS(Data!$N:$N,Data!$V:$V,$R38,Data!$U:$U,10))</f>
        <v/>
      </c>
      <c r="AD38">
        <f>IF(COUNTIFS(Data!$V:$V,$R38,Data!$U:$U,11,Data!$N:$N,"&lt;&gt;")=0,"",SUMIFS(Data!$N:$N,Data!$V:$V,$R38,Data!$U:$U,11))</f>
        <v/>
      </c>
      <c r="AE38">
        <f>IF(COUNTIFS(Data!$V:$V,$R38,Data!$U:$U,12,Data!$N:$N,"&lt;&gt;")=0,"",SUMIFS(Data!$N:$N,Data!$V:$V,$R38,Data!$U:$U,12))</f>
        <v/>
      </c>
      <c r="AF38">
        <f>IF(COUNTIFS(Data!$V:$V,$R38,Data!$U:$U,13,Data!$N:$N,"&lt;&gt;")=0,"",SUMIFS(Data!$N:$N,Data!$V:$V,$R38,Data!$U:$U,13))</f>
        <v/>
      </c>
      <c r="AG38">
        <f>IF(COUNTIFS(Data!$V:$V,$R38,Data!$U:$U,14,Data!$N:$N,"&lt;&gt;")=0,"",SUMIFS(Data!$N:$N,Data!$V:$V,$R38,Data!$U:$U,14))</f>
        <v/>
      </c>
      <c r="AH38">
        <f>COUNTIFS(Data!$V:$V,$R38,Data!$U:$U,"&lt;="&amp;14,Data!$N:$N,"&lt;&gt;")</f>
        <v/>
      </c>
      <c r="AI38">
        <f>COUNTIFS(Data!$V:$V,$R38,Data!$U:$U,"&lt;="&amp;14,Data!$N:$N,0)</f>
        <v/>
      </c>
      <c r="AJ38">
        <f>IF(AH38=0,"",AH38-AI38)</f>
        <v/>
      </c>
      <c r="AK38">
        <f>IF(AH38=0,"",SUMIFS(Data!$N:$N,Data!$V:$V,$R38,Data!$U:$U,"&lt;="&amp;14))</f>
        <v/>
      </c>
      <c r="AL38">
        <f>IF(AH38=0,"",IF(ABS(MAX(T38:AG38))&gt;=ABS(MIN(T38:AG38)),MAX(T38:AG38),MIN(T38:AG38)))</f>
        <v/>
      </c>
      <c r="AM38">
        <f>IF(AH38=0,-1,AJ38*100000+MIN(ABS(AK38),99999))</f>
        <v/>
      </c>
      <c r="AN38">
        <f>IF($S38="","",1+COUNTIFS($AM$3:$AM$122,"&gt;"&amp;AM38)+COUNTIFS($AM$3:$AM$122,AM38,$R$3:$R$122,"&lt;"&amp;$R38))</f>
        <v/>
      </c>
    </row>
    <row r="39">
      <c r="A39" t="n">
        <v>37</v>
      </c>
      <c r="B39" s="31">
        <f>IFERROR(IF(INDEX(Data!$B:$B,MATCH($A39,Data!$U:$U,0))="","",INDEX(Data!$B:$B,MATCH($A39,Data!$U:$U,0))),"")</f>
        <v/>
      </c>
      <c r="C39">
        <f>IFERROR(IF(INDEX(Data!$D:$D,MATCH($A39,Data!$U:$U,0))="","",INDEX(Data!$D:$D,MATCH($A39,Data!$U:$U,0))),"")</f>
        <v/>
      </c>
      <c r="D39" s="31">
        <f>IFERROR(IF(INDEX(Data!$O:$O,MATCH($A39,Data!$U:$U,0))="","",INDEX(Data!$O:$O,MATCH($A39,Data!$U:$U,0))),"")</f>
        <v/>
      </c>
      <c r="E39">
        <f>COUNTIFS(Data!$U:$U,$A39)</f>
        <v/>
      </c>
      <c r="F39">
        <f>COUNTIFS(Data!$U:$U,$A39,Data!$N:$N,"&lt;&gt;")</f>
        <v/>
      </c>
      <c r="G39">
        <f>COUNTIFS(Data!$U:$U,$A39,Data!$N:$N,0)</f>
        <v/>
      </c>
      <c r="H39">
        <f>IF($F39=0,"",$F39-$G39)</f>
        <v/>
      </c>
      <c r="I39">
        <f>IF($F39=0,"",SUMIFS(Data!$N:$N,Data!$U:$U,$A39))</f>
        <v/>
      </c>
      <c r="J39">
        <f>COUNTIFS(Data!$U:$U,$A39,Data!$Q:$Q,"&lt;&gt;")</f>
        <v/>
      </c>
      <c r="K39">
        <f>IF($J39=0,"",SUMIFS(Data!$Q:$Q,Data!$U:$U,$A39))</f>
        <v/>
      </c>
      <c r="L39">
        <f>COUNTIFS(Data!$U:$U,$A39,Data!$M:$M,"&lt;&gt;")</f>
        <v/>
      </c>
      <c r="M39">
        <f>IF($E39=0,"",IF($L39=0,"not loaded","loaded"))</f>
        <v/>
      </c>
      <c r="N39">
        <f>COUNTIFS(Data!$U:$U,$A39,Data!$I:$I,"&lt;&gt;")</f>
        <v/>
      </c>
      <c r="O39">
        <f>IF($E39=0,"",IF($L39=0,"No POS sales have been loaded for this date, so variance cannot be worked out. Import the sales report for this day and it fills in.",IF($N39=0,"This is the first count of these products, so there is no opening figure to sell down from. Variance starts from the next count.",IF($F39-$G39=0,"Physical and POS agree on every product.",($F39-$G39)&amp;" of "&amp;$F39&amp;" products disagree with the POS. Largest first below."))))</f>
        <v/>
      </c>
      <c r="R39" t="n">
        <v>37</v>
      </c>
      <c r="S39">
        <f>IFERROR(INDEX(Data!$G:$G,MATCH($R39,Data!$V:$V,0)),"")</f>
        <v/>
      </c>
      <c r="T39">
        <f>IF(COUNTIFS(Data!$V:$V,$R39,Data!$U:$U,1,Data!$N:$N,"&lt;&gt;")=0,"",SUMIFS(Data!$N:$N,Data!$V:$V,$R39,Data!$U:$U,1))</f>
        <v/>
      </c>
      <c r="U39">
        <f>IF(COUNTIFS(Data!$V:$V,$R39,Data!$U:$U,2,Data!$N:$N,"&lt;&gt;")=0,"",SUMIFS(Data!$N:$N,Data!$V:$V,$R39,Data!$U:$U,2))</f>
        <v/>
      </c>
      <c r="V39">
        <f>IF(COUNTIFS(Data!$V:$V,$R39,Data!$U:$U,3,Data!$N:$N,"&lt;&gt;")=0,"",SUMIFS(Data!$N:$N,Data!$V:$V,$R39,Data!$U:$U,3))</f>
        <v/>
      </c>
      <c r="W39">
        <f>IF(COUNTIFS(Data!$V:$V,$R39,Data!$U:$U,4,Data!$N:$N,"&lt;&gt;")=0,"",SUMIFS(Data!$N:$N,Data!$V:$V,$R39,Data!$U:$U,4))</f>
        <v/>
      </c>
      <c r="X39">
        <f>IF(COUNTIFS(Data!$V:$V,$R39,Data!$U:$U,5,Data!$N:$N,"&lt;&gt;")=0,"",SUMIFS(Data!$N:$N,Data!$V:$V,$R39,Data!$U:$U,5))</f>
        <v/>
      </c>
      <c r="Y39">
        <f>IF(COUNTIFS(Data!$V:$V,$R39,Data!$U:$U,6,Data!$N:$N,"&lt;&gt;")=0,"",SUMIFS(Data!$N:$N,Data!$V:$V,$R39,Data!$U:$U,6))</f>
        <v/>
      </c>
      <c r="Z39">
        <f>IF(COUNTIFS(Data!$V:$V,$R39,Data!$U:$U,7,Data!$N:$N,"&lt;&gt;")=0,"",SUMIFS(Data!$N:$N,Data!$V:$V,$R39,Data!$U:$U,7))</f>
        <v/>
      </c>
      <c r="AA39">
        <f>IF(COUNTIFS(Data!$V:$V,$R39,Data!$U:$U,8,Data!$N:$N,"&lt;&gt;")=0,"",SUMIFS(Data!$N:$N,Data!$V:$V,$R39,Data!$U:$U,8))</f>
        <v/>
      </c>
      <c r="AB39">
        <f>IF(COUNTIFS(Data!$V:$V,$R39,Data!$U:$U,9,Data!$N:$N,"&lt;&gt;")=0,"",SUMIFS(Data!$N:$N,Data!$V:$V,$R39,Data!$U:$U,9))</f>
        <v/>
      </c>
      <c r="AC39">
        <f>IF(COUNTIFS(Data!$V:$V,$R39,Data!$U:$U,10,Data!$N:$N,"&lt;&gt;")=0,"",SUMIFS(Data!$N:$N,Data!$V:$V,$R39,Data!$U:$U,10))</f>
        <v/>
      </c>
      <c r="AD39">
        <f>IF(COUNTIFS(Data!$V:$V,$R39,Data!$U:$U,11,Data!$N:$N,"&lt;&gt;")=0,"",SUMIFS(Data!$N:$N,Data!$V:$V,$R39,Data!$U:$U,11))</f>
        <v/>
      </c>
      <c r="AE39">
        <f>IF(COUNTIFS(Data!$V:$V,$R39,Data!$U:$U,12,Data!$N:$N,"&lt;&gt;")=0,"",SUMIFS(Data!$N:$N,Data!$V:$V,$R39,Data!$U:$U,12))</f>
        <v/>
      </c>
      <c r="AF39">
        <f>IF(COUNTIFS(Data!$V:$V,$R39,Data!$U:$U,13,Data!$N:$N,"&lt;&gt;")=0,"",SUMIFS(Data!$N:$N,Data!$V:$V,$R39,Data!$U:$U,13))</f>
        <v/>
      </c>
      <c r="AG39">
        <f>IF(COUNTIFS(Data!$V:$V,$R39,Data!$U:$U,14,Data!$N:$N,"&lt;&gt;")=0,"",SUMIFS(Data!$N:$N,Data!$V:$V,$R39,Data!$U:$U,14))</f>
        <v/>
      </c>
      <c r="AH39">
        <f>COUNTIFS(Data!$V:$V,$R39,Data!$U:$U,"&lt;="&amp;14,Data!$N:$N,"&lt;&gt;")</f>
        <v/>
      </c>
      <c r="AI39">
        <f>COUNTIFS(Data!$V:$V,$R39,Data!$U:$U,"&lt;="&amp;14,Data!$N:$N,0)</f>
        <v/>
      </c>
      <c r="AJ39">
        <f>IF(AH39=0,"",AH39-AI39)</f>
        <v/>
      </c>
      <c r="AK39">
        <f>IF(AH39=0,"",SUMIFS(Data!$N:$N,Data!$V:$V,$R39,Data!$U:$U,"&lt;="&amp;14))</f>
        <v/>
      </c>
      <c r="AL39">
        <f>IF(AH39=0,"",IF(ABS(MAX(T39:AG39))&gt;=ABS(MIN(T39:AG39)),MAX(T39:AG39),MIN(T39:AG39)))</f>
        <v/>
      </c>
      <c r="AM39">
        <f>IF(AH39=0,-1,AJ39*100000+MIN(ABS(AK39),99999))</f>
        <v/>
      </c>
      <c r="AN39">
        <f>IF($S39="","",1+COUNTIFS($AM$3:$AM$122,"&gt;"&amp;AM39)+COUNTIFS($AM$3:$AM$122,AM39,$R$3:$R$122,"&lt;"&amp;$R39))</f>
        <v/>
      </c>
    </row>
    <row r="40">
      <c r="A40" t="n">
        <v>38</v>
      </c>
      <c r="B40" s="31">
        <f>IFERROR(IF(INDEX(Data!$B:$B,MATCH($A40,Data!$U:$U,0))="","",INDEX(Data!$B:$B,MATCH($A40,Data!$U:$U,0))),"")</f>
        <v/>
      </c>
      <c r="C40">
        <f>IFERROR(IF(INDEX(Data!$D:$D,MATCH($A40,Data!$U:$U,0))="","",INDEX(Data!$D:$D,MATCH($A40,Data!$U:$U,0))),"")</f>
        <v/>
      </c>
      <c r="D40" s="31">
        <f>IFERROR(IF(INDEX(Data!$O:$O,MATCH($A40,Data!$U:$U,0))="","",INDEX(Data!$O:$O,MATCH($A40,Data!$U:$U,0))),"")</f>
        <v/>
      </c>
      <c r="E40">
        <f>COUNTIFS(Data!$U:$U,$A40)</f>
        <v/>
      </c>
      <c r="F40">
        <f>COUNTIFS(Data!$U:$U,$A40,Data!$N:$N,"&lt;&gt;")</f>
        <v/>
      </c>
      <c r="G40">
        <f>COUNTIFS(Data!$U:$U,$A40,Data!$N:$N,0)</f>
        <v/>
      </c>
      <c r="H40">
        <f>IF($F40=0,"",$F40-$G40)</f>
        <v/>
      </c>
      <c r="I40">
        <f>IF($F40=0,"",SUMIFS(Data!$N:$N,Data!$U:$U,$A40))</f>
        <v/>
      </c>
      <c r="J40">
        <f>COUNTIFS(Data!$U:$U,$A40,Data!$Q:$Q,"&lt;&gt;")</f>
        <v/>
      </c>
      <c r="K40">
        <f>IF($J40=0,"",SUMIFS(Data!$Q:$Q,Data!$U:$U,$A40))</f>
        <v/>
      </c>
      <c r="L40">
        <f>COUNTIFS(Data!$U:$U,$A40,Data!$M:$M,"&lt;&gt;")</f>
        <v/>
      </c>
      <c r="M40">
        <f>IF($E40=0,"",IF($L40=0,"not loaded","loaded"))</f>
        <v/>
      </c>
      <c r="N40">
        <f>COUNTIFS(Data!$U:$U,$A40,Data!$I:$I,"&lt;&gt;")</f>
        <v/>
      </c>
      <c r="O40">
        <f>IF($E40=0,"",IF($L40=0,"No POS sales have been loaded for this date, so variance cannot be worked out. Import the sales report for this day and it fills in.",IF($N40=0,"This is the first count of these products, so there is no opening figure to sell down from. Variance starts from the next count.",IF($F40-$G40=0,"Physical and POS agree on every product.",($F40-$G40)&amp;" of "&amp;$F40&amp;" products disagree with the POS. Largest first below."))))</f>
        <v/>
      </c>
      <c r="R40" t="n">
        <v>38</v>
      </c>
      <c r="S40">
        <f>IFERROR(INDEX(Data!$G:$G,MATCH($R40,Data!$V:$V,0)),"")</f>
        <v/>
      </c>
      <c r="T40">
        <f>IF(COUNTIFS(Data!$V:$V,$R40,Data!$U:$U,1,Data!$N:$N,"&lt;&gt;")=0,"",SUMIFS(Data!$N:$N,Data!$V:$V,$R40,Data!$U:$U,1))</f>
        <v/>
      </c>
      <c r="U40">
        <f>IF(COUNTIFS(Data!$V:$V,$R40,Data!$U:$U,2,Data!$N:$N,"&lt;&gt;")=0,"",SUMIFS(Data!$N:$N,Data!$V:$V,$R40,Data!$U:$U,2))</f>
        <v/>
      </c>
      <c r="V40">
        <f>IF(COUNTIFS(Data!$V:$V,$R40,Data!$U:$U,3,Data!$N:$N,"&lt;&gt;")=0,"",SUMIFS(Data!$N:$N,Data!$V:$V,$R40,Data!$U:$U,3))</f>
        <v/>
      </c>
      <c r="W40">
        <f>IF(COUNTIFS(Data!$V:$V,$R40,Data!$U:$U,4,Data!$N:$N,"&lt;&gt;")=0,"",SUMIFS(Data!$N:$N,Data!$V:$V,$R40,Data!$U:$U,4))</f>
        <v/>
      </c>
      <c r="X40">
        <f>IF(COUNTIFS(Data!$V:$V,$R40,Data!$U:$U,5,Data!$N:$N,"&lt;&gt;")=0,"",SUMIFS(Data!$N:$N,Data!$V:$V,$R40,Data!$U:$U,5))</f>
        <v/>
      </c>
      <c r="Y40">
        <f>IF(COUNTIFS(Data!$V:$V,$R40,Data!$U:$U,6,Data!$N:$N,"&lt;&gt;")=0,"",SUMIFS(Data!$N:$N,Data!$V:$V,$R40,Data!$U:$U,6))</f>
        <v/>
      </c>
      <c r="Z40">
        <f>IF(COUNTIFS(Data!$V:$V,$R40,Data!$U:$U,7,Data!$N:$N,"&lt;&gt;")=0,"",SUMIFS(Data!$N:$N,Data!$V:$V,$R40,Data!$U:$U,7))</f>
        <v/>
      </c>
      <c r="AA40">
        <f>IF(COUNTIFS(Data!$V:$V,$R40,Data!$U:$U,8,Data!$N:$N,"&lt;&gt;")=0,"",SUMIFS(Data!$N:$N,Data!$V:$V,$R40,Data!$U:$U,8))</f>
        <v/>
      </c>
      <c r="AB40">
        <f>IF(COUNTIFS(Data!$V:$V,$R40,Data!$U:$U,9,Data!$N:$N,"&lt;&gt;")=0,"",SUMIFS(Data!$N:$N,Data!$V:$V,$R40,Data!$U:$U,9))</f>
        <v/>
      </c>
      <c r="AC40">
        <f>IF(COUNTIFS(Data!$V:$V,$R40,Data!$U:$U,10,Data!$N:$N,"&lt;&gt;")=0,"",SUMIFS(Data!$N:$N,Data!$V:$V,$R40,Data!$U:$U,10))</f>
        <v/>
      </c>
      <c r="AD40">
        <f>IF(COUNTIFS(Data!$V:$V,$R40,Data!$U:$U,11,Data!$N:$N,"&lt;&gt;")=0,"",SUMIFS(Data!$N:$N,Data!$V:$V,$R40,Data!$U:$U,11))</f>
        <v/>
      </c>
      <c r="AE40">
        <f>IF(COUNTIFS(Data!$V:$V,$R40,Data!$U:$U,12,Data!$N:$N,"&lt;&gt;")=0,"",SUMIFS(Data!$N:$N,Data!$V:$V,$R40,Data!$U:$U,12))</f>
        <v/>
      </c>
      <c r="AF40">
        <f>IF(COUNTIFS(Data!$V:$V,$R40,Data!$U:$U,13,Data!$N:$N,"&lt;&gt;")=0,"",SUMIFS(Data!$N:$N,Data!$V:$V,$R40,Data!$U:$U,13))</f>
        <v/>
      </c>
      <c r="AG40">
        <f>IF(COUNTIFS(Data!$V:$V,$R40,Data!$U:$U,14,Data!$N:$N,"&lt;&gt;")=0,"",SUMIFS(Data!$N:$N,Data!$V:$V,$R40,Data!$U:$U,14))</f>
        <v/>
      </c>
      <c r="AH40">
        <f>COUNTIFS(Data!$V:$V,$R40,Data!$U:$U,"&lt;="&amp;14,Data!$N:$N,"&lt;&gt;")</f>
        <v/>
      </c>
      <c r="AI40">
        <f>COUNTIFS(Data!$V:$V,$R40,Data!$U:$U,"&lt;="&amp;14,Data!$N:$N,0)</f>
        <v/>
      </c>
      <c r="AJ40">
        <f>IF(AH40=0,"",AH40-AI40)</f>
        <v/>
      </c>
      <c r="AK40">
        <f>IF(AH40=0,"",SUMIFS(Data!$N:$N,Data!$V:$V,$R40,Data!$U:$U,"&lt;="&amp;14))</f>
        <v/>
      </c>
      <c r="AL40">
        <f>IF(AH40=0,"",IF(ABS(MAX(T40:AG40))&gt;=ABS(MIN(T40:AG40)),MAX(T40:AG40),MIN(T40:AG40)))</f>
        <v/>
      </c>
      <c r="AM40">
        <f>IF(AH40=0,-1,AJ40*100000+MIN(ABS(AK40),99999))</f>
        <v/>
      </c>
      <c r="AN40">
        <f>IF($S40="","",1+COUNTIFS($AM$3:$AM$122,"&gt;"&amp;AM40)+COUNTIFS($AM$3:$AM$122,AM40,$R$3:$R$122,"&lt;"&amp;$R40))</f>
        <v/>
      </c>
    </row>
    <row r="41">
      <c r="A41" t="n">
        <v>39</v>
      </c>
      <c r="B41" s="31">
        <f>IFERROR(IF(INDEX(Data!$B:$B,MATCH($A41,Data!$U:$U,0))="","",INDEX(Data!$B:$B,MATCH($A41,Data!$U:$U,0))),"")</f>
        <v/>
      </c>
      <c r="C41">
        <f>IFERROR(IF(INDEX(Data!$D:$D,MATCH($A41,Data!$U:$U,0))="","",INDEX(Data!$D:$D,MATCH($A41,Data!$U:$U,0))),"")</f>
        <v/>
      </c>
      <c r="D41" s="31">
        <f>IFERROR(IF(INDEX(Data!$O:$O,MATCH($A41,Data!$U:$U,0))="","",INDEX(Data!$O:$O,MATCH($A41,Data!$U:$U,0))),"")</f>
        <v/>
      </c>
      <c r="E41">
        <f>COUNTIFS(Data!$U:$U,$A41)</f>
        <v/>
      </c>
      <c r="F41">
        <f>COUNTIFS(Data!$U:$U,$A41,Data!$N:$N,"&lt;&gt;")</f>
        <v/>
      </c>
      <c r="G41">
        <f>COUNTIFS(Data!$U:$U,$A41,Data!$N:$N,0)</f>
        <v/>
      </c>
      <c r="H41">
        <f>IF($F41=0,"",$F41-$G41)</f>
        <v/>
      </c>
      <c r="I41">
        <f>IF($F41=0,"",SUMIFS(Data!$N:$N,Data!$U:$U,$A41))</f>
        <v/>
      </c>
      <c r="J41">
        <f>COUNTIFS(Data!$U:$U,$A41,Data!$Q:$Q,"&lt;&gt;")</f>
        <v/>
      </c>
      <c r="K41">
        <f>IF($J41=0,"",SUMIFS(Data!$Q:$Q,Data!$U:$U,$A41))</f>
        <v/>
      </c>
      <c r="L41">
        <f>COUNTIFS(Data!$U:$U,$A41,Data!$M:$M,"&lt;&gt;")</f>
        <v/>
      </c>
      <c r="M41">
        <f>IF($E41=0,"",IF($L41=0,"not loaded","loaded"))</f>
        <v/>
      </c>
      <c r="N41">
        <f>COUNTIFS(Data!$U:$U,$A41,Data!$I:$I,"&lt;&gt;")</f>
        <v/>
      </c>
      <c r="O41">
        <f>IF($E41=0,"",IF($L41=0,"No POS sales have been loaded for this date, so variance cannot be worked out. Import the sales report for this day and it fills in.",IF($N41=0,"This is the first count of these products, so there is no opening figure to sell down from. Variance starts from the next count.",IF($F41-$G41=0,"Physical and POS agree on every product.",($F41-$G41)&amp;" of "&amp;$F41&amp;" products disagree with the POS. Largest first below."))))</f>
        <v/>
      </c>
      <c r="R41" t="n">
        <v>39</v>
      </c>
      <c r="S41">
        <f>IFERROR(INDEX(Data!$G:$G,MATCH($R41,Data!$V:$V,0)),"")</f>
        <v/>
      </c>
      <c r="T41">
        <f>IF(COUNTIFS(Data!$V:$V,$R41,Data!$U:$U,1,Data!$N:$N,"&lt;&gt;")=0,"",SUMIFS(Data!$N:$N,Data!$V:$V,$R41,Data!$U:$U,1))</f>
        <v/>
      </c>
      <c r="U41">
        <f>IF(COUNTIFS(Data!$V:$V,$R41,Data!$U:$U,2,Data!$N:$N,"&lt;&gt;")=0,"",SUMIFS(Data!$N:$N,Data!$V:$V,$R41,Data!$U:$U,2))</f>
        <v/>
      </c>
      <c r="V41">
        <f>IF(COUNTIFS(Data!$V:$V,$R41,Data!$U:$U,3,Data!$N:$N,"&lt;&gt;")=0,"",SUMIFS(Data!$N:$N,Data!$V:$V,$R41,Data!$U:$U,3))</f>
        <v/>
      </c>
      <c r="W41">
        <f>IF(COUNTIFS(Data!$V:$V,$R41,Data!$U:$U,4,Data!$N:$N,"&lt;&gt;")=0,"",SUMIFS(Data!$N:$N,Data!$V:$V,$R41,Data!$U:$U,4))</f>
        <v/>
      </c>
      <c r="X41">
        <f>IF(COUNTIFS(Data!$V:$V,$R41,Data!$U:$U,5,Data!$N:$N,"&lt;&gt;")=0,"",SUMIFS(Data!$N:$N,Data!$V:$V,$R41,Data!$U:$U,5))</f>
        <v/>
      </c>
      <c r="Y41">
        <f>IF(COUNTIFS(Data!$V:$V,$R41,Data!$U:$U,6,Data!$N:$N,"&lt;&gt;")=0,"",SUMIFS(Data!$N:$N,Data!$V:$V,$R41,Data!$U:$U,6))</f>
        <v/>
      </c>
      <c r="Z41">
        <f>IF(COUNTIFS(Data!$V:$V,$R41,Data!$U:$U,7,Data!$N:$N,"&lt;&gt;")=0,"",SUMIFS(Data!$N:$N,Data!$V:$V,$R41,Data!$U:$U,7))</f>
        <v/>
      </c>
      <c r="AA41">
        <f>IF(COUNTIFS(Data!$V:$V,$R41,Data!$U:$U,8,Data!$N:$N,"&lt;&gt;")=0,"",SUMIFS(Data!$N:$N,Data!$V:$V,$R41,Data!$U:$U,8))</f>
        <v/>
      </c>
      <c r="AB41">
        <f>IF(COUNTIFS(Data!$V:$V,$R41,Data!$U:$U,9,Data!$N:$N,"&lt;&gt;")=0,"",SUMIFS(Data!$N:$N,Data!$V:$V,$R41,Data!$U:$U,9))</f>
        <v/>
      </c>
      <c r="AC41">
        <f>IF(COUNTIFS(Data!$V:$V,$R41,Data!$U:$U,10,Data!$N:$N,"&lt;&gt;")=0,"",SUMIFS(Data!$N:$N,Data!$V:$V,$R41,Data!$U:$U,10))</f>
        <v/>
      </c>
      <c r="AD41">
        <f>IF(COUNTIFS(Data!$V:$V,$R41,Data!$U:$U,11,Data!$N:$N,"&lt;&gt;")=0,"",SUMIFS(Data!$N:$N,Data!$V:$V,$R41,Data!$U:$U,11))</f>
        <v/>
      </c>
      <c r="AE41">
        <f>IF(COUNTIFS(Data!$V:$V,$R41,Data!$U:$U,12,Data!$N:$N,"&lt;&gt;")=0,"",SUMIFS(Data!$N:$N,Data!$V:$V,$R41,Data!$U:$U,12))</f>
        <v/>
      </c>
      <c r="AF41">
        <f>IF(COUNTIFS(Data!$V:$V,$R41,Data!$U:$U,13,Data!$N:$N,"&lt;&gt;")=0,"",SUMIFS(Data!$N:$N,Data!$V:$V,$R41,Data!$U:$U,13))</f>
        <v/>
      </c>
      <c r="AG41">
        <f>IF(COUNTIFS(Data!$V:$V,$R41,Data!$U:$U,14,Data!$N:$N,"&lt;&gt;")=0,"",SUMIFS(Data!$N:$N,Data!$V:$V,$R41,Data!$U:$U,14))</f>
        <v/>
      </c>
      <c r="AH41">
        <f>COUNTIFS(Data!$V:$V,$R41,Data!$U:$U,"&lt;="&amp;14,Data!$N:$N,"&lt;&gt;")</f>
        <v/>
      </c>
      <c r="AI41">
        <f>COUNTIFS(Data!$V:$V,$R41,Data!$U:$U,"&lt;="&amp;14,Data!$N:$N,0)</f>
        <v/>
      </c>
      <c r="AJ41">
        <f>IF(AH41=0,"",AH41-AI41)</f>
        <v/>
      </c>
      <c r="AK41">
        <f>IF(AH41=0,"",SUMIFS(Data!$N:$N,Data!$V:$V,$R41,Data!$U:$U,"&lt;="&amp;14))</f>
        <v/>
      </c>
      <c r="AL41">
        <f>IF(AH41=0,"",IF(ABS(MAX(T41:AG41))&gt;=ABS(MIN(T41:AG41)),MAX(T41:AG41),MIN(T41:AG41)))</f>
        <v/>
      </c>
      <c r="AM41">
        <f>IF(AH41=0,-1,AJ41*100000+MIN(ABS(AK41),99999))</f>
        <v/>
      </c>
      <c r="AN41">
        <f>IF($S41="","",1+COUNTIFS($AM$3:$AM$122,"&gt;"&amp;AM41)+COUNTIFS($AM$3:$AM$122,AM41,$R$3:$R$122,"&lt;"&amp;$R41))</f>
        <v/>
      </c>
    </row>
    <row r="42">
      <c r="A42" t="n">
        <v>40</v>
      </c>
      <c r="B42" s="31">
        <f>IFERROR(IF(INDEX(Data!$B:$B,MATCH($A42,Data!$U:$U,0))="","",INDEX(Data!$B:$B,MATCH($A42,Data!$U:$U,0))),"")</f>
        <v/>
      </c>
      <c r="C42">
        <f>IFERROR(IF(INDEX(Data!$D:$D,MATCH($A42,Data!$U:$U,0))="","",INDEX(Data!$D:$D,MATCH($A42,Data!$U:$U,0))),"")</f>
        <v/>
      </c>
      <c r="D42" s="31">
        <f>IFERROR(IF(INDEX(Data!$O:$O,MATCH($A42,Data!$U:$U,0))="","",INDEX(Data!$O:$O,MATCH($A42,Data!$U:$U,0))),"")</f>
        <v/>
      </c>
      <c r="E42">
        <f>COUNTIFS(Data!$U:$U,$A42)</f>
        <v/>
      </c>
      <c r="F42">
        <f>COUNTIFS(Data!$U:$U,$A42,Data!$N:$N,"&lt;&gt;")</f>
        <v/>
      </c>
      <c r="G42">
        <f>COUNTIFS(Data!$U:$U,$A42,Data!$N:$N,0)</f>
        <v/>
      </c>
      <c r="H42">
        <f>IF($F42=0,"",$F42-$G42)</f>
        <v/>
      </c>
      <c r="I42">
        <f>IF($F42=0,"",SUMIFS(Data!$N:$N,Data!$U:$U,$A42))</f>
        <v/>
      </c>
      <c r="J42">
        <f>COUNTIFS(Data!$U:$U,$A42,Data!$Q:$Q,"&lt;&gt;")</f>
        <v/>
      </c>
      <c r="K42">
        <f>IF($J42=0,"",SUMIFS(Data!$Q:$Q,Data!$U:$U,$A42))</f>
        <v/>
      </c>
      <c r="L42">
        <f>COUNTIFS(Data!$U:$U,$A42,Data!$M:$M,"&lt;&gt;")</f>
        <v/>
      </c>
      <c r="M42">
        <f>IF($E42=0,"",IF($L42=0,"not loaded","loaded"))</f>
        <v/>
      </c>
      <c r="N42">
        <f>COUNTIFS(Data!$U:$U,$A42,Data!$I:$I,"&lt;&gt;")</f>
        <v/>
      </c>
      <c r="O42">
        <f>IF($E42=0,"",IF($L42=0,"No POS sales have been loaded for this date, so variance cannot be worked out. Import the sales report for this day and it fills in.",IF($N42=0,"This is the first count of these products, so there is no opening figure to sell down from. Variance starts from the next count.",IF($F42-$G42=0,"Physical and POS agree on every product.",($F42-$G42)&amp;" of "&amp;$F42&amp;" products disagree with the POS. Largest first below."))))</f>
        <v/>
      </c>
      <c r="R42" t="n">
        <v>40</v>
      </c>
      <c r="S42">
        <f>IFERROR(INDEX(Data!$G:$G,MATCH($R42,Data!$V:$V,0)),"")</f>
        <v/>
      </c>
      <c r="T42">
        <f>IF(COUNTIFS(Data!$V:$V,$R42,Data!$U:$U,1,Data!$N:$N,"&lt;&gt;")=0,"",SUMIFS(Data!$N:$N,Data!$V:$V,$R42,Data!$U:$U,1))</f>
        <v/>
      </c>
      <c r="U42">
        <f>IF(COUNTIFS(Data!$V:$V,$R42,Data!$U:$U,2,Data!$N:$N,"&lt;&gt;")=0,"",SUMIFS(Data!$N:$N,Data!$V:$V,$R42,Data!$U:$U,2))</f>
        <v/>
      </c>
      <c r="V42">
        <f>IF(COUNTIFS(Data!$V:$V,$R42,Data!$U:$U,3,Data!$N:$N,"&lt;&gt;")=0,"",SUMIFS(Data!$N:$N,Data!$V:$V,$R42,Data!$U:$U,3))</f>
        <v/>
      </c>
      <c r="W42">
        <f>IF(COUNTIFS(Data!$V:$V,$R42,Data!$U:$U,4,Data!$N:$N,"&lt;&gt;")=0,"",SUMIFS(Data!$N:$N,Data!$V:$V,$R42,Data!$U:$U,4))</f>
        <v/>
      </c>
      <c r="X42">
        <f>IF(COUNTIFS(Data!$V:$V,$R42,Data!$U:$U,5,Data!$N:$N,"&lt;&gt;")=0,"",SUMIFS(Data!$N:$N,Data!$V:$V,$R42,Data!$U:$U,5))</f>
        <v/>
      </c>
      <c r="Y42">
        <f>IF(COUNTIFS(Data!$V:$V,$R42,Data!$U:$U,6,Data!$N:$N,"&lt;&gt;")=0,"",SUMIFS(Data!$N:$N,Data!$V:$V,$R42,Data!$U:$U,6))</f>
        <v/>
      </c>
      <c r="Z42">
        <f>IF(COUNTIFS(Data!$V:$V,$R42,Data!$U:$U,7,Data!$N:$N,"&lt;&gt;")=0,"",SUMIFS(Data!$N:$N,Data!$V:$V,$R42,Data!$U:$U,7))</f>
        <v/>
      </c>
      <c r="AA42">
        <f>IF(COUNTIFS(Data!$V:$V,$R42,Data!$U:$U,8,Data!$N:$N,"&lt;&gt;")=0,"",SUMIFS(Data!$N:$N,Data!$V:$V,$R42,Data!$U:$U,8))</f>
        <v/>
      </c>
      <c r="AB42">
        <f>IF(COUNTIFS(Data!$V:$V,$R42,Data!$U:$U,9,Data!$N:$N,"&lt;&gt;")=0,"",SUMIFS(Data!$N:$N,Data!$V:$V,$R42,Data!$U:$U,9))</f>
        <v/>
      </c>
      <c r="AC42">
        <f>IF(COUNTIFS(Data!$V:$V,$R42,Data!$U:$U,10,Data!$N:$N,"&lt;&gt;")=0,"",SUMIFS(Data!$N:$N,Data!$V:$V,$R42,Data!$U:$U,10))</f>
        <v/>
      </c>
      <c r="AD42">
        <f>IF(COUNTIFS(Data!$V:$V,$R42,Data!$U:$U,11,Data!$N:$N,"&lt;&gt;")=0,"",SUMIFS(Data!$N:$N,Data!$V:$V,$R42,Data!$U:$U,11))</f>
        <v/>
      </c>
      <c r="AE42">
        <f>IF(COUNTIFS(Data!$V:$V,$R42,Data!$U:$U,12,Data!$N:$N,"&lt;&gt;")=0,"",SUMIFS(Data!$N:$N,Data!$V:$V,$R42,Data!$U:$U,12))</f>
        <v/>
      </c>
      <c r="AF42">
        <f>IF(COUNTIFS(Data!$V:$V,$R42,Data!$U:$U,13,Data!$N:$N,"&lt;&gt;")=0,"",SUMIFS(Data!$N:$N,Data!$V:$V,$R42,Data!$U:$U,13))</f>
        <v/>
      </c>
      <c r="AG42">
        <f>IF(COUNTIFS(Data!$V:$V,$R42,Data!$U:$U,14,Data!$N:$N,"&lt;&gt;")=0,"",SUMIFS(Data!$N:$N,Data!$V:$V,$R42,Data!$U:$U,14))</f>
        <v/>
      </c>
      <c r="AH42">
        <f>COUNTIFS(Data!$V:$V,$R42,Data!$U:$U,"&lt;="&amp;14,Data!$N:$N,"&lt;&gt;")</f>
        <v/>
      </c>
      <c r="AI42">
        <f>COUNTIFS(Data!$V:$V,$R42,Data!$U:$U,"&lt;="&amp;14,Data!$N:$N,0)</f>
        <v/>
      </c>
      <c r="AJ42">
        <f>IF(AH42=0,"",AH42-AI42)</f>
        <v/>
      </c>
      <c r="AK42">
        <f>IF(AH42=0,"",SUMIFS(Data!$N:$N,Data!$V:$V,$R42,Data!$U:$U,"&lt;="&amp;14))</f>
        <v/>
      </c>
      <c r="AL42">
        <f>IF(AH42=0,"",IF(ABS(MAX(T42:AG42))&gt;=ABS(MIN(T42:AG42)),MAX(T42:AG42),MIN(T42:AG42)))</f>
        <v/>
      </c>
      <c r="AM42">
        <f>IF(AH42=0,-1,AJ42*100000+MIN(ABS(AK42),99999))</f>
        <v/>
      </c>
      <c r="AN42">
        <f>IF($S42="","",1+COUNTIFS($AM$3:$AM$122,"&gt;"&amp;AM42)+COUNTIFS($AM$3:$AM$122,AM42,$R$3:$R$122,"&lt;"&amp;$R42))</f>
        <v/>
      </c>
    </row>
    <row r="43">
      <c r="A43" t="n">
        <v>41</v>
      </c>
      <c r="B43" s="31">
        <f>IFERROR(IF(INDEX(Data!$B:$B,MATCH($A43,Data!$U:$U,0))="","",INDEX(Data!$B:$B,MATCH($A43,Data!$U:$U,0))),"")</f>
        <v/>
      </c>
      <c r="C43">
        <f>IFERROR(IF(INDEX(Data!$D:$D,MATCH($A43,Data!$U:$U,0))="","",INDEX(Data!$D:$D,MATCH($A43,Data!$U:$U,0))),"")</f>
        <v/>
      </c>
      <c r="D43" s="31">
        <f>IFERROR(IF(INDEX(Data!$O:$O,MATCH($A43,Data!$U:$U,0))="","",INDEX(Data!$O:$O,MATCH($A43,Data!$U:$U,0))),"")</f>
        <v/>
      </c>
      <c r="E43">
        <f>COUNTIFS(Data!$U:$U,$A43)</f>
        <v/>
      </c>
      <c r="F43">
        <f>COUNTIFS(Data!$U:$U,$A43,Data!$N:$N,"&lt;&gt;")</f>
        <v/>
      </c>
      <c r="G43">
        <f>COUNTIFS(Data!$U:$U,$A43,Data!$N:$N,0)</f>
        <v/>
      </c>
      <c r="H43">
        <f>IF($F43=0,"",$F43-$G43)</f>
        <v/>
      </c>
      <c r="I43">
        <f>IF($F43=0,"",SUMIFS(Data!$N:$N,Data!$U:$U,$A43))</f>
        <v/>
      </c>
      <c r="J43">
        <f>COUNTIFS(Data!$U:$U,$A43,Data!$Q:$Q,"&lt;&gt;")</f>
        <v/>
      </c>
      <c r="K43">
        <f>IF($J43=0,"",SUMIFS(Data!$Q:$Q,Data!$U:$U,$A43))</f>
        <v/>
      </c>
      <c r="L43">
        <f>COUNTIFS(Data!$U:$U,$A43,Data!$M:$M,"&lt;&gt;")</f>
        <v/>
      </c>
      <c r="M43">
        <f>IF($E43=0,"",IF($L43=0,"not loaded","loaded"))</f>
        <v/>
      </c>
      <c r="N43">
        <f>COUNTIFS(Data!$U:$U,$A43,Data!$I:$I,"&lt;&gt;")</f>
        <v/>
      </c>
      <c r="O43">
        <f>IF($E43=0,"",IF($L43=0,"No POS sales have been loaded for this date, so variance cannot be worked out. Import the sales report for this day and it fills in.",IF($N43=0,"This is the first count of these products, so there is no opening figure to sell down from. Variance starts from the next count.",IF($F43-$G43=0,"Physical and POS agree on every product.",($F43-$G43)&amp;" of "&amp;$F43&amp;" products disagree with the POS. Largest first below."))))</f>
        <v/>
      </c>
      <c r="R43" t="n">
        <v>41</v>
      </c>
      <c r="S43">
        <f>IFERROR(INDEX(Data!$G:$G,MATCH($R43,Data!$V:$V,0)),"")</f>
        <v/>
      </c>
      <c r="T43">
        <f>IF(COUNTIFS(Data!$V:$V,$R43,Data!$U:$U,1,Data!$N:$N,"&lt;&gt;")=0,"",SUMIFS(Data!$N:$N,Data!$V:$V,$R43,Data!$U:$U,1))</f>
        <v/>
      </c>
      <c r="U43">
        <f>IF(COUNTIFS(Data!$V:$V,$R43,Data!$U:$U,2,Data!$N:$N,"&lt;&gt;")=0,"",SUMIFS(Data!$N:$N,Data!$V:$V,$R43,Data!$U:$U,2))</f>
        <v/>
      </c>
      <c r="V43">
        <f>IF(COUNTIFS(Data!$V:$V,$R43,Data!$U:$U,3,Data!$N:$N,"&lt;&gt;")=0,"",SUMIFS(Data!$N:$N,Data!$V:$V,$R43,Data!$U:$U,3))</f>
        <v/>
      </c>
      <c r="W43">
        <f>IF(COUNTIFS(Data!$V:$V,$R43,Data!$U:$U,4,Data!$N:$N,"&lt;&gt;")=0,"",SUMIFS(Data!$N:$N,Data!$V:$V,$R43,Data!$U:$U,4))</f>
        <v/>
      </c>
      <c r="X43">
        <f>IF(COUNTIFS(Data!$V:$V,$R43,Data!$U:$U,5,Data!$N:$N,"&lt;&gt;")=0,"",SUMIFS(Data!$N:$N,Data!$V:$V,$R43,Data!$U:$U,5))</f>
        <v/>
      </c>
      <c r="Y43">
        <f>IF(COUNTIFS(Data!$V:$V,$R43,Data!$U:$U,6,Data!$N:$N,"&lt;&gt;")=0,"",SUMIFS(Data!$N:$N,Data!$V:$V,$R43,Data!$U:$U,6))</f>
        <v/>
      </c>
      <c r="Z43">
        <f>IF(COUNTIFS(Data!$V:$V,$R43,Data!$U:$U,7,Data!$N:$N,"&lt;&gt;")=0,"",SUMIFS(Data!$N:$N,Data!$V:$V,$R43,Data!$U:$U,7))</f>
        <v/>
      </c>
      <c r="AA43">
        <f>IF(COUNTIFS(Data!$V:$V,$R43,Data!$U:$U,8,Data!$N:$N,"&lt;&gt;")=0,"",SUMIFS(Data!$N:$N,Data!$V:$V,$R43,Data!$U:$U,8))</f>
        <v/>
      </c>
      <c r="AB43">
        <f>IF(COUNTIFS(Data!$V:$V,$R43,Data!$U:$U,9,Data!$N:$N,"&lt;&gt;")=0,"",SUMIFS(Data!$N:$N,Data!$V:$V,$R43,Data!$U:$U,9))</f>
        <v/>
      </c>
      <c r="AC43">
        <f>IF(COUNTIFS(Data!$V:$V,$R43,Data!$U:$U,10,Data!$N:$N,"&lt;&gt;")=0,"",SUMIFS(Data!$N:$N,Data!$V:$V,$R43,Data!$U:$U,10))</f>
        <v/>
      </c>
      <c r="AD43">
        <f>IF(COUNTIFS(Data!$V:$V,$R43,Data!$U:$U,11,Data!$N:$N,"&lt;&gt;")=0,"",SUMIFS(Data!$N:$N,Data!$V:$V,$R43,Data!$U:$U,11))</f>
        <v/>
      </c>
      <c r="AE43">
        <f>IF(COUNTIFS(Data!$V:$V,$R43,Data!$U:$U,12,Data!$N:$N,"&lt;&gt;")=0,"",SUMIFS(Data!$N:$N,Data!$V:$V,$R43,Data!$U:$U,12))</f>
        <v/>
      </c>
      <c r="AF43">
        <f>IF(COUNTIFS(Data!$V:$V,$R43,Data!$U:$U,13,Data!$N:$N,"&lt;&gt;")=0,"",SUMIFS(Data!$N:$N,Data!$V:$V,$R43,Data!$U:$U,13))</f>
        <v/>
      </c>
      <c r="AG43">
        <f>IF(COUNTIFS(Data!$V:$V,$R43,Data!$U:$U,14,Data!$N:$N,"&lt;&gt;")=0,"",SUMIFS(Data!$N:$N,Data!$V:$V,$R43,Data!$U:$U,14))</f>
        <v/>
      </c>
      <c r="AH43">
        <f>COUNTIFS(Data!$V:$V,$R43,Data!$U:$U,"&lt;="&amp;14,Data!$N:$N,"&lt;&gt;")</f>
        <v/>
      </c>
      <c r="AI43">
        <f>COUNTIFS(Data!$V:$V,$R43,Data!$U:$U,"&lt;="&amp;14,Data!$N:$N,0)</f>
        <v/>
      </c>
      <c r="AJ43">
        <f>IF(AH43=0,"",AH43-AI43)</f>
        <v/>
      </c>
      <c r="AK43">
        <f>IF(AH43=0,"",SUMIFS(Data!$N:$N,Data!$V:$V,$R43,Data!$U:$U,"&lt;="&amp;14))</f>
        <v/>
      </c>
      <c r="AL43">
        <f>IF(AH43=0,"",IF(ABS(MAX(T43:AG43))&gt;=ABS(MIN(T43:AG43)),MAX(T43:AG43),MIN(T43:AG43)))</f>
        <v/>
      </c>
      <c r="AM43">
        <f>IF(AH43=0,-1,AJ43*100000+MIN(ABS(AK43),99999))</f>
        <v/>
      </c>
      <c r="AN43">
        <f>IF($S43="","",1+COUNTIFS($AM$3:$AM$122,"&gt;"&amp;AM43)+COUNTIFS($AM$3:$AM$122,AM43,$R$3:$R$122,"&lt;"&amp;$R43))</f>
        <v/>
      </c>
    </row>
    <row r="44">
      <c r="A44" t="n">
        <v>42</v>
      </c>
      <c r="B44" s="31">
        <f>IFERROR(IF(INDEX(Data!$B:$B,MATCH($A44,Data!$U:$U,0))="","",INDEX(Data!$B:$B,MATCH($A44,Data!$U:$U,0))),"")</f>
        <v/>
      </c>
      <c r="C44">
        <f>IFERROR(IF(INDEX(Data!$D:$D,MATCH($A44,Data!$U:$U,0))="","",INDEX(Data!$D:$D,MATCH($A44,Data!$U:$U,0))),"")</f>
        <v/>
      </c>
      <c r="D44" s="31">
        <f>IFERROR(IF(INDEX(Data!$O:$O,MATCH($A44,Data!$U:$U,0))="","",INDEX(Data!$O:$O,MATCH($A44,Data!$U:$U,0))),"")</f>
        <v/>
      </c>
      <c r="E44">
        <f>COUNTIFS(Data!$U:$U,$A44)</f>
        <v/>
      </c>
      <c r="F44">
        <f>COUNTIFS(Data!$U:$U,$A44,Data!$N:$N,"&lt;&gt;")</f>
        <v/>
      </c>
      <c r="G44">
        <f>COUNTIFS(Data!$U:$U,$A44,Data!$N:$N,0)</f>
        <v/>
      </c>
      <c r="H44">
        <f>IF($F44=0,"",$F44-$G44)</f>
        <v/>
      </c>
      <c r="I44">
        <f>IF($F44=0,"",SUMIFS(Data!$N:$N,Data!$U:$U,$A44))</f>
        <v/>
      </c>
      <c r="J44">
        <f>COUNTIFS(Data!$U:$U,$A44,Data!$Q:$Q,"&lt;&gt;")</f>
        <v/>
      </c>
      <c r="K44">
        <f>IF($J44=0,"",SUMIFS(Data!$Q:$Q,Data!$U:$U,$A44))</f>
        <v/>
      </c>
      <c r="L44">
        <f>COUNTIFS(Data!$U:$U,$A44,Data!$M:$M,"&lt;&gt;")</f>
        <v/>
      </c>
      <c r="M44">
        <f>IF($E44=0,"",IF($L44=0,"not loaded","loaded"))</f>
        <v/>
      </c>
      <c r="N44">
        <f>COUNTIFS(Data!$U:$U,$A44,Data!$I:$I,"&lt;&gt;")</f>
        <v/>
      </c>
      <c r="O44">
        <f>IF($E44=0,"",IF($L44=0,"No POS sales have been loaded for this date, so variance cannot be worked out. Import the sales report for this day and it fills in.",IF($N44=0,"This is the first count of these products, so there is no opening figure to sell down from. Variance starts from the next count.",IF($F44-$G44=0,"Physical and POS agree on every product.",($F44-$G44)&amp;" of "&amp;$F44&amp;" products disagree with the POS. Largest first below."))))</f>
        <v/>
      </c>
      <c r="R44" t="n">
        <v>42</v>
      </c>
      <c r="S44">
        <f>IFERROR(INDEX(Data!$G:$G,MATCH($R44,Data!$V:$V,0)),"")</f>
        <v/>
      </c>
      <c r="T44">
        <f>IF(COUNTIFS(Data!$V:$V,$R44,Data!$U:$U,1,Data!$N:$N,"&lt;&gt;")=0,"",SUMIFS(Data!$N:$N,Data!$V:$V,$R44,Data!$U:$U,1))</f>
        <v/>
      </c>
      <c r="U44">
        <f>IF(COUNTIFS(Data!$V:$V,$R44,Data!$U:$U,2,Data!$N:$N,"&lt;&gt;")=0,"",SUMIFS(Data!$N:$N,Data!$V:$V,$R44,Data!$U:$U,2))</f>
        <v/>
      </c>
      <c r="V44">
        <f>IF(COUNTIFS(Data!$V:$V,$R44,Data!$U:$U,3,Data!$N:$N,"&lt;&gt;")=0,"",SUMIFS(Data!$N:$N,Data!$V:$V,$R44,Data!$U:$U,3))</f>
        <v/>
      </c>
      <c r="W44">
        <f>IF(COUNTIFS(Data!$V:$V,$R44,Data!$U:$U,4,Data!$N:$N,"&lt;&gt;")=0,"",SUMIFS(Data!$N:$N,Data!$V:$V,$R44,Data!$U:$U,4))</f>
        <v/>
      </c>
      <c r="X44">
        <f>IF(COUNTIFS(Data!$V:$V,$R44,Data!$U:$U,5,Data!$N:$N,"&lt;&gt;")=0,"",SUMIFS(Data!$N:$N,Data!$V:$V,$R44,Data!$U:$U,5))</f>
        <v/>
      </c>
      <c r="Y44">
        <f>IF(COUNTIFS(Data!$V:$V,$R44,Data!$U:$U,6,Data!$N:$N,"&lt;&gt;")=0,"",SUMIFS(Data!$N:$N,Data!$V:$V,$R44,Data!$U:$U,6))</f>
        <v/>
      </c>
      <c r="Z44">
        <f>IF(COUNTIFS(Data!$V:$V,$R44,Data!$U:$U,7,Data!$N:$N,"&lt;&gt;")=0,"",SUMIFS(Data!$N:$N,Data!$V:$V,$R44,Data!$U:$U,7))</f>
        <v/>
      </c>
      <c r="AA44">
        <f>IF(COUNTIFS(Data!$V:$V,$R44,Data!$U:$U,8,Data!$N:$N,"&lt;&gt;")=0,"",SUMIFS(Data!$N:$N,Data!$V:$V,$R44,Data!$U:$U,8))</f>
        <v/>
      </c>
      <c r="AB44">
        <f>IF(COUNTIFS(Data!$V:$V,$R44,Data!$U:$U,9,Data!$N:$N,"&lt;&gt;")=0,"",SUMIFS(Data!$N:$N,Data!$V:$V,$R44,Data!$U:$U,9))</f>
        <v/>
      </c>
      <c r="AC44">
        <f>IF(COUNTIFS(Data!$V:$V,$R44,Data!$U:$U,10,Data!$N:$N,"&lt;&gt;")=0,"",SUMIFS(Data!$N:$N,Data!$V:$V,$R44,Data!$U:$U,10))</f>
        <v/>
      </c>
      <c r="AD44">
        <f>IF(COUNTIFS(Data!$V:$V,$R44,Data!$U:$U,11,Data!$N:$N,"&lt;&gt;")=0,"",SUMIFS(Data!$N:$N,Data!$V:$V,$R44,Data!$U:$U,11))</f>
        <v/>
      </c>
      <c r="AE44">
        <f>IF(COUNTIFS(Data!$V:$V,$R44,Data!$U:$U,12,Data!$N:$N,"&lt;&gt;")=0,"",SUMIFS(Data!$N:$N,Data!$V:$V,$R44,Data!$U:$U,12))</f>
        <v/>
      </c>
      <c r="AF44">
        <f>IF(COUNTIFS(Data!$V:$V,$R44,Data!$U:$U,13,Data!$N:$N,"&lt;&gt;")=0,"",SUMIFS(Data!$N:$N,Data!$V:$V,$R44,Data!$U:$U,13))</f>
        <v/>
      </c>
      <c r="AG44">
        <f>IF(COUNTIFS(Data!$V:$V,$R44,Data!$U:$U,14,Data!$N:$N,"&lt;&gt;")=0,"",SUMIFS(Data!$N:$N,Data!$V:$V,$R44,Data!$U:$U,14))</f>
        <v/>
      </c>
      <c r="AH44">
        <f>COUNTIFS(Data!$V:$V,$R44,Data!$U:$U,"&lt;="&amp;14,Data!$N:$N,"&lt;&gt;")</f>
        <v/>
      </c>
      <c r="AI44">
        <f>COUNTIFS(Data!$V:$V,$R44,Data!$U:$U,"&lt;="&amp;14,Data!$N:$N,0)</f>
        <v/>
      </c>
      <c r="AJ44">
        <f>IF(AH44=0,"",AH44-AI44)</f>
        <v/>
      </c>
      <c r="AK44">
        <f>IF(AH44=0,"",SUMIFS(Data!$N:$N,Data!$V:$V,$R44,Data!$U:$U,"&lt;="&amp;14))</f>
        <v/>
      </c>
      <c r="AL44">
        <f>IF(AH44=0,"",IF(ABS(MAX(T44:AG44))&gt;=ABS(MIN(T44:AG44)),MAX(T44:AG44),MIN(T44:AG44)))</f>
        <v/>
      </c>
      <c r="AM44">
        <f>IF(AH44=0,-1,AJ44*100000+MIN(ABS(AK44),99999))</f>
        <v/>
      </c>
      <c r="AN44">
        <f>IF($S44="","",1+COUNTIFS($AM$3:$AM$122,"&gt;"&amp;AM44)+COUNTIFS($AM$3:$AM$122,AM44,$R$3:$R$122,"&lt;"&amp;$R44))</f>
        <v/>
      </c>
    </row>
    <row r="45">
      <c r="A45" t="n">
        <v>43</v>
      </c>
      <c r="B45" s="31">
        <f>IFERROR(IF(INDEX(Data!$B:$B,MATCH($A45,Data!$U:$U,0))="","",INDEX(Data!$B:$B,MATCH($A45,Data!$U:$U,0))),"")</f>
        <v/>
      </c>
      <c r="C45">
        <f>IFERROR(IF(INDEX(Data!$D:$D,MATCH($A45,Data!$U:$U,0))="","",INDEX(Data!$D:$D,MATCH($A45,Data!$U:$U,0))),"")</f>
        <v/>
      </c>
      <c r="D45" s="31">
        <f>IFERROR(IF(INDEX(Data!$O:$O,MATCH($A45,Data!$U:$U,0))="","",INDEX(Data!$O:$O,MATCH($A45,Data!$U:$U,0))),"")</f>
        <v/>
      </c>
      <c r="E45">
        <f>COUNTIFS(Data!$U:$U,$A45)</f>
        <v/>
      </c>
      <c r="F45">
        <f>COUNTIFS(Data!$U:$U,$A45,Data!$N:$N,"&lt;&gt;")</f>
        <v/>
      </c>
      <c r="G45">
        <f>COUNTIFS(Data!$U:$U,$A45,Data!$N:$N,0)</f>
        <v/>
      </c>
      <c r="H45">
        <f>IF($F45=0,"",$F45-$G45)</f>
        <v/>
      </c>
      <c r="I45">
        <f>IF($F45=0,"",SUMIFS(Data!$N:$N,Data!$U:$U,$A45))</f>
        <v/>
      </c>
      <c r="J45">
        <f>COUNTIFS(Data!$U:$U,$A45,Data!$Q:$Q,"&lt;&gt;")</f>
        <v/>
      </c>
      <c r="K45">
        <f>IF($J45=0,"",SUMIFS(Data!$Q:$Q,Data!$U:$U,$A45))</f>
        <v/>
      </c>
      <c r="L45">
        <f>COUNTIFS(Data!$U:$U,$A45,Data!$M:$M,"&lt;&gt;")</f>
        <v/>
      </c>
      <c r="M45">
        <f>IF($E45=0,"",IF($L45=0,"not loaded","loaded"))</f>
        <v/>
      </c>
      <c r="N45">
        <f>COUNTIFS(Data!$U:$U,$A45,Data!$I:$I,"&lt;&gt;")</f>
        <v/>
      </c>
      <c r="O45">
        <f>IF($E45=0,"",IF($L45=0,"No POS sales have been loaded for this date, so variance cannot be worked out. Import the sales report for this day and it fills in.",IF($N45=0,"This is the first count of these products, so there is no opening figure to sell down from. Variance starts from the next count.",IF($F45-$G45=0,"Physical and POS agree on every product.",($F45-$G45)&amp;" of "&amp;$F45&amp;" products disagree with the POS. Largest first below."))))</f>
        <v/>
      </c>
      <c r="R45" t="n">
        <v>43</v>
      </c>
      <c r="S45">
        <f>IFERROR(INDEX(Data!$G:$G,MATCH($R45,Data!$V:$V,0)),"")</f>
        <v/>
      </c>
      <c r="T45">
        <f>IF(COUNTIFS(Data!$V:$V,$R45,Data!$U:$U,1,Data!$N:$N,"&lt;&gt;")=0,"",SUMIFS(Data!$N:$N,Data!$V:$V,$R45,Data!$U:$U,1))</f>
        <v/>
      </c>
      <c r="U45">
        <f>IF(COUNTIFS(Data!$V:$V,$R45,Data!$U:$U,2,Data!$N:$N,"&lt;&gt;")=0,"",SUMIFS(Data!$N:$N,Data!$V:$V,$R45,Data!$U:$U,2))</f>
        <v/>
      </c>
      <c r="V45">
        <f>IF(COUNTIFS(Data!$V:$V,$R45,Data!$U:$U,3,Data!$N:$N,"&lt;&gt;")=0,"",SUMIFS(Data!$N:$N,Data!$V:$V,$R45,Data!$U:$U,3))</f>
        <v/>
      </c>
      <c r="W45">
        <f>IF(COUNTIFS(Data!$V:$V,$R45,Data!$U:$U,4,Data!$N:$N,"&lt;&gt;")=0,"",SUMIFS(Data!$N:$N,Data!$V:$V,$R45,Data!$U:$U,4))</f>
        <v/>
      </c>
      <c r="X45">
        <f>IF(COUNTIFS(Data!$V:$V,$R45,Data!$U:$U,5,Data!$N:$N,"&lt;&gt;")=0,"",SUMIFS(Data!$N:$N,Data!$V:$V,$R45,Data!$U:$U,5))</f>
        <v/>
      </c>
      <c r="Y45">
        <f>IF(COUNTIFS(Data!$V:$V,$R45,Data!$U:$U,6,Data!$N:$N,"&lt;&gt;")=0,"",SUMIFS(Data!$N:$N,Data!$V:$V,$R45,Data!$U:$U,6))</f>
        <v/>
      </c>
      <c r="Z45">
        <f>IF(COUNTIFS(Data!$V:$V,$R45,Data!$U:$U,7,Data!$N:$N,"&lt;&gt;")=0,"",SUMIFS(Data!$N:$N,Data!$V:$V,$R45,Data!$U:$U,7))</f>
        <v/>
      </c>
      <c r="AA45">
        <f>IF(COUNTIFS(Data!$V:$V,$R45,Data!$U:$U,8,Data!$N:$N,"&lt;&gt;")=0,"",SUMIFS(Data!$N:$N,Data!$V:$V,$R45,Data!$U:$U,8))</f>
        <v/>
      </c>
      <c r="AB45">
        <f>IF(COUNTIFS(Data!$V:$V,$R45,Data!$U:$U,9,Data!$N:$N,"&lt;&gt;")=0,"",SUMIFS(Data!$N:$N,Data!$V:$V,$R45,Data!$U:$U,9))</f>
        <v/>
      </c>
      <c r="AC45">
        <f>IF(COUNTIFS(Data!$V:$V,$R45,Data!$U:$U,10,Data!$N:$N,"&lt;&gt;")=0,"",SUMIFS(Data!$N:$N,Data!$V:$V,$R45,Data!$U:$U,10))</f>
        <v/>
      </c>
      <c r="AD45">
        <f>IF(COUNTIFS(Data!$V:$V,$R45,Data!$U:$U,11,Data!$N:$N,"&lt;&gt;")=0,"",SUMIFS(Data!$N:$N,Data!$V:$V,$R45,Data!$U:$U,11))</f>
        <v/>
      </c>
      <c r="AE45">
        <f>IF(COUNTIFS(Data!$V:$V,$R45,Data!$U:$U,12,Data!$N:$N,"&lt;&gt;")=0,"",SUMIFS(Data!$N:$N,Data!$V:$V,$R45,Data!$U:$U,12))</f>
        <v/>
      </c>
      <c r="AF45">
        <f>IF(COUNTIFS(Data!$V:$V,$R45,Data!$U:$U,13,Data!$N:$N,"&lt;&gt;")=0,"",SUMIFS(Data!$N:$N,Data!$V:$V,$R45,Data!$U:$U,13))</f>
        <v/>
      </c>
      <c r="AG45">
        <f>IF(COUNTIFS(Data!$V:$V,$R45,Data!$U:$U,14,Data!$N:$N,"&lt;&gt;")=0,"",SUMIFS(Data!$N:$N,Data!$V:$V,$R45,Data!$U:$U,14))</f>
        <v/>
      </c>
      <c r="AH45">
        <f>COUNTIFS(Data!$V:$V,$R45,Data!$U:$U,"&lt;="&amp;14,Data!$N:$N,"&lt;&gt;")</f>
        <v/>
      </c>
      <c r="AI45">
        <f>COUNTIFS(Data!$V:$V,$R45,Data!$U:$U,"&lt;="&amp;14,Data!$N:$N,0)</f>
        <v/>
      </c>
      <c r="AJ45">
        <f>IF(AH45=0,"",AH45-AI45)</f>
        <v/>
      </c>
      <c r="AK45">
        <f>IF(AH45=0,"",SUMIFS(Data!$N:$N,Data!$V:$V,$R45,Data!$U:$U,"&lt;="&amp;14))</f>
        <v/>
      </c>
      <c r="AL45">
        <f>IF(AH45=0,"",IF(ABS(MAX(T45:AG45))&gt;=ABS(MIN(T45:AG45)),MAX(T45:AG45),MIN(T45:AG45)))</f>
        <v/>
      </c>
      <c r="AM45">
        <f>IF(AH45=0,-1,AJ45*100000+MIN(ABS(AK45),99999))</f>
        <v/>
      </c>
      <c r="AN45">
        <f>IF($S45="","",1+COUNTIFS($AM$3:$AM$122,"&gt;"&amp;AM45)+COUNTIFS($AM$3:$AM$122,AM45,$R$3:$R$122,"&lt;"&amp;$R45))</f>
        <v/>
      </c>
    </row>
    <row r="46">
      <c r="A46" t="n">
        <v>44</v>
      </c>
      <c r="B46" s="31">
        <f>IFERROR(IF(INDEX(Data!$B:$B,MATCH($A46,Data!$U:$U,0))="","",INDEX(Data!$B:$B,MATCH($A46,Data!$U:$U,0))),"")</f>
        <v/>
      </c>
      <c r="C46">
        <f>IFERROR(IF(INDEX(Data!$D:$D,MATCH($A46,Data!$U:$U,0))="","",INDEX(Data!$D:$D,MATCH($A46,Data!$U:$U,0))),"")</f>
        <v/>
      </c>
      <c r="D46" s="31">
        <f>IFERROR(IF(INDEX(Data!$O:$O,MATCH($A46,Data!$U:$U,0))="","",INDEX(Data!$O:$O,MATCH($A46,Data!$U:$U,0))),"")</f>
        <v/>
      </c>
      <c r="E46">
        <f>COUNTIFS(Data!$U:$U,$A46)</f>
        <v/>
      </c>
      <c r="F46">
        <f>COUNTIFS(Data!$U:$U,$A46,Data!$N:$N,"&lt;&gt;")</f>
        <v/>
      </c>
      <c r="G46">
        <f>COUNTIFS(Data!$U:$U,$A46,Data!$N:$N,0)</f>
        <v/>
      </c>
      <c r="H46">
        <f>IF($F46=0,"",$F46-$G46)</f>
        <v/>
      </c>
      <c r="I46">
        <f>IF($F46=0,"",SUMIFS(Data!$N:$N,Data!$U:$U,$A46))</f>
        <v/>
      </c>
      <c r="J46">
        <f>COUNTIFS(Data!$U:$U,$A46,Data!$Q:$Q,"&lt;&gt;")</f>
        <v/>
      </c>
      <c r="K46">
        <f>IF($J46=0,"",SUMIFS(Data!$Q:$Q,Data!$U:$U,$A46))</f>
        <v/>
      </c>
      <c r="L46">
        <f>COUNTIFS(Data!$U:$U,$A46,Data!$M:$M,"&lt;&gt;")</f>
        <v/>
      </c>
      <c r="M46">
        <f>IF($E46=0,"",IF($L46=0,"not loaded","loaded"))</f>
        <v/>
      </c>
      <c r="N46">
        <f>COUNTIFS(Data!$U:$U,$A46,Data!$I:$I,"&lt;&gt;")</f>
        <v/>
      </c>
      <c r="O46">
        <f>IF($E46=0,"",IF($L46=0,"No POS sales have been loaded for this date, so variance cannot be worked out. Import the sales report for this day and it fills in.",IF($N46=0,"This is the first count of these products, so there is no opening figure to sell down from. Variance starts from the next count.",IF($F46-$G46=0,"Physical and POS agree on every product.",($F46-$G46)&amp;" of "&amp;$F46&amp;" products disagree with the POS. Largest first below."))))</f>
        <v/>
      </c>
      <c r="R46" t="n">
        <v>44</v>
      </c>
      <c r="S46">
        <f>IFERROR(INDEX(Data!$G:$G,MATCH($R46,Data!$V:$V,0)),"")</f>
        <v/>
      </c>
      <c r="T46">
        <f>IF(COUNTIFS(Data!$V:$V,$R46,Data!$U:$U,1,Data!$N:$N,"&lt;&gt;")=0,"",SUMIFS(Data!$N:$N,Data!$V:$V,$R46,Data!$U:$U,1))</f>
        <v/>
      </c>
      <c r="U46">
        <f>IF(COUNTIFS(Data!$V:$V,$R46,Data!$U:$U,2,Data!$N:$N,"&lt;&gt;")=0,"",SUMIFS(Data!$N:$N,Data!$V:$V,$R46,Data!$U:$U,2))</f>
        <v/>
      </c>
      <c r="V46">
        <f>IF(COUNTIFS(Data!$V:$V,$R46,Data!$U:$U,3,Data!$N:$N,"&lt;&gt;")=0,"",SUMIFS(Data!$N:$N,Data!$V:$V,$R46,Data!$U:$U,3))</f>
        <v/>
      </c>
      <c r="W46">
        <f>IF(COUNTIFS(Data!$V:$V,$R46,Data!$U:$U,4,Data!$N:$N,"&lt;&gt;")=0,"",SUMIFS(Data!$N:$N,Data!$V:$V,$R46,Data!$U:$U,4))</f>
        <v/>
      </c>
      <c r="X46">
        <f>IF(COUNTIFS(Data!$V:$V,$R46,Data!$U:$U,5,Data!$N:$N,"&lt;&gt;")=0,"",SUMIFS(Data!$N:$N,Data!$V:$V,$R46,Data!$U:$U,5))</f>
        <v/>
      </c>
      <c r="Y46">
        <f>IF(COUNTIFS(Data!$V:$V,$R46,Data!$U:$U,6,Data!$N:$N,"&lt;&gt;")=0,"",SUMIFS(Data!$N:$N,Data!$V:$V,$R46,Data!$U:$U,6))</f>
        <v/>
      </c>
      <c r="Z46">
        <f>IF(COUNTIFS(Data!$V:$V,$R46,Data!$U:$U,7,Data!$N:$N,"&lt;&gt;")=0,"",SUMIFS(Data!$N:$N,Data!$V:$V,$R46,Data!$U:$U,7))</f>
        <v/>
      </c>
      <c r="AA46">
        <f>IF(COUNTIFS(Data!$V:$V,$R46,Data!$U:$U,8,Data!$N:$N,"&lt;&gt;")=0,"",SUMIFS(Data!$N:$N,Data!$V:$V,$R46,Data!$U:$U,8))</f>
        <v/>
      </c>
      <c r="AB46">
        <f>IF(COUNTIFS(Data!$V:$V,$R46,Data!$U:$U,9,Data!$N:$N,"&lt;&gt;")=0,"",SUMIFS(Data!$N:$N,Data!$V:$V,$R46,Data!$U:$U,9))</f>
        <v/>
      </c>
      <c r="AC46">
        <f>IF(COUNTIFS(Data!$V:$V,$R46,Data!$U:$U,10,Data!$N:$N,"&lt;&gt;")=0,"",SUMIFS(Data!$N:$N,Data!$V:$V,$R46,Data!$U:$U,10))</f>
        <v/>
      </c>
      <c r="AD46">
        <f>IF(COUNTIFS(Data!$V:$V,$R46,Data!$U:$U,11,Data!$N:$N,"&lt;&gt;")=0,"",SUMIFS(Data!$N:$N,Data!$V:$V,$R46,Data!$U:$U,11))</f>
        <v/>
      </c>
      <c r="AE46">
        <f>IF(COUNTIFS(Data!$V:$V,$R46,Data!$U:$U,12,Data!$N:$N,"&lt;&gt;")=0,"",SUMIFS(Data!$N:$N,Data!$V:$V,$R46,Data!$U:$U,12))</f>
        <v/>
      </c>
      <c r="AF46">
        <f>IF(COUNTIFS(Data!$V:$V,$R46,Data!$U:$U,13,Data!$N:$N,"&lt;&gt;")=0,"",SUMIFS(Data!$N:$N,Data!$V:$V,$R46,Data!$U:$U,13))</f>
        <v/>
      </c>
      <c r="AG46">
        <f>IF(COUNTIFS(Data!$V:$V,$R46,Data!$U:$U,14,Data!$N:$N,"&lt;&gt;")=0,"",SUMIFS(Data!$N:$N,Data!$V:$V,$R46,Data!$U:$U,14))</f>
        <v/>
      </c>
      <c r="AH46">
        <f>COUNTIFS(Data!$V:$V,$R46,Data!$U:$U,"&lt;="&amp;14,Data!$N:$N,"&lt;&gt;")</f>
        <v/>
      </c>
      <c r="AI46">
        <f>COUNTIFS(Data!$V:$V,$R46,Data!$U:$U,"&lt;="&amp;14,Data!$N:$N,0)</f>
        <v/>
      </c>
      <c r="AJ46">
        <f>IF(AH46=0,"",AH46-AI46)</f>
        <v/>
      </c>
      <c r="AK46">
        <f>IF(AH46=0,"",SUMIFS(Data!$N:$N,Data!$V:$V,$R46,Data!$U:$U,"&lt;="&amp;14))</f>
        <v/>
      </c>
      <c r="AL46">
        <f>IF(AH46=0,"",IF(ABS(MAX(T46:AG46))&gt;=ABS(MIN(T46:AG46)),MAX(T46:AG46),MIN(T46:AG46)))</f>
        <v/>
      </c>
      <c r="AM46">
        <f>IF(AH46=0,-1,AJ46*100000+MIN(ABS(AK46),99999))</f>
        <v/>
      </c>
      <c r="AN46">
        <f>IF($S46="","",1+COUNTIFS($AM$3:$AM$122,"&gt;"&amp;AM46)+COUNTIFS($AM$3:$AM$122,AM46,$R$3:$R$122,"&lt;"&amp;$R46))</f>
        <v/>
      </c>
    </row>
    <row r="47">
      <c r="A47" t="n">
        <v>45</v>
      </c>
      <c r="B47" s="31">
        <f>IFERROR(IF(INDEX(Data!$B:$B,MATCH($A47,Data!$U:$U,0))="","",INDEX(Data!$B:$B,MATCH($A47,Data!$U:$U,0))),"")</f>
        <v/>
      </c>
      <c r="C47">
        <f>IFERROR(IF(INDEX(Data!$D:$D,MATCH($A47,Data!$U:$U,0))="","",INDEX(Data!$D:$D,MATCH($A47,Data!$U:$U,0))),"")</f>
        <v/>
      </c>
      <c r="D47" s="31">
        <f>IFERROR(IF(INDEX(Data!$O:$O,MATCH($A47,Data!$U:$U,0))="","",INDEX(Data!$O:$O,MATCH($A47,Data!$U:$U,0))),"")</f>
        <v/>
      </c>
      <c r="E47">
        <f>COUNTIFS(Data!$U:$U,$A47)</f>
        <v/>
      </c>
      <c r="F47">
        <f>COUNTIFS(Data!$U:$U,$A47,Data!$N:$N,"&lt;&gt;")</f>
        <v/>
      </c>
      <c r="G47">
        <f>COUNTIFS(Data!$U:$U,$A47,Data!$N:$N,0)</f>
        <v/>
      </c>
      <c r="H47">
        <f>IF($F47=0,"",$F47-$G47)</f>
        <v/>
      </c>
      <c r="I47">
        <f>IF($F47=0,"",SUMIFS(Data!$N:$N,Data!$U:$U,$A47))</f>
        <v/>
      </c>
      <c r="J47">
        <f>COUNTIFS(Data!$U:$U,$A47,Data!$Q:$Q,"&lt;&gt;")</f>
        <v/>
      </c>
      <c r="K47">
        <f>IF($J47=0,"",SUMIFS(Data!$Q:$Q,Data!$U:$U,$A47))</f>
        <v/>
      </c>
      <c r="L47">
        <f>COUNTIFS(Data!$U:$U,$A47,Data!$M:$M,"&lt;&gt;")</f>
        <v/>
      </c>
      <c r="M47">
        <f>IF($E47=0,"",IF($L47=0,"not loaded","loaded"))</f>
        <v/>
      </c>
      <c r="N47">
        <f>COUNTIFS(Data!$U:$U,$A47,Data!$I:$I,"&lt;&gt;")</f>
        <v/>
      </c>
      <c r="O47">
        <f>IF($E47=0,"",IF($L47=0,"No POS sales have been loaded for this date, so variance cannot be worked out. Import the sales report for this day and it fills in.",IF($N47=0,"This is the first count of these products, so there is no opening figure to sell down from. Variance starts from the next count.",IF($F47-$G47=0,"Physical and POS agree on every product.",($F47-$G47)&amp;" of "&amp;$F47&amp;" products disagree with the POS. Largest first below."))))</f>
        <v/>
      </c>
      <c r="R47" t="n">
        <v>45</v>
      </c>
      <c r="S47">
        <f>IFERROR(INDEX(Data!$G:$G,MATCH($R47,Data!$V:$V,0)),"")</f>
        <v/>
      </c>
      <c r="T47">
        <f>IF(COUNTIFS(Data!$V:$V,$R47,Data!$U:$U,1,Data!$N:$N,"&lt;&gt;")=0,"",SUMIFS(Data!$N:$N,Data!$V:$V,$R47,Data!$U:$U,1))</f>
        <v/>
      </c>
      <c r="U47">
        <f>IF(COUNTIFS(Data!$V:$V,$R47,Data!$U:$U,2,Data!$N:$N,"&lt;&gt;")=0,"",SUMIFS(Data!$N:$N,Data!$V:$V,$R47,Data!$U:$U,2))</f>
        <v/>
      </c>
      <c r="V47">
        <f>IF(COUNTIFS(Data!$V:$V,$R47,Data!$U:$U,3,Data!$N:$N,"&lt;&gt;")=0,"",SUMIFS(Data!$N:$N,Data!$V:$V,$R47,Data!$U:$U,3))</f>
        <v/>
      </c>
      <c r="W47">
        <f>IF(COUNTIFS(Data!$V:$V,$R47,Data!$U:$U,4,Data!$N:$N,"&lt;&gt;")=0,"",SUMIFS(Data!$N:$N,Data!$V:$V,$R47,Data!$U:$U,4))</f>
        <v/>
      </c>
      <c r="X47">
        <f>IF(COUNTIFS(Data!$V:$V,$R47,Data!$U:$U,5,Data!$N:$N,"&lt;&gt;")=0,"",SUMIFS(Data!$N:$N,Data!$V:$V,$R47,Data!$U:$U,5))</f>
        <v/>
      </c>
      <c r="Y47">
        <f>IF(COUNTIFS(Data!$V:$V,$R47,Data!$U:$U,6,Data!$N:$N,"&lt;&gt;")=0,"",SUMIFS(Data!$N:$N,Data!$V:$V,$R47,Data!$U:$U,6))</f>
        <v/>
      </c>
      <c r="Z47">
        <f>IF(COUNTIFS(Data!$V:$V,$R47,Data!$U:$U,7,Data!$N:$N,"&lt;&gt;")=0,"",SUMIFS(Data!$N:$N,Data!$V:$V,$R47,Data!$U:$U,7))</f>
        <v/>
      </c>
      <c r="AA47">
        <f>IF(COUNTIFS(Data!$V:$V,$R47,Data!$U:$U,8,Data!$N:$N,"&lt;&gt;")=0,"",SUMIFS(Data!$N:$N,Data!$V:$V,$R47,Data!$U:$U,8))</f>
        <v/>
      </c>
      <c r="AB47">
        <f>IF(COUNTIFS(Data!$V:$V,$R47,Data!$U:$U,9,Data!$N:$N,"&lt;&gt;")=0,"",SUMIFS(Data!$N:$N,Data!$V:$V,$R47,Data!$U:$U,9))</f>
        <v/>
      </c>
      <c r="AC47">
        <f>IF(COUNTIFS(Data!$V:$V,$R47,Data!$U:$U,10,Data!$N:$N,"&lt;&gt;")=0,"",SUMIFS(Data!$N:$N,Data!$V:$V,$R47,Data!$U:$U,10))</f>
        <v/>
      </c>
      <c r="AD47">
        <f>IF(COUNTIFS(Data!$V:$V,$R47,Data!$U:$U,11,Data!$N:$N,"&lt;&gt;")=0,"",SUMIFS(Data!$N:$N,Data!$V:$V,$R47,Data!$U:$U,11))</f>
        <v/>
      </c>
      <c r="AE47">
        <f>IF(COUNTIFS(Data!$V:$V,$R47,Data!$U:$U,12,Data!$N:$N,"&lt;&gt;")=0,"",SUMIFS(Data!$N:$N,Data!$V:$V,$R47,Data!$U:$U,12))</f>
        <v/>
      </c>
      <c r="AF47">
        <f>IF(COUNTIFS(Data!$V:$V,$R47,Data!$U:$U,13,Data!$N:$N,"&lt;&gt;")=0,"",SUMIFS(Data!$N:$N,Data!$V:$V,$R47,Data!$U:$U,13))</f>
        <v/>
      </c>
      <c r="AG47">
        <f>IF(COUNTIFS(Data!$V:$V,$R47,Data!$U:$U,14,Data!$N:$N,"&lt;&gt;")=0,"",SUMIFS(Data!$N:$N,Data!$V:$V,$R47,Data!$U:$U,14))</f>
        <v/>
      </c>
      <c r="AH47">
        <f>COUNTIFS(Data!$V:$V,$R47,Data!$U:$U,"&lt;="&amp;14,Data!$N:$N,"&lt;&gt;")</f>
        <v/>
      </c>
      <c r="AI47">
        <f>COUNTIFS(Data!$V:$V,$R47,Data!$U:$U,"&lt;="&amp;14,Data!$N:$N,0)</f>
        <v/>
      </c>
      <c r="AJ47">
        <f>IF(AH47=0,"",AH47-AI47)</f>
        <v/>
      </c>
      <c r="AK47">
        <f>IF(AH47=0,"",SUMIFS(Data!$N:$N,Data!$V:$V,$R47,Data!$U:$U,"&lt;="&amp;14))</f>
        <v/>
      </c>
      <c r="AL47">
        <f>IF(AH47=0,"",IF(ABS(MAX(T47:AG47))&gt;=ABS(MIN(T47:AG47)),MAX(T47:AG47),MIN(T47:AG47)))</f>
        <v/>
      </c>
      <c r="AM47">
        <f>IF(AH47=0,-1,AJ47*100000+MIN(ABS(AK47),99999))</f>
        <v/>
      </c>
      <c r="AN47">
        <f>IF($S47="","",1+COUNTIFS($AM$3:$AM$122,"&gt;"&amp;AM47)+COUNTIFS($AM$3:$AM$122,AM47,$R$3:$R$122,"&lt;"&amp;$R47))</f>
        <v/>
      </c>
    </row>
    <row r="48">
      <c r="A48" t="n">
        <v>46</v>
      </c>
      <c r="B48" s="31">
        <f>IFERROR(IF(INDEX(Data!$B:$B,MATCH($A48,Data!$U:$U,0))="","",INDEX(Data!$B:$B,MATCH($A48,Data!$U:$U,0))),"")</f>
        <v/>
      </c>
      <c r="C48">
        <f>IFERROR(IF(INDEX(Data!$D:$D,MATCH($A48,Data!$U:$U,0))="","",INDEX(Data!$D:$D,MATCH($A48,Data!$U:$U,0))),"")</f>
        <v/>
      </c>
      <c r="D48" s="31">
        <f>IFERROR(IF(INDEX(Data!$O:$O,MATCH($A48,Data!$U:$U,0))="","",INDEX(Data!$O:$O,MATCH($A48,Data!$U:$U,0))),"")</f>
        <v/>
      </c>
      <c r="E48">
        <f>COUNTIFS(Data!$U:$U,$A48)</f>
        <v/>
      </c>
      <c r="F48">
        <f>COUNTIFS(Data!$U:$U,$A48,Data!$N:$N,"&lt;&gt;")</f>
        <v/>
      </c>
      <c r="G48">
        <f>COUNTIFS(Data!$U:$U,$A48,Data!$N:$N,0)</f>
        <v/>
      </c>
      <c r="H48">
        <f>IF($F48=0,"",$F48-$G48)</f>
        <v/>
      </c>
      <c r="I48">
        <f>IF($F48=0,"",SUMIFS(Data!$N:$N,Data!$U:$U,$A48))</f>
        <v/>
      </c>
      <c r="J48">
        <f>COUNTIFS(Data!$U:$U,$A48,Data!$Q:$Q,"&lt;&gt;")</f>
        <v/>
      </c>
      <c r="K48">
        <f>IF($J48=0,"",SUMIFS(Data!$Q:$Q,Data!$U:$U,$A48))</f>
        <v/>
      </c>
      <c r="L48">
        <f>COUNTIFS(Data!$U:$U,$A48,Data!$M:$M,"&lt;&gt;")</f>
        <v/>
      </c>
      <c r="M48">
        <f>IF($E48=0,"",IF($L48=0,"not loaded","loaded"))</f>
        <v/>
      </c>
      <c r="N48">
        <f>COUNTIFS(Data!$U:$U,$A48,Data!$I:$I,"&lt;&gt;")</f>
        <v/>
      </c>
      <c r="O48">
        <f>IF($E48=0,"",IF($L48=0,"No POS sales have been loaded for this date, so variance cannot be worked out. Import the sales report for this day and it fills in.",IF($N48=0,"This is the first count of these products, so there is no opening figure to sell down from. Variance starts from the next count.",IF($F48-$G48=0,"Physical and POS agree on every product.",($F48-$G48)&amp;" of "&amp;$F48&amp;" products disagree with the POS. Largest first below."))))</f>
        <v/>
      </c>
      <c r="R48" t="n">
        <v>46</v>
      </c>
      <c r="S48">
        <f>IFERROR(INDEX(Data!$G:$G,MATCH($R48,Data!$V:$V,0)),"")</f>
        <v/>
      </c>
      <c r="T48">
        <f>IF(COUNTIFS(Data!$V:$V,$R48,Data!$U:$U,1,Data!$N:$N,"&lt;&gt;")=0,"",SUMIFS(Data!$N:$N,Data!$V:$V,$R48,Data!$U:$U,1))</f>
        <v/>
      </c>
      <c r="U48">
        <f>IF(COUNTIFS(Data!$V:$V,$R48,Data!$U:$U,2,Data!$N:$N,"&lt;&gt;")=0,"",SUMIFS(Data!$N:$N,Data!$V:$V,$R48,Data!$U:$U,2))</f>
        <v/>
      </c>
      <c r="V48">
        <f>IF(COUNTIFS(Data!$V:$V,$R48,Data!$U:$U,3,Data!$N:$N,"&lt;&gt;")=0,"",SUMIFS(Data!$N:$N,Data!$V:$V,$R48,Data!$U:$U,3))</f>
        <v/>
      </c>
      <c r="W48">
        <f>IF(COUNTIFS(Data!$V:$V,$R48,Data!$U:$U,4,Data!$N:$N,"&lt;&gt;")=0,"",SUMIFS(Data!$N:$N,Data!$V:$V,$R48,Data!$U:$U,4))</f>
        <v/>
      </c>
      <c r="X48">
        <f>IF(COUNTIFS(Data!$V:$V,$R48,Data!$U:$U,5,Data!$N:$N,"&lt;&gt;")=0,"",SUMIFS(Data!$N:$N,Data!$V:$V,$R48,Data!$U:$U,5))</f>
        <v/>
      </c>
      <c r="Y48">
        <f>IF(COUNTIFS(Data!$V:$V,$R48,Data!$U:$U,6,Data!$N:$N,"&lt;&gt;")=0,"",SUMIFS(Data!$N:$N,Data!$V:$V,$R48,Data!$U:$U,6))</f>
        <v/>
      </c>
      <c r="Z48">
        <f>IF(COUNTIFS(Data!$V:$V,$R48,Data!$U:$U,7,Data!$N:$N,"&lt;&gt;")=0,"",SUMIFS(Data!$N:$N,Data!$V:$V,$R48,Data!$U:$U,7))</f>
        <v/>
      </c>
      <c r="AA48">
        <f>IF(COUNTIFS(Data!$V:$V,$R48,Data!$U:$U,8,Data!$N:$N,"&lt;&gt;")=0,"",SUMIFS(Data!$N:$N,Data!$V:$V,$R48,Data!$U:$U,8))</f>
        <v/>
      </c>
      <c r="AB48">
        <f>IF(COUNTIFS(Data!$V:$V,$R48,Data!$U:$U,9,Data!$N:$N,"&lt;&gt;")=0,"",SUMIFS(Data!$N:$N,Data!$V:$V,$R48,Data!$U:$U,9))</f>
        <v/>
      </c>
      <c r="AC48">
        <f>IF(COUNTIFS(Data!$V:$V,$R48,Data!$U:$U,10,Data!$N:$N,"&lt;&gt;")=0,"",SUMIFS(Data!$N:$N,Data!$V:$V,$R48,Data!$U:$U,10))</f>
        <v/>
      </c>
      <c r="AD48">
        <f>IF(COUNTIFS(Data!$V:$V,$R48,Data!$U:$U,11,Data!$N:$N,"&lt;&gt;")=0,"",SUMIFS(Data!$N:$N,Data!$V:$V,$R48,Data!$U:$U,11))</f>
        <v/>
      </c>
      <c r="AE48">
        <f>IF(COUNTIFS(Data!$V:$V,$R48,Data!$U:$U,12,Data!$N:$N,"&lt;&gt;")=0,"",SUMIFS(Data!$N:$N,Data!$V:$V,$R48,Data!$U:$U,12))</f>
        <v/>
      </c>
      <c r="AF48">
        <f>IF(COUNTIFS(Data!$V:$V,$R48,Data!$U:$U,13,Data!$N:$N,"&lt;&gt;")=0,"",SUMIFS(Data!$N:$N,Data!$V:$V,$R48,Data!$U:$U,13))</f>
        <v/>
      </c>
      <c r="AG48">
        <f>IF(COUNTIFS(Data!$V:$V,$R48,Data!$U:$U,14,Data!$N:$N,"&lt;&gt;")=0,"",SUMIFS(Data!$N:$N,Data!$V:$V,$R48,Data!$U:$U,14))</f>
        <v/>
      </c>
      <c r="AH48">
        <f>COUNTIFS(Data!$V:$V,$R48,Data!$U:$U,"&lt;="&amp;14,Data!$N:$N,"&lt;&gt;")</f>
        <v/>
      </c>
      <c r="AI48">
        <f>COUNTIFS(Data!$V:$V,$R48,Data!$U:$U,"&lt;="&amp;14,Data!$N:$N,0)</f>
        <v/>
      </c>
      <c r="AJ48">
        <f>IF(AH48=0,"",AH48-AI48)</f>
        <v/>
      </c>
      <c r="AK48">
        <f>IF(AH48=0,"",SUMIFS(Data!$N:$N,Data!$V:$V,$R48,Data!$U:$U,"&lt;="&amp;14))</f>
        <v/>
      </c>
      <c r="AL48">
        <f>IF(AH48=0,"",IF(ABS(MAX(T48:AG48))&gt;=ABS(MIN(T48:AG48)),MAX(T48:AG48),MIN(T48:AG48)))</f>
        <v/>
      </c>
      <c r="AM48">
        <f>IF(AH48=0,-1,AJ48*100000+MIN(ABS(AK48),99999))</f>
        <v/>
      </c>
      <c r="AN48">
        <f>IF($S48="","",1+COUNTIFS($AM$3:$AM$122,"&gt;"&amp;AM48)+COUNTIFS($AM$3:$AM$122,AM48,$R$3:$R$122,"&lt;"&amp;$R48))</f>
        <v/>
      </c>
    </row>
    <row r="49">
      <c r="A49" t="n">
        <v>47</v>
      </c>
      <c r="B49" s="31">
        <f>IFERROR(IF(INDEX(Data!$B:$B,MATCH($A49,Data!$U:$U,0))="","",INDEX(Data!$B:$B,MATCH($A49,Data!$U:$U,0))),"")</f>
        <v/>
      </c>
      <c r="C49">
        <f>IFERROR(IF(INDEX(Data!$D:$D,MATCH($A49,Data!$U:$U,0))="","",INDEX(Data!$D:$D,MATCH($A49,Data!$U:$U,0))),"")</f>
        <v/>
      </c>
      <c r="D49" s="31">
        <f>IFERROR(IF(INDEX(Data!$O:$O,MATCH($A49,Data!$U:$U,0))="","",INDEX(Data!$O:$O,MATCH($A49,Data!$U:$U,0))),"")</f>
        <v/>
      </c>
      <c r="E49">
        <f>COUNTIFS(Data!$U:$U,$A49)</f>
        <v/>
      </c>
      <c r="F49">
        <f>COUNTIFS(Data!$U:$U,$A49,Data!$N:$N,"&lt;&gt;")</f>
        <v/>
      </c>
      <c r="G49">
        <f>COUNTIFS(Data!$U:$U,$A49,Data!$N:$N,0)</f>
        <v/>
      </c>
      <c r="H49">
        <f>IF($F49=0,"",$F49-$G49)</f>
        <v/>
      </c>
      <c r="I49">
        <f>IF($F49=0,"",SUMIFS(Data!$N:$N,Data!$U:$U,$A49))</f>
        <v/>
      </c>
      <c r="J49">
        <f>COUNTIFS(Data!$U:$U,$A49,Data!$Q:$Q,"&lt;&gt;")</f>
        <v/>
      </c>
      <c r="K49">
        <f>IF($J49=0,"",SUMIFS(Data!$Q:$Q,Data!$U:$U,$A49))</f>
        <v/>
      </c>
      <c r="L49">
        <f>COUNTIFS(Data!$U:$U,$A49,Data!$M:$M,"&lt;&gt;")</f>
        <v/>
      </c>
      <c r="M49">
        <f>IF($E49=0,"",IF($L49=0,"not loaded","loaded"))</f>
        <v/>
      </c>
      <c r="N49">
        <f>COUNTIFS(Data!$U:$U,$A49,Data!$I:$I,"&lt;&gt;")</f>
        <v/>
      </c>
      <c r="O49">
        <f>IF($E49=0,"",IF($L49=0,"No POS sales have been loaded for this date, so variance cannot be worked out. Import the sales report for this day and it fills in.",IF($N49=0,"This is the first count of these products, so there is no opening figure to sell down from. Variance starts from the next count.",IF($F49-$G49=0,"Physical and POS agree on every product.",($F49-$G49)&amp;" of "&amp;$F49&amp;" products disagree with the POS. Largest first below."))))</f>
        <v/>
      </c>
      <c r="R49" t="n">
        <v>47</v>
      </c>
      <c r="S49">
        <f>IFERROR(INDEX(Data!$G:$G,MATCH($R49,Data!$V:$V,0)),"")</f>
        <v/>
      </c>
      <c r="T49">
        <f>IF(COUNTIFS(Data!$V:$V,$R49,Data!$U:$U,1,Data!$N:$N,"&lt;&gt;")=0,"",SUMIFS(Data!$N:$N,Data!$V:$V,$R49,Data!$U:$U,1))</f>
        <v/>
      </c>
      <c r="U49">
        <f>IF(COUNTIFS(Data!$V:$V,$R49,Data!$U:$U,2,Data!$N:$N,"&lt;&gt;")=0,"",SUMIFS(Data!$N:$N,Data!$V:$V,$R49,Data!$U:$U,2))</f>
        <v/>
      </c>
      <c r="V49">
        <f>IF(COUNTIFS(Data!$V:$V,$R49,Data!$U:$U,3,Data!$N:$N,"&lt;&gt;")=0,"",SUMIFS(Data!$N:$N,Data!$V:$V,$R49,Data!$U:$U,3))</f>
        <v/>
      </c>
      <c r="W49">
        <f>IF(COUNTIFS(Data!$V:$V,$R49,Data!$U:$U,4,Data!$N:$N,"&lt;&gt;")=0,"",SUMIFS(Data!$N:$N,Data!$V:$V,$R49,Data!$U:$U,4))</f>
        <v/>
      </c>
      <c r="X49">
        <f>IF(COUNTIFS(Data!$V:$V,$R49,Data!$U:$U,5,Data!$N:$N,"&lt;&gt;")=0,"",SUMIFS(Data!$N:$N,Data!$V:$V,$R49,Data!$U:$U,5))</f>
        <v/>
      </c>
      <c r="Y49">
        <f>IF(COUNTIFS(Data!$V:$V,$R49,Data!$U:$U,6,Data!$N:$N,"&lt;&gt;")=0,"",SUMIFS(Data!$N:$N,Data!$V:$V,$R49,Data!$U:$U,6))</f>
        <v/>
      </c>
      <c r="Z49">
        <f>IF(COUNTIFS(Data!$V:$V,$R49,Data!$U:$U,7,Data!$N:$N,"&lt;&gt;")=0,"",SUMIFS(Data!$N:$N,Data!$V:$V,$R49,Data!$U:$U,7))</f>
        <v/>
      </c>
      <c r="AA49">
        <f>IF(COUNTIFS(Data!$V:$V,$R49,Data!$U:$U,8,Data!$N:$N,"&lt;&gt;")=0,"",SUMIFS(Data!$N:$N,Data!$V:$V,$R49,Data!$U:$U,8))</f>
        <v/>
      </c>
      <c r="AB49">
        <f>IF(COUNTIFS(Data!$V:$V,$R49,Data!$U:$U,9,Data!$N:$N,"&lt;&gt;")=0,"",SUMIFS(Data!$N:$N,Data!$V:$V,$R49,Data!$U:$U,9))</f>
        <v/>
      </c>
      <c r="AC49">
        <f>IF(COUNTIFS(Data!$V:$V,$R49,Data!$U:$U,10,Data!$N:$N,"&lt;&gt;")=0,"",SUMIFS(Data!$N:$N,Data!$V:$V,$R49,Data!$U:$U,10))</f>
        <v/>
      </c>
      <c r="AD49">
        <f>IF(COUNTIFS(Data!$V:$V,$R49,Data!$U:$U,11,Data!$N:$N,"&lt;&gt;")=0,"",SUMIFS(Data!$N:$N,Data!$V:$V,$R49,Data!$U:$U,11))</f>
        <v/>
      </c>
      <c r="AE49">
        <f>IF(COUNTIFS(Data!$V:$V,$R49,Data!$U:$U,12,Data!$N:$N,"&lt;&gt;")=0,"",SUMIFS(Data!$N:$N,Data!$V:$V,$R49,Data!$U:$U,12))</f>
        <v/>
      </c>
      <c r="AF49">
        <f>IF(COUNTIFS(Data!$V:$V,$R49,Data!$U:$U,13,Data!$N:$N,"&lt;&gt;")=0,"",SUMIFS(Data!$N:$N,Data!$V:$V,$R49,Data!$U:$U,13))</f>
        <v/>
      </c>
      <c r="AG49">
        <f>IF(COUNTIFS(Data!$V:$V,$R49,Data!$U:$U,14,Data!$N:$N,"&lt;&gt;")=0,"",SUMIFS(Data!$N:$N,Data!$V:$V,$R49,Data!$U:$U,14))</f>
        <v/>
      </c>
      <c r="AH49">
        <f>COUNTIFS(Data!$V:$V,$R49,Data!$U:$U,"&lt;="&amp;14,Data!$N:$N,"&lt;&gt;")</f>
        <v/>
      </c>
      <c r="AI49">
        <f>COUNTIFS(Data!$V:$V,$R49,Data!$U:$U,"&lt;="&amp;14,Data!$N:$N,0)</f>
        <v/>
      </c>
      <c r="AJ49">
        <f>IF(AH49=0,"",AH49-AI49)</f>
        <v/>
      </c>
      <c r="AK49">
        <f>IF(AH49=0,"",SUMIFS(Data!$N:$N,Data!$V:$V,$R49,Data!$U:$U,"&lt;="&amp;14))</f>
        <v/>
      </c>
      <c r="AL49">
        <f>IF(AH49=0,"",IF(ABS(MAX(T49:AG49))&gt;=ABS(MIN(T49:AG49)),MAX(T49:AG49),MIN(T49:AG49)))</f>
        <v/>
      </c>
      <c r="AM49">
        <f>IF(AH49=0,-1,AJ49*100000+MIN(ABS(AK49),99999))</f>
        <v/>
      </c>
      <c r="AN49">
        <f>IF($S49="","",1+COUNTIFS($AM$3:$AM$122,"&gt;"&amp;AM49)+COUNTIFS($AM$3:$AM$122,AM49,$R$3:$R$122,"&lt;"&amp;$R49))</f>
        <v/>
      </c>
    </row>
    <row r="50">
      <c r="A50" t="n">
        <v>48</v>
      </c>
      <c r="B50" s="31">
        <f>IFERROR(IF(INDEX(Data!$B:$B,MATCH($A50,Data!$U:$U,0))="","",INDEX(Data!$B:$B,MATCH($A50,Data!$U:$U,0))),"")</f>
        <v/>
      </c>
      <c r="C50">
        <f>IFERROR(IF(INDEX(Data!$D:$D,MATCH($A50,Data!$U:$U,0))="","",INDEX(Data!$D:$D,MATCH($A50,Data!$U:$U,0))),"")</f>
        <v/>
      </c>
      <c r="D50" s="31">
        <f>IFERROR(IF(INDEX(Data!$O:$O,MATCH($A50,Data!$U:$U,0))="","",INDEX(Data!$O:$O,MATCH($A50,Data!$U:$U,0))),"")</f>
        <v/>
      </c>
      <c r="E50">
        <f>COUNTIFS(Data!$U:$U,$A50)</f>
        <v/>
      </c>
      <c r="F50">
        <f>COUNTIFS(Data!$U:$U,$A50,Data!$N:$N,"&lt;&gt;")</f>
        <v/>
      </c>
      <c r="G50">
        <f>COUNTIFS(Data!$U:$U,$A50,Data!$N:$N,0)</f>
        <v/>
      </c>
      <c r="H50">
        <f>IF($F50=0,"",$F50-$G50)</f>
        <v/>
      </c>
      <c r="I50">
        <f>IF($F50=0,"",SUMIFS(Data!$N:$N,Data!$U:$U,$A50))</f>
        <v/>
      </c>
      <c r="J50">
        <f>COUNTIFS(Data!$U:$U,$A50,Data!$Q:$Q,"&lt;&gt;")</f>
        <v/>
      </c>
      <c r="K50">
        <f>IF($J50=0,"",SUMIFS(Data!$Q:$Q,Data!$U:$U,$A50))</f>
        <v/>
      </c>
      <c r="L50">
        <f>COUNTIFS(Data!$U:$U,$A50,Data!$M:$M,"&lt;&gt;")</f>
        <v/>
      </c>
      <c r="M50">
        <f>IF($E50=0,"",IF($L50=0,"not loaded","loaded"))</f>
        <v/>
      </c>
      <c r="N50">
        <f>COUNTIFS(Data!$U:$U,$A50,Data!$I:$I,"&lt;&gt;")</f>
        <v/>
      </c>
      <c r="O50">
        <f>IF($E50=0,"",IF($L50=0,"No POS sales have been loaded for this date, so variance cannot be worked out. Import the sales report for this day and it fills in.",IF($N50=0,"This is the first count of these products, so there is no opening figure to sell down from. Variance starts from the next count.",IF($F50-$G50=0,"Physical and POS agree on every product.",($F50-$G50)&amp;" of "&amp;$F50&amp;" products disagree with the POS. Largest first below."))))</f>
        <v/>
      </c>
      <c r="R50" t="n">
        <v>48</v>
      </c>
      <c r="S50">
        <f>IFERROR(INDEX(Data!$G:$G,MATCH($R50,Data!$V:$V,0)),"")</f>
        <v/>
      </c>
      <c r="T50">
        <f>IF(COUNTIFS(Data!$V:$V,$R50,Data!$U:$U,1,Data!$N:$N,"&lt;&gt;")=0,"",SUMIFS(Data!$N:$N,Data!$V:$V,$R50,Data!$U:$U,1))</f>
        <v/>
      </c>
      <c r="U50">
        <f>IF(COUNTIFS(Data!$V:$V,$R50,Data!$U:$U,2,Data!$N:$N,"&lt;&gt;")=0,"",SUMIFS(Data!$N:$N,Data!$V:$V,$R50,Data!$U:$U,2))</f>
        <v/>
      </c>
      <c r="V50">
        <f>IF(COUNTIFS(Data!$V:$V,$R50,Data!$U:$U,3,Data!$N:$N,"&lt;&gt;")=0,"",SUMIFS(Data!$N:$N,Data!$V:$V,$R50,Data!$U:$U,3))</f>
        <v/>
      </c>
      <c r="W50">
        <f>IF(COUNTIFS(Data!$V:$V,$R50,Data!$U:$U,4,Data!$N:$N,"&lt;&gt;")=0,"",SUMIFS(Data!$N:$N,Data!$V:$V,$R50,Data!$U:$U,4))</f>
        <v/>
      </c>
      <c r="X50">
        <f>IF(COUNTIFS(Data!$V:$V,$R50,Data!$U:$U,5,Data!$N:$N,"&lt;&gt;")=0,"",SUMIFS(Data!$N:$N,Data!$V:$V,$R50,Data!$U:$U,5))</f>
        <v/>
      </c>
      <c r="Y50">
        <f>IF(COUNTIFS(Data!$V:$V,$R50,Data!$U:$U,6,Data!$N:$N,"&lt;&gt;")=0,"",SUMIFS(Data!$N:$N,Data!$V:$V,$R50,Data!$U:$U,6))</f>
        <v/>
      </c>
      <c r="Z50">
        <f>IF(COUNTIFS(Data!$V:$V,$R50,Data!$U:$U,7,Data!$N:$N,"&lt;&gt;")=0,"",SUMIFS(Data!$N:$N,Data!$V:$V,$R50,Data!$U:$U,7))</f>
        <v/>
      </c>
      <c r="AA50">
        <f>IF(COUNTIFS(Data!$V:$V,$R50,Data!$U:$U,8,Data!$N:$N,"&lt;&gt;")=0,"",SUMIFS(Data!$N:$N,Data!$V:$V,$R50,Data!$U:$U,8))</f>
        <v/>
      </c>
      <c r="AB50">
        <f>IF(COUNTIFS(Data!$V:$V,$R50,Data!$U:$U,9,Data!$N:$N,"&lt;&gt;")=0,"",SUMIFS(Data!$N:$N,Data!$V:$V,$R50,Data!$U:$U,9))</f>
        <v/>
      </c>
      <c r="AC50">
        <f>IF(COUNTIFS(Data!$V:$V,$R50,Data!$U:$U,10,Data!$N:$N,"&lt;&gt;")=0,"",SUMIFS(Data!$N:$N,Data!$V:$V,$R50,Data!$U:$U,10))</f>
        <v/>
      </c>
      <c r="AD50">
        <f>IF(COUNTIFS(Data!$V:$V,$R50,Data!$U:$U,11,Data!$N:$N,"&lt;&gt;")=0,"",SUMIFS(Data!$N:$N,Data!$V:$V,$R50,Data!$U:$U,11))</f>
        <v/>
      </c>
      <c r="AE50">
        <f>IF(COUNTIFS(Data!$V:$V,$R50,Data!$U:$U,12,Data!$N:$N,"&lt;&gt;")=0,"",SUMIFS(Data!$N:$N,Data!$V:$V,$R50,Data!$U:$U,12))</f>
        <v/>
      </c>
      <c r="AF50">
        <f>IF(COUNTIFS(Data!$V:$V,$R50,Data!$U:$U,13,Data!$N:$N,"&lt;&gt;")=0,"",SUMIFS(Data!$N:$N,Data!$V:$V,$R50,Data!$U:$U,13))</f>
        <v/>
      </c>
      <c r="AG50">
        <f>IF(COUNTIFS(Data!$V:$V,$R50,Data!$U:$U,14,Data!$N:$N,"&lt;&gt;")=0,"",SUMIFS(Data!$N:$N,Data!$V:$V,$R50,Data!$U:$U,14))</f>
        <v/>
      </c>
      <c r="AH50">
        <f>COUNTIFS(Data!$V:$V,$R50,Data!$U:$U,"&lt;="&amp;14,Data!$N:$N,"&lt;&gt;")</f>
        <v/>
      </c>
      <c r="AI50">
        <f>COUNTIFS(Data!$V:$V,$R50,Data!$U:$U,"&lt;="&amp;14,Data!$N:$N,0)</f>
        <v/>
      </c>
      <c r="AJ50">
        <f>IF(AH50=0,"",AH50-AI50)</f>
        <v/>
      </c>
      <c r="AK50">
        <f>IF(AH50=0,"",SUMIFS(Data!$N:$N,Data!$V:$V,$R50,Data!$U:$U,"&lt;="&amp;14))</f>
        <v/>
      </c>
      <c r="AL50">
        <f>IF(AH50=0,"",IF(ABS(MAX(T50:AG50))&gt;=ABS(MIN(T50:AG50)),MAX(T50:AG50),MIN(T50:AG50)))</f>
        <v/>
      </c>
      <c r="AM50">
        <f>IF(AH50=0,-1,AJ50*100000+MIN(ABS(AK50),99999))</f>
        <v/>
      </c>
      <c r="AN50">
        <f>IF($S50="","",1+COUNTIFS($AM$3:$AM$122,"&gt;"&amp;AM50)+COUNTIFS($AM$3:$AM$122,AM50,$R$3:$R$122,"&lt;"&amp;$R50))</f>
        <v/>
      </c>
    </row>
    <row r="51">
      <c r="A51" t="n">
        <v>49</v>
      </c>
      <c r="B51" s="31">
        <f>IFERROR(IF(INDEX(Data!$B:$B,MATCH($A51,Data!$U:$U,0))="","",INDEX(Data!$B:$B,MATCH($A51,Data!$U:$U,0))),"")</f>
        <v/>
      </c>
      <c r="C51">
        <f>IFERROR(IF(INDEX(Data!$D:$D,MATCH($A51,Data!$U:$U,0))="","",INDEX(Data!$D:$D,MATCH($A51,Data!$U:$U,0))),"")</f>
        <v/>
      </c>
      <c r="D51" s="31">
        <f>IFERROR(IF(INDEX(Data!$O:$O,MATCH($A51,Data!$U:$U,0))="","",INDEX(Data!$O:$O,MATCH($A51,Data!$U:$U,0))),"")</f>
        <v/>
      </c>
      <c r="E51">
        <f>COUNTIFS(Data!$U:$U,$A51)</f>
        <v/>
      </c>
      <c r="F51">
        <f>COUNTIFS(Data!$U:$U,$A51,Data!$N:$N,"&lt;&gt;")</f>
        <v/>
      </c>
      <c r="G51">
        <f>COUNTIFS(Data!$U:$U,$A51,Data!$N:$N,0)</f>
        <v/>
      </c>
      <c r="H51">
        <f>IF($F51=0,"",$F51-$G51)</f>
        <v/>
      </c>
      <c r="I51">
        <f>IF($F51=0,"",SUMIFS(Data!$N:$N,Data!$U:$U,$A51))</f>
        <v/>
      </c>
      <c r="J51">
        <f>COUNTIFS(Data!$U:$U,$A51,Data!$Q:$Q,"&lt;&gt;")</f>
        <v/>
      </c>
      <c r="K51">
        <f>IF($J51=0,"",SUMIFS(Data!$Q:$Q,Data!$U:$U,$A51))</f>
        <v/>
      </c>
      <c r="L51">
        <f>COUNTIFS(Data!$U:$U,$A51,Data!$M:$M,"&lt;&gt;")</f>
        <v/>
      </c>
      <c r="M51">
        <f>IF($E51=0,"",IF($L51=0,"not loaded","loaded"))</f>
        <v/>
      </c>
      <c r="N51">
        <f>COUNTIFS(Data!$U:$U,$A51,Data!$I:$I,"&lt;&gt;")</f>
        <v/>
      </c>
      <c r="O51">
        <f>IF($E51=0,"",IF($L51=0,"No POS sales have been loaded for this date, so variance cannot be worked out. Import the sales report for this day and it fills in.",IF($N51=0,"This is the first count of these products, so there is no opening figure to sell down from. Variance starts from the next count.",IF($F51-$G51=0,"Physical and POS agree on every product.",($F51-$G51)&amp;" of "&amp;$F51&amp;" products disagree with the POS. Largest first below."))))</f>
        <v/>
      </c>
      <c r="R51" t="n">
        <v>49</v>
      </c>
      <c r="S51">
        <f>IFERROR(INDEX(Data!$G:$G,MATCH($R51,Data!$V:$V,0)),"")</f>
        <v/>
      </c>
      <c r="T51">
        <f>IF(COUNTIFS(Data!$V:$V,$R51,Data!$U:$U,1,Data!$N:$N,"&lt;&gt;")=0,"",SUMIFS(Data!$N:$N,Data!$V:$V,$R51,Data!$U:$U,1))</f>
        <v/>
      </c>
      <c r="U51">
        <f>IF(COUNTIFS(Data!$V:$V,$R51,Data!$U:$U,2,Data!$N:$N,"&lt;&gt;")=0,"",SUMIFS(Data!$N:$N,Data!$V:$V,$R51,Data!$U:$U,2))</f>
        <v/>
      </c>
      <c r="V51">
        <f>IF(COUNTIFS(Data!$V:$V,$R51,Data!$U:$U,3,Data!$N:$N,"&lt;&gt;")=0,"",SUMIFS(Data!$N:$N,Data!$V:$V,$R51,Data!$U:$U,3))</f>
        <v/>
      </c>
      <c r="W51">
        <f>IF(COUNTIFS(Data!$V:$V,$R51,Data!$U:$U,4,Data!$N:$N,"&lt;&gt;")=0,"",SUMIFS(Data!$N:$N,Data!$V:$V,$R51,Data!$U:$U,4))</f>
        <v/>
      </c>
      <c r="X51">
        <f>IF(COUNTIFS(Data!$V:$V,$R51,Data!$U:$U,5,Data!$N:$N,"&lt;&gt;")=0,"",SUMIFS(Data!$N:$N,Data!$V:$V,$R51,Data!$U:$U,5))</f>
        <v/>
      </c>
      <c r="Y51">
        <f>IF(COUNTIFS(Data!$V:$V,$R51,Data!$U:$U,6,Data!$N:$N,"&lt;&gt;")=0,"",SUMIFS(Data!$N:$N,Data!$V:$V,$R51,Data!$U:$U,6))</f>
        <v/>
      </c>
      <c r="Z51">
        <f>IF(COUNTIFS(Data!$V:$V,$R51,Data!$U:$U,7,Data!$N:$N,"&lt;&gt;")=0,"",SUMIFS(Data!$N:$N,Data!$V:$V,$R51,Data!$U:$U,7))</f>
        <v/>
      </c>
      <c r="AA51">
        <f>IF(COUNTIFS(Data!$V:$V,$R51,Data!$U:$U,8,Data!$N:$N,"&lt;&gt;")=0,"",SUMIFS(Data!$N:$N,Data!$V:$V,$R51,Data!$U:$U,8))</f>
        <v/>
      </c>
      <c r="AB51">
        <f>IF(COUNTIFS(Data!$V:$V,$R51,Data!$U:$U,9,Data!$N:$N,"&lt;&gt;")=0,"",SUMIFS(Data!$N:$N,Data!$V:$V,$R51,Data!$U:$U,9))</f>
        <v/>
      </c>
      <c r="AC51">
        <f>IF(COUNTIFS(Data!$V:$V,$R51,Data!$U:$U,10,Data!$N:$N,"&lt;&gt;")=0,"",SUMIFS(Data!$N:$N,Data!$V:$V,$R51,Data!$U:$U,10))</f>
        <v/>
      </c>
      <c r="AD51">
        <f>IF(COUNTIFS(Data!$V:$V,$R51,Data!$U:$U,11,Data!$N:$N,"&lt;&gt;")=0,"",SUMIFS(Data!$N:$N,Data!$V:$V,$R51,Data!$U:$U,11))</f>
        <v/>
      </c>
      <c r="AE51">
        <f>IF(COUNTIFS(Data!$V:$V,$R51,Data!$U:$U,12,Data!$N:$N,"&lt;&gt;")=0,"",SUMIFS(Data!$N:$N,Data!$V:$V,$R51,Data!$U:$U,12))</f>
        <v/>
      </c>
      <c r="AF51">
        <f>IF(COUNTIFS(Data!$V:$V,$R51,Data!$U:$U,13,Data!$N:$N,"&lt;&gt;")=0,"",SUMIFS(Data!$N:$N,Data!$V:$V,$R51,Data!$U:$U,13))</f>
        <v/>
      </c>
      <c r="AG51">
        <f>IF(COUNTIFS(Data!$V:$V,$R51,Data!$U:$U,14,Data!$N:$N,"&lt;&gt;")=0,"",SUMIFS(Data!$N:$N,Data!$V:$V,$R51,Data!$U:$U,14))</f>
        <v/>
      </c>
      <c r="AH51">
        <f>COUNTIFS(Data!$V:$V,$R51,Data!$U:$U,"&lt;="&amp;14,Data!$N:$N,"&lt;&gt;")</f>
        <v/>
      </c>
      <c r="AI51">
        <f>COUNTIFS(Data!$V:$V,$R51,Data!$U:$U,"&lt;="&amp;14,Data!$N:$N,0)</f>
        <v/>
      </c>
      <c r="AJ51">
        <f>IF(AH51=0,"",AH51-AI51)</f>
        <v/>
      </c>
      <c r="AK51">
        <f>IF(AH51=0,"",SUMIFS(Data!$N:$N,Data!$V:$V,$R51,Data!$U:$U,"&lt;="&amp;14))</f>
        <v/>
      </c>
      <c r="AL51">
        <f>IF(AH51=0,"",IF(ABS(MAX(T51:AG51))&gt;=ABS(MIN(T51:AG51)),MAX(T51:AG51),MIN(T51:AG51)))</f>
        <v/>
      </c>
      <c r="AM51">
        <f>IF(AH51=0,-1,AJ51*100000+MIN(ABS(AK51),99999))</f>
        <v/>
      </c>
      <c r="AN51">
        <f>IF($S51="","",1+COUNTIFS($AM$3:$AM$122,"&gt;"&amp;AM51)+COUNTIFS($AM$3:$AM$122,AM51,$R$3:$R$122,"&lt;"&amp;$R51))</f>
        <v/>
      </c>
    </row>
    <row r="52">
      <c r="A52" t="n">
        <v>50</v>
      </c>
      <c r="B52" s="31">
        <f>IFERROR(IF(INDEX(Data!$B:$B,MATCH($A52,Data!$U:$U,0))="","",INDEX(Data!$B:$B,MATCH($A52,Data!$U:$U,0))),"")</f>
        <v/>
      </c>
      <c r="C52">
        <f>IFERROR(IF(INDEX(Data!$D:$D,MATCH($A52,Data!$U:$U,0))="","",INDEX(Data!$D:$D,MATCH($A52,Data!$U:$U,0))),"")</f>
        <v/>
      </c>
      <c r="D52" s="31">
        <f>IFERROR(IF(INDEX(Data!$O:$O,MATCH($A52,Data!$U:$U,0))="","",INDEX(Data!$O:$O,MATCH($A52,Data!$U:$U,0))),"")</f>
        <v/>
      </c>
      <c r="E52">
        <f>COUNTIFS(Data!$U:$U,$A52)</f>
        <v/>
      </c>
      <c r="F52">
        <f>COUNTIFS(Data!$U:$U,$A52,Data!$N:$N,"&lt;&gt;")</f>
        <v/>
      </c>
      <c r="G52">
        <f>COUNTIFS(Data!$U:$U,$A52,Data!$N:$N,0)</f>
        <v/>
      </c>
      <c r="H52">
        <f>IF($F52=0,"",$F52-$G52)</f>
        <v/>
      </c>
      <c r="I52">
        <f>IF($F52=0,"",SUMIFS(Data!$N:$N,Data!$U:$U,$A52))</f>
        <v/>
      </c>
      <c r="J52">
        <f>COUNTIFS(Data!$U:$U,$A52,Data!$Q:$Q,"&lt;&gt;")</f>
        <v/>
      </c>
      <c r="K52">
        <f>IF($J52=0,"",SUMIFS(Data!$Q:$Q,Data!$U:$U,$A52))</f>
        <v/>
      </c>
      <c r="L52">
        <f>COUNTIFS(Data!$U:$U,$A52,Data!$M:$M,"&lt;&gt;")</f>
        <v/>
      </c>
      <c r="M52">
        <f>IF($E52=0,"",IF($L52=0,"not loaded","loaded"))</f>
        <v/>
      </c>
      <c r="N52">
        <f>COUNTIFS(Data!$U:$U,$A52,Data!$I:$I,"&lt;&gt;")</f>
        <v/>
      </c>
      <c r="O52">
        <f>IF($E52=0,"",IF($L52=0,"No POS sales have been loaded for this date, so variance cannot be worked out. Import the sales report for this day and it fills in.",IF($N52=0,"This is the first count of these products, so there is no opening figure to sell down from. Variance starts from the next count.",IF($F52-$G52=0,"Physical and POS agree on every product.",($F52-$G52)&amp;" of "&amp;$F52&amp;" products disagree with the POS. Largest first below."))))</f>
        <v/>
      </c>
      <c r="R52" t="n">
        <v>50</v>
      </c>
      <c r="S52">
        <f>IFERROR(INDEX(Data!$G:$G,MATCH($R52,Data!$V:$V,0)),"")</f>
        <v/>
      </c>
      <c r="T52">
        <f>IF(COUNTIFS(Data!$V:$V,$R52,Data!$U:$U,1,Data!$N:$N,"&lt;&gt;")=0,"",SUMIFS(Data!$N:$N,Data!$V:$V,$R52,Data!$U:$U,1))</f>
        <v/>
      </c>
      <c r="U52">
        <f>IF(COUNTIFS(Data!$V:$V,$R52,Data!$U:$U,2,Data!$N:$N,"&lt;&gt;")=0,"",SUMIFS(Data!$N:$N,Data!$V:$V,$R52,Data!$U:$U,2))</f>
        <v/>
      </c>
      <c r="V52">
        <f>IF(COUNTIFS(Data!$V:$V,$R52,Data!$U:$U,3,Data!$N:$N,"&lt;&gt;")=0,"",SUMIFS(Data!$N:$N,Data!$V:$V,$R52,Data!$U:$U,3))</f>
        <v/>
      </c>
      <c r="W52">
        <f>IF(COUNTIFS(Data!$V:$V,$R52,Data!$U:$U,4,Data!$N:$N,"&lt;&gt;")=0,"",SUMIFS(Data!$N:$N,Data!$V:$V,$R52,Data!$U:$U,4))</f>
        <v/>
      </c>
      <c r="X52">
        <f>IF(COUNTIFS(Data!$V:$V,$R52,Data!$U:$U,5,Data!$N:$N,"&lt;&gt;")=0,"",SUMIFS(Data!$N:$N,Data!$V:$V,$R52,Data!$U:$U,5))</f>
        <v/>
      </c>
      <c r="Y52">
        <f>IF(COUNTIFS(Data!$V:$V,$R52,Data!$U:$U,6,Data!$N:$N,"&lt;&gt;")=0,"",SUMIFS(Data!$N:$N,Data!$V:$V,$R52,Data!$U:$U,6))</f>
        <v/>
      </c>
      <c r="Z52">
        <f>IF(COUNTIFS(Data!$V:$V,$R52,Data!$U:$U,7,Data!$N:$N,"&lt;&gt;")=0,"",SUMIFS(Data!$N:$N,Data!$V:$V,$R52,Data!$U:$U,7))</f>
        <v/>
      </c>
      <c r="AA52">
        <f>IF(COUNTIFS(Data!$V:$V,$R52,Data!$U:$U,8,Data!$N:$N,"&lt;&gt;")=0,"",SUMIFS(Data!$N:$N,Data!$V:$V,$R52,Data!$U:$U,8))</f>
        <v/>
      </c>
      <c r="AB52">
        <f>IF(COUNTIFS(Data!$V:$V,$R52,Data!$U:$U,9,Data!$N:$N,"&lt;&gt;")=0,"",SUMIFS(Data!$N:$N,Data!$V:$V,$R52,Data!$U:$U,9))</f>
        <v/>
      </c>
      <c r="AC52">
        <f>IF(COUNTIFS(Data!$V:$V,$R52,Data!$U:$U,10,Data!$N:$N,"&lt;&gt;")=0,"",SUMIFS(Data!$N:$N,Data!$V:$V,$R52,Data!$U:$U,10))</f>
        <v/>
      </c>
      <c r="AD52">
        <f>IF(COUNTIFS(Data!$V:$V,$R52,Data!$U:$U,11,Data!$N:$N,"&lt;&gt;")=0,"",SUMIFS(Data!$N:$N,Data!$V:$V,$R52,Data!$U:$U,11))</f>
        <v/>
      </c>
      <c r="AE52">
        <f>IF(COUNTIFS(Data!$V:$V,$R52,Data!$U:$U,12,Data!$N:$N,"&lt;&gt;")=0,"",SUMIFS(Data!$N:$N,Data!$V:$V,$R52,Data!$U:$U,12))</f>
        <v/>
      </c>
      <c r="AF52">
        <f>IF(COUNTIFS(Data!$V:$V,$R52,Data!$U:$U,13,Data!$N:$N,"&lt;&gt;")=0,"",SUMIFS(Data!$N:$N,Data!$V:$V,$R52,Data!$U:$U,13))</f>
        <v/>
      </c>
      <c r="AG52">
        <f>IF(COUNTIFS(Data!$V:$V,$R52,Data!$U:$U,14,Data!$N:$N,"&lt;&gt;")=0,"",SUMIFS(Data!$N:$N,Data!$V:$V,$R52,Data!$U:$U,14))</f>
        <v/>
      </c>
      <c r="AH52">
        <f>COUNTIFS(Data!$V:$V,$R52,Data!$U:$U,"&lt;="&amp;14,Data!$N:$N,"&lt;&gt;")</f>
        <v/>
      </c>
      <c r="AI52">
        <f>COUNTIFS(Data!$V:$V,$R52,Data!$U:$U,"&lt;="&amp;14,Data!$N:$N,0)</f>
        <v/>
      </c>
      <c r="AJ52">
        <f>IF(AH52=0,"",AH52-AI52)</f>
        <v/>
      </c>
      <c r="AK52">
        <f>IF(AH52=0,"",SUMIFS(Data!$N:$N,Data!$V:$V,$R52,Data!$U:$U,"&lt;="&amp;14))</f>
        <v/>
      </c>
      <c r="AL52">
        <f>IF(AH52=0,"",IF(ABS(MAX(T52:AG52))&gt;=ABS(MIN(T52:AG52)),MAX(T52:AG52),MIN(T52:AG52)))</f>
        <v/>
      </c>
      <c r="AM52">
        <f>IF(AH52=0,-1,AJ52*100000+MIN(ABS(AK52),99999))</f>
        <v/>
      </c>
      <c r="AN52">
        <f>IF($S52="","",1+COUNTIFS($AM$3:$AM$122,"&gt;"&amp;AM52)+COUNTIFS($AM$3:$AM$122,AM52,$R$3:$R$122,"&lt;"&amp;$R52))</f>
        <v/>
      </c>
    </row>
    <row r="53">
      <c r="A53" t="n">
        <v>51</v>
      </c>
      <c r="B53" s="31">
        <f>IFERROR(IF(INDEX(Data!$B:$B,MATCH($A53,Data!$U:$U,0))="","",INDEX(Data!$B:$B,MATCH($A53,Data!$U:$U,0))),"")</f>
        <v/>
      </c>
      <c r="C53">
        <f>IFERROR(IF(INDEX(Data!$D:$D,MATCH($A53,Data!$U:$U,0))="","",INDEX(Data!$D:$D,MATCH($A53,Data!$U:$U,0))),"")</f>
        <v/>
      </c>
      <c r="D53" s="31">
        <f>IFERROR(IF(INDEX(Data!$O:$O,MATCH($A53,Data!$U:$U,0))="","",INDEX(Data!$O:$O,MATCH($A53,Data!$U:$U,0))),"")</f>
        <v/>
      </c>
      <c r="E53">
        <f>COUNTIFS(Data!$U:$U,$A53)</f>
        <v/>
      </c>
      <c r="F53">
        <f>COUNTIFS(Data!$U:$U,$A53,Data!$N:$N,"&lt;&gt;")</f>
        <v/>
      </c>
      <c r="G53">
        <f>COUNTIFS(Data!$U:$U,$A53,Data!$N:$N,0)</f>
        <v/>
      </c>
      <c r="H53">
        <f>IF($F53=0,"",$F53-$G53)</f>
        <v/>
      </c>
      <c r="I53">
        <f>IF($F53=0,"",SUMIFS(Data!$N:$N,Data!$U:$U,$A53))</f>
        <v/>
      </c>
      <c r="J53">
        <f>COUNTIFS(Data!$U:$U,$A53,Data!$Q:$Q,"&lt;&gt;")</f>
        <v/>
      </c>
      <c r="K53">
        <f>IF($J53=0,"",SUMIFS(Data!$Q:$Q,Data!$U:$U,$A53))</f>
        <v/>
      </c>
      <c r="L53">
        <f>COUNTIFS(Data!$U:$U,$A53,Data!$M:$M,"&lt;&gt;")</f>
        <v/>
      </c>
      <c r="M53">
        <f>IF($E53=0,"",IF($L53=0,"not loaded","loaded"))</f>
        <v/>
      </c>
      <c r="N53">
        <f>COUNTIFS(Data!$U:$U,$A53,Data!$I:$I,"&lt;&gt;")</f>
        <v/>
      </c>
      <c r="O53">
        <f>IF($E53=0,"",IF($L53=0,"No POS sales have been loaded for this date, so variance cannot be worked out. Import the sales report for this day and it fills in.",IF($N53=0,"This is the first count of these products, so there is no opening figure to sell down from. Variance starts from the next count.",IF($F53-$G53=0,"Physical and POS agree on every product.",($F53-$G53)&amp;" of "&amp;$F53&amp;" products disagree with the POS. Largest first below."))))</f>
        <v/>
      </c>
      <c r="R53" t="n">
        <v>51</v>
      </c>
      <c r="S53">
        <f>IFERROR(INDEX(Data!$G:$G,MATCH($R53,Data!$V:$V,0)),"")</f>
        <v/>
      </c>
      <c r="T53">
        <f>IF(COUNTIFS(Data!$V:$V,$R53,Data!$U:$U,1,Data!$N:$N,"&lt;&gt;")=0,"",SUMIFS(Data!$N:$N,Data!$V:$V,$R53,Data!$U:$U,1))</f>
        <v/>
      </c>
      <c r="U53">
        <f>IF(COUNTIFS(Data!$V:$V,$R53,Data!$U:$U,2,Data!$N:$N,"&lt;&gt;")=0,"",SUMIFS(Data!$N:$N,Data!$V:$V,$R53,Data!$U:$U,2))</f>
        <v/>
      </c>
      <c r="V53">
        <f>IF(COUNTIFS(Data!$V:$V,$R53,Data!$U:$U,3,Data!$N:$N,"&lt;&gt;")=0,"",SUMIFS(Data!$N:$N,Data!$V:$V,$R53,Data!$U:$U,3))</f>
        <v/>
      </c>
      <c r="W53">
        <f>IF(COUNTIFS(Data!$V:$V,$R53,Data!$U:$U,4,Data!$N:$N,"&lt;&gt;")=0,"",SUMIFS(Data!$N:$N,Data!$V:$V,$R53,Data!$U:$U,4))</f>
        <v/>
      </c>
      <c r="X53">
        <f>IF(COUNTIFS(Data!$V:$V,$R53,Data!$U:$U,5,Data!$N:$N,"&lt;&gt;")=0,"",SUMIFS(Data!$N:$N,Data!$V:$V,$R53,Data!$U:$U,5))</f>
        <v/>
      </c>
      <c r="Y53">
        <f>IF(COUNTIFS(Data!$V:$V,$R53,Data!$U:$U,6,Data!$N:$N,"&lt;&gt;")=0,"",SUMIFS(Data!$N:$N,Data!$V:$V,$R53,Data!$U:$U,6))</f>
        <v/>
      </c>
      <c r="Z53">
        <f>IF(COUNTIFS(Data!$V:$V,$R53,Data!$U:$U,7,Data!$N:$N,"&lt;&gt;")=0,"",SUMIFS(Data!$N:$N,Data!$V:$V,$R53,Data!$U:$U,7))</f>
        <v/>
      </c>
      <c r="AA53">
        <f>IF(COUNTIFS(Data!$V:$V,$R53,Data!$U:$U,8,Data!$N:$N,"&lt;&gt;")=0,"",SUMIFS(Data!$N:$N,Data!$V:$V,$R53,Data!$U:$U,8))</f>
        <v/>
      </c>
      <c r="AB53">
        <f>IF(COUNTIFS(Data!$V:$V,$R53,Data!$U:$U,9,Data!$N:$N,"&lt;&gt;")=0,"",SUMIFS(Data!$N:$N,Data!$V:$V,$R53,Data!$U:$U,9))</f>
        <v/>
      </c>
      <c r="AC53">
        <f>IF(COUNTIFS(Data!$V:$V,$R53,Data!$U:$U,10,Data!$N:$N,"&lt;&gt;")=0,"",SUMIFS(Data!$N:$N,Data!$V:$V,$R53,Data!$U:$U,10))</f>
        <v/>
      </c>
      <c r="AD53">
        <f>IF(COUNTIFS(Data!$V:$V,$R53,Data!$U:$U,11,Data!$N:$N,"&lt;&gt;")=0,"",SUMIFS(Data!$N:$N,Data!$V:$V,$R53,Data!$U:$U,11))</f>
        <v/>
      </c>
      <c r="AE53">
        <f>IF(COUNTIFS(Data!$V:$V,$R53,Data!$U:$U,12,Data!$N:$N,"&lt;&gt;")=0,"",SUMIFS(Data!$N:$N,Data!$V:$V,$R53,Data!$U:$U,12))</f>
        <v/>
      </c>
      <c r="AF53">
        <f>IF(COUNTIFS(Data!$V:$V,$R53,Data!$U:$U,13,Data!$N:$N,"&lt;&gt;")=0,"",SUMIFS(Data!$N:$N,Data!$V:$V,$R53,Data!$U:$U,13))</f>
        <v/>
      </c>
      <c r="AG53">
        <f>IF(COUNTIFS(Data!$V:$V,$R53,Data!$U:$U,14,Data!$N:$N,"&lt;&gt;")=0,"",SUMIFS(Data!$N:$N,Data!$V:$V,$R53,Data!$U:$U,14))</f>
        <v/>
      </c>
      <c r="AH53">
        <f>COUNTIFS(Data!$V:$V,$R53,Data!$U:$U,"&lt;="&amp;14,Data!$N:$N,"&lt;&gt;")</f>
        <v/>
      </c>
      <c r="AI53">
        <f>COUNTIFS(Data!$V:$V,$R53,Data!$U:$U,"&lt;="&amp;14,Data!$N:$N,0)</f>
        <v/>
      </c>
      <c r="AJ53">
        <f>IF(AH53=0,"",AH53-AI53)</f>
        <v/>
      </c>
      <c r="AK53">
        <f>IF(AH53=0,"",SUMIFS(Data!$N:$N,Data!$V:$V,$R53,Data!$U:$U,"&lt;="&amp;14))</f>
        <v/>
      </c>
      <c r="AL53">
        <f>IF(AH53=0,"",IF(ABS(MAX(T53:AG53))&gt;=ABS(MIN(T53:AG53)),MAX(T53:AG53),MIN(T53:AG53)))</f>
        <v/>
      </c>
      <c r="AM53">
        <f>IF(AH53=0,-1,AJ53*100000+MIN(ABS(AK53),99999))</f>
        <v/>
      </c>
      <c r="AN53">
        <f>IF($S53="","",1+COUNTIFS($AM$3:$AM$122,"&gt;"&amp;AM53)+COUNTIFS($AM$3:$AM$122,AM53,$R$3:$R$122,"&lt;"&amp;$R53))</f>
        <v/>
      </c>
    </row>
    <row r="54">
      <c r="A54" t="n">
        <v>52</v>
      </c>
      <c r="B54" s="31">
        <f>IFERROR(IF(INDEX(Data!$B:$B,MATCH($A54,Data!$U:$U,0))="","",INDEX(Data!$B:$B,MATCH($A54,Data!$U:$U,0))),"")</f>
        <v/>
      </c>
      <c r="C54">
        <f>IFERROR(IF(INDEX(Data!$D:$D,MATCH($A54,Data!$U:$U,0))="","",INDEX(Data!$D:$D,MATCH($A54,Data!$U:$U,0))),"")</f>
        <v/>
      </c>
      <c r="D54" s="31">
        <f>IFERROR(IF(INDEX(Data!$O:$O,MATCH($A54,Data!$U:$U,0))="","",INDEX(Data!$O:$O,MATCH($A54,Data!$U:$U,0))),"")</f>
        <v/>
      </c>
      <c r="E54">
        <f>COUNTIFS(Data!$U:$U,$A54)</f>
        <v/>
      </c>
      <c r="F54">
        <f>COUNTIFS(Data!$U:$U,$A54,Data!$N:$N,"&lt;&gt;")</f>
        <v/>
      </c>
      <c r="G54">
        <f>COUNTIFS(Data!$U:$U,$A54,Data!$N:$N,0)</f>
        <v/>
      </c>
      <c r="H54">
        <f>IF($F54=0,"",$F54-$G54)</f>
        <v/>
      </c>
      <c r="I54">
        <f>IF($F54=0,"",SUMIFS(Data!$N:$N,Data!$U:$U,$A54))</f>
        <v/>
      </c>
      <c r="J54">
        <f>COUNTIFS(Data!$U:$U,$A54,Data!$Q:$Q,"&lt;&gt;")</f>
        <v/>
      </c>
      <c r="K54">
        <f>IF($J54=0,"",SUMIFS(Data!$Q:$Q,Data!$U:$U,$A54))</f>
        <v/>
      </c>
      <c r="L54">
        <f>COUNTIFS(Data!$U:$U,$A54,Data!$M:$M,"&lt;&gt;")</f>
        <v/>
      </c>
      <c r="M54">
        <f>IF($E54=0,"",IF($L54=0,"not loaded","loaded"))</f>
        <v/>
      </c>
      <c r="N54">
        <f>COUNTIFS(Data!$U:$U,$A54,Data!$I:$I,"&lt;&gt;")</f>
        <v/>
      </c>
      <c r="O54">
        <f>IF($E54=0,"",IF($L54=0,"No POS sales have been loaded for this date, so variance cannot be worked out. Import the sales report for this day and it fills in.",IF($N54=0,"This is the first count of these products, so there is no opening figure to sell down from. Variance starts from the next count.",IF($F54-$G54=0,"Physical and POS agree on every product.",($F54-$G54)&amp;" of "&amp;$F54&amp;" products disagree with the POS. Largest first below."))))</f>
        <v/>
      </c>
      <c r="R54" t="n">
        <v>52</v>
      </c>
      <c r="S54">
        <f>IFERROR(INDEX(Data!$G:$G,MATCH($R54,Data!$V:$V,0)),"")</f>
        <v/>
      </c>
      <c r="T54">
        <f>IF(COUNTIFS(Data!$V:$V,$R54,Data!$U:$U,1,Data!$N:$N,"&lt;&gt;")=0,"",SUMIFS(Data!$N:$N,Data!$V:$V,$R54,Data!$U:$U,1))</f>
        <v/>
      </c>
      <c r="U54">
        <f>IF(COUNTIFS(Data!$V:$V,$R54,Data!$U:$U,2,Data!$N:$N,"&lt;&gt;")=0,"",SUMIFS(Data!$N:$N,Data!$V:$V,$R54,Data!$U:$U,2))</f>
        <v/>
      </c>
      <c r="V54">
        <f>IF(COUNTIFS(Data!$V:$V,$R54,Data!$U:$U,3,Data!$N:$N,"&lt;&gt;")=0,"",SUMIFS(Data!$N:$N,Data!$V:$V,$R54,Data!$U:$U,3))</f>
        <v/>
      </c>
      <c r="W54">
        <f>IF(COUNTIFS(Data!$V:$V,$R54,Data!$U:$U,4,Data!$N:$N,"&lt;&gt;")=0,"",SUMIFS(Data!$N:$N,Data!$V:$V,$R54,Data!$U:$U,4))</f>
        <v/>
      </c>
      <c r="X54">
        <f>IF(COUNTIFS(Data!$V:$V,$R54,Data!$U:$U,5,Data!$N:$N,"&lt;&gt;")=0,"",SUMIFS(Data!$N:$N,Data!$V:$V,$R54,Data!$U:$U,5))</f>
        <v/>
      </c>
      <c r="Y54">
        <f>IF(COUNTIFS(Data!$V:$V,$R54,Data!$U:$U,6,Data!$N:$N,"&lt;&gt;")=0,"",SUMIFS(Data!$N:$N,Data!$V:$V,$R54,Data!$U:$U,6))</f>
        <v/>
      </c>
      <c r="Z54">
        <f>IF(COUNTIFS(Data!$V:$V,$R54,Data!$U:$U,7,Data!$N:$N,"&lt;&gt;")=0,"",SUMIFS(Data!$N:$N,Data!$V:$V,$R54,Data!$U:$U,7))</f>
        <v/>
      </c>
      <c r="AA54">
        <f>IF(COUNTIFS(Data!$V:$V,$R54,Data!$U:$U,8,Data!$N:$N,"&lt;&gt;")=0,"",SUMIFS(Data!$N:$N,Data!$V:$V,$R54,Data!$U:$U,8))</f>
        <v/>
      </c>
      <c r="AB54">
        <f>IF(COUNTIFS(Data!$V:$V,$R54,Data!$U:$U,9,Data!$N:$N,"&lt;&gt;")=0,"",SUMIFS(Data!$N:$N,Data!$V:$V,$R54,Data!$U:$U,9))</f>
        <v/>
      </c>
      <c r="AC54">
        <f>IF(COUNTIFS(Data!$V:$V,$R54,Data!$U:$U,10,Data!$N:$N,"&lt;&gt;")=0,"",SUMIFS(Data!$N:$N,Data!$V:$V,$R54,Data!$U:$U,10))</f>
        <v/>
      </c>
      <c r="AD54">
        <f>IF(COUNTIFS(Data!$V:$V,$R54,Data!$U:$U,11,Data!$N:$N,"&lt;&gt;")=0,"",SUMIFS(Data!$N:$N,Data!$V:$V,$R54,Data!$U:$U,11))</f>
        <v/>
      </c>
      <c r="AE54">
        <f>IF(COUNTIFS(Data!$V:$V,$R54,Data!$U:$U,12,Data!$N:$N,"&lt;&gt;")=0,"",SUMIFS(Data!$N:$N,Data!$V:$V,$R54,Data!$U:$U,12))</f>
        <v/>
      </c>
      <c r="AF54">
        <f>IF(COUNTIFS(Data!$V:$V,$R54,Data!$U:$U,13,Data!$N:$N,"&lt;&gt;")=0,"",SUMIFS(Data!$N:$N,Data!$V:$V,$R54,Data!$U:$U,13))</f>
        <v/>
      </c>
      <c r="AG54">
        <f>IF(COUNTIFS(Data!$V:$V,$R54,Data!$U:$U,14,Data!$N:$N,"&lt;&gt;")=0,"",SUMIFS(Data!$N:$N,Data!$V:$V,$R54,Data!$U:$U,14))</f>
        <v/>
      </c>
      <c r="AH54">
        <f>COUNTIFS(Data!$V:$V,$R54,Data!$U:$U,"&lt;="&amp;14,Data!$N:$N,"&lt;&gt;")</f>
        <v/>
      </c>
      <c r="AI54">
        <f>COUNTIFS(Data!$V:$V,$R54,Data!$U:$U,"&lt;="&amp;14,Data!$N:$N,0)</f>
        <v/>
      </c>
      <c r="AJ54">
        <f>IF(AH54=0,"",AH54-AI54)</f>
        <v/>
      </c>
      <c r="AK54">
        <f>IF(AH54=0,"",SUMIFS(Data!$N:$N,Data!$V:$V,$R54,Data!$U:$U,"&lt;="&amp;14))</f>
        <v/>
      </c>
      <c r="AL54">
        <f>IF(AH54=0,"",IF(ABS(MAX(T54:AG54))&gt;=ABS(MIN(T54:AG54)),MAX(T54:AG54),MIN(T54:AG54)))</f>
        <v/>
      </c>
      <c r="AM54">
        <f>IF(AH54=0,-1,AJ54*100000+MIN(ABS(AK54),99999))</f>
        <v/>
      </c>
      <c r="AN54">
        <f>IF($S54="","",1+COUNTIFS($AM$3:$AM$122,"&gt;"&amp;AM54)+COUNTIFS($AM$3:$AM$122,AM54,$R$3:$R$122,"&lt;"&amp;$R54))</f>
        <v/>
      </c>
    </row>
    <row r="55">
      <c r="A55" t="n">
        <v>53</v>
      </c>
      <c r="B55" s="31">
        <f>IFERROR(IF(INDEX(Data!$B:$B,MATCH($A55,Data!$U:$U,0))="","",INDEX(Data!$B:$B,MATCH($A55,Data!$U:$U,0))),"")</f>
        <v/>
      </c>
      <c r="C55">
        <f>IFERROR(IF(INDEX(Data!$D:$D,MATCH($A55,Data!$U:$U,0))="","",INDEX(Data!$D:$D,MATCH($A55,Data!$U:$U,0))),"")</f>
        <v/>
      </c>
      <c r="D55" s="31">
        <f>IFERROR(IF(INDEX(Data!$O:$O,MATCH($A55,Data!$U:$U,0))="","",INDEX(Data!$O:$O,MATCH($A55,Data!$U:$U,0))),"")</f>
        <v/>
      </c>
      <c r="E55">
        <f>COUNTIFS(Data!$U:$U,$A55)</f>
        <v/>
      </c>
      <c r="F55">
        <f>COUNTIFS(Data!$U:$U,$A55,Data!$N:$N,"&lt;&gt;")</f>
        <v/>
      </c>
      <c r="G55">
        <f>COUNTIFS(Data!$U:$U,$A55,Data!$N:$N,0)</f>
        <v/>
      </c>
      <c r="H55">
        <f>IF($F55=0,"",$F55-$G55)</f>
        <v/>
      </c>
      <c r="I55">
        <f>IF($F55=0,"",SUMIFS(Data!$N:$N,Data!$U:$U,$A55))</f>
        <v/>
      </c>
      <c r="J55">
        <f>COUNTIFS(Data!$U:$U,$A55,Data!$Q:$Q,"&lt;&gt;")</f>
        <v/>
      </c>
      <c r="K55">
        <f>IF($J55=0,"",SUMIFS(Data!$Q:$Q,Data!$U:$U,$A55))</f>
        <v/>
      </c>
      <c r="L55">
        <f>COUNTIFS(Data!$U:$U,$A55,Data!$M:$M,"&lt;&gt;")</f>
        <v/>
      </c>
      <c r="M55">
        <f>IF($E55=0,"",IF($L55=0,"not loaded","loaded"))</f>
        <v/>
      </c>
      <c r="N55">
        <f>COUNTIFS(Data!$U:$U,$A55,Data!$I:$I,"&lt;&gt;")</f>
        <v/>
      </c>
      <c r="O55">
        <f>IF($E55=0,"",IF($L55=0,"No POS sales have been loaded for this date, so variance cannot be worked out. Import the sales report for this day and it fills in.",IF($N55=0,"This is the first count of these products, so there is no opening figure to sell down from. Variance starts from the next count.",IF($F55-$G55=0,"Physical and POS agree on every product.",($F55-$G55)&amp;" of "&amp;$F55&amp;" products disagree with the POS. Largest first below."))))</f>
        <v/>
      </c>
      <c r="R55" t="n">
        <v>53</v>
      </c>
      <c r="S55">
        <f>IFERROR(INDEX(Data!$G:$G,MATCH($R55,Data!$V:$V,0)),"")</f>
        <v/>
      </c>
      <c r="T55">
        <f>IF(COUNTIFS(Data!$V:$V,$R55,Data!$U:$U,1,Data!$N:$N,"&lt;&gt;")=0,"",SUMIFS(Data!$N:$N,Data!$V:$V,$R55,Data!$U:$U,1))</f>
        <v/>
      </c>
      <c r="U55">
        <f>IF(COUNTIFS(Data!$V:$V,$R55,Data!$U:$U,2,Data!$N:$N,"&lt;&gt;")=0,"",SUMIFS(Data!$N:$N,Data!$V:$V,$R55,Data!$U:$U,2))</f>
        <v/>
      </c>
      <c r="V55">
        <f>IF(COUNTIFS(Data!$V:$V,$R55,Data!$U:$U,3,Data!$N:$N,"&lt;&gt;")=0,"",SUMIFS(Data!$N:$N,Data!$V:$V,$R55,Data!$U:$U,3))</f>
        <v/>
      </c>
      <c r="W55">
        <f>IF(COUNTIFS(Data!$V:$V,$R55,Data!$U:$U,4,Data!$N:$N,"&lt;&gt;")=0,"",SUMIFS(Data!$N:$N,Data!$V:$V,$R55,Data!$U:$U,4))</f>
        <v/>
      </c>
      <c r="X55">
        <f>IF(COUNTIFS(Data!$V:$V,$R55,Data!$U:$U,5,Data!$N:$N,"&lt;&gt;")=0,"",SUMIFS(Data!$N:$N,Data!$V:$V,$R55,Data!$U:$U,5))</f>
        <v/>
      </c>
      <c r="Y55">
        <f>IF(COUNTIFS(Data!$V:$V,$R55,Data!$U:$U,6,Data!$N:$N,"&lt;&gt;")=0,"",SUMIFS(Data!$N:$N,Data!$V:$V,$R55,Data!$U:$U,6))</f>
        <v/>
      </c>
      <c r="Z55">
        <f>IF(COUNTIFS(Data!$V:$V,$R55,Data!$U:$U,7,Data!$N:$N,"&lt;&gt;")=0,"",SUMIFS(Data!$N:$N,Data!$V:$V,$R55,Data!$U:$U,7))</f>
        <v/>
      </c>
      <c r="AA55">
        <f>IF(COUNTIFS(Data!$V:$V,$R55,Data!$U:$U,8,Data!$N:$N,"&lt;&gt;")=0,"",SUMIFS(Data!$N:$N,Data!$V:$V,$R55,Data!$U:$U,8))</f>
        <v/>
      </c>
      <c r="AB55">
        <f>IF(COUNTIFS(Data!$V:$V,$R55,Data!$U:$U,9,Data!$N:$N,"&lt;&gt;")=0,"",SUMIFS(Data!$N:$N,Data!$V:$V,$R55,Data!$U:$U,9))</f>
        <v/>
      </c>
      <c r="AC55">
        <f>IF(COUNTIFS(Data!$V:$V,$R55,Data!$U:$U,10,Data!$N:$N,"&lt;&gt;")=0,"",SUMIFS(Data!$N:$N,Data!$V:$V,$R55,Data!$U:$U,10))</f>
        <v/>
      </c>
      <c r="AD55">
        <f>IF(COUNTIFS(Data!$V:$V,$R55,Data!$U:$U,11,Data!$N:$N,"&lt;&gt;")=0,"",SUMIFS(Data!$N:$N,Data!$V:$V,$R55,Data!$U:$U,11))</f>
        <v/>
      </c>
      <c r="AE55">
        <f>IF(COUNTIFS(Data!$V:$V,$R55,Data!$U:$U,12,Data!$N:$N,"&lt;&gt;")=0,"",SUMIFS(Data!$N:$N,Data!$V:$V,$R55,Data!$U:$U,12))</f>
        <v/>
      </c>
      <c r="AF55">
        <f>IF(COUNTIFS(Data!$V:$V,$R55,Data!$U:$U,13,Data!$N:$N,"&lt;&gt;")=0,"",SUMIFS(Data!$N:$N,Data!$V:$V,$R55,Data!$U:$U,13))</f>
        <v/>
      </c>
      <c r="AG55">
        <f>IF(COUNTIFS(Data!$V:$V,$R55,Data!$U:$U,14,Data!$N:$N,"&lt;&gt;")=0,"",SUMIFS(Data!$N:$N,Data!$V:$V,$R55,Data!$U:$U,14))</f>
        <v/>
      </c>
      <c r="AH55">
        <f>COUNTIFS(Data!$V:$V,$R55,Data!$U:$U,"&lt;="&amp;14,Data!$N:$N,"&lt;&gt;")</f>
        <v/>
      </c>
      <c r="AI55">
        <f>COUNTIFS(Data!$V:$V,$R55,Data!$U:$U,"&lt;="&amp;14,Data!$N:$N,0)</f>
        <v/>
      </c>
      <c r="AJ55">
        <f>IF(AH55=0,"",AH55-AI55)</f>
        <v/>
      </c>
      <c r="AK55">
        <f>IF(AH55=0,"",SUMIFS(Data!$N:$N,Data!$V:$V,$R55,Data!$U:$U,"&lt;="&amp;14))</f>
        <v/>
      </c>
      <c r="AL55">
        <f>IF(AH55=0,"",IF(ABS(MAX(T55:AG55))&gt;=ABS(MIN(T55:AG55)),MAX(T55:AG55),MIN(T55:AG55)))</f>
        <v/>
      </c>
      <c r="AM55">
        <f>IF(AH55=0,-1,AJ55*100000+MIN(ABS(AK55),99999))</f>
        <v/>
      </c>
      <c r="AN55">
        <f>IF($S55="","",1+COUNTIFS($AM$3:$AM$122,"&gt;"&amp;AM55)+COUNTIFS($AM$3:$AM$122,AM55,$R$3:$R$122,"&lt;"&amp;$R55))</f>
        <v/>
      </c>
    </row>
    <row r="56">
      <c r="A56" t="n">
        <v>54</v>
      </c>
      <c r="B56" s="31">
        <f>IFERROR(IF(INDEX(Data!$B:$B,MATCH($A56,Data!$U:$U,0))="","",INDEX(Data!$B:$B,MATCH($A56,Data!$U:$U,0))),"")</f>
        <v/>
      </c>
      <c r="C56">
        <f>IFERROR(IF(INDEX(Data!$D:$D,MATCH($A56,Data!$U:$U,0))="","",INDEX(Data!$D:$D,MATCH($A56,Data!$U:$U,0))),"")</f>
        <v/>
      </c>
      <c r="D56" s="31">
        <f>IFERROR(IF(INDEX(Data!$O:$O,MATCH($A56,Data!$U:$U,0))="","",INDEX(Data!$O:$O,MATCH($A56,Data!$U:$U,0))),"")</f>
        <v/>
      </c>
      <c r="E56">
        <f>COUNTIFS(Data!$U:$U,$A56)</f>
        <v/>
      </c>
      <c r="F56">
        <f>COUNTIFS(Data!$U:$U,$A56,Data!$N:$N,"&lt;&gt;")</f>
        <v/>
      </c>
      <c r="G56">
        <f>COUNTIFS(Data!$U:$U,$A56,Data!$N:$N,0)</f>
        <v/>
      </c>
      <c r="H56">
        <f>IF($F56=0,"",$F56-$G56)</f>
        <v/>
      </c>
      <c r="I56">
        <f>IF($F56=0,"",SUMIFS(Data!$N:$N,Data!$U:$U,$A56))</f>
        <v/>
      </c>
      <c r="J56">
        <f>COUNTIFS(Data!$U:$U,$A56,Data!$Q:$Q,"&lt;&gt;")</f>
        <v/>
      </c>
      <c r="K56">
        <f>IF($J56=0,"",SUMIFS(Data!$Q:$Q,Data!$U:$U,$A56))</f>
        <v/>
      </c>
      <c r="L56">
        <f>COUNTIFS(Data!$U:$U,$A56,Data!$M:$M,"&lt;&gt;")</f>
        <v/>
      </c>
      <c r="M56">
        <f>IF($E56=0,"",IF($L56=0,"not loaded","loaded"))</f>
        <v/>
      </c>
      <c r="N56">
        <f>COUNTIFS(Data!$U:$U,$A56,Data!$I:$I,"&lt;&gt;")</f>
        <v/>
      </c>
      <c r="O56">
        <f>IF($E56=0,"",IF($L56=0,"No POS sales have been loaded for this date, so variance cannot be worked out. Import the sales report for this day and it fills in.",IF($N56=0,"This is the first count of these products, so there is no opening figure to sell down from. Variance starts from the next count.",IF($F56-$G56=0,"Physical and POS agree on every product.",($F56-$G56)&amp;" of "&amp;$F56&amp;" products disagree with the POS. Largest first below."))))</f>
        <v/>
      </c>
      <c r="R56" t="n">
        <v>54</v>
      </c>
      <c r="S56">
        <f>IFERROR(INDEX(Data!$G:$G,MATCH($R56,Data!$V:$V,0)),"")</f>
        <v/>
      </c>
      <c r="T56">
        <f>IF(COUNTIFS(Data!$V:$V,$R56,Data!$U:$U,1,Data!$N:$N,"&lt;&gt;")=0,"",SUMIFS(Data!$N:$N,Data!$V:$V,$R56,Data!$U:$U,1))</f>
        <v/>
      </c>
      <c r="U56">
        <f>IF(COUNTIFS(Data!$V:$V,$R56,Data!$U:$U,2,Data!$N:$N,"&lt;&gt;")=0,"",SUMIFS(Data!$N:$N,Data!$V:$V,$R56,Data!$U:$U,2))</f>
        <v/>
      </c>
      <c r="V56">
        <f>IF(COUNTIFS(Data!$V:$V,$R56,Data!$U:$U,3,Data!$N:$N,"&lt;&gt;")=0,"",SUMIFS(Data!$N:$N,Data!$V:$V,$R56,Data!$U:$U,3))</f>
        <v/>
      </c>
      <c r="W56">
        <f>IF(COUNTIFS(Data!$V:$V,$R56,Data!$U:$U,4,Data!$N:$N,"&lt;&gt;")=0,"",SUMIFS(Data!$N:$N,Data!$V:$V,$R56,Data!$U:$U,4))</f>
        <v/>
      </c>
      <c r="X56">
        <f>IF(COUNTIFS(Data!$V:$V,$R56,Data!$U:$U,5,Data!$N:$N,"&lt;&gt;")=0,"",SUMIFS(Data!$N:$N,Data!$V:$V,$R56,Data!$U:$U,5))</f>
        <v/>
      </c>
      <c r="Y56">
        <f>IF(COUNTIFS(Data!$V:$V,$R56,Data!$U:$U,6,Data!$N:$N,"&lt;&gt;")=0,"",SUMIFS(Data!$N:$N,Data!$V:$V,$R56,Data!$U:$U,6))</f>
        <v/>
      </c>
      <c r="Z56">
        <f>IF(COUNTIFS(Data!$V:$V,$R56,Data!$U:$U,7,Data!$N:$N,"&lt;&gt;")=0,"",SUMIFS(Data!$N:$N,Data!$V:$V,$R56,Data!$U:$U,7))</f>
        <v/>
      </c>
      <c r="AA56">
        <f>IF(COUNTIFS(Data!$V:$V,$R56,Data!$U:$U,8,Data!$N:$N,"&lt;&gt;")=0,"",SUMIFS(Data!$N:$N,Data!$V:$V,$R56,Data!$U:$U,8))</f>
        <v/>
      </c>
      <c r="AB56">
        <f>IF(COUNTIFS(Data!$V:$V,$R56,Data!$U:$U,9,Data!$N:$N,"&lt;&gt;")=0,"",SUMIFS(Data!$N:$N,Data!$V:$V,$R56,Data!$U:$U,9))</f>
        <v/>
      </c>
      <c r="AC56">
        <f>IF(COUNTIFS(Data!$V:$V,$R56,Data!$U:$U,10,Data!$N:$N,"&lt;&gt;")=0,"",SUMIFS(Data!$N:$N,Data!$V:$V,$R56,Data!$U:$U,10))</f>
        <v/>
      </c>
      <c r="AD56">
        <f>IF(COUNTIFS(Data!$V:$V,$R56,Data!$U:$U,11,Data!$N:$N,"&lt;&gt;")=0,"",SUMIFS(Data!$N:$N,Data!$V:$V,$R56,Data!$U:$U,11))</f>
        <v/>
      </c>
      <c r="AE56">
        <f>IF(COUNTIFS(Data!$V:$V,$R56,Data!$U:$U,12,Data!$N:$N,"&lt;&gt;")=0,"",SUMIFS(Data!$N:$N,Data!$V:$V,$R56,Data!$U:$U,12))</f>
        <v/>
      </c>
      <c r="AF56">
        <f>IF(COUNTIFS(Data!$V:$V,$R56,Data!$U:$U,13,Data!$N:$N,"&lt;&gt;")=0,"",SUMIFS(Data!$N:$N,Data!$V:$V,$R56,Data!$U:$U,13))</f>
        <v/>
      </c>
      <c r="AG56">
        <f>IF(COUNTIFS(Data!$V:$V,$R56,Data!$U:$U,14,Data!$N:$N,"&lt;&gt;")=0,"",SUMIFS(Data!$N:$N,Data!$V:$V,$R56,Data!$U:$U,14))</f>
        <v/>
      </c>
      <c r="AH56">
        <f>COUNTIFS(Data!$V:$V,$R56,Data!$U:$U,"&lt;="&amp;14,Data!$N:$N,"&lt;&gt;")</f>
        <v/>
      </c>
      <c r="AI56">
        <f>COUNTIFS(Data!$V:$V,$R56,Data!$U:$U,"&lt;="&amp;14,Data!$N:$N,0)</f>
        <v/>
      </c>
      <c r="AJ56">
        <f>IF(AH56=0,"",AH56-AI56)</f>
        <v/>
      </c>
      <c r="AK56">
        <f>IF(AH56=0,"",SUMIFS(Data!$N:$N,Data!$V:$V,$R56,Data!$U:$U,"&lt;="&amp;14))</f>
        <v/>
      </c>
      <c r="AL56">
        <f>IF(AH56=0,"",IF(ABS(MAX(T56:AG56))&gt;=ABS(MIN(T56:AG56)),MAX(T56:AG56),MIN(T56:AG56)))</f>
        <v/>
      </c>
      <c r="AM56">
        <f>IF(AH56=0,-1,AJ56*100000+MIN(ABS(AK56),99999))</f>
        <v/>
      </c>
      <c r="AN56">
        <f>IF($S56="","",1+COUNTIFS($AM$3:$AM$122,"&gt;"&amp;AM56)+COUNTIFS($AM$3:$AM$122,AM56,$R$3:$R$122,"&lt;"&amp;$R56))</f>
        <v/>
      </c>
    </row>
    <row r="57">
      <c r="A57" t="n">
        <v>55</v>
      </c>
      <c r="B57" s="31">
        <f>IFERROR(IF(INDEX(Data!$B:$B,MATCH($A57,Data!$U:$U,0))="","",INDEX(Data!$B:$B,MATCH($A57,Data!$U:$U,0))),"")</f>
        <v/>
      </c>
      <c r="C57">
        <f>IFERROR(IF(INDEX(Data!$D:$D,MATCH($A57,Data!$U:$U,0))="","",INDEX(Data!$D:$D,MATCH($A57,Data!$U:$U,0))),"")</f>
        <v/>
      </c>
      <c r="D57" s="31">
        <f>IFERROR(IF(INDEX(Data!$O:$O,MATCH($A57,Data!$U:$U,0))="","",INDEX(Data!$O:$O,MATCH($A57,Data!$U:$U,0))),"")</f>
        <v/>
      </c>
      <c r="E57">
        <f>COUNTIFS(Data!$U:$U,$A57)</f>
        <v/>
      </c>
      <c r="F57">
        <f>COUNTIFS(Data!$U:$U,$A57,Data!$N:$N,"&lt;&gt;")</f>
        <v/>
      </c>
      <c r="G57">
        <f>COUNTIFS(Data!$U:$U,$A57,Data!$N:$N,0)</f>
        <v/>
      </c>
      <c r="H57">
        <f>IF($F57=0,"",$F57-$G57)</f>
        <v/>
      </c>
      <c r="I57">
        <f>IF($F57=0,"",SUMIFS(Data!$N:$N,Data!$U:$U,$A57))</f>
        <v/>
      </c>
      <c r="J57">
        <f>COUNTIFS(Data!$U:$U,$A57,Data!$Q:$Q,"&lt;&gt;")</f>
        <v/>
      </c>
      <c r="K57">
        <f>IF($J57=0,"",SUMIFS(Data!$Q:$Q,Data!$U:$U,$A57))</f>
        <v/>
      </c>
      <c r="L57">
        <f>COUNTIFS(Data!$U:$U,$A57,Data!$M:$M,"&lt;&gt;")</f>
        <v/>
      </c>
      <c r="M57">
        <f>IF($E57=0,"",IF($L57=0,"not loaded","loaded"))</f>
        <v/>
      </c>
      <c r="N57">
        <f>COUNTIFS(Data!$U:$U,$A57,Data!$I:$I,"&lt;&gt;")</f>
        <v/>
      </c>
      <c r="O57">
        <f>IF($E57=0,"",IF($L57=0,"No POS sales have been loaded for this date, so variance cannot be worked out. Import the sales report for this day and it fills in.",IF($N57=0,"This is the first count of these products, so there is no opening figure to sell down from. Variance starts from the next count.",IF($F57-$G57=0,"Physical and POS agree on every product.",($F57-$G57)&amp;" of "&amp;$F57&amp;" products disagree with the POS. Largest first below."))))</f>
        <v/>
      </c>
      <c r="R57" t="n">
        <v>55</v>
      </c>
      <c r="S57">
        <f>IFERROR(INDEX(Data!$G:$G,MATCH($R57,Data!$V:$V,0)),"")</f>
        <v/>
      </c>
      <c r="T57">
        <f>IF(COUNTIFS(Data!$V:$V,$R57,Data!$U:$U,1,Data!$N:$N,"&lt;&gt;")=0,"",SUMIFS(Data!$N:$N,Data!$V:$V,$R57,Data!$U:$U,1))</f>
        <v/>
      </c>
      <c r="U57">
        <f>IF(COUNTIFS(Data!$V:$V,$R57,Data!$U:$U,2,Data!$N:$N,"&lt;&gt;")=0,"",SUMIFS(Data!$N:$N,Data!$V:$V,$R57,Data!$U:$U,2))</f>
        <v/>
      </c>
      <c r="V57">
        <f>IF(COUNTIFS(Data!$V:$V,$R57,Data!$U:$U,3,Data!$N:$N,"&lt;&gt;")=0,"",SUMIFS(Data!$N:$N,Data!$V:$V,$R57,Data!$U:$U,3))</f>
        <v/>
      </c>
      <c r="W57">
        <f>IF(COUNTIFS(Data!$V:$V,$R57,Data!$U:$U,4,Data!$N:$N,"&lt;&gt;")=0,"",SUMIFS(Data!$N:$N,Data!$V:$V,$R57,Data!$U:$U,4))</f>
        <v/>
      </c>
      <c r="X57">
        <f>IF(COUNTIFS(Data!$V:$V,$R57,Data!$U:$U,5,Data!$N:$N,"&lt;&gt;")=0,"",SUMIFS(Data!$N:$N,Data!$V:$V,$R57,Data!$U:$U,5))</f>
        <v/>
      </c>
      <c r="Y57">
        <f>IF(COUNTIFS(Data!$V:$V,$R57,Data!$U:$U,6,Data!$N:$N,"&lt;&gt;")=0,"",SUMIFS(Data!$N:$N,Data!$V:$V,$R57,Data!$U:$U,6))</f>
        <v/>
      </c>
      <c r="Z57">
        <f>IF(COUNTIFS(Data!$V:$V,$R57,Data!$U:$U,7,Data!$N:$N,"&lt;&gt;")=0,"",SUMIFS(Data!$N:$N,Data!$V:$V,$R57,Data!$U:$U,7))</f>
        <v/>
      </c>
      <c r="AA57">
        <f>IF(COUNTIFS(Data!$V:$V,$R57,Data!$U:$U,8,Data!$N:$N,"&lt;&gt;")=0,"",SUMIFS(Data!$N:$N,Data!$V:$V,$R57,Data!$U:$U,8))</f>
        <v/>
      </c>
      <c r="AB57">
        <f>IF(COUNTIFS(Data!$V:$V,$R57,Data!$U:$U,9,Data!$N:$N,"&lt;&gt;")=0,"",SUMIFS(Data!$N:$N,Data!$V:$V,$R57,Data!$U:$U,9))</f>
        <v/>
      </c>
      <c r="AC57">
        <f>IF(COUNTIFS(Data!$V:$V,$R57,Data!$U:$U,10,Data!$N:$N,"&lt;&gt;")=0,"",SUMIFS(Data!$N:$N,Data!$V:$V,$R57,Data!$U:$U,10))</f>
        <v/>
      </c>
      <c r="AD57">
        <f>IF(COUNTIFS(Data!$V:$V,$R57,Data!$U:$U,11,Data!$N:$N,"&lt;&gt;")=0,"",SUMIFS(Data!$N:$N,Data!$V:$V,$R57,Data!$U:$U,11))</f>
        <v/>
      </c>
      <c r="AE57">
        <f>IF(COUNTIFS(Data!$V:$V,$R57,Data!$U:$U,12,Data!$N:$N,"&lt;&gt;")=0,"",SUMIFS(Data!$N:$N,Data!$V:$V,$R57,Data!$U:$U,12))</f>
        <v/>
      </c>
      <c r="AF57">
        <f>IF(COUNTIFS(Data!$V:$V,$R57,Data!$U:$U,13,Data!$N:$N,"&lt;&gt;")=0,"",SUMIFS(Data!$N:$N,Data!$V:$V,$R57,Data!$U:$U,13))</f>
        <v/>
      </c>
      <c r="AG57">
        <f>IF(COUNTIFS(Data!$V:$V,$R57,Data!$U:$U,14,Data!$N:$N,"&lt;&gt;")=0,"",SUMIFS(Data!$N:$N,Data!$V:$V,$R57,Data!$U:$U,14))</f>
        <v/>
      </c>
      <c r="AH57">
        <f>COUNTIFS(Data!$V:$V,$R57,Data!$U:$U,"&lt;="&amp;14,Data!$N:$N,"&lt;&gt;")</f>
        <v/>
      </c>
      <c r="AI57">
        <f>COUNTIFS(Data!$V:$V,$R57,Data!$U:$U,"&lt;="&amp;14,Data!$N:$N,0)</f>
        <v/>
      </c>
      <c r="AJ57">
        <f>IF(AH57=0,"",AH57-AI57)</f>
        <v/>
      </c>
      <c r="AK57">
        <f>IF(AH57=0,"",SUMIFS(Data!$N:$N,Data!$V:$V,$R57,Data!$U:$U,"&lt;="&amp;14))</f>
        <v/>
      </c>
      <c r="AL57">
        <f>IF(AH57=0,"",IF(ABS(MAX(T57:AG57))&gt;=ABS(MIN(T57:AG57)),MAX(T57:AG57),MIN(T57:AG57)))</f>
        <v/>
      </c>
      <c r="AM57">
        <f>IF(AH57=0,-1,AJ57*100000+MIN(ABS(AK57),99999))</f>
        <v/>
      </c>
      <c r="AN57">
        <f>IF($S57="","",1+COUNTIFS($AM$3:$AM$122,"&gt;"&amp;AM57)+COUNTIFS($AM$3:$AM$122,AM57,$R$3:$R$122,"&lt;"&amp;$R57))</f>
        <v/>
      </c>
    </row>
    <row r="58">
      <c r="A58" t="n">
        <v>56</v>
      </c>
      <c r="B58" s="31">
        <f>IFERROR(IF(INDEX(Data!$B:$B,MATCH($A58,Data!$U:$U,0))="","",INDEX(Data!$B:$B,MATCH($A58,Data!$U:$U,0))),"")</f>
        <v/>
      </c>
      <c r="C58">
        <f>IFERROR(IF(INDEX(Data!$D:$D,MATCH($A58,Data!$U:$U,0))="","",INDEX(Data!$D:$D,MATCH($A58,Data!$U:$U,0))),"")</f>
        <v/>
      </c>
      <c r="D58" s="31">
        <f>IFERROR(IF(INDEX(Data!$O:$O,MATCH($A58,Data!$U:$U,0))="","",INDEX(Data!$O:$O,MATCH($A58,Data!$U:$U,0))),"")</f>
        <v/>
      </c>
      <c r="E58">
        <f>COUNTIFS(Data!$U:$U,$A58)</f>
        <v/>
      </c>
      <c r="F58">
        <f>COUNTIFS(Data!$U:$U,$A58,Data!$N:$N,"&lt;&gt;")</f>
        <v/>
      </c>
      <c r="G58">
        <f>COUNTIFS(Data!$U:$U,$A58,Data!$N:$N,0)</f>
        <v/>
      </c>
      <c r="H58">
        <f>IF($F58=0,"",$F58-$G58)</f>
        <v/>
      </c>
      <c r="I58">
        <f>IF($F58=0,"",SUMIFS(Data!$N:$N,Data!$U:$U,$A58))</f>
        <v/>
      </c>
      <c r="J58">
        <f>COUNTIFS(Data!$U:$U,$A58,Data!$Q:$Q,"&lt;&gt;")</f>
        <v/>
      </c>
      <c r="K58">
        <f>IF($J58=0,"",SUMIFS(Data!$Q:$Q,Data!$U:$U,$A58))</f>
        <v/>
      </c>
      <c r="L58">
        <f>COUNTIFS(Data!$U:$U,$A58,Data!$M:$M,"&lt;&gt;")</f>
        <v/>
      </c>
      <c r="M58">
        <f>IF($E58=0,"",IF($L58=0,"not loaded","loaded"))</f>
        <v/>
      </c>
      <c r="N58">
        <f>COUNTIFS(Data!$U:$U,$A58,Data!$I:$I,"&lt;&gt;")</f>
        <v/>
      </c>
      <c r="O58">
        <f>IF($E58=0,"",IF($L58=0,"No POS sales have been loaded for this date, so variance cannot be worked out. Import the sales report for this day and it fills in.",IF($N58=0,"This is the first count of these products, so there is no opening figure to sell down from. Variance starts from the next count.",IF($F58-$G58=0,"Physical and POS agree on every product.",($F58-$G58)&amp;" of "&amp;$F58&amp;" products disagree with the POS. Largest first below."))))</f>
        <v/>
      </c>
      <c r="R58" t="n">
        <v>56</v>
      </c>
      <c r="S58">
        <f>IFERROR(INDEX(Data!$G:$G,MATCH($R58,Data!$V:$V,0)),"")</f>
        <v/>
      </c>
      <c r="T58">
        <f>IF(COUNTIFS(Data!$V:$V,$R58,Data!$U:$U,1,Data!$N:$N,"&lt;&gt;")=0,"",SUMIFS(Data!$N:$N,Data!$V:$V,$R58,Data!$U:$U,1))</f>
        <v/>
      </c>
      <c r="U58">
        <f>IF(COUNTIFS(Data!$V:$V,$R58,Data!$U:$U,2,Data!$N:$N,"&lt;&gt;")=0,"",SUMIFS(Data!$N:$N,Data!$V:$V,$R58,Data!$U:$U,2))</f>
        <v/>
      </c>
      <c r="V58">
        <f>IF(COUNTIFS(Data!$V:$V,$R58,Data!$U:$U,3,Data!$N:$N,"&lt;&gt;")=0,"",SUMIFS(Data!$N:$N,Data!$V:$V,$R58,Data!$U:$U,3))</f>
        <v/>
      </c>
      <c r="W58">
        <f>IF(COUNTIFS(Data!$V:$V,$R58,Data!$U:$U,4,Data!$N:$N,"&lt;&gt;")=0,"",SUMIFS(Data!$N:$N,Data!$V:$V,$R58,Data!$U:$U,4))</f>
        <v/>
      </c>
      <c r="X58">
        <f>IF(COUNTIFS(Data!$V:$V,$R58,Data!$U:$U,5,Data!$N:$N,"&lt;&gt;")=0,"",SUMIFS(Data!$N:$N,Data!$V:$V,$R58,Data!$U:$U,5))</f>
        <v/>
      </c>
      <c r="Y58">
        <f>IF(COUNTIFS(Data!$V:$V,$R58,Data!$U:$U,6,Data!$N:$N,"&lt;&gt;")=0,"",SUMIFS(Data!$N:$N,Data!$V:$V,$R58,Data!$U:$U,6))</f>
        <v/>
      </c>
      <c r="Z58">
        <f>IF(COUNTIFS(Data!$V:$V,$R58,Data!$U:$U,7,Data!$N:$N,"&lt;&gt;")=0,"",SUMIFS(Data!$N:$N,Data!$V:$V,$R58,Data!$U:$U,7))</f>
        <v/>
      </c>
      <c r="AA58">
        <f>IF(COUNTIFS(Data!$V:$V,$R58,Data!$U:$U,8,Data!$N:$N,"&lt;&gt;")=0,"",SUMIFS(Data!$N:$N,Data!$V:$V,$R58,Data!$U:$U,8))</f>
        <v/>
      </c>
      <c r="AB58">
        <f>IF(COUNTIFS(Data!$V:$V,$R58,Data!$U:$U,9,Data!$N:$N,"&lt;&gt;")=0,"",SUMIFS(Data!$N:$N,Data!$V:$V,$R58,Data!$U:$U,9))</f>
        <v/>
      </c>
      <c r="AC58">
        <f>IF(COUNTIFS(Data!$V:$V,$R58,Data!$U:$U,10,Data!$N:$N,"&lt;&gt;")=0,"",SUMIFS(Data!$N:$N,Data!$V:$V,$R58,Data!$U:$U,10))</f>
        <v/>
      </c>
      <c r="AD58">
        <f>IF(COUNTIFS(Data!$V:$V,$R58,Data!$U:$U,11,Data!$N:$N,"&lt;&gt;")=0,"",SUMIFS(Data!$N:$N,Data!$V:$V,$R58,Data!$U:$U,11))</f>
        <v/>
      </c>
      <c r="AE58">
        <f>IF(COUNTIFS(Data!$V:$V,$R58,Data!$U:$U,12,Data!$N:$N,"&lt;&gt;")=0,"",SUMIFS(Data!$N:$N,Data!$V:$V,$R58,Data!$U:$U,12))</f>
        <v/>
      </c>
      <c r="AF58">
        <f>IF(COUNTIFS(Data!$V:$V,$R58,Data!$U:$U,13,Data!$N:$N,"&lt;&gt;")=0,"",SUMIFS(Data!$N:$N,Data!$V:$V,$R58,Data!$U:$U,13))</f>
        <v/>
      </c>
      <c r="AG58">
        <f>IF(COUNTIFS(Data!$V:$V,$R58,Data!$U:$U,14,Data!$N:$N,"&lt;&gt;")=0,"",SUMIFS(Data!$N:$N,Data!$V:$V,$R58,Data!$U:$U,14))</f>
        <v/>
      </c>
      <c r="AH58">
        <f>COUNTIFS(Data!$V:$V,$R58,Data!$U:$U,"&lt;="&amp;14,Data!$N:$N,"&lt;&gt;")</f>
        <v/>
      </c>
      <c r="AI58">
        <f>COUNTIFS(Data!$V:$V,$R58,Data!$U:$U,"&lt;="&amp;14,Data!$N:$N,0)</f>
        <v/>
      </c>
      <c r="AJ58">
        <f>IF(AH58=0,"",AH58-AI58)</f>
        <v/>
      </c>
      <c r="AK58">
        <f>IF(AH58=0,"",SUMIFS(Data!$N:$N,Data!$V:$V,$R58,Data!$U:$U,"&lt;="&amp;14))</f>
        <v/>
      </c>
      <c r="AL58">
        <f>IF(AH58=0,"",IF(ABS(MAX(T58:AG58))&gt;=ABS(MIN(T58:AG58)),MAX(T58:AG58),MIN(T58:AG58)))</f>
        <v/>
      </c>
      <c r="AM58">
        <f>IF(AH58=0,-1,AJ58*100000+MIN(ABS(AK58),99999))</f>
        <v/>
      </c>
      <c r="AN58">
        <f>IF($S58="","",1+COUNTIFS($AM$3:$AM$122,"&gt;"&amp;AM58)+COUNTIFS($AM$3:$AM$122,AM58,$R$3:$R$122,"&lt;"&amp;$R58))</f>
        <v/>
      </c>
    </row>
    <row r="59">
      <c r="A59" t="n">
        <v>57</v>
      </c>
      <c r="B59" s="31">
        <f>IFERROR(IF(INDEX(Data!$B:$B,MATCH($A59,Data!$U:$U,0))="","",INDEX(Data!$B:$B,MATCH($A59,Data!$U:$U,0))),"")</f>
        <v/>
      </c>
      <c r="C59">
        <f>IFERROR(IF(INDEX(Data!$D:$D,MATCH($A59,Data!$U:$U,0))="","",INDEX(Data!$D:$D,MATCH($A59,Data!$U:$U,0))),"")</f>
        <v/>
      </c>
      <c r="D59" s="31">
        <f>IFERROR(IF(INDEX(Data!$O:$O,MATCH($A59,Data!$U:$U,0))="","",INDEX(Data!$O:$O,MATCH($A59,Data!$U:$U,0))),"")</f>
        <v/>
      </c>
      <c r="E59">
        <f>COUNTIFS(Data!$U:$U,$A59)</f>
        <v/>
      </c>
      <c r="F59">
        <f>COUNTIFS(Data!$U:$U,$A59,Data!$N:$N,"&lt;&gt;")</f>
        <v/>
      </c>
      <c r="G59">
        <f>COUNTIFS(Data!$U:$U,$A59,Data!$N:$N,0)</f>
        <v/>
      </c>
      <c r="H59">
        <f>IF($F59=0,"",$F59-$G59)</f>
        <v/>
      </c>
      <c r="I59">
        <f>IF($F59=0,"",SUMIFS(Data!$N:$N,Data!$U:$U,$A59))</f>
        <v/>
      </c>
      <c r="J59">
        <f>COUNTIFS(Data!$U:$U,$A59,Data!$Q:$Q,"&lt;&gt;")</f>
        <v/>
      </c>
      <c r="K59">
        <f>IF($J59=0,"",SUMIFS(Data!$Q:$Q,Data!$U:$U,$A59))</f>
        <v/>
      </c>
      <c r="L59">
        <f>COUNTIFS(Data!$U:$U,$A59,Data!$M:$M,"&lt;&gt;")</f>
        <v/>
      </c>
      <c r="M59">
        <f>IF($E59=0,"",IF($L59=0,"not loaded","loaded"))</f>
        <v/>
      </c>
      <c r="N59">
        <f>COUNTIFS(Data!$U:$U,$A59,Data!$I:$I,"&lt;&gt;")</f>
        <v/>
      </c>
      <c r="O59">
        <f>IF($E59=0,"",IF($L59=0,"No POS sales have been loaded for this date, so variance cannot be worked out. Import the sales report for this day and it fills in.",IF($N59=0,"This is the first count of these products, so there is no opening figure to sell down from. Variance starts from the next count.",IF($F59-$G59=0,"Physical and POS agree on every product.",($F59-$G59)&amp;" of "&amp;$F59&amp;" products disagree with the POS. Largest first below."))))</f>
        <v/>
      </c>
      <c r="R59" t="n">
        <v>57</v>
      </c>
      <c r="S59">
        <f>IFERROR(INDEX(Data!$G:$G,MATCH($R59,Data!$V:$V,0)),"")</f>
        <v/>
      </c>
      <c r="T59">
        <f>IF(COUNTIFS(Data!$V:$V,$R59,Data!$U:$U,1,Data!$N:$N,"&lt;&gt;")=0,"",SUMIFS(Data!$N:$N,Data!$V:$V,$R59,Data!$U:$U,1))</f>
        <v/>
      </c>
      <c r="U59">
        <f>IF(COUNTIFS(Data!$V:$V,$R59,Data!$U:$U,2,Data!$N:$N,"&lt;&gt;")=0,"",SUMIFS(Data!$N:$N,Data!$V:$V,$R59,Data!$U:$U,2))</f>
        <v/>
      </c>
      <c r="V59">
        <f>IF(COUNTIFS(Data!$V:$V,$R59,Data!$U:$U,3,Data!$N:$N,"&lt;&gt;")=0,"",SUMIFS(Data!$N:$N,Data!$V:$V,$R59,Data!$U:$U,3))</f>
        <v/>
      </c>
      <c r="W59">
        <f>IF(COUNTIFS(Data!$V:$V,$R59,Data!$U:$U,4,Data!$N:$N,"&lt;&gt;")=0,"",SUMIFS(Data!$N:$N,Data!$V:$V,$R59,Data!$U:$U,4))</f>
        <v/>
      </c>
      <c r="X59">
        <f>IF(COUNTIFS(Data!$V:$V,$R59,Data!$U:$U,5,Data!$N:$N,"&lt;&gt;")=0,"",SUMIFS(Data!$N:$N,Data!$V:$V,$R59,Data!$U:$U,5))</f>
        <v/>
      </c>
      <c r="Y59">
        <f>IF(COUNTIFS(Data!$V:$V,$R59,Data!$U:$U,6,Data!$N:$N,"&lt;&gt;")=0,"",SUMIFS(Data!$N:$N,Data!$V:$V,$R59,Data!$U:$U,6))</f>
        <v/>
      </c>
      <c r="Z59">
        <f>IF(COUNTIFS(Data!$V:$V,$R59,Data!$U:$U,7,Data!$N:$N,"&lt;&gt;")=0,"",SUMIFS(Data!$N:$N,Data!$V:$V,$R59,Data!$U:$U,7))</f>
        <v/>
      </c>
      <c r="AA59">
        <f>IF(COUNTIFS(Data!$V:$V,$R59,Data!$U:$U,8,Data!$N:$N,"&lt;&gt;")=0,"",SUMIFS(Data!$N:$N,Data!$V:$V,$R59,Data!$U:$U,8))</f>
        <v/>
      </c>
      <c r="AB59">
        <f>IF(COUNTIFS(Data!$V:$V,$R59,Data!$U:$U,9,Data!$N:$N,"&lt;&gt;")=0,"",SUMIFS(Data!$N:$N,Data!$V:$V,$R59,Data!$U:$U,9))</f>
        <v/>
      </c>
      <c r="AC59">
        <f>IF(COUNTIFS(Data!$V:$V,$R59,Data!$U:$U,10,Data!$N:$N,"&lt;&gt;")=0,"",SUMIFS(Data!$N:$N,Data!$V:$V,$R59,Data!$U:$U,10))</f>
        <v/>
      </c>
      <c r="AD59">
        <f>IF(COUNTIFS(Data!$V:$V,$R59,Data!$U:$U,11,Data!$N:$N,"&lt;&gt;")=0,"",SUMIFS(Data!$N:$N,Data!$V:$V,$R59,Data!$U:$U,11))</f>
        <v/>
      </c>
      <c r="AE59">
        <f>IF(COUNTIFS(Data!$V:$V,$R59,Data!$U:$U,12,Data!$N:$N,"&lt;&gt;")=0,"",SUMIFS(Data!$N:$N,Data!$V:$V,$R59,Data!$U:$U,12))</f>
        <v/>
      </c>
      <c r="AF59">
        <f>IF(COUNTIFS(Data!$V:$V,$R59,Data!$U:$U,13,Data!$N:$N,"&lt;&gt;")=0,"",SUMIFS(Data!$N:$N,Data!$V:$V,$R59,Data!$U:$U,13))</f>
        <v/>
      </c>
      <c r="AG59">
        <f>IF(COUNTIFS(Data!$V:$V,$R59,Data!$U:$U,14,Data!$N:$N,"&lt;&gt;")=0,"",SUMIFS(Data!$N:$N,Data!$V:$V,$R59,Data!$U:$U,14))</f>
        <v/>
      </c>
      <c r="AH59">
        <f>COUNTIFS(Data!$V:$V,$R59,Data!$U:$U,"&lt;="&amp;14,Data!$N:$N,"&lt;&gt;")</f>
        <v/>
      </c>
      <c r="AI59">
        <f>COUNTIFS(Data!$V:$V,$R59,Data!$U:$U,"&lt;="&amp;14,Data!$N:$N,0)</f>
        <v/>
      </c>
      <c r="AJ59">
        <f>IF(AH59=0,"",AH59-AI59)</f>
        <v/>
      </c>
      <c r="AK59">
        <f>IF(AH59=0,"",SUMIFS(Data!$N:$N,Data!$V:$V,$R59,Data!$U:$U,"&lt;="&amp;14))</f>
        <v/>
      </c>
      <c r="AL59">
        <f>IF(AH59=0,"",IF(ABS(MAX(T59:AG59))&gt;=ABS(MIN(T59:AG59)),MAX(T59:AG59),MIN(T59:AG59)))</f>
        <v/>
      </c>
      <c r="AM59">
        <f>IF(AH59=0,-1,AJ59*100000+MIN(ABS(AK59),99999))</f>
        <v/>
      </c>
      <c r="AN59">
        <f>IF($S59="","",1+COUNTIFS($AM$3:$AM$122,"&gt;"&amp;AM59)+COUNTIFS($AM$3:$AM$122,AM59,$R$3:$R$122,"&lt;"&amp;$R59))</f>
        <v/>
      </c>
    </row>
    <row r="60">
      <c r="A60" t="n">
        <v>58</v>
      </c>
      <c r="B60" s="31">
        <f>IFERROR(IF(INDEX(Data!$B:$B,MATCH($A60,Data!$U:$U,0))="","",INDEX(Data!$B:$B,MATCH($A60,Data!$U:$U,0))),"")</f>
        <v/>
      </c>
      <c r="C60">
        <f>IFERROR(IF(INDEX(Data!$D:$D,MATCH($A60,Data!$U:$U,0))="","",INDEX(Data!$D:$D,MATCH($A60,Data!$U:$U,0))),"")</f>
        <v/>
      </c>
      <c r="D60" s="31">
        <f>IFERROR(IF(INDEX(Data!$O:$O,MATCH($A60,Data!$U:$U,0))="","",INDEX(Data!$O:$O,MATCH($A60,Data!$U:$U,0))),"")</f>
        <v/>
      </c>
      <c r="E60">
        <f>COUNTIFS(Data!$U:$U,$A60)</f>
        <v/>
      </c>
      <c r="F60">
        <f>COUNTIFS(Data!$U:$U,$A60,Data!$N:$N,"&lt;&gt;")</f>
        <v/>
      </c>
      <c r="G60">
        <f>COUNTIFS(Data!$U:$U,$A60,Data!$N:$N,0)</f>
        <v/>
      </c>
      <c r="H60">
        <f>IF($F60=0,"",$F60-$G60)</f>
        <v/>
      </c>
      <c r="I60">
        <f>IF($F60=0,"",SUMIFS(Data!$N:$N,Data!$U:$U,$A60))</f>
        <v/>
      </c>
      <c r="J60">
        <f>COUNTIFS(Data!$U:$U,$A60,Data!$Q:$Q,"&lt;&gt;")</f>
        <v/>
      </c>
      <c r="K60">
        <f>IF($J60=0,"",SUMIFS(Data!$Q:$Q,Data!$U:$U,$A60))</f>
        <v/>
      </c>
      <c r="L60">
        <f>COUNTIFS(Data!$U:$U,$A60,Data!$M:$M,"&lt;&gt;")</f>
        <v/>
      </c>
      <c r="M60">
        <f>IF($E60=0,"",IF($L60=0,"not loaded","loaded"))</f>
        <v/>
      </c>
      <c r="N60">
        <f>COUNTIFS(Data!$U:$U,$A60,Data!$I:$I,"&lt;&gt;")</f>
        <v/>
      </c>
      <c r="O60">
        <f>IF($E60=0,"",IF($L60=0,"No POS sales have been loaded for this date, so variance cannot be worked out. Import the sales report for this day and it fills in.",IF($N60=0,"This is the first count of these products, so there is no opening figure to sell down from. Variance starts from the next count.",IF($F60-$G60=0,"Physical and POS agree on every product.",($F60-$G60)&amp;" of "&amp;$F60&amp;" products disagree with the POS. Largest first below."))))</f>
        <v/>
      </c>
      <c r="R60" t="n">
        <v>58</v>
      </c>
      <c r="S60">
        <f>IFERROR(INDEX(Data!$G:$G,MATCH($R60,Data!$V:$V,0)),"")</f>
        <v/>
      </c>
      <c r="T60">
        <f>IF(COUNTIFS(Data!$V:$V,$R60,Data!$U:$U,1,Data!$N:$N,"&lt;&gt;")=0,"",SUMIFS(Data!$N:$N,Data!$V:$V,$R60,Data!$U:$U,1))</f>
        <v/>
      </c>
      <c r="U60">
        <f>IF(COUNTIFS(Data!$V:$V,$R60,Data!$U:$U,2,Data!$N:$N,"&lt;&gt;")=0,"",SUMIFS(Data!$N:$N,Data!$V:$V,$R60,Data!$U:$U,2))</f>
        <v/>
      </c>
      <c r="V60">
        <f>IF(COUNTIFS(Data!$V:$V,$R60,Data!$U:$U,3,Data!$N:$N,"&lt;&gt;")=0,"",SUMIFS(Data!$N:$N,Data!$V:$V,$R60,Data!$U:$U,3))</f>
        <v/>
      </c>
      <c r="W60">
        <f>IF(COUNTIFS(Data!$V:$V,$R60,Data!$U:$U,4,Data!$N:$N,"&lt;&gt;")=0,"",SUMIFS(Data!$N:$N,Data!$V:$V,$R60,Data!$U:$U,4))</f>
        <v/>
      </c>
      <c r="X60">
        <f>IF(COUNTIFS(Data!$V:$V,$R60,Data!$U:$U,5,Data!$N:$N,"&lt;&gt;")=0,"",SUMIFS(Data!$N:$N,Data!$V:$V,$R60,Data!$U:$U,5))</f>
        <v/>
      </c>
      <c r="Y60">
        <f>IF(COUNTIFS(Data!$V:$V,$R60,Data!$U:$U,6,Data!$N:$N,"&lt;&gt;")=0,"",SUMIFS(Data!$N:$N,Data!$V:$V,$R60,Data!$U:$U,6))</f>
        <v/>
      </c>
      <c r="Z60">
        <f>IF(COUNTIFS(Data!$V:$V,$R60,Data!$U:$U,7,Data!$N:$N,"&lt;&gt;")=0,"",SUMIFS(Data!$N:$N,Data!$V:$V,$R60,Data!$U:$U,7))</f>
        <v/>
      </c>
      <c r="AA60">
        <f>IF(COUNTIFS(Data!$V:$V,$R60,Data!$U:$U,8,Data!$N:$N,"&lt;&gt;")=0,"",SUMIFS(Data!$N:$N,Data!$V:$V,$R60,Data!$U:$U,8))</f>
        <v/>
      </c>
      <c r="AB60">
        <f>IF(COUNTIFS(Data!$V:$V,$R60,Data!$U:$U,9,Data!$N:$N,"&lt;&gt;")=0,"",SUMIFS(Data!$N:$N,Data!$V:$V,$R60,Data!$U:$U,9))</f>
        <v/>
      </c>
      <c r="AC60">
        <f>IF(COUNTIFS(Data!$V:$V,$R60,Data!$U:$U,10,Data!$N:$N,"&lt;&gt;")=0,"",SUMIFS(Data!$N:$N,Data!$V:$V,$R60,Data!$U:$U,10))</f>
        <v/>
      </c>
      <c r="AD60">
        <f>IF(COUNTIFS(Data!$V:$V,$R60,Data!$U:$U,11,Data!$N:$N,"&lt;&gt;")=0,"",SUMIFS(Data!$N:$N,Data!$V:$V,$R60,Data!$U:$U,11))</f>
        <v/>
      </c>
      <c r="AE60">
        <f>IF(COUNTIFS(Data!$V:$V,$R60,Data!$U:$U,12,Data!$N:$N,"&lt;&gt;")=0,"",SUMIFS(Data!$N:$N,Data!$V:$V,$R60,Data!$U:$U,12))</f>
        <v/>
      </c>
      <c r="AF60">
        <f>IF(COUNTIFS(Data!$V:$V,$R60,Data!$U:$U,13,Data!$N:$N,"&lt;&gt;")=0,"",SUMIFS(Data!$N:$N,Data!$V:$V,$R60,Data!$U:$U,13))</f>
        <v/>
      </c>
      <c r="AG60">
        <f>IF(COUNTIFS(Data!$V:$V,$R60,Data!$U:$U,14,Data!$N:$N,"&lt;&gt;")=0,"",SUMIFS(Data!$N:$N,Data!$V:$V,$R60,Data!$U:$U,14))</f>
        <v/>
      </c>
      <c r="AH60">
        <f>COUNTIFS(Data!$V:$V,$R60,Data!$U:$U,"&lt;="&amp;14,Data!$N:$N,"&lt;&gt;")</f>
        <v/>
      </c>
      <c r="AI60">
        <f>COUNTIFS(Data!$V:$V,$R60,Data!$U:$U,"&lt;="&amp;14,Data!$N:$N,0)</f>
        <v/>
      </c>
      <c r="AJ60">
        <f>IF(AH60=0,"",AH60-AI60)</f>
        <v/>
      </c>
      <c r="AK60">
        <f>IF(AH60=0,"",SUMIFS(Data!$N:$N,Data!$V:$V,$R60,Data!$U:$U,"&lt;="&amp;14))</f>
        <v/>
      </c>
      <c r="AL60">
        <f>IF(AH60=0,"",IF(ABS(MAX(T60:AG60))&gt;=ABS(MIN(T60:AG60)),MAX(T60:AG60),MIN(T60:AG60)))</f>
        <v/>
      </c>
      <c r="AM60">
        <f>IF(AH60=0,-1,AJ60*100000+MIN(ABS(AK60),99999))</f>
        <v/>
      </c>
      <c r="AN60">
        <f>IF($S60="","",1+COUNTIFS($AM$3:$AM$122,"&gt;"&amp;AM60)+COUNTIFS($AM$3:$AM$122,AM60,$R$3:$R$122,"&lt;"&amp;$R60))</f>
        <v/>
      </c>
    </row>
    <row r="61">
      <c r="A61" t="n">
        <v>59</v>
      </c>
      <c r="B61" s="31">
        <f>IFERROR(IF(INDEX(Data!$B:$B,MATCH($A61,Data!$U:$U,0))="","",INDEX(Data!$B:$B,MATCH($A61,Data!$U:$U,0))),"")</f>
        <v/>
      </c>
      <c r="C61">
        <f>IFERROR(IF(INDEX(Data!$D:$D,MATCH($A61,Data!$U:$U,0))="","",INDEX(Data!$D:$D,MATCH($A61,Data!$U:$U,0))),"")</f>
        <v/>
      </c>
      <c r="D61" s="31">
        <f>IFERROR(IF(INDEX(Data!$O:$O,MATCH($A61,Data!$U:$U,0))="","",INDEX(Data!$O:$O,MATCH($A61,Data!$U:$U,0))),"")</f>
        <v/>
      </c>
      <c r="E61">
        <f>COUNTIFS(Data!$U:$U,$A61)</f>
        <v/>
      </c>
      <c r="F61">
        <f>COUNTIFS(Data!$U:$U,$A61,Data!$N:$N,"&lt;&gt;")</f>
        <v/>
      </c>
      <c r="G61">
        <f>COUNTIFS(Data!$U:$U,$A61,Data!$N:$N,0)</f>
        <v/>
      </c>
      <c r="H61">
        <f>IF($F61=0,"",$F61-$G61)</f>
        <v/>
      </c>
      <c r="I61">
        <f>IF($F61=0,"",SUMIFS(Data!$N:$N,Data!$U:$U,$A61))</f>
        <v/>
      </c>
      <c r="J61">
        <f>COUNTIFS(Data!$U:$U,$A61,Data!$Q:$Q,"&lt;&gt;")</f>
        <v/>
      </c>
      <c r="K61">
        <f>IF($J61=0,"",SUMIFS(Data!$Q:$Q,Data!$U:$U,$A61))</f>
        <v/>
      </c>
      <c r="L61">
        <f>COUNTIFS(Data!$U:$U,$A61,Data!$M:$M,"&lt;&gt;")</f>
        <v/>
      </c>
      <c r="M61">
        <f>IF($E61=0,"",IF($L61=0,"not loaded","loaded"))</f>
        <v/>
      </c>
      <c r="N61">
        <f>COUNTIFS(Data!$U:$U,$A61,Data!$I:$I,"&lt;&gt;")</f>
        <v/>
      </c>
      <c r="O61">
        <f>IF($E61=0,"",IF($L61=0,"No POS sales have been loaded for this date, so variance cannot be worked out. Import the sales report for this day and it fills in.",IF($N61=0,"This is the first count of these products, so there is no opening figure to sell down from. Variance starts from the next count.",IF($F61-$G61=0,"Physical and POS agree on every product.",($F61-$G61)&amp;" of "&amp;$F61&amp;" products disagree with the POS. Largest first below."))))</f>
        <v/>
      </c>
      <c r="R61" t="n">
        <v>59</v>
      </c>
      <c r="S61">
        <f>IFERROR(INDEX(Data!$G:$G,MATCH($R61,Data!$V:$V,0)),"")</f>
        <v/>
      </c>
      <c r="T61">
        <f>IF(COUNTIFS(Data!$V:$V,$R61,Data!$U:$U,1,Data!$N:$N,"&lt;&gt;")=0,"",SUMIFS(Data!$N:$N,Data!$V:$V,$R61,Data!$U:$U,1))</f>
        <v/>
      </c>
      <c r="U61">
        <f>IF(COUNTIFS(Data!$V:$V,$R61,Data!$U:$U,2,Data!$N:$N,"&lt;&gt;")=0,"",SUMIFS(Data!$N:$N,Data!$V:$V,$R61,Data!$U:$U,2))</f>
        <v/>
      </c>
      <c r="V61">
        <f>IF(COUNTIFS(Data!$V:$V,$R61,Data!$U:$U,3,Data!$N:$N,"&lt;&gt;")=0,"",SUMIFS(Data!$N:$N,Data!$V:$V,$R61,Data!$U:$U,3))</f>
        <v/>
      </c>
      <c r="W61">
        <f>IF(COUNTIFS(Data!$V:$V,$R61,Data!$U:$U,4,Data!$N:$N,"&lt;&gt;")=0,"",SUMIFS(Data!$N:$N,Data!$V:$V,$R61,Data!$U:$U,4))</f>
        <v/>
      </c>
      <c r="X61">
        <f>IF(COUNTIFS(Data!$V:$V,$R61,Data!$U:$U,5,Data!$N:$N,"&lt;&gt;")=0,"",SUMIFS(Data!$N:$N,Data!$V:$V,$R61,Data!$U:$U,5))</f>
        <v/>
      </c>
      <c r="Y61">
        <f>IF(COUNTIFS(Data!$V:$V,$R61,Data!$U:$U,6,Data!$N:$N,"&lt;&gt;")=0,"",SUMIFS(Data!$N:$N,Data!$V:$V,$R61,Data!$U:$U,6))</f>
        <v/>
      </c>
      <c r="Z61">
        <f>IF(COUNTIFS(Data!$V:$V,$R61,Data!$U:$U,7,Data!$N:$N,"&lt;&gt;")=0,"",SUMIFS(Data!$N:$N,Data!$V:$V,$R61,Data!$U:$U,7))</f>
        <v/>
      </c>
      <c r="AA61">
        <f>IF(COUNTIFS(Data!$V:$V,$R61,Data!$U:$U,8,Data!$N:$N,"&lt;&gt;")=0,"",SUMIFS(Data!$N:$N,Data!$V:$V,$R61,Data!$U:$U,8))</f>
        <v/>
      </c>
      <c r="AB61">
        <f>IF(COUNTIFS(Data!$V:$V,$R61,Data!$U:$U,9,Data!$N:$N,"&lt;&gt;")=0,"",SUMIFS(Data!$N:$N,Data!$V:$V,$R61,Data!$U:$U,9))</f>
        <v/>
      </c>
      <c r="AC61">
        <f>IF(COUNTIFS(Data!$V:$V,$R61,Data!$U:$U,10,Data!$N:$N,"&lt;&gt;")=0,"",SUMIFS(Data!$N:$N,Data!$V:$V,$R61,Data!$U:$U,10))</f>
        <v/>
      </c>
      <c r="AD61">
        <f>IF(COUNTIFS(Data!$V:$V,$R61,Data!$U:$U,11,Data!$N:$N,"&lt;&gt;")=0,"",SUMIFS(Data!$N:$N,Data!$V:$V,$R61,Data!$U:$U,11))</f>
        <v/>
      </c>
      <c r="AE61">
        <f>IF(COUNTIFS(Data!$V:$V,$R61,Data!$U:$U,12,Data!$N:$N,"&lt;&gt;")=0,"",SUMIFS(Data!$N:$N,Data!$V:$V,$R61,Data!$U:$U,12))</f>
        <v/>
      </c>
      <c r="AF61">
        <f>IF(COUNTIFS(Data!$V:$V,$R61,Data!$U:$U,13,Data!$N:$N,"&lt;&gt;")=0,"",SUMIFS(Data!$N:$N,Data!$V:$V,$R61,Data!$U:$U,13))</f>
        <v/>
      </c>
      <c r="AG61">
        <f>IF(COUNTIFS(Data!$V:$V,$R61,Data!$U:$U,14,Data!$N:$N,"&lt;&gt;")=0,"",SUMIFS(Data!$N:$N,Data!$V:$V,$R61,Data!$U:$U,14))</f>
        <v/>
      </c>
      <c r="AH61">
        <f>COUNTIFS(Data!$V:$V,$R61,Data!$U:$U,"&lt;="&amp;14,Data!$N:$N,"&lt;&gt;")</f>
        <v/>
      </c>
      <c r="AI61">
        <f>COUNTIFS(Data!$V:$V,$R61,Data!$U:$U,"&lt;="&amp;14,Data!$N:$N,0)</f>
        <v/>
      </c>
      <c r="AJ61">
        <f>IF(AH61=0,"",AH61-AI61)</f>
        <v/>
      </c>
      <c r="AK61">
        <f>IF(AH61=0,"",SUMIFS(Data!$N:$N,Data!$V:$V,$R61,Data!$U:$U,"&lt;="&amp;14))</f>
        <v/>
      </c>
      <c r="AL61">
        <f>IF(AH61=0,"",IF(ABS(MAX(T61:AG61))&gt;=ABS(MIN(T61:AG61)),MAX(T61:AG61),MIN(T61:AG61)))</f>
        <v/>
      </c>
      <c r="AM61">
        <f>IF(AH61=0,-1,AJ61*100000+MIN(ABS(AK61),99999))</f>
        <v/>
      </c>
      <c r="AN61">
        <f>IF($S61="","",1+COUNTIFS($AM$3:$AM$122,"&gt;"&amp;AM61)+COUNTIFS($AM$3:$AM$122,AM61,$R$3:$R$122,"&lt;"&amp;$R61))</f>
        <v/>
      </c>
    </row>
    <row r="62">
      <c r="A62" t="n">
        <v>60</v>
      </c>
      <c r="B62" s="31">
        <f>IFERROR(IF(INDEX(Data!$B:$B,MATCH($A62,Data!$U:$U,0))="","",INDEX(Data!$B:$B,MATCH($A62,Data!$U:$U,0))),"")</f>
        <v/>
      </c>
      <c r="C62">
        <f>IFERROR(IF(INDEX(Data!$D:$D,MATCH($A62,Data!$U:$U,0))="","",INDEX(Data!$D:$D,MATCH($A62,Data!$U:$U,0))),"")</f>
        <v/>
      </c>
      <c r="D62" s="31">
        <f>IFERROR(IF(INDEX(Data!$O:$O,MATCH($A62,Data!$U:$U,0))="","",INDEX(Data!$O:$O,MATCH($A62,Data!$U:$U,0))),"")</f>
        <v/>
      </c>
      <c r="E62">
        <f>COUNTIFS(Data!$U:$U,$A62)</f>
        <v/>
      </c>
      <c r="F62">
        <f>COUNTIFS(Data!$U:$U,$A62,Data!$N:$N,"&lt;&gt;")</f>
        <v/>
      </c>
      <c r="G62">
        <f>COUNTIFS(Data!$U:$U,$A62,Data!$N:$N,0)</f>
        <v/>
      </c>
      <c r="H62">
        <f>IF($F62=0,"",$F62-$G62)</f>
        <v/>
      </c>
      <c r="I62">
        <f>IF($F62=0,"",SUMIFS(Data!$N:$N,Data!$U:$U,$A62))</f>
        <v/>
      </c>
      <c r="J62">
        <f>COUNTIFS(Data!$U:$U,$A62,Data!$Q:$Q,"&lt;&gt;")</f>
        <v/>
      </c>
      <c r="K62">
        <f>IF($J62=0,"",SUMIFS(Data!$Q:$Q,Data!$U:$U,$A62))</f>
        <v/>
      </c>
      <c r="L62">
        <f>COUNTIFS(Data!$U:$U,$A62,Data!$M:$M,"&lt;&gt;")</f>
        <v/>
      </c>
      <c r="M62">
        <f>IF($E62=0,"",IF($L62=0,"not loaded","loaded"))</f>
        <v/>
      </c>
      <c r="N62">
        <f>COUNTIFS(Data!$U:$U,$A62,Data!$I:$I,"&lt;&gt;")</f>
        <v/>
      </c>
      <c r="O62">
        <f>IF($E62=0,"",IF($L62=0,"No POS sales have been loaded for this date, so variance cannot be worked out. Import the sales report for this day and it fills in.",IF($N62=0,"This is the first count of these products, so there is no opening figure to sell down from. Variance starts from the next count.",IF($F62-$G62=0,"Physical and POS agree on every product.",($F62-$G62)&amp;" of "&amp;$F62&amp;" products disagree with the POS. Largest first below."))))</f>
        <v/>
      </c>
      <c r="R62" t="n">
        <v>60</v>
      </c>
      <c r="S62">
        <f>IFERROR(INDEX(Data!$G:$G,MATCH($R62,Data!$V:$V,0)),"")</f>
        <v/>
      </c>
      <c r="T62">
        <f>IF(COUNTIFS(Data!$V:$V,$R62,Data!$U:$U,1,Data!$N:$N,"&lt;&gt;")=0,"",SUMIFS(Data!$N:$N,Data!$V:$V,$R62,Data!$U:$U,1))</f>
        <v/>
      </c>
      <c r="U62">
        <f>IF(COUNTIFS(Data!$V:$V,$R62,Data!$U:$U,2,Data!$N:$N,"&lt;&gt;")=0,"",SUMIFS(Data!$N:$N,Data!$V:$V,$R62,Data!$U:$U,2))</f>
        <v/>
      </c>
      <c r="V62">
        <f>IF(COUNTIFS(Data!$V:$V,$R62,Data!$U:$U,3,Data!$N:$N,"&lt;&gt;")=0,"",SUMIFS(Data!$N:$N,Data!$V:$V,$R62,Data!$U:$U,3))</f>
        <v/>
      </c>
      <c r="W62">
        <f>IF(COUNTIFS(Data!$V:$V,$R62,Data!$U:$U,4,Data!$N:$N,"&lt;&gt;")=0,"",SUMIFS(Data!$N:$N,Data!$V:$V,$R62,Data!$U:$U,4))</f>
        <v/>
      </c>
      <c r="X62">
        <f>IF(COUNTIFS(Data!$V:$V,$R62,Data!$U:$U,5,Data!$N:$N,"&lt;&gt;")=0,"",SUMIFS(Data!$N:$N,Data!$V:$V,$R62,Data!$U:$U,5))</f>
        <v/>
      </c>
      <c r="Y62">
        <f>IF(COUNTIFS(Data!$V:$V,$R62,Data!$U:$U,6,Data!$N:$N,"&lt;&gt;")=0,"",SUMIFS(Data!$N:$N,Data!$V:$V,$R62,Data!$U:$U,6))</f>
        <v/>
      </c>
      <c r="Z62">
        <f>IF(COUNTIFS(Data!$V:$V,$R62,Data!$U:$U,7,Data!$N:$N,"&lt;&gt;")=0,"",SUMIFS(Data!$N:$N,Data!$V:$V,$R62,Data!$U:$U,7))</f>
        <v/>
      </c>
      <c r="AA62">
        <f>IF(COUNTIFS(Data!$V:$V,$R62,Data!$U:$U,8,Data!$N:$N,"&lt;&gt;")=0,"",SUMIFS(Data!$N:$N,Data!$V:$V,$R62,Data!$U:$U,8))</f>
        <v/>
      </c>
      <c r="AB62">
        <f>IF(COUNTIFS(Data!$V:$V,$R62,Data!$U:$U,9,Data!$N:$N,"&lt;&gt;")=0,"",SUMIFS(Data!$N:$N,Data!$V:$V,$R62,Data!$U:$U,9))</f>
        <v/>
      </c>
      <c r="AC62">
        <f>IF(COUNTIFS(Data!$V:$V,$R62,Data!$U:$U,10,Data!$N:$N,"&lt;&gt;")=0,"",SUMIFS(Data!$N:$N,Data!$V:$V,$R62,Data!$U:$U,10))</f>
        <v/>
      </c>
      <c r="AD62">
        <f>IF(COUNTIFS(Data!$V:$V,$R62,Data!$U:$U,11,Data!$N:$N,"&lt;&gt;")=0,"",SUMIFS(Data!$N:$N,Data!$V:$V,$R62,Data!$U:$U,11))</f>
        <v/>
      </c>
      <c r="AE62">
        <f>IF(COUNTIFS(Data!$V:$V,$R62,Data!$U:$U,12,Data!$N:$N,"&lt;&gt;")=0,"",SUMIFS(Data!$N:$N,Data!$V:$V,$R62,Data!$U:$U,12))</f>
        <v/>
      </c>
      <c r="AF62">
        <f>IF(COUNTIFS(Data!$V:$V,$R62,Data!$U:$U,13,Data!$N:$N,"&lt;&gt;")=0,"",SUMIFS(Data!$N:$N,Data!$V:$V,$R62,Data!$U:$U,13))</f>
        <v/>
      </c>
      <c r="AG62">
        <f>IF(COUNTIFS(Data!$V:$V,$R62,Data!$U:$U,14,Data!$N:$N,"&lt;&gt;")=0,"",SUMIFS(Data!$N:$N,Data!$V:$V,$R62,Data!$U:$U,14))</f>
        <v/>
      </c>
      <c r="AH62">
        <f>COUNTIFS(Data!$V:$V,$R62,Data!$U:$U,"&lt;="&amp;14,Data!$N:$N,"&lt;&gt;")</f>
        <v/>
      </c>
      <c r="AI62">
        <f>COUNTIFS(Data!$V:$V,$R62,Data!$U:$U,"&lt;="&amp;14,Data!$N:$N,0)</f>
        <v/>
      </c>
      <c r="AJ62">
        <f>IF(AH62=0,"",AH62-AI62)</f>
        <v/>
      </c>
      <c r="AK62">
        <f>IF(AH62=0,"",SUMIFS(Data!$N:$N,Data!$V:$V,$R62,Data!$U:$U,"&lt;="&amp;14))</f>
        <v/>
      </c>
      <c r="AL62">
        <f>IF(AH62=0,"",IF(ABS(MAX(T62:AG62))&gt;=ABS(MIN(T62:AG62)),MAX(T62:AG62),MIN(T62:AG62)))</f>
        <v/>
      </c>
      <c r="AM62">
        <f>IF(AH62=0,-1,AJ62*100000+MIN(ABS(AK62),99999))</f>
        <v/>
      </c>
      <c r="AN62">
        <f>IF($S62="","",1+COUNTIFS($AM$3:$AM$122,"&gt;"&amp;AM62)+COUNTIFS($AM$3:$AM$122,AM62,$R$3:$R$122,"&lt;"&amp;$R62))</f>
        <v/>
      </c>
    </row>
    <row r="63">
      <c r="R63" t="n">
        <v>61</v>
      </c>
      <c r="S63">
        <f>IFERROR(INDEX(Data!$G:$G,MATCH($R63,Data!$V:$V,0)),"")</f>
        <v/>
      </c>
      <c r="T63">
        <f>IF(COUNTIFS(Data!$V:$V,$R63,Data!$U:$U,1,Data!$N:$N,"&lt;&gt;")=0,"",SUMIFS(Data!$N:$N,Data!$V:$V,$R63,Data!$U:$U,1))</f>
        <v/>
      </c>
      <c r="U63">
        <f>IF(COUNTIFS(Data!$V:$V,$R63,Data!$U:$U,2,Data!$N:$N,"&lt;&gt;")=0,"",SUMIFS(Data!$N:$N,Data!$V:$V,$R63,Data!$U:$U,2))</f>
        <v/>
      </c>
      <c r="V63">
        <f>IF(COUNTIFS(Data!$V:$V,$R63,Data!$U:$U,3,Data!$N:$N,"&lt;&gt;")=0,"",SUMIFS(Data!$N:$N,Data!$V:$V,$R63,Data!$U:$U,3))</f>
        <v/>
      </c>
      <c r="W63">
        <f>IF(COUNTIFS(Data!$V:$V,$R63,Data!$U:$U,4,Data!$N:$N,"&lt;&gt;")=0,"",SUMIFS(Data!$N:$N,Data!$V:$V,$R63,Data!$U:$U,4))</f>
        <v/>
      </c>
      <c r="X63">
        <f>IF(COUNTIFS(Data!$V:$V,$R63,Data!$U:$U,5,Data!$N:$N,"&lt;&gt;")=0,"",SUMIFS(Data!$N:$N,Data!$V:$V,$R63,Data!$U:$U,5))</f>
        <v/>
      </c>
      <c r="Y63">
        <f>IF(COUNTIFS(Data!$V:$V,$R63,Data!$U:$U,6,Data!$N:$N,"&lt;&gt;")=0,"",SUMIFS(Data!$N:$N,Data!$V:$V,$R63,Data!$U:$U,6))</f>
        <v/>
      </c>
      <c r="Z63">
        <f>IF(COUNTIFS(Data!$V:$V,$R63,Data!$U:$U,7,Data!$N:$N,"&lt;&gt;")=0,"",SUMIFS(Data!$N:$N,Data!$V:$V,$R63,Data!$U:$U,7))</f>
        <v/>
      </c>
      <c r="AA63">
        <f>IF(COUNTIFS(Data!$V:$V,$R63,Data!$U:$U,8,Data!$N:$N,"&lt;&gt;")=0,"",SUMIFS(Data!$N:$N,Data!$V:$V,$R63,Data!$U:$U,8))</f>
        <v/>
      </c>
      <c r="AB63">
        <f>IF(COUNTIFS(Data!$V:$V,$R63,Data!$U:$U,9,Data!$N:$N,"&lt;&gt;")=0,"",SUMIFS(Data!$N:$N,Data!$V:$V,$R63,Data!$U:$U,9))</f>
        <v/>
      </c>
      <c r="AC63">
        <f>IF(COUNTIFS(Data!$V:$V,$R63,Data!$U:$U,10,Data!$N:$N,"&lt;&gt;")=0,"",SUMIFS(Data!$N:$N,Data!$V:$V,$R63,Data!$U:$U,10))</f>
        <v/>
      </c>
      <c r="AD63">
        <f>IF(COUNTIFS(Data!$V:$V,$R63,Data!$U:$U,11,Data!$N:$N,"&lt;&gt;")=0,"",SUMIFS(Data!$N:$N,Data!$V:$V,$R63,Data!$U:$U,11))</f>
        <v/>
      </c>
      <c r="AE63">
        <f>IF(COUNTIFS(Data!$V:$V,$R63,Data!$U:$U,12,Data!$N:$N,"&lt;&gt;")=0,"",SUMIFS(Data!$N:$N,Data!$V:$V,$R63,Data!$U:$U,12))</f>
        <v/>
      </c>
      <c r="AF63">
        <f>IF(COUNTIFS(Data!$V:$V,$R63,Data!$U:$U,13,Data!$N:$N,"&lt;&gt;")=0,"",SUMIFS(Data!$N:$N,Data!$V:$V,$R63,Data!$U:$U,13))</f>
        <v/>
      </c>
      <c r="AG63">
        <f>IF(COUNTIFS(Data!$V:$V,$R63,Data!$U:$U,14,Data!$N:$N,"&lt;&gt;")=0,"",SUMIFS(Data!$N:$N,Data!$V:$V,$R63,Data!$U:$U,14))</f>
        <v/>
      </c>
      <c r="AH63">
        <f>COUNTIFS(Data!$V:$V,$R63,Data!$U:$U,"&lt;="&amp;14,Data!$N:$N,"&lt;&gt;")</f>
        <v/>
      </c>
      <c r="AI63">
        <f>COUNTIFS(Data!$V:$V,$R63,Data!$U:$U,"&lt;="&amp;14,Data!$N:$N,0)</f>
        <v/>
      </c>
      <c r="AJ63">
        <f>IF(AH63=0,"",AH63-AI63)</f>
        <v/>
      </c>
      <c r="AK63">
        <f>IF(AH63=0,"",SUMIFS(Data!$N:$N,Data!$V:$V,$R63,Data!$U:$U,"&lt;="&amp;14))</f>
        <v/>
      </c>
      <c r="AL63">
        <f>IF(AH63=0,"",IF(ABS(MAX(T63:AG63))&gt;=ABS(MIN(T63:AG63)),MAX(T63:AG63),MIN(T63:AG63)))</f>
        <v/>
      </c>
      <c r="AM63">
        <f>IF(AH63=0,-1,AJ63*100000+MIN(ABS(AK63),99999))</f>
        <v/>
      </c>
      <c r="AN63">
        <f>IF($S63="","",1+COUNTIFS($AM$3:$AM$122,"&gt;"&amp;AM63)+COUNTIFS($AM$3:$AM$122,AM63,$R$3:$R$122,"&lt;"&amp;$R63))</f>
        <v/>
      </c>
    </row>
    <row r="64">
      <c r="R64" t="n">
        <v>62</v>
      </c>
      <c r="S64">
        <f>IFERROR(INDEX(Data!$G:$G,MATCH($R64,Data!$V:$V,0)),"")</f>
        <v/>
      </c>
      <c r="T64">
        <f>IF(COUNTIFS(Data!$V:$V,$R64,Data!$U:$U,1,Data!$N:$N,"&lt;&gt;")=0,"",SUMIFS(Data!$N:$N,Data!$V:$V,$R64,Data!$U:$U,1))</f>
        <v/>
      </c>
      <c r="U64">
        <f>IF(COUNTIFS(Data!$V:$V,$R64,Data!$U:$U,2,Data!$N:$N,"&lt;&gt;")=0,"",SUMIFS(Data!$N:$N,Data!$V:$V,$R64,Data!$U:$U,2))</f>
        <v/>
      </c>
      <c r="V64">
        <f>IF(COUNTIFS(Data!$V:$V,$R64,Data!$U:$U,3,Data!$N:$N,"&lt;&gt;")=0,"",SUMIFS(Data!$N:$N,Data!$V:$V,$R64,Data!$U:$U,3))</f>
        <v/>
      </c>
      <c r="W64">
        <f>IF(COUNTIFS(Data!$V:$V,$R64,Data!$U:$U,4,Data!$N:$N,"&lt;&gt;")=0,"",SUMIFS(Data!$N:$N,Data!$V:$V,$R64,Data!$U:$U,4))</f>
        <v/>
      </c>
      <c r="X64">
        <f>IF(COUNTIFS(Data!$V:$V,$R64,Data!$U:$U,5,Data!$N:$N,"&lt;&gt;")=0,"",SUMIFS(Data!$N:$N,Data!$V:$V,$R64,Data!$U:$U,5))</f>
        <v/>
      </c>
      <c r="Y64">
        <f>IF(COUNTIFS(Data!$V:$V,$R64,Data!$U:$U,6,Data!$N:$N,"&lt;&gt;")=0,"",SUMIFS(Data!$N:$N,Data!$V:$V,$R64,Data!$U:$U,6))</f>
        <v/>
      </c>
      <c r="Z64">
        <f>IF(COUNTIFS(Data!$V:$V,$R64,Data!$U:$U,7,Data!$N:$N,"&lt;&gt;")=0,"",SUMIFS(Data!$N:$N,Data!$V:$V,$R64,Data!$U:$U,7))</f>
        <v/>
      </c>
      <c r="AA64">
        <f>IF(COUNTIFS(Data!$V:$V,$R64,Data!$U:$U,8,Data!$N:$N,"&lt;&gt;")=0,"",SUMIFS(Data!$N:$N,Data!$V:$V,$R64,Data!$U:$U,8))</f>
        <v/>
      </c>
      <c r="AB64">
        <f>IF(COUNTIFS(Data!$V:$V,$R64,Data!$U:$U,9,Data!$N:$N,"&lt;&gt;")=0,"",SUMIFS(Data!$N:$N,Data!$V:$V,$R64,Data!$U:$U,9))</f>
        <v/>
      </c>
      <c r="AC64">
        <f>IF(COUNTIFS(Data!$V:$V,$R64,Data!$U:$U,10,Data!$N:$N,"&lt;&gt;")=0,"",SUMIFS(Data!$N:$N,Data!$V:$V,$R64,Data!$U:$U,10))</f>
        <v/>
      </c>
      <c r="AD64">
        <f>IF(COUNTIFS(Data!$V:$V,$R64,Data!$U:$U,11,Data!$N:$N,"&lt;&gt;")=0,"",SUMIFS(Data!$N:$N,Data!$V:$V,$R64,Data!$U:$U,11))</f>
        <v/>
      </c>
      <c r="AE64">
        <f>IF(COUNTIFS(Data!$V:$V,$R64,Data!$U:$U,12,Data!$N:$N,"&lt;&gt;")=0,"",SUMIFS(Data!$N:$N,Data!$V:$V,$R64,Data!$U:$U,12))</f>
        <v/>
      </c>
      <c r="AF64">
        <f>IF(COUNTIFS(Data!$V:$V,$R64,Data!$U:$U,13,Data!$N:$N,"&lt;&gt;")=0,"",SUMIFS(Data!$N:$N,Data!$V:$V,$R64,Data!$U:$U,13))</f>
        <v/>
      </c>
      <c r="AG64">
        <f>IF(COUNTIFS(Data!$V:$V,$R64,Data!$U:$U,14,Data!$N:$N,"&lt;&gt;")=0,"",SUMIFS(Data!$N:$N,Data!$V:$V,$R64,Data!$U:$U,14))</f>
        <v/>
      </c>
      <c r="AH64">
        <f>COUNTIFS(Data!$V:$V,$R64,Data!$U:$U,"&lt;="&amp;14,Data!$N:$N,"&lt;&gt;")</f>
        <v/>
      </c>
      <c r="AI64">
        <f>COUNTIFS(Data!$V:$V,$R64,Data!$U:$U,"&lt;="&amp;14,Data!$N:$N,0)</f>
        <v/>
      </c>
      <c r="AJ64">
        <f>IF(AH64=0,"",AH64-AI64)</f>
        <v/>
      </c>
      <c r="AK64">
        <f>IF(AH64=0,"",SUMIFS(Data!$N:$N,Data!$V:$V,$R64,Data!$U:$U,"&lt;="&amp;14))</f>
        <v/>
      </c>
      <c r="AL64">
        <f>IF(AH64=0,"",IF(ABS(MAX(T64:AG64))&gt;=ABS(MIN(T64:AG64)),MAX(T64:AG64),MIN(T64:AG64)))</f>
        <v/>
      </c>
      <c r="AM64">
        <f>IF(AH64=0,-1,AJ64*100000+MIN(ABS(AK64),99999))</f>
        <v/>
      </c>
      <c r="AN64">
        <f>IF($S64="","",1+COUNTIFS($AM$3:$AM$122,"&gt;"&amp;AM64)+COUNTIFS($AM$3:$AM$122,AM64,$R$3:$R$122,"&lt;"&amp;$R64))</f>
        <v/>
      </c>
    </row>
    <row r="65">
      <c r="R65" t="n">
        <v>63</v>
      </c>
      <c r="S65">
        <f>IFERROR(INDEX(Data!$G:$G,MATCH($R65,Data!$V:$V,0)),"")</f>
        <v/>
      </c>
      <c r="T65">
        <f>IF(COUNTIFS(Data!$V:$V,$R65,Data!$U:$U,1,Data!$N:$N,"&lt;&gt;")=0,"",SUMIFS(Data!$N:$N,Data!$V:$V,$R65,Data!$U:$U,1))</f>
        <v/>
      </c>
      <c r="U65">
        <f>IF(COUNTIFS(Data!$V:$V,$R65,Data!$U:$U,2,Data!$N:$N,"&lt;&gt;")=0,"",SUMIFS(Data!$N:$N,Data!$V:$V,$R65,Data!$U:$U,2))</f>
        <v/>
      </c>
      <c r="V65">
        <f>IF(COUNTIFS(Data!$V:$V,$R65,Data!$U:$U,3,Data!$N:$N,"&lt;&gt;")=0,"",SUMIFS(Data!$N:$N,Data!$V:$V,$R65,Data!$U:$U,3))</f>
        <v/>
      </c>
      <c r="W65">
        <f>IF(COUNTIFS(Data!$V:$V,$R65,Data!$U:$U,4,Data!$N:$N,"&lt;&gt;")=0,"",SUMIFS(Data!$N:$N,Data!$V:$V,$R65,Data!$U:$U,4))</f>
        <v/>
      </c>
      <c r="X65">
        <f>IF(COUNTIFS(Data!$V:$V,$R65,Data!$U:$U,5,Data!$N:$N,"&lt;&gt;")=0,"",SUMIFS(Data!$N:$N,Data!$V:$V,$R65,Data!$U:$U,5))</f>
        <v/>
      </c>
      <c r="Y65">
        <f>IF(COUNTIFS(Data!$V:$V,$R65,Data!$U:$U,6,Data!$N:$N,"&lt;&gt;")=0,"",SUMIFS(Data!$N:$N,Data!$V:$V,$R65,Data!$U:$U,6))</f>
        <v/>
      </c>
      <c r="Z65">
        <f>IF(COUNTIFS(Data!$V:$V,$R65,Data!$U:$U,7,Data!$N:$N,"&lt;&gt;")=0,"",SUMIFS(Data!$N:$N,Data!$V:$V,$R65,Data!$U:$U,7))</f>
        <v/>
      </c>
      <c r="AA65">
        <f>IF(COUNTIFS(Data!$V:$V,$R65,Data!$U:$U,8,Data!$N:$N,"&lt;&gt;")=0,"",SUMIFS(Data!$N:$N,Data!$V:$V,$R65,Data!$U:$U,8))</f>
        <v/>
      </c>
      <c r="AB65">
        <f>IF(COUNTIFS(Data!$V:$V,$R65,Data!$U:$U,9,Data!$N:$N,"&lt;&gt;")=0,"",SUMIFS(Data!$N:$N,Data!$V:$V,$R65,Data!$U:$U,9))</f>
        <v/>
      </c>
      <c r="AC65">
        <f>IF(COUNTIFS(Data!$V:$V,$R65,Data!$U:$U,10,Data!$N:$N,"&lt;&gt;")=0,"",SUMIFS(Data!$N:$N,Data!$V:$V,$R65,Data!$U:$U,10))</f>
        <v/>
      </c>
      <c r="AD65">
        <f>IF(COUNTIFS(Data!$V:$V,$R65,Data!$U:$U,11,Data!$N:$N,"&lt;&gt;")=0,"",SUMIFS(Data!$N:$N,Data!$V:$V,$R65,Data!$U:$U,11))</f>
        <v/>
      </c>
      <c r="AE65">
        <f>IF(COUNTIFS(Data!$V:$V,$R65,Data!$U:$U,12,Data!$N:$N,"&lt;&gt;")=0,"",SUMIFS(Data!$N:$N,Data!$V:$V,$R65,Data!$U:$U,12))</f>
        <v/>
      </c>
      <c r="AF65">
        <f>IF(COUNTIFS(Data!$V:$V,$R65,Data!$U:$U,13,Data!$N:$N,"&lt;&gt;")=0,"",SUMIFS(Data!$N:$N,Data!$V:$V,$R65,Data!$U:$U,13))</f>
        <v/>
      </c>
      <c r="AG65">
        <f>IF(COUNTIFS(Data!$V:$V,$R65,Data!$U:$U,14,Data!$N:$N,"&lt;&gt;")=0,"",SUMIFS(Data!$N:$N,Data!$V:$V,$R65,Data!$U:$U,14))</f>
        <v/>
      </c>
      <c r="AH65">
        <f>COUNTIFS(Data!$V:$V,$R65,Data!$U:$U,"&lt;="&amp;14,Data!$N:$N,"&lt;&gt;")</f>
        <v/>
      </c>
      <c r="AI65">
        <f>COUNTIFS(Data!$V:$V,$R65,Data!$U:$U,"&lt;="&amp;14,Data!$N:$N,0)</f>
        <v/>
      </c>
      <c r="AJ65">
        <f>IF(AH65=0,"",AH65-AI65)</f>
        <v/>
      </c>
      <c r="AK65">
        <f>IF(AH65=0,"",SUMIFS(Data!$N:$N,Data!$V:$V,$R65,Data!$U:$U,"&lt;="&amp;14))</f>
        <v/>
      </c>
      <c r="AL65">
        <f>IF(AH65=0,"",IF(ABS(MAX(T65:AG65))&gt;=ABS(MIN(T65:AG65)),MAX(T65:AG65),MIN(T65:AG65)))</f>
        <v/>
      </c>
      <c r="AM65">
        <f>IF(AH65=0,-1,AJ65*100000+MIN(ABS(AK65),99999))</f>
        <v/>
      </c>
      <c r="AN65">
        <f>IF($S65="","",1+COUNTIFS($AM$3:$AM$122,"&gt;"&amp;AM65)+COUNTIFS($AM$3:$AM$122,AM65,$R$3:$R$122,"&lt;"&amp;$R65))</f>
        <v/>
      </c>
    </row>
    <row r="66">
      <c r="R66" t="n">
        <v>64</v>
      </c>
      <c r="S66">
        <f>IFERROR(INDEX(Data!$G:$G,MATCH($R66,Data!$V:$V,0)),"")</f>
        <v/>
      </c>
      <c r="T66">
        <f>IF(COUNTIFS(Data!$V:$V,$R66,Data!$U:$U,1,Data!$N:$N,"&lt;&gt;")=0,"",SUMIFS(Data!$N:$N,Data!$V:$V,$R66,Data!$U:$U,1))</f>
        <v/>
      </c>
      <c r="U66">
        <f>IF(COUNTIFS(Data!$V:$V,$R66,Data!$U:$U,2,Data!$N:$N,"&lt;&gt;")=0,"",SUMIFS(Data!$N:$N,Data!$V:$V,$R66,Data!$U:$U,2))</f>
        <v/>
      </c>
      <c r="V66">
        <f>IF(COUNTIFS(Data!$V:$V,$R66,Data!$U:$U,3,Data!$N:$N,"&lt;&gt;")=0,"",SUMIFS(Data!$N:$N,Data!$V:$V,$R66,Data!$U:$U,3))</f>
        <v/>
      </c>
      <c r="W66">
        <f>IF(COUNTIFS(Data!$V:$V,$R66,Data!$U:$U,4,Data!$N:$N,"&lt;&gt;")=0,"",SUMIFS(Data!$N:$N,Data!$V:$V,$R66,Data!$U:$U,4))</f>
        <v/>
      </c>
      <c r="X66">
        <f>IF(COUNTIFS(Data!$V:$V,$R66,Data!$U:$U,5,Data!$N:$N,"&lt;&gt;")=0,"",SUMIFS(Data!$N:$N,Data!$V:$V,$R66,Data!$U:$U,5))</f>
        <v/>
      </c>
      <c r="Y66">
        <f>IF(COUNTIFS(Data!$V:$V,$R66,Data!$U:$U,6,Data!$N:$N,"&lt;&gt;")=0,"",SUMIFS(Data!$N:$N,Data!$V:$V,$R66,Data!$U:$U,6))</f>
        <v/>
      </c>
      <c r="Z66">
        <f>IF(COUNTIFS(Data!$V:$V,$R66,Data!$U:$U,7,Data!$N:$N,"&lt;&gt;")=0,"",SUMIFS(Data!$N:$N,Data!$V:$V,$R66,Data!$U:$U,7))</f>
        <v/>
      </c>
      <c r="AA66">
        <f>IF(COUNTIFS(Data!$V:$V,$R66,Data!$U:$U,8,Data!$N:$N,"&lt;&gt;")=0,"",SUMIFS(Data!$N:$N,Data!$V:$V,$R66,Data!$U:$U,8))</f>
        <v/>
      </c>
      <c r="AB66">
        <f>IF(COUNTIFS(Data!$V:$V,$R66,Data!$U:$U,9,Data!$N:$N,"&lt;&gt;")=0,"",SUMIFS(Data!$N:$N,Data!$V:$V,$R66,Data!$U:$U,9))</f>
        <v/>
      </c>
      <c r="AC66">
        <f>IF(COUNTIFS(Data!$V:$V,$R66,Data!$U:$U,10,Data!$N:$N,"&lt;&gt;")=0,"",SUMIFS(Data!$N:$N,Data!$V:$V,$R66,Data!$U:$U,10))</f>
        <v/>
      </c>
      <c r="AD66">
        <f>IF(COUNTIFS(Data!$V:$V,$R66,Data!$U:$U,11,Data!$N:$N,"&lt;&gt;")=0,"",SUMIFS(Data!$N:$N,Data!$V:$V,$R66,Data!$U:$U,11))</f>
        <v/>
      </c>
      <c r="AE66">
        <f>IF(COUNTIFS(Data!$V:$V,$R66,Data!$U:$U,12,Data!$N:$N,"&lt;&gt;")=0,"",SUMIFS(Data!$N:$N,Data!$V:$V,$R66,Data!$U:$U,12))</f>
        <v/>
      </c>
      <c r="AF66">
        <f>IF(COUNTIFS(Data!$V:$V,$R66,Data!$U:$U,13,Data!$N:$N,"&lt;&gt;")=0,"",SUMIFS(Data!$N:$N,Data!$V:$V,$R66,Data!$U:$U,13))</f>
        <v/>
      </c>
      <c r="AG66">
        <f>IF(COUNTIFS(Data!$V:$V,$R66,Data!$U:$U,14,Data!$N:$N,"&lt;&gt;")=0,"",SUMIFS(Data!$N:$N,Data!$V:$V,$R66,Data!$U:$U,14))</f>
        <v/>
      </c>
      <c r="AH66">
        <f>COUNTIFS(Data!$V:$V,$R66,Data!$U:$U,"&lt;="&amp;14,Data!$N:$N,"&lt;&gt;")</f>
        <v/>
      </c>
      <c r="AI66">
        <f>COUNTIFS(Data!$V:$V,$R66,Data!$U:$U,"&lt;="&amp;14,Data!$N:$N,0)</f>
        <v/>
      </c>
      <c r="AJ66">
        <f>IF(AH66=0,"",AH66-AI66)</f>
        <v/>
      </c>
      <c r="AK66">
        <f>IF(AH66=0,"",SUMIFS(Data!$N:$N,Data!$V:$V,$R66,Data!$U:$U,"&lt;="&amp;14))</f>
        <v/>
      </c>
      <c r="AL66">
        <f>IF(AH66=0,"",IF(ABS(MAX(T66:AG66))&gt;=ABS(MIN(T66:AG66)),MAX(T66:AG66),MIN(T66:AG66)))</f>
        <v/>
      </c>
      <c r="AM66">
        <f>IF(AH66=0,-1,AJ66*100000+MIN(ABS(AK66),99999))</f>
        <v/>
      </c>
      <c r="AN66">
        <f>IF($S66="","",1+COUNTIFS($AM$3:$AM$122,"&gt;"&amp;AM66)+COUNTIFS($AM$3:$AM$122,AM66,$R$3:$R$122,"&lt;"&amp;$R66))</f>
        <v/>
      </c>
    </row>
    <row r="67">
      <c r="R67" t="n">
        <v>65</v>
      </c>
      <c r="S67">
        <f>IFERROR(INDEX(Data!$G:$G,MATCH($R67,Data!$V:$V,0)),"")</f>
        <v/>
      </c>
      <c r="T67">
        <f>IF(COUNTIFS(Data!$V:$V,$R67,Data!$U:$U,1,Data!$N:$N,"&lt;&gt;")=0,"",SUMIFS(Data!$N:$N,Data!$V:$V,$R67,Data!$U:$U,1))</f>
        <v/>
      </c>
      <c r="U67">
        <f>IF(COUNTIFS(Data!$V:$V,$R67,Data!$U:$U,2,Data!$N:$N,"&lt;&gt;")=0,"",SUMIFS(Data!$N:$N,Data!$V:$V,$R67,Data!$U:$U,2))</f>
        <v/>
      </c>
      <c r="V67">
        <f>IF(COUNTIFS(Data!$V:$V,$R67,Data!$U:$U,3,Data!$N:$N,"&lt;&gt;")=0,"",SUMIFS(Data!$N:$N,Data!$V:$V,$R67,Data!$U:$U,3))</f>
        <v/>
      </c>
      <c r="W67">
        <f>IF(COUNTIFS(Data!$V:$V,$R67,Data!$U:$U,4,Data!$N:$N,"&lt;&gt;")=0,"",SUMIFS(Data!$N:$N,Data!$V:$V,$R67,Data!$U:$U,4))</f>
        <v/>
      </c>
      <c r="X67">
        <f>IF(COUNTIFS(Data!$V:$V,$R67,Data!$U:$U,5,Data!$N:$N,"&lt;&gt;")=0,"",SUMIFS(Data!$N:$N,Data!$V:$V,$R67,Data!$U:$U,5))</f>
        <v/>
      </c>
      <c r="Y67">
        <f>IF(COUNTIFS(Data!$V:$V,$R67,Data!$U:$U,6,Data!$N:$N,"&lt;&gt;")=0,"",SUMIFS(Data!$N:$N,Data!$V:$V,$R67,Data!$U:$U,6))</f>
        <v/>
      </c>
      <c r="Z67">
        <f>IF(COUNTIFS(Data!$V:$V,$R67,Data!$U:$U,7,Data!$N:$N,"&lt;&gt;")=0,"",SUMIFS(Data!$N:$N,Data!$V:$V,$R67,Data!$U:$U,7))</f>
        <v/>
      </c>
      <c r="AA67">
        <f>IF(COUNTIFS(Data!$V:$V,$R67,Data!$U:$U,8,Data!$N:$N,"&lt;&gt;")=0,"",SUMIFS(Data!$N:$N,Data!$V:$V,$R67,Data!$U:$U,8))</f>
        <v/>
      </c>
      <c r="AB67">
        <f>IF(COUNTIFS(Data!$V:$V,$R67,Data!$U:$U,9,Data!$N:$N,"&lt;&gt;")=0,"",SUMIFS(Data!$N:$N,Data!$V:$V,$R67,Data!$U:$U,9))</f>
        <v/>
      </c>
      <c r="AC67">
        <f>IF(COUNTIFS(Data!$V:$V,$R67,Data!$U:$U,10,Data!$N:$N,"&lt;&gt;")=0,"",SUMIFS(Data!$N:$N,Data!$V:$V,$R67,Data!$U:$U,10))</f>
        <v/>
      </c>
      <c r="AD67">
        <f>IF(COUNTIFS(Data!$V:$V,$R67,Data!$U:$U,11,Data!$N:$N,"&lt;&gt;")=0,"",SUMIFS(Data!$N:$N,Data!$V:$V,$R67,Data!$U:$U,11))</f>
        <v/>
      </c>
      <c r="AE67">
        <f>IF(COUNTIFS(Data!$V:$V,$R67,Data!$U:$U,12,Data!$N:$N,"&lt;&gt;")=0,"",SUMIFS(Data!$N:$N,Data!$V:$V,$R67,Data!$U:$U,12))</f>
        <v/>
      </c>
      <c r="AF67">
        <f>IF(COUNTIFS(Data!$V:$V,$R67,Data!$U:$U,13,Data!$N:$N,"&lt;&gt;")=0,"",SUMIFS(Data!$N:$N,Data!$V:$V,$R67,Data!$U:$U,13))</f>
        <v/>
      </c>
      <c r="AG67">
        <f>IF(COUNTIFS(Data!$V:$V,$R67,Data!$U:$U,14,Data!$N:$N,"&lt;&gt;")=0,"",SUMIFS(Data!$N:$N,Data!$V:$V,$R67,Data!$U:$U,14))</f>
        <v/>
      </c>
      <c r="AH67">
        <f>COUNTIFS(Data!$V:$V,$R67,Data!$U:$U,"&lt;="&amp;14,Data!$N:$N,"&lt;&gt;")</f>
        <v/>
      </c>
      <c r="AI67">
        <f>COUNTIFS(Data!$V:$V,$R67,Data!$U:$U,"&lt;="&amp;14,Data!$N:$N,0)</f>
        <v/>
      </c>
      <c r="AJ67">
        <f>IF(AH67=0,"",AH67-AI67)</f>
        <v/>
      </c>
      <c r="AK67">
        <f>IF(AH67=0,"",SUMIFS(Data!$N:$N,Data!$V:$V,$R67,Data!$U:$U,"&lt;="&amp;14))</f>
        <v/>
      </c>
      <c r="AL67">
        <f>IF(AH67=0,"",IF(ABS(MAX(T67:AG67))&gt;=ABS(MIN(T67:AG67)),MAX(T67:AG67),MIN(T67:AG67)))</f>
        <v/>
      </c>
      <c r="AM67">
        <f>IF(AH67=0,-1,AJ67*100000+MIN(ABS(AK67),99999))</f>
        <v/>
      </c>
      <c r="AN67">
        <f>IF($S67="","",1+COUNTIFS($AM$3:$AM$122,"&gt;"&amp;AM67)+COUNTIFS($AM$3:$AM$122,AM67,$R$3:$R$122,"&lt;"&amp;$R67))</f>
        <v/>
      </c>
    </row>
    <row r="68">
      <c r="R68" t="n">
        <v>66</v>
      </c>
      <c r="S68">
        <f>IFERROR(INDEX(Data!$G:$G,MATCH($R68,Data!$V:$V,0)),"")</f>
        <v/>
      </c>
      <c r="T68">
        <f>IF(COUNTIFS(Data!$V:$V,$R68,Data!$U:$U,1,Data!$N:$N,"&lt;&gt;")=0,"",SUMIFS(Data!$N:$N,Data!$V:$V,$R68,Data!$U:$U,1))</f>
        <v/>
      </c>
      <c r="U68">
        <f>IF(COUNTIFS(Data!$V:$V,$R68,Data!$U:$U,2,Data!$N:$N,"&lt;&gt;")=0,"",SUMIFS(Data!$N:$N,Data!$V:$V,$R68,Data!$U:$U,2))</f>
        <v/>
      </c>
      <c r="V68">
        <f>IF(COUNTIFS(Data!$V:$V,$R68,Data!$U:$U,3,Data!$N:$N,"&lt;&gt;")=0,"",SUMIFS(Data!$N:$N,Data!$V:$V,$R68,Data!$U:$U,3))</f>
        <v/>
      </c>
      <c r="W68">
        <f>IF(COUNTIFS(Data!$V:$V,$R68,Data!$U:$U,4,Data!$N:$N,"&lt;&gt;")=0,"",SUMIFS(Data!$N:$N,Data!$V:$V,$R68,Data!$U:$U,4))</f>
        <v/>
      </c>
      <c r="X68">
        <f>IF(COUNTIFS(Data!$V:$V,$R68,Data!$U:$U,5,Data!$N:$N,"&lt;&gt;")=0,"",SUMIFS(Data!$N:$N,Data!$V:$V,$R68,Data!$U:$U,5))</f>
        <v/>
      </c>
      <c r="Y68">
        <f>IF(COUNTIFS(Data!$V:$V,$R68,Data!$U:$U,6,Data!$N:$N,"&lt;&gt;")=0,"",SUMIFS(Data!$N:$N,Data!$V:$V,$R68,Data!$U:$U,6))</f>
        <v/>
      </c>
      <c r="Z68">
        <f>IF(COUNTIFS(Data!$V:$V,$R68,Data!$U:$U,7,Data!$N:$N,"&lt;&gt;")=0,"",SUMIFS(Data!$N:$N,Data!$V:$V,$R68,Data!$U:$U,7))</f>
        <v/>
      </c>
      <c r="AA68">
        <f>IF(COUNTIFS(Data!$V:$V,$R68,Data!$U:$U,8,Data!$N:$N,"&lt;&gt;")=0,"",SUMIFS(Data!$N:$N,Data!$V:$V,$R68,Data!$U:$U,8))</f>
        <v/>
      </c>
      <c r="AB68">
        <f>IF(COUNTIFS(Data!$V:$V,$R68,Data!$U:$U,9,Data!$N:$N,"&lt;&gt;")=0,"",SUMIFS(Data!$N:$N,Data!$V:$V,$R68,Data!$U:$U,9))</f>
        <v/>
      </c>
      <c r="AC68">
        <f>IF(COUNTIFS(Data!$V:$V,$R68,Data!$U:$U,10,Data!$N:$N,"&lt;&gt;")=0,"",SUMIFS(Data!$N:$N,Data!$V:$V,$R68,Data!$U:$U,10))</f>
        <v/>
      </c>
      <c r="AD68">
        <f>IF(COUNTIFS(Data!$V:$V,$R68,Data!$U:$U,11,Data!$N:$N,"&lt;&gt;")=0,"",SUMIFS(Data!$N:$N,Data!$V:$V,$R68,Data!$U:$U,11))</f>
        <v/>
      </c>
      <c r="AE68">
        <f>IF(COUNTIFS(Data!$V:$V,$R68,Data!$U:$U,12,Data!$N:$N,"&lt;&gt;")=0,"",SUMIFS(Data!$N:$N,Data!$V:$V,$R68,Data!$U:$U,12))</f>
        <v/>
      </c>
      <c r="AF68">
        <f>IF(COUNTIFS(Data!$V:$V,$R68,Data!$U:$U,13,Data!$N:$N,"&lt;&gt;")=0,"",SUMIFS(Data!$N:$N,Data!$V:$V,$R68,Data!$U:$U,13))</f>
        <v/>
      </c>
      <c r="AG68">
        <f>IF(COUNTIFS(Data!$V:$V,$R68,Data!$U:$U,14,Data!$N:$N,"&lt;&gt;")=0,"",SUMIFS(Data!$N:$N,Data!$V:$V,$R68,Data!$U:$U,14))</f>
        <v/>
      </c>
      <c r="AH68">
        <f>COUNTIFS(Data!$V:$V,$R68,Data!$U:$U,"&lt;="&amp;14,Data!$N:$N,"&lt;&gt;")</f>
        <v/>
      </c>
      <c r="AI68">
        <f>COUNTIFS(Data!$V:$V,$R68,Data!$U:$U,"&lt;="&amp;14,Data!$N:$N,0)</f>
        <v/>
      </c>
      <c r="AJ68">
        <f>IF(AH68=0,"",AH68-AI68)</f>
        <v/>
      </c>
      <c r="AK68">
        <f>IF(AH68=0,"",SUMIFS(Data!$N:$N,Data!$V:$V,$R68,Data!$U:$U,"&lt;="&amp;14))</f>
        <v/>
      </c>
      <c r="AL68">
        <f>IF(AH68=0,"",IF(ABS(MAX(T68:AG68))&gt;=ABS(MIN(T68:AG68)),MAX(T68:AG68),MIN(T68:AG68)))</f>
        <v/>
      </c>
      <c r="AM68">
        <f>IF(AH68=0,-1,AJ68*100000+MIN(ABS(AK68),99999))</f>
        <v/>
      </c>
      <c r="AN68">
        <f>IF($S68="","",1+COUNTIFS($AM$3:$AM$122,"&gt;"&amp;AM68)+COUNTIFS($AM$3:$AM$122,AM68,$R$3:$R$122,"&lt;"&amp;$R68))</f>
        <v/>
      </c>
    </row>
    <row r="69">
      <c r="R69" t="n">
        <v>67</v>
      </c>
      <c r="S69">
        <f>IFERROR(INDEX(Data!$G:$G,MATCH($R69,Data!$V:$V,0)),"")</f>
        <v/>
      </c>
      <c r="T69">
        <f>IF(COUNTIFS(Data!$V:$V,$R69,Data!$U:$U,1,Data!$N:$N,"&lt;&gt;")=0,"",SUMIFS(Data!$N:$N,Data!$V:$V,$R69,Data!$U:$U,1))</f>
        <v/>
      </c>
      <c r="U69">
        <f>IF(COUNTIFS(Data!$V:$V,$R69,Data!$U:$U,2,Data!$N:$N,"&lt;&gt;")=0,"",SUMIFS(Data!$N:$N,Data!$V:$V,$R69,Data!$U:$U,2))</f>
        <v/>
      </c>
      <c r="V69">
        <f>IF(COUNTIFS(Data!$V:$V,$R69,Data!$U:$U,3,Data!$N:$N,"&lt;&gt;")=0,"",SUMIFS(Data!$N:$N,Data!$V:$V,$R69,Data!$U:$U,3))</f>
        <v/>
      </c>
      <c r="W69">
        <f>IF(COUNTIFS(Data!$V:$V,$R69,Data!$U:$U,4,Data!$N:$N,"&lt;&gt;")=0,"",SUMIFS(Data!$N:$N,Data!$V:$V,$R69,Data!$U:$U,4))</f>
        <v/>
      </c>
      <c r="X69">
        <f>IF(COUNTIFS(Data!$V:$V,$R69,Data!$U:$U,5,Data!$N:$N,"&lt;&gt;")=0,"",SUMIFS(Data!$N:$N,Data!$V:$V,$R69,Data!$U:$U,5))</f>
        <v/>
      </c>
      <c r="Y69">
        <f>IF(COUNTIFS(Data!$V:$V,$R69,Data!$U:$U,6,Data!$N:$N,"&lt;&gt;")=0,"",SUMIFS(Data!$N:$N,Data!$V:$V,$R69,Data!$U:$U,6))</f>
        <v/>
      </c>
      <c r="Z69">
        <f>IF(COUNTIFS(Data!$V:$V,$R69,Data!$U:$U,7,Data!$N:$N,"&lt;&gt;")=0,"",SUMIFS(Data!$N:$N,Data!$V:$V,$R69,Data!$U:$U,7))</f>
        <v/>
      </c>
      <c r="AA69">
        <f>IF(COUNTIFS(Data!$V:$V,$R69,Data!$U:$U,8,Data!$N:$N,"&lt;&gt;")=0,"",SUMIFS(Data!$N:$N,Data!$V:$V,$R69,Data!$U:$U,8))</f>
        <v/>
      </c>
      <c r="AB69">
        <f>IF(COUNTIFS(Data!$V:$V,$R69,Data!$U:$U,9,Data!$N:$N,"&lt;&gt;")=0,"",SUMIFS(Data!$N:$N,Data!$V:$V,$R69,Data!$U:$U,9))</f>
        <v/>
      </c>
      <c r="AC69">
        <f>IF(COUNTIFS(Data!$V:$V,$R69,Data!$U:$U,10,Data!$N:$N,"&lt;&gt;")=0,"",SUMIFS(Data!$N:$N,Data!$V:$V,$R69,Data!$U:$U,10))</f>
        <v/>
      </c>
      <c r="AD69">
        <f>IF(COUNTIFS(Data!$V:$V,$R69,Data!$U:$U,11,Data!$N:$N,"&lt;&gt;")=0,"",SUMIFS(Data!$N:$N,Data!$V:$V,$R69,Data!$U:$U,11))</f>
        <v/>
      </c>
      <c r="AE69">
        <f>IF(COUNTIFS(Data!$V:$V,$R69,Data!$U:$U,12,Data!$N:$N,"&lt;&gt;")=0,"",SUMIFS(Data!$N:$N,Data!$V:$V,$R69,Data!$U:$U,12))</f>
        <v/>
      </c>
      <c r="AF69">
        <f>IF(COUNTIFS(Data!$V:$V,$R69,Data!$U:$U,13,Data!$N:$N,"&lt;&gt;")=0,"",SUMIFS(Data!$N:$N,Data!$V:$V,$R69,Data!$U:$U,13))</f>
        <v/>
      </c>
      <c r="AG69">
        <f>IF(COUNTIFS(Data!$V:$V,$R69,Data!$U:$U,14,Data!$N:$N,"&lt;&gt;")=0,"",SUMIFS(Data!$N:$N,Data!$V:$V,$R69,Data!$U:$U,14))</f>
        <v/>
      </c>
      <c r="AH69">
        <f>COUNTIFS(Data!$V:$V,$R69,Data!$U:$U,"&lt;="&amp;14,Data!$N:$N,"&lt;&gt;")</f>
        <v/>
      </c>
      <c r="AI69">
        <f>COUNTIFS(Data!$V:$V,$R69,Data!$U:$U,"&lt;="&amp;14,Data!$N:$N,0)</f>
        <v/>
      </c>
      <c r="AJ69">
        <f>IF(AH69=0,"",AH69-AI69)</f>
        <v/>
      </c>
      <c r="AK69">
        <f>IF(AH69=0,"",SUMIFS(Data!$N:$N,Data!$V:$V,$R69,Data!$U:$U,"&lt;="&amp;14))</f>
        <v/>
      </c>
      <c r="AL69">
        <f>IF(AH69=0,"",IF(ABS(MAX(T69:AG69))&gt;=ABS(MIN(T69:AG69)),MAX(T69:AG69),MIN(T69:AG69)))</f>
        <v/>
      </c>
      <c r="AM69">
        <f>IF(AH69=0,-1,AJ69*100000+MIN(ABS(AK69),99999))</f>
        <v/>
      </c>
      <c r="AN69">
        <f>IF($S69="","",1+COUNTIFS($AM$3:$AM$122,"&gt;"&amp;AM69)+COUNTIFS($AM$3:$AM$122,AM69,$R$3:$R$122,"&lt;"&amp;$R69))</f>
        <v/>
      </c>
    </row>
    <row r="70">
      <c r="R70" t="n">
        <v>68</v>
      </c>
      <c r="S70">
        <f>IFERROR(INDEX(Data!$G:$G,MATCH($R70,Data!$V:$V,0)),"")</f>
        <v/>
      </c>
      <c r="T70">
        <f>IF(COUNTIFS(Data!$V:$V,$R70,Data!$U:$U,1,Data!$N:$N,"&lt;&gt;")=0,"",SUMIFS(Data!$N:$N,Data!$V:$V,$R70,Data!$U:$U,1))</f>
        <v/>
      </c>
      <c r="U70">
        <f>IF(COUNTIFS(Data!$V:$V,$R70,Data!$U:$U,2,Data!$N:$N,"&lt;&gt;")=0,"",SUMIFS(Data!$N:$N,Data!$V:$V,$R70,Data!$U:$U,2))</f>
        <v/>
      </c>
      <c r="V70">
        <f>IF(COUNTIFS(Data!$V:$V,$R70,Data!$U:$U,3,Data!$N:$N,"&lt;&gt;")=0,"",SUMIFS(Data!$N:$N,Data!$V:$V,$R70,Data!$U:$U,3))</f>
        <v/>
      </c>
      <c r="W70">
        <f>IF(COUNTIFS(Data!$V:$V,$R70,Data!$U:$U,4,Data!$N:$N,"&lt;&gt;")=0,"",SUMIFS(Data!$N:$N,Data!$V:$V,$R70,Data!$U:$U,4))</f>
        <v/>
      </c>
      <c r="X70">
        <f>IF(COUNTIFS(Data!$V:$V,$R70,Data!$U:$U,5,Data!$N:$N,"&lt;&gt;")=0,"",SUMIFS(Data!$N:$N,Data!$V:$V,$R70,Data!$U:$U,5))</f>
        <v/>
      </c>
      <c r="Y70">
        <f>IF(COUNTIFS(Data!$V:$V,$R70,Data!$U:$U,6,Data!$N:$N,"&lt;&gt;")=0,"",SUMIFS(Data!$N:$N,Data!$V:$V,$R70,Data!$U:$U,6))</f>
        <v/>
      </c>
      <c r="Z70">
        <f>IF(COUNTIFS(Data!$V:$V,$R70,Data!$U:$U,7,Data!$N:$N,"&lt;&gt;")=0,"",SUMIFS(Data!$N:$N,Data!$V:$V,$R70,Data!$U:$U,7))</f>
        <v/>
      </c>
      <c r="AA70">
        <f>IF(COUNTIFS(Data!$V:$V,$R70,Data!$U:$U,8,Data!$N:$N,"&lt;&gt;")=0,"",SUMIFS(Data!$N:$N,Data!$V:$V,$R70,Data!$U:$U,8))</f>
        <v/>
      </c>
      <c r="AB70">
        <f>IF(COUNTIFS(Data!$V:$V,$R70,Data!$U:$U,9,Data!$N:$N,"&lt;&gt;")=0,"",SUMIFS(Data!$N:$N,Data!$V:$V,$R70,Data!$U:$U,9))</f>
        <v/>
      </c>
      <c r="AC70">
        <f>IF(COUNTIFS(Data!$V:$V,$R70,Data!$U:$U,10,Data!$N:$N,"&lt;&gt;")=0,"",SUMIFS(Data!$N:$N,Data!$V:$V,$R70,Data!$U:$U,10))</f>
        <v/>
      </c>
      <c r="AD70">
        <f>IF(COUNTIFS(Data!$V:$V,$R70,Data!$U:$U,11,Data!$N:$N,"&lt;&gt;")=0,"",SUMIFS(Data!$N:$N,Data!$V:$V,$R70,Data!$U:$U,11))</f>
        <v/>
      </c>
      <c r="AE70">
        <f>IF(COUNTIFS(Data!$V:$V,$R70,Data!$U:$U,12,Data!$N:$N,"&lt;&gt;")=0,"",SUMIFS(Data!$N:$N,Data!$V:$V,$R70,Data!$U:$U,12))</f>
        <v/>
      </c>
      <c r="AF70">
        <f>IF(COUNTIFS(Data!$V:$V,$R70,Data!$U:$U,13,Data!$N:$N,"&lt;&gt;")=0,"",SUMIFS(Data!$N:$N,Data!$V:$V,$R70,Data!$U:$U,13))</f>
        <v/>
      </c>
      <c r="AG70">
        <f>IF(COUNTIFS(Data!$V:$V,$R70,Data!$U:$U,14,Data!$N:$N,"&lt;&gt;")=0,"",SUMIFS(Data!$N:$N,Data!$V:$V,$R70,Data!$U:$U,14))</f>
        <v/>
      </c>
      <c r="AH70">
        <f>COUNTIFS(Data!$V:$V,$R70,Data!$U:$U,"&lt;="&amp;14,Data!$N:$N,"&lt;&gt;")</f>
        <v/>
      </c>
      <c r="AI70">
        <f>COUNTIFS(Data!$V:$V,$R70,Data!$U:$U,"&lt;="&amp;14,Data!$N:$N,0)</f>
        <v/>
      </c>
      <c r="AJ70">
        <f>IF(AH70=0,"",AH70-AI70)</f>
        <v/>
      </c>
      <c r="AK70">
        <f>IF(AH70=0,"",SUMIFS(Data!$N:$N,Data!$V:$V,$R70,Data!$U:$U,"&lt;="&amp;14))</f>
        <v/>
      </c>
      <c r="AL70">
        <f>IF(AH70=0,"",IF(ABS(MAX(T70:AG70))&gt;=ABS(MIN(T70:AG70)),MAX(T70:AG70),MIN(T70:AG70)))</f>
        <v/>
      </c>
      <c r="AM70">
        <f>IF(AH70=0,-1,AJ70*100000+MIN(ABS(AK70),99999))</f>
        <v/>
      </c>
      <c r="AN70">
        <f>IF($S70="","",1+COUNTIFS($AM$3:$AM$122,"&gt;"&amp;AM70)+COUNTIFS($AM$3:$AM$122,AM70,$R$3:$R$122,"&lt;"&amp;$R70))</f>
        <v/>
      </c>
    </row>
    <row r="71">
      <c r="R71" t="n">
        <v>69</v>
      </c>
      <c r="S71">
        <f>IFERROR(INDEX(Data!$G:$G,MATCH($R71,Data!$V:$V,0)),"")</f>
        <v/>
      </c>
      <c r="T71">
        <f>IF(COUNTIFS(Data!$V:$V,$R71,Data!$U:$U,1,Data!$N:$N,"&lt;&gt;")=0,"",SUMIFS(Data!$N:$N,Data!$V:$V,$R71,Data!$U:$U,1))</f>
        <v/>
      </c>
      <c r="U71">
        <f>IF(COUNTIFS(Data!$V:$V,$R71,Data!$U:$U,2,Data!$N:$N,"&lt;&gt;")=0,"",SUMIFS(Data!$N:$N,Data!$V:$V,$R71,Data!$U:$U,2))</f>
        <v/>
      </c>
      <c r="V71">
        <f>IF(COUNTIFS(Data!$V:$V,$R71,Data!$U:$U,3,Data!$N:$N,"&lt;&gt;")=0,"",SUMIFS(Data!$N:$N,Data!$V:$V,$R71,Data!$U:$U,3))</f>
        <v/>
      </c>
      <c r="W71">
        <f>IF(COUNTIFS(Data!$V:$V,$R71,Data!$U:$U,4,Data!$N:$N,"&lt;&gt;")=0,"",SUMIFS(Data!$N:$N,Data!$V:$V,$R71,Data!$U:$U,4))</f>
        <v/>
      </c>
      <c r="X71">
        <f>IF(COUNTIFS(Data!$V:$V,$R71,Data!$U:$U,5,Data!$N:$N,"&lt;&gt;")=0,"",SUMIFS(Data!$N:$N,Data!$V:$V,$R71,Data!$U:$U,5))</f>
        <v/>
      </c>
      <c r="Y71">
        <f>IF(COUNTIFS(Data!$V:$V,$R71,Data!$U:$U,6,Data!$N:$N,"&lt;&gt;")=0,"",SUMIFS(Data!$N:$N,Data!$V:$V,$R71,Data!$U:$U,6))</f>
        <v/>
      </c>
      <c r="Z71">
        <f>IF(COUNTIFS(Data!$V:$V,$R71,Data!$U:$U,7,Data!$N:$N,"&lt;&gt;")=0,"",SUMIFS(Data!$N:$N,Data!$V:$V,$R71,Data!$U:$U,7))</f>
        <v/>
      </c>
      <c r="AA71">
        <f>IF(COUNTIFS(Data!$V:$V,$R71,Data!$U:$U,8,Data!$N:$N,"&lt;&gt;")=0,"",SUMIFS(Data!$N:$N,Data!$V:$V,$R71,Data!$U:$U,8))</f>
        <v/>
      </c>
      <c r="AB71">
        <f>IF(COUNTIFS(Data!$V:$V,$R71,Data!$U:$U,9,Data!$N:$N,"&lt;&gt;")=0,"",SUMIFS(Data!$N:$N,Data!$V:$V,$R71,Data!$U:$U,9))</f>
        <v/>
      </c>
      <c r="AC71">
        <f>IF(COUNTIFS(Data!$V:$V,$R71,Data!$U:$U,10,Data!$N:$N,"&lt;&gt;")=0,"",SUMIFS(Data!$N:$N,Data!$V:$V,$R71,Data!$U:$U,10))</f>
        <v/>
      </c>
      <c r="AD71">
        <f>IF(COUNTIFS(Data!$V:$V,$R71,Data!$U:$U,11,Data!$N:$N,"&lt;&gt;")=0,"",SUMIFS(Data!$N:$N,Data!$V:$V,$R71,Data!$U:$U,11))</f>
        <v/>
      </c>
      <c r="AE71">
        <f>IF(COUNTIFS(Data!$V:$V,$R71,Data!$U:$U,12,Data!$N:$N,"&lt;&gt;")=0,"",SUMIFS(Data!$N:$N,Data!$V:$V,$R71,Data!$U:$U,12))</f>
        <v/>
      </c>
      <c r="AF71">
        <f>IF(COUNTIFS(Data!$V:$V,$R71,Data!$U:$U,13,Data!$N:$N,"&lt;&gt;")=0,"",SUMIFS(Data!$N:$N,Data!$V:$V,$R71,Data!$U:$U,13))</f>
        <v/>
      </c>
      <c r="AG71">
        <f>IF(COUNTIFS(Data!$V:$V,$R71,Data!$U:$U,14,Data!$N:$N,"&lt;&gt;")=0,"",SUMIFS(Data!$N:$N,Data!$V:$V,$R71,Data!$U:$U,14))</f>
        <v/>
      </c>
      <c r="AH71">
        <f>COUNTIFS(Data!$V:$V,$R71,Data!$U:$U,"&lt;="&amp;14,Data!$N:$N,"&lt;&gt;")</f>
        <v/>
      </c>
      <c r="AI71">
        <f>COUNTIFS(Data!$V:$V,$R71,Data!$U:$U,"&lt;="&amp;14,Data!$N:$N,0)</f>
        <v/>
      </c>
      <c r="AJ71">
        <f>IF(AH71=0,"",AH71-AI71)</f>
        <v/>
      </c>
      <c r="AK71">
        <f>IF(AH71=0,"",SUMIFS(Data!$N:$N,Data!$V:$V,$R71,Data!$U:$U,"&lt;="&amp;14))</f>
        <v/>
      </c>
      <c r="AL71">
        <f>IF(AH71=0,"",IF(ABS(MAX(T71:AG71))&gt;=ABS(MIN(T71:AG71)),MAX(T71:AG71),MIN(T71:AG71)))</f>
        <v/>
      </c>
      <c r="AM71">
        <f>IF(AH71=0,-1,AJ71*100000+MIN(ABS(AK71),99999))</f>
        <v/>
      </c>
      <c r="AN71">
        <f>IF($S71="","",1+COUNTIFS($AM$3:$AM$122,"&gt;"&amp;AM71)+COUNTIFS($AM$3:$AM$122,AM71,$R$3:$R$122,"&lt;"&amp;$R71))</f>
        <v/>
      </c>
    </row>
    <row r="72">
      <c r="R72" t="n">
        <v>70</v>
      </c>
      <c r="S72">
        <f>IFERROR(INDEX(Data!$G:$G,MATCH($R72,Data!$V:$V,0)),"")</f>
        <v/>
      </c>
      <c r="T72">
        <f>IF(COUNTIFS(Data!$V:$V,$R72,Data!$U:$U,1,Data!$N:$N,"&lt;&gt;")=0,"",SUMIFS(Data!$N:$N,Data!$V:$V,$R72,Data!$U:$U,1))</f>
        <v/>
      </c>
      <c r="U72">
        <f>IF(COUNTIFS(Data!$V:$V,$R72,Data!$U:$U,2,Data!$N:$N,"&lt;&gt;")=0,"",SUMIFS(Data!$N:$N,Data!$V:$V,$R72,Data!$U:$U,2))</f>
        <v/>
      </c>
      <c r="V72">
        <f>IF(COUNTIFS(Data!$V:$V,$R72,Data!$U:$U,3,Data!$N:$N,"&lt;&gt;")=0,"",SUMIFS(Data!$N:$N,Data!$V:$V,$R72,Data!$U:$U,3))</f>
        <v/>
      </c>
      <c r="W72">
        <f>IF(COUNTIFS(Data!$V:$V,$R72,Data!$U:$U,4,Data!$N:$N,"&lt;&gt;")=0,"",SUMIFS(Data!$N:$N,Data!$V:$V,$R72,Data!$U:$U,4))</f>
        <v/>
      </c>
      <c r="X72">
        <f>IF(COUNTIFS(Data!$V:$V,$R72,Data!$U:$U,5,Data!$N:$N,"&lt;&gt;")=0,"",SUMIFS(Data!$N:$N,Data!$V:$V,$R72,Data!$U:$U,5))</f>
        <v/>
      </c>
      <c r="Y72">
        <f>IF(COUNTIFS(Data!$V:$V,$R72,Data!$U:$U,6,Data!$N:$N,"&lt;&gt;")=0,"",SUMIFS(Data!$N:$N,Data!$V:$V,$R72,Data!$U:$U,6))</f>
        <v/>
      </c>
      <c r="Z72">
        <f>IF(COUNTIFS(Data!$V:$V,$R72,Data!$U:$U,7,Data!$N:$N,"&lt;&gt;")=0,"",SUMIFS(Data!$N:$N,Data!$V:$V,$R72,Data!$U:$U,7))</f>
        <v/>
      </c>
      <c r="AA72">
        <f>IF(COUNTIFS(Data!$V:$V,$R72,Data!$U:$U,8,Data!$N:$N,"&lt;&gt;")=0,"",SUMIFS(Data!$N:$N,Data!$V:$V,$R72,Data!$U:$U,8))</f>
        <v/>
      </c>
      <c r="AB72">
        <f>IF(COUNTIFS(Data!$V:$V,$R72,Data!$U:$U,9,Data!$N:$N,"&lt;&gt;")=0,"",SUMIFS(Data!$N:$N,Data!$V:$V,$R72,Data!$U:$U,9))</f>
        <v/>
      </c>
      <c r="AC72">
        <f>IF(COUNTIFS(Data!$V:$V,$R72,Data!$U:$U,10,Data!$N:$N,"&lt;&gt;")=0,"",SUMIFS(Data!$N:$N,Data!$V:$V,$R72,Data!$U:$U,10))</f>
        <v/>
      </c>
      <c r="AD72">
        <f>IF(COUNTIFS(Data!$V:$V,$R72,Data!$U:$U,11,Data!$N:$N,"&lt;&gt;")=0,"",SUMIFS(Data!$N:$N,Data!$V:$V,$R72,Data!$U:$U,11))</f>
        <v/>
      </c>
      <c r="AE72">
        <f>IF(COUNTIFS(Data!$V:$V,$R72,Data!$U:$U,12,Data!$N:$N,"&lt;&gt;")=0,"",SUMIFS(Data!$N:$N,Data!$V:$V,$R72,Data!$U:$U,12))</f>
        <v/>
      </c>
      <c r="AF72">
        <f>IF(COUNTIFS(Data!$V:$V,$R72,Data!$U:$U,13,Data!$N:$N,"&lt;&gt;")=0,"",SUMIFS(Data!$N:$N,Data!$V:$V,$R72,Data!$U:$U,13))</f>
        <v/>
      </c>
      <c r="AG72">
        <f>IF(COUNTIFS(Data!$V:$V,$R72,Data!$U:$U,14,Data!$N:$N,"&lt;&gt;")=0,"",SUMIFS(Data!$N:$N,Data!$V:$V,$R72,Data!$U:$U,14))</f>
        <v/>
      </c>
      <c r="AH72">
        <f>COUNTIFS(Data!$V:$V,$R72,Data!$U:$U,"&lt;="&amp;14,Data!$N:$N,"&lt;&gt;")</f>
        <v/>
      </c>
      <c r="AI72">
        <f>COUNTIFS(Data!$V:$V,$R72,Data!$U:$U,"&lt;="&amp;14,Data!$N:$N,0)</f>
        <v/>
      </c>
      <c r="AJ72">
        <f>IF(AH72=0,"",AH72-AI72)</f>
        <v/>
      </c>
      <c r="AK72">
        <f>IF(AH72=0,"",SUMIFS(Data!$N:$N,Data!$V:$V,$R72,Data!$U:$U,"&lt;="&amp;14))</f>
        <v/>
      </c>
      <c r="AL72">
        <f>IF(AH72=0,"",IF(ABS(MAX(T72:AG72))&gt;=ABS(MIN(T72:AG72)),MAX(T72:AG72),MIN(T72:AG72)))</f>
        <v/>
      </c>
      <c r="AM72">
        <f>IF(AH72=0,-1,AJ72*100000+MIN(ABS(AK72),99999))</f>
        <v/>
      </c>
      <c r="AN72">
        <f>IF($S72="","",1+COUNTIFS($AM$3:$AM$122,"&gt;"&amp;AM72)+COUNTIFS($AM$3:$AM$122,AM72,$R$3:$R$122,"&lt;"&amp;$R72))</f>
        <v/>
      </c>
    </row>
    <row r="73">
      <c r="R73" t="n">
        <v>71</v>
      </c>
      <c r="S73">
        <f>IFERROR(INDEX(Data!$G:$G,MATCH($R73,Data!$V:$V,0)),"")</f>
        <v/>
      </c>
      <c r="T73">
        <f>IF(COUNTIFS(Data!$V:$V,$R73,Data!$U:$U,1,Data!$N:$N,"&lt;&gt;")=0,"",SUMIFS(Data!$N:$N,Data!$V:$V,$R73,Data!$U:$U,1))</f>
        <v/>
      </c>
      <c r="U73">
        <f>IF(COUNTIFS(Data!$V:$V,$R73,Data!$U:$U,2,Data!$N:$N,"&lt;&gt;")=0,"",SUMIFS(Data!$N:$N,Data!$V:$V,$R73,Data!$U:$U,2))</f>
        <v/>
      </c>
      <c r="V73">
        <f>IF(COUNTIFS(Data!$V:$V,$R73,Data!$U:$U,3,Data!$N:$N,"&lt;&gt;")=0,"",SUMIFS(Data!$N:$N,Data!$V:$V,$R73,Data!$U:$U,3))</f>
        <v/>
      </c>
      <c r="W73">
        <f>IF(COUNTIFS(Data!$V:$V,$R73,Data!$U:$U,4,Data!$N:$N,"&lt;&gt;")=0,"",SUMIFS(Data!$N:$N,Data!$V:$V,$R73,Data!$U:$U,4))</f>
        <v/>
      </c>
      <c r="X73">
        <f>IF(COUNTIFS(Data!$V:$V,$R73,Data!$U:$U,5,Data!$N:$N,"&lt;&gt;")=0,"",SUMIFS(Data!$N:$N,Data!$V:$V,$R73,Data!$U:$U,5))</f>
        <v/>
      </c>
      <c r="Y73">
        <f>IF(COUNTIFS(Data!$V:$V,$R73,Data!$U:$U,6,Data!$N:$N,"&lt;&gt;")=0,"",SUMIFS(Data!$N:$N,Data!$V:$V,$R73,Data!$U:$U,6))</f>
        <v/>
      </c>
      <c r="Z73">
        <f>IF(COUNTIFS(Data!$V:$V,$R73,Data!$U:$U,7,Data!$N:$N,"&lt;&gt;")=0,"",SUMIFS(Data!$N:$N,Data!$V:$V,$R73,Data!$U:$U,7))</f>
        <v/>
      </c>
      <c r="AA73">
        <f>IF(COUNTIFS(Data!$V:$V,$R73,Data!$U:$U,8,Data!$N:$N,"&lt;&gt;")=0,"",SUMIFS(Data!$N:$N,Data!$V:$V,$R73,Data!$U:$U,8))</f>
        <v/>
      </c>
      <c r="AB73">
        <f>IF(COUNTIFS(Data!$V:$V,$R73,Data!$U:$U,9,Data!$N:$N,"&lt;&gt;")=0,"",SUMIFS(Data!$N:$N,Data!$V:$V,$R73,Data!$U:$U,9))</f>
        <v/>
      </c>
      <c r="AC73">
        <f>IF(COUNTIFS(Data!$V:$V,$R73,Data!$U:$U,10,Data!$N:$N,"&lt;&gt;")=0,"",SUMIFS(Data!$N:$N,Data!$V:$V,$R73,Data!$U:$U,10))</f>
        <v/>
      </c>
      <c r="AD73">
        <f>IF(COUNTIFS(Data!$V:$V,$R73,Data!$U:$U,11,Data!$N:$N,"&lt;&gt;")=0,"",SUMIFS(Data!$N:$N,Data!$V:$V,$R73,Data!$U:$U,11))</f>
        <v/>
      </c>
      <c r="AE73">
        <f>IF(COUNTIFS(Data!$V:$V,$R73,Data!$U:$U,12,Data!$N:$N,"&lt;&gt;")=0,"",SUMIFS(Data!$N:$N,Data!$V:$V,$R73,Data!$U:$U,12))</f>
        <v/>
      </c>
      <c r="AF73">
        <f>IF(COUNTIFS(Data!$V:$V,$R73,Data!$U:$U,13,Data!$N:$N,"&lt;&gt;")=0,"",SUMIFS(Data!$N:$N,Data!$V:$V,$R73,Data!$U:$U,13))</f>
        <v/>
      </c>
      <c r="AG73">
        <f>IF(COUNTIFS(Data!$V:$V,$R73,Data!$U:$U,14,Data!$N:$N,"&lt;&gt;")=0,"",SUMIFS(Data!$N:$N,Data!$V:$V,$R73,Data!$U:$U,14))</f>
        <v/>
      </c>
      <c r="AH73">
        <f>COUNTIFS(Data!$V:$V,$R73,Data!$U:$U,"&lt;="&amp;14,Data!$N:$N,"&lt;&gt;")</f>
        <v/>
      </c>
      <c r="AI73">
        <f>COUNTIFS(Data!$V:$V,$R73,Data!$U:$U,"&lt;="&amp;14,Data!$N:$N,0)</f>
        <v/>
      </c>
      <c r="AJ73">
        <f>IF(AH73=0,"",AH73-AI73)</f>
        <v/>
      </c>
      <c r="AK73">
        <f>IF(AH73=0,"",SUMIFS(Data!$N:$N,Data!$V:$V,$R73,Data!$U:$U,"&lt;="&amp;14))</f>
        <v/>
      </c>
      <c r="AL73">
        <f>IF(AH73=0,"",IF(ABS(MAX(T73:AG73))&gt;=ABS(MIN(T73:AG73)),MAX(T73:AG73),MIN(T73:AG73)))</f>
        <v/>
      </c>
      <c r="AM73">
        <f>IF(AH73=0,-1,AJ73*100000+MIN(ABS(AK73),99999))</f>
        <v/>
      </c>
      <c r="AN73">
        <f>IF($S73="","",1+COUNTIFS($AM$3:$AM$122,"&gt;"&amp;AM73)+COUNTIFS($AM$3:$AM$122,AM73,$R$3:$R$122,"&lt;"&amp;$R73))</f>
        <v/>
      </c>
    </row>
    <row r="74">
      <c r="R74" t="n">
        <v>72</v>
      </c>
      <c r="S74">
        <f>IFERROR(INDEX(Data!$G:$G,MATCH($R74,Data!$V:$V,0)),"")</f>
        <v/>
      </c>
      <c r="T74">
        <f>IF(COUNTIFS(Data!$V:$V,$R74,Data!$U:$U,1,Data!$N:$N,"&lt;&gt;")=0,"",SUMIFS(Data!$N:$N,Data!$V:$V,$R74,Data!$U:$U,1))</f>
        <v/>
      </c>
      <c r="U74">
        <f>IF(COUNTIFS(Data!$V:$V,$R74,Data!$U:$U,2,Data!$N:$N,"&lt;&gt;")=0,"",SUMIFS(Data!$N:$N,Data!$V:$V,$R74,Data!$U:$U,2))</f>
        <v/>
      </c>
      <c r="V74">
        <f>IF(COUNTIFS(Data!$V:$V,$R74,Data!$U:$U,3,Data!$N:$N,"&lt;&gt;")=0,"",SUMIFS(Data!$N:$N,Data!$V:$V,$R74,Data!$U:$U,3))</f>
        <v/>
      </c>
      <c r="W74">
        <f>IF(COUNTIFS(Data!$V:$V,$R74,Data!$U:$U,4,Data!$N:$N,"&lt;&gt;")=0,"",SUMIFS(Data!$N:$N,Data!$V:$V,$R74,Data!$U:$U,4))</f>
        <v/>
      </c>
      <c r="X74">
        <f>IF(COUNTIFS(Data!$V:$V,$R74,Data!$U:$U,5,Data!$N:$N,"&lt;&gt;")=0,"",SUMIFS(Data!$N:$N,Data!$V:$V,$R74,Data!$U:$U,5))</f>
        <v/>
      </c>
      <c r="Y74">
        <f>IF(COUNTIFS(Data!$V:$V,$R74,Data!$U:$U,6,Data!$N:$N,"&lt;&gt;")=0,"",SUMIFS(Data!$N:$N,Data!$V:$V,$R74,Data!$U:$U,6))</f>
        <v/>
      </c>
      <c r="Z74">
        <f>IF(COUNTIFS(Data!$V:$V,$R74,Data!$U:$U,7,Data!$N:$N,"&lt;&gt;")=0,"",SUMIFS(Data!$N:$N,Data!$V:$V,$R74,Data!$U:$U,7))</f>
        <v/>
      </c>
      <c r="AA74">
        <f>IF(COUNTIFS(Data!$V:$V,$R74,Data!$U:$U,8,Data!$N:$N,"&lt;&gt;")=0,"",SUMIFS(Data!$N:$N,Data!$V:$V,$R74,Data!$U:$U,8))</f>
        <v/>
      </c>
      <c r="AB74">
        <f>IF(COUNTIFS(Data!$V:$V,$R74,Data!$U:$U,9,Data!$N:$N,"&lt;&gt;")=0,"",SUMIFS(Data!$N:$N,Data!$V:$V,$R74,Data!$U:$U,9))</f>
        <v/>
      </c>
      <c r="AC74">
        <f>IF(COUNTIFS(Data!$V:$V,$R74,Data!$U:$U,10,Data!$N:$N,"&lt;&gt;")=0,"",SUMIFS(Data!$N:$N,Data!$V:$V,$R74,Data!$U:$U,10))</f>
        <v/>
      </c>
      <c r="AD74">
        <f>IF(COUNTIFS(Data!$V:$V,$R74,Data!$U:$U,11,Data!$N:$N,"&lt;&gt;")=0,"",SUMIFS(Data!$N:$N,Data!$V:$V,$R74,Data!$U:$U,11))</f>
        <v/>
      </c>
      <c r="AE74">
        <f>IF(COUNTIFS(Data!$V:$V,$R74,Data!$U:$U,12,Data!$N:$N,"&lt;&gt;")=0,"",SUMIFS(Data!$N:$N,Data!$V:$V,$R74,Data!$U:$U,12))</f>
        <v/>
      </c>
      <c r="AF74">
        <f>IF(COUNTIFS(Data!$V:$V,$R74,Data!$U:$U,13,Data!$N:$N,"&lt;&gt;")=0,"",SUMIFS(Data!$N:$N,Data!$V:$V,$R74,Data!$U:$U,13))</f>
        <v/>
      </c>
      <c r="AG74">
        <f>IF(COUNTIFS(Data!$V:$V,$R74,Data!$U:$U,14,Data!$N:$N,"&lt;&gt;")=0,"",SUMIFS(Data!$N:$N,Data!$V:$V,$R74,Data!$U:$U,14))</f>
        <v/>
      </c>
      <c r="AH74">
        <f>COUNTIFS(Data!$V:$V,$R74,Data!$U:$U,"&lt;="&amp;14,Data!$N:$N,"&lt;&gt;")</f>
        <v/>
      </c>
      <c r="AI74">
        <f>COUNTIFS(Data!$V:$V,$R74,Data!$U:$U,"&lt;="&amp;14,Data!$N:$N,0)</f>
        <v/>
      </c>
      <c r="AJ74">
        <f>IF(AH74=0,"",AH74-AI74)</f>
        <v/>
      </c>
      <c r="AK74">
        <f>IF(AH74=0,"",SUMIFS(Data!$N:$N,Data!$V:$V,$R74,Data!$U:$U,"&lt;="&amp;14))</f>
        <v/>
      </c>
      <c r="AL74">
        <f>IF(AH74=0,"",IF(ABS(MAX(T74:AG74))&gt;=ABS(MIN(T74:AG74)),MAX(T74:AG74),MIN(T74:AG74)))</f>
        <v/>
      </c>
      <c r="AM74">
        <f>IF(AH74=0,-1,AJ74*100000+MIN(ABS(AK74),99999))</f>
        <v/>
      </c>
      <c r="AN74">
        <f>IF($S74="","",1+COUNTIFS($AM$3:$AM$122,"&gt;"&amp;AM74)+COUNTIFS($AM$3:$AM$122,AM74,$R$3:$R$122,"&lt;"&amp;$R74))</f>
        <v/>
      </c>
    </row>
    <row r="75">
      <c r="R75" t="n">
        <v>73</v>
      </c>
      <c r="S75">
        <f>IFERROR(INDEX(Data!$G:$G,MATCH($R75,Data!$V:$V,0)),"")</f>
        <v/>
      </c>
      <c r="T75">
        <f>IF(COUNTIFS(Data!$V:$V,$R75,Data!$U:$U,1,Data!$N:$N,"&lt;&gt;")=0,"",SUMIFS(Data!$N:$N,Data!$V:$V,$R75,Data!$U:$U,1))</f>
        <v/>
      </c>
      <c r="U75">
        <f>IF(COUNTIFS(Data!$V:$V,$R75,Data!$U:$U,2,Data!$N:$N,"&lt;&gt;")=0,"",SUMIFS(Data!$N:$N,Data!$V:$V,$R75,Data!$U:$U,2))</f>
        <v/>
      </c>
      <c r="V75">
        <f>IF(COUNTIFS(Data!$V:$V,$R75,Data!$U:$U,3,Data!$N:$N,"&lt;&gt;")=0,"",SUMIFS(Data!$N:$N,Data!$V:$V,$R75,Data!$U:$U,3))</f>
        <v/>
      </c>
      <c r="W75">
        <f>IF(COUNTIFS(Data!$V:$V,$R75,Data!$U:$U,4,Data!$N:$N,"&lt;&gt;")=0,"",SUMIFS(Data!$N:$N,Data!$V:$V,$R75,Data!$U:$U,4))</f>
        <v/>
      </c>
      <c r="X75">
        <f>IF(COUNTIFS(Data!$V:$V,$R75,Data!$U:$U,5,Data!$N:$N,"&lt;&gt;")=0,"",SUMIFS(Data!$N:$N,Data!$V:$V,$R75,Data!$U:$U,5))</f>
        <v/>
      </c>
      <c r="Y75">
        <f>IF(COUNTIFS(Data!$V:$V,$R75,Data!$U:$U,6,Data!$N:$N,"&lt;&gt;")=0,"",SUMIFS(Data!$N:$N,Data!$V:$V,$R75,Data!$U:$U,6))</f>
        <v/>
      </c>
      <c r="Z75">
        <f>IF(COUNTIFS(Data!$V:$V,$R75,Data!$U:$U,7,Data!$N:$N,"&lt;&gt;")=0,"",SUMIFS(Data!$N:$N,Data!$V:$V,$R75,Data!$U:$U,7))</f>
        <v/>
      </c>
      <c r="AA75">
        <f>IF(COUNTIFS(Data!$V:$V,$R75,Data!$U:$U,8,Data!$N:$N,"&lt;&gt;")=0,"",SUMIFS(Data!$N:$N,Data!$V:$V,$R75,Data!$U:$U,8))</f>
        <v/>
      </c>
      <c r="AB75">
        <f>IF(COUNTIFS(Data!$V:$V,$R75,Data!$U:$U,9,Data!$N:$N,"&lt;&gt;")=0,"",SUMIFS(Data!$N:$N,Data!$V:$V,$R75,Data!$U:$U,9))</f>
        <v/>
      </c>
      <c r="AC75">
        <f>IF(COUNTIFS(Data!$V:$V,$R75,Data!$U:$U,10,Data!$N:$N,"&lt;&gt;")=0,"",SUMIFS(Data!$N:$N,Data!$V:$V,$R75,Data!$U:$U,10))</f>
        <v/>
      </c>
      <c r="AD75">
        <f>IF(COUNTIFS(Data!$V:$V,$R75,Data!$U:$U,11,Data!$N:$N,"&lt;&gt;")=0,"",SUMIFS(Data!$N:$N,Data!$V:$V,$R75,Data!$U:$U,11))</f>
        <v/>
      </c>
      <c r="AE75">
        <f>IF(COUNTIFS(Data!$V:$V,$R75,Data!$U:$U,12,Data!$N:$N,"&lt;&gt;")=0,"",SUMIFS(Data!$N:$N,Data!$V:$V,$R75,Data!$U:$U,12))</f>
        <v/>
      </c>
      <c r="AF75">
        <f>IF(COUNTIFS(Data!$V:$V,$R75,Data!$U:$U,13,Data!$N:$N,"&lt;&gt;")=0,"",SUMIFS(Data!$N:$N,Data!$V:$V,$R75,Data!$U:$U,13))</f>
        <v/>
      </c>
      <c r="AG75">
        <f>IF(COUNTIFS(Data!$V:$V,$R75,Data!$U:$U,14,Data!$N:$N,"&lt;&gt;")=0,"",SUMIFS(Data!$N:$N,Data!$V:$V,$R75,Data!$U:$U,14))</f>
        <v/>
      </c>
      <c r="AH75">
        <f>COUNTIFS(Data!$V:$V,$R75,Data!$U:$U,"&lt;="&amp;14,Data!$N:$N,"&lt;&gt;")</f>
        <v/>
      </c>
      <c r="AI75">
        <f>COUNTIFS(Data!$V:$V,$R75,Data!$U:$U,"&lt;="&amp;14,Data!$N:$N,0)</f>
        <v/>
      </c>
      <c r="AJ75">
        <f>IF(AH75=0,"",AH75-AI75)</f>
        <v/>
      </c>
      <c r="AK75">
        <f>IF(AH75=0,"",SUMIFS(Data!$N:$N,Data!$V:$V,$R75,Data!$U:$U,"&lt;="&amp;14))</f>
        <v/>
      </c>
      <c r="AL75">
        <f>IF(AH75=0,"",IF(ABS(MAX(T75:AG75))&gt;=ABS(MIN(T75:AG75)),MAX(T75:AG75),MIN(T75:AG75)))</f>
        <v/>
      </c>
      <c r="AM75">
        <f>IF(AH75=0,-1,AJ75*100000+MIN(ABS(AK75),99999))</f>
        <v/>
      </c>
      <c r="AN75">
        <f>IF($S75="","",1+COUNTIFS($AM$3:$AM$122,"&gt;"&amp;AM75)+COUNTIFS($AM$3:$AM$122,AM75,$R$3:$R$122,"&lt;"&amp;$R75))</f>
        <v/>
      </c>
    </row>
    <row r="76">
      <c r="R76" t="n">
        <v>74</v>
      </c>
      <c r="S76">
        <f>IFERROR(INDEX(Data!$G:$G,MATCH($R76,Data!$V:$V,0)),"")</f>
        <v/>
      </c>
      <c r="T76">
        <f>IF(COUNTIFS(Data!$V:$V,$R76,Data!$U:$U,1,Data!$N:$N,"&lt;&gt;")=0,"",SUMIFS(Data!$N:$N,Data!$V:$V,$R76,Data!$U:$U,1))</f>
        <v/>
      </c>
      <c r="U76">
        <f>IF(COUNTIFS(Data!$V:$V,$R76,Data!$U:$U,2,Data!$N:$N,"&lt;&gt;")=0,"",SUMIFS(Data!$N:$N,Data!$V:$V,$R76,Data!$U:$U,2))</f>
        <v/>
      </c>
      <c r="V76">
        <f>IF(COUNTIFS(Data!$V:$V,$R76,Data!$U:$U,3,Data!$N:$N,"&lt;&gt;")=0,"",SUMIFS(Data!$N:$N,Data!$V:$V,$R76,Data!$U:$U,3))</f>
        <v/>
      </c>
      <c r="W76">
        <f>IF(COUNTIFS(Data!$V:$V,$R76,Data!$U:$U,4,Data!$N:$N,"&lt;&gt;")=0,"",SUMIFS(Data!$N:$N,Data!$V:$V,$R76,Data!$U:$U,4))</f>
        <v/>
      </c>
      <c r="X76">
        <f>IF(COUNTIFS(Data!$V:$V,$R76,Data!$U:$U,5,Data!$N:$N,"&lt;&gt;")=0,"",SUMIFS(Data!$N:$N,Data!$V:$V,$R76,Data!$U:$U,5))</f>
        <v/>
      </c>
      <c r="Y76">
        <f>IF(COUNTIFS(Data!$V:$V,$R76,Data!$U:$U,6,Data!$N:$N,"&lt;&gt;")=0,"",SUMIFS(Data!$N:$N,Data!$V:$V,$R76,Data!$U:$U,6))</f>
        <v/>
      </c>
      <c r="Z76">
        <f>IF(COUNTIFS(Data!$V:$V,$R76,Data!$U:$U,7,Data!$N:$N,"&lt;&gt;")=0,"",SUMIFS(Data!$N:$N,Data!$V:$V,$R76,Data!$U:$U,7))</f>
        <v/>
      </c>
      <c r="AA76">
        <f>IF(COUNTIFS(Data!$V:$V,$R76,Data!$U:$U,8,Data!$N:$N,"&lt;&gt;")=0,"",SUMIFS(Data!$N:$N,Data!$V:$V,$R76,Data!$U:$U,8))</f>
        <v/>
      </c>
      <c r="AB76">
        <f>IF(COUNTIFS(Data!$V:$V,$R76,Data!$U:$U,9,Data!$N:$N,"&lt;&gt;")=0,"",SUMIFS(Data!$N:$N,Data!$V:$V,$R76,Data!$U:$U,9))</f>
        <v/>
      </c>
      <c r="AC76">
        <f>IF(COUNTIFS(Data!$V:$V,$R76,Data!$U:$U,10,Data!$N:$N,"&lt;&gt;")=0,"",SUMIFS(Data!$N:$N,Data!$V:$V,$R76,Data!$U:$U,10))</f>
        <v/>
      </c>
      <c r="AD76">
        <f>IF(COUNTIFS(Data!$V:$V,$R76,Data!$U:$U,11,Data!$N:$N,"&lt;&gt;")=0,"",SUMIFS(Data!$N:$N,Data!$V:$V,$R76,Data!$U:$U,11))</f>
        <v/>
      </c>
      <c r="AE76">
        <f>IF(COUNTIFS(Data!$V:$V,$R76,Data!$U:$U,12,Data!$N:$N,"&lt;&gt;")=0,"",SUMIFS(Data!$N:$N,Data!$V:$V,$R76,Data!$U:$U,12))</f>
        <v/>
      </c>
      <c r="AF76">
        <f>IF(COUNTIFS(Data!$V:$V,$R76,Data!$U:$U,13,Data!$N:$N,"&lt;&gt;")=0,"",SUMIFS(Data!$N:$N,Data!$V:$V,$R76,Data!$U:$U,13))</f>
        <v/>
      </c>
      <c r="AG76">
        <f>IF(COUNTIFS(Data!$V:$V,$R76,Data!$U:$U,14,Data!$N:$N,"&lt;&gt;")=0,"",SUMIFS(Data!$N:$N,Data!$V:$V,$R76,Data!$U:$U,14))</f>
        <v/>
      </c>
      <c r="AH76">
        <f>COUNTIFS(Data!$V:$V,$R76,Data!$U:$U,"&lt;="&amp;14,Data!$N:$N,"&lt;&gt;")</f>
        <v/>
      </c>
      <c r="AI76">
        <f>COUNTIFS(Data!$V:$V,$R76,Data!$U:$U,"&lt;="&amp;14,Data!$N:$N,0)</f>
        <v/>
      </c>
      <c r="AJ76">
        <f>IF(AH76=0,"",AH76-AI76)</f>
        <v/>
      </c>
      <c r="AK76">
        <f>IF(AH76=0,"",SUMIFS(Data!$N:$N,Data!$V:$V,$R76,Data!$U:$U,"&lt;="&amp;14))</f>
        <v/>
      </c>
      <c r="AL76">
        <f>IF(AH76=0,"",IF(ABS(MAX(T76:AG76))&gt;=ABS(MIN(T76:AG76)),MAX(T76:AG76),MIN(T76:AG76)))</f>
        <v/>
      </c>
      <c r="AM76">
        <f>IF(AH76=0,-1,AJ76*100000+MIN(ABS(AK76),99999))</f>
        <v/>
      </c>
      <c r="AN76">
        <f>IF($S76="","",1+COUNTIFS($AM$3:$AM$122,"&gt;"&amp;AM76)+COUNTIFS($AM$3:$AM$122,AM76,$R$3:$R$122,"&lt;"&amp;$R76))</f>
        <v/>
      </c>
    </row>
    <row r="77">
      <c r="R77" t="n">
        <v>75</v>
      </c>
      <c r="S77">
        <f>IFERROR(INDEX(Data!$G:$G,MATCH($R77,Data!$V:$V,0)),"")</f>
        <v/>
      </c>
      <c r="T77">
        <f>IF(COUNTIFS(Data!$V:$V,$R77,Data!$U:$U,1,Data!$N:$N,"&lt;&gt;")=0,"",SUMIFS(Data!$N:$N,Data!$V:$V,$R77,Data!$U:$U,1))</f>
        <v/>
      </c>
      <c r="U77">
        <f>IF(COUNTIFS(Data!$V:$V,$R77,Data!$U:$U,2,Data!$N:$N,"&lt;&gt;")=0,"",SUMIFS(Data!$N:$N,Data!$V:$V,$R77,Data!$U:$U,2))</f>
        <v/>
      </c>
      <c r="V77">
        <f>IF(COUNTIFS(Data!$V:$V,$R77,Data!$U:$U,3,Data!$N:$N,"&lt;&gt;")=0,"",SUMIFS(Data!$N:$N,Data!$V:$V,$R77,Data!$U:$U,3))</f>
        <v/>
      </c>
      <c r="W77">
        <f>IF(COUNTIFS(Data!$V:$V,$R77,Data!$U:$U,4,Data!$N:$N,"&lt;&gt;")=0,"",SUMIFS(Data!$N:$N,Data!$V:$V,$R77,Data!$U:$U,4))</f>
        <v/>
      </c>
      <c r="X77">
        <f>IF(COUNTIFS(Data!$V:$V,$R77,Data!$U:$U,5,Data!$N:$N,"&lt;&gt;")=0,"",SUMIFS(Data!$N:$N,Data!$V:$V,$R77,Data!$U:$U,5))</f>
        <v/>
      </c>
      <c r="Y77">
        <f>IF(COUNTIFS(Data!$V:$V,$R77,Data!$U:$U,6,Data!$N:$N,"&lt;&gt;")=0,"",SUMIFS(Data!$N:$N,Data!$V:$V,$R77,Data!$U:$U,6))</f>
        <v/>
      </c>
      <c r="Z77">
        <f>IF(COUNTIFS(Data!$V:$V,$R77,Data!$U:$U,7,Data!$N:$N,"&lt;&gt;")=0,"",SUMIFS(Data!$N:$N,Data!$V:$V,$R77,Data!$U:$U,7))</f>
        <v/>
      </c>
      <c r="AA77">
        <f>IF(COUNTIFS(Data!$V:$V,$R77,Data!$U:$U,8,Data!$N:$N,"&lt;&gt;")=0,"",SUMIFS(Data!$N:$N,Data!$V:$V,$R77,Data!$U:$U,8))</f>
        <v/>
      </c>
      <c r="AB77">
        <f>IF(COUNTIFS(Data!$V:$V,$R77,Data!$U:$U,9,Data!$N:$N,"&lt;&gt;")=0,"",SUMIFS(Data!$N:$N,Data!$V:$V,$R77,Data!$U:$U,9))</f>
        <v/>
      </c>
      <c r="AC77">
        <f>IF(COUNTIFS(Data!$V:$V,$R77,Data!$U:$U,10,Data!$N:$N,"&lt;&gt;")=0,"",SUMIFS(Data!$N:$N,Data!$V:$V,$R77,Data!$U:$U,10))</f>
        <v/>
      </c>
      <c r="AD77">
        <f>IF(COUNTIFS(Data!$V:$V,$R77,Data!$U:$U,11,Data!$N:$N,"&lt;&gt;")=0,"",SUMIFS(Data!$N:$N,Data!$V:$V,$R77,Data!$U:$U,11))</f>
        <v/>
      </c>
      <c r="AE77">
        <f>IF(COUNTIFS(Data!$V:$V,$R77,Data!$U:$U,12,Data!$N:$N,"&lt;&gt;")=0,"",SUMIFS(Data!$N:$N,Data!$V:$V,$R77,Data!$U:$U,12))</f>
        <v/>
      </c>
      <c r="AF77">
        <f>IF(COUNTIFS(Data!$V:$V,$R77,Data!$U:$U,13,Data!$N:$N,"&lt;&gt;")=0,"",SUMIFS(Data!$N:$N,Data!$V:$V,$R77,Data!$U:$U,13))</f>
        <v/>
      </c>
      <c r="AG77">
        <f>IF(COUNTIFS(Data!$V:$V,$R77,Data!$U:$U,14,Data!$N:$N,"&lt;&gt;")=0,"",SUMIFS(Data!$N:$N,Data!$V:$V,$R77,Data!$U:$U,14))</f>
        <v/>
      </c>
      <c r="AH77">
        <f>COUNTIFS(Data!$V:$V,$R77,Data!$U:$U,"&lt;="&amp;14,Data!$N:$N,"&lt;&gt;")</f>
        <v/>
      </c>
      <c r="AI77">
        <f>COUNTIFS(Data!$V:$V,$R77,Data!$U:$U,"&lt;="&amp;14,Data!$N:$N,0)</f>
        <v/>
      </c>
      <c r="AJ77">
        <f>IF(AH77=0,"",AH77-AI77)</f>
        <v/>
      </c>
      <c r="AK77">
        <f>IF(AH77=0,"",SUMIFS(Data!$N:$N,Data!$V:$V,$R77,Data!$U:$U,"&lt;="&amp;14))</f>
        <v/>
      </c>
      <c r="AL77">
        <f>IF(AH77=0,"",IF(ABS(MAX(T77:AG77))&gt;=ABS(MIN(T77:AG77)),MAX(T77:AG77),MIN(T77:AG77)))</f>
        <v/>
      </c>
      <c r="AM77">
        <f>IF(AH77=0,-1,AJ77*100000+MIN(ABS(AK77),99999))</f>
        <v/>
      </c>
      <c r="AN77">
        <f>IF($S77="","",1+COUNTIFS($AM$3:$AM$122,"&gt;"&amp;AM77)+COUNTIFS($AM$3:$AM$122,AM77,$R$3:$R$122,"&lt;"&amp;$R77))</f>
        <v/>
      </c>
    </row>
    <row r="78">
      <c r="R78" t="n">
        <v>76</v>
      </c>
      <c r="S78">
        <f>IFERROR(INDEX(Data!$G:$G,MATCH($R78,Data!$V:$V,0)),"")</f>
        <v/>
      </c>
      <c r="T78">
        <f>IF(COUNTIFS(Data!$V:$V,$R78,Data!$U:$U,1,Data!$N:$N,"&lt;&gt;")=0,"",SUMIFS(Data!$N:$N,Data!$V:$V,$R78,Data!$U:$U,1))</f>
        <v/>
      </c>
      <c r="U78">
        <f>IF(COUNTIFS(Data!$V:$V,$R78,Data!$U:$U,2,Data!$N:$N,"&lt;&gt;")=0,"",SUMIFS(Data!$N:$N,Data!$V:$V,$R78,Data!$U:$U,2))</f>
        <v/>
      </c>
      <c r="V78">
        <f>IF(COUNTIFS(Data!$V:$V,$R78,Data!$U:$U,3,Data!$N:$N,"&lt;&gt;")=0,"",SUMIFS(Data!$N:$N,Data!$V:$V,$R78,Data!$U:$U,3))</f>
        <v/>
      </c>
      <c r="W78">
        <f>IF(COUNTIFS(Data!$V:$V,$R78,Data!$U:$U,4,Data!$N:$N,"&lt;&gt;")=0,"",SUMIFS(Data!$N:$N,Data!$V:$V,$R78,Data!$U:$U,4))</f>
        <v/>
      </c>
      <c r="X78">
        <f>IF(COUNTIFS(Data!$V:$V,$R78,Data!$U:$U,5,Data!$N:$N,"&lt;&gt;")=0,"",SUMIFS(Data!$N:$N,Data!$V:$V,$R78,Data!$U:$U,5))</f>
        <v/>
      </c>
      <c r="Y78">
        <f>IF(COUNTIFS(Data!$V:$V,$R78,Data!$U:$U,6,Data!$N:$N,"&lt;&gt;")=0,"",SUMIFS(Data!$N:$N,Data!$V:$V,$R78,Data!$U:$U,6))</f>
        <v/>
      </c>
      <c r="Z78">
        <f>IF(COUNTIFS(Data!$V:$V,$R78,Data!$U:$U,7,Data!$N:$N,"&lt;&gt;")=0,"",SUMIFS(Data!$N:$N,Data!$V:$V,$R78,Data!$U:$U,7))</f>
        <v/>
      </c>
      <c r="AA78">
        <f>IF(COUNTIFS(Data!$V:$V,$R78,Data!$U:$U,8,Data!$N:$N,"&lt;&gt;")=0,"",SUMIFS(Data!$N:$N,Data!$V:$V,$R78,Data!$U:$U,8))</f>
        <v/>
      </c>
      <c r="AB78">
        <f>IF(COUNTIFS(Data!$V:$V,$R78,Data!$U:$U,9,Data!$N:$N,"&lt;&gt;")=0,"",SUMIFS(Data!$N:$N,Data!$V:$V,$R78,Data!$U:$U,9))</f>
        <v/>
      </c>
      <c r="AC78">
        <f>IF(COUNTIFS(Data!$V:$V,$R78,Data!$U:$U,10,Data!$N:$N,"&lt;&gt;")=0,"",SUMIFS(Data!$N:$N,Data!$V:$V,$R78,Data!$U:$U,10))</f>
        <v/>
      </c>
      <c r="AD78">
        <f>IF(COUNTIFS(Data!$V:$V,$R78,Data!$U:$U,11,Data!$N:$N,"&lt;&gt;")=0,"",SUMIFS(Data!$N:$N,Data!$V:$V,$R78,Data!$U:$U,11))</f>
        <v/>
      </c>
      <c r="AE78">
        <f>IF(COUNTIFS(Data!$V:$V,$R78,Data!$U:$U,12,Data!$N:$N,"&lt;&gt;")=0,"",SUMIFS(Data!$N:$N,Data!$V:$V,$R78,Data!$U:$U,12))</f>
        <v/>
      </c>
      <c r="AF78">
        <f>IF(COUNTIFS(Data!$V:$V,$R78,Data!$U:$U,13,Data!$N:$N,"&lt;&gt;")=0,"",SUMIFS(Data!$N:$N,Data!$V:$V,$R78,Data!$U:$U,13))</f>
        <v/>
      </c>
      <c r="AG78">
        <f>IF(COUNTIFS(Data!$V:$V,$R78,Data!$U:$U,14,Data!$N:$N,"&lt;&gt;")=0,"",SUMIFS(Data!$N:$N,Data!$V:$V,$R78,Data!$U:$U,14))</f>
        <v/>
      </c>
      <c r="AH78">
        <f>COUNTIFS(Data!$V:$V,$R78,Data!$U:$U,"&lt;="&amp;14,Data!$N:$N,"&lt;&gt;")</f>
        <v/>
      </c>
      <c r="AI78">
        <f>COUNTIFS(Data!$V:$V,$R78,Data!$U:$U,"&lt;="&amp;14,Data!$N:$N,0)</f>
        <v/>
      </c>
      <c r="AJ78">
        <f>IF(AH78=0,"",AH78-AI78)</f>
        <v/>
      </c>
      <c r="AK78">
        <f>IF(AH78=0,"",SUMIFS(Data!$N:$N,Data!$V:$V,$R78,Data!$U:$U,"&lt;="&amp;14))</f>
        <v/>
      </c>
      <c r="AL78">
        <f>IF(AH78=0,"",IF(ABS(MAX(T78:AG78))&gt;=ABS(MIN(T78:AG78)),MAX(T78:AG78),MIN(T78:AG78)))</f>
        <v/>
      </c>
      <c r="AM78">
        <f>IF(AH78=0,-1,AJ78*100000+MIN(ABS(AK78),99999))</f>
        <v/>
      </c>
      <c r="AN78">
        <f>IF($S78="","",1+COUNTIFS($AM$3:$AM$122,"&gt;"&amp;AM78)+COUNTIFS($AM$3:$AM$122,AM78,$R$3:$R$122,"&lt;"&amp;$R78))</f>
        <v/>
      </c>
    </row>
    <row r="79">
      <c r="R79" t="n">
        <v>77</v>
      </c>
      <c r="S79">
        <f>IFERROR(INDEX(Data!$G:$G,MATCH($R79,Data!$V:$V,0)),"")</f>
        <v/>
      </c>
      <c r="T79">
        <f>IF(COUNTIFS(Data!$V:$V,$R79,Data!$U:$U,1,Data!$N:$N,"&lt;&gt;")=0,"",SUMIFS(Data!$N:$N,Data!$V:$V,$R79,Data!$U:$U,1))</f>
        <v/>
      </c>
      <c r="U79">
        <f>IF(COUNTIFS(Data!$V:$V,$R79,Data!$U:$U,2,Data!$N:$N,"&lt;&gt;")=0,"",SUMIFS(Data!$N:$N,Data!$V:$V,$R79,Data!$U:$U,2))</f>
        <v/>
      </c>
      <c r="V79">
        <f>IF(COUNTIFS(Data!$V:$V,$R79,Data!$U:$U,3,Data!$N:$N,"&lt;&gt;")=0,"",SUMIFS(Data!$N:$N,Data!$V:$V,$R79,Data!$U:$U,3))</f>
        <v/>
      </c>
      <c r="W79">
        <f>IF(COUNTIFS(Data!$V:$V,$R79,Data!$U:$U,4,Data!$N:$N,"&lt;&gt;")=0,"",SUMIFS(Data!$N:$N,Data!$V:$V,$R79,Data!$U:$U,4))</f>
        <v/>
      </c>
      <c r="X79">
        <f>IF(COUNTIFS(Data!$V:$V,$R79,Data!$U:$U,5,Data!$N:$N,"&lt;&gt;")=0,"",SUMIFS(Data!$N:$N,Data!$V:$V,$R79,Data!$U:$U,5))</f>
        <v/>
      </c>
      <c r="Y79">
        <f>IF(COUNTIFS(Data!$V:$V,$R79,Data!$U:$U,6,Data!$N:$N,"&lt;&gt;")=0,"",SUMIFS(Data!$N:$N,Data!$V:$V,$R79,Data!$U:$U,6))</f>
        <v/>
      </c>
      <c r="Z79">
        <f>IF(COUNTIFS(Data!$V:$V,$R79,Data!$U:$U,7,Data!$N:$N,"&lt;&gt;")=0,"",SUMIFS(Data!$N:$N,Data!$V:$V,$R79,Data!$U:$U,7))</f>
        <v/>
      </c>
      <c r="AA79">
        <f>IF(COUNTIFS(Data!$V:$V,$R79,Data!$U:$U,8,Data!$N:$N,"&lt;&gt;")=0,"",SUMIFS(Data!$N:$N,Data!$V:$V,$R79,Data!$U:$U,8))</f>
        <v/>
      </c>
      <c r="AB79">
        <f>IF(COUNTIFS(Data!$V:$V,$R79,Data!$U:$U,9,Data!$N:$N,"&lt;&gt;")=0,"",SUMIFS(Data!$N:$N,Data!$V:$V,$R79,Data!$U:$U,9))</f>
        <v/>
      </c>
      <c r="AC79">
        <f>IF(COUNTIFS(Data!$V:$V,$R79,Data!$U:$U,10,Data!$N:$N,"&lt;&gt;")=0,"",SUMIFS(Data!$N:$N,Data!$V:$V,$R79,Data!$U:$U,10))</f>
        <v/>
      </c>
      <c r="AD79">
        <f>IF(COUNTIFS(Data!$V:$V,$R79,Data!$U:$U,11,Data!$N:$N,"&lt;&gt;")=0,"",SUMIFS(Data!$N:$N,Data!$V:$V,$R79,Data!$U:$U,11))</f>
        <v/>
      </c>
      <c r="AE79">
        <f>IF(COUNTIFS(Data!$V:$V,$R79,Data!$U:$U,12,Data!$N:$N,"&lt;&gt;")=0,"",SUMIFS(Data!$N:$N,Data!$V:$V,$R79,Data!$U:$U,12))</f>
        <v/>
      </c>
      <c r="AF79">
        <f>IF(COUNTIFS(Data!$V:$V,$R79,Data!$U:$U,13,Data!$N:$N,"&lt;&gt;")=0,"",SUMIFS(Data!$N:$N,Data!$V:$V,$R79,Data!$U:$U,13))</f>
        <v/>
      </c>
      <c r="AG79">
        <f>IF(COUNTIFS(Data!$V:$V,$R79,Data!$U:$U,14,Data!$N:$N,"&lt;&gt;")=0,"",SUMIFS(Data!$N:$N,Data!$V:$V,$R79,Data!$U:$U,14))</f>
        <v/>
      </c>
      <c r="AH79">
        <f>COUNTIFS(Data!$V:$V,$R79,Data!$U:$U,"&lt;="&amp;14,Data!$N:$N,"&lt;&gt;")</f>
        <v/>
      </c>
      <c r="AI79">
        <f>COUNTIFS(Data!$V:$V,$R79,Data!$U:$U,"&lt;="&amp;14,Data!$N:$N,0)</f>
        <v/>
      </c>
      <c r="AJ79">
        <f>IF(AH79=0,"",AH79-AI79)</f>
        <v/>
      </c>
      <c r="AK79">
        <f>IF(AH79=0,"",SUMIFS(Data!$N:$N,Data!$V:$V,$R79,Data!$U:$U,"&lt;="&amp;14))</f>
        <v/>
      </c>
      <c r="AL79">
        <f>IF(AH79=0,"",IF(ABS(MAX(T79:AG79))&gt;=ABS(MIN(T79:AG79)),MAX(T79:AG79),MIN(T79:AG79)))</f>
        <v/>
      </c>
      <c r="AM79">
        <f>IF(AH79=0,-1,AJ79*100000+MIN(ABS(AK79),99999))</f>
        <v/>
      </c>
      <c r="AN79">
        <f>IF($S79="","",1+COUNTIFS($AM$3:$AM$122,"&gt;"&amp;AM79)+COUNTIFS($AM$3:$AM$122,AM79,$R$3:$R$122,"&lt;"&amp;$R79))</f>
        <v/>
      </c>
    </row>
    <row r="80">
      <c r="R80" t="n">
        <v>78</v>
      </c>
      <c r="S80">
        <f>IFERROR(INDEX(Data!$G:$G,MATCH($R80,Data!$V:$V,0)),"")</f>
        <v/>
      </c>
      <c r="T80">
        <f>IF(COUNTIFS(Data!$V:$V,$R80,Data!$U:$U,1,Data!$N:$N,"&lt;&gt;")=0,"",SUMIFS(Data!$N:$N,Data!$V:$V,$R80,Data!$U:$U,1))</f>
        <v/>
      </c>
      <c r="U80">
        <f>IF(COUNTIFS(Data!$V:$V,$R80,Data!$U:$U,2,Data!$N:$N,"&lt;&gt;")=0,"",SUMIFS(Data!$N:$N,Data!$V:$V,$R80,Data!$U:$U,2))</f>
        <v/>
      </c>
      <c r="V80">
        <f>IF(COUNTIFS(Data!$V:$V,$R80,Data!$U:$U,3,Data!$N:$N,"&lt;&gt;")=0,"",SUMIFS(Data!$N:$N,Data!$V:$V,$R80,Data!$U:$U,3))</f>
        <v/>
      </c>
      <c r="W80">
        <f>IF(COUNTIFS(Data!$V:$V,$R80,Data!$U:$U,4,Data!$N:$N,"&lt;&gt;")=0,"",SUMIFS(Data!$N:$N,Data!$V:$V,$R80,Data!$U:$U,4))</f>
        <v/>
      </c>
      <c r="X80">
        <f>IF(COUNTIFS(Data!$V:$V,$R80,Data!$U:$U,5,Data!$N:$N,"&lt;&gt;")=0,"",SUMIFS(Data!$N:$N,Data!$V:$V,$R80,Data!$U:$U,5))</f>
        <v/>
      </c>
      <c r="Y80">
        <f>IF(COUNTIFS(Data!$V:$V,$R80,Data!$U:$U,6,Data!$N:$N,"&lt;&gt;")=0,"",SUMIFS(Data!$N:$N,Data!$V:$V,$R80,Data!$U:$U,6))</f>
        <v/>
      </c>
      <c r="Z80">
        <f>IF(COUNTIFS(Data!$V:$V,$R80,Data!$U:$U,7,Data!$N:$N,"&lt;&gt;")=0,"",SUMIFS(Data!$N:$N,Data!$V:$V,$R80,Data!$U:$U,7))</f>
        <v/>
      </c>
      <c r="AA80">
        <f>IF(COUNTIFS(Data!$V:$V,$R80,Data!$U:$U,8,Data!$N:$N,"&lt;&gt;")=0,"",SUMIFS(Data!$N:$N,Data!$V:$V,$R80,Data!$U:$U,8))</f>
        <v/>
      </c>
      <c r="AB80">
        <f>IF(COUNTIFS(Data!$V:$V,$R80,Data!$U:$U,9,Data!$N:$N,"&lt;&gt;")=0,"",SUMIFS(Data!$N:$N,Data!$V:$V,$R80,Data!$U:$U,9))</f>
        <v/>
      </c>
      <c r="AC80">
        <f>IF(COUNTIFS(Data!$V:$V,$R80,Data!$U:$U,10,Data!$N:$N,"&lt;&gt;")=0,"",SUMIFS(Data!$N:$N,Data!$V:$V,$R80,Data!$U:$U,10))</f>
        <v/>
      </c>
      <c r="AD80">
        <f>IF(COUNTIFS(Data!$V:$V,$R80,Data!$U:$U,11,Data!$N:$N,"&lt;&gt;")=0,"",SUMIFS(Data!$N:$N,Data!$V:$V,$R80,Data!$U:$U,11))</f>
        <v/>
      </c>
      <c r="AE80">
        <f>IF(COUNTIFS(Data!$V:$V,$R80,Data!$U:$U,12,Data!$N:$N,"&lt;&gt;")=0,"",SUMIFS(Data!$N:$N,Data!$V:$V,$R80,Data!$U:$U,12))</f>
        <v/>
      </c>
      <c r="AF80">
        <f>IF(COUNTIFS(Data!$V:$V,$R80,Data!$U:$U,13,Data!$N:$N,"&lt;&gt;")=0,"",SUMIFS(Data!$N:$N,Data!$V:$V,$R80,Data!$U:$U,13))</f>
        <v/>
      </c>
      <c r="AG80">
        <f>IF(COUNTIFS(Data!$V:$V,$R80,Data!$U:$U,14,Data!$N:$N,"&lt;&gt;")=0,"",SUMIFS(Data!$N:$N,Data!$V:$V,$R80,Data!$U:$U,14))</f>
        <v/>
      </c>
      <c r="AH80">
        <f>COUNTIFS(Data!$V:$V,$R80,Data!$U:$U,"&lt;="&amp;14,Data!$N:$N,"&lt;&gt;")</f>
        <v/>
      </c>
      <c r="AI80">
        <f>COUNTIFS(Data!$V:$V,$R80,Data!$U:$U,"&lt;="&amp;14,Data!$N:$N,0)</f>
        <v/>
      </c>
      <c r="AJ80">
        <f>IF(AH80=0,"",AH80-AI80)</f>
        <v/>
      </c>
      <c r="AK80">
        <f>IF(AH80=0,"",SUMIFS(Data!$N:$N,Data!$V:$V,$R80,Data!$U:$U,"&lt;="&amp;14))</f>
        <v/>
      </c>
      <c r="AL80">
        <f>IF(AH80=0,"",IF(ABS(MAX(T80:AG80))&gt;=ABS(MIN(T80:AG80)),MAX(T80:AG80),MIN(T80:AG80)))</f>
        <v/>
      </c>
      <c r="AM80">
        <f>IF(AH80=0,-1,AJ80*100000+MIN(ABS(AK80),99999))</f>
        <v/>
      </c>
      <c r="AN80">
        <f>IF($S80="","",1+COUNTIFS($AM$3:$AM$122,"&gt;"&amp;AM80)+COUNTIFS($AM$3:$AM$122,AM80,$R$3:$R$122,"&lt;"&amp;$R80))</f>
        <v/>
      </c>
    </row>
    <row r="81">
      <c r="R81" t="n">
        <v>79</v>
      </c>
      <c r="S81">
        <f>IFERROR(INDEX(Data!$G:$G,MATCH($R81,Data!$V:$V,0)),"")</f>
        <v/>
      </c>
      <c r="T81">
        <f>IF(COUNTIFS(Data!$V:$V,$R81,Data!$U:$U,1,Data!$N:$N,"&lt;&gt;")=0,"",SUMIFS(Data!$N:$N,Data!$V:$V,$R81,Data!$U:$U,1))</f>
        <v/>
      </c>
      <c r="U81">
        <f>IF(COUNTIFS(Data!$V:$V,$R81,Data!$U:$U,2,Data!$N:$N,"&lt;&gt;")=0,"",SUMIFS(Data!$N:$N,Data!$V:$V,$R81,Data!$U:$U,2))</f>
        <v/>
      </c>
      <c r="V81">
        <f>IF(COUNTIFS(Data!$V:$V,$R81,Data!$U:$U,3,Data!$N:$N,"&lt;&gt;")=0,"",SUMIFS(Data!$N:$N,Data!$V:$V,$R81,Data!$U:$U,3))</f>
        <v/>
      </c>
      <c r="W81">
        <f>IF(COUNTIFS(Data!$V:$V,$R81,Data!$U:$U,4,Data!$N:$N,"&lt;&gt;")=0,"",SUMIFS(Data!$N:$N,Data!$V:$V,$R81,Data!$U:$U,4))</f>
        <v/>
      </c>
      <c r="X81">
        <f>IF(COUNTIFS(Data!$V:$V,$R81,Data!$U:$U,5,Data!$N:$N,"&lt;&gt;")=0,"",SUMIFS(Data!$N:$N,Data!$V:$V,$R81,Data!$U:$U,5))</f>
        <v/>
      </c>
      <c r="Y81">
        <f>IF(COUNTIFS(Data!$V:$V,$R81,Data!$U:$U,6,Data!$N:$N,"&lt;&gt;")=0,"",SUMIFS(Data!$N:$N,Data!$V:$V,$R81,Data!$U:$U,6))</f>
        <v/>
      </c>
      <c r="Z81">
        <f>IF(COUNTIFS(Data!$V:$V,$R81,Data!$U:$U,7,Data!$N:$N,"&lt;&gt;")=0,"",SUMIFS(Data!$N:$N,Data!$V:$V,$R81,Data!$U:$U,7))</f>
        <v/>
      </c>
      <c r="AA81">
        <f>IF(COUNTIFS(Data!$V:$V,$R81,Data!$U:$U,8,Data!$N:$N,"&lt;&gt;")=0,"",SUMIFS(Data!$N:$N,Data!$V:$V,$R81,Data!$U:$U,8))</f>
        <v/>
      </c>
      <c r="AB81">
        <f>IF(COUNTIFS(Data!$V:$V,$R81,Data!$U:$U,9,Data!$N:$N,"&lt;&gt;")=0,"",SUMIFS(Data!$N:$N,Data!$V:$V,$R81,Data!$U:$U,9))</f>
        <v/>
      </c>
      <c r="AC81">
        <f>IF(COUNTIFS(Data!$V:$V,$R81,Data!$U:$U,10,Data!$N:$N,"&lt;&gt;")=0,"",SUMIFS(Data!$N:$N,Data!$V:$V,$R81,Data!$U:$U,10))</f>
        <v/>
      </c>
      <c r="AD81">
        <f>IF(COUNTIFS(Data!$V:$V,$R81,Data!$U:$U,11,Data!$N:$N,"&lt;&gt;")=0,"",SUMIFS(Data!$N:$N,Data!$V:$V,$R81,Data!$U:$U,11))</f>
        <v/>
      </c>
      <c r="AE81">
        <f>IF(COUNTIFS(Data!$V:$V,$R81,Data!$U:$U,12,Data!$N:$N,"&lt;&gt;")=0,"",SUMIFS(Data!$N:$N,Data!$V:$V,$R81,Data!$U:$U,12))</f>
        <v/>
      </c>
      <c r="AF81">
        <f>IF(COUNTIFS(Data!$V:$V,$R81,Data!$U:$U,13,Data!$N:$N,"&lt;&gt;")=0,"",SUMIFS(Data!$N:$N,Data!$V:$V,$R81,Data!$U:$U,13))</f>
        <v/>
      </c>
      <c r="AG81">
        <f>IF(COUNTIFS(Data!$V:$V,$R81,Data!$U:$U,14,Data!$N:$N,"&lt;&gt;")=0,"",SUMIFS(Data!$N:$N,Data!$V:$V,$R81,Data!$U:$U,14))</f>
        <v/>
      </c>
      <c r="AH81">
        <f>COUNTIFS(Data!$V:$V,$R81,Data!$U:$U,"&lt;="&amp;14,Data!$N:$N,"&lt;&gt;")</f>
        <v/>
      </c>
      <c r="AI81">
        <f>COUNTIFS(Data!$V:$V,$R81,Data!$U:$U,"&lt;="&amp;14,Data!$N:$N,0)</f>
        <v/>
      </c>
      <c r="AJ81">
        <f>IF(AH81=0,"",AH81-AI81)</f>
        <v/>
      </c>
      <c r="AK81">
        <f>IF(AH81=0,"",SUMIFS(Data!$N:$N,Data!$V:$V,$R81,Data!$U:$U,"&lt;="&amp;14))</f>
        <v/>
      </c>
      <c r="AL81">
        <f>IF(AH81=0,"",IF(ABS(MAX(T81:AG81))&gt;=ABS(MIN(T81:AG81)),MAX(T81:AG81),MIN(T81:AG81)))</f>
        <v/>
      </c>
      <c r="AM81">
        <f>IF(AH81=0,-1,AJ81*100000+MIN(ABS(AK81),99999))</f>
        <v/>
      </c>
      <c r="AN81">
        <f>IF($S81="","",1+COUNTIFS($AM$3:$AM$122,"&gt;"&amp;AM81)+COUNTIFS($AM$3:$AM$122,AM81,$R$3:$R$122,"&lt;"&amp;$R81))</f>
        <v/>
      </c>
    </row>
    <row r="82">
      <c r="R82" t="n">
        <v>80</v>
      </c>
      <c r="S82">
        <f>IFERROR(INDEX(Data!$G:$G,MATCH($R82,Data!$V:$V,0)),"")</f>
        <v/>
      </c>
      <c r="T82">
        <f>IF(COUNTIFS(Data!$V:$V,$R82,Data!$U:$U,1,Data!$N:$N,"&lt;&gt;")=0,"",SUMIFS(Data!$N:$N,Data!$V:$V,$R82,Data!$U:$U,1))</f>
        <v/>
      </c>
      <c r="U82">
        <f>IF(COUNTIFS(Data!$V:$V,$R82,Data!$U:$U,2,Data!$N:$N,"&lt;&gt;")=0,"",SUMIFS(Data!$N:$N,Data!$V:$V,$R82,Data!$U:$U,2))</f>
        <v/>
      </c>
      <c r="V82">
        <f>IF(COUNTIFS(Data!$V:$V,$R82,Data!$U:$U,3,Data!$N:$N,"&lt;&gt;")=0,"",SUMIFS(Data!$N:$N,Data!$V:$V,$R82,Data!$U:$U,3))</f>
        <v/>
      </c>
      <c r="W82">
        <f>IF(COUNTIFS(Data!$V:$V,$R82,Data!$U:$U,4,Data!$N:$N,"&lt;&gt;")=0,"",SUMIFS(Data!$N:$N,Data!$V:$V,$R82,Data!$U:$U,4))</f>
        <v/>
      </c>
      <c r="X82">
        <f>IF(COUNTIFS(Data!$V:$V,$R82,Data!$U:$U,5,Data!$N:$N,"&lt;&gt;")=0,"",SUMIFS(Data!$N:$N,Data!$V:$V,$R82,Data!$U:$U,5))</f>
        <v/>
      </c>
      <c r="Y82">
        <f>IF(COUNTIFS(Data!$V:$V,$R82,Data!$U:$U,6,Data!$N:$N,"&lt;&gt;")=0,"",SUMIFS(Data!$N:$N,Data!$V:$V,$R82,Data!$U:$U,6))</f>
        <v/>
      </c>
      <c r="Z82">
        <f>IF(COUNTIFS(Data!$V:$V,$R82,Data!$U:$U,7,Data!$N:$N,"&lt;&gt;")=0,"",SUMIFS(Data!$N:$N,Data!$V:$V,$R82,Data!$U:$U,7))</f>
        <v/>
      </c>
      <c r="AA82">
        <f>IF(COUNTIFS(Data!$V:$V,$R82,Data!$U:$U,8,Data!$N:$N,"&lt;&gt;")=0,"",SUMIFS(Data!$N:$N,Data!$V:$V,$R82,Data!$U:$U,8))</f>
        <v/>
      </c>
      <c r="AB82">
        <f>IF(COUNTIFS(Data!$V:$V,$R82,Data!$U:$U,9,Data!$N:$N,"&lt;&gt;")=0,"",SUMIFS(Data!$N:$N,Data!$V:$V,$R82,Data!$U:$U,9))</f>
        <v/>
      </c>
      <c r="AC82">
        <f>IF(COUNTIFS(Data!$V:$V,$R82,Data!$U:$U,10,Data!$N:$N,"&lt;&gt;")=0,"",SUMIFS(Data!$N:$N,Data!$V:$V,$R82,Data!$U:$U,10))</f>
        <v/>
      </c>
      <c r="AD82">
        <f>IF(COUNTIFS(Data!$V:$V,$R82,Data!$U:$U,11,Data!$N:$N,"&lt;&gt;")=0,"",SUMIFS(Data!$N:$N,Data!$V:$V,$R82,Data!$U:$U,11))</f>
        <v/>
      </c>
      <c r="AE82">
        <f>IF(COUNTIFS(Data!$V:$V,$R82,Data!$U:$U,12,Data!$N:$N,"&lt;&gt;")=0,"",SUMIFS(Data!$N:$N,Data!$V:$V,$R82,Data!$U:$U,12))</f>
        <v/>
      </c>
      <c r="AF82">
        <f>IF(COUNTIFS(Data!$V:$V,$R82,Data!$U:$U,13,Data!$N:$N,"&lt;&gt;")=0,"",SUMIFS(Data!$N:$N,Data!$V:$V,$R82,Data!$U:$U,13))</f>
        <v/>
      </c>
      <c r="AG82">
        <f>IF(COUNTIFS(Data!$V:$V,$R82,Data!$U:$U,14,Data!$N:$N,"&lt;&gt;")=0,"",SUMIFS(Data!$N:$N,Data!$V:$V,$R82,Data!$U:$U,14))</f>
        <v/>
      </c>
      <c r="AH82">
        <f>COUNTIFS(Data!$V:$V,$R82,Data!$U:$U,"&lt;="&amp;14,Data!$N:$N,"&lt;&gt;")</f>
        <v/>
      </c>
      <c r="AI82">
        <f>COUNTIFS(Data!$V:$V,$R82,Data!$U:$U,"&lt;="&amp;14,Data!$N:$N,0)</f>
        <v/>
      </c>
      <c r="AJ82">
        <f>IF(AH82=0,"",AH82-AI82)</f>
        <v/>
      </c>
      <c r="AK82">
        <f>IF(AH82=0,"",SUMIFS(Data!$N:$N,Data!$V:$V,$R82,Data!$U:$U,"&lt;="&amp;14))</f>
        <v/>
      </c>
      <c r="AL82">
        <f>IF(AH82=0,"",IF(ABS(MAX(T82:AG82))&gt;=ABS(MIN(T82:AG82)),MAX(T82:AG82),MIN(T82:AG82)))</f>
        <v/>
      </c>
      <c r="AM82">
        <f>IF(AH82=0,-1,AJ82*100000+MIN(ABS(AK82),99999))</f>
        <v/>
      </c>
      <c r="AN82">
        <f>IF($S82="","",1+COUNTIFS($AM$3:$AM$122,"&gt;"&amp;AM82)+COUNTIFS($AM$3:$AM$122,AM82,$R$3:$R$122,"&lt;"&amp;$R82))</f>
        <v/>
      </c>
    </row>
    <row r="83">
      <c r="R83" t="n">
        <v>81</v>
      </c>
      <c r="S83">
        <f>IFERROR(INDEX(Data!$G:$G,MATCH($R83,Data!$V:$V,0)),"")</f>
        <v/>
      </c>
      <c r="T83">
        <f>IF(COUNTIFS(Data!$V:$V,$R83,Data!$U:$U,1,Data!$N:$N,"&lt;&gt;")=0,"",SUMIFS(Data!$N:$N,Data!$V:$V,$R83,Data!$U:$U,1))</f>
        <v/>
      </c>
      <c r="U83">
        <f>IF(COUNTIFS(Data!$V:$V,$R83,Data!$U:$U,2,Data!$N:$N,"&lt;&gt;")=0,"",SUMIFS(Data!$N:$N,Data!$V:$V,$R83,Data!$U:$U,2))</f>
        <v/>
      </c>
      <c r="V83">
        <f>IF(COUNTIFS(Data!$V:$V,$R83,Data!$U:$U,3,Data!$N:$N,"&lt;&gt;")=0,"",SUMIFS(Data!$N:$N,Data!$V:$V,$R83,Data!$U:$U,3))</f>
        <v/>
      </c>
      <c r="W83">
        <f>IF(COUNTIFS(Data!$V:$V,$R83,Data!$U:$U,4,Data!$N:$N,"&lt;&gt;")=0,"",SUMIFS(Data!$N:$N,Data!$V:$V,$R83,Data!$U:$U,4))</f>
        <v/>
      </c>
      <c r="X83">
        <f>IF(COUNTIFS(Data!$V:$V,$R83,Data!$U:$U,5,Data!$N:$N,"&lt;&gt;")=0,"",SUMIFS(Data!$N:$N,Data!$V:$V,$R83,Data!$U:$U,5))</f>
        <v/>
      </c>
      <c r="Y83">
        <f>IF(COUNTIFS(Data!$V:$V,$R83,Data!$U:$U,6,Data!$N:$N,"&lt;&gt;")=0,"",SUMIFS(Data!$N:$N,Data!$V:$V,$R83,Data!$U:$U,6))</f>
        <v/>
      </c>
      <c r="Z83">
        <f>IF(COUNTIFS(Data!$V:$V,$R83,Data!$U:$U,7,Data!$N:$N,"&lt;&gt;")=0,"",SUMIFS(Data!$N:$N,Data!$V:$V,$R83,Data!$U:$U,7))</f>
        <v/>
      </c>
      <c r="AA83">
        <f>IF(COUNTIFS(Data!$V:$V,$R83,Data!$U:$U,8,Data!$N:$N,"&lt;&gt;")=0,"",SUMIFS(Data!$N:$N,Data!$V:$V,$R83,Data!$U:$U,8))</f>
        <v/>
      </c>
      <c r="AB83">
        <f>IF(COUNTIFS(Data!$V:$V,$R83,Data!$U:$U,9,Data!$N:$N,"&lt;&gt;")=0,"",SUMIFS(Data!$N:$N,Data!$V:$V,$R83,Data!$U:$U,9))</f>
        <v/>
      </c>
      <c r="AC83">
        <f>IF(COUNTIFS(Data!$V:$V,$R83,Data!$U:$U,10,Data!$N:$N,"&lt;&gt;")=0,"",SUMIFS(Data!$N:$N,Data!$V:$V,$R83,Data!$U:$U,10))</f>
        <v/>
      </c>
      <c r="AD83">
        <f>IF(COUNTIFS(Data!$V:$V,$R83,Data!$U:$U,11,Data!$N:$N,"&lt;&gt;")=0,"",SUMIFS(Data!$N:$N,Data!$V:$V,$R83,Data!$U:$U,11))</f>
        <v/>
      </c>
      <c r="AE83">
        <f>IF(COUNTIFS(Data!$V:$V,$R83,Data!$U:$U,12,Data!$N:$N,"&lt;&gt;")=0,"",SUMIFS(Data!$N:$N,Data!$V:$V,$R83,Data!$U:$U,12))</f>
        <v/>
      </c>
      <c r="AF83">
        <f>IF(COUNTIFS(Data!$V:$V,$R83,Data!$U:$U,13,Data!$N:$N,"&lt;&gt;")=0,"",SUMIFS(Data!$N:$N,Data!$V:$V,$R83,Data!$U:$U,13))</f>
        <v/>
      </c>
      <c r="AG83">
        <f>IF(COUNTIFS(Data!$V:$V,$R83,Data!$U:$U,14,Data!$N:$N,"&lt;&gt;")=0,"",SUMIFS(Data!$N:$N,Data!$V:$V,$R83,Data!$U:$U,14))</f>
        <v/>
      </c>
      <c r="AH83">
        <f>COUNTIFS(Data!$V:$V,$R83,Data!$U:$U,"&lt;="&amp;14,Data!$N:$N,"&lt;&gt;")</f>
        <v/>
      </c>
      <c r="AI83">
        <f>COUNTIFS(Data!$V:$V,$R83,Data!$U:$U,"&lt;="&amp;14,Data!$N:$N,0)</f>
        <v/>
      </c>
      <c r="AJ83">
        <f>IF(AH83=0,"",AH83-AI83)</f>
        <v/>
      </c>
      <c r="AK83">
        <f>IF(AH83=0,"",SUMIFS(Data!$N:$N,Data!$V:$V,$R83,Data!$U:$U,"&lt;="&amp;14))</f>
        <v/>
      </c>
      <c r="AL83">
        <f>IF(AH83=0,"",IF(ABS(MAX(T83:AG83))&gt;=ABS(MIN(T83:AG83)),MAX(T83:AG83),MIN(T83:AG83)))</f>
        <v/>
      </c>
      <c r="AM83">
        <f>IF(AH83=0,-1,AJ83*100000+MIN(ABS(AK83),99999))</f>
        <v/>
      </c>
      <c r="AN83">
        <f>IF($S83="","",1+COUNTIFS($AM$3:$AM$122,"&gt;"&amp;AM83)+COUNTIFS($AM$3:$AM$122,AM83,$R$3:$R$122,"&lt;"&amp;$R83))</f>
        <v/>
      </c>
    </row>
    <row r="84">
      <c r="R84" t="n">
        <v>82</v>
      </c>
      <c r="S84">
        <f>IFERROR(INDEX(Data!$G:$G,MATCH($R84,Data!$V:$V,0)),"")</f>
        <v/>
      </c>
      <c r="T84">
        <f>IF(COUNTIFS(Data!$V:$V,$R84,Data!$U:$U,1,Data!$N:$N,"&lt;&gt;")=0,"",SUMIFS(Data!$N:$N,Data!$V:$V,$R84,Data!$U:$U,1))</f>
        <v/>
      </c>
      <c r="U84">
        <f>IF(COUNTIFS(Data!$V:$V,$R84,Data!$U:$U,2,Data!$N:$N,"&lt;&gt;")=0,"",SUMIFS(Data!$N:$N,Data!$V:$V,$R84,Data!$U:$U,2))</f>
        <v/>
      </c>
      <c r="V84">
        <f>IF(COUNTIFS(Data!$V:$V,$R84,Data!$U:$U,3,Data!$N:$N,"&lt;&gt;")=0,"",SUMIFS(Data!$N:$N,Data!$V:$V,$R84,Data!$U:$U,3))</f>
        <v/>
      </c>
      <c r="W84">
        <f>IF(COUNTIFS(Data!$V:$V,$R84,Data!$U:$U,4,Data!$N:$N,"&lt;&gt;")=0,"",SUMIFS(Data!$N:$N,Data!$V:$V,$R84,Data!$U:$U,4))</f>
        <v/>
      </c>
      <c r="X84">
        <f>IF(COUNTIFS(Data!$V:$V,$R84,Data!$U:$U,5,Data!$N:$N,"&lt;&gt;")=0,"",SUMIFS(Data!$N:$N,Data!$V:$V,$R84,Data!$U:$U,5))</f>
        <v/>
      </c>
      <c r="Y84">
        <f>IF(COUNTIFS(Data!$V:$V,$R84,Data!$U:$U,6,Data!$N:$N,"&lt;&gt;")=0,"",SUMIFS(Data!$N:$N,Data!$V:$V,$R84,Data!$U:$U,6))</f>
        <v/>
      </c>
      <c r="Z84">
        <f>IF(COUNTIFS(Data!$V:$V,$R84,Data!$U:$U,7,Data!$N:$N,"&lt;&gt;")=0,"",SUMIFS(Data!$N:$N,Data!$V:$V,$R84,Data!$U:$U,7))</f>
        <v/>
      </c>
      <c r="AA84">
        <f>IF(COUNTIFS(Data!$V:$V,$R84,Data!$U:$U,8,Data!$N:$N,"&lt;&gt;")=0,"",SUMIFS(Data!$N:$N,Data!$V:$V,$R84,Data!$U:$U,8))</f>
        <v/>
      </c>
      <c r="AB84">
        <f>IF(COUNTIFS(Data!$V:$V,$R84,Data!$U:$U,9,Data!$N:$N,"&lt;&gt;")=0,"",SUMIFS(Data!$N:$N,Data!$V:$V,$R84,Data!$U:$U,9))</f>
        <v/>
      </c>
      <c r="AC84">
        <f>IF(COUNTIFS(Data!$V:$V,$R84,Data!$U:$U,10,Data!$N:$N,"&lt;&gt;")=0,"",SUMIFS(Data!$N:$N,Data!$V:$V,$R84,Data!$U:$U,10))</f>
        <v/>
      </c>
      <c r="AD84">
        <f>IF(COUNTIFS(Data!$V:$V,$R84,Data!$U:$U,11,Data!$N:$N,"&lt;&gt;")=0,"",SUMIFS(Data!$N:$N,Data!$V:$V,$R84,Data!$U:$U,11))</f>
        <v/>
      </c>
      <c r="AE84">
        <f>IF(COUNTIFS(Data!$V:$V,$R84,Data!$U:$U,12,Data!$N:$N,"&lt;&gt;")=0,"",SUMIFS(Data!$N:$N,Data!$V:$V,$R84,Data!$U:$U,12))</f>
        <v/>
      </c>
      <c r="AF84">
        <f>IF(COUNTIFS(Data!$V:$V,$R84,Data!$U:$U,13,Data!$N:$N,"&lt;&gt;")=0,"",SUMIFS(Data!$N:$N,Data!$V:$V,$R84,Data!$U:$U,13))</f>
        <v/>
      </c>
      <c r="AG84">
        <f>IF(COUNTIFS(Data!$V:$V,$R84,Data!$U:$U,14,Data!$N:$N,"&lt;&gt;")=0,"",SUMIFS(Data!$N:$N,Data!$V:$V,$R84,Data!$U:$U,14))</f>
        <v/>
      </c>
      <c r="AH84">
        <f>COUNTIFS(Data!$V:$V,$R84,Data!$U:$U,"&lt;="&amp;14,Data!$N:$N,"&lt;&gt;")</f>
        <v/>
      </c>
      <c r="AI84">
        <f>COUNTIFS(Data!$V:$V,$R84,Data!$U:$U,"&lt;="&amp;14,Data!$N:$N,0)</f>
        <v/>
      </c>
      <c r="AJ84">
        <f>IF(AH84=0,"",AH84-AI84)</f>
        <v/>
      </c>
      <c r="AK84">
        <f>IF(AH84=0,"",SUMIFS(Data!$N:$N,Data!$V:$V,$R84,Data!$U:$U,"&lt;="&amp;14))</f>
        <v/>
      </c>
      <c r="AL84">
        <f>IF(AH84=0,"",IF(ABS(MAX(T84:AG84))&gt;=ABS(MIN(T84:AG84)),MAX(T84:AG84),MIN(T84:AG84)))</f>
        <v/>
      </c>
      <c r="AM84">
        <f>IF(AH84=0,-1,AJ84*100000+MIN(ABS(AK84),99999))</f>
        <v/>
      </c>
      <c r="AN84">
        <f>IF($S84="","",1+COUNTIFS($AM$3:$AM$122,"&gt;"&amp;AM84)+COUNTIFS($AM$3:$AM$122,AM84,$R$3:$R$122,"&lt;"&amp;$R84))</f>
        <v/>
      </c>
    </row>
    <row r="85">
      <c r="R85" t="n">
        <v>83</v>
      </c>
      <c r="S85">
        <f>IFERROR(INDEX(Data!$G:$G,MATCH($R85,Data!$V:$V,0)),"")</f>
        <v/>
      </c>
      <c r="T85">
        <f>IF(COUNTIFS(Data!$V:$V,$R85,Data!$U:$U,1,Data!$N:$N,"&lt;&gt;")=0,"",SUMIFS(Data!$N:$N,Data!$V:$V,$R85,Data!$U:$U,1))</f>
        <v/>
      </c>
      <c r="U85">
        <f>IF(COUNTIFS(Data!$V:$V,$R85,Data!$U:$U,2,Data!$N:$N,"&lt;&gt;")=0,"",SUMIFS(Data!$N:$N,Data!$V:$V,$R85,Data!$U:$U,2))</f>
        <v/>
      </c>
      <c r="V85">
        <f>IF(COUNTIFS(Data!$V:$V,$R85,Data!$U:$U,3,Data!$N:$N,"&lt;&gt;")=0,"",SUMIFS(Data!$N:$N,Data!$V:$V,$R85,Data!$U:$U,3))</f>
        <v/>
      </c>
      <c r="W85">
        <f>IF(COUNTIFS(Data!$V:$V,$R85,Data!$U:$U,4,Data!$N:$N,"&lt;&gt;")=0,"",SUMIFS(Data!$N:$N,Data!$V:$V,$R85,Data!$U:$U,4))</f>
        <v/>
      </c>
      <c r="X85">
        <f>IF(COUNTIFS(Data!$V:$V,$R85,Data!$U:$U,5,Data!$N:$N,"&lt;&gt;")=0,"",SUMIFS(Data!$N:$N,Data!$V:$V,$R85,Data!$U:$U,5))</f>
        <v/>
      </c>
      <c r="Y85">
        <f>IF(COUNTIFS(Data!$V:$V,$R85,Data!$U:$U,6,Data!$N:$N,"&lt;&gt;")=0,"",SUMIFS(Data!$N:$N,Data!$V:$V,$R85,Data!$U:$U,6))</f>
        <v/>
      </c>
      <c r="Z85">
        <f>IF(COUNTIFS(Data!$V:$V,$R85,Data!$U:$U,7,Data!$N:$N,"&lt;&gt;")=0,"",SUMIFS(Data!$N:$N,Data!$V:$V,$R85,Data!$U:$U,7))</f>
        <v/>
      </c>
      <c r="AA85">
        <f>IF(COUNTIFS(Data!$V:$V,$R85,Data!$U:$U,8,Data!$N:$N,"&lt;&gt;")=0,"",SUMIFS(Data!$N:$N,Data!$V:$V,$R85,Data!$U:$U,8))</f>
        <v/>
      </c>
      <c r="AB85">
        <f>IF(COUNTIFS(Data!$V:$V,$R85,Data!$U:$U,9,Data!$N:$N,"&lt;&gt;")=0,"",SUMIFS(Data!$N:$N,Data!$V:$V,$R85,Data!$U:$U,9))</f>
        <v/>
      </c>
      <c r="AC85">
        <f>IF(COUNTIFS(Data!$V:$V,$R85,Data!$U:$U,10,Data!$N:$N,"&lt;&gt;")=0,"",SUMIFS(Data!$N:$N,Data!$V:$V,$R85,Data!$U:$U,10))</f>
        <v/>
      </c>
      <c r="AD85">
        <f>IF(COUNTIFS(Data!$V:$V,$R85,Data!$U:$U,11,Data!$N:$N,"&lt;&gt;")=0,"",SUMIFS(Data!$N:$N,Data!$V:$V,$R85,Data!$U:$U,11))</f>
        <v/>
      </c>
      <c r="AE85">
        <f>IF(COUNTIFS(Data!$V:$V,$R85,Data!$U:$U,12,Data!$N:$N,"&lt;&gt;")=0,"",SUMIFS(Data!$N:$N,Data!$V:$V,$R85,Data!$U:$U,12))</f>
        <v/>
      </c>
      <c r="AF85">
        <f>IF(COUNTIFS(Data!$V:$V,$R85,Data!$U:$U,13,Data!$N:$N,"&lt;&gt;")=0,"",SUMIFS(Data!$N:$N,Data!$V:$V,$R85,Data!$U:$U,13))</f>
        <v/>
      </c>
      <c r="AG85">
        <f>IF(COUNTIFS(Data!$V:$V,$R85,Data!$U:$U,14,Data!$N:$N,"&lt;&gt;")=0,"",SUMIFS(Data!$N:$N,Data!$V:$V,$R85,Data!$U:$U,14))</f>
        <v/>
      </c>
      <c r="AH85">
        <f>COUNTIFS(Data!$V:$V,$R85,Data!$U:$U,"&lt;="&amp;14,Data!$N:$N,"&lt;&gt;")</f>
        <v/>
      </c>
      <c r="AI85">
        <f>COUNTIFS(Data!$V:$V,$R85,Data!$U:$U,"&lt;="&amp;14,Data!$N:$N,0)</f>
        <v/>
      </c>
      <c r="AJ85">
        <f>IF(AH85=0,"",AH85-AI85)</f>
        <v/>
      </c>
      <c r="AK85">
        <f>IF(AH85=0,"",SUMIFS(Data!$N:$N,Data!$V:$V,$R85,Data!$U:$U,"&lt;="&amp;14))</f>
        <v/>
      </c>
      <c r="AL85">
        <f>IF(AH85=0,"",IF(ABS(MAX(T85:AG85))&gt;=ABS(MIN(T85:AG85)),MAX(T85:AG85),MIN(T85:AG85)))</f>
        <v/>
      </c>
      <c r="AM85">
        <f>IF(AH85=0,-1,AJ85*100000+MIN(ABS(AK85),99999))</f>
        <v/>
      </c>
      <c r="AN85">
        <f>IF($S85="","",1+COUNTIFS($AM$3:$AM$122,"&gt;"&amp;AM85)+COUNTIFS($AM$3:$AM$122,AM85,$R$3:$R$122,"&lt;"&amp;$R85))</f>
        <v/>
      </c>
    </row>
    <row r="86">
      <c r="R86" t="n">
        <v>84</v>
      </c>
      <c r="S86">
        <f>IFERROR(INDEX(Data!$G:$G,MATCH($R86,Data!$V:$V,0)),"")</f>
        <v/>
      </c>
      <c r="T86">
        <f>IF(COUNTIFS(Data!$V:$V,$R86,Data!$U:$U,1,Data!$N:$N,"&lt;&gt;")=0,"",SUMIFS(Data!$N:$N,Data!$V:$V,$R86,Data!$U:$U,1))</f>
        <v/>
      </c>
      <c r="U86">
        <f>IF(COUNTIFS(Data!$V:$V,$R86,Data!$U:$U,2,Data!$N:$N,"&lt;&gt;")=0,"",SUMIFS(Data!$N:$N,Data!$V:$V,$R86,Data!$U:$U,2))</f>
        <v/>
      </c>
      <c r="V86">
        <f>IF(COUNTIFS(Data!$V:$V,$R86,Data!$U:$U,3,Data!$N:$N,"&lt;&gt;")=0,"",SUMIFS(Data!$N:$N,Data!$V:$V,$R86,Data!$U:$U,3))</f>
        <v/>
      </c>
      <c r="W86">
        <f>IF(COUNTIFS(Data!$V:$V,$R86,Data!$U:$U,4,Data!$N:$N,"&lt;&gt;")=0,"",SUMIFS(Data!$N:$N,Data!$V:$V,$R86,Data!$U:$U,4))</f>
        <v/>
      </c>
      <c r="X86">
        <f>IF(COUNTIFS(Data!$V:$V,$R86,Data!$U:$U,5,Data!$N:$N,"&lt;&gt;")=0,"",SUMIFS(Data!$N:$N,Data!$V:$V,$R86,Data!$U:$U,5))</f>
        <v/>
      </c>
      <c r="Y86">
        <f>IF(COUNTIFS(Data!$V:$V,$R86,Data!$U:$U,6,Data!$N:$N,"&lt;&gt;")=0,"",SUMIFS(Data!$N:$N,Data!$V:$V,$R86,Data!$U:$U,6))</f>
        <v/>
      </c>
      <c r="Z86">
        <f>IF(COUNTIFS(Data!$V:$V,$R86,Data!$U:$U,7,Data!$N:$N,"&lt;&gt;")=0,"",SUMIFS(Data!$N:$N,Data!$V:$V,$R86,Data!$U:$U,7))</f>
        <v/>
      </c>
      <c r="AA86">
        <f>IF(COUNTIFS(Data!$V:$V,$R86,Data!$U:$U,8,Data!$N:$N,"&lt;&gt;")=0,"",SUMIFS(Data!$N:$N,Data!$V:$V,$R86,Data!$U:$U,8))</f>
        <v/>
      </c>
      <c r="AB86">
        <f>IF(COUNTIFS(Data!$V:$V,$R86,Data!$U:$U,9,Data!$N:$N,"&lt;&gt;")=0,"",SUMIFS(Data!$N:$N,Data!$V:$V,$R86,Data!$U:$U,9))</f>
        <v/>
      </c>
      <c r="AC86">
        <f>IF(COUNTIFS(Data!$V:$V,$R86,Data!$U:$U,10,Data!$N:$N,"&lt;&gt;")=0,"",SUMIFS(Data!$N:$N,Data!$V:$V,$R86,Data!$U:$U,10))</f>
        <v/>
      </c>
      <c r="AD86">
        <f>IF(COUNTIFS(Data!$V:$V,$R86,Data!$U:$U,11,Data!$N:$N,"&lt;&gt;")=0,"",SUMIFS(Data!$N:$N,Data!$V:$V,$R86,Data!$U:$U,11))</f>
        <v/>
      </c>
      <c r="AE86">
        <f>IF(COUNTIFS(Data!$V:$V,$R86,Data!$U:$U,12,Data!$N:$N,"&lt;&gt;")=0,"",SUMIFS(Data!$N:$N,Data!$V:$V,$R86,Data!$U:$U,12))</f>
        <v/>
      </c>
      <c r="AF86">
        <f>IF(COUNTIFS(Data!$V:$V,$R86,Data!$U:$U,13,Data!$N:$N,"&lt;&gt;")=0,"",SUMIFS(Data!$N:$N,Data!$V:$V,$R86,Data!$U:$U,13))</f>
        <v/>
      </c>
      <c r="AG86">
        <f>IF(COUNTIFS(Data!$V:$V,$R86,Data!$U:$U,14,Data!$N:$N,"&lt;&gt;")=0,"",SUMIFS(Data!$N:$N,Data!$V:$V,$R86,Data!$U:$U,14))</f>
        <v/>
      </c>
      <c r="AH86">
        <f>COUNTIFS(Data!$V:$V,$R86,Data!$U:$U,"&lt;="&amp;14,Data!$N:$N,"&lt;&gt;")</f>
        <v/>
      </c>
      <c r="AI86">
        <f>COUNTIFS(Data!$V:$V,$R86,Data!$U:$U,"&lt;="&amp;14,Data!$N:$N,0)</f>
        <v/>
      </c>
      <c r="AJ86">
        <f>IF(AH86=0,"",AH86-AI86)</f>
        <v/>
      </c>
      <c r="AK86">
        <f>IF(AH86=0,"",SUMIFS(Data!$N:$N,Data!$V:$V,$R86,Data!$U:$U,"&lt;="&amp;14))</f>
        <v/>
      </c>
      <c r="AL86">
        <f>IF(AH86=0,"",IF(ABS(MAX(T86:AG86))&gt;=ABS(MIN(T86:AG86)),MAX(T86:AG86),MIN(T86:AG86)))</f>
        <v/>
      </c>
      <c r="AM86">
        <f>IF(AH86=0,-1,AJ86*100000+MIN(ABS(AK86),99999))</f>
        <v/>
      </c>
      <c r="AN86">
        <f>IF($S86="","",1+COUNTIFS($AM$3:$AM$122,"&gt;"&amp;AM86)+COUNTIFS($AM$3:$AM$122,AM86,$R$3:$R$122,"&lt;"&amp;$R86))</f>
        <v/>
      </c>
    </row>
    <row r="87">
      <c r="R87" t="n">
        <v>85</v>
      </c>
      <c r="S87">
        <f>IFERROR(INDEX(Data!$G:$G,MATCH($R87,Data!$V:$V,0)),"")</f>
        <v/>
      </c>
      <c r="T87">
        <f>IF(COUNTIFS(Data!$V:$V,$R87,Data!$U:$U,1,Data!$N:$N,"&lt;&gt;")=0,"",SUMIFS(Data!$N:$N,Data!$V:$V,$R87,Data!$U:$U,1))</f>
        <v/>
      </c>
      <c r="U87">
        <f>IF(COUNTIFS(Data!$V:$V,$R87,Data!$U:$U,2,Data!$N:$N,"&lt;&gt;")=0,"",SUMIFS(Data!$N:$N,Data!$V:$V,$R87,Data!$U:$U,2))</f>
        <v/>
      </c>
      <c r="V87">
        <f>IF(COUNTIFS(Data!$V:$V,$R87,Data!$U:$U,3,Data!$N:$N,"&lt;&gt;")=0,"",SUMIFS(Data!$N:$N,Data!$V:$V,$R87,Data!$U:$U,3))</f>
        <v/>
      </c>
      <c r="W87">
        <f>IF(COUNTIFS(Data!$V:$V,$R87,Data!$U:$U,4,Data!$N:$N,"&lt;&gt;")=0,"",SUMIFS(Data!$N:$N,Data!$V:$V,$R87,Data!$U:$U,4))</f>
        <v/>
      </c>
      <c r="X87">
        <f>IF(COUNTIFS(Data!$V:$V,$R87,Data!$U:$U,5,Data!$N:$N,"&lt;&gt;")=0,"",SUMIFS(Data!$N:$N,Data!$V:$V,$R87,Data!$U:$U,5))</f>
        <v/>
      </c>
      <c r="Y87">
        <f>IF(COUNTIFS(Data!$V:$V,$R87,Data!$U:$U,6,Data!$N:$N,"&lt;&gt;")=0,"",SUMIFS(Data!$N:$N,Data!$V:$V,$R87,Data!$U:$U,6))</f>
        <v/>
      </c>
      <c r="Z87">
        <f>IF(COUNTIFS(Data!$V:$V,$R87,Data!$U:$U,7,Data!$N:$N,"&lt;&gt;")=0,"",SUMIFS(Data!$N:$N,Data!$V:$V,$R87,Data!$U:$U,7))</f>
        <v/>
      </c>
      <c r="AA87">
        <f>IF(COUNTIFS(Data!$V:$V,$R87,Data!$U:$U,8,Data!$N:$N,"&lt;&gt;")=0,"",SUMIFS(Data!$N:$N,Data!$V:$V,$R87,Data!$U:$U,8))</f>
        <v/>
      </c>
      <c r="AB87">
        <f>IF(COUNTIFS(Data!$V:$V,$R87,Data!$U:$U,9,Data!$N:$N,"&lt;&gt;")=0,"",SUMIFS(Data!$N:$N,Data!$V:$V,$R87,Data!$U:$U,9))</f>
        <v/>
      </c>
      <c r="AC87">
        <f>IF(COUNTIFS(Data!$V:$V,$R87,Data!$U:$U,10,Data!$N:$N,"&lt;&gt;")=0,"",SUMIFS(Data!$N:$N,Data!$V:$V,$R87,Data!$U:$U,10))</f>
        <v/>
      </c>
      <c r="AD87">
        <f>IF(COUNTIFS(Data!$V:$V,$R87,Data!$U:$U,11,Data!$N:$N,"&lt;&gt;")=0,"",SUMIFS(Data!$N:$N,Data!$V:$V,$R87,Data!$U:$U,11))</f>
        <v/>
      </c>
      <c r="AE87">
        <f>IF(COUNTIFS(Data!$V:$V,$R87,Data!$U:$U,12,Data!$N:$N,"&lt;&gt;")=0,"",SUMIFS(Data!$N:$N,Data!$V:$V,$R87,Data!$U:$U,12))</f>
        <v/>
      </c>
      <c r="AF87">
        <f>IF(COUNTIFS(Data!$V:$V,$R87,Data!$U:$U,13,Data!$N:$N,"&lt;&gt;")=0,"",SUMIFS(Data!$N:$N,Data!$V:$V,$R87,Data!$U:$U,13))</f>
        <v/>
      </c>
      <c r="AG87">
        <f>IF(COUNTIFS(Data!$V:$V,$R87,Data!$U:$U,14,Data!$N:$N,"&lt;&gt;")=0,"",SUMIFS(Data!$N:$N,Data!$V:$V,$R87,Data!$U:$U,14))</f>
        <v/>
      </c>
      <c r="AH87">
        <f>COUNTIFS(Data!$V:$V,$R87,Data!$U:$U,"&lt;="&amp;14,Data!$N:$N,"&lt;&gt;")</f>
        <v/>
      </c>
      <c r="AI87">
        <f>COUNTIFS(Data!$V:$V,$R87,Data!$U:$U,"&lt;="&amp;14,Data!$N:$N,0)</f>
        <v/>
      </c>
      <c r="AJ87">
        <f>IF(AH87=0,"",AH87-AI87)</f>
        <v/>
      </c>
      <c r="AK87">
        <f>IF(AH87=0,"",SUMIFS(Data!$N:$N,Data!$V:$V,$R87,Data!$U:$U,"&lt;="&amp;14))</f>
        <v/>
      </c>
      <c r="AL87">
        <f>IF(AH87=0,"",IF(ABS(MAX(T87:AG87))&gt;=ABS(MIN(T87:AG87)),MAX(T87:AG87),MIN(T87:AG87)))</f>
        <v/>
      </c>
      <c r="AM87">
        <f>IF(AH87=0,-1,AJ87*100000+MIN(ABS(AK87),99999))</f>
        <v/>
      </c>
      <c r="AN87">
        <f>IF($S87="","",1+COUNTIFS($AM$3:$AM$122,"&gt;"&amp;AM87)+COUNTIFS($AM$3:$AM$122,AM87,$R$3:$R$122,"&lt;"&amp;$R87))</f>
        <v/>
      </c>
    </row>
    <row r="88">
      <c r="R88" t="n">
        <v>86</v>
      </c>
      <c r="S88">
        <f>IFERROR(INDEX(Data!$G:$G,MATCH($R88,Data!$V:$V,0)),"")</f>
        <v/>
      </c>
      <c r="T88">
        <f>IF(COUNTIFS(Data!$V:$V,$R88,Data!$U:$U,1,Data!$N:$N,"&lt;&gt;")=0,"",SUMIFS(Data!$N:$N,Data!$V:$V,$R88,Data!$U:$U,1))</f>
        <v/>
      </c>
      <c r="U88">
        <f>IF(COUNTIFS(Data!$V:$V,$R88,Data!$U:$U,2,Data!$N:$N,"&lt;&gt;")=0,"",SUMIFS(Data!$N:$N,Data!$V:$V,$R88,Data!$U:$U,2))</f>
        <v/>
      </c>
      <c r="V88">
        <f>IF(COUNTIFS(Data!$V:$V,$R88,Data!$U:$U,3,Data!$N:$N,"&lt;&gt;")=0,"",SUMIFS(Data!$N:$N,Data!$V:$V,$R88,Data!$U:$U,3))</f>
        <v/>
      </c>
      <c r="W88">
        <f>IF(COUNTIFS(Data!$V:$V,$R88,Data!$U:$U,4,Data!$N:$N,"&lt;&gt;")=0,"",SUMIFS(Data!$N:$N,Data!$V:$V,$R88,Data!$U:$U,4))</f>
        <v/>
      </c>
      <c r="X88">
        <f>IF(COUNTIFS(Data!$V:$V,$R88,Data!$U:$U,5,Data!$N:$N,"&lt;&gt;")=0,"",SUMIFS(Data!$N:$N,Data!$V:$V,$R88,Data!$U:$U,5))</f>
        <v/>
      </c>
      <c r="Y88">
        <f>IF(COUNTIFS(Data!$V:$V,$R88,Data!$U:$U,6,Data!$N:$N,"&lt;&gt;")=0,"",SUMIFS(Data!$N:$N,Data!$V:$V,$R88,Data!$U:$U,6))</f>
        <v/>
      </c>
      <c r="Z88">
        <f>IF(COUNTIFS(Data!$V:$V,$R88,Data!$U:$U,7,Data!$N:$N,"&lt;&gt;")=0,"",SUMIFS(Data!$N:$N,Data!$V:$V,$R88,Data!$U:$U,7))</f>
        <v/>
      </c>
      <c r="AA88">
        <f>IF(COUNTIFS(Data!$V:$V,$R88,Data!$U:$U,8,Data!$N:$N,"&lt;&gt;")=0,"",SUMIFS(Data!$N:$N,Data!$V:$V,$R88,Data!$U:$U,8))</f>
        <v/>
      </c>
      <c r="AB88">
        <f>IF(COUNTIFS(Data!$V:$V,$R88,Data!$U:$U,9,Data!$N:$N,"&lt;&gt;")=0,"",SUMIFS(Data!$N:$N,Data!$V:$V,$R88,Data!$U:$U,9))</f>
        <v/>
      </c>
      <c r="AC88">
        <f>IF(COUNTIFS(Data!$V:$V,$R88,Data!$U:$U,10,Data!$N:$N,"&lt;&gt;")=0,"",SUMIFS(Data!$N:$N,Data!$V:$V,$R88,Data!$U:$U,10))</f>
        <v/>
      </c>
      <c r="AD88">
        <f>IF(COUNTIFS(Data!$V:$V,$R88,Data!$U:$U,11,Data!$N:$N,"&lt;&gt;")=0,"",SUMIFS(Data!$N:$N,Data!$V:$V,$R88,Data!$U:$U,11))</f>
        <v/>
      </c>
      <c r="AE88">
        <f>IF(COUNTIFS(Data!$V:$V,$R88,Data!$U:$U,12,Data!$N:$N,"&lt;&gt;")=0,"",SUMIFS(Data!$N:$N,Data!$V:$V,$R88,Data!$U:$U,12))</f>
        <v/>
      </c>
      <c r="AF88">
        <f>IF(COUNTIFS(Data!$V:$V,$R88,Data!$U:$U,13,Data!$N:$N,"&lt;&gt;")=0,"",SUMIFS(Data!$N:$N,Data!$V:$V,$R88,Data!$U:$U,13))</f>
        <v/>
      </c>
      <c r="AG88">
        <f>IF(COUNTIFS(Data!$V:$V,$R88,Data!$U:$U,14,Data!$N:$N,"&lt;&gt;")=0,"",SUMIFS(Data!$N:$N,Data!$V:$V,$R88,Data!$U:$U,14))</f>
        <v/>
      </c>
      <c r="AH88">
        <f>COUNTIFS(Data!$V:$V,$R88,Data!$U:$U,"&lt;="&amp;14,Data!$N:$N,"&lt;&gt;")</f>
        <v/>
      </c>
      <c r="AI88">
        <f>COUNTIFS(Data!$V:$V,$R88,Data!$U:$U,"&lt;="&amp;14,Data!$N:$N,0)</f>
        <v/>
      </c>
      <c r="AJ88">
        <f>IF(AH88=0,"",AH88-AI88)</f>
        <v/>
      </c>
      <c r="AK88">
        <f>IF(AH88=0,"",SUMIFS(Data!$N:$N,Data!$V:$V,$R88,Data!$U:$U,"&lt;="&amp;14))</f>
        <v/>
      </c>
      <c r="AL88">
        <f>IF(AH88=0,"",IF(ABS(MAX(T88:AG88))&gt;=ABS(MIN(T88:AG88)),MAX(T88:AG88),MIN(T88:AG88)))</f>
        <v/>
      </c>
      <c r="AM88">
        <f>IF(AH88=0,-1,AJ88*100000+MIN(ABS(AK88),99999))</f>
        <v/>
      </c>
      <c r="AN88">
        <f>IF($S88="","",1+COUNTIFS($AM$3:$AM$122,"&gt;"&amp;AM88)+COUNTIFS($AM$3:$AM$122,AM88,$R$3:$R$122,"&lt;"&amp;$R88))</f>
        <v/>
      </c>
    </row>
    <row r="89">
      <c r="R89" t="n">
        <v>87</v>
      </c>
      <c r="S89">
        <f>IFERROR(INDEX(Data!$G:$G,MATCH($R89,Data!$V:$V,0)),"")</f>
        <v/>
      </c>
      <c r="T89">
        <f>IF(COUNTIFS(Data!$V:$V,$R89,Data!$U:$U,1,Data!$N:$N,"&lt;&gt;")=0,"",SUMIFS(Data!$N:$N,Data!$V:$V,$R89,Data!$U:$U,1))</f>
        <v/>
      </c>
      <c r="U89">
        <f>IF(COUNTIFS(Data!$V:$V,$R89,Data!$U:$U,2,Data!$N:$N,"&lt;&gt;")=0,"",SUMIFS(Data!$N:$N,Data!$V:$V,$R89,Data!$U:$U,2))</f>
        <v/>
      </c>
      <c r="V89">
        <f>IF(COUNTIFS(Data!$V:$V,$R89,Data!$U:$U,3,Data!$N:$N,"&lt;&gt;")=0,"",SUMIFS(Data!$N:$N,Data!$V:$V,$R89,Data!$U:$U,3))</f>
        <v/>
      </c>
      <c r="W89">
        <f>IF(COUNTIFS(Data!$V:$V,$R89,Data!$U:$U,4,Data!$N:$N,"&lt;&gt;")=0,"",SUMIFS(Data!$N:$N,Data!$V:$V,$R89,Data!$U:$U,4))</f>
        <v/>
      </c>
      <c r="X89">
        <f>IF(COUNTIFS(Data!$V:$V,$R89,Data!$U:$U,5,Data!$N:$N,"&lt;&gt;")=0,"",SUMIFS(Data!$N:$N,Data!$V:$V,$R89,Data!$U:$U,5))</f>
        <v/>
      </c>
      <c r="Y89">
        <f>IF(COUNTIFS(Data!$V:$V,$R89,Data!$U:$U,6,Data!$N:$N,"&lt;&gt;")=0,"",SUMIFS(Data!$N:$N,Data!$V:$V,$R89,Data!$U:$U,6))</f>
        <v/>
      </c>
      <c r="Z89">
        <f>IF(COUNTIFS(Data!$V:$V,$R89,Data!$U:$U,7,Data!$N:$N,"&lt;&gt;")=0,"",SUMIFS(Data!$N:$N,Data!$V:$V,$R89,Data!$U:$U,7))</f>
        <v/>
      </c>
      <c r="AA89">
        <f>IF(COUNTIFS(Data!$V:$V,$R89,Data!$U:$U,8,Data!$N:$N,"&lt;&gt;")=0,"",SUMIFS(Data!$N:$N,Data!$V:$V,$R89,Data!$U:$U,8))</f>
        <v/>
      </c>
      <c r="AB89">
        <f>IF(COUNTIFS(Data!$V:$V,$R89,Data!$U:$U,9,Data!$N:$N,"&lt;&gt;")=0,"",SUMIFS(Data!$N:$N,Data!$V:$V,$R89,Data!$U:$U,9))</f>
        <v/>
      </c>
      <c r="AC89">
        <f>IF(COUNTIFS(Data!$V:$V,$R89,Data!$U:$U,10,Data!$N:$N,"&lt;&gt;")=0,"",SUMIFS(Data!$N:$N,Data!$V:$V,$R89,Data!$U:$U,10))</f>
        <v/>
      </c>
      <c r="AD89">
        <f>IF(COUNTIFS(Data!$V:$V,$R89,Data!$U:$U,11,Data!$N:$N,"&lt;&gt;")=0,"",SUMIFS(Data!$N:$N,Data!$V:$V,$R89,Data!$U:$U,11))</f>
        <v/>
      </c>
      <c r="AE89">
        <f>IF(COUNTIFS(Data!$V:$V,$R89,Data!$U:$U,12,Data!$N:$N,"&lt;&gt;")=0,"",SUMIFS(Data!$N:$N,Data!$V:$V,$R89,Data!$U:$U,12))</f>
        <v/>
      </c>
      <c r="AF89">
        <f>IF(COUNTIFS(Data!$V:$V,$R89,Data!$U:$U,13,Data!$N:$N,"&lt;&gt;")=0,"",SUMIFS(Data!$N:$N,Data!$V:$V,$R89,Data!$U:$U,13))</f>
        <v/>
      </c>
      <c r="AG89">
        <f>IF(COUNTIFS(Data!$V:$V,$R89,Data!$U:$U,14,Data!$N:$N,"&lt;&gt;")=0,"",SUMIFS(Data!$N:$N,Data!$V:$V,$R89,Data!$U:$U,14))</f>
        <v/>
      </c>
      <c r="AH89">
        <f>COUNTIFS(Data!$V:$V,$R89,Data!$U:$U,"&lt;="&amp;14,Data!$N:$N,"&lt;&gt;")</f>
        <v/>
      </c>
      <c r="AI89">
        <f>COUNTIFS(Data!$V:$V,$R89,Data!$U:$U,"&lt;="&amp;14,Data!$N:$N,0)</f>
        <v/>
      </c>
      <c r="AJ89">
        <f>IF(AH89=0,"",AH89-AI89)</f>
        <v/>
      </c>
      <c r="AK89">
        <f>IF(AH89=0,"",SUMIFS(Data!$N:$N,Data!$V:$V,$R89,Data!$U:$U,"&lt;="&amp;14))</f>
        <v/>
      </c>
      <c r="AL89">
        <f>IF(AH89=0,"",IF(ABS(MAX(T89:AG89))&gt;=ABS(MIN(T89:AG89)),MAX(T89:AG89),MIN(T89:AG89)))</f>
        <v/>
      </c>
      <c r="AM89">
        <f>IF(AH89=0,-1,AJ89*100000+MIN(ABS(AK89),99999))</f>
        <v/>
      </c>
      <c r="AN89">
        <f>IF($S89="","",1+COUNTIFS($AM$3:$AM$122,"&gt;"&amp;AM89)+COUNTIFS($AM$3:$AM$122,AM89,$R$3:$R$122,"&lt;"&amp;$R89))</f>
        <v/>
      </c>
    </row>
    <row r="90">
      <c r="R90" t="n">
        <v>88</v>
      </c>
      <c r="S90">
        <f>IFERROR(INDEX(Data!$G:$G,MATCH($R90,Data!$V:$V,0)),"")</f>
        <v/>
      </c>
      <c r="T90">
        <f>IF(COUNTIFS(Data!$V:$V,$R90,Data!$U:$U,1,Data!$N:$N,"&lt;&gt;")=0,"",SUMIFS(Data!$N:$N,Data!$V:$V,$R90,Data!$U:$U,1))</f>
        <v/>
      </c>
      <c r="U90">
        <f>IF(COUNTIFS(Data!$V:$V,$R90,Data!$U:$U,2,Data!$N:$N,"&lt;&gt;")=0,"",SUMIFS(Data!$N:$N,Data!$V:$V,$R90,Data!$U:$U,2))</f>
        <v/>
      </c>
      <c r="V90">
        <f>IF(COUNTIFS(Data!$V:$V,$R90,Data!$U:$U,3,Data!$N:$N,"&lt;&gt;")=0,"",SUMIFS(Data!$N:$N,Data!$V:$V,$R90,Data!$U:$U,3))</f>
        <v/>
      </c>
      <c r="W90">
        <f>IF(COUNTIFS(Data!$V:$V,$R90,Data!$U:$U,4,Data!$N:$N,"&lt;&gt;")=0,"",SUMIFS(Data!$N:$N,Data!$V:$V,$R90,Data!$U:$U,4))</f>
        <v/>
      </c>
      <c r="X90">
        <f>IF(COUNTIFS(Data!$V:$V,$R90,Data!$U:$U,5,Data!$N:$N,"&lt;&gt;")=0,"",SUMIFS(Data!$N:$N,Data!$V:$V,$R90,Data!$U:$U,5))</f>
        <v/>
      </c>
      <c r="Y90">
        <f>IF(COUNTIFS(Data!$V:$V,$R90,Data!$U:$U,6,Data!$N:$N,"&lt;&gt;")=0,"",SUMIFS(Data!$N:$N,Data!$V:$V,$R90,Data!$U:$U,6))</f>
        <v/>
      </c>
      <c r="Z90">
        <f>IF(COUNTIFS(Data!$V:$V,$R90,Data!$U:$U,7,Data!$N:$N,"&lt;&gt;")=0,"",SUMIFS(Data!$N:$N,Data!$V:$V,$R90,Data!$U:$U,7))</f>
        <v/>
      </c>
      <c r="AA90">
        <f>IF(COUNTIFS(Data!$V:$V,$R90,Data!$U:$U,8,Data!$N:$N,"&lt;&gt;")=0,"",SUMIFS(Data!$N:$N,Data!$V:$V,$R90,Data!$U:$U,8))</f>
        <v/>
      </c>
      <c r="AB90">
        <f>IF(COUNTIFS(Data!$V:$V,$R90,Data!$U:$U,9,Data!$N:$N,"&lt;&gt;")=0,"",SUMIFS(Data!$N:$N,Data!$V:$V,$R90,Data!$U:$U,9))</f>
        <v/>
      </c>
      <c r="AC90">
        <f>IF(COUNTIFS(Data!$V:$V,$R90,Data!$U:$U,10,Data!$N:$N,"&lt;&gt;")=0,"",SUMIFS(Data!$N:$N,Data!$V:$V,$R90,Data!$U:$U,10))</f>
        <v/>
      </c>
      <c r="AD90">
        <f>IF(COUNTIFS(Data!$V:$V,$R90,Data!$U:$U,11,Data!$N:$N,"&lt;&gt;")=0,"",SUMIFS(Data!$N:$N,Data!$V:$V,$R90,Data!$U:$U,11))</f>
        <v/>
      </c>
      <c r="AE90">
        <f>IF(COUNTIFS(Data!$V:$V,$R90,Data!$U:$U,12,Data!$N:$N,"&lt;&gt;")=0,"",SUMIFS(Data!$N:$N,Data!$V:$V,$R90,Data!$U:$U,12))</f>
        <v/>
      </c>
      <c r="AF90">
        <f>IF(COUNTIFS(Data!$V:$V,$R90,Data!$U:$U,13,Data!$N:$N,"&lt;&gt;")=0,"",SUMIFS(Data!$N:$N,Data!$V:$V,$R90,Data!$U:$U,13))</f>
        <v/>
      </c>
      <c r="AG90">
        <f>IF(COUNTIFS(Data!$V:$V,$R90,Data!$U:$U,14,Data!$N:$N,"&lt;&gt;")=0,"",SUMIFS(Data!$N:$N,Data!$V:$V,$R90,Data!$U:$U,14))</f>
        <v/>
      </c>
      <c r="AH90">
        <f>COUNTIFS(Data!$V:$V,$R90,Data!$U:$U,"&lt;="&amp;14,Data!$N:$N,"&lt;&gt;")</f>
        <v/>
      </c>
      <c r="AI90">
        <f>COUNTIFS(Data!$V:$V,$R90,Data!$U:$U,"&lt;="&amp;14,Data!$N:$N,0)</f>
        <v/>
      </c>
      <c r="AJ90">
        <f>IF(AH90=0,"",AH90-AI90)</f>
        <v/>
      </c>
      <c r="AK90">
        <f>IF(AH90=0,"",SUMIFS(Data!$N:$N,Data!$V:$V,$R90,Data!$U:$U,"&lt;="&amp;14))</f>
        <v/>
      </c>
      <c r="AL90">
        <f>IF(AH90=0,"",IF(ABS(MAX(T90:AG90))&gt;=ABS(MIN(T90:AG90)),MAX(T90:AG90),MIN(T90:AG90)))</f>
        <v/>
      </c>
      <c r="AM90">
        <f>IF(AH90=0,-1,AJ90*100000+MIN(ABS(AK90),99999))</f>
        <v/>
      </c>
      <c r="AN90">
        <f>IF($S90="","",1+COUNTIFS($AM$3:$AM$122,"&gt;"&amp;AM90)+COUNTIFS($AM$3:$AM$122,AM90,$R$3:$R$122,"&lt;"&amp;$R90))</f>
        <v/>
      </c>
    </row>
    <row r="91">
      <c r="R91" t="n">
        <v>89</v>
      </c>
      <c r="S91">
        <f>IFERROR(INDEX(Data!$G:$G,MATCH($R91,Data!$V:$V,0)),"")</f>
        <v/>
      </c>
      <c r="T91">
        <f>IF(COUNTIFS(Data!$V:$V,$R91,Data!$U:$U,1,Data!$N:$N,"&lt;&gt;")=0,"",SUMIFS(Data!$N:$N,Data!$V:$V,$R91,Data!$U:$U,1))</f>
        <v/>
      </c>
      <c r="U91">
        <f>IF(COUNTIFS(Data!$V:$V,$R91,Data!$U:$U,2,Data!$N:$N,"&lt;&gt;")=0,"",SUMIFS(Data!$N:$N,Data!$V:$V,$R91,Data!$U:$U,2))</f>
        <v/>
      </c>
      <c r="V91">
        <f>IF(COUNTIFS(Data!$V:$V,$R91,Data!$U:$U,3,Data!$N:$N,"&lt;&gt;")=0,"",SUMIFS(Data!$N:$N,Data!$V:$V,$R91,Data!$U:$U,3))</f>
        <v/>
      </c>
      <c r="W91">
        <f>IF(COUNTIFS(Data!$V:$V,$R91,Data!$U:$U,4,Data!$N:$N,"&lt;&gt;")=0,"",SUMIFS(Data!$N:$N,Data!$V:$V,$R91,Data!$U:$U,4))</f>
        <v/>
      </c>
      <c r="X91">
        <f>IF(COUNTIFS(Data!$V:$V,$R91,Data!$U:$U,5,Data!$N:$N,"&lt;&gt;")=0,"",SUMIFS(Data!$N:$N,Data!$V:$V,$R91,Data!$U:$U,5))</f>
        <v/>
      </c>
      <c r="Y91">
        <f>IF(COUNTIFS(Data!$V:$V,$R91,Data!$U:$U,6,Data!$N:$N,"&lt;&gt;")=0,"",SUMIFS(Data!$N:$N,Data!$V:$V,$R91,Data!$U:$U,6))</f>
        <v/>
      </c>
      <c r="Z91">
        <f>IF(COUNTIFS(Data!$V:$V,$R91,Data!$U:$U,7,Data!$N:$N,"&lt;&gt;")=0,"",SUMIFS(Data!$N:$N,Data!$V:$V,$R91,Data!$U:$U,7))</f>
        <v/>
      </c>
      <c r="AA91">
        <f>IF(COUNTIFS(Data!$V:$V,$R91,Data!$U:$U,8,Data!$N:$N,"&lt;&gt;")=0,"",SUMIFS(Data!$N:$N,Data!$V:$V,$R91,Data!$U:$U,8))</f>
        <v/>
      </c>
      <c r="AB91">
        <f>IF(COUNTIFS(Data!$V:$V,$R91,Data!$U:$U,9,Data!$N:$N,"&lt;&gt;")=0,"",SUMIFS(Data!$N:$N,Data!$V:$V,$R91,Data!$U:$U,9))</f>
        <v/>
      </c>
      <c r="AC91">
        <f>IF(COUNTIFS(Data!$V:$V,$R91,Data!$U:$U,10,Data!$N:$N,"&lt;&gt;")=0,"",SUMIFS(Data!$N:$N,Data!$V:$V,$R91,Data!$U:$U,10))</f>
        <v/>
      </c>
      <c r="AD91">
        <f>IF(COUNTIFS(Data!$V:$V,$R91,Data!$U:$U,11,Data!$N:$N,"&lt;&gt;")=0,"",SUMIFS(Data!$N:$N,Data!$V:$V,$R91,Data!$U:$U,11))</f>
        <v/>
      </c>
      <c r="AE91">
        <f>IF(COUNTIFS(Data!$V:$V,$R91,Data!$U:$U,12,Data!$N:$N,"&lt;&gt;")=0,"",SUMIFS(Data!$N:$N,Data!$V:$V,$R91,Data!$U:$U,12))</f>
        <v/>
      </c>
      <c r="AF91">
        <f>IF(COUNTIFS(Data!$V:$V,$R91,Data!$U:$U,13,Data!$N:$N,"&lt;&gt;")=0,"",SUMIFS(Data!$N:$N,Data!$V:$V,$R91,Data!$U:$U,13))</f>
        <v/>
      </c>
      <c r="AG91">
        <f>IF(COUNTIFS(Data!$V:$V,$R91,Data!$U:$U,14,Data!$N:$N,"&lt;&gt;")=0,"",SUMIFS(Data!$N:$N,Data!$V:$V,$R91,Data!$U:$U,14))</f>
        <v/>
      </c>
      <c r="AH91">
        <f>COUNTIFS(Data!$V:$V,$R91,Data!$U:$U,"&lt;="&amp;14,Data!$N:$N,"&lt;&gt;")</f>
        <v/>
      </c>
      <c r="AI91">
        <f>COUNTIFS(Data!$V:$V,$R91,Data!$U:$U,"&lt;="&amp;14,Data!$N:$N,0)</f>
        <v/>
      </c>
      <c r="AJ91">
        <f>IF(AH91=0,"",AH91-AI91)</f>
        <v/>
      </c>
      <c r="AK91">
        <f>IF(AH91=0,"",SUMIFS(Data!$N:$N,Data!$V:$V,$R91,Data!$U:$U,"&lt;="&amp;14))</f>
        <v/>
      </c>
      <c r="AL91">
        <f>IF(AH91=0,"",IF(ABS(MAX(T91:AG91))&gt;=ABS(MIN(T91:AG91)),MAX(T91:AG91),MIN(T91:AG91)))</f>
        <v/>
      </c>
      <c r="AM91">
        <f>IF(AH91=0,-1,AJ91*100000+MIN(ABS(AK91),99999))</f>
        <v/>
      </c>
      <c r="AN91">
        <f>IF($S91="","",1+COUNTIFS($AM$3:$AM$122,"&gt;"&amp;AM91)+COUNTIFS($AM$3:$AM$122,AM91,$R$3:$R$122,"&lt;"&amp;$R91))</f>
        <v/>
      </c>
    </row>
    <row r="92">
      <c r="R92" t="n">
        <v>90</v>
      </c>
      <c r="S92">
        <f>IFERROR(INDEX(Data!$G:$G,MATCH($R92,Data!$V:$V,0)),"")</f>
        <v/>
      </c>
      <c r="T92">
        <f>IF(COUNTIFS(Data!$V:$V,$R92,Data!$U:$U,1,Data!$N:$N,"&lt;&gt;")=0,"",SUMIFS(Data!$N:$N,Data!$V:$V,$R92,Data!$U:$U,1))</f>
        <v/>
      </c>
      <c r="U92">
        <f>IF(COUNTIFS(Data!$V:$V,$R92,Data!$U:$U,2,Data!$N:$N,"&lt;&gt;")=0,"",SUMIFS(Data!$N:$N,Data!$V:$V,$R92,Data!$U:$U,2))</f>
        <v/>
      </c>
      <c r="V92">
        <f>IF(COUNTIFS(Data!$V:$V,$R92,Data!$U:$U,3,Data!$N:$N,"&lt;&gt;")=0,"",SUMIFS(Data!$N:$N,Data!$V:$V,$R92,Data!$U:$U,3))</f>
        <v/>
      </c>
      <c r="W92">
        <f>IF(COUNTIFS(Data!$V:$V,$R92,Data!$U:$U,4,Data!$N:$N,"&lt;&gt;")=0,"",SUMIFS(Data!$N:$N,Data!$V:$V,$R92,Data!$U:$U,4))</f>
        <v/>
      </c>
      <c r="X92">
        <f>IF(COUNTIFS(Data!$V:$V,$R92,Data!$U:$U,5,Data!$N:$N,"&lt;&gt;")=0,"",SUMIFS(Data!$N:$N,Data!$V:$V,$R92,Data!$U:$U,5))</f>
        <v/>
      </c>
      <c r="Y92">
        <f>IF(COUNTIFS(Data!$V:$V,$R92,Data!$U:$U,6,Data!$N:$N,"&lt;&gt;")=0,"",SUMIFS(Data!$N:$N,Data!$V:$V,$R92,Data!$U:$U,6))</f>
        <v/>
      </c>
      <c r="Z92">
        <f>IF(COUNTIFS(Data!$V:$V,$R92,Data!$U:$U,7,Data!$N:$N,"&lt;&gt;")=0,"",SUMIFS(Data!$N:$N,Data!$V:$V,$R92,Data!$U:$U,7))</f>
        <v/>
      </c>
      <c r="AA92">
        <f>IF(COUNTIFS(Data!$V:$V,$R92,Data!$U:$U,8,Data!$N:$N,"&lt;&gt;")=0,"",SUMIFS(Data!$N:$N,Data!$V:$V,$R92,Data!$U:$U,8))</f>
        <v/>
      </c>
      <c r="AB92">
        <f>IF(COUNTIFS(Data!$V:$V,$R92,Data!$U:$U,9,Data!$N:$N,"&lt;&gt;")=0,"",SUMIFS(Data!$N:$N,Data!$V:$V,$R92,Data!$U:$U,9))</f>
        <v/>
      </c>
      <c r="AC92">
        <f>IF(COUNTIFS(Data!$V:$V,$R92,Data!$U:$U,10,Data!$N:$N,"&lt;&gt;")=0,"",SUMIFS(Data!$N:$N,Data!$V:$V,$R92,Data!$U:$U,10))</f>
        <v/>
      </c>
      <c r="AD92">
        <f>IF(COUNTIFS(Data!$V:$V,$R92,Data!$U:$U,11,Data!$N:$N,"&lt;&gt;")=0,"",SUMIFS(Data!$N:$N,Data!$V:$V,$R92,Data!$U:$U,11))</f>
        <v/>
      </c>
      <c r="AE92">
        <f>IF(COUNTIFS(Data!$V:$V,$R92,Data!$U:$U,12,Data!$N:$N,"&lt;&gt;")=0,"",SUMIFS(Data!$N:$N,Data!$V:$V,$R92,Data!$U:$U,12))</f>
        <v/>
      </c>
      <c r="AF92">
        <f>IF(COUNTIFS(Data!$V:$V,$R92,Data!$U:$U,13,Data!$N:$N,"&lt;&gt;")=0,"",SUMIFS(Data!$N:$N,Data!$V:$V,$R92,Data!$U:$U,13))</f>
        <v/>
      </c>
      <c r="AG92">
        <f>IF(COUNTIFS(Data!$V:$V,$R92,Data!$U:$U,14,Data!$N:$N,"&lt;&gt;")=0,"",SUMIFS(Data!$N:$N,Data!$V:$V,$R92,Data!$U:$U,14))</f>
        <v/>
      </c>
      <c r="AH92">
        <f>COUNTIFS(Data!$V:$V,$R92,Data!$U:$U,"&lt;="&amp;14,Data!$N:$N,"&lt;&gt;")</f>
        <v/>
      </c>
      <c r="AI92">
        <f>COUNTIFS(Data!$V:$V,$R92,Data!$U:$U,"&lt;="&amp;14,Data!$N:$N,0)</f>
        <v/>
      </c>
      <c r="AJ92">
        <f>IF(AH92=0,"",AH92-AI92)</f>
        <v/>
      </c>
      <c r="AK92">
        <f>IF(AH92=0,"",SUMIFS(Data!$N:$N,Data!$V:$V,$R92,Data!$U:$U,"&lt;="&amp;14))</f>
        <v/>
      </c>
      <c r="AL92">
        <f>IF(AH92=0,"",IF(ABS(MAX(T92:AG92))&gt;=ABS(MIN(T92:AG92)),MAX(T92:AG92),MIN(T92:AG92)))</f>
        <v/>
      </c>
      <c r="AM92">
        <f>IF(AH92=0,-1,AJ92*100000+MIN(ABS(AK92),99999))</f>
        <v/>
      </c>
      <c r="AN92">
        <f>IF($S92="","",1+COUNTIFS($AM$3:$AM$122,"&gt;"&amp;AM92)+COUNTIFS($AM$3:$AM$122,AM92,$R$3:$R$122,"&lt;"&amp;$R92))</f>
        <v/>
      </c>
    </row>
    <row r="93">
      <c r="R93" t="n">
        <v>91</v>
      </c>
      <c r="S93">
        <f>IFERROR(INDEX(Data!$G:$G,MATCH($R93,Data!$V:$V,0)),"")</f>
        <v/>
      </c>
      <c r="T93">
        <f>IF(COUNTIFS(Data!$V:$V,$R93,Data!$U:$U,1,Data!$N:$N,"&lt;&gt;")=0,"",SUMIFS(Data!$N:$N,Data!$V:$V,$R93,Data!$U:$U,1))</f>
        <v/>
      </c>
      <c r="U93">
        <f>IF(COUNTIFS(Data!$V:$V,$R93,Data!$U:$U,2,Data!$N:$N,"&lt;&gt;")=0,"",SUMIFS(Data!$N:$N,Data!$V:$V,$R93,Data!$U:$U,2))</f>
        <v/>
      </c>
      <c r="V93">
        <f>IF(COUNTIFS(Data!$V:$V,$R93,Data!$U:$U,3,Data!$N:$N,"&lt;&gt;")=0,"",SUMIFS(Data!$N:$N,Data!$V:$V,$R93,Data!$U:$U,3))</f>
        <v/>
      </c>
      <c r="W93">
        <f>IF(COUNTIFS(Data!$V:$V,$R93,Data!$U:$U,4,Data!$N:$N,"&lt;&gt;")=0,"",SUMIFS(Data!$N:$N,Data!$V:$V,$R93,Data!$U:$U,4))</f>
        <v/>
      </c>
      <c r="X93">
        <f>IF(COUNTIFS(Data!$V:$V,$R93,Data!$U:$U,5,Data!$N:$N,"&lt;&gt;")=0,"",SUMIFS(Data!$N:$N,Data!$V:$V,$R93,Data!$U:$U,5))</f>
        <v/>
      </c>
      <c r="Y93">
        <f>IF(COUNTIFS(Data!$V:$V,$R93,Data!$U:$U,6,Data!$N:$N,"&lt;&gt;")=0,"",SUMIFS(Data!$N:$N,Data!$V:$V,$R93,Data!$U:$U,6))</f>
        <v/>
      </c>
      <c r="Z93">
        <f>IF(COUNTIFS(Data!$V:$V,$R93,Data!$U:$U,7,Data!$N:$N,"&lt;&gt;")=0,"",SUMIFS(Data!$N:$N,Data!$V:$V,$R93,Data!$U:$U,7))</f>
        <v/>
      </c>
      <c r="AA93">
        <f>IF(COUNTIFS(Data!$V:$V,$R93,Data!$U:$U,8,Data!$N:$N,"&lt;&gt;")=0,"",SUMIFS(Data!$N:$N,Data!$V:$V,$R93,Data!$U:$U,8))</f>
        <v/>
      </c>
      <c r="AB93">
        <f>IF(COUNTIFS(Data!$V:$V,$R93,Data!$U:$U,9,Data!$N:$N,"&lt;&gt;")=0,"",SUMIFS(Data!$N:$N,Data!$V:$V,$R93,Data!$U:$U,9))</f>
        <v/>
      </c>
      <c r="AC93">
        <f>IF(COUNTIFS(Data!$V:$V,$R93,Data!$U:$U,10,Data!$N:$N,"&lt;&gt;")=0,"",SUMIFS(Data!$N:$N,Data!$V:$V,$R93,Data!$U:$U,10))</f>
        <v/>
      </c>
      <c r="AD93">
        <f>IF(COUNTIFS(Data!$V:$V,$R93,Data!$U:$U,11,Data!$N:$N,"&lt;&gt;")=0,"",SUMIFS(Data!$N:$N,Data!$V:$V,$R93,Data!$U:$U,11))</f>
        <v/>
      </c>
      <c r="AE93">
        <f>IF(COUNTIFS(Data!$V:$V,$R93,Data!$U:$U,12,Data!$N:$N,"&lt;&gt;")=0,"",SUMIFS(Data!$N:$N,Data!$V:$V,$R93,Data!$U:$U,12))</f>
        <v/>
      </c>
      <c r="AF93">
        <f>IF(COUNTIFS(Data!$V:$V,$R93,Data!$U:$U,13,Data!$N:$N,"&lt;&gt;")=0,"",SUMIFS(Data!$N:$N,Data!$V:$V,$R93,Data!$U:$U,13))</f>
        <v/>
      </c>
      <c r="AG93">
        <f>IF(COUNTIFS(Data!$V:$V,$R93,Data!$U:$U,14,Data!$N:$N,"&lt;&gt;")=0,"",SUMIFS(Data!$N:$N,Data!$V:$V,$R93,Data!$U:$U,14))</f>
        <v/>
      </c>
      <c r="AH93">
        <f>COUNTIFS(Data!$V:$V,$R93,Data!$U:$U,"&lt;="&amp;14,Data!$N:$N,"&lt;&gt;")</f>
        <v/>
      </c>
      <c r="AI93">
        <f>COUNTIFS(Data!$V:$V,$R93,Data!$U:$U,"&lt;="&amp;14,Data!$N:$N,0)</f>
        <v/>
      </c>
      <c r="AJ93">
        <f>IF(AH93=0,"",AH93-AI93)</f>
        <v/>
      </c>
      <c r="AK93">
        <f>IF(AH93=0,"",SUMIFS(Data!$N:$N,Data!$V:$V,$R93,Data!$U:$U,"&lt;="&amp;14))</f>
        <v/>
      </c>
      <c r="AL93">
        <f>IF(AH93=0,"",IF(ABS(MAX(T93:AG93))&gt;=ABS(MIN(T93:AG93)),MAX(T93:AG93),MIN(T93:AG93)))</f>
        <v/>
      </c>
      <c r="AM93">
        <f>IF(AH93=0,-1,AJ93*100000+MIN(ABS(AK93),99999))</f>
        <v/>
      </c>
      <c r="AN93">
        <f>IF($S93="","",1+COUNTIFS($AM$3:$AM$122,"&gt;"&amp;AM93)+COUNTIFS($AM$3:$AM$122,AM93,$R$3:$R$122,"&lt;"&amp;$R93))</f>
        <v/>
      </c>
    </row>
    <row r="94">
      <c r="R94" t="n">
        <v>92</v>
      </c>
      <c r="S94">
        <f>IFERROR(INDEX(Data!$G:$G,MATCH($R94,Data!$V:$V,0)),"")</f>
        <v/>
      </c>
      <c r="T94">
        <f>IF(COUNTIFS(Data!$V:$V,$R94,Data!$U:$U,1,Data!$N:$N,"&lt;&gt;")=0,"",SUMIFS(Data!$N:$N,Data!$V:$V,$R94,Data!$U:$U,1))</f>
        <v/>
      </c>
      <c r="U94">
        <f>IF(COUNTIFS(Data!$V:$V,$R94,Data!$U:$U,2,Data!$N:$N,"&lt;&gt;")=0,"",SUMIFS(Data!$N:$N,Data!$V:$V,$R94,Data!$U:$U,2))</f>
        <v/>
      </c>
      <c r="V94">
        <f>IF(COUNTIFS(Data!$V:$V,$R94,Data!$U:$U,3,Data!$N:$N,"&lt;&gt;")=0,"",SUMIFS(Data!$N:$N,Data!$V:$V,$R94,Data!$U:$U,3))</f>
        <v/>
      </c>
      <c r="W94">
        <f>IF(COUNTIFS(Data!$V:$V,$R94,Data!$U:$U,4,Data!$N:$N,"&lt;&gt;")=0,"",SUMIFS(Data!$N:$N,Data!$V:$V,$R94,Data!$U:$U,4))</f>
        <v/>
      </c>
      <c r="X94">
        <f>IF(COUNTIFS(Data!$V:$V,$R94,Data!$U:$U,5,Data!$N:$N,"&lt;&gt;")=0,"",SUMIFS(Data!$N:$N,Data!$V:$V,$R94,Data!$U:$U,5))</f>
        <v/>
      </c>
      <c r="Y94">
        <f>IF(COUNTIFS(Data!$V:$V,$R94,Data!$U:$U,6,Data!$N:$N,"&lt;&gt;")=0,"",SUMIFS(Data!$N:$N,Data!$V:$V,$R94,Data!$U:$U,6))</f>
        <v/>
      </c>
      <c r="Z94">
        <f>IF(COUNTIFS(Data!$V:$V,$R94,Data!$U:$U,7,Data!$N:$N,"&lt;&gt;")=0,"",SUMIFS(Data!$N:$N,Data!$V:$V,$R94,Data!$U:$U,7))</f>
        <v/>
      </c>
      <c r="AA94">
        <f>IF(COUNTIFS(Data!$V:$V,$R94,Data!$U:$U,8,Data!$N:$N,"&lt;&gt;")=0,"",SUMIFS(Data!$N:$N,Data!$V:$V,$R94,Data!$U:$U,8))</f>
        <v/>
      </c>
      <c r="AB94">
        <f>IF(COUNTIFS(Data!$V:$V,$R94,Data!$U:$U,9,Data!$N:$N,"&lt;&gt;")=0,"",SUMIFS(Data!$N:$N,Data!$V:$V,$R94,Data!$U:$U,9))</f>
        <v/>
      </c>
      <c r="AC94">
        <f>IF(COUNTIFS(Data!$V:$V,$R94,Data!$U:$U,10,Data!$N:$N,"&lt;&gt;")=0,"",SUMIFS(Data!$N:$N,Data!$V:$V,$R94,Data!$U:$U,10))</f>
        <v/>
      </c>
      <c r="AD94">
        <f>IF(COUNTIFS(Data!$V:$V,$R94,Data!$U:$U,11,Data!$N:$N,"&lt;&gt;")=0,"",SUMIFS(Data!$N:$N,Data!$V:$V,$R94,Data!$U:$U,11))</f>
        <v/>
      </c>
      <c r="AE94">
        <f>IF(COUNTIFS(Data!$V:$V,$R94,Data!$U:$U,12,Data!$N:$N,"&lt;&gt;")=0,"",SUMIFS(Data!$N:$N,Data!$V:$V,$R94,Data!$U:$U,12))</f>
        <v/>
      </c>
      <c r="AF94">
        <f>IF(COUNTIFS(Data!$V:$V,$R94,Data!$U:$U,13,Data!$N:$N,"&lt;&gt;")=0,"",SUMIFS(Data!$N:$N,Data!$V:$V,$R94,Data!$U:$U,13))</f>
        <v/>
      </c>
      <c r="AG94">
        <f>IF(COUNTIFS(Data!$V:$V,$R94,Data!$U:$U,14,Data!$N:$N,"&lt;&gt;")=0,"",SUMIFS(Data!$N:$N,Data!$V:$V,$R94,Data!$U:$U,14))</f>
        <v/>
      </c>
      <c r="AH94">
        <f>COUNTIFS(Data!$V:$V,$R94,Data!$U:$U,"&lt;="&amp;14,Data!$N:$N,"&lt;&gt;")</f>
        <v/>
      </c>
      <c r="AI94">
        <f>COUNTIFS(Data!$V:$V,$R94,Data!$U:$U,"&lt;="&amp;14,Data!$N:$N,0)</f>
        <v/>
      </c>
      <c r="AJ94">
        <f>IF(AH94=0,"",AH94-AI94)</f>
        <v/>
      </c>
      <c r="AK94">
        <f>IF(AH94=0,"",SUMIFS(Data!$N:$N,Data!$V:$V,$R94,Data!$U:$U,"&lt;="&amp;14))</f>
        <v/>
      </c>
      <c r="AL94">
        <f>IF(AH94=0,"",IF(ABS(MAX(T94:AG94))&gt;=ABS(MIN(T94:AG94)),MAX(T94:AG94),MIN(T94:AG94)))</f>
        <v/>
      </c>
      <c r="AM94">
        <f>IF(AH94=0,-1,AJ94*100000+MIN(ABS(AK94),99999))</f>
        <v/>
      </c>
      <c r="AN94">
        <f>IF($S94="","",1+COUNTIFS($AM$3:$AM$122,"&gt;"&amp;AM94)+COUNTIFS($AM$3:$AM$122,AM94,$R$3:$R$122,"&lt;"&amp;$R94))</f>
        <v/>
      </c>
    </row>
    <row r="95">
      <c r="R95" t="n">
        <v>93</v>
      </c>
      <c r="S95">
        <f>IFERROR(INDEX(Data!$G:$G,MATCH($R95,Data!$V:$V,0)),"")</f>
        <v/>
      </c>
      <c r="T95">
        <f>IF(COUNTIFS(Data!$V:$V,$R95,Data!$U:$U,1,Data!$N:$N,"&lt;&gt;")=0,"",SUMIFS(Data!$N:$N,Data!$V:$V,$R95,Data!$U:$U,1))</f>
        <v/>
      </c>
      <c r="U95">
        <f>IF(COUNTIFS(Data!$V:$V,$R95,Data!$U:$U,2,Data!$N:$N,"&lt;&gt;")=0,"",SUMIFS(Data!$N:$N,Data!$V:$V,$R95,Data!$U:$U,2))</f>
        <v/>
      </c>
      <c r="V95">
        <f>IF(COUNTIFS(Data!$V:$V,$R95,Data!$U:$U,3,Data!$N:$N,"&lt;&gt;")=0,"",SUMIFS(Data!$N:$N,Data!$V:$V,$R95,Data!$U:$U,3))</f>
        <v/>
      </c>
      <c r="W95">
        <f>IF(COUNTIFS(Data!$V:$V,$R95,Data!$U:$U,4,Data!$N:$N,"&lt;&gt;")=0,"",SUMIFS(Data!$N:$N,Data!$V:$V,$R95,Data!$U:$U,4))</f>
        <v/>
      </c>
      <c r="X95">
        <f>IF(COUNTIFS(Data!$V:$V,$R95,Data!$U:$U,5,Data!$N:$N,"&lt;&gt;")=0,"",SUMIFS(Data!$N:$N,Data!$V:$V,$R95,Data!$U:$U,5))</f>
        <v/>
      </c>
      <c r="Y95">
        <f>IF(COUNTIFS(Data!$V:$V,$R95,Data!$U:$U,6,Data!$N:$N,"&lt;&gt;")=0,"",SUMIFS(Data!$N:$N,Data!$V:$V,$R95,Data!$U:$U,6))</f>
        <v/>
      </c>
      <c r="Z95">
        <f>IF(COUNTIFS(Data!$V:$V,$R95,Data!$U:$U,7,Data!$N:$N,"&lt;&gt;")=0,"",SUMIFS(Data!$N:$N,Data!$V:$V,$R95,Data!$U:$U,7))</f>
        <v/>
      </c>
      <c r="AA95">
        <f>IF(COUNTIFS(Data!$V:$V,$R95,Data!$U:$U,8,Data!$N:$N,"&lt;&gt;")=0,"",SUMIFS(Data!$N:$N,Data!$V:$V,$R95,Data!$U:$U,8))</f>
        <v/>
      </c>
      <c r="AB95">
        <f>IF(COUNTIFS(Data!$V:$V,$R95,Data!$U:$U,9,Data!$N:$N,"&lt;&gt;")=0,"",SUMIFS(Data!$N:$N,Data!$V:$V,$R95,Data!$U:$U,9))</f>
        <v/>
      </c>
      <c r="AC95">
        <f>IF(COUNTIFS(Data!$V:$V,$R95,Data!$U:$U,10,Data!$N:$N,"&lt;&gt;")=0,"",SUMIFS(Data!$N:$N,Data!$V:$V,$R95,Data!$U:$U,10))</f>
        <v/>
      </c>
      <c r="AD95">
        <f>IF(COUNTIFS(Data!$V:$V,$R95,Data!$U:$U,11,Data!$N:$N,"&lt;&gt;")=0,"",SUMIFS(Data!$N:$N,Data!$V:$V,$R95,Data!$U:$U,11))</f>
        <v/>
      </c>
      <c r="AE95">
        <f>IF(COUNTIFS(Data!$V:$V,$R95,Data!$U:$U,12,Data!$N:$N,"&lt;&gt;")=0,"",SUMIFS(Data!$N:$N,Data!$V:$V,$R95,Data!$U:$U,12))</f>
        <v/>
      </c>
      <c r="AF95">
        <f>IF(COUNTIFS(Data!$V:$V,$R95,Data!$U:$U,13,Data!$N:$N,"&lt;&gt;")=0,"",SUMIFS(Data!$N:$N,Data!$V:$V,$R95,Data!$U:$U,13))</f>
        <v/>
      </c>
      <c r="AG95">
        <f>IF(COUNTIFS(Data!$V:$V,$R95,Data!$U:$U,14,Data!$N:$N,"&lt;&gt;")=0,"",SUMIFS(Data!$N:$N,Data!$V:$V,$R95,Data!$U:$U,14))</f>
        <v/>
      </c>
      <c r="AH95">
        <f>COUNTIFS(Data!$V:$V,$R95,Data!$U:$U,"&lt;="&amp;14,Data!$N:$N,"&lt;&gt;")</f>
        <v/>
      </c>
      <c r="AI95">
        <f>COUNTIFS(Data!$V:$V,$R95,Data!$U:$U,"&lt;="&amp;14,Data!$N:$N,0)</f>
        <v/>
      </c>
      <c r="AJ95">
        <f>IF(AH95=0,"",AH95-AI95)</f>
        <v/>
      </c>
      <c r="AK95">
        <f>IF(AH95=0,"",SUMIFS(Data!$N:$N,Data!$V:$V,$R95,Data!$U:$U,"&lt;="&amp;14))</f>
        <v/>
      </c>
      <c r="AL95">
        <f>IF(AH95=0,"",IF(ABS(MAX(T95:AG95))&gt;=ABS(MIN(T95:AG95)),MAX(T95:AG95),MIN(T95:AG95)))</f>
        <v/>
      </c>
      <c r="AM95">
        <f>IF(AH95=0,-1,AJ95*100000+MIN(ABS(AK95),99999))</f>
        <v/>
      </c>
      <c r="AN95">
        <f>IF($S95="","",1+COUNTIFS($AM$3:$AM$122,"&gt;"&amp;AM95)+COUNTIFS($AM$3:$AM$122,AM95,$R$3:$R$122,"&lt;"&amp;$R95))</f>
        <v/>
      </c>
    </row>
    <row r="96">
      <c r="R96" t="n">
        <v>94</v>
      </c>
      <c r="S96">
        <f>IFERROR(INDEX(Data!$G:$G,MATCH($R96,Data!$V:$V,0)),"")</f>
        <v/>
      </c>
      <c r="T96">
        <f>IF(COUNTIFS(Data!$V:$V,$R96,Data!$U:$U,1,Data!$N:$N,"&lt;&gt;")=0,"",SUMIFS(Data!$N:$N,Data!$V:$V,$R96,Data!$U:$U,1))</f>
        <v/>
      </c>
      <c r="U96">
        <f>IF(COUNTIFS(Data!$V:$V,$R96,Data!$U:$U,2,Data!$N:$N,"&lt;&gt;")=0,"",SUMIFS(Data!$N:$N,Data!$V:$V,$R96,Data!$U:$U,2))</f>
        <v/>
      </c>
      <c r="V96">
        <f>IF(COUNTIFS(Data!$V:$V,$R96,Data!$U:$U,3,Data!$N:$N,"&lt;&gt;")=0,"",SUMIFS(Data!$N:$N,Data!$V:$V,$R96,Data!$U:$U,3))</f>
        <v/>
      </c>
      <c r="W96">
        <f>IF(COUNTIFS(Data!$V:$V,$R96,Data!$U:$U,4,Data!$N:$N,"&lt;&gt;")=0,"",SUMIFS(Data!$N:$N,Data!$V:$V,$R96,Data!$U:$U,4))</f>
        <v/>
      </c>
      <c r="X96">
        <f>IF(COUNTIFS(Data!$V:$V,$R96,Data!$U:$U,5,Data!$N:$N,"&lt;&gt;")=0,"",SUMIFS(Data!$N:$N,Data!$V:$V,$R96,Data!$U:$U,5))</f>
        <v/>
      </c>
      <c r="Y96">
        <f>IF(COUNTIFS(Data!$V:$V,$R96,Data!$U:$U,6,Data!$N:$N,"&lt;&gt;")=0,"",SUMIFS(Data!$N:$N,Data!$V:$V,$R96,Data!$U:$U,6))</f>
        <v/>
      </c>
      <c r="Z96">
        <f>IF(COUNTIFS(Data!$V:$V,$R96,Data!$U:$U,7,Data!$N:$N,"&lt;&gt;")=0,"",SUMIFS(Data!$N:$N,Data!$V:$V,$R96,Data!$U:$U,7))</f>
        <v/>
      </c>
      <c r="AA96">
        <f>IF(COUNTIFS(Data!$V:$V,$R96,Data!$U:$U,8,Data!$N:$N,"&lt;&gt;")=0,"",SUMIFS(Data!$N:$N,Data!$V:$V,$R96,Data!$U:$U,8))</f>
        <v/>
      </c>
      <c r="AB96">
        <f>IF(COUNTIFS(Data!$V:$V,$R96,Data!$U:$U,9,Data!$N:$N,"&lt;&gt;")=0,"",SUMIFS(Data!$N:$N,Data!$V:$V,$R96,Data!$U:$U,9))</f>
        <v/>
      </c>
      <c r="AC96">
        <f>IF(COUNTIFS(Data!$V:$V,$R96,Data!$U:$U,10,Data!$N:$N,"&lt;&gt;")=0,"",SUMIFS(Data!$N:$N,Data!$V:$V,$R96,Data!$U:$U,10))</f>
        <v/>
      </c>
      <c r="AD96">
        <f>IF(COUNTIFS(Data!$V:$V,$R96,Data!$U:$U,11,Data!$N:$N,"&lt;&gt;")=0,"",SUMIFS(Data!$N:$N,Data!$V:$V,$R96,Data!$U:$U,11))</f>
        <v/>
      </c>
      <c r="AE96">
        <f>IF(COUNTIFS(Data!$V:$V,$R96,Data!$U:$U,12,Data!$N:$N,"&lt;&gt;")=0,"",SUMIFS(Data!$N:$N,Data!$V:$V,$R96,Data!$U:$U,12))</f>
        <v/>
      </c>
      <c r="AF96">
        <f>IF(COUNTIFS(Data!$V:$V,$R96,Data!$U:$U,13,Data!$N:$N,"&lt;&gt;")=0,"",SUMIFS(Data!$N:$N,Data!$V:$V,$R96,Data!$U:$U,13))</f>
        <v/>
      </c>
      <c r="AG96">
        <f>IF(COUNTIFS(Data!$V:$V,$R96,Data!$U:$U,14,Data!$N:$N,"&lt;&gt;")=0,"",SUMIFS(Data!$N:$N,Data!$V:$V,$R96,Data!$U:$U,14))</f>
        <v/>
      </c>
      <c r="AH96">
        <f>COUNTIFS(Data!$V:$V,$R96,Data!$U:$U,"&lt;="&amp;14,Data!$N:$N,"&lt;&gt;")</f>
        <v/>
      </c>
      <c r="AI96">
        <f>COUNTIFS(Data!$V:$V,$R96,Data!$U:$U,"&lt;="&amp;14,Data!$N:$N,0)</f>
        <v/>
      </c>
      <c r="AJ96">
        <f>IF(AH96=0,"",AH96-AI96)</f>
        <v/>
      </c>
      <c r="AK96">
        <f>IF(AH96=0,"",SUMIFS(Data!$N:$N,Data!$V:$V,$R96,Data!$U:$U,"&lt;="&amp;14))</f>
        <v/>
      </c>
      <c r="AL96">
        <f>IF(AH96=0,"",IF(ABS(MAX(T96:AG96))&gt;=ABS(MIN(T96:AG96)),MAX(T96:AG96),MIN(T96:AG96)))</f>
        <v/>
      </c>
      <c r="AM96">
        <f>IF(AH96=0,-1,AJ96*100000+MIN(ABS(AK96),99999))</f>
        <v/>
      </c>
      <c r="AN96">
        <f>IF($S96="","",1+COUNTIFS($AM$3:$AM$122,"&gt;"&amp;AM96)+COUNTIFS($AM$3:$AM$122,AM96,$R$3:$R$122,"&lt;"&amp;$R96))</f>
        <v/>
      </c>
    </row>
    <row r="97">
      <c r="R97" t="n">
        <v>95</v>
      </c>
      <c r="S97">
        <f>IFERROR(INDEX(Data!$G:$G,MATCH($R97,Data!$V:$V,0)),"")</f>
        <v/>
      </c>
      <c r="T97">
        <f>IF(COUNTIFS(Data!$V:$V,$R97,Data!$U:$U,1,Data!$N:$N,"&lt;&gt;")=0,"",SUMIFS(Data!$N:$N,Data!$V:$V,$R97,Data!$U:$U,1))</f>
        <v/>
      </c>
      <c r="U97">
        <f>IF(COUNTIFS(Data!$V:$V,$R97,Data!$U:$U,2,Data!$N:$N,"&lt;&gt;")=0,"",SUMIFS(Data!$N:$N,Data!$V:$V,$R97,Data!$U:$U,2))</f>
        <v/>
      </c>
      <c r="V97">
        <f>IF(COUNTIFS(Data!$V:$V,$R97,Data!$U:$U,3,Data!$N:$N,"&lt;&gt;")=0,"",SUMIFS(Data!$N:$N,Data!$V:$V,$R97,Data!$U:$U,3))</f>
        <v/>
      </c>
      <c r="W97">
        <f>IF(COUNTIFS(Data!$V:$V,$R97,Data!$U:$U,4,Data!$N:$N,"&lt;&gt;")=0,"",SUMIFS(Data!$N:$N,Data!$V:$V,$R97,Data!$U:$U,4))</f>
        <v/>
      </c>
      <c r="X97">
        <f>IF(COUNTIFS(Data!$V:$V,$R97,Data!$U:$U,5,Data!$N:$N,"&lt;&gt;")=0,"",SUMIFS(Data!$N:$N,Data!$V:$V,$R97,Data!$U:$U,5))</f>
        <v/>
      </c>
      <c r="Y97">
        <f>IF(COUNTIFS(Data!$V:$V,$R97,Data!$U:$U,6,Data!$N:$N,"&lt;&gt;")=0,"",SUMIFS(Data!$N:$N,Data!$V:$V,$R97,Data!$U:$U,6))</f>
        <v/>
      </c>
      <c r="Z97">
        <f>IF(COUNTIFS(Data!$V:$V,$R97,Data!$U:$U,7,Data!$N:$N,"&lt;&gt;")=0,"",SUMIFS(Data!$N:$N,Data!$V:$V,$R97,Data!$U:$U,7))</f>
        <v/>
      </c>
      <c r="AA97">
        <f>IF(COUNTIFS(Data!$V:$V,$R97,Data!$U:$U,8,Data!$N:$N,"&lt;&gt;")=0,"",SUMIFS(Data!$N:$N,Data!$V:$V,$R97,Data!$U:$U,8))</f>
        <v/>
      </c>
      <c r="AB97">
        <f>IF(COUNTIFS(Data!$V:$V,$R97,Data!$U:$U,9,Data!$N:$N,"&lt;&gt;")=0,"",SUMIFS(Data!$N:$N,Data!$V:$V,$R97,Data!$U:$U,9))</f>
        <v/>
      </c>
      <c r="AC97">
        <f>IF(COUNTIFS(Data!$V:$V,$R97,Data!$U:$U,10,Data!$N:$N,"&lt;&gt;")=0,"",SUMIFS(Data!$N:$N,Data!$V:$V,$R97,Data!$U:$U,10))</f>
        <v/>
      </c>
      <c r="AD97">
        <f>IF(COUNTIFS(Data!$V:$V,$R97,Data!$U:$U,11,Data!$N:$N,"&lt;&gt;")=0,"",SUMIFS(Data!$N:$N,Data!$V:$V,$R97,Data!$U:$U,11))</f>
        <v/>
      </c>
      <c r="AE97">
        <f>IF(COUNTIFS(Data!$V:$V,$R97,Data!$U:$U,12,Data!$N:$N,"&lt;&gt;")=0,"",SUMIFS(Data!$N:$N,Data!$V:$V,$R97,Data!$U:$U,12))</f>
        <v/>
      </c>
      <c r="AF97">
        <f>IF(COUNTIFS(Data!$V:$V,$R97,Data!$U:$U,13,Data!$N:$N,"&lt;&gt;")=0,"",SUMIFS(Data!$N:$N,Data!$V:$V,$R97,Data!$U:$U,13))</f>
        <v/>
      </c>
      <c r="AG97">
        <f>IF(COUNTIFS(Data!$V:$V,$R97,Data!$U:$U,14,Data!$N:$N,"&lt;&gt;")=0,"",SUMIFS(Data!$N:$N,Data!$V:$V,$R97,Data!$U:$U,14))</f>
        <v/>
      </c>
      <c r="AH97">
        <f>COUNTIFS(Data!$V:$V,$R97,Data!$U:$U,"&lt;="&amp;14,Data!$N:$N,"&lt;&gt;")</f>
        <v/>
      </c>
      <c r="AI97">
        <f>COUNTIFS(Data!$V:$V,$R97,Data!$U:$U,"&lt;="&amp;14,Data!$N:$N,0)</f>
        <v/>
      </c>
      <c r="AJ97">
        <f>IF(AH97=0,"",AH97-AI97)</f>
        <v/>
      </c>
      <c r="AK97">
        <f>IF(AH97=0,"",SUMIFS(Data!$N:$N,Data!$V:$V,$R97,Data!$U:$U,"&lt;="&amp;14))</f>
        <v/>
      </c>
      <c r="AL97">
        <f>IF(AH97=0,"",IF(ABS(MAX(T97:AG97))&gt;=ABS(MIN(T97:AG97)),MAX(T97:AG97),MIN(T97:AG97)))</f>
        <v/>
      </c>
      <c r="AM97">
        <f>IF(AH97=0,-1,AJ97*100000+MIN(ABS(AK97),99999))</f>
        <v/>
      </c>
      <c r="AN97">
        <f>IF($S97="","",1+COUNTIFS($AM$3:$AM$122,"&gt;"&amp;AM97)+COUNTIFS($AM$3:$AM$122,AM97,$R$3:$R$122,"&lt;"&amp;$R97))</f>
        <v/>
      </c>
    </row>
    <row r="98">
      <c r="R98" t="n">
        <v>96</v>
      </c>
      <c r="S98">
        <f>IFERROR(INDEX(Data!$G:$G,MATCH($R98,Data!$V:$V,0)),"")</f>
        <v/>
      </c>
      <c r="T98">
        <f>IF(COUNTIFS(Data!$V:$V,$R98,Data!$U:$U,1,Data!$N:$N,"&lt;&gt;")=0,"",SUMIFS(Data!$N:$N,Data!$V:$V,$R98,Data!$U:$U,1))</f>
        <v/>
      </c>
      <c r="U98">
        <f>IF(COUNTIFS(Data!$V:$V,$R98,Data!$U:$U,2,Data!$N:$N,"&lt;&gt;")=0,"",SUMIFS(Data!$N:$N,Data!$V:$V,$R98,Data!$U:$U,2))</f>
        <v/>
      </c>
      <c r="V98">
        <f>IF(COUNTIFS(Data!$V:$V,$R98,Data!$U:$U,3,Data!$N:$N,"&lt;&gt;")=0,"",SUMIFS(Data!$N:$N,Data!$V:$V,$R98,Data!$U:$U,3))</f>
        <v/>
      </c>
      <c r="W98">
        <f>IF(COUNTIFS(Data!$V:$V,$R98,Data!$U:$U,4,Data!$N:$N,"&lt;&gt;")=0,"",SUMIFS(Data!$N:$N,Data!$V:$V,$R98,Data!$U:$U,4))</f>
        <v/>
      </c>
      <c r="X98">
        <f>IF(COUNTIFS(Data!$V:$V,$R98,Data!$U:$U,5,Data!$N:$N,"&lt;&gt;")=0,"",SUMIFS(Data!$N:$N,Data!$V:$V,$R98,Data!$U:$U,5))</f>
        <v/>
      </c>
      <c r="Y98">
        <f>IF(COUNTIFS(Data!$V:$V,$R98,Data!$U:$U,6,Data!$N:$N,"&lt;&gt;")=0,"",SUMIFS(Data!$N:$N,Data!$V:$V,$R98,Data!$U:$U,6))</f>
        <v/>
      </c>
      <c r="Z98">
        <f>IF(COUNTIFS(Data!$V:$V,$R98,Data!$U:$U,7,Data!$N:$N,"&lt;&gt;")=0,"",SUMIFS(Data!$N:$N,Data!$V:$V,$R98,Data!$U:$U,7))</f>
        <v/>
      </c>
      <c r="AA98">
        <f>IF(COUNTIFS(Data!$V:$V,$R98,Data!$U:$U,8,Data!$N:$N,"&lt;&gt;")=0,"",SUMIFS(Data!$N:$N,Data!$V:$V,$R98,Data!$U:$U,8))</f>
        <v/>
      </c>
      <c r="AB98">
        <f>IF(COUNTIFS(Data!$V:$V,$R98,Data!$U:$U,9,Data!$N:$N,"&lt;&gt;")=0,"",SUMIFS(Data!$N:$N,Data!$V:$V,$R98,Data!$U:$U,9))</f>
        <v/>
      </c>
      <c r="AC98">
        <f>IF(COUNTIFS(Data!$V:$V,$R98,Data!$U:$U,10,Data!$N:$N,"&lt;&gt;")=0,"",SUMIFS(Data!$N:$N,Data!$V:$V,$R98,Data!$U:$U,10))</f>
        <v/>
      </c>
      <c r="AD98">
        <f>IF(COUNTIFS(Data!$V:$V,$R98,Data!$U:$U,11,Data!$N:$N,"&lt;&gt;")=0,"",SUMIFS(Data!$N:$N,Data!$V:$V,$R98,Data!$U:$U,11))</f>
        <v/>
      </c>
      <c r="AE98">
        <f>IF(COUNTIFS(Data!$V:$V,$R98,Data!$U:$U,12,Data!$N:$N,"&lt;&gt;")=0,"",SUMIFS(Data!$N:$N,Data!$V:$V,$R98,Data!$U:$U,12))</f>
        <v/>
      </c>
      <c r="AF98">
        <f>IF(COUNTIFS(Data!$V:$V,$R98,Data!$U:$U,13,Data!$N:$N,"&lt;&gt;")=0,"",SUMIFS(Data!$N:$N,Data!$V:$V,$R98,Data!$U:$U,13))</f>
        <v/>
      </c>
      <c r="AG98">
        <f>IF(COUNTIFS(Data!$V:$V,$R98,Data!$U:$U,14,Data!$N:$N,"&lt;&gt;")=0,"",SUMIFS(Data!$N:$N,Data!$V:$V,$R98,Data!$U:$U,14))</f>
        <v/>
      </c>
      <c r="AH98">
        <f>COUNTIFS(Data!$V:$V,$R98,Data!$U:$U,"&lt;="&amp;14,Data!$N:$N,"&lt;&gt;")</f>
        <v/>
      </c>
      <c r="AI98">
        <f>COUNTIFS(Data!$V:$V,$R98,Data!$U:$U,"&lt;="&amp;14,Data!$N:$N,0)</f>
        <v/>
      </c>
      <c r="AJ98">
        <f>IF(AH98=0,"",AH98-AI98)</f>
        <v/>
      </c>
      <c r="AK98">
        <f>IF(AH98=0,"",SUMIFS(Data!$N:$N,Data!$V:$V,$R98,Data!$U:$U,"&lt;="&amp;14))</f>
        <v/>
      </c>
      <c r="AL98">
        <f>IF(AH98=0,"",IF(ABS(MAX(T98:AG98))&gt;=ABS(MIN(T98:AG98)),MAX(T98:AG98),MIN(T98:AG98)))</f>
        <v/>
      </c>
      <c r="AM98">
        <f>IF(AH98=0,-1,AJ98*100000+MIN(ABS(AK98),99999))</f>
        <v/>
      </c>
      <c r="AN98">
        <f>IF($S98="","",1+COUNTIFS($AM$3:$AM$122,"&gt;"&amp;AM98)+COUNTIFS($AM$3:$AM$122,AM98,$R$3:$R$122,"&lt;"&amp;$R98))</f>
        <v/>
      </c>
    </row>
    <row r="99">
      <c r="R99" t="n">
        <v>97</v>
      </c>
      <c r="S99">
        <f>IFERROR(INDEX(Data!$G:$G,MATCH($R99,Data!$V:$V,0)),"")</f>
        <v/>
      </c>
      <c r="T99">
        <f>IF(COUNTIFS(Data!$V:$V,$R99,Data!$U:$U,1,Data!$N:$N,"&lt;&gt;")=0,"",SUMIFS(Data!$N:$N,Data!$V:$V,$R99,Data!$U:$U,1))</f>
        <v/>
      </c>
      <c r="U99">
        <f>IF(COUNTIFS(Data!$V:$V,$R99,Data!$U:$U,2,Data!$N:$N,"&lt;&gt;")=0,"",SUMIFS(Data!$N:$N,Data!$V:$V,$R99,Data!$U:$U,2))</f>
        <v/>
      </c>
      <c r="V99">
        <f>IF(COUNTIFS(Data!$V:$V,$R99,Data!$U:$U,3,Data!$N:$N,"&lt;&gt;")=0,"",SUMIFS(Data!$N:$N,Data!$V:$V,$R99,Data!$U:$U,3))</f>
        <v/>
      </c>
      <c r="W99">
        <f>IF(COUNTIFS(Data!$V:$V,$R99,Data!$U:$U,4,Data!$N:$N,"&lt;&gt;")=0,"",SUMIFS(Data!$N:$N,Data!$V:$V,$R99,Data!$U:$U,4))</f>
        <v/>
      </c>
      <c r="X99">
        <f>IF(COUNTIFS(Data!$V:$V,$R99,Data!$U:$U,5,Data!$N:$N,"&lt;&gt;")=0,"",SUMIFS(Data!$N:$N,Data!$V:$V,$R99,Data!$U:$U,5))</f>
        <v/>
      </c>
      <c r="Y99">
        <f>IF(COUNTIFS(Data!$V:$V,$R99,Data!$U:$U,6,Data!$N:$N,"&lt;&gt;")=0,"",SUMIFS(Data!$N:$N,Data!$V:$V,$R99,Data!$U:$U,6))</f>
        <v/>
      </c>
      <c r="Z99">
        <f>IF(COUNTIFS(Data!$V:$V,$R99,Data!$U:$U,7,Data!$N:$N,"&lt;&gt;")=0,"",SUMIFS(Data!$N:$N,Data!$V:$V,$R99,Data!$U:$U,7))</f>
        <v/>
      </c>
      <c r="AA99">
        <f>IF(COUNTIFS(Data!$V:$V,$R99,Data!$U:$U,8,Data!$N:$N,"&lt;&gt;")=0,"",SUMIFS(Data!$N:$N,Data!$V:$V,$R99,Data!$U:$U,8))</f>
        <v/>
      </c>
      <c r="AB99">
        <f>IF(COUNTIFS(Data!$V:$V,$R99,Data!$U:$U,9,Data!$N:$N,"&lt;&gt;")=0,"",SUMIFS(Data!$N:$N,Data!$V:$V,$R99,Data!$U:$U,9))</f>
        <v/>
      </c>
      <c r="AC99">
        <f>IF(COUNTIFS(Data!$V:$V,$R99,Data!$U:$U,10,Data!$N:$N,"&lt;&gt;")=0,"",SUMIFS(Data!$N:$N,Data!$V:$V,$R99,Data!$U:$U,10))</f>
        <v/>
      </c>
      <c r="AD99">
        <f>IF(COUNTIFS(Data!$V:$V,$R99,Data!$U:$U,11,Data!$N:$N,"&lt;&gt;")=0,"",SUMIFS(Data!$N:$N,Data!$V:$V,$R99,Data!$U:$U,11))</f>
        <v/>
      </c>
      <c r="AE99">
        <f>IF(COUNTIFS(Data!$V:$V,$R99,Data!$U:$U,12,Data!$N:$N,"&lt;&gt;")=0,"",SUMIFS(Data!$N:$N,Data!$V:$V,$R99,Data!$U:$U,12))</f>
        <v/>
      </c>
      <c r="AF99">
        <f>IF(COUNTIFS(Data!$V:$V,$R99,Data!$U:$U,13,Data!$N:$N,"&lt;&gt;")=0,"",SUMIFS(Data!$N:$N,Data!$V:$V,$R99,Data!$U:$U,13))</f>
        <v/>
      </c>
      <c r="AG99">
        <f>IF(COUNTIFS(Data!$V:$V,$R99,Data!$U:$U,14,Data!$N:$N,"&lt;&gt;")=0,"",SUMIFS(Data!$N:$N,Data!$V:$V,$R99,Data!$U:$U,14))</f>
        <v/>
      </c>
      <c r="AH99">
        <f>COUNTIFS(Data!$V:$V,$R99,Data!$U:$U,"&lt;="&amp;14,Data!$N:$N,"&lt;&gt;")</f>
        <v/>
      </c>
      <c r="AI99">
        <f>COUNTIFS(Data!$V:$V,$R99,Data!$U:$U,"&lt;="&amp;14,Data!$N:$N,0)</f>
        <v/>
      </c>
      <c r="AJ99">
        <f>IF(AH99=0,"",AH99-AI99)</f>
        <v/>
      </c>
      <c r="AK99">
        <f>IF(AH99=0,"",SUMIFS(Data!$N:$N,Data!$V:$V,$R99,Data!$U:$U,"&lt;="&amp;14))</f>
        <v/>
      </c>
      <c r="AL99">
        <f>IF(AH99=0,"",IF(ABS(MAX(T99:AG99))&gt;=ABS(MIN(T99:AG99)),MAX(T99:AG99),MIN(T99:AG99)))</f>
        <v/>
      </c>
      <c r="AM99">
        <f>IF(AH99=0,-1,AJ99*100000+MIN(ABS(AK99),99999))</f>
        <v/>
      </c>
      <c r="AN99">
        <f>IF($S99="","",1+COUNTIFS($AM$3:$AM$122,"&gt;"&amp;AM99)+COUNTIFS($AM$3:$AM$122,AM99,$R$3:$R$122,"&lt;"&amp;$R99))</f>
        <v/>
      </c>
    </row>
    <row r="100">
      <c r="R100" t="n">
        <v>98</v>
      </c>
      <c r="S100">
        <f>IFERROR(INDEX(Data!$G:$G,MATCH($R100,Data!$V:$V,0)),"")</f>
        <v/>
      </c>
      <c r="T100">
        <f>IF(COUNTIFS(Data!$V:$V,$R100,Data!$U:$U,1,Data!$N:$N,"&lt;&gt;")=0,"",SUMIFS(Data!$N:$N,Data!$V:$V,$R100,Data!$U:$U,1))</f>
        <v/>
      </c>
      <c r="U100">
        <f>IF(COUNTIFS(Data!$V:$V,$R100,Data!$U:$U,2,Data!$N:$N,"&lt;&gt;")=0,"",SUMIFS(Data!$N:$N,Data!$V:$V,$R100,Data!$U:$U,2))</f>
        <v/>
      </c>
      <c r="V100">
        <f>IF(COUNTIFS(Data!$V:$V,$R100,Data!$U:$U,3,Data!$N:$N,"&lt;&gt;")=0,"",SUMIFS(Data!$N:$N,Data!$V:$V,$R100,Data!$U:$U,3))</f>
        <v/>
      </c>
      <c r="W100">
        <f>IF(COUNTIFS(Data!$V:$V,$R100,Data!$U:$U,4,Data!$N:$N,"&lt;&gt;")=0,"",SUMIFS(Data!$N:$N,Data!$V:$V,$R100,Data!$U:$U,4))</f>
        <v/>
      </c>
      <c r="X100">
        <f>IF(COUNTIFS(Data!$V:$V,$R100,Data!$U:$U,5,Data!$N:$N,"&lt;&gt;")=0,"",SUMIFS(Data!$N:$N,Data!$V:$V,$R100,Data!$U:$U,5))</f>
        <v/>
      </c>
      <c r="Y100">
        <f>IF(COUNTIFS(Data!$V:$V,$R100,Data!$U:$U,6,Data!$N:$N,"&lt;&gt;")=0,"",SUMIFS(Data!$N:$N,Data!$V:$V,$R100,Data!$U:$U,6))</f>
        <v/>
      </c>
      <c r="Z100">
        <f>IF(COUNTIFS(Data!$V:$V,$R100,Data!$U:$U,7,Data!$N:$N,"&lt;&gt;")=0,"",SUMIFS(Data!$N:$N,Data!$V:$V,$R100,Data!$U:$U,7))</f>
        <v/>
      </c>
      <c r="AA100">
        <f>IF(COUNTIFS(Data!$V:$V,$R100,Data!$U:$U,8,Data!$N:$N,"&lt;&gt;")=0,"",SUMIFS(Data!$N:$N,Data!$V:$V,$R100,Data!$U:$U,8))</f>
        <v/>
      </c>
      <c r="AB100">
        <f>IF(COUNTIFS(Data!$V:$V,$R100,Data!$U:$U,9,Data!$N:$N,"&lt;&gt;")=0,"",SUMIFS(Data!$N:$N,Data!$V:$V,$R100,Data!$U:$U,9))</f>
        <v/>
      </c>
      <c r="AC100">
        <f>IF(COUNTIFS(Data!$V:$V,$R100,Data!$U:$U,10,Data!$N:$N,"&lt;&gt;")=0,"",SUMIFS(Data!$N:$N,Data!$V:$V,$R100,Data!$U:$U,10))</f>
        <v/>
      </c>
      <c r="AD100">
        <f>IF(COUNTIFS(Data!$V:$V,$R100,Data!$U:$U,11,Data!$N:$N,"&lt;&gt;")=0,"",SUMIFS(Data!$N:$N,Data!$V:$V,$R100,Data!$U:$U,11))</f>
        <v/>
      </c>
      <c r="AE100">
        <f>IF(COUNTIFS(Data!$V:$V,$R100,Data!$U:$U,12,Data!$N:$N,"&lt;&gt;")=0,"",SUMIFS(Data!$N:$N,Data!$V:$V,$R100,Data!$U:$U,12))</f>
        <v/>
      </c>
      <c r="AF100">
        <f>IF(COUNTIFS(Data!$V:$V,$R100,Data!$U:$U,13,Data!$N:$N,"&lt;&gt;")=0,"",SUMIFS(Data!$N:$N,Data!$V:$V,$R100,Data!$U:$U,13))</f>
        <v/>
      </c>
      <c r="AG100">
        <f>IF(COUNTIFS(Data!$V:$V,$R100,Data!$U:$U,14,Data!$N:$N,"&lt;&gt;")=0,"",SUMIFS(Data!$N:$N,Data!$V:$V,$R100,Data!$U:$U,14))</f>
        <v/>
      </c>
      <c r="AH100">
        <f>COUNTIFS(Data!$V:$V,$R100,Data!$U:$U,"&lt;="&amp;14,Data!$N:$N,"&lt;&gt;")</f>
        <v/>
      </c>
      <c r="AI100">
        <f>COUNTIFS(Data!$V:$V,$R100,Data!$U:$U,"&lt;="&amp;14,Data!$N:$N,0)</f>
        <v/>
      </c>
      <c r="AJ100">
        <f>IF(AH100=0,"",AH100-AI100)</f>
        <v/>
      </c>
      <c r="AK100">
        <f>IF(AH100=0,"",SUMIFS(Data!$N:$N,Data!$V:$V,$R100,Data!$U:$U,"&lt;="&amp;14))</f>
        <v/>
      </c>
      <c r="AL100">
        <f>IF(AH100=0,"",IF(ABS(MAX(T100:AG100))&gt;=ABS(MIN(T100:AG100)),MAX(T100:AG100),MIN(T100:AG100)))</f>
        <v/>
      </c>
      <c r="AM100">
        <f>IF(AH100=0,-1,AJ100*100000+MIN(ABS(AK100),99999))</f>
        <v/>
      </c>
      <c r="AN100">
        <f>IF($S100="","",1+COUNTIFS($AM$3:$AM$122,"&gt;"&amp;AM100)+COUNTIFS($AM$3:$AM$122,AM100,$R$3:$R$122,"&lt;"&amp;$R100))</f>
        <v/>
      </c>
    </row>
    <row r="101">
      <c r="R101" t="n">
        <v>99</v>
      </c>
      <c r="S101">
        <f>IFERROR(INDEX(Data!$G:$G,MATCH($R101,Data!$V:$V,0)),"")</f>
        <v/>
      </c>
      <c r="T101">
        <f>IF(COUNTIFS(Data!$V:$V,$R101,Data!$U:$U,1,Data!$N:$N,"&lt;&gt;")=0,"",SUMIFS(Data!$N:$N,Data!$V:$V,$R101,Data!$U:$U,1))</f>
        <v/>
      </c>
      <c r="U101">
        <f>IF(COUNTIFS(Data!$V:$V,$R101,Data!$U:$U,2,Data!$N:$N,"&lt;&gt;")=0,"",SUMIFS(Data!$N:$N,Data!$V:$V,$R101,Data!$U:$U,2))</f>
        <v/>
      </c>
      <c r="V101">
        <f>IF(COUNTIFS(Data!$V:$V,$R101,Data!$U:$U,3,Data!$N:$N,"&lt;&gt;")=0,"",SUMIFS(Data!$N:$N,Data!$V:$V,$R101,Data!$U:$U,3))</f>
        <v/>
      </c>
      <c r="W101">
        <f>IF(COUNTIFS(Data!$V:$V,$R101,Data!$U:$U,4,Data!$N:$N,"&lt;&gt;")=0,"",SUMIFS(Data!$N:$N,Data!$V:$V,$R101,Data!$U:$U,4))</f>
        <v/>
      </c>
      <c r="X101">
        <f>IF(COUNTIFS(Data!$V:$V,$R101,Data!$U:$U,5,Data!$N:$N,"&lt;&gt;")=0,"",SUMIFS(Data!$N:$N,Data!$V:$V,$R101,Data!$U:$U,5))</f>
        <v/>
      </c>
      <c r="Y101">
        <f>IF(COUNTIFS(Data!$V:$V,$R101,Data!$U:$U,6,Data!$N:$N,"&lt;&gt;")=0,"",SUMIFS(Data!$N:$N,Data!$V:$V,$R101,Data!$U:$U,6))</f>
        <v/>
      </c>
      <c r="Z101">
        <f>IF(COUNTIFS(Data!$V:$V,$R101,Data!$U:$U,7,Data!$N:$N,"&lt;&gt;")=0,"",SUMIFS(Data!$N:$N,Data!$V:$V,$R101,Data!$U:$U,7))</f>
        <v/>
      </c>
      <c r="AA101">
        <f>IF(COUNTIFS(Data!$V:$V,$R101,Data!$U:$U,8,Data!$N:$N,"&lt;&gt;")=0,"",SUMIFS(Data!$N:$N,Data!$V:$V,$R101,Data!$U:$U,8))</f>
        <v/>
      </c>
      <c r="AB101">
        <f>IF(COUNTIFS(Data!$V:$V,$R101,Data!$U:$U,9,Data!$N:$N,"&lt;&gt;")=0,"",SUMIFS(Data!$N:$N,Data!$V:$V,$R101,Data!$U:$U,9))</f>
        <v/>
      </c>
      <c r="AC101">
        <f>IF(COUNTIFS(Data!$V:$V,$R101,Data!$U:$U,10,Data!$N:$N,"&lt;&gt;")=0,"",SUMIFS(Data!$N:$N,Data!$V:$V,$R101,Data!$U:$U,10))</f>
        <v/>
      </c>
      <c r="AD101">
        <f>IF(COUNTIFS(Data!$V:$V,$R101,Data!$U:$U,11,Data!$N:$N,"&lt;&gt;")=0,"",SUMIFS(Data!$N:$N,Data!$V:$V,$R101,Data!$U:$U,11))</f>
        <v/>
      </c>
      <c r="AE101">
        <f>IF(COUNTIFS(Data!$V:$V,$R101,Data!$U:$U,12,Data!$N:$N,"&lt;&gt;")=0,"",SUMIFS(Data!$N:$N,Data!$V:$V,$R101,Data!$U:$U,12))</f>
        <v/>
      </c>
      <c r="AF101">
        <f>IF(COUNTIFS(Data!$V:$V,$R101,Data!$U:$U,13,Data!$N:$N,"&lt;&gt;")=0,"",SUMIFS(Data!$N:$N,Data!$V:$V,$R101,Data!$U:$U,13))</f>
        <v/>
      </c>
      <c r="AG101">
        <f>IF(COUNTIFS(Data!$V:$V,$R101,Data!$U:$U,14,Data!$N:$N,"&lt;&gt;")=0,"",SUMIFS(Data!$N:$N,Data!$V:$V,$R101,Data!$U:$U,14))</f>
        <v/>
      </c>
      <c r="AH101">
        <f>COUNTIFS(Data!$V:$V,$R101,Data!$U:$U,"&lt;="&amp;14,Data!$N:$N,"&lt;&gt;")</f>
        <v/>
      </c>
      <c r="AI101">
        <f>COUNTIFS(Data!$V:$V,$R101,Data!$U:$U,"&lt;="&amp;14,Data!$N:$N,0)</f>
        <v/>
      </c>
      <c r="AJ101">
        <f>IF(AH101=0,"",AH101-AI101)</f>
        <v/>
      </c>
      <c r="AK101">
        <f>IF(AH101=0,"",SUMIFS(Data!$N:$N,Data!$V:$V,$R101,Data!$U:$U,"&lt;="&amp;14))</f>
        <v/>
      </c>
      <c r="AL101">
        <f>IF(AH101=0,"",IF(ABS(MAX(T101:AG101))&gt;=ABS(MIN(T101:AG101)),MAX(T101:AG101),MIN(T101:AG101)))</f>
        <v/>
      </c>
      <c r="AM101">
        <f>IF(AH101=0,-1,AJ101*100000+MIN(ABS(AK101),99999))</f>
        <v/>
      </c>
      <c r="AN101">
        <f>IF($S101="","",1+COUNTIFS($AM$3:$AM$122,"&gt;"&amp;AM101)+COUNTIFS($AM$3:$AM$122,AM101,$R$3:$R$122,"&lt;"&amp;$R101))</f>
        <v/>
      </c>
    </row>
    <row r="102">
      <c r="R102" t="n">
        <v>100</v>
      </c>
      <c r="S102">
        <f>IFERROR(INDEX(Data!$G:$G,MATCH($R102,Data!$V:$V,0)),"")</f>
        <v/>
      </c>
      <c r="T102">
        <f>IF(COUNTIFS(Data!$V:$V,$R102,Data!$U:$U,1,Data!$N:$N,"&lt;&gt;")=0,"",SUMIFS(Data!$N:$N,Data!$V:$V,$R102,Data!$U:$U,1))</f>
        <v/>
      </c>
      <c r="U102">
        <f>IF(COUNTIFS(Data!$V:$V,$R102,Data!$U:$U,2,Data!$N:$N,"&lt;&gt;")=0,"",SUMIFS(Data!$N:$N,Data!$V:$V,$R102,Data!$U:$U,2))</f>
        <v/>
      </c>
      <c r="V102">
        <f>IF(COUNTIFS(Data!$V:$V,$R102,Data!$U:$U,3,Data!$N:$N,"&lt;&gt;")=0,"",SUMIFS(Data!$N:$N,Data!$V:$V,$R102,Data!$U:$U,3))</f>
        <v/>
      </c>
      <c r="W102">
        <f>IF(COUNTIFS(Data!$V:$V,$R102,Data!$U:$U,4,Data!$N:$N,"&lt;&gt;")=0,"",SUMIFS(Data!$N:$N,Data!$V:$V,$R102,Data!$U:$U,4))</f>
        <v/>
      </c>
      <c r="X102">
        <f>IF(COUNTIFS(Data!$V:$V,$R102,Data!$U:$U,5,Data!$N:$N,"&lt;&gt;")=0,"",SUMIFS(Data!$N:$N,Data!$V:$V,$R102,Data!$U:$U,5))</f>
        <v/>
      </c>
      <c r="Y102">
        <f>IF(COUNTIFS(Data!$V:$V,$R102,Data!$U:$U,6,Data!$N:$N,"&lt;&gt;")=0,"",SUMIFS(Data!$N:$N,Data!$V:$V,$R102,Data!$U:$U,6))</f>
        <v/>
      </c>
      <c r="Z102">
        <f>IF(COUNTIFS(Data!$V:$V,$R102,Data!$U:$U,7,Data!$N:$N,"&lt;&gt;")=0,"",SUMIFS(Data!$N:$N,Data!$V:$V,$R102,Data!$U:$U,7))</f>
        <v/>
      </c>
      <c r="AA102">
        <f>IF(COUNTIFS(Data!$V:$V,$R102,Data!$U:$U,8,Data!$N:$N,"&lt;&gt;")=0,"",SUMIFS(Data!$N:$N,Data!$V:$V,$R102,Data!$U:$U,8))</f>
        <v/>
      </c>
      <c r="AB102">
        <f>IF(COUNTIFS(Data!$V:$V,$R102,Data!$U:$U,9,Data!$N:$N,"&lt;&gt;")=0,"",SUMIFS(Data!$N:$N,Data!$V:$V,$R102,Data!$U:$U,9))</f>
        <v/>
      </c>
      <c r="AC102">
        <f>IF(COUNTIFS(Data!$V:$V,$R102,Data!$U:$U,10,Data!$N:$N,"&lt;&gt;")=0,"",SUMIFS(Data!$N:$N,Data!$V:$V,$R102,Data!$U:$U,10))</f>
        <v/>
      </c>
      <c r="AD102">
        <f>IF(COUNTIFS(Data!$V:$V,$R102,Data!$U:$U,11,Data!$N:$N,"&lt;&gt;")=0,"",SUMIFS(Data!$N:$N,Data!$V:$V,$R102,Data!$U:$U,11))</f>
        <v/>
      </c>
      <c r="AE102">
        <f>IF(COUNTIFS(Data!$V:$V,$R102,Data!$U:$U,12,Data!$N:$N,"&lt;&gt;")=0,"",SUMIFS(Data!$N:$N,Data!$V:$V,$R102,Data!$U:$U,12))</f>
        <v/>
      </c>
      <c r="AF102">
        <f>IF(COUNTIFS(Data!$V:$V,$R102,Data!$U:$U,13,Data!$N:$N,"&lt;&gt;")=0,"",SUMIFS(Data!$N:$N,Data!$V:$V,$R102,Data!$U:$U,13))</f>
        <v/>
      </c>
      <c r="AG102">
        <f>IF(COUNTIFS(Data!$V:$V,$R102,Data!$U:$U,14,Data!$N:$N,"&lt;&gt;")=0,"",SUMIFS(Data!$N:$N,Data!$V:$V,$R102,Data!$U:$U,14))</f>
        <v/>
      </c>
      <c r="AH102">
        <f>COUNTIFS(Data!$V:$V,$R102,Data!$U:$U,"&lt;="&amp;14,Data!$N:$N,"&lt;&gt;")</f>
        <v/>
      </c>
      <c r="AI102">
        <f>COUNTIFS(Data!$V:$V,$R102,Data!$U:$U,"&lt;="&amp;14,Data!$N:$N,0)</f>
        <v/>
      </c>
      <c r="AJ102">
        <f>IF(AH102=0,"",AH102-AI102)</f>
        <v/>
      </c>
      <c r="AK102">
        <f>IF(AH102=0,"",SUMIFS(Data!$N:$N,Data!$V:$V,$R102,Data!$U:$U,"&lt;="&amp;14))</f>
        <v/>
      </c>
      <c r="AL102">
        <f>IF(AH102=0,"",IF(ABS(MAX(T102:AG102))&gt;=ABS(MIN(T102:AG102)),MAX(T102:AG102),MIN(T102:AG102)))</f>
        <v/>
      </c>
      <c r="AM102">
        <f>IF(AH102=0,-1,AJ102*100000+MIN(ABS(AK102),99999))</f>
        <v/>
      </c>
      <c r="AN102">
        <f>IF($S102="","",1+COUNTIFS($AM$3:$AM$122,"&gt;"&amp;AM102)+COUNTIFS($AM$3:$AM$122,AM102,$R$3:$R$122,"&lt;"&amp;$R102))</f>
        <v/>
      </c>
    </row>
    <row r="103">
      <c r="R103" t="n">
        <v>101</v>
      </c>
      <c r="S103">
        <f>IFERROR(INDEX(Data!$G:$G,MATCH($R103,Data!$V:$V,0)),"")</f>
        <v/>
      </c>
      <c r="T103">
        <f>IF(COUNTIFS(Data!$V:$V,$R103,Data!$U:$U,1,Data!$N:$N,"&lt;&gt;")=0,"",SUMIFS(Data!$N:$N,Data!$V:$V,$R103,Data!$U:$U,1))</f>
        <v/>
      </c>
      <c r="U103">
        <f>IF(COUNTIFS(Data!$V:$V,$R103,Data!$U:$U,2,Data!$N:$N,"&lt;&gt;")=0,"",SUMIFS(Data!$N:$N,Data!$V:$V,$R103,Data!$U:$U,2))</f>
        <v/>
      </c>
      <c r="V103">
        <f>IF(COUNTIFS(Data!$V:$V,$R103,Data!$U:$U,3,Data!$N:$N,"&lt;&gt;")=0,"",SUMIFS(Data!$N:$N,Data!$V:$V,$R103,Data!$U:$U,3))</f>
        <v/>
      </c>
      <c r="W103">
        <f>IF(COUNTIFS(Data!$V:$V,$R103,Data!$U:$U,4,Data!$N:$N,"&lt;&gt;")=0,"",SUMIFS(Data!$N:$N,Data!$V:$V,$R103,Data!$U:$U,4))</f>
        <v/>
      </c>
      <c r="X103">
        <f>IF(COUNTIFS(Data!$V:$V,$R103,Data!$U:$U,5,Data!$N:$N,"&lt;&gt;")=0,"",SUMIFS(Data!$N:$N,Data!$V:$V,$R103,Data!$U:$U,5))</f>
        <v/>
      </c>
      <c r="Y103">
        <f>IF(COUNTIFS(Data!$V:$V,$R103,Data!$U:$U,6,Data!$N:$N,"&lt;&gt;")=0,"",SUMIFS(Data!$N:$N,Data!$V:$V,$R103,Data!$U:$U,6))</f>
        <v/>
      </c>
      <c r="Z103">
        <f>IF(COUNTIFS(Data!$V:$V,$R103,Data!$U:$U,7,Data!$N:$N,"&lt;&gt;")=0,"",SUMIFS(Data!$N:$N,Data!$V:$V,$R103,Data!$U:$U,7))</f>
        <v/>
      </c>
      <c r="AA103">
        <f>IF(COUNTIFS(Data!$V:$V,$R103,Data!$U:$U,8,Data!$N:$N,"&lt;&gt;")=0,"",SUMIFS(Data!$N:$N,Data!$V:$V,$R103,Data!$U:$U,8))</f>
        <v/>
      </c>
      <c r="AB103">
        <f>IF(COUNTIFS(Data!$V:$V,$R103,Data!$U:$U,9,Data!$N:$N,"&lt;&gt;")=0,"",SUMIFS(Data!$N:$N,Data!$V:$V,$R103,Data!$U:$U,9))</f>
        <v/>
      </c>
      <c r="AC103">
        <f>IF(COUNTIFS(Data!$V:$V,$R103,Data!$U:$U,10,Data!$N:$N,"&lt;&gt;")=0,"",SUMIFS(Data!$N:$N,Data!$V:$V,$R103,Data!$U:$U,10))</f>
        <v/>
      </c>
      <c r="AD103">
        <f>IF(COUNTIFS(Data!$V:$V,$R103,Data!$U:$U,11,Data!$N:$N,"&lt;&gt;")=0,"",SUMIFS(Data!$N:$N,Data!$V:$V,$R103,Data!$U:$U,11))</f>
        <v/>
      </c>
      <c r="AE103">
        <f>IF(COUNTIFS(Data!$V:$V,$R103,Data!$U:$U,12,Data!$N:$N,"&lt;&gt;")=0,"",SUMIFS(Data!$N:$N,Data!$V:$V,$R103,Data!$U:$U,12))</f>
        <v/>
      </c>
      <c r="AF103">
        <f>IF(COUNTIFS(Data!$V:$V,$R103,Data!$U:$U,13,Data!$N:$N,"&lt;&gt;")=0,"",SUMIFS(Data!$N:$N,Data!$V:$V,$R103,Data!$U:$U,13))</f>
        <v/>
      </c>
      <c r="AG103">
        <f>IF(COUNTIFS(Data!$V:$V,$R103,Data!$U:$U,14,Data!$N:$N,"&lt;&gt;")=0,"",SUMIFS(Data!$N:$N,Data!$V:$V,$R103,Data!$U:$U,14))</f>
        <v/>
      </c>
      <c r="AH103">
        <f>COUNTIFS(Data!$V:$V,$R103,Data!$U:$U,"&lt;="&amp;14,Data!$N:$N,"&lt;&gt;")</f>
        <v/>
      </c>
      <c r="AI103">
        <f>COUNTIFS(Data!$V:$V,$R103,Data!$U:$U,"&lt;="&amp;14,Data!$N:$N,0)</f>
        <v/>
      </c>
      <c r="AJ103">
        <f>IF(AH103=0,"",AH103-AI103)</f>
        <v/>
      </c>
      <c r="AK103">
        <f>IF(AH103=0,"",SUMIFS(Data!$N:$N,Data!$V:$V,$R103,Data!$U:$U,"&lt;="&amp;14))</f>
        <v/>
      </c>
      <c r="AL103">
        <f>IF(AH103=0,"",IF(ABS(MAX(T103:AG103))&gt;=ABS(MIN(T103:AG103)),MAX(T103:AG103),MIN(T103:AG103)))</f>
        <v/>
      </c>
      <c r="AM103">
        <f>IF(AH103=0,-1,AJ103*100000+MIN(ABS(AK103),99999))</f>
        <v/>
      </c>
      <c r="AN103">
        <f>IF($S103="","",1+COUNTIFS($AM$3:$AM$122,"&gt;"&amp;AM103)+COUNTIFS($AM$3:$AM$122,AM103,$R$3:$R$122,"&lt;"&amp;$R103))</f>
        <v/>
      </c>
    </row>
    <row r="104">
      <c r="R104" t="n">
        <v>102</v>
      </c>
      <c r="S104">
        <f>IFERROR(INDEX(Data!$G:$G,MATCH($R104,Data!$V:$V,0)),"")</f>
        <v/>
      </c>
      <c r="T104">
        <f>IF(COUNTIFS(Data!$V:$V,$R104,Data!$U:$U,1,Data!$N:$N,"&lt;&gt;")=0,"",SUMIFS(Data!$N:$N,Data!$V:$V,$R104,Data!$U:$U,1))</f>
        <v/>
      </c>
      <c r="U104">
        <f>IF(COUNTIFS(Data!$V:$V,$R104,Data!$U:$U,2,Data!$N:$N,"&lt;&gt;")=0,"",SUMIFS(Data!$N:$N,Data!$V:$V,$R104,Data!$U:$U,2))</f>
        <v/>
      </c>
      <c r="V104">
        <f>IF(COUNTIFS(Data!$V:$V,$R104,Data!$U:$U,3,Data!$N:$N,"&lt;&gt;")=0,"",SUMIFS(Data!$N:$N,Data!$V:$V,$R104,Data!$U:$U,3))</f>
        <v/>
      </c>
      <c r="W104">
        <f>IF(COUNTIFS(Data!$V:$V,$R104,Data!$U:$U,4,Data!$N:$N,"&lt;&gt;")=0,"",SUMIFS(Data!$N:$N,Data!$V:$V,$R104,Data!$U:$U,4))</f>
        <v/>
      </c>
      <c r="X104">
        <f>IF(COUNTIFS(Data!$V:$V,$R104,Data!$U:$U,5,Data!$N:$N,"&lt;&gt;")=0,"",SUMIFS(Data!$N:$N,Data!$V:$V,$R104,Data!$U:$U,5))</f>
        <v/>
      </c>
      <c r="Y104">
        <f>IF(COUNTIFS(Data!$V:$V,$R104,Data!$U:$U,6,Data!$N:$N,"&lt;&gt;")=0,"",SUMIFS(Data!$N:$N,Data!$V:$V,$R104,Data!$U:$U,6))</f>
        <v/>
      </c>
      <c r="Z104">
        <f>IF(COUNTIFS(Data!$V:$V,$R104,Data!$U:$U,7,Data!$N:$N,"&lt;&gt;")=0,"",SUMIFS(Data!$N:$N,Data!$V:$V,$R104,Data!$U:$U,7))</f>
        <v/>
      </c>
      <c r="AA104">
        <f>IF(COUNTIFS(Data!$V:$V,$R104,Data!$U:$U,8,Data!$N:$N,"&lt;&gt;")=0,"",SUMIFS(Data!$N:$N,Data!$V:$V,$R104,Data!$U:$U,8))</f>
        <v/>
      </c>
      <c r="AB104">
        <f>IF(COUNTIFS(Data!$V:$V,$R104,Data!$U:$U,9,Data!$N:$N,"&lt;&gt;")=0,"",SUMIFS(Data!$N:$N,Data!$V:$V,$R104,Data!$U:$U,9))</f>
        <v/>
      </c>
      <c r="AC104">
        <f>IF(COUNTIFS(Data!$V:$V,$R104,Data!$U:$U,10,Data!$N:$N,"&lt;&gt;")=0,"",SUMIFS(Data!$N:$N,Data!$V:$V,$R104,Data!$U:$U,10))</f>
        <v/>
      </c>
      <c r="AD104">
        <f>IF(COUNTIFS(Data!$V:$V,$R104,Data!$U:$U,11,Data!$N:$N,"&lt;&gt;")=0,"",SUMIFS(Data!$N:$N,Data!$V:$V,$R104,Data!$U:$U,11))</f>
        <v/>
      </c>
      <c r="AE104">
        <f>IF(COUNTIFS(Data!$V:$V,$R104,Data!$U:$U,12,Data!$N:$N,"&lt;&gt;")=0,"",SUMIFS(Data!$N:$N,Data!$V:$V,$R104,Data!$U:$U,12))</f>
        <v/>
      </c>
      <c r="AF104">
        <f>IF(COUNTIFS(Data!$V:$V,$R104,Data!$U:$U,13,Data!$N:$N,"&lt;&gt;")=0,"",SUMIFS(Data!$N:$N,Data!$V:$V,$R104,Data!$U:$U,13))</f>
        <v/>
      </c>
      <c r="AG104">
        <f>IF(COUNTIFS(Data!$V:$V,$R104,Data!$U:$U,14,Data!$N:$N,"&lt;&gt;")=0,"",SUMIFS(Data!$N:$N,Data!$V:$V,$R104,Data!$U:$U,14))</f>
        <v/>
      </c>
      <c r="AH104">
        <f>COUNTIFS(Data!$V:$V,$R104,Data!$U:$U,"&lt;="&amp;14,Data!$N:$N,"&lt;&gt;")</f>
        <v/>
      </c>
      <c r="AI104">
        <f>COUNTIFS(Data!$V:$V,$R104,Data!$U:$U,"&lt;="&amp;14,Data!$N:$N,0)</f>
        <v/>
      </c>
      <c r="AJ104">
        <f>IF(AH104=0,"",AH104-AI104)</f>
        <v/>
      </c>
      <c r="AK104">
        <f>IF(AH104=0,"",SUMIFS(Data!$N:$N,Data!$V:$V,$R104,Data!$U:$U,"&lt;="&amp;14))</f>
        <v/>
      </c>
      <c r="AL104">
        <f>IF(AH104=0,"",IF(ABS(MAX(T104:AG104))&gt;=ABS(MIN(T104:AG104)),MAX(T104:AG104),MIN(T104:AG104)))</f>
        <v/>
      </c>
      <c r="AM104">
        <f>IF(AH104=0,-1,AJ104*100000+MIN(ABS(AK104),99999))</f>
        <v/>
      </c>
      <c r="AN104">
        <f>IF($S104="","",1+COUNTIFS($AM$3:$AM$122,"&gt;"&amp;AM104)+COUNTIFS($AM$3:$AM$122,AM104,$R$3:$R$122,"&lt;"&amp;$R104))</f>
        <v/>
      </c>
    </row>
    <row r="105">
      <c r="R105" t="n">
        <v>103</v>
      </c>
      <c r="S105">
        <f>IFERROR(INDEX(Data!$G:$G,MATCH($R105,Data!$V:$V,0)),"")</f>
        <v/>
      </c>
      <c r="T105">
        <f>IF(COUNTIFS(Data!$V:$V,$R105,Data!$U:$U,1,Data!$N:$N,"&lt;&gt;")=0,"",SUMIFS(Data!$N:$N,Data!$V:$V,$R105,Data!$U:$U,1))</f>
        <v/>
      </c>
      <c r="U105">
        <f>IF(COUNTIFS(Data!$V:$V,$R105,Data!$U:$U,2,Data!$N:$N,"&lt;&gt;")=0,"",SUMIFS(Data!$N:$N,Data!$V:$V,$R105,Data!$U:$U,2))</f>
        <v/>
      </c>
      <c r="V105">
        <f>IF(COUNTIFS(Data!$V:$V,$R105,Data!$U:$U,3,Data!$N:$N,"&lt;&gt;")=0,"",SUMIFS(Data!$N:$N,Data!$V:$V,$R105,Data!$U:$U,3))</f>
        <v/>
      </c>
      <c r="W105">
        <f>IF(COUNTIFS(Data!$V:$V,$R105,Data!$U:$U,4,Data!$N:$N,"&lt;&gt;")=0,"",SUMIFS(Data!$N:$N,Data!$V:$V,$R105,Data!$U:$U,4))</f>
        <v/>
      </c>
      <c r="X105">
        <f>IF(COUNTIFS(Data!$V:$V,$R105,Data!$U:$U,5,Data!$N:$N,"&lt;&gt;")=0,"",SUMIFS(Data!$N:$N,Data!$V:$V,$R105,Data!$U:$U,5))</f>
        <v/>
      </c>
      <c r="Y105">
        <f>IF(COUNTIFS(Data!$V:$V,$R105,Data!$U:$U,6,Data!$N:$N,"&lt;&gt;")=0,"",SUMIFS(Data!$N:$N,Data!$V:$V,$R105,Data!$U:$U,6))</f>
        <v/>
      </c>
      <c r="Z105">
        <f>IF(COUNTIFS(Data!$V:$V,$R105,Data!$U:$U,7,Data!$N:$N,"&lt;&gt;")=0,"",SUMIFS(Data!$N:$N,Data!$V:$V,$R105,Data!$U:$U,7))</f>
        <v/>
      </c>
      <c r="AA105">
        <f>IF(COUNTIFS(Data!$V:$V,$R105,Data!$U:$U,8,Data!$N:$N,"&lt;&gt;")=0,"",SUMIFS(Data!$N:$N,Data!$V:$V,$R105,Data!$U:$U,8))</f>
        <v/>
      </c>
      <c r="AB105">
        <f>IF(COUNTIFS(Data!$V:$V,$R105,Data!$U:$U,9,Data!$N:$N,"&lt;&gt;")=0,"",SUMIFS(Data!$N:$N,Data!$V:$V,$R105,Data!$U:$U,9))</f>
        <v/>
      </c>
      <c r="AC105">
        <f>IF(COUNTIFS(Data!$V:$V,$R105,Data!$U:$U,10,Data!$N:$N,"&lt;&gt;")=0,"",SUMIFS(Data!$N:$N,Data!$V:$V,$R105,Data!$U:$U,10))</f>
        <v/>
      </c>
      <c r="AD105">
        <f>IF(COUNTIFS(Data!$V:$V,$R105,Data!$U:$U,11,Data!$N:$N,"&lt;&gt;")=0,"",SUMIFS(Data!$N:$N,Data!$V:$V,$R105,Data!$U:$U,11))</f>
        <v/>
      </c>
      <c r="AE105">
        <f>IF(COUNTIFS(Data!$V:$V,$R105,Data!$U:$U,12,Data!$N:$N,"&lt;&gt;")=0,"",SUMIFS(Data!$N:$N,Data!$V:$V,$R105,Data!$U:$U,12))</f>
        <v/>
      </c>
      <c r="AF105">
        <f>IF(COUNTIFS(Data!$V:$V,$R105,Data!$U:$U,13,Data!$N:$N,"&lt;&gt;")=0,"",SUMIFS(Data!$N:$N,Data!$V:$V,$R105,Data!$U:$U,13))</f>
        <v/>
      </c>
      <c r="AG105">
        <f>IF(COUNTIFS(Data!$V:$V,$R105,Data!$U:$U,14,Data!$N:$N,"&lt;&gt;")=0,"",SUMIFS(Data!$N:$N,Data!$V:$V,$R105,Data!$U:$U,14))</f>
        <v/>
      </c>
      <c r="AH105">
        <f>COUNTIFS(Data!$V:$V,$R105,Data!$U:$U,"&lt;="&amp;14,Data!$N:$N,"&lt;&gt;")</f>
        <v/>
      </c>
      <c r="AI105">
        <f>COUNTIFS(Data!$V:$V,$R105,Data!$U:$U,"&lt;="&amp;14,Data!$N:$N,0)</f>
        <v/>
      </c>
      <c r="AJ105">
        <f>IF(AH105=0,"",AH105-AI105)</f>
        <v/>
      </c>
      <c r="AK105">
        <f>IF(AH105=0,"",SUMIFS(Data!$N:$N,Data!$V:$V,$R105,Data!$U:$U,"&lt;="&amp;14))</f>
        <v/>
      </c>
      <c r="AL105">
        <f>IF(AH105=0,"",IF(ABS(MAX(T105:AG105))&gt;=ABS(MIN(T105:AG105)),MAX(T105:AG105),MIN(T105:AG105)))</f>
        <v/>
      </c>
      <c r="AM105">
        <f>IF(AH105=0,-1,AJ105*100000+MIN(ABS(AK105),99999))</f>
        <v/>
      </c>
      <c r="AN105">
        <f>IF($S105="","",1+COUNTIFS($AM$3:$AM$122,"&gt;"&amp;AM105)+COUNTIFS($AM$3:$AM$122,AM105,$R$3:$R$122,"&lt;"&amp;$R105))</f>
        <v/>
      </c>
    </row>
    <row r="106">
      <c r="R106" t="n">
        <v>104</v>
      </c>
      <c r="S106">
        <f>IFERROR(INDEX(Data!$G:$G,MATCH($R106,Data!$V:$V,0)),"")</f>
        <v/>
      </c>
      <c r="T106">
        <f>IF(COUNTIFS(Data!$V:$V,$R106,Data!$U:$U,1,Data!$N:$N,"&lt;&gt;")=0,"",SUMIFS(Data!$N:$N,Data!$V:$V,$R106,Data!$U:$U,1))</f>
        <v/>
      </c>
      <c r="U106">
        <f>IF(COUNTIFS(Data!$V:$V,$R106,Data!$U:$U,2,Data!$N:$N,"&lt;&gt;")=0,"",SUMIFS(Data!$N:$N,Data!$V:$V,$R106,Data!$U:$U,2))</f>
        <v/>
      </c>
      <c r="V106">
        <f>IF(COUNTIFS(Data!$V:$V,$R106,Data!$U:$U,3,Data!$N:$N,"&lt;&gt;")=0,"",SUMIFS(Data!$N:$N,Data!$V:$V,$R106,Data!$U:$U,3))</f>
        <v/>
      </c>
      <c r="W106">
        <f>IF(COUNTIFS(Data!$V:$V,$R106,Data!$U:$U,4,Data!$N:$N,"&lt;&gt;")=0,"",SUMIFS(Data!$N:$N,Data!$V:$V,$R106,Data!$U:$U,4))</f>
        <v/>
      </c>
      <c r="X106">
        <f>IF(COUNTIFS(Data!$V:$V,$R106,Data!$U:$U,5,Data!$N:$N,"&lt;&gt;")=0,"",SUMIFS(Data!$N:$N,Data!$V:$V,$R106,Data!$U:$U,5))</f>
        <v/>
      </c>
      <c r="Y106">
        <f>IF(COUNTIFS(Data!$V:$V,$R106,Data!$U:$U,6,Data!$N:$N,"&lt;&gt;")=0,"",SUMIFS(Data!$N:$N,Data!$V:$V,$R106,Data!$U:$U,6))</f>
        <v/>
      </c>
      <c r="Z106">
        <f>IF(COUNTIFS(Data!$V:$V,$R106,Data!$U:$U,7,Data!$N:$N,"&lt;&gt;")=0,"",SUMIFS(Data!$N:$N,Data!$V:$V,$R106,Data!$U:$U,7))</f>
        <v/>
      </c>
      <c r="AA106">
        <f>IF(COUNTIFS(Data!$V:$V,$R106,Data!$U:$U,8,Data!$N:$N,"&lt;&gt;")=0,"",SUMIFS(Data!$N:$N,Data!$V:$V,$R106,Data!$U:$U,8))</f>
        <v/>
      </c>
      <c r="AB106">
        <f>IF(COUNTIFS(Data!$V:$V,$R106,Data!$U:$U,9,Data!$N:$N,"&lt;&gt;")=0,"",SUMIFS(Data!$N:$N,Data!$V:$V,$R106,Data!$U:$U,9))</f>
        <v/>
      </c>
      <c r="AC106">
        <f>IF(COUNTIFS(Data!$V:$V,$R106,Data!$U:$U,10,Data!$N:$N,"&lt;&gt;")=0,"",SUMIFS(Data!$N:$N,Data!$V:$V,$R106,Data!$U:$U,10))</f>
        <v/>
      </c>
      <c r="AD106">
        <f>IF(COUNTIFS(Data!$V:$V,$R106,Data!$U:$U,11,Data!$N:$N,"&lt;&gt;")=0,"",SUMIFS(Data!$N:$N,Data!$V:$V,$R106,Data!$U:$U,11))</f>
        <v/>
      </c>
      <c r="AE106">
        <f>IF(COUNTIFS(Data!$V:$V,$R106,Data!$U:$U,12,Data!$N:$N,"&lt;&gt;")=0,"",SUMIFS(Data!$N:$N,Data!$V:$V,$R106,Data!$U:$U,12))</f>
        <v/>
      </c>
      <c r="AF106">
        <f>IF(COUNTIFS(Data!$V:$V,$R106,Data!$U:$U,13,Data!$N:$N,"&lt;&gt;")=0,"",SUMIFS(Data!$N:$N,Data!$V:$V,$R106,Data!$U:$U,13))</f>
        <v/>
      </c>
      <c r="AG106">
        <f>IF(COUNTIFS(Data!$V:$V,$R106,Data!$U:$U,14,Data!$N:$N,"&lt;&gt;")=0,"",SUMIFS(Data!$N:$N,Data!$V:$V,$R106,Data!$U:$U,14))</f>
        <v/>
      </c>
      <c r="AH106">
        <f>COUNTIFS(Data!$V:$V,$R106,Data!$U:$U,"&lt;="&amp;14,Data!$N:$N,"&lt;&gt;")</f>
        <v/>
      </c>
      <c r="AI106">
        <f>COUNTIFS(Data!$V:$V,$R106,Data!$U:$U,"&lt;="&amp;14,Data!$N:$N,0)</f>
        <v/>
      </c>
      <c r="AJ106">
        <f>IF(AH106=0,"",AH106-AI106)</f>
        <v/>
      </c>
      <c r="AK106">
        <f>IF(AH106=0,"",SUMIFS(Data!$N:$N,Data!$V:$V,$R106,Data!$U:$U,"&lt;="&amp;14))</f>
        <v/>
      </c>
      <c r="AL106">
        <f>IF(AH106=0,"",IF(ABS(MAX(T106:AG106))&gt;=ABS(MIN(T106:AG106)),MAX(T106:AG106),MIN(T106:AG106)))</f>
        <v/>
      </c>
      <c r="AM106">
        <f>IF(AH106=0,-1,AJ106*100000+MIN(ABS(AK106),99999))</f>
        <v/>
      </c>
      <c r="AN106">
        <f>IF($S106="","",1+COUNTIFS($AM$3:$AM$122,"&gt;"&amp;AM106)+COUNTIFS($AM$3:$AM$122,AM106,$R$3:$R$122,"&lt;"&amp;$R106))</f>
        <v/>
      </c>
    </row>
    <row r="107">
      <c r="R107" t="n">
        <v>105</v>
      </c>
      <c r="S107">
        <f>IFERROR(INDEX(Data!$G:$G,MATCH($R107,Data!$V:$V,0)),"")</f>
        <v/>
      </c>
      <c r="T107">
        <f>IF(COUNTIFS(Data!$V:$V,$R107,Data!$U:$U,1,Data!$N:$N,"&lt;&gt;")=0,"",SUMIFS(Data!$N:$N,Data!$V:$V,$R107,Data!$U:$U,1))</f>
        <v/>
      </c>
      <c r="U107">
        <f>IF(COUNTIFS(Data!$V:$V,$R107,Data!$U:$U,2,Data!$N:$N,"&lt;&gt;")=0,"",SUMIFS(Data!$N:$N,Data!$V:$V,$R107,Data!$U:$U,2))</f>
        <v/>
      </c>
      <c r="V107">
        <f>IF(COUNTIFS(Data!$V:$V,$R107,Data!$U:$U,3,Data!$N:$N,"&lt;&gt;")=0,"",SUMIFS(Data!$N:$N,Data!$V:$V,$R107,Data!$U:$U,3))</f>
        <v/>
      </c>
      <c r="W107">
        <f>IF(COUNTIFS(Data!$V:$V,$R107,Data!$U:$U,4,Data!$N:$N,"&lt;&gt;")=0,"",SUMIFS(Data!$N:$N,Data!$V:$V,$R107,Data!$U:$U,4))</f>
        <v/>
      </c>
      <c r="X107">
        <f>IF(COUNTIFS(Data!$V:$V,$R107,Data!$U:$U,5,Data!$N:$N,"&lt;&gt;")=0,"",SUMIFS(Data!$N:$N,Data!$V:$V,$R107,Data!$U:$U,5))</f>
        <v/>
      </c>
      <c r="Y107">
        <f>IF(COUNTIFS(Data!$V:$V,$R107,Data!$U:$U,6,Data!$N:$N,"&lt;&gt;")=0,"",SUMIFS(Data!$N:$N,Data!$V:$V,$R107,Data!$U:$U,6))</f>
        <v/>
      </c>
      <c r="Z107">
        <f>IF(COUNTIFS(Data!$V:$V,$R107,Data!$U:$U,7,Data!$N:$N,"&lt;&gt;")=0,"",SUMIFS(Data!$N:$N,Data!$V:$V,$R107,Data!$U:$U,7))</f>
        <v/>
      </c>
      <c r="AA107">
        <f>IF(COUNTIFS(Data!$V:$V,$R107,Data!$U:$U,8,Data!$N:$N,"&lt;&gt;")=0,"",SUMIFS(Data!$N:$N,Data!$V:$V,$R107,Data!$U:$U,8))</f>
        <v/>
      </c>
      <c r="AB107">
        <f>IF(COUNTIFS(Data!$V:$V,$R107,Data!$U:$U,9,Data!$N:$N,"&lt;&gt;")=0,"",SUMIFS(Data!$N:$N,Data!$V:$V,$R107,Data!$U:$U,9))</f>
        <v/>
      </c>
      <c r="AC107">
        <f>IF(COUNTIFS(Data!$V:$V,$R107,Data!$U:$U,10,Data!$N:$N,"&lt;&gt;")=0,"",SUMIFS(Data!$N:$N,Data!$V:$V,$R107,Data!$U:$U,10))</f>
        <v/>
      </c>
      <c r="AD107">
        <f>IF(COUNTIFS(Data!$V:$V,$R107,Data!$U:$U,11,Data!$N:$N,"&lt;&gt;")=0,"",SUMIFS(Data!$N:$N,Data!$V:$V,$R107,Data!$U:$U,11))</f>
        <v/>
      </c>
      <c r="AE107">
        <f>IF(COUNTIFS(Data!$V:$V,$R107,Data!$U:$U,12,Data!$N:$N,"&lt;&gt;")=0,"",SUMIFS(Data!$N:$N,Data!$V:$V,$R107,Data!$U:$U,12))</f>
        <v/>
      </c>
      <c r="AF107">
        <f>IF(COUNTIFS(Data!$V:$V,$R107,Data!$U:$U,13,Data!$N:$N,"&lt;&gt;")=0,"",SUMIFS(Data!$N:$N,Data!$V:$V,$R107,Data!$U:$U,13))</f>
        <v/>
      </c>
      <c r="AG107">
        <f>IF(COUNTIFS(Data!$V:$V,$R107,Data!$U:$U,14,Data!$N:$N,"&lt;&gt;")=0,"",SUMIFS(Data!$N:$N,Data!$V:$V,$R107,Data!$U:$U,14))</f>
        <v/>
      </c>
      <c r="AH107">
        <f>COUNTIFS(Data!$V:$V,$R107,Data!$U:$U,"&lt;="&amp;14,Data!$N:$N,"&lt;&gt;")</f>
        <v/>
      </c>
      <c r="AI107">
        <f>COUNTIFS(Data!$V:$V,$R107,Data!$U:$U,"&lt;="&amp;14,Data!$N:$N,0)</f>
        <v/>
      </c>
      <c r="AJ107">
        <f>IF(AH107=0,"",AH107-AI107)</f>
        <v/>
      </c>
      <c r="AK107">
        <f>IF(AH107=0,"",SUMIFS(Data!$N:$N,Data!$V:$V,$R107,Data!$U:$U,"&lt;="&amp;14))</f>
        <v/>
      </c>
      <c r="AL107">
        <f>IF(AH107=0,"",IF(ABS(MAX(T107:AG107))&gt;=ABS(MIN(T107:AG107)),MAX(T107:AG107),MIN(T107:AG107)))</f>
        <v/>
      </c>
      <c r="AM107">
        <f>IF(AH107=0,-1,AJ107*100000+MIN(ABS(AK107),99999))</f>
        <v/>
      </c>
      <c r="AN107">
        <f>IF($S107="","",1+COUNTIFS($AM$3:$AM$122,"&gt;"&amp;AM107)+COUNTIFS($AM$3:$AM$122,AM107,$R$3:$R$122,"&lt;"&amp;$R107))</f>
        <v/>
      </c>
    </row>
    <row r="108">
      <c r="R108" t="n">
        <v>106</v>
      </c>
      <c r="S108">
        <f>IFERROR(INDEX(Data!$G:$G,MATCH($R108,Data!$V:$V,0)),"")</f>
        <v/>
      </c>
      <c r="T108">
        <f>IF(COUNTIFS(Data!$V:$V,$R108,Data!$U:$U,1,Data!$N:$N,"&lt;&gt;")=0,"",SUMIFS(Data!$N:$N,Data!$V:$V,$R108,Data!$U:$U,1))</f>
        <v/>
      </c>
      <c r="U108">
        <f>IF(COUNTIFS(Data!$V:$V,$R108,Data!$U:$U,2,Data!$N:$N,"&lt;&gt;")=0,"",SUMIFS(Data!$N:$N,Data!$V:$V,$R108,Data!$U:$U,2))</f>
        <v/>
      </c>
      <c r="V108">
        <f>IF(COUNTIFS(Data!$V:$V,$R108,Data!$U:$U,3,Data!$N:$N,"&lt;&gt;")=0,"",SUMIFS(Data!$N:$N,Data!$V:$V,$R108,Data!$U:$U,3))</f>
        <v/>
      </c>
      <c r="W108">
        <f>IF(COUNTIFS(Data!$V:$V,$R108,Data!$U:$U,4,Data!$N:$N,"&lt;&gt;")=0,"",SUMIFS(Data!$N:$N,Data!$V:$V,$R108,Data!$U:$U,4))</f>
        <v/>
      </c>
      <c r="X108">
        <f>IF(COUNTIFS(Data!$V:$V,$R108,Data!$U:$U,5,Data!$N:$N,"&lt;&gt;")=0,"",SUMIFS(Data!$N:$N,Data!$V:$V,$R108,Data!$U:$U,5))</f>
        <v/>
      </c>
      <c r="Y108">
        <f>IF(COUNTIFS(Data!$V:$V,$R108,Data!$U:$U,6,Data!$N:$N,"&lt;&gt;")=0,"",SUMIFS(Data!$N:$N,Data!$V:$V,$R108,Data!$U:$U,6))</f>
        <v/>
      </c>
      <c r="Z108">
        <f>IF(COUNTIFS(Data!$V:$V,$R108,Data!$U:$U,7,Data!$N:$N,"&lt;&gt;")=0,"",SUMIFS(Data!$N:$N,Data!$V:$V,$R108,Data!$U:$U,7))</f>
        <v/>
      </c>
      <c r="AA108">
        <f>IF(COUNTIFS(Data!$V:$V,$R108,Data!$U:$U,8,Data!$N:$N,"&lt;&gt;")=0,"",SUMIFS(Data!$N:$N,Data!$V:$V,$R108,Data!$U:$U,8))</f>
        <v/>
      </c>
      <c r="AB108">
        <f>IF(COUNTIFS(Data!$V:$V,$R108,Data!$U:$U,9,Data!$N:$N,"&lt;&gt;")=0,"",SUMIFS(Data!$N:$N,Data!$V:$V,$R108,Data!$U:$U,9))</f>
        <v/>
      </c>
      <c r="AC108">
        <f>IF(COUNTIFS(Data!$V:$V,$R108,Data!$U:$U,10,Data!$N:$N,"&lt;&gt;")=0,"",SUMIFS(Data!$N:$N,Data!$V:$V,$R108,Data!$U:$U,10))</f>
        <v/>
      </c>
      <c r="AD108">
        <f>IF(COUNTIFS(Data!$V:$V,$R108,Data!$U:$U,11,Data!$N:$N,"&lt;&gt;")=0,"",SUMIFS(Data!$N:$N,Data!$V:$V,$R108,Data!$U:$U,11))</f>
        <v/>
      </c>
      <c r="AE108">
        <f>IF(COUNTIFS(Data!$V:$V,$R108,Data!$U:$U,12,Data!$N:$N,"&lt;&gt;")=0,"",SUMIFS(Data!$N:$N,Data!$V:$V,$R108,Data!$U:$U,12))</f>
        <v/>
      </c>
      <c r="AF108">
        <f>IF(COUNTIFS(Data!$V:$V,$R108,Data!$U:$U,13,Data!$N:$N,"&lt;&gt;")=0,"",SUMIFS(Data!$N:$N,Data!$V:$V,$R108,Data!$U:$U,13))</f>
        <v/>
      </c>
      <c r="AG108">
        <f>IF(COUNTIFS(Data!$V:$V,$R108,Data!$U:$U,14,Data!$N:$N,"&lt;&gt;")=0,"",SUMIFS(Data!$N:$N,Data!$V:$V,$R108,Data!$U:$U,14))</f>
        <v/>
      </c>
      <c r="AH108">
        <f>COUNTIFS(Data!$V:$V,$R108,Data!$U:$U,"&lt;="&amp;14,Data!$N:$N,"&lt;&gt;")</f>
        <v/>
      </c>
      <c r="AI108">
        <f>COUNTIFS(Data!$V:$V,$R108,Data!$U:$U,"&lt;="&amp;14,Data!$N:$N,0)</f>
        <v/>
      </c>
      <c r="AJ108">
        <f>IF(AH108=0,"",AH108-AI108)</f>
        <v/>
      </c>
      <c r="AK108">
        <f>IF(AH108=0,"",SUMIFS(Data!$N:$N,Data!$V:$V,$R108,Data!$U:$U,"&lt;="&amp;14))</f>
        <v/>
      </c>
      <c r="AL108">
        <f>IF(AH108=0,"",IF(ABS(MAX(T108:AG108))&gt;=ABS(MIN(T108:AG108)),MAX(T108:AG108),MIN(T108:AG108)))</f>
        <v/>
      </c>
      <c r="AM108">
        <f>IF(AH108=0,-1,AJ108*100000+MIN(ABS(AK108),99999))</f>
        <v/>
      </c>
      <c r="AN108">
        <f>IF($S108="","",1+COUNTIFS($AM$3:$AM$122,"&gt;"&amp;AM108)+COUNTIFS($AM$3:$AM$122,AM108,$R$3:$R$122,"&lt;"&amp;$R108))</f>
        <v/>
      </c>
    </row>
    <row r="109">
      <c r="R109" t="n">
        <v>107</v>
      </c>
      <c r="S109">
        <f>IFERROR(INDEX(Data!$G:$G,MATCH($R109,Data!$V:$V,0)),"")</f>
        <v/>
      </c>
      <c r="T109">
        <f>IF(COUNTIFS(Data!$V:$V,$R109,Data!$U:$U,1,Data!$N:$N,"&lt;&gt;")=0,"",SUMIFS(Data!$N:$N,Data!$V:$V,$R109,Data!$U:$U,1))</f>
        <v/>
      </c>
      <c r="U109">
        <f>IF(COUNTIFS(Data!$V:$V,$R109,Data!$U:$U,2,Data!$N:$N,"&lt;&gt;")=0,"",SUMIFS(Data!$N:$N,Data!$V:$V,$R109,Data!$U:$U,2))</f>
        <v/>
      </c>
      <c r="V109">
        <f>IF(COUNTIFS(Data!$V:$V,$R109,Data!$U:$U,3,Data!$N:$N,"&lt;&gt;")=0,"",SUMIFS(Data!$N:$N,Data!$V:$V,$R109,Data!$U:$U,3))</f>
        <v/>
      </c>
      <c r="W109">
        <f>IF(COUNTIFS(Data!$V:$V,$R109,Data!$U:$U,4,Data!$N:$N,"&lt;&gt;")=0,"",SUMIFS(Data!$N:$N,Data!$V:$V,$R109,Data!$U:$U,4))</f>
        <v/>
      </c>
      <c r="X109">
        <f>IF(COUNTIFS(Data!$V:$V,$R109,Data!$U:$U,5,Data!$N:$N,"&lt;&gt;")=0,"",SUMIFS(Data!$N:$N,Data!$V:$V,$R109,Data!$U:$U,5))</f>
        <v/>
      </c>
      <c r="Y109">
        <f>IF(COUNTIFS(Data!$V:$V,$R109,Data!$U:$U,6,Data!$N:$N,"&lt;&gt;")=0,"",SUMIFS(Data!$N:$N,Data!$V:$V,$R109,Data!$U:$U,6))</f>
        <v/>
      </c>
      <c r="Z109">
        <f>IF(COUNTIFS(Data!$V:$V,$R109,Data!$U:$U,7,Data!$N:$N,"&lt;&gt;")=0,"",SUMIFS(Data!$N:$N,Data!$V:$V,$R109,Data!$U:$U,7))</f>
        <v/>
      </c>
      <c r="AA109">
        <f>IF(COUNTIFS(Data!$V:$V,$R109,Data!$U:$U,8,Data!$N:$N,"&lt;&gt;")=0,"",SUMIFS(Data!$N:$N,Data!$V:$V,$R109,Data!$U:$U,8))</f>
        <v/>
      </c>
      <c r="AB109">
        <f>IF(COUNTIFS(Data!$V:$V,$R109,Data!$U:$U,9,Data!$N:$N,"&lt;&gt;")=0,"",SUMIFS(Data!$N:$N,Data!$V:$V,$R109,Data!$U:$U,9))</f>
        <v/>
      </c>
      <c r="AC109">
        <f>IF(COUNTIFS(Data!$V:$V,$R109,Data!$U:$U,10,Data!$N:$N,"&lt;&gt;")=0,"",SUMIFS(Data!$N:$N,Data!$V:$V,$R109,Data!$U:$U,10))</f>
        <v/>
      </c>
      <c r="AD109">
        <f>IF(COUNTIFS(Data!$V:$V,$R109,Data!$U:$U,11,Data!$N:$N,"&lt;&gt;")=0,"",SUMIFS(Data!$N:$N,Data!$V:$V,$R109,Data!$U:$U,11))</f>
        <v/>
      </c>
      <c r="AE109">
        <f>IF(COUNTIFS(Data!$V:$V,$R109,Data!$U:$U,12,Data!$N:$N,"&lt;&gt;")=0,"",SUMIFS(Data!$N:$N,Data!$V:$V,$R109,Data!$U:$U,12))</f>
        <v/>
      </c>
      <c r="AF109">
        <f>IF(COUNTIFS(Data!$V:$V,$R109,Data!$U:$U,13,Data!$N:$N,"&lt;&gt;")=0,"",SUMIFS(Data!$N:$N,Data!$V:$V,$R109,Data!$U:$U,13))</f>
        <v/>
      </c>
      <c r="AG109">
        <f>IF(COUNTIFS(Data!$V:$V,$R109,Data!$U:$U,14,Data!$N:$N,"&lt;&gt;")=0,"",SUMIFS(Data!$N:$N,Data!$V:$V,$R109,Data!$U:$U,14))</f>
        <v/>
      </c>
      <c r="AH109">
        <f>COUNTIFS(Data!$V:$V,$R109,Data!$U:$U,"&lt;="&amp;14,Data!$N:$N,"&lt;&gt;")</f>
        <v/>
      </c>
      <c r="AI109">
        <f>COUNTIFS(Data!$V:$V,$R109,Data!$U:$U,"&lt;="&amp;14,Data!$N:$N,0)</f>
        <v/>
      </c>
      <c r="AJ109">
        <f>IF(AH109=0,"",AH109-AI109)</f>
        <v/>
      </c>
      <c r="AK109">
        <f>IF(AH109=0,"",SUMIFS(Data!$N:$N,Data!$V:$V,$R109,Data!$U:$U,"&lt;="&amp;14))</f>
        <v/>
      </c>
      <c r="AL109">
        <f>IF(AH109=0,"",IF(ABS(MAX(T109:AG109))&gt;=ABS(MIN(T109:AG109)),MAX(T109:AG109),MIN(T109:AG109)))</f>
        <v/>
      </c>
      <c r="AM109">
        <f>IF(AH109=0,-1,AJ109*100000+MIN(ABS(AK109),99999))</f>
        <v/>
      </c>
      <c r="AN109">
        <f>IF($S109="","",1+COUNTIFS($AM$3:$AM$122,"&gt;"&amp;AM109)+COUNTIFS($AM$3:$AM$122,AM109,$R$3:$R$122,"&lt;"&amp;$R109))</f>
        <v/>
      </c>
    </row>
    <row r="110">
      <c r="R110" t="n">
        <v>108</v>
      </c>
      <c r="S110">
        <f>IFERROR(INDEX(Data!$G:$G,MATCH($R110,Data!$V:$V,0)),"")</f>
        <v/>
      </c>
      <c r="T110">
        <f>IF(COUNTIFS(Data!$V:$V,$R110,Data!$U:$U,1,Data!$N:$N,"&lt;&gt;")=0,"",SUMIFS(Data!$N:$N,Data!$V:$V,$R110,Data!$U:$U,1))</f>
        <v/>
      </c>
      <c r="U110">
        <f>IF(COUNTIFS(Data!$V:$V,$R110,Data!$U:$U,2,Data!$N:$N,"&lt;&gt;")=0,"",SUMIFS(Data!$N:$N,Data!$V:$V,$R110,Data!$U:$U,2))</f>
        <v/>
      </c>
      <c r="V110">
        <f>IF(COUNTIFS(Data!$V:$V,$R110,Data!$U:$U,3,Data!$N:$N,"&lt;&gt;")=0,"",SUMIFS(Data!$N:$N,Data!$V:$V,$R110,Data!$U:$U,3))</f>
        <v/>
      </c>
      <c r="W110">
        <f>IF(COUNTIFS(Data!$V:$V,$R110,Data!$U:$U,4,Data!$N:$N,"&lt;&gt;")=0,"",SUMIFS(Data!$N:$N,Data!$V:$V,$R110,Data!$U:$U,4))</f>
        <v/>
      </c>
      <c r="X110">
        <f>IF(COUNTIFS(Data!$V:$V,$R110,Data!$U:$U,5,Data!$N:$N,"&lt;&gt;")=0,"",SUMIFS(Data!$N:$N,Data!$V:$V,$R110,Data!$U:$U,5))</f>
        <v/>
      </c>
      <c r="Y110">
        <f>IF(COUNTIFS(Data!$V:$V,$R110,Data!$U:$U,6,Data!$N:$N,"&lt;&gt;")=0,"",SUMIFS(Data!$N:$N,Data!$V:$V,$R110,Data!$U:$U,6))</f>
        <v/>
      </c>
      <c r="Z110">
        <f>IF(COUNTIFS(Data!$V:$V,$R110,Data!$U:$U,7,Data!$N:$N,"&lt;&gt;")=0,"",SUMIFS(Data!$N:$N,Data!$V:$V,$R110,Data!$U:$U,7))</f>
        <v/>
      </c>
      <c r="AA110">
        <f>IF(COUNTIFS(Data!$V:$V,$R110,Data!$U:$U,8,Data!$N:$N,"&lt;&gt;")=0,"",SUMIFS(Data!$N:$N,Data!$V:$V,$R110,Data!$U:$U,8))</f>
        <v/>
      </c>
      <c r="AB110">
        <f>IF(COUNTIFS(Data!$V:$V,$R110,Data!$U:$U,9,Data!$N:$N,"&lt;&gt;")=0,"",SUMIFS(Data!$N:$N,Data!$V:$V,$R110,Data!$U:$U,9))</f>
        <v/>
      </c>
      <c r="AC110">
        <f>IF(COUNTIFS(Data!$V:$V,$R110,Data!$U:$U,10,Data!$N:$N,"&lt;&gt;")=0,"",SUMIFS(Data!$N:$N,Data!$V:$V,$R110,Data!$U:$U,10))</f>
        <v/>
      </c>
      <c r="AD110">
        <f>IF(COUNTIFS(Data!$V:$V,$R110,Data!$U:$U,11,Data!$N:$N,"&lt;&gt;")=0,"",SUMIFS(Data!$N:$N,Data!$V:$V,$R110,Data!$U:$U,11))</f>
        <v/>
      </c>
      <c r="AE110">
        <f>IF(COUNTIFS(Data!$V:$V,$R110,Data!$U:$U,12,Data!$N:$N,"&lt;&gt;")=0,"",SUMIFS(Data!$N:$N,Data!$V:$V,$R110,Data!$U:$U,12))</f>
        <v/>
      </c>
      <c r="AF110">
        <f>IF(COUNTIFS(Data!$V:$V,$R110,Data!$U:$U,13,Data!$N:$N,"&lt;&gt;")=0,"",SUMIFS(Data!$N:$N,Data!$V:$V,$R110,Data!$U:$U,13))</f>
        <v/>
      </c>
      <c r="AG110">
        <f>IF(COUNTIFS(Data!$V:$V,$R110,Data!$U:$U,14,Data!$N:$N,"&lt;&gt;")=0,"",SUMIFS(Data!$N:$N,Data!$V:$V,$R110,Data!$U:$U,14))</f>
        <v/>
      </c>
      <c r="AH110">
        <f>COUNTIFS(Data!$V:$V,$R110,Data!$U:$U,"&lt;="&amp;14,Data!$N:$N,"&lt;&gt;")</f>
        <v/>
      </c>
      <c r="AI110">
        <f>COUNTIFS(Data!$V:$V,$R110,Data!$U:$U,"&lt;="&amp;14,Data!$N:$N,0)</f>
        <v/>
      </c>
      <c r="AJ110">
        <f>IF(AH110=0,"",AH110-AI110)</f>
        <v/>
      </c>
      <c r="AK110">
        <f>IF(AH110=0,"",SUMIFS(Data!$N:$N,Data!$V:$V,$R110,Data!$U:$U,"&lt;="&amp;14))</f>
        <v/>
      </c>
      <c r="AL110">
        <f>IF(AH110=0,"",IF(ABS(MAX(T110:AG110))&gt;=ABS(MIN(T110:AG110)),MAX(T110:AG110),MIN(T110:AG110)))</f>
        <v/>
      </c>
      <c r="AM110">
        <f>IF(AH110=0,-1,AJ110*100000+MIN(ABS(AK110),99999))</f>
        <v/>
      </c>
      <c r="AN110">
        <f>IF($S110="","",1+COUNTIFS($AM$3:$AM$122,"&gt;"&amp;AM110)+COUNTIFS($AM$3:$AM$122,AM110,$R$3:$R$122,"&lt;"&amp;$R110))</f>
        <v/>
      </c>
    </row>
    <row r="111">
      <c r="R111" t="n">
        <v>109</v>
      </c>
      <c r="S111">
        <f>IFERROR(INDEX(Data!$G:$G,MATCH($R111,Data!$V:$V,0)),"")</f>
        <v/>
      </c>
      <c r="T111">
        <f>IF(COUNTIFS(Data!$V:$V,$R111,Data!$U:$U,1,Data!$N:$N,"&lt;&gt;")=0,"",SUMIFS(Data!$N:$N,Data!$V:$V,$R111,Data!$U:$U,1))</f>
        <v/>
      </c>
      <c r="U111">
        <f>IF(COUNTIFS(Data!$V:$V,$R111,Data!$U:$U,2,Data!$N:$N,"&lt;&gt;")=0,"",SUMIFS(Data!$N:$N,Data!$V:$V,$R111,Data!$U:$U,2))</f>
        <v/>
      </c>
      <c r="V111">
        <f>IF(COUNTIFS(Data!$V:$V,$R111,Data!$U:$U,3,Data!$N:$N,"&lt;&gt;")=0,"",SUMIFS(Data!$N:$N,Data!$V:$V,$R111,Data!$U:$U,3))</f>
        <v/>
      </c>
      <c r="W111">
        <f>IF(COUNTIFS(Data!$V:$V,$R111,Data!$U:$U,4,Data!$N:$N,"&lt;&gt;")=0,"",SUMIFS(Data!$N:$N,Data!$V:$V,$R111,Data!$U:$U,4))</f>
        <v/>
      </c>
      <c r="X111">
        <f>IF(COUNTIFS(Data!$V:$V,$R111,Data!$U:$U,5,Data!$N:$N,"&lt;&gt;")=0,"",SUMIFS(Data!$N:$N,Data!$V:$V,$R111,Data!$U:$U,5))</f>
        <v/>
      </c>
      <c r="Y111">
        <f>IF(COUNTIFS(Data!$V:$V,$R111,Data!$U:$U,6,Data!$N:$N,"&lt;&gt;")=0,"",SUMIFS(Data!$N:$N,Data!$V:$V,$R111,Data!$U:$U,6))</f>
        <v/>
      </c>
      <c r="Z111">
        <f>IF(COUNTIFS(Data!$V:$V,$R111,Data!$U:$U,7,Data!$N:$N,"&lt;&gt;")=0,"",SUMIFS(Data!$N:$N,Data!$V:$V,$R111,Data!$U:$U,7))</f>
        <v/>
      </c>
      <c r="AA111">
        <f>IF(COUNTIFS(Data!$V:$V,$R111,Data!$U:$U,8,Data!$N:$N,"&lt;&gt;")=0,"",SUMIFS(Data!$N:$N,Data!$V:$V,$R111,Data!$U:$U,8))</f>
        <v/>
      </c>
      <c r="AB111">
        <f>IF(COUNTIFS(Data!$V:$V,$R111,Data!$U:$U,9,Data!$N:$N,"&lt;&gt;")=0,"",SUMIFS(Data!$N:$N,Data!$V:$V,$R111,Data!$U:$U,9))</f>
        <v/>
      </c>
      <c r="AC111">
        <f>IF(COUNTIFS(Data!$V:$V,$R111,Data!$U:$U,10,Data!$N:$N,"&lt;&gt;")=0,"",SUMIFS(Data!$N:$N,Data!$V:$V,$R111,Data!$U:$U,10))</f>
        <v/>
      </c>
      <c r="AD111">
        <f>IF(COUNTIFS(Data!$V:$V,$R111,Data!$U:$U,11,Data!$N:$N,"&lt;&gt;")=0,"",SUMIFS(Data!$N:$N,Data!$V:$V,$R111,Data!$U:$U,11))</f>
        <v/>
      </c>
      <c r="AE111">
        <f>IF(COUNTIFS(Data!$V:$V,$R111,Data!$U:$U,12,Data!$N:$N,"&lt;&gt;")=0,"",SUMIFS(Data!$N:$N,Data!$V:$V,$R111,Data!$U:$U,12))</f>
        <v/>
      </c>
      <c r="AF111">
        <f>IF(COUNTIFS(Data!$V:$V,$R111,Data!$U:$U,13,Data!$N:$N,"&lt;&gt;")=0,"",SUMIFS(Data!$N:$N,Data!$V:$V,$R111,Data!$U:$U,13))</f>
        <v/>
      </c>
      <c r="AG111">
        <f>IF(COUNTIFS(Data!$V:$V,$R111,Data!$U:$U,14,Data!$N:$N,"&lt;&gt;")=0,"",SUMIFS(Data!$N:$N,Data!$V:$V,$R111,Data!$U:$U,14))</f>
        <v/>
      </c>
      <c r="AH111">
        <f>COUNTIFS(Data!$V:$V,$R111,Data!$U:$U,"&lt;="&amp;14,Data!$N:$N,"&lt;&gt;")</f>
        <v/>
      </c>
      <c r="AI111">
        <f>COUNTIFS(Data!$V:$V,$R111,Data!$U:$U,"&lt;="&amp;14,Data!$N:$N,0)</f>
        <v/>
      </c>
      <c r="AJ111">
        <f>IF(AH111=0,"",AH111-AI111)</f>
        <v/>
      </c>
      <c r="AK111">
        <f>IF(AH111=0,"",SUMIFS(Data!$N:$N,Data!$V:$V,$R111,Data!$U:$U,"&lt;="&amp;14))</f>
        <v/>
      </c>
      <c r="AL111">
        <f>IF(AH111=0,"",IF(ABS(MAX(T111:AG111))&gt;=ABS(MIN(T111:AG111)),MAX(T111:AG111),MIN(T111:AG111)))</f>
        <v/>
      </c>
      <c r="AM111">
        <f>IF(AH111=0,-1,AJ111*100000+MIN(ABS(AK111),99999))</f>
        <v/>
      </c>
      <c r="AN111">
        <f>IF($S111="","",1+COUNTIFS($AM$3:$AM$122,"&gt;"&amp;AM111)+COUNTIFS($AM$3:$AM$122,AM111,$R$3:$R$122,"&lt;"&amp;$R111))</f>
        <v/>
      </c>
    </row>
    <row r="112">
      <c r="R112" t="n">
        <v>110</v>
      </c>
      <c r="S112">
        <f>IFERROR(INDEX(Data!$G:$G,MATCH($R112,Data!$V:$V,0)),"")</f>
        <v/>
      </c>
      <c r="T112">
        <f>IF(COUNTIFS(Data!$V:$V,$R112,Data!$U:$U,1,Data!$N:$N,"&lt;&gt;")=0,"",SUMIFS(Data!$N:$N,Data!$V:$V,$R112,Data!$U:$U,1))</f>
        <v/>
      </c>
      <c r="U112">
        <f>IF(COUNTIFS(Data!$V:$V,$R112,Data!$U:$U,2,Data!$N:$N,"&lt;&gt;")=0,"",SUMIFS(Data!$N:$N,Data!$V:$V,$R112,Data!$U:$U,2))</f>
        <v/>
      </c>
      <c r="V112">
        <f>IF(COUNTIFS(Data!$V:$V,$R112,Data!$U:$U,3,Data!$N:$N,"&lt;&gt;")=0,"",SUMIFS(Data!$N:$N,Data!$V:$V,$R112,Data!$U:$U,3))</f>
        <v/>
      </c>
      <c r="W112">
        <f>IF(COUNTIFS(Data!$V:$V,$R112,Data!$U:$U,4,Data!$N:$N,"&lt;&gt;")=0,"",SUMIFS(Data!$N:$N,Data!$V:$V,$R112,Data!$U:$U,4))</f>
        <v/>
      </c>
      <c r="X112">
        <f>IF(COUNTIFS(Data!$V:$V,$R112,Data!$U:$U,5,Data!$N:$N,"&lt;&gt;")=0,"",SUMIFS(Data!$N:$N,Data!$V:$V,$R112,Data!$U:$U,5))</f>
        <v/>
      </c>
      <c r="Y112">
        <f>IF(COUNTIFS(Data!$V:$V,$R112,Data!$U:$U,6,Data!$N:$N,"&lt;&gt;")=0,"",SUMIFS(Data!$N:$N,Data!$V:$V,$R112,Data!$U:$U,6))</f>
        <v/>
      </c>
      <c r="Z112">
        <f>IF(COUNTIFS(Data!$V:$V,$R112,Data!$U:$U,7,Data!$N:$N,"&lt;&gt;")=0,"",SUMIFS(Data!$N:$N,Data!$V:$V,$R112,Data!$U:$U,7))</f>
        <v/>
      </c>
      <c r="AA112">
        <f>IF(COUNTIFS(Data!$V:$V,$R112,Data!$U:$U,8,Data!$N:$N,"&lt;&gt;")=0,"",SUMIFS(Data!$N:$N,Data!$V:$V,$R112,Data!$U:$U,8))</f>
        <v/>
      </c>
      <c r="AB112">
        <f>IF(COUNTIFS(Data!$V:$V,$R112,Data!$U:$U,9,Data!$N:$N,"&lt;&gt;")=0,"",SUMIFS(Data!$N:$N,Data!$V:$V,$R112,Data!$U:$U,9))</f>
        <v/>
      </c>
      <c r="AC112">
        <f>IF(COUNTIFS(Data!$V:$V,$R112,Data!$U:$U,10,Data!$N:$N,"&lt;&gt;")=0,"",SUMIFS(Data!$N:$N,Data!$V:$V,$R112,Data!$U:$U,10))</f>
        <v/>
      </c>
      <c r="AD112">
        <f>IF(COUNTIFS(Data!$V:$V,$R112,Data!$U:$U,11,Data!$N:$N,"&lt;&gt;")=0,"",SUMIFS(Data!$N:$N,Data!$V:$V,$R112,Data!$U:$U,11))</f>
        <v/>
      </c>
      <c r="AE112">
        <f>IF(COUNTIFS(Data!$V:$V,$R112,Data!$U:$U,12,Data!$N:$N,"&lt;&gt;")=0,"",SUMIFS(Data!$N:$N,Data!$V:$V,$R112,Data!$U:$U,12))</f>
        <v/>
      </c>
      <c r="AF112">
        <f>IF(COUNTIFS(Data!$V:$V,$R112,Data!$U:$U,13,Data!$N:$N,"&lt;&gt;")=0,"",SUMIFS(Data!$N:$N,Data!$V:$V,$R112,Data!$U:$U,13))</f>
        <v/>
      </c>
      <c r="AG112">
        <f>IF(COUNTIFS(Data!$V:$V,$R112,Data!$U:$U,14,Data!$N:$N,"&lt;&gt;")=0,"",SUMIFS(Data!$N:$N,Data!$V:$V,$R112,Data!$U:$U,14))</f>
        <v/>
      </c>
      <c r="AH112">
        <f>COUNTIFS(Data!$V:$V,$R112,Data!$U:$U,"&lt;="&amp;14,Data!$N:$N,"&lt;&gt;")</f>
        <v/>
      </c>
      <c r="AI112">
        <f>COUNTIFS(Data!$V:$V,$R112,Data!$U:$U,"&lt;="&amp;14,Data!$N:$N,0)</f>
        <v/>
      </c>
      <c r="AJ112">
        <f>IF(AH112=0,"",AH112-AI112)</f>
        <v/>
      </c>
      <c r="AK112">
        <f>IF(AH112=0,"",SUMIFS(Data!$N:$N,Data!$V:$V,$R112,Data!$U:$U,"&lt;="&amp;14))</f>
        <v/>
      </c>
      <c r="AL112">
        <f>IF(AH112=0,"",IF(ABS(MAX(T112:AG112))&gt;=ABS(MIN(T112:AG112)),MAX(T112:AG112),MIN(T112:AG112)))</f>
        <v/>
      </c>
      <c r="AM112">
        <f>IF(AH112=0,-1,AJ112*100000+MIN(ABS(AK112),99999))</f>
        <v/>
      </c>
      <c r="AN112">
        <f>IF($S112="","",1+COUNTIFS($AM$3:$AM$122,"&gt;"&amp;AM112)+COUNTIFS($AM$3:$AM$122,AM112,$R$3:$R$122,"&lt;"&amp;$R112))</f>
        <v/>
      </c>
    </row>
    <row r="113">
      <c r="R113" t="n">
        <v>111</v>
      </c>
      <c r="S113">
        <f>IFERROR(INDEX(Data!$G:$G,MATCH($R113,Data!$V:$V,0)),"")</f>
        <v/>
      </c>
      <c r="T113">
        <f>IF(COUNTIFS(Data!$V:$V,$R113,Data!$U:$U,1,Data!$N:$N,"&lt;&gt;")=0,"",SUMIFS(Data!$N:$N,Data!$V:$V,$R113,Data!$U:$U,1))</f>
        <v/>
      </c>
      <c r="U113">
        <f>IF(COUNTIFS(Data!$V:$V,$R113,Data!$U:$U,2,Data!$N:$N,"&lt;&gt;")=0,"",SUMIFS(Data!$N:$N,Data!$V:$V,$R113,Data!$U:$U,2))</f>
        <v/>
      </c>
      <c r="V113">
        <f>IF(COUNTIFS(Data!$V:$V,$R113,Data!$U:$U,3,Data!$N:$N,"&lt;&gt;")=0,"",SUMIFS(Data!$N:$N,Data!$V:$V,$R113,Data!$U:$U,3))</f>
        <v/>
      </c>
      <c r="W113">
        <f>IF(COUNTIFS(Data!$V:$V,$R113,Data!$U:$U,4,Data!$N:$N,"&lt;&gt;")=0,"",SUMIFS(Data!$N:$N,Data!$V:$V,$R113,Data!$U:$U,4))</f>
        <v/>
      </c>
      <c r="X113">
        <f>IF(COUNTIFS(Data!$V:$V,$R113,Data!$U:$U,5,Data!$N:$N,"&lt;&gt;")=0,"",SUMIFS(Data!$N:$N,Data!$V:$V,$R113,Data!$U:$U,5))</f>
        <v/>
      </c>
      <c r="Y113">
        <f>IF(COUNTIFS(Data!$V:$V,$R113,Data!$U:$U,6,Data!$N:$N,"&lt;&gt;")=0,"",SUMIFS(Data!$N:$N,Data!$V:$V,$R113,Data!$U:$U,6))</f>
        <v/>
      </c>
      <c r="Z113">
        <f>IF(COUNTIFS(Data!$V:$V,$R113,Data!$U:$U,7,Data!$N:$N,"&lt;&gt;")=0,"",SUMIFS(Data!$N:$N,Data!$V:$V,$R113,Data!$U:$U,7))</f>
        <v/>
      </c>
      <c r="AA113">
        <f>IF(COUNTIFS(Data!$V:$V,$R113,Data!$U:$U,8,Data!$N:$N,"&lt;&gt;")=0,"",SUMIFS(Data!$N:$N,Data!$V:$V,$R113,Data!$U:$U,8))</f>
        <v/>
      </c>
      <c r="AB113">
        <f>IF(COUNTIFS(Data!$V:$V,$R113,Data!$U:$U,9,Data!$N:$N,"&lt;&gt;")=0,"",SUMIFS(Data!$N:$N,Data!$V:$V,$R113,Data!$U:$U,9))</f>
        <v/>
      </c>
      <c r="AC113">
        <f>IF(COUNTIFS(Data!$V:$V,$R113,Data!$U:$U,10,Data!$N:$N,"&lt;&gt;")=0,"",SUMIFS(Data!$N:$N,Data!$V:$V,$R113,Data!$U:$U,10))</f>
        <v/>
      </c>
      <c r="AD113">
        <f>IF(COUNTIFS(Data!$V:$V,$R113,Data!$U:$U,11,Data!$N:$N,"&lt;&gt;")=0,"",SUMIFS(Data!$N:$N,Data!$V:$V,$R113,Data!$U:$U,11))</f>
        <v/>
      </c>
      <c r="AE113">
        <f>IF(COUNTIFS(Data!$V:$V,$R113,Data!$U:$U,12,Data!$N:$N,"&lt;&gt;")=0,"",SUMIFS(Data!$N:$N,Data!$V:$V,$R113,Data!$U:$U,12))</f>
        <v/>
      </c>
      <c r="AF113">
        <f>IF(COUNTIFS(Data!$V:$V,$R113,Data!$U:$U,13,Data!$N:$N,"&lt;&gt;")=0,"",SUMIFS(Data!$N:$N,Data!$V:$V,$R113,Data!$U:$U,13))</f>
        <v/>
      </c>
      <c r="AG113">
        <f>IF(COUNTIFS(Data!$V:$V,$R113,Data!$U:$U,14,Data!$N:$N,"&lt;&gt;")=0,"",SUMIFS(Data!$N:$N,Data!$V:$V,$R113,Data!$U:$U,14))</f>
        <v/>
      </c>
      <c r="AH113">
        <f>COUNTIFS(Data!$V:$V,$R113,Data!$U:$U,"&lt;="&amp;14,Data!$N:$N,"&lt;&gt;")</f>
        <v/>
      </c>
      <c r="AI113">
        <f>COUNTIFS(Data!$V:$V,$R113,Data!$U:$U,"&lt;="&amp;14,Data!$N:$N,0)</f>
        <v/>
      </c>
      <c r="AJ113">
        <f>IF(AH113=0,"",AH113-AI113)</f>
        <v/>
      </c>
      <c r="AK113">
        <f>IF(AH113=0,"",SUMIFS(Data!$N:$N,Data!$V:$V,$R113,Data!$U:$U,"&lt;="&amp;14))</f>
        <v/>
      </c>
      <c r="AL113">
        <f>IF(AH113=0,"",IF(ABS(MAX(T113:AG113))&gt;=ABS(MIN(T113:AG113)),MAX(T113:AG113),MIN(T113:AG113)))</f>
        <v/>
      </c>
      <c r="AM113">
        <f>IF(AH113=0,-1,AJ113*100000+MIN(ABS(AK113),99999))</f>
        <v/>
      </c>
      <c r="AN113">
        <f>IF($S113="","",1+COUNTIFS($AM$3:$AM$122,"&gt;"&amp;AM113)+COUNTIFS($AM$3:$AM$122,AM113,$R$3:$R$122,"&lt;"&amp;$R113))</f>
        <v/>
      </c>
    </row>
    <row r="114">
      <c r="R114" t="n">
        <v>112</v>
      </c>
      <c r="S114">
        <f>IFERROR(INDEX(Data!$G:$G,MATCH($R114,Data!$V:$V,0)),"")</f>
        <v/>
      </c>
      <c r="T114">
        <f>IF(COUNTIFS(Data!$V:$V,$R114,Data!$U:$U,1,Data!$N:$N,"&lt;&gt;")=0,"",SUMIFS(Data!$N:$N,Data!$V:$V,$R114,Data!$U:$U,1))</f>
        <v/>
      </c>
      <c r="U114">
        <f>IF(COUNTIFS(Data!$V:$V,$R114,Data!$U:$U,2,Data!$N:$N,"&lt;&gt;")=0,"",SUMIFS(Data!$N:$N,Data!$V:$V,$R114,Data!$U:$U,2))</f>
        <v/>
      </c>
      <c r="V114">
        <f>IF(COUNTIFS(Data!$V:$V,$R114,Data!$U:$U,3,Data!$N:$N,"&lt;&gt;")=0,"",SUMIFS(Data!$N:$N,Data!$V:$V,$R114,Data!$U:$U,3))</f>
        <v/>
      </c>
      <c r="W114">
        <f>IF(COUNTIFS(Data!$V:$V,$R114,Data!$U:$U,4,Data!$N:$N,"&lt;&gt;")=0,"",SUMIFS(Data!$N:$N,Data!$V:$V,$R114,Data!$U:$U,4))</f>
        <v/>
      </c>
      <c r="X114">
        <f>IF(COUNTIFS(Data!$V:$V,$R114,Data!$U:$U,5,Data!$N:$N,"&lt;&gt;")=0,"",SUMIFS(Data!$N:$N,Data!$V:$V,$R114,Data!$U:$U,5))</f>
        <v/>
      </c>
      <c r="Y114">
        <f>IF(COUNTIFS(Data!$V:$V,$R114,Data!$U:$U,6,Data!$N:$N,"&lt;&gt;")=0,"",SUMIFS(Data!$N:$N,Data!$V:$V,$R114,Data!$U:$U,6))</f>
        <v/>
      </c>
      <c r="Z114">
        <f>IF(COUNTIFS(Data!$V:$V,$R114,Data!$U:$U,7,Data!$N:$N,"&lt;&gt;")=0,"",SUMIFS(Data!$N:$N,Data!$V:$V,$R114,Data!$U:$U,7))</f>
        <v/>
      </c>
      <c r="AA114">
        <f>IF(COUNTIFS(Data!$V:$V,$R114,Data!$U:$U,8,Data!$N:$N,"&lt;&gt;")=0,"",SUMIFS(Data!$N:$N,Data!$V:$V,$R114,Data!$U:$U,8))</f>
        <v/>
      </c>
      <c r="AB114">
        <f>IF(COUNTIFS(Data!$V:$V,$R114,Data!$U:$U,9,Data!$N:$N,"&lt;&gt;")=0,"",SUMIFS(Data!$N:$N,Data!$V:$V,$R114,Data!$U:$U,9))</f>
        <v/>
      </c>
      <c r="AC114">
        <f>IF(COUNTIFS(Data!$V:$V,$R114,Data!$U:$U,10,Data!$N:$N,"&lt;&gt;")=0,"",SUMIFS(Data!$N:$N,Data!$V:$V,$R114,Data!$U:$U,10))</f>
        <v/>
      </c>
      <c r="AD114">
        <f>IF(COUNTIFS(Data!$V:$V,$R114,Data!$U:$U,11,Data!$N:$N,"&lt;&gt;")=0,"",SUMIFS(Data!$N:$N,Data!$V:$V,$R114,Data!$U:$U,11))</f>
        <v/>
      </c>
      <c r="AE114">
        <f>IF(COUNTIFS(Data!$V:$V,$R114,Data!$U:$U,12,Data!$N:$N,"&lt;&gt;")=0,"",SUMIFS(Data!$N:$N,Data!$V:$V,$R114,Data!$U:$U,12))</f>
        <v/>
      </c>
      <c r="AF114">
        <f>IF(COUNTIFS(Data!$V:$V,$R114,Data!$U:$U,13,Data!$N:$N,"&lt;&gt;")=0,"",SUMIFS(Data!$N:$N,Data!$V:$V,$R114,Data!$U:$U,13))</f>
        <v/>
      </c>
      <c r="AG114">
        <f>IF(COUNTIFS(Data!$V:$V,$R114,Data!$U:$U,14,Data!$N:$N,"&lt;&gt;")=0,"",SUMIFS(Data!$N:$N,Data!$V:$V,$R114,Data!$U:$U,14))</f>
        <v/>
      </c>
      <c r="AH114">
        <f>COUNTIFS(Data!$V:$V,$R114,Data!$U:$U,"&lt;="&amp;14,Data!$N:$N,"&lt;&gt;")</f>
        <v/>
      </c>
      <c r="AI114">
        <f>COUNTIFS(Data!$V:$V,$R114,Data!$U:$U,"&lt;="&amp;14,Data!$N:$N,0)</f>
        <v/>
      </c>
      <c r="AJ114">
        <f>IF(AH114=0,"",AH114-AI114)</f>
        <v/>
      </c>
      <c r="AK114">
        <f>IF(AH114=0,"",SUMIFS(Data!$N:$N,Data!$V:$V,$R114,Data!$U:$U,"&lt;="&amp;14))</f>
        <v/>
      </c>
      <c r="AL114">
        <f>IF(AH114=0,"",IF(ABS(MAX(T114:AG114))&gt;=ABS(MIN(T114:AG114)),MAX(T114:AG114),MIN(T114:AG114)))</f>
        <v/>
      </c>
      <c r="AM114">
        <f>IF(AH114=0,-1,AJ114*100000+MIN(ABS(AK114),99999))</f>
        <v/>
      </c>
      <c r="AN114">
        <f>IF($S114="","",1+COUNTIFS($AM$3:$AM$122,"&gt;"&amp;AM114)+COUNTIFS($AM$3:$AM$122,AM114,$R$3:$R$122,"&lt;"&amp;$R114))</f>
        <v/>
      </c>
    </row>
    <row r="115">
      <c r="R115" t="n">
        <v>113</v>
      </c>
      <c r="S115">
        <f>IFERROR(INDEX(Data!$G:$G,MATCH($R115,Data!$V:$V,0)),"")</f>
        <v/>
      </c>
      <c r="T115">
        <f>IF(COUNTIFS(Data!$V:$V,$R115,Data!$U:$U,1,Data!$N:$N,"&lt;&gt;")=0,"",SUMIFS(Data!$N:$N,Data!$V:$V,$R115,Data!$U:$U,1))</f>
        <v/>
      </c>
      <c r="U115">
        <f>IF(COUNTIFS(Data!$V:$V,$R115,Data!$U:$U,2,Data!$N:$N,"&lt;&gt;")=0,"",SUMIFS(Data!$N:$N,Data!$V:$V,$R115,Data!$U:$U,2))</f>
        <v/>
      </c>
      <c r="V115">
        <f>IF(COUNTIFS(Data!$V:$V,$R115,Data!$U:$U,3,Data!$N:$N,"&lt;&gt;")=0,"",SUMIFS(Data!$N:$N,Data!$V:$V,$R115,Data!$U:$U,3))</f>
        <v/>
      </c>
      <c r="W115">
        <f>IF(COUNTIFS(Data!$V:$V,$R115,Data!$U:$U,4,Data!$N:$N,"&lt;&gt;")=0,"",SUMIFS(Data!$N:$N,Data!$V:$V,$R115,Data!$U:$U,4))</f>
        <v/>
      </c>
      <c r="X115">
        <f>IF(COUNTIFS(Data!$V:$V,$R115,Data!$U:$U,5,Data!$N:$N,"&lt;&gt;")=0,"",SUMIFS(Data!$N:$N,Data!$V:$V,$R115,Data!$U:$U,5))</f>
        <v/>
      </c>
      <c r="Y115">
        <f>IF(COUNTIFS(Data!$V:$V,$R115,Data!$U:$U,6,Data!$N:$N,"&lt;&gt;")=0,"",SUMIFS(Data!$N:$N,Data!$V:$V,$R115,Data!$U:$U,6))</f>
        <v/>
      </c>
      <c r="Z115">
        <f>IF(COUNTIFS(Data!$V:$V,$R115,Data!$U:$U,7,Data!$N:$N,"&lt;&gt;")=0,"",SUMIFS(Data!$N:$N,Data!$V:$V,$R115,Data!$U:$U,7))</f>
        <v/>
      </c>
      <c r="AA115">
        <f>IF(COUNTIFS(Data!$V:$V,$R115,Data!$U:$U,8,Data!$N:$N,"&lt;&gt;")=0,"",SUMIFS(Data!$N:$N,Data!$V:$V,$R115,Data!$U:$U,8))</f>
        <v/>
      </c>
      <c r="AB115">
        <f>IF(COUNTIFS(Data!$V:$V,$R115,Data!$U:$U,9,Data!$N:$N,"&lt;&gt;")=0,"",SUMIFS(Data!$N:$N,Data!$V:$V,$R115,Data!$U:$U,9))</f>
        <v/>
      </c>
      <c r="AC115">
        <f>IF(COUNTIFS(Data!$V:$V,$R115,Data!$U:$U,10,Data!$N:$N,"&lt;&gt;")=0,"",SUMIFS(Data!$N:$N,Data!$V:$V,$R115,Data!$U:$U,10))</f>
        <v/>
      </c>
      <c r="AD115">
        <f>IF(COUNTIFS(Data!$V:$V,$R115,Data!$U:$U,11,Data!$N:$N,"&lt;&gt;")=0,"",SUMIFS(Data!$N:$N,Data!$V:$V,$R115,Data!$U:$U,11))</f>
        <v/>
      </c>
      <c r="AE115">
        <f>IF(COUNTIFS(Data!$V:$V,$R115,Data!$U:$U,12,Data!$N:$N,"&lt;&gt;")=0,"",SUMIFS(Data!$N:$N,Data!$V:$V,$R115,Data!$U:$U,12))</f>
        <v/>
      </c>
      <c r="AF115">
        <f>IF(COUNTIFS(Data!$V:$V,$R115,Data!$U:$U,13,Data!$N:$N,"&lt;&gt;")=0,"",SUMIFS(Data!$N:$N,Data!$V:$V,$R115,Data!$U:$U,13))</f>
        <v/>
      </c>
      <c r="AG115">
        <f>IF(COUNTIFS(Data!$V:$V,$R115,Data!$U:$U,14,Data!$N:$N,"&lt;&gt;")=0,"",SUMIFS(Data!$N:$N,Data!$V:$V,$R115,Data!$U:$U,14))</f>
        <v/>
      </c>
      <c r="AH115">
        <f>COUNTIFS(Data!$V:$V,$R115,Data!$U:$U,"&lt;="&amp;14,Data!$N:$N,"&lt;&gt;")</f>
        <v/>
      </c>
      <c r="AI115">
        <f>COUNTIFS(Data!$V:$V,$R115,Data!$U:$U,"&lt;="&amp;14,Data!$N:$N,0)</f>
        <v/>
      </c>
      <c r="AJ115">
        <f>IF(AH115=0,"",AH115-AI115)</f>
        <v/>
      </c>
      <c r="AK115">
        <f>IF(AH115=0,"",SUMIFS(Data!$N:$N,Data!$V:$V,$R115,Data!$U:$U,"&lt;="&amp;14))</f>
        <v/>
      </c>
      <c r="AL115">
        <f>IF(AH115=0,"",IF(ABS(MAX(T115:AG115))&gt;=ABS(MIN(T115:AG115)),MAX(T115:AG115),MIN(T115:AG115)))</f>
        <v/>
      </c>
      <c r="AM115">
        <f>IF(AH115=0,-1,AJ115*100000+MIN(ABS(AK115),99999))</f>
        <v/>
      </c>
      <c r="AN115">
        <f>IF($S115="","",1+COUNTIFS($AM$3:$AM$122,"&gt;"&amp;AM115)+COUNTIFS($AM$3:$AM$122,AM115,$R$3:$R$122,"&lt;"&amp;$R115))</f>
        <v/>
      </c>
    </row>
    <row r="116">
      <c r="R116" t="n">
        <v>114</v>
      </c>
      <c r="S116">
        <f>IFERROR(INDEX(Data!$G:$G,MATCH($R116,Data!$V:$V,0)),"")</f>
        <v/>
      </c>
      <c r="T116">
        <f>IF(COUNTIFS(Data!$V:$V,$R116,Data!$U:$U,1,Data!$N:$N,"&lt;&gt;")=0,"",SUMIFS(Data!$N:$N,Data!$V:$V,$R116,Data!$U:$U,1))</f>
        <v/>
      </c>
      <c r="U116">
        <f>IF(COUNTIFS(Data!$V:$V,$R116,Data!$U:$U,2,Data!$N:$N,"&lt;&gt;")=0,"",SUMIFS(Data!$N:$N,Data!$V:$V,$R116,Data!$U:$U,2))</f>
        <v/>
      </c>
      <c r="V116">
        <f>IF(COUNTIFS(Data!$V:$V,$R116,Data!$U:$U,3,Data!$N:$N,"&lt;&gt;")=0,"",SUMIFS(Data!$N:$N,Data!$V:$V,$R116,Data!$U:$U,3))</f>
        <v/>
      </c>
      <c r="W116">
        <f>IF(COUNTIFS(Data!$V:$V,$R116,Data!$U:$U,4,Data!$N:$N,"&lt;&gt;")=0,"",SUMIFS(Data!$N:$N,Data!$V:$V,$R116,Data!$U:$U,4))</f>
        <v/>
      </c>
      <c r="X116">
        <f>IF(COUNTIFS(Data!$V:$V,$R116,Data!$U:$U,5,Data!$N:$N,"&lt;&gt;")=0,"",SUMIFS(Data!$N:$N,Data!$V:$V,$R116,Data!$U:$U,5))</f>
        <v/>
      </c>
      <c r="Y116">
        <f>IF(COUNTIFS(Data!$V:$V,$R116,Data!$U:$U,6,Data!$N:$N,"&lt;&gt;")=0,"",SUMIFS(Data!$N:$N,Data!$V:$V,$R116,Data!$U:$U,6))</f>
        <v/>
      </c>
      <c r="Z116">
        <f>IF(COUNTIFS(Data!$V:$V,$R116,Data!$U:$U,7,Data!$N:$N,"&lt;&gt;")=0,"",SUMIFS(Data!$N:$N,Data!$V:$V,$R116,Data!$U:$U,7))</f>
        <v/>
      </c>
      <c r="AA116">
        <f>IF(COUNTIFS(Data!$V:$V,$R116,Data!$U:$U,8,Data!$N:$N,"&lt;&gt;")=0,"",SUMIFS(Data!$N:$N,Data!$V:$V,$R116,Data!$U:$U,8))</f>
        <v/>
      </c>
      <c r="AB116">
        <f>IF(COUNTIFS(Data!$V:$V,$R116,Data!$U:$U,9,Data!$N:$N,"&lt;&gt;")=0,"",SUMIFS(Data!$N:$N,Data!$V:$V,$R116,Data!$U:$U,9))</f>
        <v/>
      </c>
      <c r="AC116">
        <f>IF(COUNTIFS(Data!$V:$V,$R116,Data!$U:$U,10,Data!$N:$N,"&lt;&gt;")=0,"",SUMIFS(Data!$N:$N,Data!$V:$V,$R116,Data!$U:$U,10))</f>
        <v/>
      </c>
      <c r="AD116">
        <f>IF(COUNTIFS(Data!$V:$V,$R116,Data!$U:$U,11,Data!$N:$N,"&lt;&gt;")=0,"",SUMIFS(Data!$N:$N,Data!$V:$V,$R116,Data!$U:$U,11))</f>
        <v/>
      </c>
      <c r="AE116">
        <f>IF(COUNTIFS(Data!$V:$V,$R116,Data!$U:$U,12,Data!$N:$N,"&lt;&gt;")=0,"",SUMIFS(Data!$N:$N,Data!$V:$V,$R116,Data!$U:$U,12))</f>
        <v/>
      </c>
      <c r="AF116">
        <f>IF(COUNTIFS(Data!$V:$V,$R116,Data!$U:$U,13,Data!$N:$N,"&lt;&gt;")=0,"",SUMIFS(Data!$N:$N,Data!$V:$V,$R116,Data!$U:$U,13))</f>
        <v/>
      </c>
      <c r="AG116">
        <f>IF(COUNTIFS(Data!$V:$V,$R116,Data!$U:$U,14,Data!$N:$N,"&lt;&gt;")=0,"",SUMIFS(Data!$N:$N,Data!$V:$V,$R116,Data!$U:$U,14))</f>
        <v/>
      </c>
      <c r="AH116">
        <f>COUNTIFS(Data!$V:$V,$R116,Data!$U:$U,"&lt;="&amp;14,Data!$N:$N,"&lt;&gt;")</f>
        <v/>
      </c>
      <c r="AI116">
        <f>COUNTIFS(Data!$V:$V,$R116,Data!$U:$U,"&lt;="&amp;14,Data!$N:$N,0)</f>
        <v/>
      </c>
      <c r="AJ116">
        <f>IF(AH116=0,"",AH116-AI116)</f>
        <v/>
      </c>
      <c r="AK116">
        <f>IF(AH116=0,"",SUMIFS(Data!$N:$N,Data!$V:$V,$R116,Data!$U:$U,"&lt;="&amp;14))</f>
        <v/>
      </c>
      <c r="AL116">
        <f>IF(AH116=0,"",IF(ABS(MAX(T116:AG116))&gt;=ABS(MIN(T116:AG116)),MAX(T116:AG116),MIN(T116:AG116)))</f>
        <v/>
      </c>
      <c r="AM116">
        <f>IF(AH116=0,-1,AJ116*100000+MIN(ABS(AK116),99999))</f>
        <v/>
      </c>
      <c r="AN116">
        <f>IF($S116="","",1+COUNTIFS($AM$3:$AM$122,"&gt;"&amp;AM116)+COUNTIFS($AM$3:$AM$122,AM116,$R$3:$R$122,"&lt;"&amp;$R116))</f>
        <v/>
      </c>
    </row>
    <row r="117">
      <c r="R117" t="n">
        <v>115</v>
      </c>
      <c r="S117">
        <f>IFERROR(INDEX(Data!$G:$G,MATCH($R117,Data!$V:$V,0)),"")</f>
        <v/>
      </c>
      <c r="T117">
        <f>IF(COUNTIFS(Data!$V:$V,$R117,Data!$U:$U,1,Data!$N:$N,"&lt;&gt;")=0,"",SUMIFS(Data!$N:$N,Data!$V:$V,$R117,Data!$U:$U,1))</f>
        <v/>
      </c>
      <c r="U117">
        <f>IF(COUNTIFS(Data!$V:$V,$R117,Data!$U:$U,2,Data!$N:$N,"&lt;&gt;")=0,"",SUMIFS(Data!$N:$N,Data!$V:$V,$R117,Data!$U:$U,2))</f>
        <v/>
      </c>
      <c r="V117">
        <f>IF(COUNTIFS(Data!$V:$V,$R117,Data!$U:$U,3,Data!$N:$N,"&lt;&gt;")=0,"",SUMIFS(Data!$N:$N,Data!$V:$V,$R117,Data!$U:$U,3))</f>
        <v/>
      </c>
      <c r="W117">
        <f>IF(COUNTIFS(Data!$V:$V,$R117,Data!$U:$U,4,Data!$N:$N,"&lt;&gt;")=0,"",SUMIFS(Data!$N:$N,Data!$V:$V,$R117,Data!$U:$U,4))</f>
        <v/>
      </c>
      <c r="X117">
        <f>IF(COUNTIFS(Data!$V:$V,$R117,Data!$U:$U,5,Data!$N:$N,"&lt;&gt;")=0,"",SUMIFS(Data!$N:$N,Data!$V:$V,$R117,Data!$U:$U,5))</f>
        <v/>
      </c>
      <c r="Y117">
        <f>IF(COUNTIFS(Data!$V:$V,$R117,Data!$U:$U,6,Data!$N:$N,"&lt;&gt;")=0,"",SUMIFS(Data!$N:$N,Data!$V:$V,$R117,Data!$U:$U,6))</f>
        <v/>
      </c>
      <c r="Z117">
        <f>IF(COUNTIFS(Data!$V:$V,$R117,Data!$U:$U,7,Data!$N:$N,"&lt;&gt;")=0,"",SUMIFS(Data!$N:$N,Data!$V:$V,$R117,Data!$U:$U,7))</f>
        <v/>
      </c>
      <c r="AA117">
        <f>IF(COUNTIFS(Data!$V:$V,$R117,Data!$U:$U,8,Data!$N:$N,"&lt;&gt;")=0,"",SUMIFS(Data!$N:$N,Data!$V:$V,$R117,Data!$U:$U,8))</f>
        <v/>
      </c>
      <c r="AB117">
        <f>IF(COUNTIFS(Data!$V:$V,$R117,Data!$U:$U,9,Data!$N:$N,"&lt;&gt;")=0,"",SUMIFS(Data!$N:$N,Data!$V:$V,$R117,Data!$U:$U,9))</f>
        <v/>
      </c>
      <c r="AC117">
        <f>IF(COUNTIFS(Data!$V:$V,$R117,Data!$U:$U,10,Data!$N:$N,"&lt;&gt;")=0,"",SUMIFS(Data!$N:$N,Data!$V:$V,$R117,Data!$U:$U,10))</f>
        <v/>
      </c>
      <c r="AD117">
        <f>IF(COUNTIFS(Data!$V:$V,$R117,Data!$U:$U,11,Data!$N:$N,"&lt;&gt;")=0,"",SUMIFS(Data!$N:$N,Data!$V:$V,$R117,Data!$U:$U,11))</f>
        <v/>
      </c>
      <c r="AE117">
        <f>IF(COUNTIFS(Data!$V:$V,$R117,Data!$U:$U,12,Data!$N:$N,"&lt;&gt;")=0,"",SUMIFS(Data!$N:$N,Data!$V:$V,$R117,Data!$U:$U,12))</f>
        <v/>
      </c>
      <c r="AF117">
        <f>IF(COUNTIFS(Data!$V:$V,$R117,Data!$U:$U,13,Data!$N:$N,"&lt;&gt;")=0,"",SUMIFS(Data!$N:$N,Data!$V:$V,$R117,Data!$U:$U,13))</f>
        <v/>
      </c>
      <c r="AG117">
        <f>IF(COUNTIFS(Data!$V:$V,$R117,Data!$U:$U,14,Data!$N:$N,"&lt;&gt;")=0,"",SUMIFS(Data!$N:$N,Data!$V:$V,$R117,Data!$U:$U,14))</f>
        <v/>
      </c>
      <c r="AH117">
        <f>COUNTIFS(Data!$V:$V,$R117,Data!$U:$U,"&lt;="&amp;14,Data!$N:$N,"&lt;&gt;")</f>
        <v/>
      </c>
      <c r="AI117">
        <f>COUNTIFS(Data!$V:$V,$R117,Data!$U:$U,"&lt;="&amp;14,Data!$N:$N,0)</f>
        <v/>
      </c>
      <c r="AJ117">
        <f>IF(AH117=0,"",AH117-AI117)</f>
        <v/>
      </c>
      <c r="AK117">
        <f>IF(AH117=0,"",SUMIFS(Data!$N:$N,Data!$V:$V,$R117,Data!$U:$U,"&lt;="&amp;14))</f>
        <v/>
      </c>
      <c r="AL117">
        <f>IF(AH117=0,"",IF(ABS(MAX(T117:AG117))&gt;=ABS(MIN(T117:AG117)),MAX(T117:AG117),MIN(T117:AG117)))</f>
        <v/>
      </c>
      <c r="AM117">
        <f>IF(AH117=0,-1,AJ117*100000+MIN(ABS(AK117),99999))</f>
        <v/>
      </c>
      <c r="AN117">
        <f>IF($S117="","",1+COUNTIFS($AM$3:$AM$122,"&gt;"&amp;AM117)+COUNTIFS($AM$3:$AM$122,AM117,$R$3:$R$122,"&lt;"&amp;$R117))</f>
        <v/>
      </c>
    </row>
    <row r="118">
      <c r="R118" t="n">
        <v>116</v>
      </c>
      <c r="S118">
        <f>IFERROR(INDEX(Data!$G:$G,MATCH($R118,Data!$V:$V,0)),"")</f>
        <v/>
      </c>
      <c r="T118">
        <f>IF(COUNTIFS(Data!$V:$V,$R118,Data!$U:$U,1,Data!$N:$N,"&lt;&gt;")=0,"",SUMIFS(Data!$N:$N,Data!$V:$V,$R118,Data!$U:$U,1))</f>
        <v/>
      </c>
      <c r="U118">
        <f>IF(COUNTIFS(Data!$V:$V,$R118,Data!$U:$U,2,Data!$N:$N,"&lt;&gt;")=0,"",SUMIFS(Data!$N:$N,Data!$V:$V,$R118,Data!$U:$U,2))</f>
        <v/>
      </c>
      <c r="V118">
        <f>IF(COUNTIFS(Data!$V:$V,$R118,Data!$U:$U,3,Data!$N:$N,"&lt;&gt;")=0,"",SUMIFS(Data!$N:$N,Data!$V:$V,$R118,Data!$U:$U,3))</f>
        <v/>
      </c>
      <c r="W118">
        <f>IF(COUNTIFS(Data!$V:$V,$R118,Data!$U:$U,4,Data!$N:$N,"&lt;&gt;")=0,"",SUMIFS(Data!$N:$N,Data!$V:$V,$R118,Data!$U:$U,4))</f>
        <v/>
      </c>
      <c r="X118">
        <f>IF(COUNTIFS(Data!$V:$V,$R118,Data!$U:$U,5,Data!$N:$N,"&lt;&gt;")=0,"",SUMIFS(Data!$N:$N,Data!$V:$V,$R118,Data!$U:$U,5))</f>
        <v/>
      </c>
      <c r="Y118">
        <f>IF(COUNTIFS(Data!$V:$V,$R118,Data!$U:$U,6,Data!$N:$N,"&lt;&gt;")=0,"",SUMIFS(Data!$N:$N,Data!$V:$V,$R118,Data!$U:$U,6))</f>
        <v/>
      </c>
      <c r="Z118">
        <f>IF(COUNTIFS(Data!$V:$V,$R118,Data!$U:$U,7,Data!$N:$N,"&lt;&gt;")=0,"",SUMIFS(Data!$N:$N,Data!$V:$V,$R118,Data!$U:$U,7))</f>
        <v/>
      </c>
      <c r="AA118">
        <f>IF(COUNTIFS(Data!$V:$V,$R118,Data!$U:$U,8,Data!$N:$N,"&lt;&gt;")=0,"",SUMIFS(Data!$N:$N,Data!$V:$V,$R118,Data!$U:$U,8))</f>
        <v/>
      </c>
      <c r="AB118">
        <f>IF(COUNTIFS(Data!$V:$V,$R118,Data!$U:$U,9,Data!$N:$N,"&lt;&gt;")=0,"",SUMIFS(Data!$N:$N,Data!$V:$V,$R118,Data!$U:$U,9))</f>
        <v/>
      </c>
      <c r="AC118">
        <f>IF(COUNTIFS(Data!$V:$V,$R118,Data!$U:$U,10,Data!$N:$N,"&lt;&gt;")=0,"",SUMIFS(Data!$N:$N,Data!$V:$V,$R118,Data!$U:$U,10))</f>
        <v/>
      </c>
      <c r="AD118">
        <f>IF(COUNTIFS(Data!$V:$V,$R118,Data!$U:$U,11,Data!$N:$N,"&lt;&gt;")=0,"",SUMIFS(Data!$N:$N,Data!$V:$V,$R118,Data!$U:$U,11))</f>
        <v/>
      </c>
      <c r="AE118">
        <f>IF(COUNTIFS(Data!$V:$V,$R118,Data!$U:$U,12,Data!$N:$N,"&lt;&gt;")=0,"",SUMIFS(Data!$N:$N,Data!$V:$V,$R118,Data!$U:$U,12))</f>
        <v/>
      </c>
      <c r="AF118">
        <f>IF(COUNTIFS(Data!$V:$V,$R118,Data!$U:$U,13,Data!$N:$N,"&lt;&gt;")=0,"",SUMIFS(Data!$N:$N,Data!$V:$V,$R118,Data!$U:$U,13))</f>
        <v/>
      </c>
      <c r="AG118">
        <f>IF(COUNTIFS(Data!$V:$V,$R118,Data!$U:$U,14,Data!$N:$N,"&lt;&gt;")=0,"",SUMIFS(Data!$N:$N,Data!$V:$V,$R118,Data!$U:$U,14))</f>
        <v/>
      </c>
      <c r="AH118">
        <f>COUNTIFS(Data!$V:$V,$R118,Data!$U:$U,"&lt;="&amp;14,Data!$N:$N,"&lt;&gt;")</f>
        <v/>
      </c>
      <c r="AI118">
        <f>COUNTIFS(Data!$V:$V,$R118,Data!$U:$U,"&lt;="&amp;14,Data!$N:$N,0)</f>
        <v/>
      </c>
      <c r="AJ118">
        <f>IF(AH118=0,"",AH118-AI118)</f>
        <v/>
      </c>
      <c r="AK118">
        <f>IF(AH118=0,"",SUMIFS(Data!$N:$N,Data!$V:$V,$R118,Data!$U:$U,"&lt;="&amp;14))</f>
        <v/>
      </c>
      <c r="AL118">
        <f>IF(AH118=0,"",IF(ABS(MAX(T118:AG118))&gt;=ABS(MIN(T118:AG118)),MAX(T118:AG118),MIN(T118:AG118)))</f>
        <v/>
      </c>
      <c r="AM118">
        <f>IF(AH118=0,-1,AJ118*100000+MIN(ABS(AK118),99999))</f>
        <v/>
      </c>
      <c r="AN118">
        <f>IF($S118="","",1+COUNTIFS($AM$3:$AM$122,"&gt;"&amp;AM118)+COUNTIFS($AM$3:$AM$122,AM118,$R$3:$R$122,"&lt;"&amp;$R118))</f>
        <v/>
      </c>
    </row>
    <row r="119">
      <c r="R119" t="n">
        <v>117</v>
      </c>
      <c r="S119">
        <f>IFERROR(INDEX(Data!$G:$G,MATCH($R119,Data!$V:$V,0)),"")</f>
        <v/>
      </c>
      <c r="T119">
        <f>IF(COUNTIFS(Data!$V:$V,$R119,Data!$U:$U,1,Data!$N:$N,"&lt;&gt;")=0,"",SUMIFS(Data!$N:$N,Data!$V:$V,$R119,Data!$U:$U,1))</f>
        <v/>
      </c>
      <c r="U119">
        <f>IF(COUNTIFS(Data!$V:$V,$R119,Data!$U:$U,2,Data!$N:$N,"&lt;&gt;")=0,"",SUMIFS(Data!$N:$N,Data!$V:$V,$R119,Data!$U:$U,2))</f>
        <v/>
      </c>
      <c r="V119">
        <f>IF(COUNTIFS(Data!$V:$V,$R119,Data!$U:$U,3,Data!$N:$N,"&lt;&gt;")=0,"",SUMIFS(Data!$N:$N,Data!$V:$V,$R119,Data!$U:$U,3))</f>
        <v/>
      </c>
      <c r="W119">
        <f>IF(COUNTIFS(Data!$V:$V,$R119,Data!$U:$U,4,Data!$N:$N,"&lt;&gt;")=0,"",SUMIFS(Data!$N:$N,Data!$V:$V,$R119,Data!$U:$U,4))</f>
        <v/>
      </c>
      <c r="X119">
        <f>IF(COUNTIFS(Data!$V:$V,$R119,Data!$U:$U,5,Data!$N:$N,"&lt;&gt;")=0,"",SUMIFS(Data!$N:$N,Data!$V:$V,$R119,Data!$U:$U,5))</f>
        <v/>
      </c>
      <c r="Y119">
        <f>IF(COUNTIFS(Data!$V:$V,$R119,Data!$U:$U,6,Data!$N:$N,"&lt;&gt;")=0,"",SUMIFS(Data!$N:$N,Data!$V:$V,$R119,Data!$U:$U,6))</f>
        <v/>
      </c>
      <c r="Z119">
        <f>IF(COUNTIFS(Data!$V:$V,$R119,Data!$U:$U,7,Data!$N:$N,"&lt;&gt;")=0,"",SUMIFS(Data!$N:$N,Data!$V:$V,$R119,Data!$U:$U,7))</f>
        <v/>
      </c>
      <c r="AA119">
        <f>IF(COUNTIFS(Data!$V:$V,$R119,Data!$U:$U,8,Data!$N:$N,"&lt;&gt;")=0,"",SUMIFS(Data!$N:$N,Data!$V:$V,$R119,Data!$U:$U,8))</f>
        <v/>
      </c>
      <c r="AB119">
        <f>IF(COUNTIFS(Data!$V:$V,$R119,Data!$U:$U,9,Data!$N:$N,"&lt;&gt;")=0,"",SUMIFS(Data!$N:$N,Data!$V:$V,$R119,Data!$U:$U,9))</f>
        <v/>
      </c>
      <c r="AC119">
        <f>IF(COUNTIFS(Data!$V:$V,$R119,Data!$U:$U,10,Data!$N:$N,"&lt;&gt;")=0,"",SUMIFS(Data!$N:$N,Data!$V:$V,$R119,Data!$U:$U,10))</f>
        <v/>
      </c>
      <c r="AD119">
        <f>IF(COUNTIFS(Data!$V:$V,$R119,Data!$U:$U,11,Data!$N:$N,"&lt;&gt;")=0,"",SUMIFS(Data!$N:$N,Data!$V:$V,$R119,Data!$U:$U,11))</f>
        <v/>
      </c>
      <c r="AE119">
        <f>IF(COUNTIFS(Data!$V:$V,$R119,Data!$U:$U,12,Data!$N:$N,"&lt;&gt;")=0,"",SUMIFS(Data!$N:$N,Data!$V:$V,$R119,Data!$U:$U,12))</f>
        <v/>
      </c>
      <c r="AF119">
        <f>IF(COUNTIFS(Data!$V:$V,$R119,Data!$U:$U,13,Data!$N:$N,"&lt;&gt;")=0,"",SUMIFS(Data!$N:$N,Data!$V:$V,$R119,Data!$U:$U,13))</f>
        <v/>
      </c>
      <c r="AG119">
        <f>IF(COUNTIFS(Data!$V:$V,$R119,Data!$U:$U,14,Data!$N:$N,"&lt;&gt;")=0,"",SUMIFS(Data!$N:$N,Data!$V:$V,$R119,Data!$U:$U,14))</f>
        <v/>
      </c>
      <c r="AH119">
        <f>COUNTIFS(Data!$V:$V,$R119,Data!$U:$U,"&lt;="&amp;14,Data!$N:$N,"&lt;&gt;")</f>
        <v/>
      </c>
      <c r="AI119">
        <f>COUNTIFS(Data!$V:$V,$R119,Data!$U:$U,"&lt;="&amp;14,Data!$N:$N,0)</f>
        <v/>
      </c>
      <c r="AJ119">
        <f>IF(AH119=0,"",AH119-AI119)</f>
        <v/>
      </c>
      <c r="AK119">
        <f>IF(AH119=0,"",SUMIFS(Data!$N:$N,Data!$V:$V,$R119,Data!$U:$U,"&lt;="&amp;14))</f>
        <v/>
      </c>
      <c r="AL119">
        <f>IF(AH119=0,"",IF(ABS(MAX(T119:AG119))&gt;=ABS(MIN(T119:AG119)),MAX(T119:AG119),MIN(T119:AG119)))</f>
        <v/>
      </c>
      <c r="AM119">
        <f>IF(AH119=0,-1,AJ119*100000+MIN(ABS(AK119),99999))</f>
        <v/>
      </c>
      <c r="AN119">
        <f>IF($S119="","",1+COUNTIFS($AM$3:$AM$122,"&gt;"&amp;AM119)+COUNTIFS($AM$3:$AM$122,AM119,$R$3:$R$122,"&lt;"&amp;$R119))</f>
        <v/>
      </c>
    </row>
    <row r="120">
      <c r="R120" t="n">
        <v>118</v>
      </c>
      <c r="S120">
        <f>IFERROR(INDEX(Data!$G:$G,MATCH($R120,Data!$V:$V,0)),"")</f>
        <v/>
      </c>
      <c r="T120">
        <f>IF(COUNTIFS(Data!$V:$V,$R120,Data!$U:$U,1,Data!$N:$N,"&lt;&gt;")=0,"",SUMIFS(Data!$N:$N,Data!$V:$V,$R120,Data!$U:$U,1))</f>
        <v/>
      </c>
      <c r="U120">
        <f>IF(COUNTIFS(Data!$V:$V,$R120,Data!$U:$U,2,Data!$N:$N,"&lt;&gt;")=0,"",SUMIFS(Data!$N:$N,Data!$V:$V,$R120,Data!$U:$U,2))</f>
        <v/>
      </c>
      <c r="V120">
        <f>IF(COUNTIFS(Data!$V:$V,$R120,Data!$U:$U,3,Data!$N:$N,"&lt;&gt;")=0,"",SUMIFS(Data!$N:$N,Data!$V:$V,$R120,Data!$U:$U,3))</f>
        <v/>
      </c>
      <c r="W120">
        <f>IF(COUNTIFS(Data!$V:$V,$R120,Data!$U:$U,4,Data!$N:$N,"&lt;&gt;")=0,"",SUMIFS(Data!$N:$N,Data!$V:$V,$R120,Data!$U:$U,4))</f>
        <v/>
      </c>
      <c r="X120">
        <f>IF(COUNTIFS(Data!$V:$V,$R120,Data!$U:$U,5,Data!$N:$N,"&lt;&gt;")=0,"",SUMIFS(Data!$N:$N,Data!$V:$V,$R120,Data!$U:$U,5))</f>
        <v/>
      </c>
      <c r="Y120">
        <f>IF(COUNTIFS(Data!$V:$V,$R120,Data!$U:$U,6,Data!$N:$N,"&lt;&gt;")=0,"",SUMIFS(Data!$N:$N,Data!$V:$V,$R120,Data!$U:$U,6))</f>
        <v/>
      </c>
      <c r="Z120">
        <f>IF(COUNTIFS(Data!$V:$V,$R120,Data!$U:$U,7,Data!$N:$N,"&lt;&gt;")=0,"",SUMIFS(Data!$N:$N,Data!$V:$V,$R120,Data!$U:$U,7))</f>
        <v/>
      </c>
      <c r="AA120">
        <f>IF(COUNTIFS(Data!$V:$V,$R120,Data!$U:$U,8,Data!$N:$N,"&lt;&gt;")=0,"",SUMIFS(Data!$N:$N,Data!$V:$V,$R120,Data!$U:$U,8))</f>
        <v/>
      </c>
      <c r="AB120">
        <f>IF(COUNTIFS(Data!$V:$V,$R120,Data!$U:$U,9,Data!$N:$N,"&lt;&gt;")=0,"",SUMIFS(Data!$N:$N,Data!$V:$V,$R120,Data!$U:$U,9))</f>
        <v/>
      </c>
      <c r="AC120">
        <f>IF(COUNTIFS(Data!$V:$V,$R120,Data!$U:$U,10,Data!$N:$N,"&lt;&gt;")=0,"",SUMIFS(Data!$N:$N,Data!$V:$V,$R120,Data!$U:$U,10))</f>
        <v/>
      </c>
      <c r="AD120">
        <f>IF(COUNTIFS(Data!$V:$V,$R120,Data!$U:$U,11,Data!$N:$N,"&lt;&gt;")=0,"",SUMIFS(Data!$N:$N,Data!$V:$V,$R120,Data!$U:$U,11))</f>
        <v/>
      </c>
      <c r="AE120">
        <f>IF(COUNTIFS(Data!$V:$V,$R120,Data!$U:$U,12,Data!$N:$N,"&lt;&gt;")=0,"",SUMIFS(Data!$N:$N,Data!$V:$V,$R120,Data!$U:$U,12))</f>
        <v/>
      </c>
      <c r="AF120">
        <f>IF(COUNTIFS(Data!$V:$V,$R120,Data!$U:$U,13,Data!$N:$N,"&lt;&gt;")=0,"",SUMIFS(Data!$N:$N,Data!$V:$V,$R120,Data!$U:$U,13))</f>
        <v/>
      </c>
      <c r="AG120">
        <f>IF(COUNTIFS(Data!$V:$V,$R120,Data!$U:$U,14,Data!$N:$N,"&lt;&gt;")=0,"",SUMIFS(Data!$N:$N,Data!$V:$V,$R120,Data!$U:$U,14))</f>
        <v/>
      </c>
      <c r="AH120">
        <f>COUNTIFS(Data!$V:$V,$R120,Data!$U:$U,"&lt;="&amp;14,Data!$N:$N,"&lt;&gt;")</f>
        <v/>
      </c>
      <c r="AI120">
        <f>COUNTIFS(Data!$V:$V,$R120,Data!$U:$U,"&lt;="&amp;14,Data!$N:$N,0)</f>
        <v/>
      </c>
      <c r="AJ120">
        <f>IF(AH120=0,"",AH120-AI120)</f>
        <v/>
      </c>
      <c r="AK120">
        <f>IF(AH120=0,"",SUMIFS(Data!$N:$N,Data!$V:$V,$R120,Data!$U:$U,"&lt;="&amp;14))</f>
        <v/>
      </c>
      <c r="AL120">
        <f>IF(AH120=0,"",IF(ABS(MAX(T120:AG120))&gt;=ABS(MIN(T120:AG120)),MAX(T120:AG120),MIN(T120:AG120)))</f>
        <v/>
      </c>
      <c r="AM120">
        <f>IF(AH120=0,-1,AJ120*100000+MIN(ABS(AK120),99999))</f>
        <v/>
      </c>
      <c r="AN120">
        <f>IF($S120="","",1+COUNTIFS($AM$3:$AM$122,"&gt;"&amp;AM120)+COUNTIFS($AM$3:$AM$122,AM120,$R$3:$R$122,"&lt;"&amp;$R120))</f>
        <v/>
      </c>
    </row>
    <row r="121">
      <c r="R121" t="n">
        <v>119</v>
      </c>
      <c r="S121">
        <f>IFERROR(INDEX(Data!$G:$G,MATCH($R121,Data!$V:$V,0)),"")</f>
        <v/>
      </c>
      <c r="T121">
        <f>IF(COUNTIFS(Data!$V:$V,$R121,Data!$U:$U,1,Data!$N:$N,"&lt;&gt;")=0,"",SUMIFS(Data!$N:$N,Data!$V:$V,$R121,Data!$U:$U,1))</f>
        <v/>
      </c>
      <c r="U121">
        <f>IF(COUNTIFS(Data!$V:$V,$R121,Data!$U:$U,2,Data!$N:$N,"&lt;&gt;")=0,"",SUMIFS(Data!$N:$N,Data!$V:$V,$R121,Data!$U:$U,2))</f>
        <v/>
      </c>
      <c r="V121">
        <f>IF(COUNTIFS(Data!$V:$V,$R121,Data!$U:$U,3,Data!$N:$N,"&lt;&gt;")=0,"",SUMIFS(Data!$N:$N,Data!$V:$V,$R121,Data!$U:$U,3))</f>
        <v/>
      </c>
      <c r="W121">
        <f>IF(COUNTIFS(Data!$V:$V,$R121,Data!$U:$U,4,Data!$N:$N,"&lt;&gt;")=0,"",SUMIFS(Data!$N:$N,Data!$V:$V,$R121,Data!$U:$U,4))</f>
        <v/>
      </c>
      <c r="X121">
        <f>IF(COUNTIFS(Data!$V:$V,$R121,Data!$U:$U,5,Data!$N:$N,"&lt;&gt;")=0,"",SUMIFS(Data!$N:$N,Data!$V:$V,$R121,Data!$U:$U,5))</f>
        <v/>
      </c>
      <c r="Y121">
        <f>IF(COUNTIFS(Data!$V:$V,$R121,Data!$U:$U,6,Data!$N:$N,"&lt;&gt;")=0,"",SUMIFS(Data!$N:$N,Data!$V:$V,$R121,Data!$U:$U,6))</f>
        <v/>
      </c>
      <c r="Z121">
        <f>IF(COUNTIFS(Data!$V:$V,$R121,Data!$U:$U,7,Data!$N:$N,"&lt;&gt;")=0,"",SUMIFS(Data!$N:$N,Data!$V:$V,$R121,Data!$U:$U,7))</f>
        <v/>
      </c>
      <c r="AA121">
        <f>IF(COUNTIFS(Data!$V:$V,$R121,Data!$U:$U,8,Data!$N:$N,"&lt;&gt;")=0,"",SUMIFS(Data!$N:$N,Data!$V:$V,$R121,Data!$U:$U,8))</f>
        <v/>
      </c>
      <c r="AB121">
        <f>IF(COUNTIFS(Data!$V:$V,$R121,Data!$U:$U,9,Data!$N:$N,"&lt;&gt;")=0,"",SUMIFS(Data!$N:$N,Data!$V:$V,$R121,Data!$U:$U,9))</f>
        <v/>
      </c>
      <c r="AC121">
        <f>IF(COUNTIFS(Data!$V:$V,$R121,Data!$U:$U,10,Data!$N:$N,"&lt;&gt;")=0,"",SUMIFS(Data!$N:$N,Data!$V:$V,$R121,Data!$U:$U,10))</f>
        <v/>
      </c>
      <c r="AD121">
        <f>IF(COUNTIFS(Data!$V:$V,$R121,Data!$U:$U,11,Data!$N:$N,"&lt;&gt;")=0,"",SUMIFS(Data!$N:$N,Data!$V:$V,$R121,Data!$U:$U,11))</f>
        <v/>
      </c>
      <c r="AE121">
        <f>IF(COUNTIFS(Data!$V:$V,$R121,Data!$U:$U,12,Data!$N:$N,"&lt;&gt;")=0,"",SUMIFS(Data!$N:$N,Data!$V:$V,$R121,Data!$U:$U,12))</f>
        <v/>
      </c>
      <c r="AF121">
        <f>IF(COUNTIFS(Data!$V:$V,$R121,Data!$U:$U,13,Data!$N:$N,"&lt;&gt;")=0,"",SUMIFS(Data!$N:$N,Data!$V:$V,$R121,Data!$U:$U,13))</f>
        <v/>
      </c>
      <c r="AG121">
        <f>IF(COUNTIFS(Data!$V:$V,$R121,Data!$U:$U,14,Data!$N:$N,"&lt;&gt;")=0,"",SUMIFS(Data!$N:$N,Data!$V:$V,$R121,Data!$U:$U,14))</f>
        <v/>
      </c>
      <c r="AH121">
        <f>COUNTIFS(Data!$V:$V,$R121,Data!$U:$U,"&lt;="&amp;14,Data!$N:$N,"&lt;&gt;")</f>
        <v/>
      </c>
      <c r="AI121">
        <f>COUNTIFS(Data!$V:$V,$R121,Data!$U:$U,"&lt;="&amp;14,Data!$N:$N,0)</f>
        <v/>
      </c>
      <c r="AJ121">
        <f>IF(AH121=0,"",AH121-AI121)</f>
        <v/>
      </c>
      <c r="AK121">
        <f>IF(AH121=0,"",SUMIFS(Data!$N:$N,Data!$V:$V,$R121,Data!$U:$U,"&lt;="&amp;14))</f>
        <v/>
      </c>
      <c r="AL121">
        <f>IF(AH121=0,"",IF(ABS(MAX(T121:AG121))&gt;=ABS(MIN(T121:AG121)),MAX(T121:AG121),MIN(T121:AG121)))</f>
        <v/>
      </c>
      <c r="AM121">
        <f>IF(AH121=0,-1,AJ121*100000+MIN(ABS(AK121),99999))</f>
        <v/>
      </c>
      <c r="AN121">
        <f>IF($S121="","",1+COUNTIFS($AM$3:$AM$122,"&gt;"&amp;AM121)+COUNTIFS($AM$3:$AM$122,AM121,$R$3:$R$122,"&lt;"&amp;$R121))</f>
        <v/>
      </c>
    </row>
    <row r="122">
      <c r="R122" t="n">
        <v>120</v>
      </c>
      <c r="S122">
        <f>IFERROR(INDEX(Data!$G:$G,MATCH($R122,Data!$V:$V,0)),"")</f>
        <v/>
      </c>
      <c r="T122">
        <f>IF(COUNTIFS(Data!$V:$V,$R122,Data!$U:$U,1,Data!$N:$N,"&lt;&gt;")=0,"",SUMIFS(Data!$N:$N,Data!$V:$V,$R122,Data!$U:$U,1))</f>
        <v/>
      </c>
      <c r="U122">
        <f>IF(COUNTIFS(Data!$V:$V,$R122,Data!$U:$U,2,Data!$N:$N,"&lt;&gt;")=0,"",SUMIFS(Data!$N:$N,Data!$V:$V,$R122,Data!$U:$U,2))</f>
        <v/>
      </c>
      <c r="V122">
        <f>IF(COUNTIFS(Data!$V:$V,$R122,Data!$U:$U,3,Data!$N:$N,"&lt;&gt;")=0,"",SUMIFS(Data!$N:$N,Data!$V:$V,$R122,Data!$U:$U,3))</f>
        <v/>
      </c>
      <c r="W122">
        <f>IF(COUNTIFS(Data!$V:$V,$R122,Data!$U:$U,4,Data!$N:$N,"&lt;&gt;")=0,"",SUMIFS(Data!$N:$N,Data!$V:$V,$R122,Data!$U:$U,4))</f>
        <v/>
      </c>
      <c r="X122">
        <f>IF(COUNTIFS(Data!$V:$V,$R122,Data!$U:$U,5,Data!$N:$N,"&lt;&gt;")=0,"",SUMIFS(Data!$N:$N,Data!$V:$V,$R122,Data!$U:$U,5))</f>
        <v/>
      </c>
      <c r="Y122">
        <f>IF(COUNTIFS(Data!$V:$V,$R122,Data!$U:$U,6,Data!$N:$N,"&lt;&gt;")=0,"",SUMIFS(Data!$N:$N,Data!$V:$V,$R122,Data!$U:$U,6))</f>
        <v/>
      </c>
      <c r="Z122">
        <f>IF(COUNTIFS(Data!$V:$V,$R122,Data!$U:$U,7,Data!$N:$N,"&lt;&gt;")=0,"",SUMIFS(Data!$N:$N,Data!$V:$V,$R122,Data!$U:$U,7))</f>
        <v/>
      </c>
      <c r="AA122">
        <f>IF(COUNTIFS(Data!$V:$V,$R122,Data!$U:$U,8,Data!$N:$N,"&lt;&gt;")=0,"",SUMIFS(Data!$N:$N,Data!$V:$V,$R122,Data!$U:$U,8))</f>
        <v/>
      </c>
      <c r="AB122">
        <f>IF(COUNTIFS(Data!$V:$V,$R122,Data!$U:$U,9,Data!$N:$N,"&lt;&gt;")=0,"",SUMIFS(Data!$N:$N,Data!$V:$V,$R122,Data!$U:$U,9))</f>
        <v/>
      </c>
      <c r="AC122">
        <f>IF(COUNTIFS(Data!$V:$V,$R122,Data!$U:$U,10,Data!$N:$N,"&lt;&gt;")=0,"",SUMIFS(Data!$N:$N,Data!$V:$V,$R122,Data!$U:$U,10))</f>
        <v/>
      </c>
      <c r="AD122">
        <f>IF(COUNTIFS(Data!$V:$V,$R122,Data!$U:$U,11,Data!$N:$N,"&lt;&gt;")=0,"",SUMIFS(Data!$N:$N,Data!$V:$V,$R122,Data!$U:$U,11))</f>
        <v/>
      </c>
      <c r="AE122">
        <f>IF(COUNTIFS(Data!$V:$V,$R122,Data!$U:$U,12,Data!$N:$N,"&lt;&gt;")=0,"",SUMIFS(Data!$N:$N,Data!$V:$V,$R122,Data!$U:$U,12))</f>
        <v/>
      </c>
      <c r="AF122">
        <f>IF(COUNTIFS(Data!$V:$V,$R122,Data!$U:$U,13,Data!$N:$N,"&lt;&gt;")=0,"",SUMIFS(Data!$N:$N,Data!$V:$V,$R122,Data!$U:$U,13))</f>
        <v/>
      </c>
      <c r="AG122">
        <f>IF(COUNTIFS(Data!$V:$V,$R122,Data!$U:$U,14,Data!$N:$N,"&lt;&gt;")=0,"",SUMIFS(Data!$N:$N,Data!$V:$V,$R122,Data!$U:$U,14))</f>
        <v/>
      </c>
      <c r="AH122">
        <f>COUNTIFS(Data!$V:$V,$R122,Data!$U:$U,"&lt;="&amp;14,Data!$N:$N,"&lt;&gt;")</f>
        <v/>
      </c>
      <c r="AI122">
        <f>COUNTIFS(Data!$V:$V,$R122,Data!$U:$U,"&lt;="&amp;14,Data!$N:$N,0)</f>
        <v/>
      </c>
      <c r="AJ122">
        <f>IF(AH122=0,"",AH122-AI122)</f>
        <v/>
      </c>
      <c r="AK122">
        <f>IF(AH122=0,"",SUMIFS(Data!$N:$N,Data!$V:$V,$R122,Data!$U:$U,"&lt;="&amp;14))</f>
        <v/>
      </c>
      <c r="AL122">
        <f>IF(AH122=0,"",IF(ABS(MAX(T122:AG122))&gt;=ABS(MIN(T122:AG122)),MAX(T122:AG122),MIN(T122:AG122)))</f>
        <v/>
      </c>
      <c r="AM122">
        <f>IF(AH122=0,-1,AJ122*100000+MIN(ABS(AK122),99999))</f>
        <v/>
      </c>
      <c r="AN122">
        <f>IF($S122="","",1+COUNTIFS($AM$3:$AM$122,"&gt;"&amp;AM122)+COUNTIFS($AM$3:$AM$122,AM122,$R$3:$R$122,"&lt;"&amp;$R122))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15"/>
  <sheetData>
    <row r="1">
      <c r="A1" s="32" t="inlineStr">
        <is>
          <t>branch_id</t>
        </is>
      </c>
      <c r="B1" s="32" t="inlineStr">
        <is>
          <t>count_date</t>
        </is>
      </c>
      <c r="C1" s="32" t="inlineStr">
        <is>
          <t>shift</t>
        </is>
      </c>
      <c r="D1" s="32" t="inlineStr">
        <is>
          <t>staff_name</t>
        </is>
      </c>
      <c r="E1" s="32" t="inlineStr">
        <is>
          <t>product_id</t>
        </is>
      </c>
      <c r="F1" s="32" t="inlineStr">
        <is>
          <t>plu</t>
        </is>
      </c>
      <c r="G1" s="32" t="inlineStr">
        <is>
          <t>short_name</t>
        </is>
      </c>
      <c r="H1" s="32" t="inlineStr">
        <is>
          <t>pos_description</t>
        </is>
      </c>
      <c r="I1" s="32" t="inlineStr">
        <is>
          <t>opening_packs</t>
        </is>
      </c>
      <c r="J1" s="32" t="inlineStr">
        <is>
          <t>add_in</t>
        </is>
      </c>
      <c r="K1" s="32" t="inlineStr">
        <is>
          <t>closing_packs</t>
        </is>
      </c>
      <c r="L1" s="32" t="inlineStr">
        <is>
          <t>sold_physical</t>
        </is>
      </c>
      <c r="M1" s="32" t="inlineStr">
        <is>
          <t>sold_pos</t>
        </is>
      </c>
      <c r="N1" s="32" t="inlineStr">
        <is>
          <t>variance_packs</t>
        </is>
      </c>
      <c r="O1" s="32" t="inlineStr">
        <is>
          <t>opening_date</t>
        </is>
      </c>
      <c r="P1" s="32" t="inlineStr">
        <is>
          <t>unit_price_used</t>
        </is>
      </c>
      <c r="Q1" s="32" t="inlineStr">
        <is>
          <t>variance_rm</t>
        </is>
      </c>
      <c r="R1" s="32" t="inlineStr">
        <is>
          <t>category</t>
        </is>
      </c>
      <c r="S1" s="32" t="inlineStr">
        <is>
          <t>abs_variance</t>
        </is>
      </c>
      <c r="T1" s="32" t="inlineStr">
        <is>
          <t>rank</t>
        </is>
      </c>
      <c r="U1" s="32" t="inlineStr">
        <is>
          <t>day_no</t>
        </is>
      </c>
      <c r="V1" s="32" t="inlineStr">
        <is>
          <t>prod_no</t>
        </is>
      </c>
      <c r="W1" s="32" t="inlineStr">
        <is>
          <t>row_key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122"/>
  <sheetViews>
    <sheetView workbookViewId="0">
      <selection activeCell="A1" sqref="A1"/>
    </sheetView>
  </sheetViews>
  <sheetFormatPr baseColWidth="8" defaultRowHeight="15"/>
  <sheetData>
    <row r="1">
      <c r="A1" s="29" t="inlineStr">
        <is>
          <t>per-day summary (day_no 1 = most recent counted day)</t>
        </is>
      </c>
      <c r="R1" s="29" t="inlineStr">
        <is>
          <t>per-product trends over the last 14 days</t>
        </is>
      </c>
    </row>
    <row r="2">
      <c r="A2" s="30" t="inlineStr">
        <is>
          <t>day_no</t>
        </is>
      </c>
      <c r="B2" s="30" t="inlineStr">
        <is>
          <t>date</t>
        </is>
      </c>
      <c r="C2" s="30" t="inlineStr">
        <is>
          <t>staff</t>
        </is>
      </c>
      <c r="D2" s="30" t="inlineStr">
        <is>
          <t>opening_date</t>
        </is>
      </c>
      <c r="E2" s="30" t="inlineStr">
        <is>
          <t>products</t>
        </is>
      </c>
      <c r="F2" s="30" t="inlineStr">
        <is>
          <t>known</t>
        </is>
      </c>
      <c r="G2" s="30" t="inlineStr">
        <is>
          <t>zeros</t>
        </is>
      </c>
      <c r="H2" s="30" t="inlineStr">
        <is>
          <t>with_variance</t>
        </is>
      </c>
      <c r="I2" s="30" t="inlineStr">
        <is>
          <t>total_packs</t>
        </is>
      </c>
      <c r="J2" s="30" t="inlineStr">
        <is>
          <t>priced</t>
        </is>
      </c>
      <c r="K2" s="30" t="inlineStr">
        <is>
          <t>total_rm</t>
        </is>
      </c>
      <c r="L2" s="30" t="inlineStr">
        <is>
          <t>pos_rows</t>
        </is>
      </c>
      <c r="M2" s="30" t="inlineStr">
        <is>
          <t>pos_state</t>
        </is>
      </c>
      <c r="N2" s="30" t="inlineStr">
        <is>
          <t>opening_known</t>
        </is>
      </c>
      <c r="O2" s="30" t="inlineStr">
        <is>
          <t>message</t>
        </is>
      </c>
      <c r="R2" s="30" t="inlineStr">
        <is>
          <t>prod_no</t>
        </is>
      </c>
      <c r="S2" s="30" t="inlineStr">
        <is>
          <t>product</t>
        </is>
      </c>
      <c r="T2" s="30" t="inlineStr">
        <is>
          <t>d1</t>
        </is>
      </c>
      <c r="U2" s="30" t="inlineStr">
        <is>
          <t>d2</t>
        </is>
      </c>
      <c r="V2" s="30" t="inlineStr">
        <is>
          <t>d3</t>
        </is>
      </c>
      <c r="W2" s="30" t="inlineStr">
        <is>
          <t>d4</t>
        </is>
      </c>
      <c r="X2" s="30" t="inlineStr">
        <is>
          <t>d5</t>
        </is>
      </c>
      <c r="Y2" s="30" t="inlineStr">
        <is>
          <t>d6</t>
        </is>
      </c>
      <c r="Z2" s="30" t="inlineStr">
        <is>
          <t>d7</t>
        </is>
      </c>
      <c r="AA2" s="30" t="inlineStr">
        <is>
          <t>d8</t>
        </is>
      </c>
      <c r="AB2" s="30" t="inlineStr">
        <is>
          <t>d9</t>
        </is>
      </c>
      <c r="AC2" s="30" t="inlineStr">
        <is>
          <t>d10</t>
        </is>
      </c>
      <c r="AD2" s="30" t="inlineStr">
        <is>
          <t>d11</t>
        </is>
      </c>
      <c r="AE2" s="30" t="inlineStr">
        <is>
          <t>d12</t>
        </is>
      </c>
      <c r="AF2" s="30" t="inlineStr">
        <is>
          <t>d13</t>
        </is>
      </c>
      <c r="AG2" s="30" t="inlineStr">
        <is>
          <t>d14</t>
        </is>
      </c>
      <c r="AH2" s="30" t="inlineStr">
        <is>
          <t>known</t>
        </is>
      </c>
      <c r="AI2" s="30" t="inlineStr">
        <is>
          <t>zeros</t>
        </is>
      </c>
      <c r="AJ2" s="30" t="inlineStr">
        <is>
          <t>days_off</t>
        </is>
      </c>
      <c r="AK2" s="30" t="inlineStr">
        <is>
          <t>total</t>
        </is>
      </c>
      <c r="AL2" s="30" t="inlineStr">
        <is>
          <t>worst</t>
        </is>
      </c>
      <c r="AM2" s="30" t="inlineStr">
        <is>
          <t>sortkey</t>
        </is>
      </c>
      <c r="AN2" s="30" t="inlineStr">
        <is>
          <t>rank</t>
        </is>
      </c>
    </row>
    <row r="3">
      <c r="A3" t="n">
        <v>1</v>
      </c>
      <c r="B3" s="31">
        <f>IFERROR(IF(INDEX(LubesData!$B:$B,MATCH($A3,LubesData!$U:$U,0))="","",INDEX(LubesData!$B:$B,MATCH($A3,LubesData!$U:$U,0))),"")</f>
        <v/>
      </c>
      <c r="C3">
        <f>IFERROR(IF(INDEX(LubesData!$D:$D,MATCH($A3,LubesData!$U:$U,0))="","",INDEX(LubesData!$D:$D,MATCH($A3,LubesData!$U:$U,0))),"")</f>
        <v/>
      </c>
      <c r="D3" s="31">
        <f>IFERROR(IF(INDEX(LubesData!$O:$O,MATCH($A3,LubesData!$U:$U,0))="","",INDEX(LubesData!$O:$O,MATCH($A3,LubesData!$U:$U,0))),"")</f>
        <v/>
      </c>
      <c r="E3">
        <f>COUNTIFS(LubesData!$U:$U,$A3)</f>
        <v/>
      </c>
      <c r="F3">
        <f>COUNTIFS(LubesData!$U:$U,$A3,LubesData!$N:$N,"&lt;&gt;")</f>
        <v/>
      </c>
      <c r="G3">
        <f>COUNTIFS(LubesData!$U:$U,$A3,LubesData!$N:$N,0)</f>
        <v/>
      </c>
      <c r="H3">
        <f>IF($F3=0,"",$F3-$G3)</f>
        <v/>
      </c>
      <c r="I3">
        <f>IF($F3=0,"",SUMIFS(LubesData!$N:$N,LubesData!$U:$U,$A3))</f>
        <v/>
      </c>
      <c r="J3">
        <f>COUNTIFS(LubesData!$U:$U,$A3,LubesData!$Q:$Q,"&lt;&gt;")</f>
        <v/>
      </c>
      <c r="K3">
        <f>IF($J3=0,"",SUMIFS(LubesData!$Q:$Q,LubesData!$U:$U,$A3))</f>
        <v/>
      </c>
      <c r="L3">
        <f>COUNTIFS(LubesData!$U:$U,$A3,LubesData!$M:$M,"&lt;&gt;")</f>
        <v/>
      </c>
      <c r="M3">
        <f>IF($E3=0,"",IF($L3=0,"not loaded","loaded"))</f>
        <v/>
      </c>
      <c r="N3">
        <f>COUNTIFS(LubesData!$U:$U,$A3,LubesData!$I:$I,"&lt;&gt;")</f>
        <v/>
      </c>
      <c r="O3">
        <f>IF($E3=0,"",IF($L3=0,"No POS sales have been loaded for this date, so variance cannot be worked out. Import the sales report for this day and it fills in.",IF($N3=0,"This is the first count of these products, so there is no opening figure to sell down from. Variance starts from the next count.",IF($F3-$G3=0,"Physical and POS agree on every product.",($F3-$G3)&amp;" of "&amp;$F3&amp;" products disagree with the POS. Largest first below."))))</f>
        <v/>
      </c>
      <c r="R3" t="n">
        <v>1</v>
      </c>
      <c r="S3">
        <f>IFERROR(INDEX(LubesData!$G:$G,MATCH($R3,LubesData!$V:$V,0)),"")</f>
        <v/>
      </c>
      <c r="T3">
        <f>IF(COUNTIFS(LubesData!$V:$V,$R3,LubesData!$U:$U,1,LubesData!$N:$N,"&lt;&gt;")=0,"",SUMIFS(LubesData!$N:$N,LubesData!$V:$V,$R3,LubesData!$U:$U,1))</f>
        <v/>
      </c>
      <c r="U3">
        <f>IF(COUNTIFS(LubesData!$V:$V,$R3,LubesData!$U:$U,2,LubesData!$N:$N,"&lt;&gt;")=0,"",SUMIFS(LubesData!$N:$N,LubesData!$V:$V,$R3,LubesData!$U:$U,2))</f>
        <v/>
      </c>
      <c r="V3">
        <f>IF(COUNTIFS(LubesData!$V:$V,$R3,LubesData!$U:$U,3,LubesData!$N:$N,"&lt;&gt;")=0,"",SUMIFS(LubesData!$N:$N,LubesData!$V:$V,$R3,LubesData!$U:$U,3))</f>
        <v/>
      </c>
      <c r="W3">
        <f>IF(COUNTIFS(LubesData!$V:$V,$R3,LubesData!$U:$U,4,LubesData!$N:$N,"&lt;&gt;")=0,"",SUMIFS(LubesData!$N:$N,LubesData!$V:$V,$R3,LubesData!$U:$U,4))</f>
        <v/>
      </c>
      <c r="X3">
        <f>IF(COUNTIFS(LubesData!$V:$V,$R3,LubesData!$U:$U,5,LubesData!$N:$N,"&lt;&gt;")=0,"",SUMIFS(LubesData!$N:$N,LubesData!$V:$V,$R3,LubesData!$U:$U,5))</f>
        <v/>
      </c>
      <c r="Y3">
        <f>IF(COUNTIFS(LubesData!$V:$V,$R3,LubesData!$U:$U,6,LubesData!$N:$N,"&lt;&gt;")=0,"",SUMIFS(LubesData!$N:$N,LubesData!$V:$V,$R3,LubesData!$U:$U,6))</f>
        <v/>
      </c>
      <c r="Z3">
        <f>IF(COUNTIFS(LubesData!$V:$V,$R3,LubesData!$U:$U,7,LubesData!$N:$N,"&lt;&gt;")=0,"",SUMIFS(LubesData!$N:$N,LubesData!$V:$V,$R3,LubesData!$U:$U,7))</f>
        <v/>
      </c>
      <c r="AA3">
        <f>IF(COUNTIFS(LubesData!$V:$V,$R3,LubesData!$U:$U,8,LubesData!$N:$N,"&lt;&gt;")=0,"",SUMIFS(LubesData!$N:$N,LubesData!$V:$V,$R3,LubesData!$U:$U,8))</f>
        <v/>
      </c>
      <c r="AB3">
        <f>IF(COUNTIFS(LubesData!$V:$V,$R3,LubesData!$U:$U,9,LubesData!$N:$N,"&lt;&gt;")=0,"",SUMIFS(LubesData!$N:$N,LubesData!$V:$V,$R3,LubesData!$U:$U,9))</f>
        <v/>
      </c>
      <c r="AC3">
        <f>IF(COUNTIFS(LubesData!$V:$V,$R3,LubesData!$U:$U,10,LubesData!$N:$N,"&lt;&gt;")=0,"",SUMIFS(LubesData!$N:$N,LubesData!$V:$V,$R3,LubesData!$U:$U,10))</f>
        <v/>
      </c>
      <c r="AD3">
        <f>IF(COUNTIFS(LubesData!$V:$V,$R3,LubesData!$U:$U,11,LubesData!$N:$N,"&lt;&gt;")=0,"",SUMIFS(LubesData!$N:$N,LubesData!$V:$V,$R3,LubesData!$U:$U,11))</f>
        <v/>
      </c>
      <c r="AE3">
        <f>IF(COUNTIFS(LubesData!$V:$V,$R3,LubesData!$U:$U,12,LubesData!$N:$N,"&lt;&gt;")=0,"",SUMIFS(LubesData!$N:$N,LubesData!$V:$V,$R3,LubesData!$U:$U,12))</f>
        <v/>
      </c>
      <c r="AF3">
        <f>IF(COUNTIFS(LubesData!$V:$V,$R3,LubesData!$U:$U,13,LubesData!$N:$N,"&lt;&gt;")=0,"",SUMIFS(LubesData!$N:$N,LubesData!$V:$V,$R3,LubesData!$U:$U,13))</f>
        <v/>
      </c>
      <c r="AG3">
        <f>IF(COUNTIFS(LubesData!$V:$V,$R3,LubesData!$U:$U,14,LubesData!$N:$N,"&lt;&gt;")=0,"",SUMIFS(LubesData!$N:$N,LubesData!$V:$V,$R3,LubesData!$U:$U,14))</f>
        <v/>
      </c>
      <c r="AH3">
        <f>COUNTIFS(LubesData!$V:$V,$R3,LubesData!$U:$U,"&lt;="&amp;14,LubesData!$N:$N,"&lt;&gt;")</f>
        <v/>
      </c>
      <c r="AI3">
        <f>COUNTIFS(LubesData!$V:$V,$R3,LubesData!$U:$U,"&lt;="&amp;14,LubesData!$N:$N,0)</f>
        <v/>
      </c>
      <c r="AJ3">
        <f>IF(AH3=0,"",AH3-AI3)</f>
        <v/>
      </c>
      <c r="AK3">
        <f>IF(AH3=0,"",SUMIFS(LubesData!$N:$N,LubesData!$V:$V,$R3,LubesData!$U:$U,"&lt;="&amp;14))</f>
        <v/>
      </c>
      <c r="AL3">
        <f>IF(AH3=0,"",IF(ABS(MAX(T3:AG3))&gt;=ABS(MIN(T3:AG3)),MAX(T3:AG3),MIN(T3:AG3)))</f>
        <v/>
      </c>
      <c r="AM3">
        <f>IF(AH3=0,-1,AJ3*100000+MIN(ABS(AK3),99999))</f>
        <v/>
      </c>
      <c r="AN3">
        <f>IF($S3="","",1+COUNTIFS($AM$3:$AM$122,"&gt;"&amp;AM3)+COUNTIFS($AM$3:$AM$122,AM3,$R$3:$R$122,"&lt;"&amp;$R3))</f>
        <v/>
      </c>
    </row>
    <row r="4">
      <c r="A4" t="n">
        <v>2</v>
      </c>
      <c r="B4" s="31">
        <f>IFERROR(IF(INDEX(LubesData!$B:$B,MATCH($A4,LubesData!$U:$U,0))="","",INDEX(LubesData!$B:$B,MATCH($A4,LubesData!$U:$U,0))),"")</f>
        <v/>
      </c>
      <c r="C4">
        <f>IFERROR(IF(INDEX(LubesData!$D:$D,MATCH($A4,LubesData!$U:$U,0))="","",INDEX(LubesData!$D:$D,MATCH($A4,LubesData!$U:$U,0))),"")</f>
        <v/>
      </c>
      <c r="D4" s="31">
        <f>IFERROR(IF(INDEX(LubesData!$O:$O,MATCH($A4,LubesData!$U:$U,0))="","",INDEX(LubesData!$O:$O,MATCH($A4,LubesData!$U:$U,0))),"")</f>
        <v/>
      </c>
      <c r="E4">
        <f>COUNTIFS(LubesData!$U:$U,$A4)</f>
        <v/>
      </c>
      <c r="F4">
        <f>COUNTIFS(LubesData!$U:$U,$A4,LubesData!$N:$N,"&lt;&gt;")</f>
        <v/>
      </c>
      <c r="G4">
        <f>COUNTIFS(LubesData!$U:$U,$A4,LubesData!$N:$N,0)</f>
        <v/>
      </c>
      <c r="H4">
        <f>IF($F4=0,"",$F4-$G4)</f>
        <v/>
      </c>
      <c r="I4">
        <f>IF($F4=0,"",SUMIFS(LubesData!$N:$N,LubesData!$U:$U,$A4))</f>
        <v/>
      </c>
      <c r="J4">
        <f>COUNTIFS(LubesData!$U:$U,$A4,LubesData!$Q:$Q,"&lt;&gt;")</f>
        <v/>
      </c>
      <c r="K4">
        <f>IF($J4=0,"",SUMIFS(LubesData!$Q:$Q,LubesData!$U:$U,$A4))</f>
        <v/>
      </c>
      <c r="L4">
        <f>COUNTIFS(LubesData!$U:$U,$A4,LubesData!$M:$M,"&lt;&gt;")</f>
        <v/>
      </c>
      <c r="M4">
        <f>IF($E4=0,"",IF($L4=0,"not loaded","loaded"))</f>
        <v/>
      </c>
      <c r="N4">
        <f>COUNTIFS(LubesData!$U:$U,$A4,LubesData!$I:$I,"&lt;&gt;")</f>
        <v/>
      </c>
      <c r="O4">
        <f>IF($E4=0,"",IF($L4=0,"No POS sales have been loaded for this date, so variance cannot be worked out. Import the sales report for this day and it fills in.",IF($N4=0,"This is the first count of these products, so there is no opening figure to sell down from. Variance starts from the next count.",IF($F4-$G4=0,"Physical and POS agree on every product.",($F4-$G4)&amp;" of "&amp;$F4&amp;" products disagree with the POS. Largest first below."))))</f>
        <v/>
      </c>
      <c r="R4" t="n">
        <v>2</v>
      </c>
      <c r="S4">
        <f>IFERROR(INDEX(LubesData!$G:$G,MATCH($R4,LubesData!$V:$V,0)),"")</f>
        <v/>
      </c>
      <c r="T4">
        <f>IF(COUNTIFS(LubesData!$V:$V,$R4,LubesData!$U:$U,1,LubesData!$N:$N,"&lt;&gt;")=0,"",SUMIFS(LubesData!$N:$N,LubesData!$V:$V,$R4,LubesData!$U:$U,1))</f>
        <v/>
      </c>
      <c r="U4">
        <f>IF(COUNTIFS(LubesData!$V:$V,$R4,LubesData!$U:$U,2,LubesData!$N:$N,"&lt;&gt;")=0,"",SUMIFS(LubesData!$N:$N,LubesData!$V:$V,$R4,LubesData!$U:$U,2))</f>
        <v/>
      </c>
      <c r="V4">
        <f>IF(COUNTIFS(LubesData!$V:$V,$R4,LubesData!$U:$U,3,LubesData!$N:$N,"&lt;&gt;")=0,"",SUMIFS(LubesData!$N:$N,LubesData!$V:$V,$R4,LubesData!$U:$U,3))</f>
        <v/>
      </c>
      <c r="W4">
        <f>IF(COUNTIFS(LubesData!$V:$V,$R4,LubesData!$U:$U,4,LubesData!$N:$N,"&lt;&gt;")=0,"",SUMIFS(LubesData!$N:$N,LubesData!$V:$V,$R4,LubesData!$U:$U,4))</f>
        <v/>
      </c>
      <c r="X4">
        <f>IF(COUNTIFS(LubesData!$V:$V,$R4,LubesData!$U:$U,5,LubesData!$N:$N,"&lt;&gt;")=0,"",SUMIFS(LubesData!$N:$N,LubesData!$V:$V,$R4,LubesData!$U:$U,5))</f>
        <v/>
      </c>
      <c r="Y4">
        <f>IF(COUNTIFS(LubesData!$V:$V,$R4,LubesData!$U:$U,6,LubesData!$N:$N,"&lt;&gt;")=0,"",SUMIFS(LubesData!$N:$N,LubesData!$V:$V,$R4,LubesData!$U:$U,6))</f>
        <v/>
      </c>
      <c r="Z4">
        <f>IF(COUNTIFS(LubesData!$V:$V,$R4,LubesData!$U:$U,7,LubesData!$N:$N,"&lt;&gt;")=0,"",SUMIFS(LubesData!$N:$N,LubesData!$V:$V,$R4,LubesData!$U:$U,7))</f>
        <v/>
      </c>
      <c r="AA4">
        <f>IF(COUNTIFS(LubesData!$V:$V,$R4,LubesData!$U:$U,8,LubesData!$N:$N,"&lt;&gt;")=0,"",SUMIFS(LubesData!$N:$N,LubesData!$V:$V,$R4,LubesData!$U:$U,8))</f>
        <v/>
      </c>
      <c r="AB4">
        <f>IF(COUNTIFS(LubesData!$V:$V,$R4,LubesData!$U:$U,9,LubesData!$N:$N,"&lt;&gt;")=0,"",SUMIFS(LubesData!$N:$N,LubesData!$V:$V,$R4,LubesData!$U:$U,9))</f>
        <v/>
      </c>
      <c r="AC4">
        <f>IF(COUNTIFS(LubesData!$V:$V,$R4,LubesData!$U:$U,10,LubesData!$N:$N,"&lt;&gt;")=0,"",SUMIFS(LubesData!$N:$N,LubesData!$V:$V,$R4,LubesData!$U:$U,10))</f>
        <v/>
      </c>
      <c r="AD4">
        <f>IF(COUNTIFS(LubesData!$V:$V,$R4,LubesData!$U:$U,11,LubesData!$N:$N,"&lt;&gt;")=0,"",SUMIFS(LubesData!$N:$N,LubesData!$V:$V,$R4,LubesData!$U:$U,11))</f>
        <v/>
      </c>
      <c r="AE4">
        <f>IF(COUNTIFS(LubesData!$V:$V,$R4,LubesData!$U:$U,12,LubesData!$N:$N,"&lt;&gt;")=0,"",SUMIFS(LubesData!$N:$N,LubesData!$V:$V,$R4,LubesData!$U:$U,12))</f>
        <v/>
      </c>
      <c r="AF4">
        <f>IF(COUNTIFS(LubesData!$V:$V,$R4,LubesData!$U:$U,13,LubesData!$N:$N,"&lt;&gt;")=0,"",SUMIFS(LubesData!$N:$N,LubesData!$V:$V,$R4,LubesData!$U:$U,13))</f>
        <v/>
      </c>
      <c r="AG4">
        <f>IF(COUNTIFS(LubesData!$V:$V,$R4,LubesData!$U:$U,14,LubesData!$N:$N,"&lt;&gt;")=0,"",SUMIFS(LubesData!$N:$N,LubesData!$V:$V,$R4,LubesData!$U:$U,14))</f>
        <v/>
      </c>
      <c r="AH4">
        <f>COUNTIFS(LubesData!$V:$V,$R4,LubesData!$U:$U,"&lt;="&amp;14,LubesData!$N:$N,"&lt;&gt;")</f>
        <v/>
      </c>
      <c r="AI4">
        <f>COUNTIFS(LubesData!$V:$V,$R4,LubesData!$U:$U,"&lt;="&amp;14,LubesData!$N:$N,0)</f>
        <v/>
      </c>
      <c r="AJ4">
        <f>IF(AH4=0,"",AH4-AI4)</f>
        <v/>
      </c>
      <c r="AK4">
        <f>IF(AH4=0,"",SUMIFS(LubesData!$N:$N,LubesData!$V:$V,$R4,LubesData!$U:$U,"&lt;="&amp;14))</f>
        <v/>
      </c>
      <c r="AL4">
        <f>IF(AH4=0,"",IF(ABS(MAX(T4:AG4))&gt;=ABS(MIN(T4:AG4)),MAX(T4:AG4),MIN(T4:AG4)))</f>
        <v/>
      </c>
      <c r="AM4">
        <f>IF(AH4=0,-1,AJ4*100000+MIN(ABS(AK4),99999))</f>
        <v/>
      </c>
      <c r="AN4">
        <f>IF($S4="","",1+COUNTIFS($AM$3:$AM$122,"&gt;"&amp;AM4)+COUNTIFS($AM$3:$AM$122,AM4,$R$3:$R$122,"&lt;"&amp;$R4))</f>
        <v/>
      </c>
    </row>
    <row r="5">
      <c r="A5" t="n">
        <v>3</v>
      </c>
      <c r="B5" s="31">
        <f>IFERROR(IF(INDEX(LubesData!$B:$B,MATCH($A5,LubesData!$U:$U,0))="","",INDEX(LubesData!$B:$B,MATCH($A5,LubesData!$U:$U,0))),"")</f>
        <v/>
      </c>
      <c r="C5">
        <f>IFERROR(IF(INDEX(LubesData!$D:$D,MATCH($A5,LubesData!$U:$U,0))="","",INDEX(LubesData!$D:$D,MATCH($A5,LubesData!$U:$U,0))),"")</f>
        <v/>
      </c>
      <c r="D5" s="31">
        <f>IFERROR(IF(INDEX(LubesData!$O:$O,MATCH($A5,LubesData!$U:$U,0))="","",INDEX(LubesData!$O:$O,MATCH($A5,LubesData!$U:$U,0))),"")</f>
        <v/>
      </c>
      <c r="E5">
        <f>COUNTIFS(LubesData!$U:$U,$A5)</f>
        <v/>
      </c>
      <c r="F5">
        <f>COUNTIFS(LubesData!$U:$U,$A5,LubesData!$N:$N,"&lt;&gt;")</f>
        <v/>
      </c>
      <c r="G5">
        <f>COUNTIFS(LubesData!$U:$U,$A5,LubesData!$N:$N,0)</f>
        <v/>
      </c>
      <c r="H5">
        <f>IF($F5=0,"",$F5-$G5)</f>
        <v/>
      </c>
      <c r="I5">
        <f>IF($F5=0,"",SUMIFS(LubesData!$N:$N,LubesData!$U:$U,$A5))</f>
        <v/>
      </c>
      <c r="J5">
        <f>COUNTIFS(LubesData!$U:$U,$A5,LubesData!$Q:$Q,"&lt;&gt;")</f>
        <v/>
      </c>
      <c r="K5">
        <f>IF($J5=0,"",SUMIFS(LubesData!$Q:$Q,LubesData!$U:$U,$A5))</f>
        <v/>
      </c>
      <c r="L5">
        <f>COUNTIFS(LubesData!$U:$U,$A5,LubesData!$M:$M,"&lt;&gt;")</f>
        <v/>
      </c>
      <c r="M5">
        <f>IF($E5=0,"",IF($L5=0,"not loaded","loaded"))</f>
        <v/>
      </c>
      <c r="N5">
        <f>COUNTIFS(LubesData!$U:$U,$A5,LubesData!$I:$I,"&lt;&gt;")</f>
        <v/>
      </c>
      <c r="O5">
        <f>IF($E5=0,"",IF($L5=0,"No POS sales have been loaded for this date, so variance cannot be worked out. Import the sales report for this day and it fills in.",IF($N5=0,"This is the first count of these products, so there is no opening figure to sell down from. Variance starts from the next count.",IF($F5-$G5=0,"Physical and POS agree on every product.",($F5-$G5)&amp;" of "&amp;$F5&amp;" products disagree with the POS. Largest first below."))))</f>
        <v/>
      </c>
      <c r="R5" t="n">
        <v>3</v>
      </c>
      <c r="S5">
        <f>IFERROR(INDEX(LubesData!$G:$G,MATCH($R5,LubesData!$V:$V,0)),"")</f>
        <v/>
      </c>
      <c r="T5">
        <f>IF(COUNTIFS(LubesData!$V:$V,$R5,LubesData!$U:$U,1,LubesData!$N:$N,"&lt;&gt;")=0,"",SUMIFS(LubesData!$N:$N,LubesData!$V:$V,$R5,LubesData!$U:$U,1))</f>
        <v/>
      </c>
      <c r="U5">
        <f>IF(COUNTIFS(LubesData!$V:$V,$R5,LubesData!$U:$U,2,LubesData!$N:$N,"&lt;&gt;")=0,"",SUMIFS(LubesData!$N:$N,LubesData!$V:$V,$R5,LubesData!$U:$U,2))</f>
        <v/>
      </c>
      <c r="V5">
        <f>IF(COUNTIFS(LubesData!$V:$V,$R5,LubesData!$U:$U,3,LubesData!$N:$N,"&lt;&gt;")=0,"",SUMIFS(LubesData!$N:$N,LubesData!$V:$V,$R5,LubesData!$U:$U,3))</f>
        <v/>
      </c>
      <c r="W5">
        <f>IF(COUNTIFS(LubesData!$V:$V,$R5,LubesData!$U:$U,4,LubesData!$N:$N,"&lt;&gt;")=0,"",SUMIFS(LubesData!$N:$N,LubesData!$V:$V,$R5,LubesData!$U:$U,4))</f>
        <v/>
      </c>
      <c r="X5">
        <f>IF(COUNTIFS(LubesData!$V:$V,$R5,LubesData!$U:$U,5,LubesData!$N:$N,"&lt;&gt;")=0,"",SUMIFS(LubesData!$N:$N,LubesData!$V:$V,$R5,LubesData!$U:$U,5))</f>
        <v/>
      </c>
      <c r="Y5">
        <f>IF(COUNTIFS(LubesData!$V:$V,$R5,LubesData!$U:$U,6,LubesData!$N:$N,"&lt;&gt;")=0,"",SUMIFS(LubesData!$N:$N,LubesData!$V:$V,$R5,LubesData!$U:$U,6))</f>
        <v/>
      </c>
      <c r="Z5">
        <f>IF(COUNTIFS(LubesData!$V:$V,$R5,LubesData!$U:$U,7,LubesData!$N:$N,"&lt;&gt;")=0,"",SUMIFS(LubesData!$N:$N,LubesData!$V:$V,$R5,LubesData!$U:$U,7))</f>
        <v/>
      </c>
      <c r="AA5">
        <f>IF(COUNTIFS(LubesData!$V:$V,$R5,LubesData!$U:$U,8,LubesData!$N:$N,"&lt;&gt;")=0,"",SUMIFS(LubesData!$N:$N,LubesData!$V:$V,$R5,LubesData!$U:$U,8))</f>
        <v/>
      </c>
      <c r="AB5">
        <f>IF(COUNTIFS(LubesData!$V:$V,$R5,LubesData!$U:$U,9,LubesData!$N:$N,"&lt;&gt;")=0,"",SUMIFS(LubesData!$N:$N,LubesData!$V:$V,$R5,LubesData!$U:$U,9))</f>
        <v/>
      </c>
      <c r="AC5">
        <f>IF(COUNTIFS(LubesData!$V:$V,$R5,LubesData!$U:$U,10,LubesData!$N:$N,"&lt;&gt;")=0,"",SUMIFS(LubesData!$N:$N,LubesData!$V:$V,$R5,LubesData!$U:$U,10))</f>
        <v/>
      </c>
      <c r="AD5">
        <f>IF(COUNTIFS(LubesData!$V:$V,$R5,LubesData!$U:$U,11,LubesData!$N:$N,"&lt;&gt;")=0,"",SUMIFS(LubesData!$N:$N,LubesData!$V:$V,$R5,LubesData!$U:$U,11))</f>
        <v/>
      </c>
      <c r="AE5">
        <f>IF(COUNTIFS(LubesData!$V:$V,$R5,LubesData!$U:$U,12,LubesData!$N:$N,"&lt;&gt;")=0,"",SUMIFS(LubesData!$N:$N,LubesData!$V:$V,$R5,LubesData!$U:$U,12))</f>
        <v/>
      </c>
      <c r="AF5">
        <f>IF(COUNTIFS(LubesData!$V:$V,$R5,LubesData!$U:$U,13,LubesData!$N:$N,"&lt;&gt;")=0,"",SUMIFS(LubesData!$N:$N,LubesData!$V:$V,$R5,LubesData!$U:$U,13))</f>
        <v/>
      </c>
      <c r="AG5">
        <f>IF(COUNTIFS(LubesData!$V:$V,$R5,LubesData!$U:$U,14,LubesData!$N:$N,"&lt;&gt;")=0,"",SUMIFS(LubesData!$N:$N,LubesData!$V:$V,$R5,LubesData!$U:$U,14))</f>
        <v/>
      </c>
      <c r="AH5">
        <f>COUNTIFS(LubesData!$V:$V,$R5,LubesData!$U:$U,"&lt;="&amp;14,LubesData!$N:$N,"&lt;&gt;")</f>
        <v/>
      </c>
      <c r="AI5">
        <f>COUNTIFS(LubesData!$V:$V,$R5,LubesData!$U:$U,"&lt;="&amp;14,LubesData!$N:$N,0)</f>
        <v/>
      </c>
      <c r="AJ5">
        <f>IF(AH5=0,"",AH5-AI5)</f>
        <v/>
      </c>
      <c r="AK5">
        <f>IF(AH5=0,"",SUMIFS(LubesData!$N:$N,LubesData!$V:$V,$R5,LubesData!$U:$U,"&lt;="&amp;14))</f>
        <v/>
      </c>
      <c r="AL5">
        <f>IF(AH5=0,"",IF(ABS(MAX(T5:AG5))&gt;=ABS(MIN(T5:AG5)),MAX(T5:AG5),MIN(T5:AG5)))</f>
        <v/>
      </c>
      <c r="AM5">
        <f>IF(AH5=0,-1,AJ5*100000+MIN(ABS(AK5),99999))</f>
        <v/>
      </c>
      <c r="AN5">
        <f>IF($S5="","",1+COUNTIFS($AM$3:$AM$122,"&gt;"&amp;AM5)+COUNTIFS($AM$3:$AM$122,AM5,$R$3:$R$122,"&lt;"&amp;$R5))</f>
        <v/>
      </c>
    </row>
    <row r="6">
      <c r="A6" t="n">
        <v>4</v>
      </c>
      <c r="B6" s="31">
        <f>IFERROR(IF(INDEX(LubesData!$B:$B,MATCH($A6,LubesData!$U:$U,0))="","",INDEX(LubesData!$B:$B,MATCH($A6,LubesData!$U:$U,0))),"")</f>
        <v/>
      </c>
      <c r="C6">
        <f>IFERROR(IF(INDEX(LubesData!$D:$D,MATCH($A6,LubesData!$U:$U,0))="","",INDEX(LubesData!$D:$D,MATCH($A6,LubesData!$U:$U,0))),"")</f>
        <v/>
      </c>
      <c r="D6" s="31">
        <f>IFERROR(IF(INDEX(LubesData!$O:$O,MATCH($A6,LubesData!$U:$U,0))="","",INDEX(LubesData!$O:$O,MATCH($A6,LubesData!$U:$U,0))),"")</f>
        <v/>
      </c>
      <c r="E6">
        <f>COUNTIFS(LubesData!$U:$U,$A6)</f>
        <v/>
      </c>
      <c r="F6">
        <f>COUNTIFS(LubesData!$U:$U,$A6,LubesData!$N:$N,"&lt;&gt;")</f>
        <v/>
      </c>
      <c r="G6">
        <f>COUNTIFS(LubesData!$U:$U,$A6,LubesData!$N:$N,0)</f>
        <v/>
      </c>
      <c r="H6">
        <f>IF($F6=0,"",$F6-$G6)</f>
        <v/>
      </c>
      <c r="I6">
        <f>IF($F6=0,"",SUMIFS(LubesData!$N:$N,LubesData!$U:$U,$A6))</f>
        <v/>
      </c>
      <c r="J6">
        <f>COUNTIFS(LubesData!$U:$U,$A6,LubesData!$Q:$Q,"&lt;&gt;")</f>
        <v/>
      </c>
      <c r="K6">
        <f>IF($J6=0,"",SUMIFS(LubesData!$Q:$Q,LubesData!$U:$U,$A6))</f>
        <v/>
      </c>
      <c r="L6">
        <f>COUNTIFS(LubesData!$U:$U,$A6,LubesData!$M:$M,"&lt;&gt;")</f>
        <v/>
      </c>
      <c r="M6">
        <f>IF($E6=0,"",IF($L6=0,"not loaded","loaded"))</f>
        <v/>
      </c>
      <c r="N6">
        <f>COUNTIFS(LubesData!$U:$U,$A6,LubesData!$I:$I,"&lt;&gt;")</f>
        <v/>
      </c>
      <c r="O6">
        <f>IF($E6=0,"",IF($L6=0,"No POS sales have been loaded for this date, so variance cannot be worked out. Import the sales report for this day and it fills in.",IF($N6=0,"This is the first count of these products, so there is no opening figure to sell down from. Variance starts from the next count.",IF($F6-$G6=0,"Physical and POS agree on every product.",($F6-$G6)&amp;" of "&amp;$F6&amp;" products disagree with the POS. Largest first below."))))</f>
        <v/>
      </c>
      <c r="R6" t="n">
        <v>4</v>
      </c>
      <c r="S6">
        <f>IFERROR(INDEX(LubesData!$G:$G,MATCH($R6,LubesData!$V:$V,0)),"")</f>
        <v/>
      </c>
      <c r="T6">
        <f>IF(COUNTIFS(LubesData!$V:$V,$R6,LubesData!$U:$U,1,LubesData!$N:$N,"&lt;&gt;")=0,"",SUMIFS(LubesData!$N:$N,LubesData!$V:$V,$R6,LubesData!$U:$U,1))</f>
        <v/>
      </c>
      <c r="U6">
        <f>IF(COUNTIFS(LubesData!$V:$V,$R6,LubesData!$U:$U,2,LubesData!$N:$N,"&lt;&gt;")=0,"",SUMIFS(LubesData!$N:$N,LubesData!$V:$V,$R6,LubesData!$U:$U,2))</f>
        <v/>
      </c>
      <c r="V6">
        <f>IF(COUNTIFS(LubesData!$V:$V,$R6,LubesData!$U:$U,3,LubesData!$N:$N,"&lt;&gt;")=0,"",SUMIFS(LubesData!$N:$N,LubesData!$V:$V,$R6,LubesData!$U:$U,3))</f>
        <v/>
      </c>
      <c r="W6">
        <f>IF(COUNTIFS(LubesData!$V:$V,$R6,LubesData!$U:$U,4,LubesData!$N:$N,"&lt;&gt;")=0,"",SUMIFS(LubesData!$N:$N,LubesData!$V:$V,$R6,LubesData!$U:$U,4))</f>
        <v/>
      </c>
      <c r="X6">
        <f>IF(COUNTIFS(LubesData!$V:$V,$R6,LubesData!$U:$U,5,LubesData!$N:$N,"&lt;&gt;")=0,"",SUMIFS(LubesData!$N:$N,LubesData!$V:$V,$R6,LubesData!$U:$U,5))</f>
        <v/>
      </c>
      <c r="Y6">
        <f>IF(COUNTIFS(LubesData!$V:$V,$R6,LubesData!$U:$U,6,LubesData!$N:$N,"&lt;&gt;")=0,"",SUMIFS(LubesData!$N:$N,LubesData!$V:$V,$R6,LubesData!$U:$U,6))</f>
        <v/>
      </c>
      <c r="Z6">
        <f>IF(COUNTIFS(LubesData!$V:$V,$R6,LubesData!$U:$U,7,LubesData!$N:$N,"&lt;&gt;")=0,"",SUMIFS(LubesData!$N:$N,LubesData!$V:$V,$R6,LubesData!$U:$U,7))</f>
        <v/>
      </c>
      <c r="AA6">
        <f>IF(COUNTIFS(LubesData!$V:$V,$R6,LubesData!$U:$U,8,LubesData!$N:$N,"&lt;&gt;")=0,"",SUMIFS(LubesData!$N:$N,LubesData!$V:$V,$R6,LubesData!$U:$U,8))</f>
        <v/>
      </c>
      <c r="AB6">
        <f>IF(COUNTIFS(LubesData!$V:$V,$R6,LubesData!$U:$U,9,LubesData!$N:$N,"&lt;&gt;")=0,"",SUMIFS(LubesData!$N:$N,LubesData!$V:$V,$R6,LubesData!$U:$U,9))</f>
        <v/>
      </c>
      <c r="AC6">
        <f>IF(COUNTIFS(LubesData!$V:$V,$R6,LubesData!$U:$U,10,LubesData!$N:$N,"&lt;&gt;")=0,"",SUMIFS(LubesData!$N:$N,LubesData!$V:$V,$R6,LubesData!$U:$U,10))</f>
        <v/>
      </c>
      <c r="AD6">
        <f>IF(COUNTIFS(LubesData!$V:$V,$R6,LubesData!$U:$U,11,LubesData!$N:$N,"&lt;&gt;")=0,"",SUMIFS(LubesData!$N:$N,LubesData!$V:$V,$R6,LubesData!$U:$U,11))</f>
        <v/>
      </c>
      <c r="AE6">
        <f>IF(COUNTIFS(LubesData!$V:$V,$R6,LubesData!$U:$U,12,LubesData!$N:$N,"&lt;&gt;")=0,"",SUMIFS(LubesData!$N:$N,LubesData!$V:$V,$R6,LubesData!$U:$U,12))</f>
        <v/>
      </c>
      <c r="AF6">
        <f>IF(COUNTIFS(LubesData!$V:$V,$R6,LubesData!$U:$U,13,LubesData!$N:$N,"&lt;&gt;")=0,"",SUMIFS(LubesData!$N:$N,LubesData!$V:$V,$R6,LubesData!$U:$U,13))</f>
        <v/>
      </c>
      <c r="AG6">
        <f>IF(COUNTIFS(LubesData!$V:$V,$R6,LubesData!$U:$U,14,LubesData!$N:$N,"&lt;&gt;")=0,"",SUMIFS(LubesData!$N:$N,LubesData!$V:$V,$R6,LubesData!$U:$U,14))</f>
        <v/>
      </c>
      <c r="AH6">
        <f>COUNTIFS(LubesData!$V:$V,$R6,LubesData!$U:$U,"&lt;="&amp;14,LubesData!$N:$N,"&lt;&gt;")</f>
        <v/>
      </c>
      <c r="AI6">
        <f>COUNTIFS(LubesData!$V:$V,$R6,LubesData!$U:$U,"&lt;="&amp;14,LubesData!$N:$N,0)</f>
        <v/>
      </c>
      <c r="AJ6">
        <f>IF(AH6=0,"",AH6-AI6)</f>
        <v/>
      </c>
      <c r="AK6">
        <f>IF(AH6=0,"",SUMIFS(LubesData!$N:$N,LubesData!$V:$V,$R6,LubesData!$U:$U,"&lt;="&amp;14))</f>
        <v/>
      </c>
      <c r="AL6">
        <f>IF(AH6=0,"",IF(ABS(MAX(T6:AG6))&gt;=ABS(MIN(T6:AG6)),MAX(T6:AG6),MIN(T6:AG6)))</f>
        <v/>
      </c>
      <c r="AM6">
        <f>IF(AH6=0,-1,AJ6*100000+MIN(ABS(AK6),99999))</f>
        <v/>
      </c>
      <c r="AN6">
        <f>IF($S6="","",1+COUNTIFS($AM$3:$AM$122,"&gt;"&amp;AM6)+COUNTIFS($AM$3:$AM$122,AM6,$R$3:$R$122,"&lt;"&amp;$R6))</f>
        <v/>
      </c>
    </row>
    <row r="7">
      <c r="A7" t="n">
        <v>5</v>
      </c>
      <c r="B7" s="31">
        <f>IFERROR(IF(INDEX(LubesData!$B:$B,MATCH($A7,LubesData!$U:$U,0))="","",INDEX(LubesData!$B:$B,MATCH($A7,LubesData!$U:$U,0))),"")</f>
        <v/>
      </c>
      <c r="C7">
        <f>IFERROR(IF(INDEX(LubesData!$D:$D,MATCH($A7,LubesData!$U:$U,0))="","",INDEX(LubesData!$D:$D,MATCH($A7,LubesData!$U:$U,0))),"")</f>
        <v/>
      </c>
      <c r="D7" s="31">
        <f>IFERROR(IF(INDEX(LubesData!$O:$O,MATCH($A7,LubesData!$U:$U,0))="","",INDEX(LubesData!$O:$O,MATCH($A7,LubesData!$U:$U,0))),"")</f>
        <v/>
      </c>
      <c r="E7">
        <f>COUNTIFS(LubesData!$U:$U,$A7)</f>
        <v/>
      </c>
      <c r="F7">
        <f>COUNTIFS(LubesData!$U:$U,$A7,LubesData!$N:$N,"&lt;&gt;")</f>
        <v/>
      </c>
      <c r="G7">
        <f>COUNTIFS(LubesData!$U:$U,$A7,LubesData!$N:$N,0)</f>
        <v/>
      </c>
      <c r="H7">
        <f>IF($F7=0,"",$F7-$G7)</f>
        <v/>
      </c>
      <c r="I7">
        <f>IF($F7=0,"",SUMIFS(LubesData!$N:$N,LubesData!$U:$U,$A7))</f>
        <v/>
      </c>
      <c r="J7">
        <f>COUNTIFS(LubesData!$U:$U,$A7,LubesData!$Q:$Q,"&lt;&gt;")</f>
        <v/>
      </c>
      <c r="K7">
        <f>IF($J7=0,"",SUMIFS(LubesData!$Q:$Q,LubesData!$U:$U,$A7))</f>
        <v/>
      </c>
      <c r="L7">
        <f>COUNTIFS(LubesData!$U:$U,$A7,LubesData!$M:$M,"&lt;&gt;")</f>
        <v/>
      </c>
      <c r="M7">
        <f>IF($E7=0,"",IF($L7=0,"not loaded","loaded"))</f>
        <v/>
      </c>
      <c r="N7">
        <f>COUNTIFS(LubesData!$U:$U,$A7,LubesData!$I:$I,"&lt;&gt;")</f>
        <v/>
      </c>
      <c r="O7">
        <f>IF($E7=0,"",IF($L7=0,"No POS sales have been loaded for this date, so variance cannot be worked out. Import the sales report for this day and it fills in.",IF($N7=0,"This is the first count of these products, so there is no opening figure to sell down from. Variance starts from the next count.",IF($F7-$G7=0,"Physical and POS agree on every product.",($F7-$G7)&amp;" of "&amp;$F7&amp;" products disagree with the POS. Largest first below."))))</f>
        <v/>
      </c>
      <c r="R7" t="n">
        <v>5</v>
      </c>
      <c r="S7">
        <f>IFERROR(INDEX(LubesData!$G:$G,MATCH($R7,LubesData!$V:$V,0)),"")</f>
        <v/>
      </c>
      <c r="T7">
        <f>IF(COUNTIFS(LubesData!$V:$V,$R7,LubesData!$U:$U,1,LubesData!$N:$N,"&lt;&gt;")=0,"",SUMIFS(LubesData!$N:$N,LubesData!$V:$V,$R7,LubesData!$U:$U,1))</f>
        <v/>
      </c>
      <c r="U7">
        <f>IF(COUNTIFS(LubesData!$V:$V,$R7,LubesData!$U:$U,2,LubesData!$N:$N,"&lt;&gt;")=0,"",SUMIFS(LubesData!$N:$N,LubesData!$V:$V,$R7,LubesData!$U:$U,2))</f>
        <v/>
      </c>
      <c r="V7">
        <f>IF(COUNTIFS(LubesData!$V:$V,$R7,LubesData!$U:$U,3,LubesData!$N:$N,"&lt;&gt;")=0,"",SUMIFS(LubesData!$N:$N,LubesData!$V:$V,$R7,LubesData!$U:$U,3))</f>
        <v/>
      </c>
      <c r="W7">
        <f>IF(COUNTIFS(LubesData!$V:$V,$R7,LubesData!$U:$U,4,LubesData!$N:$N,"&lt;&gt;")=0,"",SUMIFS(LubesData!$N:$N,LubesData!$V:$V,$R7,LubesData!$U:$U,4))</f>
        <v/>
      </c>
      <c r="X7">
        <f>IF(COUNTIFS(LubesData!$V:$V,$R7,LubesData!$U:$U,5,LubesData!$N:$N,"&lt;&gt;")=0,"",SUMIFS(LubesData!$N:$N,LubesData!$V:$V,$R7,LubesData!$U:$U,5))</f>
        <v/>
      </c>
      <c r="Y7">
        <f>IF(COUNTIFS(LubesData!$V:$V,$R7,LubesData!$U:$U,6,LubesData!$N:$N,"&lt;&gt;")=0,"",SUMIFS(LubesData!$N:$N,LubesData!$V:$V,$R7,LubesData!$U:$U,6))</f>
        <v/>
      </c>
      <c r="Z7">
        <f>IF(COUNTIFS(LubesData!$V:$V,$R7,LubesData!$U:$U,7,LubesData!$N:$N,"&lt;&gt;")=0,"",SUMIFS(LubesData!$N:$N,LubesData!$V:$V,$R7,LubesData!$U:$U,7))</f>
        <v/>
      </c>
      <c r="AA7">
        <f>IF(COUNTIFS(LubesData!$V:$V,$R7,LubesData!$U:$U,8,LubesData!$N:$N,"&lt;&gt;")=0,"",SUMIFS(LubesData!$N:$N,LubesData!$V:$V,$R7,LubesData!$U:$U,8))</f>
        <v/>
      </c>
      <c r="AB7">
        <f>IF(COUNTIFS(LubesData!$V:$V,$R7,LubesData!$U:$U,9,LubesData!$N:$N,"&lt;&gt;")=0,"",SUMIFS(LubesData!$N:$N,LubesData!$V:$V,$R7,LubesData!$U:$U,9))</f>
        <v/>
      </c>
      <c r="AC7">
        <f>IF(COUNTIFS(LubesData!$V:$V,$R7,LubesData!$U:$U,10,LubesData!$N:$N,"&lt;&gt;")=0,"",SUMIFS(LubesData!$N:$N,LubesData!$V:$V,$R7,LubesData!$U:$U,10))</f>
        <v/>
      </c>
      <c r="AD7">
        <f>IF(COUNTIFS(LubesData!$V:$V,$R7,LubesData!$U:$U,11,LubesData!$N:$N,"&lt;&gt;")=0,"",SUMIFS(LubesData!$N:$N,LubesData!$V:$V,$R7,LubesData!$U:$U,11))</f>
        <v/>
      </c>
      <c r="AE7">
        <f>IF(COUNTIFS(LubesData!$V:$V,$R7,LubesData!$U:$U,12,LubesData!$N:$N,"&lt;&gt;")=0,"",SUMIFS(LubesData!$N:$N,LubesData!$V:$V,$R7,LubesData!$U:$U,12))</f>
        <v/>
      </c>
      <c r="AF7">
        <f>IF(COUNTIFS(LubesData!$V:$V,$R7,LubesData!$U:$U,13,LubesData!$N:$N,"&lt;&gt;")=0,"",SUMIFS(LubesData!$N:$N,LubesData!$V:$V,$R7,LubesData!$U:$U,13))</f>
        <v/>
      </c>
      <c r="AG7">
        <f>IF(COUNTIFS(LubesData!$V:$V,$R7,LubesData!$U:$U,14,LubesData!$N:$N,"&lt;&gt;")=0,"",SUMIFS(LubesData!$N:$N,LubesData!$V:$V,$R7,LubesData!$U:$U,14))</f>
        <v/>
      </c>
      <c r="AH7">
        <f>COUNTIFS(LubesData!$V:$V,$R7,LubesData!$U:$U,"&lt;="&amp;14,LubesData!$N:$N,"&lt;&gt;")</f>
        <v/>
      </c>
      <c r="AI7">
        <f>COUNTIFS(LubesData!$V:$V,$R7,LubesData!$U:$U,"&lt;="&amp;14,LubesData!$N:$N,0)</f>
        <v/>
      </c>
      <c r="AJ7">
        <f>IF(AH7=0,"",AH7-AI7)</f>
        <v/>
      </c>
      <c r="AK7">
        <f>IF(AH7=0,"",SUMIFS(LubesData!$N:$N,LubesData!$V:$V,$R7,LubesData!$U:$U,"&lt;="&amp;14))</f>
        <v/>
      </c>
      <c r="AL7">
        <f>IF(AH7=0,"",IF(ABS(MAX(T7:AG7))&gt;=ABS(MIN(T7:AG7)),MAX(T7:AG7),MIN(T7:AG7)))</f>
        <v/>
      </c>
      <c r="AM7">
        <f>IF(AH7=0,-1,AJ7*100000+MIN(ABS(AK7),99999))</f>
        <v/>
      </c>
      <c r="AN7">
        <f>IF($S7="","",1+COUNTIFS($AM$3:$AM$122,"&gt;"&amp;AM7)+COUNTIFS($AM$3:$AM$122,AM7,$R$3:$R$122,"&lt;"&amp;$R7))</f>
        <v/>
      </c>
    </row>
    <row r="8">
      <c r="A8" t="n">
        <v>6</v>
      </c>
      <c r="B8" s="31">
        <f>IFERROR(IF(INDEX(LubesData!$B:$B,MATCH($A8,LubesData!$U:$U,0))="","",INDEX(LubesData!$B:$B,MATCH($A8,LubesData!$U:$U,0))),"")</f>
        <v/>
      </c>
      <c r="C8">
        <f>IFERROR(IF(INDEX(LubesData!$D:$D,MATCH($A8,LubesData!$U:$U,0))="","",INDEX(LubesData!$D:$D,MATCH($A8,LubesData!$U:$U,0))),"")</f>
        <v/>
      </c>
      <c r="D8" s="31">
        <f>IFERROR(IF(INDEX(LubesData!$O:$O,MATCH($A8,LubesData!$U:$U,0))="","",INDEX(LubesData!$O:$O,MATCH($A8,LubesData!$U:$U,0))),"")</f>
        <v/>
      </c>
      <c r="E8">
        <f>COUNTIFS(LubesData!$U:$U,$A8)</f>
        <v/>
      </c>
      <c r="F8">
        <f>COUNTIFS(LubesData!$U:$U,$A8,LubesData!$N:$N,"&lt;&gt;")</f>
        <v/>
      </c>
      <c r="G8">
        <f>COUNTIFS(LubesData!$U:$U,$A8,LubesData!$N:$N,0)</f>
        <v/>
      </c>
      <c r="H8">
        <f>IF($F8=0,"",$F8-$G8)</f>
        <v/>
      </c>
      <c r="I8">
        <f>IF($F8=0,"",SUMIFS(LubesData!$N:$N,LubesData!$U:$U,$A8))</f>
        <v/>
      </c>
      <c r="J8">
        <f>COUNTIFS(LubesData!$U:$U,$A8,LubesData!$Q:$Q,"&lt;&gt;")</f>
        <v/>
      </c>
      <c r="K8">
        <f>IF($J8=0,"",SUMIFS(LubesData!$Q:$Q,LubesData!$U:$U,$A8))</f>
        <v/>
      </c>
      <c r="L8">
        <f>COUNTIFS(LubesData!$U:$U,$A8,LubesData!$M:$M,"&lt;&gt;")</f>
        <v/>
      </c>
      <c r="M8">
        <f>IF($E8=0,"",IF($L8=0,"not loaded","loaded"))</f>
        <v/>
      </c>
      <c r="N8">
        <f>COUNTIFS(LubesData!$U:$U,$A8,LubesData!$I:$I,"&lt;&gt;")</f>
        <v/>
      </c>
      <c r="O8">
        <f>IF($E8=0,"",IF($L8=0,"No POS sales have been loaded for this date, so variance cannot be worked out. Import the sales report for this day and it fills in.",IF($N8=0,"This is the first count of these products, so there is no opening figure to sell down from. Variance starts from the next count.",IF($F8-$G8=0,"Physical and POS agree on every product.",($F8-$G8)&amp;" of "&amp;$F8&amp;" products disagree with the POS. Largest first below."))))</f>
        <v/>
      </c>
      <c r="R8" t="n">
        <v>6</v>
      </c>
      <c r="S8">
        <f>IFERROR(INDEX(LubesData!$G:$G,MATCH($R8,LubesData!$V:$V,0)),"")</f>
        <v/>
      </c>
      <c r="T8">
        <f>IF(COUNTIFS(LubesData!$V:$V,$R8,LubesData!$U:$U,1,LubesData!$N:$N,"&lt;&gt;")=0,"",SUMIFS(LubesData!$N:$N,LubesData!$V:$V,$R8,LubesData!$U:$U,1))</f>
        <v/>
      </c>
      <c r="U8">
        <f>IF(COUNTIFS(LubesData!$V:$V,$R8,LubesData!$U:$U,2,LubesData!$N:$N,"&lt;&gt;")=0,"",SUMIFS(LubesData!$N:$N,LubesData!$V:$V,$R8,LubesData!$U:$U,2))</f>
        <v/>
      </c>
      <c r="V8">
        <f>IF(COUNTIFS(LubesData!$V:$V,$R8,LubesData!$U:$U,3,LubesData!$N:$N,"&lt;&gt;")=0,"",SUMIFS(LubesData!$N:$N,LubesData!$V:$V,$R8,LubesData!$U:$U,3))</f>
        <v/>
      </c>
      <c r="W8">
        <f>IF(COUNTIFS(LubesData!$V:$V,$R8,LubesData!$U:$U,4,LubesData!$N:$N,"&lt;&gt;")=0,"",SUMIFS(LubesData!$N:$N,LubesData!$V:$V,$R8,LubesData!$U:$U,4))</f>
        <v/>
      </c>
      <c r="X8">
        <f>IF(COUNTIFS(LubesData!$V:$V,$R8,LubesData!$U:$U,5,LubesData!$N:$N,"&lt;&gt;")=0,"",SUMIFS(LubesData!$N:$N,LubesData!$V:$V,$R8,LubesData!$U:$U,5))</f>
        <v/>
      </c>
      <c r="Y8">
        <f>IF(COUNTIFS(LubesData!$V:$V,$R8,LubesData!$U:$U,6,LubesData!$N:$N,"&lt;&gt;")=0,"",SUMIFS(LubesData!$N:$N,LubesData!$V:$V,$R8,LubesData!$U:$U,6))</f>
        <v/>
      </c>
      <c r="Z8">
        <f>IF(COUNTIFS(LubesData!$V:$V,$R8,LubesData!$U:$U,7,LubesData!$N:$N,"&lt;&gt;")=0,"",SUMIFS(LubesData!$N:$N,LubesData!$V:$V,$R8,LubesData!$U:$U,7))</f>
        <v/>
      </c>
      <c r="AA8">
        <f>IF(COUNTIFS(LubesData!$V:$V,$R8,LubesData!$U:$U,8,LubesData!$N:$N,"&lt;&gt;")=0,"",SUMIFS(LubesData!$N:$N,LubesData!$V:$V,$R8,LubesData!$U:$U,8))</f>
        <v/>
      </c>
      <c r="AB8">
        <f>IF(COUNTIFS(LubesData!$V:$V,$R8,LubesData!$U:$U,9,LubesData!$N:$N,"&lt;&gt;")=0,"",SUMIFS(LubesData!$N:$N,LubesData!$V:$V,$R8,LubesData!$U:$U,9))</f>
        <v/>
      </c>
      <c r="AC8">
        <f>IF(COUNTIFS(LubesData!$V:$V,$R8,LubesData!$U:$U,10,LubesData!$N:$N,"&lt;&gt;")=0,"",SUMIFS(LubesData!$N:$N,LubesData!$V:$V,$R8,LubesData!$U:$U,10))</f>
        <v/>
      </c>
      <c r="AD8">
        <f>IF(COUNTIFS(LubesData!$V:$V,$R8,LubesData!$U:$U,11,LubesData!$N:$N,"&lt;&gt;")=0,"",SUMIFS(LubesData!$N:$N,LubesData!$V:$V,$R8,LubesData!$U:$U,11))</f>
        <v/>
      </c>
      <c r="AE8">
        <f>IF(COUNTIFS(LubesData!$V:$V,$R8,LubesData!$U:$U,12,LubesData!$N:$N,"&lt;&gt;")=0,"",SUMIFS(LubesData!$N:$N,LubesData!$V:$V,$R8,LubesData!$U:$U,12))</f>
        <v/>
      </c>
      <c r="AF8">
        <f>IF(COUNTIFS(LubesData!$V:$V,$R8,LubesData!$U:$U,13,LubesData!$N:$N,"&lt;&gt;")=0,"",SUMIFS(LubesData!$N:$N,LubesData!$V:$V,$R8,LubesData!$U:$U,13))</f>
        <v/>
      </c>
      <c r="AG8">
        <f>IF(COUNTIFS(LubesData!$V:$V,$R8,LubesData!$U:$U,14,LubesData!$N:$N,"&lt;&gt;")=0,"",SUMIFS(LubesData!$N:$N,LubesData!$V:$V,$R8,LubesData!$U:$U,14))</f>
        <v/>
      </c>
      <c r="AH8">
        <f>COUNTIFS(LubesData!$V:$V,$R8,LubesData!$U:$U,"&lt;="&amp;14,LubesData!$N:$N,"&lt;&gt;")</f>
        <v/>
      </c>
      <c r="AI8">
        <f>COUNTIFS(LubesData!$V:$V,$R8,LubesData!$U:$U,"&lt;="&amp;14,LubesData!$N:$N,0)</f>
        <v/>
      </c>
      <c r="AJ8">
        <f>IF(AH8=0,"",AH8-AI8)</f>
        <v/>
      </c>
      <c r="AK8">
        <f>IF(AH8=0,"",SUMIFS(LubesData!$N:$N,LubesData!$V:$V,$R8,LubesData!$U:$U,"&lt;="&amp;14))</f>
        <v/>
      </c>
      <c r="AL8">
        <f>IF(AH8=0,"",IF(ABS(MAX(T8:AG8))&gt;=ABS(MIN(T8:AG8)),MAX(T8:AG8),MIN(T8:AG8)))</f>
        <v/>
      </c>
      <c r="AM8">
        <f>IF(AH8=0,-1,AJ8*100000+MIN(ABS(AK8),99999))</f>
        <v/>
      </c>
      <c r="AN8">
        <f>IF($S8="","",1+COUNTIFS($AM$3:$AM$122,"&gt;"&amp;AM8)+COUNTIFS($AM$3:$AM$122,AM8,$R$3:$R$122,"&lt;"&amp;$R8))</f>
        <v/>
      </c>
    </row>
    <row r="9">
      <c r="A9" t="n">
        <v>7</v>
      </c>
      <c r="B9" s="31">
        <f>IFERROR(IF(INDEX(LubesData!$B:$B,MATCH($A9,LubesData!$U:$U,0))="","",INDEX(LubesData!$B:$B,MATCH($A9,LubesData!$U:$U,0))),"")</f>
        <v/>
      </c>
      <c r="C9">
        <f>IFERROR(IF(INDEX(LubesData!$D:$D,MATCH($A9,LubesData!$U:$U,0))="","",INDEX(LubesData!$D:$D,MATCH($A9,LubesData!$U:$U,0))),"")</f>
        <v/>
      </c>
      <c r="D9" s="31">
        <f>IFERROR(IF(INDEX(LubesData!$O:$O,MATCH($A9,LubesData!$U:$U,0))="","",INDEX(LubesData!$O:$O,MATCH($A9,LubesData!$U:$U,0))),"")</f>
        <v/>
      </c>
      <c r="E9">
        <f>COUNTIFS(LubesData!$U:$U,$A9)</f>
        <v/>
      </c>
      <c r="F9">
        <f>COUNTIFS(LubesData!$U:$U,$A9,LubesData!$N:$N,"&lt;&gt;")</f>
        <v/>
      </c>
      <c r="G9">
        <f>COUNTIFS(LubesData!$U:$U,$A9,LubesData!$N:$N,0)</f>
        <v/>
      </c>
      <c r="H9">
        <f>IF($F9=0,"",$F9-$G9)</f>
        <v/>
      </c>
      <c r="I9">
        <f>IF($F9=0,"",SUMIFS(LubesData!$N:$N,LubesData!$U:$U,$A9))</f>
        <v/>
      </c>
      <c r="J9">
        <f>COUNTIFS(LubesData!$U:$U,$A9,LubesData!$Q:$Q,"&lt;&gt;")</f>
        <v/>
      </c>
      <c r="K9">
        <f>IF($J9=0,"",SUMIFS(LubesData!$Q:$Q,LubesData!$U:$U,$A9))</f>
        <v/>
      </c>
      <c r="L9">
        <f>COUNTIFS(LubesData!$U:$U,$A9,LubesData!$M:$M,"&lt;&gt;")</f>
        <v/>
      </c>
      <c r="M9">
        <f>IF($E9=0,"",IF($L9=0,"not loaded","loaded"))</f>
        <v/>
      </c>
      <c r="N9">
        <f>COUNTIFS(LubesData!$U:$U,$A9,LubesData!$I:$I,"&lt;&gt;")</f>
        <v/>
      </c>
      <c r="O9">
        <f>IF($E9=0,"",IF($L9=0,"No POS sales have been loaded for this date, so variance cannot be worked out. Import the sales report for this day and it fills in.",IF($N9=0,"This is the first count of these products, so there is no opening figure to sell down from. Variance starts from the next count.",IF($F9-$G9=0,"Physical and POS agree on every product.",($F9-$G9)&amp;" of "&amp;$F9&amp;" products disagree with the POS. Largest first below."))))</f>
        <v/>
      </c>
      <c r="R9" t="n">
        <v>7</v>
      </c>
      <c r="S9">
        <f>IFERROR(INDEX(LubesData!$G:$G,MATCH($R9,LubesData!$V:$V,0)),"")</f>
        <v/>
      </c>
      <c r="T9">
        <f>IF(COUNTIFS(LubesData!$V:$V,$R9,LubesData!$U:$U,1,LubesData!$N:$N,"&lt;&gt;")=0,"",SUMIFS(LubesData!$N:$N,LubesData!$V:$V,$R9,LubesData!$U:$U,1))</f>
        <v/>
      </c>
      <c r="U9">
        <f>IF(COUNTIFS(LubesData!$V:$V,$R9,LubesData!$U:$U,2,LubesData!$N:$N,"&lt;&gt;")=0,"",SUMIFS(LubesData!$N:$N,LubesData!$V:$V,$R9,LubesData!$U:$U,2))</f>
        <v/>
      </c>
      <c r="V9">
        <f>IF(COUNTIFS(LubesData!$V:$V,$R9,LubesData!$U:$U,3,LubesData!$N:$N,"&lt;&gt;")=0,"",SUMIFS(LubesData!$N:$N,LubesData!$V:$V,$R9,LubesData!$U:$U,3))</f>
        <v/>
      </c>
      <c r="W9">
        <f>IF(COUNTIFS(LubesData!$V:$V,$R9,LubesData!$U:$U,4,LubesData!$N:$N,"&lt;&gt;")=0,"",SUMIFS(LubesData!$N:$N,LubesData!$V:$V,$R9,LubesData!$U:$U,4))</f>
        <v/>
      </c>
      <c r="X9">
        <f>IF(COUNTIFS(LubesData!$V:$V,$R9,LubesData!$U:$U,5,LubesData!$N:$N,"&lt;&gt;")=0,"",SUMIFS(LubesData!$N:$N,LubesData!$V:$V,$R9,LubesData!$U:$U,5))</f>
        <v/>
      </c>
      <c r="Y9">
        <f>IF(COUNTIFS(LubesData!$V:$V,$R9,LubesData!$U:$U,6,LubesData!$N:$N,"&lt;&gt;")=0,"",SUMIFS(LubesData!$N:$N,LubesData!$V:$V,$R9,LubesData!$U:$U,6))</f>
        <v/>
      </c>
      <c r="Z9">
        <f>IF(COUNTIFS(LubesData!$V:$V,$R9,LubesData!$U:$U,7,LubesData!$N:$N,"&lt;&gt;")=0,"",SUMIFS(LubesData!$N:$N,LubesData!$V:$V,$R9,LubesData!$U:$U,7))</f>
        <v/>
      </c>
      <c r="AA9">
        <f>IF(COUNTIFS(LubesData!$V:$V,$R9,LubesData!$U:$U,8,LubesData!$N:$N,"&lt;&gt;")=0,"",SUMIFS(LubesData!$N:$N,LubesData!$V:$V,$R9,LubesData!$U:$U,8))</f>
        <v/>
      </c>
      <c r="AB9">
        <f>IF(COUNTIFS(LubesData!$V:$V,$R9,LubesData!$U:$U,9,LubesData!$N:$N,"&lt;&gt;")=0,"",SUMIFS(LubesData!$N:$N,LubesData!$V:$V,$R9,LubesData!$U:$U,9))</f>
        <v/>
      </c>
      <c r="AC9">
        <f>IF(COUNTIFS(LubesData!$V:$V,$R9,LubesData!$U:$U,10,LubesData!$N:$N,"&lt;&gt;")=0,"",SUMIFS(LubesData!$N:$N,LubesData!$V:$V,$R9,LubesData!$U:$U,10))</f>
        <v/>
      </c>
      <c r="AD9">
        <f>IF(COUNTIFS(LubesData!$V:$V,$R9,LubesData!$U:$U,11,LubesData!$N:$N,"&lt;&gt;")=0,"",SUMIFS(LubesData!$N:$N,LubesData!$V:$V,$R9,LubesData!$U:$U,11))</f>
        <v/>
      </c>
      <c r="AE9">
        <f>IF(COUNTIFS(LubesData!$V:$V,$R9,LubesData!$U:$U,12,LubesData!$N:$N,"&lt;&gt;")=0,"",SUMIFS(LubesData!$N:$N,LubesData!$V:$V,$R9,LubesData!$U:$U,12))</f>
        <v/>
      </c>
      <c r="AF9">
        <f>IF(COUNTIFS(LubesData!$V:$V,$R9,LubesData!$U:$U,13,LubesData!$N:$N,"&lt;&gt;")=0,"",SUMIFS(LubesData!$N:$N,LubesData!$V:$V,$R9,LubesData!$U:$U,13))</f>
        <v/>
      </c>
      <c r="AG9">
        <f>IF(COUNTIFS(LubesData!$V:$V,$R9,LubesData!$U:$U,14,LubesData!$N:$N,"&lt;&gt;")=0,"",SUMIFS(LubesData!$N:$N,LubesData!$V:$V,$R9,LubesData!$U:$U,14))</f>
        <v/>
      </c>
      <c r="AH9">
        <f>COUNTIFS(LubesData!$V:$V,$R9,LubesData!$U:$U,"&lt;="&amp;14,LubesData!$N:$N,"&lt;&gt;")</f>
        <v/>
      </c>
      <c r="AI9">
        <f>COUNTIFS(LubesData!$V:$V,$R9,LubesData!$U:$U,"&lt;="&amp;14,LubesData!$N:$N,0)</f>
        <v/>
      </c>
      <c r="AJ9">
        <f>IF(AH9=0,"",AH9-AI9)</f>
        <v/>
      </c>
      <c r="AK9">
        <f>IF(AH9=0,"",SUMIFS(LubesData!$N:$N,LubesData!$V:$V,$R9,LubesData!$U:$U,"&lt;="&amp;14))</f>
        <v/>
      </c>
      <c r="AL9">
        <f>IF(AH9=0,"",IF(ABS(MAX(T9:AG9))&gt;=ABS(MIN(T9:AG9)),MAX(T9:AG9),MIN(T9:AG9)))</f>
        <v/>
      </c>
      <c r="AM9">
        <f>IF(AH9=0,-1,AJ9*100000+MIN(ABS(AK9),99999))</f>
        <v/>
      </c>
      <c r="AN9">
        <f>IF($S9="","",1+COUNTIFS($AM$3:$AM$122,"&gt;"&amp;AM9)+COUNTIFS($AM$3:$AM$122,AM9,$R$3:$R$122,"&lt;"&amp;$R9))</f>
        <v/>
      </c>
    </row>
    <row r="10">
      <c r="A10" t="n">
        <v>8</v>
      </c>
      <c r="B10" s="31">
        <f>IFERROR(IF(INDEX(LubesData!$B:$B,MATCH($A10,LubesData!$U:$U,0))="","",INDEX(LubesData!$B:$B,MATCH($A10,LubesData!$U:$U,0))),"")</f>
        <v/>
      </c>
      <c r="C10">
        <f>IFERROR(IF(INDEX(LubesData!$D:$D,MATCH($A10,LubesData!$U:$U,0))="","",INDEX(LubesData!$D:$D,MATCH($A10,LubesData!$U:$U,0))),"")</f>
        <v/>
      </c>
      <c r="D10" s="31">
        <f>IFERROR(IF(INDEX(LubesData!$O:$O,MATCH($A10,LubesData!$U:$U,0))="","",INDEX(LubesData!$O:$O,MATCH($A10,LubesData!$U:$U,0))),"")</f>
        <v/>
      </c>
      <c r="E10">
        <f>COUNTIFS(LubesData!$U:$U,$A10)</f>
        <v/>
      </c>
      <c r="F10">
        <f>COUNTIFS(LubesData!$U:$U,$A10,LubesData!$N:$N,"&lt;&gt;")</f>
        <v/>
      </c>
      <c r="G10">
        <f>COUNTIFS(LubesData!$U:$U,$A10,LubesData!$N:$N,0)</f>
        <v/>
      </c>
      <c r="H10">
        <f>IF($F10=0,"",$F10-$G10)</f>
        <v/>
      </c>
      <c r="I10">
        <f>IF($F10=0,"",SUMIFS(LubesData!$N:$N,LubesData!$U:$U,$A10))</f>
        <v/>
      </c>
      <c r="J10">
        <f>COUNTIFS(LubesData!$U:$U,$A10,LubesData!$Q:$Q,"&lt;&gt;")</f>
        <v/>
      </c>
      <c r="K10">
        <f>IF($J10=0,"",SUMIFS(LubesData!$Q:$Q,LubesData!$U:$U,$A10))</f>
        <v/>
      </c>
      <c r="L10">
        <f>COUNTIFS(LubesData!$U:$U,$A10,LubesData!$M:$M,"&lt;&gt;")</f>
        <v/>
      </c>
      <c r="M10">
        <f>IF($E10=0,"",IF($L10=0,"not loaded","loaded"))</f>
        <v/>
      </c>
      <c r="N10">
        <f>COUNTIFS(LubesData!$U:$U,$A10,LubesData!$I:$I,"&lt;&gt;")</f>
        <v/>
      </c>
      <c r="O10">
        <f>IF($E10=0,"",IF($L10=0,"No POS sales have been loaded for this date, so variance cannot be worked out. Import the sales report for this day and it fills in.",IF($N10=0,"This is the first count of these products, so there is no opening figure to sell down from. Variance starts from the next count.",IF($F10-$G10=0,"Physical and POS agree on every product.",($F10-$G10)&amp;" of "&amp;$F10&amp;" products disagree with the POS. Largest first below."))))</f>
        <v/>
      </c>
      <c r="R10" t="n">
        <v>8</v>
      </c>
      <c r="S10">
        <f>IFERROR(INDEX(LubesData!$G:$G,MATCH($R10,LubesData!$V:$V,0)),"")</f>
        <v/>
      </c>
      <c r="T10">
        <f>IF(COUNTIFS(LubesData!$V:$V,$R10,LubesData!$U:$U,1,LubesData!$N:$N,"&lt;&gt;")=0,"",SUMIFS(LubesData!$N:$N,LubesData!$V:$V,$R10,LubesData!$U:$U,1))</f>
        <v/>
      </c>
      <c r="U10">
        <f>IF(COUNTIFS(LubesData!$V:$V,$R10,LubesData!$U:$U,2,LubesData!$N:$N,"&lt;&gt;")=0,"",SUMIFS(LubesData!$N:$N,LubesData!$V:$V,$R10,LubesData!$U:$U,2))</f>
        <v/>
      </c>
      <c r="V10">
        <f>IF(COUNTIFS(LubesData!$V:$V,$R10,LubesData!$U:$U,3,LubesData!$N:$N,"&lt;&gt;")=0,"",SUMIFS(LubesData!$N:$N,LubesData!$V:$V,$R10,LubesData!$U:$U,3))</f>
        <v/>
      </c>
      <c r="W10">
        <f>IF(COUNTIFS(LubesData!$V:$V,$R10,LubesData!$U:$U,4,LubesData!$N:$N,"&lt;&gt;")=0,"",SUMIFS(LubesData!$N:$N,LubesData!$V:$V,$R10,LubesData!$U:$U,4))</f>
        <v/>
      </c>
      <c r="X10">
        <f>IF(COUNTIFS(LubesData!$V:$V,$R10,LubesData!$U:$U,5,LubesData!$N:$N,"&lt;&gt;")=0,"",SUMIFS(LubesData!$N:$N,LubesData!$V:$V,$R10,LubesData!$U:$U,5))</f>
        <v/>
      </c>
      <c r="Y10">
        <f>IF(COUNTIFS(LubesData!$V:$V,$R10,LubesData!$U:$U,6,LubesData!$N:$N,"&lt;&gt;")=0,"",SUMIFS(LubesData!$N:$N,LubesData!$V:$V,$R10,LubesData!$U:$U,6))</f>
        <v/>
      </c>
      <c r="Z10">
        <f>IF(COUNTIFS(LubesData!$V:$V,$R10,LubesData!$U:$U,7,LubesData!$N:$N,"&lt;&gt;")=0,"",SUMIFS(LubesData!$N:$N,LubesData!$V:$V,$R10,LubesData!$U:$U,7))</f>
        <v/>
      </c>
      <c r="AA10">
        <f>IF(COUNTIFS(LubesData!$V:$V,$R10,LubesData!$U:$U,8,LubesData!$N:$N,"&lt;&gt;")=0,"",SUMIFS(LubesData!$N:$N,LubesData!$V:$V,$R10,LubesData!$U:$U,8))</f>
        <v/>
      </c>
      <c r="AB10">
        <f>IF(COUNTIFS(LubesData!$V:$V,$R10,LubesData!$U:$U,9,LubesData!$N:$N,"&lt;&gt;")=0,"",SUMIFS(LubesData!$N:$N,LubesData!$V:$V,$R10,LubesData!$U:$U,9))</f>
        <v/>
      </c>
      <c r="AC10">
        <f>IF(COUNTIFS(LubesData!$V:$V,$R10,LubesData!$U:$U,10,LubesData!$N:$N,"&lt;&gt;")=0,"",SUMIFS(LubesData!$N:$N,LubesData!$V:$V,$R10,LubesData!$U:$U,10))</f>
        <v/>
      </c>
      <c r="AD10">
        <f>IF(COUNTIFS(LubesData!$V:$V,$R10,LubesData!$U:$U,11,LubesData!$N:$N,"&lt;&gt;")=0,"",SUMIFS(LubesData!$N:$N,LubesData!$V:$V,$R10,LubesData!$U:$U,11))</f>
        <v/>
      </c>
      <c r="AE10">
        <f>IF(COUNTIFS(LubesData!$V:$V,$R10,LubesData!$U:$U,12,LubesData!$N:$N,"&lt;&gt;")=0,"",SUMIFS(LubesData!$N:$N,LubesData!$V:$V,$R10,LubesData!$U:$U,12))</f>
        <v/>
      </c>
      <c r="AF10">
        <f>IF(COUNTIFS(LubesData!$V:$V,$R10,LubesData!$U:$U,13,LubesData!$N:$N,"&lt;&gt;")=0,"",SUMIFS(LubesData!$N:$N,LubesData!$V:$V,$R10,LubesData!$U:$U,13))</f>
        <v/>
      </c>
      <c r="AG10">
        <f>IF(COUNTIFS(LubesData!$V:$V,$R10,LubesData!$U:$U,14,LubesData!$N:$N,"&lt;&gt;")=0,"",SUMIFS(LubesData!$N:$N,LubesData!$V:$V,$R10,LubesData!$U:$U,14))</f>
        <v/>
      </c>
      <c r="AH10">
        <f>COUNTIFS(LubesData!$V:$V,$R10,LubesData!$U:$U,"&lt;="&amp;14,LubesData!$N:$N,"&lt;&gt;")</f>
        <v/>
      </c>
      <c r="AI10">
        <f>COUNTIFS(LubesData!$V:$V,$R10,LubesData!$U:$U,"&lt;="&amp;14,LubesData!$N:$N,0)</f>
        <v/>
      </c>
      <c r="AJ10">
        <f>IF(AH10=0,"",AH10-AI10)</f>
        <v/>
      </c>
      <c r="AK10">
        <f>IF(AH10=0,"",SUMIFS(LubesData!$N:$N,LubesData!$V:$V,$R10,LubesData!$U:$U,"&lt;="&amp;14))</f>
        <v/>
      </c>
      <c r="AL10">
        <f>IF(AH10=0,"",IF(ABS(MAX(T10:AG10))&gt;=ABS(MIN(T10:AG10)),MAX(T10:AG10),MIN(T10:AG10)))</f>
        <v/>
      </c>
      <c r="AM10">
        <f>IF(AH10=0,-1,AJ10*100000+MIN(ABS(AK10),99999))</f>
        <v/>
      </c>
      <c r="AN10">
        <f>IF($S10="","",1+COUNTIFS($AM$3:$AM$122,"&gt;"&amp;AM10)+COUNTIFS($AM$3:$AM$122,AM10,$R$3:$R$122,"&lt;"&amp;$R10))</f>
        <v/>
      </c>
    </row>
    <row r="11">
      <c r="A11" t="n">
        <v>9</v>
      </c>
      <c r="B11" s="31">
        <f>IFERROR(IF(INDEX(LubesData!$B:$B,MATCH($A11,LubesData!$U:$U,0))="","",INDEX(LubesData!$B:$B,MATCH($A11,LubesData!$U:$U,0))),"")</f>
        <v/>
      </c>
      <c r="C11">
        <f>IFERROR(IF(INDEX(LubesData!$D:$D,MATCH($A11,LubesData!$U:$U,0))="","",INDEX(LubesData!$D:$D,MATCH($A11,LubesData!$U:$U,0))),"")</f>
        <v/>
      </c>
      <c r="D11" s="31">
        <f>IFERROR(IF(INDEX(LubesData!$O:$O,MATCH($A11,LubesData!$U:$U,0))="","",INDEX(LubesData!$O:$O,MATCH($A11,LubesData!$U:$U,0))),"")</f>
        <v/>
      </c>
      <c r="E11">
        <f>COUNTIFS(LubesData!$U:$U,$A11)</f>
        <v/>
      </c>
      <c r="F11">
        <f>COUNTIFS(LubesData!$U:$U,$A11,LubesData!$N:$N,"&lt;&gt;")</f>
        <v/>
      </c>
      <c r="G11">
        <f>COUNTIFS(LubesData!$U:$U,$A11,LubesData!$N:$N,0)</f>
        <v/>
      </c>
      <c r="H11">
        <f>IF($F11=0,"",$F11-$G11)</f>
        <v/>
      </c>
      <c r="I11">
        <f>IF($F11=0,"",SUMIFS(LubesData!$N:$N,LubesData!$U:$U,$A11))</f>
        <v/>
      </c>
      <c r="J11">
        <f>COUNTIFS(LubesData!$U:$U,$A11,LubesData!$Q:$Q,"&lt;&gt;")</f>
        <v/>
      </c>
      <c r="K11">
        <f>IF($J11=0,"",SUMIFS(LubesData!$Q:$Q,LubesData!$U:$U,$A11))</f>
        <v/>
      </c>
      <c r="L11">
        <f>COUNTIFS(LubesData!$U:$U,$A11,LubesData!$M:$M,"&lt;&gt;")</f>
        <v/>
      </c>
      <c r="M11">
        <f>IF($E11=0,"",IF($L11=0,"not loaded","loaded"))</f>
        <v/>
      </c>
      <c r="N11">
        <f>COUNTIFS(LubesData!$U:$U,$A11,LubesData!$I:$I,"&lt;&gt;")</f>
        <v/>
      </c>
      <c r="O11">
        <f>IF($E11=0,"",IF($L11=0,"No POS sales have been loaded for this date, so variance cannot be worked out. Import the sales report for this day and it fills in.",IF($N11=0,"This is the first count of these products, so there is no opening figure to sell down from. Variance starts from the next count.",IF($F11-$G11=0,"Physical and POS agree on every product.",($F11-$G11)&amp;" of "&amp;$F11&amp;" products disagree with the POS. Largest first below."))))</f>
        <v/>
      </c>
      <c r="R11" t="n">
        <v>9</v>
      </c>
      <c r="S11">
        <f>IFERROR(INDEX(LubesData!$G:$G,MATCH($R11,LubesData!$V:$V,0)),"")</f>
        <v/>
      </c>
      <c r="T11">
        <f>IF(COUNTIFS(LubesData!$V:$V,$R11,LubesData!$U:$U,1,LubesData!$N:$N,"&lt;&gt;")=0,"",SUMIFS(LubesData!$N:$N,LubesData!$V:$V,$R11,LubesData!$U:$U,1))</f>
        <v/>
      </c>
      <c r="U11">
        <f>IF(COUNTIFS(LubesData!$V:$V,$R11,LubesData!$U:$U,2,LubesData!$N:$N,"&lt;&gt;")=0,"",SUMIFS(LubesData!$N:$N,LubesData!$V:$V,$R11,LubesData!$U:$U,2))</f>
        <v/>
      </c>
      <c r="V11">
        <f>IF(COUNTIFS(LubesData!$V:$V,$R11,LubesData!$U:$U,3,LubesData!$N:$N,"&lt;&gt;")=0,"",SUMIFS(LubesData!$N:$N,LubesData!$V:$V,$R11,LubesData!$U:$U,3))</f>
        <v/>
      </c>
      <c r="W11">
        <f>IF(COUNTIFS(LubesData!$V:$V,$R11,LubesData!$U:$U,4,LubesData!$N:$N,"&lt;&gt;")=0,"",SUMIFS(LubesData!$N:$N,LubesData!$V:$V,$R11,LubesData!$U:$U,4))</f>
        <v/>
      </c>
      <c r="X11">
        <f>IF(COUNTIFS(LubesData!$V:$V,$R11,LubesData!$U:$U,5,LubesData!$N:$N,"&lt;&gt;")=0,"",SUMIFS(LubesData!$N:$N,LubesData!$V:$V,$R11,LubesData!$U:$U,5))</f>
        <v/>
      </c>
      <c r="Y11">
        <f>IF(COUNTIFS(LubesData!$V:$V,$R11,LubesData!$U:$U,6,LubesData!$N:$N,"&lt;&gt;")=0,"",SUMIFS(LubesData!$N:$N,LubesData!$V:$V,$R11,LubesData!$U:$U,6))</f>
        <v/>
      </c>
      <c r="Z11">
        <f>IF(COUNTIFS(LubesData!$V:$V,$R11,LubesData!$U:$U,7,LubesData!$N:$N,"&lt;&gt;")=0,"",SUMIFS(LubesData!$N:$N,LubesData!$V:$V,$R11,LubesData!$U:$U,7))</f>
        <v/>
      </c>
      <c r="AA11">
        <f>IF(COUNTIFS(LubesData!$V:$V,$R11,LubesData!$U:$U,8,LubesData!$N:$N,"&lt;&gt;")=0,"",SUMIFS(LubesData!$N:$N,LubesData!$V:$V,$R11,LubesData!$U:$U,8))</f>
        <v/>
      </c>
      <c r="AB11">
        <f>IF(COUNTIFS(LubesData!$V:$V,$R11,LubesData!$U:$U,9,LubesData!$N:$N,"&lt;&gt;")=0,"",SUMIFS(LubesData!$N:$N,LubesData!$V:$V,$R11,LubesData!$U:$U,9))</f>
        <v/>
      </c>
      <c r="AC11">
        <f>IF(COUNTIFS(LubesData!$V:$V,$R11,LubesData!$U:$U,10,LubesData!$N:$N,"&lt;&gt;")=0,"",SUMIFS(LubesData!$N:$N,LubesData!$V:$V,$R11,LubesData!$U:$U,10))</f>
        <v/>
      </c>
      <c r="AD11">
        <f>IF(COUNTIFS(LubesData!$V:$V,$R11,LubesData!$U:$U,11,LubesData!$N:$N,"&lt;&gt;")=0,"",SUMIFS(LubesData!$N:$N,LubesData!$V:$V,$R11,LubesData!$U:$U,11))</f>
        <v/>
      </c>
      <c r="AE11">
        <f>IF(COUNTIFS(LubesData!$V:$V,$R11,LubesData!$U:$U,12,LubesData!$N:$N,"&lt;&gt;")=0,"",SUMIFS(LubesData!$N:$N,LubesData!$V:$V,$R11,LubesData!$U:$U,12))</f>
        <v/>
      </c>
      <c r="AF11">
        <f>IF(COUNTIFS(LubesData!$V:$V,$R11,LubesData!$U:$U,13,LubesData!$N:$N,"&lt;&gt;")=0,"",SUMIFS(LubesData!$N:$N,LubesData!$V:$V,$R11,LubesData!$U:$U,13))</f>
        <v/>
      </c>
      <c r="AG11">
        <f>IF(COUNTIFS(LubesData!$V:$V,$R11,LubesData!$U:$U,14,LubesData!$N:$N,"&lt;&gt;")=0,"",SUMIFS(LubesData!$N:$N,LubesData!$V:$V,$R11,LubesData!$U:$U,14))</f>
        <v/>
      </c>
      <c r="AH11">
        <f>COUNTIFS(LubesData!$V:$V,$R11,LubesData!$U:$U,"&lt;="&amp;14,LubesData!$N:$N,"&lt;&gt;")</f>
        <v/>
      </c>
      <c r="AI11">
        <f>COUNTIFS(LubesData!$V:$V,$R11,LubesData!$U:$U,"&lt;="&amp;14,LubesData!$N:$N,0)</f>
        <v/>
      </c>
      <c r="AJ11">
        <f>IF(AH11=0,"",AH11-AI11)</f>
        <v/>
      </c>
      <c r="AK11">
        <f>IF(AH11=0,"",SUMIFS(LubesData!$N:$N,LubesData!$V:$V,$R11,LubesData!$U:$U,"&lt;="&amp;14))</f>
        <v/>
      </c>
      <c r="AL11">
        <f>IF(AH11=0,"",IF(ABS(MAX(T11:AG11))&gt;=ABS(MIN(T11:AG11)),MAX(T11:AG11),MIN(T11:AG11)))</f>
        <v/>
      </c>
      <c r="AM11">
        <f>IF(AH11=0,-1,AJ11*100000+MIN(ABS(AK11),99999))</f>
        <v/>
      </c>
      <c r="AN11">
        <f>IF($S11="","",1+COUNTIFS($AM$3:$AM$122,"&gt;"&amp;AM11)+COUNTIFS($AM$3:$AM$122,AM11,$R$3:$R$122,"&lt;"&amp;$R11))</f>
        <v/>
      </c>
    </row>
    <row r="12">
      <c r="A12" t="n">
        <v>10</v>
      </c>
      <c r="B12" s="31">
        <f>IFERROR(IF(INDEX(LubesData!$B:$B,MATCH($A12,LubesData!$U:$U,0))="","",INDEX(LubesData!$B:$B,MATCH($A12,LubesData!$U:$U,0))),"")</f>
        <v/>
      </c>
      <c r="C12">
        <f>IFERROR(IF(INDEX(LubesData!$D:$D,MATCH($A12,LubesData!$U:$U,0))="","",INDEX(LubesData!$D:$D,MATCH($A12,LubesData!$U:$U,0))),"")</f>
        <v/>
      </c>
      <c r="D12" s="31">
        <f>IFERROR(IF(INDEX(LubesData!$O:$O,MATCH($A12,LubesData!$U:$U,0))="","",INDEX(LubesData!$O:$O,MATCH($A12,LubesData!$U:$U,0))),"")</f>
        <v/>
      </c>
      <c r="E12">
        <f>COUNTIFS(LubesData!$U:$U,$A12)</f>
        <v/>
      </c>
      <c r="F12">
        <f>COUNTIFS(LubesData!$U:$U,$A12,LubesData!$N:$N,"&lt;&gt;")</f>
        <v/>
      </c>
      <c r="G12">
        <f>COUNTIFS(LubesData!$U:$U,$A12,LubesData!$N:$N,0)</f>
        <v/>
      </c>
      <c r="H12">
        <f>IF($F12=0,"",$F12-$G12)</f>
        <v/>
      </c>
      <c r="I12">
        <f>IF($F12=0,"",SUMIFS(LubesData!$N:$N,LubesData!$U:$U,$A12))</f>
        <v/>
      </c>
      <c r="J12">
        <f>COUNTIFS(LubesData!$U:$U,$A12,LubesData!$Q:$Q,"&lt;&gt;")</f>
        <v/>
      </c>
      <c r="K12">
        <f>IF($J12=0,"",SUMIFS(LubesData!$Q:$Q,LubesData!$U:$U,$A12))</f>
        <v/>
      </c>
      <c r="L12">
        <f>COUNTIFS(LubesData!$U:$U,$A12,LubesData!$M:$M,"&lt;&gt;")</f>
        <v/>
      </c>
      <c r="M12">
        <f>IF($E12=0,"",IF($L12=0,"not loaded","loaded"))</f>
        <v/>
      </c>
      <c r="N12">
        <f>COUNTIFS(LubesData!$U:$U,$A12,LubesData!$I:$I,"&lt;&gt;")</f>
        <v/>
      </c>
      <c r="O12">
        <f>IF($E12=0,"",IF($L12=0,"No POS sales have been loaded for this date, so variance cannot be worked out. Import the sales report for this day and it fills in.",IF($N12=0,"This is the first count of these products, so there is no opening figure to sell down from. Variance starts from the next count.",IF($F12-$G12=0,"Physical and POS agree on every product.",($F12-$G12)&amp;" of "&amp;$F12&amp;" products disagree with the POS. Largest first below."))))</f>
        <v/>
      </c>
      <c r="R12" t="n">
        <v>10</v>
      </c>
      <c r="S12">
        <f>IFERROR(INDEX(LubesData!$G:$G,MATCH($R12,LubesData!$V:$V,0)),"")</f>
        <v/>
      </c>
      <c r="T12">
        <f>IF(COUNTIFS(LubesData!$V:$V,$R12,LubesData!$U:$U,1,LubesData!$N:$N,"&lt;&gt;")=0,"",SUMIFS(LubesData!$N:$N,LubesData!$V:$V,$R12,LubesData!$U:$U,1))</f>
        <v/>
      </c>
      <c r="U12">
        <f>IF(COUNTIFS(LubesData!$V:$V,$R12,LubesData!$U:$U,2,LubesData!$N:$N,"&lt;&gt;")=0,"",SUMIFS(LubesData!$N:$N,LubesData!$V:$V,$R12,LubesData!$U:$U,2))</f>
        <v/>
      </c>
      <c r="V12">
        <f>IF(COUNTIFS(LubesData!$V:$V,$R12,LubesData!$U:$U,3,LubesData!$N:$N,"&lt;&gt;")=0,"",SUMIFS(LubesData!$N:$N,LubesData!$V:$V,$R12,LubesData!$U:$U,3))</f>
        <v/>
      </c>
      <c r="W12">
        <f>IF(COUNTIFS(LubesData!$V:$V,$R12,LubesData!$U:$U,4,LubesData!$N:$N,"&lt;&gt;")=0,"",SUMIFS(LubesData!$N:$N,LubesData!$V:$V,$R12,LubesData!$U:$U,4))</f>
        <v/>
      </c>
      <c r="X12">
        <f>IF(COUNTIFS(LubesData!$V:$V,$R12,LubesData!$U:$U,5,LubesData!$N:$N,"&lt;&gt;")=0,"",SUMIFS(LubesData!$N:$N,LubesData!$V:$V,$R12,LubesData!$U:$U,5))</f>
        <v/>
      </c>
      <c r="Y12">
        <f>IF(COUNTIFS(LubesData!$V:$V,$R12,LubesData!$U:$U,6,LubesData!$N:$N,"&lt;&gt;")=0,"",SUMIFS(LubesData!$N:$N,LubesData!$V:$V,$R12,LubesData!$U:$U,6))</f>
        <v/>
      </c>
      <c r="Z12">
        <f>IF(COUNTIFS(LubesData!$V:$V,$R12,LubesData!$U:$U,7,LubesData!$N:$N,"&lt;&gt;")=0,"",SUMIFS(LubesData!$N:$N,LubesData!$V:$V,$R12,LubesData!$U:$U,7))</f>
        <v/>
      </c>
      <c r="AA12">
        <f>IF(COUNTIFS(LubesData!$V:$V,$R12,LubesData!$U:$U,8,LubesData!$N:$N,"&lt;&gt;")=0,"",SUMIFS(LubesData!$N:$N,LubesData!$V:$V,$R12,LubesData!$U:$U,8))</f>
        <v/>
      </c>
      <c r="AB12">
        <f>IF(COUNTIFS(LubesData!$V:$V,$R12,LubesData!$U:$U,9,LubesData!$N:$N,"&lt;&gt;")=0,"",SUMIFS(LubesData!$N:$N,LubesData!$V:$V,$R12,LubesData!$U:$U,9))</f>
        <v/>
      </c>
      <c r="AC12">
        <f>IF(COUNTIFS(LubesData!$V:$V,$R12,LubesData!$U:$U,10,LubesData!$N:$N,"&lt;&gt;")=0,"",SUMIFS(LubesData!$N:$N,LubesData!$V:$V,$R12,LubesData!$U:$U,10))</f>
        <v/>
      </c>
      <c r="AD12">
        <f>IF(COUNTIFS(LubesData!$V:$V,$R12,LubesData!$U:$U,11,LubesData!$N:$N,"&lt;&gt;")=0,"",SUMIFS(LubesData!$N:$N,LubesData!$V:$V,$R12,LubesData!$U:$U,11))</f>
        <v/>
      </c>
      <c r="AE12">
        <f>IF(COUNTIFS(LubesData!$V:$V,$R12,LubesData!$U:$U,12,LubesData!$N:$N,"&lt;&gt;")=0,"",SUMIFS(LubesData!$N:$N,LubesData!$V:$V,$R12,LubesData!$U:$U,12))</f>
        <v/>
      </c>
      <c r="AF12">
        <f>IF(COUNTIFS(LubesData!$V:$V,$R12,LubesData!$U:$U,13,LubesData!$N:$N,"&lt;&gt;")=0,"",SUMIFS(LubesData!$N:$N,LubesData!$V:$V,$R12,LubesData!$U:$U,13))</f>
        <v/>
      </c>
      <c r="AG12">
        <f>IF(COUNTIFS(LubesData!$V:$V,$R12,LubesData!$U:$U,14,LubesData!$N:$N,"&lt;&gt;")=0,"",SUMIFS(LubesData!$N:$N,LubesData!$V:$V,$R12,LubesData!$U:$U,14))</f>
        <v/>
      </c>
      <c r="AH12">
        <f>COUNTIFS(LubesData!$V:$V,$R12,LubesData!$U:$U,"&lt;="&amp;14,LubesData!$N:$N,"&lt;&gt;")</f>
        <v/>
      </c>
      <c r="AI12">
        <f>COUNTIFS(LubesData!$V:$V,$R12,LubesData!$U:$U,"&lt;="&amp;14,LubesData!$N:$N,0)</f>
        <v/>
      </c>
      <c r="AJ12">
        <f>IF(AH12=0,"",AH12-AI12)</f>
        <v/>
      </c>
      <c r="AK12">
        <f>IF(AH12=0,"",SUMIFS(LubesData!$N:$N,LubesData!$V:$V,$R12,LubesData!$U:$U,"&lt;="&amp;14))</f>
        <v/>
      </c>
      <c r="AL12">
        <f>IF(AH12=0,"",IF(ABS(MAX(T12:AG12))&gt;=ABS(MIN(T12:AG12)),MAX(T12:AG12),MIN(T12:AG12)))</f>
        <v/>
      </c>
      <c r="AM12">
        <f>IF(AH12=0,-1,AJ12*100000+MIN(ABS(AK12),99999))</f>
        <v/>
      </c>
      <c r="AN12">
        <f>IF($S12="","",1+COUNTIFS($AM$3:$AM$122,"&gt;"&amp;AM12)+COUNTIFS($AM$3:$AM$122,AM12,$R$3:$R$122,"&lt;"&amp;$R12))</f>
        <v/>
      </c>
    </row>
    <row r="13">
      <c r="A13" t="n">
        <v>11</v>
      </c>
      <c r="B13" s="31">
        <f>IFERROR(IF(INDEX(LubesData!$B:$B,MATCH($A13,LubesData!$U:$U,0))="","",INDEX(LubesData!$B:$B,MATCH($A13,LubesData!$U:$U,0))),"")</f>
        <v/>
      </c>
      <c r="C13">
        <f>IFERROR(IF(INDEX(LubesData!$D:$D,MATCH($A13,LubesData!$U:$U,0))="","",INDEX(LubesData!$D:$D,MATCH($A13,LubesData!$U:$U,0))),"")</f>
        <v/>
      </c>
      <c r="D13" s="31">
        <f>IFERROR(IF(INDEX(LubesData!$O:$O,MATCH($A13,LubesData!$U:$U,0))="","",INDEX(LubesData!$O:$O,MATCH($A13,LubesData!$U:$U,0))),"")</f>
        <v/>
      </c>
      <c r="E13">
        <f>COUNTIFS(LubesData!$U:$U,$A13)</f>
        <v/>
      </c>
      <c r="F13">
        <f>COUNTIFS(LubesData!$U:$U,$A13,LubesData!$N:$N,"&lt;&gt;")</f>
        <v/>
      </c>
      <c r="G13">
        <f>COUNTIFS(LubesData!$U:$U,$A13,LubesData!$N:$N,0)</f>
        <v/>
      </c>
      <c r="H13">
        <f>IF($F13=0,"",$F13-$G13)</f>
        <v/>
      </c>
      <c r="I13">
        <f>IF($F13=0,"",SUMIFS(LubesData!$N:$N,LubesData!$U:$U,$A13))</f>
        <v/>
      </c>
      <c r="J13">
        <f>COUNTIFS(LubesData!$U:$U,$A13,LubesData!$Q:$Q,"&lt;&gt;")</f>
        <v/>
      </c>
      <c r="K13">
        <f>IF($J13=0,"",SUMIFS(LubesData!$Q:$Q,LubesData!$U:$U,$A13))</f>
        <v/>
      </c>
      <c r="L13">
        <f>COUNTIFS(LubesData!$U:$U,$A13,LubesData!$M:$M,"&lt;&gt;")</f>
        <v/>
      </c>
      <c r="M13">
        <f>IF($E13=0,"",IF($L13=0,"not loaded","loaded"))</f>
        <v/>
      </c>
      <c r="N13">
        <f>COUNTIFS(LubesData!$U:$U,$A13,LubesData!$I:$I,"&lt;&gt;")</f>
        <v/>
      </c>
      <c r="O13">
        <f>IF($E13=0,"",IF($L13=0,"No POS sales have been loaded for this date, so variance cannot be worked out. Import the sales report for this day and it fills in.",IF($N13=0,"This is the first count of these products, so there is no opening figure to sell down from. Variance starts from the next count.",IF($F13-$G13=0,"Physical and POS agree on every product.",($F13-$G13)&amp;" of "&amp;$F13&amp;" products disagree with the POS. Largest first below."))))</f>
        <v/>
      </c>
      <c r="R13" t="n">
        <v>11</v>
      </c>
      <c r="S13">
        <f>IFERROR(INDEX(LubesData!$G:$G,MATCH($R13,LubesData!$V:$V,0)),"")</f>
        <v/>
      </c>
      <c r="T13">
        <f>IF(COUNTIFS(LubesData!$V:$V,$R13,LubesData!$U:$U,1,LubesData!$N:$N,"&lt;&gt;")=0,"",SUMIFS(LubesData!$N:$N,LubesData!$V:$V,$R13,LubesData!$U:$U,1))</f>
        <v/>
      </c>
      <c r="U13">
        <f>IF(COUNTIFS(LubesData!$V:$V,$R13,LubesData!$U:$U,2,LubesData!$N:$N,"&lt;&gt;")=0,"",SUMIFS(LubesData!$N:$N,LubesData!$V:$V,$R13,LubesData!$U:$U,2))</f>
        <v/>
      </c>
      <c r="V13">
        <f>IF(COUNTIFS(LubesData!$V:$V,$R13,LubesData!$U:$U,3,LubesData!$N:$N,"&lt;&gt;")=0,"",SUMIFS(LubesData!$N:$N,LubesData!$V:$V,$R13,LubesData!$U:$U,3))</f>
        <v/>
      </c>
      <c r="W13">
        <f>IF(COUNTIFS(LubesData!$V:$V,$R13,LubesData!$U:$U,4,LubesData!$N:$N,"&lt;&gt;")=0,"",SUMIFS(LubesData!$N:$N,LubesData!$V:$V,$R13,LubesData!$U:$U,4))</f>
        <v/>
      </c>
      <c r="X13">
        <f>IF(COUNTIFS(LubesData!$V:$V,$R13,LubesData!$U:$U,5,LubesData!$N:$N,"&lt;&gt;")=0,"",SUMIFS(LubesData!$N:$N,LubesData!$V:$V,$R13,LubesData!$U:$U,5))</f>
        <v/>
      </c>
      <c r="Y13">
        <f>IF(COUNTIFS(LubesData!$V:$V,$R13,LubesData!$U:$U,6,LubesData!$N:$N,"&lt;&gt;")=0,"",SUMIFS(LubesData!$N:$N,LubesData!$V:$V,$R13,LubesData!$U:$U,6))</f>
        <v/>
      </c>
      <c r="Z13">
        <f>IF(COUNTIFS(LubesData!$V:$V,$R13,LubesData!$U:$U,7,LubesData!$N:$N,"&lt;&gt;")=0,"",SUMIFS(LubesData!$N:$N,LubesData!$V:$V,$R13,LubesData!$U:$U,7))</f>
        <v/>
      </c>
      <c r="AA13">
        <f>IF(COUNTIFS(LubesData!$V:$V,$R13,LubesData!$U:$U,8,LubesData!$N:$N,"&lt;&gt;")=0,"",SUMIFS(LubesData!$N:$N,LubesData!$V:$V,$R13,LubesData!$U:$U,8))</f>
        <v/>
      </c>
      <c r="AB13">
        <f>IF(COUNTIFS(LubesData!$V:$V,$R13,LubesData!$U:$U,9,LubesData!$N:$N,"&lt;&gt;")=0,"",SUMIFS(LubesData!$N:$N,LubesData!$V:$V,$R13,LubesData!$U:$U,9))</f>
        <v/>
      </c>
      <c r="AC13">
        <f>IF(COUNTIFS(LubesData!$V:$V,$R13,LubesData!$U:$U,10,LubesData!$N:$N,"&lt;&gt;")=0,"",SUMIFS(LubesData!$N:$N,LubesData!$V:$V,$R13,LubesData!$U:$U,10))</f>
        <v/>
      </c>
      <c r="AD13">
        <f>IF(COUNTIFS(LubesData!$V:$V,$R13,LubesData!$U:$U,11,LubesData!$N:$N,"&lt;&gt;")=0,"",SUMIFS(LubesData!$N:$N,LubesData!$V:$V,$R13,LubesData!$U:$U,11))</f>
        <v/>
      </c>
      <c r="AE13">
        <f>IF(COUNTIFS(LubesData!$V:$V,$R13,LubesData!$U:$U,12,LubesData!$N:$N,"&lt;&gt;")=0,"",SUMIFS(LubesData!$N:$N,LubesData!$V:$V,$R13,LubesData!$U:$U,12))</f>
        <v/>
      </c>
      <c r="AF13">
        <f>IF(COUNTIFS(LubesData!$V:$V,$R13,LubesData!$U:$U,13,LubesData!$N:$N,"&lt;&gt;")=0,"",SUMIFS(LubesData!$N:$N,LubesData!$V:$V,$R13,LubesData!$U:$U,13))</f>
        <v/>
      </c>
      <c r="AG13">
        <f>IF(COUNTIFS(LubesData!$V:$V,$R13,LubesData!$U:$U,14,LubesData!$N:$N,"&lt;&gt;")=0,"",SUMIFS(LubesData!$N:$N,LubesData!$V:$V,$R13,LubesData!$U:$U,14))</f>
        <v/>
      </c>
      <c r="AH13">
        <f>COUNTIFS(LubesData!$V:$V,$R13,LubesData!$U:$U,"&lt;="&amp;14,LubesData!$N:$N,"&lt;&gt;")</f>
        <v/>
      </c>
      <c r="AI13">
        <f>COUNTIFS(LubesData!$V:$V,$R13,LubesData!$U:$U,"&lt;="&amp;14,LubesData!$N:$N,0)</f>
        <v/>
      </c>
      <c r="AJ13">
        <f>IF(AH13=0,"",AH13-AI13)</f>
        <v/>
      </c>
      <c r="AK13">
        <f>IF(AH13=0,"",SUMIFS(LubesData!$N:$N,LubesData!$V:$V,$R13,LubesData!$U:$U,"&lt;="&amp;14))</f>
        <v/>
      </c>
      <c r="AL13">
        <f>IF(AH13=0,"",IF(ABS(MAX(T13:AG13))&gt;=ABS(MIN(T13:AG13)),MAX(T13:AG13),MIN(T13:AG13)))</f>
        <v/>
      </c>
      <c r="AM13">
        <f>IF(AH13=0,-1,AJ13*100000+MIN(ABS(AK13),99999))</f>
        <v/>
      </c>
      <c r="AN13">
        <f>IF($S13="","",1+COUNTIFS($AM$3:$AM$122,"&gt;"&amp;AM13)+COUNTIFS($AM$3:$AM$122,AM13,$R$3:$R$122,"&lt;"&amp;$R13))</f>
        <v/>
      </c>
    </row>
    <row r="14">
      <c r="A14" t="n">
        <v>12</v>
      </c>
      <c r="B14" s="31">
        <f>IFERROR(IF(INDEX(LubesData!$B:$B,MATCH($A14,LubesData!$U:$U,0))="","",INDEX(LubesData!$B:$B,MATCH($A14,LubesData!$U:$U,0))),"")</f>
        <v/>
      </c>
      <c r="C14">
        <f>IFERROR(IF(INDEX(LubesData!$D:$D,MATCH($A14,LubesData!$U:$U,0))="","",INDEX(LubesData!$D:$D,MATCH($A14,LubesData!$U:$U,0))),"")</f>
        <v/>
      </c>
      <c r="D14" s="31">
        <f>IFERROR(IF(INDEX(LubesData!$O:$O,MATCH($A14,LubesData!$U:$U,0))="","",INDEX(LubesData!$O:$O,MATCH($A14,LubesData!$U:$U,0))),"")</f>
        <v/>
      </c>
      <c r="E14">
        <f>COUNTIFS(LubesData!$U:$U,$A14)</f>
        <v/>
      </c>
      <c r="F14">
        <f>COUNTIFS(LubesData!$U:$U,$A14,LubesData!$N:$N,"&lt;&gt;")</f>
        <v/>
      </c>
      <c r="G14">
        <f>COUNTIFS(LubesData!$U:$U,$A14,LubesData!$N:$N,0)</f>
        <v/>
      </c>
      <c r="H14">
        <f>IF($F14=0,"",$F14-$G14)</f>
        <v/>
      </c>
      <c r="I14">
        <f>IF($F14=0,"",SUMIFS(LubesData!$N:$N,LubesData!$U:$U,$A14))</f>
        <v/>
      </c>
      <c r="J14">
        <f>COUNTIFS(LubesData!$U:$U,$A14,LubesData!$Q:$Q,"&lt;&gt;")</f>
        <v/>
      </c>
      <c r="K14">
        <f>IF($J14=0,"",SUMIFS(LubesData!$Q:$Q,LubesData!$U:$U,$A14))</f>
        <v/>
      </c>
      <c r="L14">
        <f>COUNTIFS(LubesData!$U:$U,$A14,LubesData!$M:$M,"&lt;&gt;")</f>
        <v/>
      </c>
      <c r="M14">
        <f>IF($E14=0,"",IF($L14=0,"not loaded","loaded"))</f>
        <v/>
      </c>
      <c r="N14">
        <f>COUNTIFS(LubesData!$U:$U,$A14,LubesData!$I:$I,"&lt;&gt;")</f>
        <v/>
      </c>
      <c r="O14">
        <f>IF($E14=0,"",IF($L14=0,"No POS sales have been loaded for this date, so variance cannot be worked out. Import the sales report for this day and it fills in.",IF($N14=0,"This is the first count of these products, so there is no opening figure to sell down from. Variance starts from the next count.",IF($F14-$G14=0,"Physical and POS agree on every product.",($F14-$G14)&amp;" of "&amp;$F14&amp;" products disagree with the POS. Largest first below."))))</f>
        <v/>
      </c>
      <c r="R14" t="n">
        <v>12</v>
      </c>
      <c r="S14">
        <f>IFERROR(INDEX(LubesData!$G:$G,MATCH($R14,LubesData!$V:$V,0)),"")</f>
        <v/>
      </c>
      <c r="T14">
        <f>IF(COUNTIFS(LubesData!$V:$V,$R14,LubesData!$U:$U,1,LubesData!$N:$N,"&lt;&gt;")=0,"",SUMIFS(LubesData!$N:$N,LubesData!$V:$V,$R14,LubesData!$U:$U,1))</f>
        <v/>
      </c>
      <c r="U14">
        <f>IF(COUNTIFS(LubesData!$V:$V,$R14,LubesData!$U:$U,2,LubesData!$N:$N,"&lt;&gt;")=0,"",SUMIFS(LubesData!$N:$N,LubesData!$V:$V,$R14,LubesData!$U:$U,2))</f>
        <v/>
      </c>
      <c r="V14">
        <f>IF(COUNTIFS(LubesData!$V:$V,$R14,LubesData!$U:$U,3,LubesData!$N:$N,"&lt;&gt;")=0,"",SUMIFS(LubesData!$N:$N,LubesData!$V:$V,$R14,LubesData!$U:$U,3))</f>
        <v/>
      </c>
      <c r="W14">
        <f>IF(COUNTIFS(LubesData!$V:$V,$R14,LubesData!$U:$U,4,LubesData!$N:$N,"&lt;&gt;")=0,"",SUMIFS(LubesData!$N:$N,LubesData!$V:$V,$R14,LubesData!$U:$U,4))</f>
        <v/>
      </c>
      <c r="X14">
        <f>IF(COUNTIFS(LubesData!$V:$V,$R14,LubesData!$U:$U,5,LubesData!$N:$N,"&lt;&gt;")=0,"",SUMIFS(LubesData!$N:$N,LubesData!$V:$V,$R14,LubesData!$U:$U,5))</f>
        <v/>
      </c>
      <c r="Y14">
        <f>IF(COUNTIFS(LubesData!$V:$V,$R14,LubesData!$U:$U,6,LubesData!$N:$N,"&lt;&gt;")=0,"",SUMIFS(LubesData!$N:$N,LubesData!$V:$V,$R14,LubesData!$U:$U,6))</f>
        <v/>
      </c>
      <c r="Z14">
        <f>IF(COUNTIFS(LubesData!$V:$V,$R14,LubesData!$U:$U,7,LubesData!$N:$N,"&lt;&gt;")=0,"",SUMIFS(LubesData!$N:$N,LubesData!$V:$V,$R14,LubesData!$U:$U,7))</f>
        <v/>
      </c>
      <c r="AA14">
        <f>IF(COUNTIFS(LubesData!$V:$V,$R14,LubesData!$U:$U,8,LubesData!$N:$N,"&lt;&gt;")=0,"",SUMIFS(LubesData!$N:$N,LubesData!$V:$V,$R14,LubesData!$U:$U,8))</f>
        <v/>
      </c>
      <c r="AB14">
        <f>IF(COUNTIFS(LubesData!$V:$V,$R14,LubesData!$U:$U,9,LubesData!$N:$N,"&lt;&gt;")=0,"",SUMIFS(LubesData!$N:$N,LubesData!$V:$V,$R14,LubesData!$U:$U,9))</f>
        <v/>
      </c>
      <c r="AC14">
        <f>IF(COUNTIFS(LubesData!$V:$V,$R14,LubesData!$U:$U,10,LubesData!$N:$N,"&lt;&gt;")=0,"",SUMIFS(LubesData!$N:$N,LubesData!$V:$V,$R14,LubesData!$U:$U,10))</f>
        <v/>
      </c>
      <c r="AD14">
        <f>IF(COUNTIFS(LubesData!$V:$V,$R14,LubesData!$U:$U,11,LubesData!$N:$N,"&lt;&gt;")=0,"",SUMIFS(LubesData!$N:$N,LubesData!$V:$V,$R14,LubesData!$U:$U,11))</f>
        <v/>
      </c>
      <c r="AE14">
        <f>IF(COUNTIFS(LubesData!$V:$V,$R14,LubesData!$U:$U,12,LubesData!$N:$N,"&lt;&gt;")=0,"",SUMIFS(LubesData!$N:$N,LubesData!$V:$V,$R14,LubesData!$U:$U,12))</f>
        <v/>
      </c>
      <c r="AF14">
        <f>IF(COUNTIFS(LubesData!$V:$V,$R14,LubesData!$U:$U,13,LubesData!$N:$N,"&lt;&gt;")=0,"",SUMIFS(LubesData!$N:$N,LubesData!$V:$V,$R14,LubesData!$U:$U,13))</f>
        <v/>
      </c>
      <c r="AG14">
        <f>IF(COUNTIFS(LubesData!$V:$V,$R14,LubesData!$U:$U,14,LubesData!$N:$N,"&lt;&gt;")=0,"",SUMIFS(LubesData!$N:$N,LubesData!$V:$V,$R14,LubesData!$U:$U,14))</f>
        <v/>
      </c>
      <c r="AH14">
        <f>COUNTIFS(LubesData!$V:$V,$R14,LubesData!$U:$U,"&lt;="&amp;14,LubesData!$N:$N,"&lt;&gt;")</f>
        <v/>
      </c>
      <c r="AI14">
        <f>COUNTIFS(LubesData!$V:$V,$R14,LubesData!$U:$U,"&lt;="&amp;14,LubesData!$N:$N,0)</f>
        <v/>
      </c>
      <c r="AJ14">
        <f>IF(AH14=0,"",AH14-AI14)</f>
        <v/>
      </c>
      <c r="AK14">
        <f>IF(AH14=0,"",SUMIFS(LubesData!$N:$N,LubesData!$V:$V,$R14,LubesData!$U:$U,"&lt;="&amp;14))</f>
        <v/>
      </c>
      <c r="AL14">
        <f>IF(AH14=0,"",IF(ABS(MAX(T14:AG14))&gt;=ABS(MIN(T14:AG14)),MAX(T14:AG14),MIN(T14:AG14)))</f>
        <v/>
      </c>
      <c r="AM14">
        <f>IF(AH14=0,-1,AJ14*100000+MIN(ABS(AK14),99999))</f>
        <v/>
      </c>
      <c r="AN14">
        <f>IF($S14="","",1+COUNTIFS($AM$3:$AM$122,"&gt;"&amp;AM14)+COUNTIFS($AM$3:$AM$122,AM14,$R$3:$R$122,"&lt;"&amp;$R14))</f>
        <v/>
      </c>
    </row>
    <row r="15">
      <c r="A15" t="n">
        <v>13</v>
      </c>
      <c r="B15" s="31">
        <f>IFERROR(IF(INDEX(LubesData!$B:$B,MATCH($A15,LubesData!$U:$U,0))="","",INDEX(LubesData!$B:$B,MATCH($A15,LubesData!$U:$U,0))),"")</f>
        <v/>
      </c>
      <c r="C15">
        <f>IFERROR(IF(INDEX(LubesData!$D:$D,MATCH($A15,LubesData!$U:$U,0))="","",INDEX(LubesData!$D:$D,MATCH($A15,LubesData!$U:$U,0))),"")</f>
        <v/>
      </c>
      <c r="D15" s="31">
        <f>IFERROR(IF(INDEX(LubesData!$O:$O,MATCH($A15,LubesData!$U:$U,0))="","",INDEX(LubesData!$O:$O,MATCH($A15,LubesData!$U:$U,0))),"")</f>
        <v/>
      </c>
      <c r="E15">
        <f>COUNTIFS(LubesData!$U:$U,$A15)</f>
        <v/>
      </c>
      <c r="F15">
        <f>COUNTIFS(LubesData!$U:$U,$A15,LubesData!$N:$N,"&lt;&gt;")</f>
        <v/>
      </c>
      <c r="G15">
        <f>COUNTIFS(LubesData!$U:$U,$A15,LubesData!$N:$N,0)</f>
        <v/>
      </c>
      <c r="H15">
        <f>IF($F15=0,"",$F15-$G15)</f>
        <v/>
      </c>
      <c r="I15">
        <f>IF($F15=0,"",SUMIFS(LubesData!$N:$N,LubesData!$U:$U,$A15))</f>
        <v/>
      </c>
      <c r="J15">
        <f>COUNTIFS(LubesData!$U:$U,$A15,LubesData!$Q:$Q,"&lt;&gt;")</f>
        <v/>
      </c>
      <c r="K15">
        <f>IF($J15=0,"",SUMIFS(LubesData!$Q:$Q,LubesData!$U:$U,$A15))</f>
        <v/>
      </c>
      <c r="L15">
        <f>COUNTIFS(LubesData!$U:$U,$A15,LubesData!$M:$M,"&lt;&gt;")</f>
        <v/>
      </c>
      <c r="M15">
        <f>IF($E15=0,"",IF($L15=0,"not loaded","loaded"))</f>
        <v/>
      </c>
      <c r="N15">
        <f>COUNTIFS(LubesData!$U:$U,$A15,LubesData!$I:$I,"&lt;&gt;")</f>
        <v/>
      </c>
      <c r="O15">
        <f>IF($E15=0,"",IF($L15=0,"No POS sales have been loaded for this date, so variance cannot be worked out. Import the sales report for this day and it fills in.",IF($N15=0,"This is the first count of these products, so there is no opening figure to sell down from. Variance starts from the next count.",IF($F15-$G15=0,"Physical and POS agree on every product.",($F15-$G15)&amp;" of "&amp;$F15&amp;" products disagree with the POS. Largest first below."))))</f>
        <v/>
      </c>
      <c r="R15" t="n">
        <v>13</v>
      </c>
      <c r="S15">
        <f>IFERROR(INDEX(LubesData!$G:$G,MATCH($R15,LubesData!$V:$V,0)),"")</f>
        <v/>
      </c>
      <c r="T15">
        <f>IF(COUNTIFS(LubesData!$V:$V,$R15,LubesData!$U:$U,1,LubesData!$N:$N,"&lt;&gt;")=0,"",SUMIFS(LubesData!$N:$N,LubesData!$V:$V,$R15,LubesData!$U:$U,1))</f>
        <v/>
      </c>
      <c r="U15">
        <f>IF(COUNTIFS(LubesData!$V:$V,$R15,LubesData!$U:$U,2,LubesData!$N:$N,"&lt;&gt;")=0,"",SUMIFS(LubesData!$N:$N,LubesData!$V:$V,$R15,LubesData!$U:$U,2))</f>
        <v/>
      </c>
      <c r="V15">
        <f>IF(COUNTIFS(LubesData!$V:$V,$R15,LubesData!$U:$U,3,LubesData!$N:$N,"&lt;&gt;")=0,"",SUMIFS(LubesData!$N:$N,LubesData!$V:$V,$R15,LubesData!$U:$U,3))</f>
        <v/>
      </c>
      <c r="W15">
        <f>IF(COUNTIFS(LubesData!$V:$V,$R15,LubesData!$U:$U,4,LubesData!$N:$N,"&lt;&gt;")=0,"",SUMIFS(LubesData!$N:$N,LubesData!$V:$V,$R15,LubesData!$U:$U,4))</f>
        <v/>
      </c>
      <c r="X15">
        <f>IF(COUNTIFS(LubesData!$V:$V,$R15,LubesData!$U:$U,5,LubesData!$N:$N,"&lt;&gt;")=0,"",SUMIFS(LubesData!$N:$N,LubesData!$V:$V,$R15,LubesData!$U:$U,5))</f>
        <v/>
      </c>
      <c r="Y15">
        <f>IF(COUNTIFS(LubesData!$V:$V,$R15,LubesData!$U:$U,6,LubesData!$N:$N,"&lt;&gt;")=0,"",SUMIFS(LubesData!$N:$N,LubesData!$V:$V,$R15,LubesData!$U:$U,6))</f>
        <v/>
      </c>
      <c r="Z15">
        <f>IF(COUNTIFS(LubesData!$V:$V,$R15,LubesData!$U:$U,7,LubesData!$N:$N,"&lt;&gt;")=0,"",SUMIFS(LubesData!$N:$N,LubesData!$V:$V,$R15,LubesData!$U:$U,7))</f>
        <v/>
      </c>
      <c r="AA15">
        <f>IF(COUNTIFS(LubesData!$V:$V,$R15,LubesData!$U:$U,8,LubesData!$N:$N,"&lt;&gt;")=0,"",SUMIFS(LubesData!$N:$N,LubesData!$V:$V,$R15,LubesData!$U:$U,8))</f>
        <v/>
      </c>
      <c r="AB15">
        <f>IF(COUNTIFS(LubesData!$V:$V,$R15,LubesData!$U:$U,9,LubesData!$N:$N,"&lt;&gt;")=0,"",SUMIFS(LubesData!$N:$N,LubesData!$V:$V,$R15,LubesData!$U:$U,9))</f>
        <v/>
      </c>
      <c r="AC15">
        <f>IF(COUNTIFS(LubesData!$V:$V,$R15,LubesData!$U:$U,10,LubesData!$N:$N,"&lt;&gt;")=0,"",SUMIFS(LubesData!$N:$N,LubesData!$V:$V,$R15,LubesData!$U:$U,10))</f>
        <v/>
      </c>
      <c r="AD15">
        <f>IF(COUNTIFS(LubesData!$V:$V,$R15,LubesData!$U:$U,11,LubesData!$N:$N,"&lt;&gt;")=0,"",SUMIFS(LubesData!$N:$N,LubesData!$V:$V,$R15,LubesData!$U:$U,11))</f>
        <v/>
      </c>
      <c r="AE15">
        <f>IF(COUNTIFS(LubesData!$V:$V,$R15,LubesData!$U:$U,12,LubesData!$N:$N,"&lt;&gt;")=0,"",SUMIFS(LubesData!$N:$N,LubesData!$V:$V,$R15,LubesData!$U:$U,12))</f>
        <v/>
      </c>
      <c r="AF15">
        <f>IF(COUNTIFS(LubesData!$V:$V,$R15,LubesData!$U:$U,13,LubesData!$N:$N,"&lt;&gt;")=0,"",SUMIFS(LubesData!$N:$N,LubesData!$V:$V,$R15,LubesData!$U:$U,13))</f>
        <v/>
      </c>
      <c r="AG15">
        <f>IF(COUNTIFS(LubesData!$V:$V,$R15,LubesData!$U:$U,14,LubesData!$N:$N,"&lt;&gt;")=0,"",SUMIFS(LubesData!$N:$N,LubesData!$V:$V,$R15,LubesData!$U:$U,14))</f>
        <v/>
      </c>
      <c r="AH15">
        <f>COUNTIFS(LubesData!$V:$V,$R15,LubesData!$U:$U,"&lt;="&amp;14,LubesData!$N:$N,"&lt;&gt;")</f>
        <v/>
      </c>
      <c r="AI15">
        <f>COUNTIFS(LubesData!$V:$V,$R15,LubesData!$U:$U,"&lt;="&amp;14,LubesData!$N:$N,0)</f>
        <v/>
      </c>
      <c r="AJ15">
        <f>IF(AH15=0,"",AH15-AI15)</f>
        <v/>
      </c>
      <c r="AK15">
        <f>IF(AH15=0,"",SUMIFS(LubesData!$N:$N,LubesData!$V:$V,$R15,LubesData!$U:$U,"&lt;="&amp;14))</f>
        <v/>
      </c>
      <c r="AL15">
        <f>IF(AH15=0,"",IF(ABS(MAX(T15:AG15))&gt;=ABS(MIN(T15:AG15)),MAX(T15:AG15),MIN(T15:AG15)))</f>
        <v/>
      </c>
      <c r="AM15">
        <f>IF(AH15=0,-1,AJ15*100000+MIN(ABS(AK15),99999))</f>
        <v/>
      </c>
      <c r="AN15">
        <f>IF($S15="","",1+COUNTIFS($AM$3:$AM$122,"&gt;"&amp;AM15)+COUNTIFS($AM$3:$AM$122,AM15,$R$3:$R$122,"&lt;"&amp;$R15))</f>
        <v/>
      </c>
    </row>
    <row r="16">
      <c r="A16" t="n">
        <v>14</v>
      </c>
      <c r="B16" s="31">
        <f>IFERROR(IF(INDEX(LubesData!$B:$B,MATCH($A16,LubesData!$U:$U,0))="","",INDEX(LubesData!$B:$B,MATCH($A16,LubesData!$U:$U,0))),"")</f>
        <v/>
      </c>
      <c r="C16">
        <f>IFERROR(IF(INDEX(LubesData!$D:$D,MATCH($A16,LubesData!$U:$U,0))="","",INDEX(LubesData!$D:$D,MATCH($A16,LubesData!$U:$U,0))),"")</f>
        <v/>
      </c>
      <c r="D16" s="31">
        <f>IFERROR(IF(INDEX(LubesData!$O:$O,MATCH($A16,LubesData!$U:$U,0))="","",INDEX(LubesData!$O:$O,MATCH($A16,LubesData!$U:$U,0))),"")</f>
        <v/>
      </c>
      <c r="E16">
        <f>COUNTIFS(LubesData!$U:$U,$A16)</f>
        <v/>
      </c>
      <c r="F16">
        <f>COUNTIFS(LubesData!$U:$U,$A16,LubesData!$N:$N,"&lt;&gt;")</f>
        <v/>
      </c>
      <c r="G16">
        <f>COUNTIFS(LubesData!$U:$U,$A16,LubesData!$N:$N,0)</f>
        <v/>
      </c>
      <c r="H16">
        <f>IF($F16=0,"",$F16-$G16)</f>
        <v/>
      </c>
      <c r="I16">
        <f>IF($F16=0,"",SUMIFS(LubesData!$N:$N,LubesData!$U:$U,$A16))</f>
        <v/>
      </c>
      <c r="J16">
        <f>COUNTIFS(LubesData!$U:$U,$A16,LubesData!$Q:$Q,"&lt;&gt;")</f>
        <v/>
      </c>
      <c r="K16">
        <f>IF($J16=0,"",SUMIFS(LubesData!$Q:$Q,LubesData!$U:$U,$A16))</f>
        <v/>
      </c>
      <c r="L16">
        <f>COUNTIFS(LubesData!$U:$U,$A16,LubesData!$M:$M,"&lt;&gt;")</f>
        <v/>
      </c>
      <c r="M16">
        <f>IF($E16=0,"",IF($L16=0,"not loaded","loaded"))</f>
        <v/>
      </c>
      <c r="N16">
        <f>COUNTIFS(LubesData!$U:$U,$A16,LubesData!$I:$I,"&lt;&gt;")</f>
        <v/>
      </c>
      <c r="O16">
        <f>IF($E16=0,"",IF($L16=0,"No POS sales have been loaded for this date, so variance cannot be worked out. Import the sales report for this day and it fills in.",IF($N16=0,"This is the first count of these products, so there is no opening figure to sell down from. Variance starts from the next count.",IF($F16-$G16=0,"Physical and POS agree on every product.",($F16-$G16)&amp;" of "&amp;$F16&amp;" products disagree with the POS. Largest first below."))))</f>
        <v/>
      </c>
      <c r="R16" t="n">
        <v>14</v>
      </c>
      <c r="S16">
        <f>IFERROR(INDEX(LubesData!$G:$G,MATCH($R16,LubesData!$V:$V,0)),"")</f>
        <v/>
      </c>
      <c r="T16">
        <f>IF(COUNTIFS(LubesData!$V:$V,$R16,LubesData!$U:$U,1,LubesData!$N:$N,"&lt;&gt;")=0,"",SUMIFS(LubesData!$N:$N,LubesData!$V:$V,$R16,LubesData!$U:$U,1))</f>
        <v/>
      </c>
      <c r="U16">
        <f>IF(COUNTIFS(LubesData!$V:$V,$R16,LubesData!$U:$U,2,LubesData!$N:$N,"&lt;&gt;")=0,"",SUMIFS(LubesData!$N:$N,LubesData!$V:$V,$R16,LubesData!$U:$U,2))</f>
        <v/>
      </c>
      <c r="V16">
        <f>IF(COUNTIFS(LubesData!$V:$V,$R16,LubesData!$U:$U,3,LubesData!$N:$N,"&lt;&gt;")=0,"",SUMIFS(LubesData!$N:$N,LubesData!$V:$V,$R16,LubesData!$U:$U,3))</f>
        <v/>
      </c>
      <c r="W16">
        <f>IF(COUNTIFS(LubesData!$V:$V,$R16,LubesData!$U:$U,4,LubesData!$N:$N,"&lt;&gt;")=0,"",SUMIFS(LubesData!$N:$N,LubesData!$V:$V,$R16,LubesData!$U:$U,4))</f>
        <v/>
      </c>
      <c r="X16">
        <f>IF(COUNTIFS(LubesData!$V:$V,$R16,LubesData!$U:$U,5,LubesData!$N:$N,"&lt;&gt;")=0,"",SUMIFS(LubesData!$N:$N,LubesData!$V:$V,$R16,LubesData!$U:$U,5))</f>
        <v/>
      </c>
      <c r="Y16">
        <f>IF(COUNTIFS(LubesData!$V:$V,$R16,LubesData!$U:$U,6,LubesData!$N:$N,"&lt;&gt;")=0,"",SUMIFS(LubesData!$N:$N,LubesData!$V:$V,$R16,LubesData!$U:$U,6))</f>
        <v/>
      </c>
      <c r="Z16">
        <f>IF(COUNTIFS(LubesData!$V:$V,$R16,LubesData!$U:$U,7,LubesData!$N:$N,"&lt;&gt;")=0,"",SUMIFS(LubesData!$N:$N,LubesData!$V:$V,$R16,LubesData!$U:$U,7))</f>
        <v/>
      </c>
      <c r="AA16">
        <f>IF(COUNTIFS(LubesData!$V:$V,$R16,LubesData!$U:$U,8,LubesData!$N:$N,"&lt;&gt;")=0,"",SUMIFS(LubesData!$N:$N,LubesData!$V:$V,$R16,LubesData!$U:$U,8))</f>
        <v/>
      </c>
      <c r="AB16">
        <f>IF(COUNTIFS(LubesData!$V:$V,$R16,LubesData!$U:$U,9,LubesData!$N:$N,"&lt;&gt;")=0,"",SUMIFS(LubesData!$N:$N,LubesData!$V:$V,$R16,LubesData!$U:$U,9))</f>
        <v/>
      </c>
      <c r="AC16">
        <f>IF(COUNTIFS(LubesData!$V:$V,$R16,LubesData!$U:$U,10,LubesData!$N:$N,"&lt;&gt;")=0,"",SUMIFS(LubesData!$N:$N,LubesData!$V:$V,$R16,LubesData!$U:$U,10))</f>
        <v/>
      </c>
      <c r="AD16">
        <f>IF(COUNTIFS(LubesData!$V:$V,$R16,LubesData!$U:$U,11,LubesData!$N:$N,"&lt;&gt;")=0,"",SUMIFS(LubesData!$N:$N,LubesData!$V:$V,$R16,LubesData!$U:$U,11))</f>
        <v/>
      </c>
      <c r="AE16">
        <f>IF(COUNTIFS(LubesData!$V:$V,$R16,LubesData!$U:$U,12,LubesData!$N:$N,"&lt;&gt;")=0,"",SUMIFS(LubesData!$N:$N,LubesData!$V:$V,$R16,LubesData!$U:$U,12))</f>
        <v/>
      </c>
      <c r="AF16">
        <f>IF(COUNTIFS(LubesData!$V:$V,$R16,LubesData!$U:$U,13,LubesData!$N:$N,"&lt;&gt;")=0,"",SUMIFS(LubesData!$N:$N,LubesData!$V:$V,$R16,LubesData!$U:$U,13))</f>
        <v/>
      </c>
      <c r="AG16">
        <f>IF(COUNTIFS(LubesData!$V:$V,$R16,LubesData!$U:$U,14,LubesData!$N:$N,"&lt;&gt;")=0,"",SUMIFS(LubesData!$N:$N,LubesData!$V:$V,$R16,LubesData!$U:$U,14))</f>
        <v/>
      </c>
      <c r="AH16">
        <f>COUNTIFS(LubesData!$V:$V,$R16,LubesData!$U:$U,"&lt;="&amp;14,LubesData!$N:$N,"&lt;&gt;")</f>
        <v/>
      </c>
      <c r="AI16">
        <f>COUNTIFS(LubesData!$V:$V,$R16,LubesData!$U:$U,"&lt;="&amp;14,LubesData!$N:$N,0)</f>
        <v/>
      </c>
      <c r="AJ16">
        <f>IF(AH16=0,"",AH16-AI16)</f>
        <v/>
      </c>
      <c r="AK16">
        <f>IF(AH16=0,"",SUMIFS(LubesData!$N:$N,LubesData!$V:$V,$R16,LubesData!$U:$U,"&lt;="&amp;14))</f>
        <v/>
      </c>
      <c r="AL16">
        <f>IF(AH16=0,"",IF(ABS(MAX(T16:AG16))&gt;=ABS(MIN(T16:AG16)),MAX(T16:AG16),MIN(T16:AG16)))</f>
        <v/>
      </c>
      <c r="AM16">
        <f>IF(AH16=0,-1,AJ16*100000+MIN(ABS(AK16),99999))</f>
        <v/>
      </c>
      <c r="AN16">
        <f>IF($S16="","",1+COUNTIFS($AM$3:$AM$122,"&gt;"&amp;AM16)+COUNTIFS($AM$3:$AM$122,AM16,$R$3:$R$122,"&lt;"&amp;$R16))</f>
        <v/>
      </c>
    </row>
    <row r="17">
      <c r="A17" t="n">
        <v>15</v>
      </c>
      <c r="B17" s="31">
        <f>IFERROR(IF(INDEX(LubesData!$B:$B,MATCH($A17,LubesData!$U:$U,0))="","",INDEX(LubesData!$B:$B,MATCH($A17,LubesData!$U:$U,0))),"")</f>
        <v/>
      </c>
      <c r="C17">
        <f>IFERROR(IF(INDEX(LubesData!$D:$D,MATCH($A17,LubesData!$U:$U,0))="","",INDEX(LubesData!$D:$D,MATCH($A17,LubesData!$U:$U,0))),"")</f>
        <v/>
      </c>
      <c r="D17" s="31">
        <f>IFERROR(IF(INDEX(LubesData!$O:$O,MATCH($A17,LubesData!$U:$U,0))="","",INDEX(LubesData!$O:$O,MATCH($A17,LubesData!$U:$U,0))),"")</f>
        <v/>
      </c>
      <c r="E17">
        <f>COUNTIFS(LubesData!$U:$U,$A17)</f>
        <v/>
      </c>
      <c r="F17">
        <f>COUNTIFS(LubesData!$U:$U,$A17,LubesData!$N:$N,"&lt;&gt;")</f>
        <v/>
      </c>
      <c r="G17">
        <f>COUNTIFS(LubesData!$U:$U,$A17,LubesData!$N:$N,0)</f>
        <v/>
      </c>
      <c r="H17">
        <f>IF($F17=0,"",$F17-$G17)</f>
        <v/>
      </c>
      <c r="I17">
        <f>IF($F17=0,"",SUMIFS(LubesData!$N:$N,LubesData!$U:$U,$A17))</f>
        <v/>
      </c>
      <c r="J17">
        <f>COUNTIFS(LubesData!$U:$U,$A17,LubesData!$Q:$Q,"&lt;&gt;")</f>
        <v/>
      </c>
      <c r="K17">
        <f>IF($J17=0,"",SUMIFS(LubesData!$Q:$Q,LubesData!$U:$U,$A17))</f>
        <v/>
      </c>
      <c r="L17">
        <f>COUNTIFS(LubesData!$U:$U,$A17,LubesData!$M:$M,"&lt;&gt;")</f>
        <v/>
      </c>
      <c r="M17">
        <f>IF($E17=0,"",IF($L17=0,"not loaded","loaded"))</f>
        <v/>
      </c>
      <c r="N17">
        <f>COUNTIFS(LubesData!$U:$U,$A17,LubesData!$I:$I,"&lt;&gt;")</f>
        <v/>
      </c>
      <c r="O17">
        <f>IF($E17=0,"",IF($L17=0,"No POS sales have been loaded for this date, so variance cannot be worked out. Import the sales report for this day and it fills in.",IF($N17=0,"This is the first count of these products, so there is no opening figure to sell down from. Variance starts from the next count.",IF($F17-$G17=0,"Physical and POS agree on every product.",($F17-$G17)&amp;" of "&amp;$F17&amp;" products disagree with the POS. Largest first below."))))</f>
        <v/>
      </c>
      <c r="R17" t="n">
        <v>15</v>
      </c>
      <c r="S17">
        <f>IFERROR(INDEX(LubesData!$G:$G,MATCH($R17,LubesData!$V:$V,0)),"")</f>
        <v/>
      </c>
      <c r="T17">
        <f>IF(COUNTIFS(LubesData!$V:$V,$R17,LubesData!$U:$U,1,LubesData!$N:$N,"&lt;&gt;")=0,"",SUMIFS(LubesData!$N:$N,LubesData!$V:$V,$R17,LubesData!$U:$U,1))</f>
        <v/>
      </c>
      <c r="U17">
        <f>IF(COUNTIFS(LubesData!$V:$V,$R17,LubesData!$U:$U,2,LubesData!$N:$N,"&lt;&gt;")=0,"",SUMIFS(LubesData!$N:$N,LubesData!$V:$V,$R17,LubesData!$U:$U,2))</f>
        <v/>
      </c>
      <c r="V17">
        <f>IF(COUNTIFS(LubesData!$V:$V,$R17,LubesData!$U:$U,3,LubesData!$N:$N,"&lt;&gt;")=0,"",SUMIFS(LubesData!$N:$N,LubesData!$V:$V,$R17,LubesData!$U:$U,3))</f>
        <v/>
      </c>
      <c r="W17">
        <f>IF(COUNTIFS(LubesData!$V:$V,$R17,LubesData!$U:$U,4,LubesData!$N:$N,"&lt;&gt;")=0,"",SUMIFS(LubesData!$N:$N,LubesData!$V:$V,$R17,LubesData!$U:$U,4))</f>
        <v/>
      </c>
      <c r="X17">
        <f>IF(COUNTIFS(LubesData!$V:$V,$R17,LubesData!$U:$U,5,LubesData!$N:$N,"&lt;&gt;")=0,"",SUMIFS(LubesData!$N:$N,LubesData!$V:$V,$R17,LubesData!$U:$U,5))</f>
        <v/>
      </c>
      <c r="Y17">
        <f>IF(COUNTIFS(LubesData!$V:$V,$R17,LubesData!$U:$U,6,LubesData!$N:$N,"&lt;&gt;")=0,"",SUMIFS(LubesData!$N:$N,LubesData!$V:$V,$R17,LubesData!$U:$U,6))</f>
        <v/>
      </c>
      <c r="Z17">
        <f>IF(COUNTIFS(LubesData!$V:$V,$R17,LubesData!$U:$U,7,LubesData!$N:$N,"&lt;&gt;")=0,"",SUMIFS(LubesData!$N:$N,LubesData!$V:$V,$R17,LubesData!$U:$U,7))</f>
        <v/>
      </c>
      <c r="AA17">
        <f>IF(COUNTIFS(LubesData!$V:$V,$R17,LubesData!$U:$U,8,LubesData!$N:$N,"&lt;&gt;")=0,"",SUMIFS(LubesData!$N:$N,LubesData!$V:$V,$R17,LubesData!$U:$U,8))</f>
        <v/>
      </c>
      <c r="AB17">
        <f>IF(COUNTIFS(LubesData!$V:$V,$R17,LubesData!$U:$U,9,LubesData!$N:$N,"&lt;&gt;")=0,"",SUMIFS(LubesData!$N:$N,LubesData!$V:$V,$R17,LubesData!$U:$U,9))</f>
        <v/>
      </c>
      <c r="AC17">
        <f>IF(COUNTIFS(LubesData!$V:$V,$R17,LubesData!$U:$U,10,LubesData!$N:$N,"&lt;&gt;")=0,"",SUMIFS(LubesData!$N:$N,LubesData!$V:$V,$R17,LubesData!$U:$U,10))</f>
        <v/>
      </c>
      <c r="AD17">
        <f>IF(COUNTIFS(LubesData!$V:$V,$R17,LubesData!$U:$U,11,LubesData!$N:$N,"&lt;&gt;")=0,"",SUMIFS(LubesData!$N:$N,LubesData!$V:$V,$R17,LubesData!$U:$U,11))</f>
        <v/>
      </c>
      <c r="AE17">
        <f>IF(COUNTIFS(LubesData!$V:$V,$R17,LubesData!$U:$U,12,LubesData!$N:$N,"&lt;&gt;")=0,"",SUMIFS(LubesData!$N:$N,LubesData!$V:$V,$R17,LubesData!$U:$U,12))</f>
        <v/>
      </c>
      <c r="AF17">
        <f>IF(COUNTIFS(LubesData!$V:$V,$R17,LubesData!$U:$U,13,LubesData!$N:$N,"&lt;&gt;")=0,"",SUMIFS(LubesData!$N:$N,LubesData!$V:$V,$R17,LubesData!$U:$U,13))</f>
        <v/>
      </c>
      <c r="AG17">
        <f>IF(COUNTIFS(LubesData!$V:$V,$R17,LubesData!$U:$U,14,LubesData!$N:$N,"&lt;&gt;")=0,"",SUMIFS(LubesData!$N:$N,LubesData!$V:$V,$R17,LubesData!$U:$U,14))</f>
        <v/>
      </c>
      <c r="AH17">
        <f>COUNTIFS(LubesData!$V:$V,$R17,LubesData!$U:$U,"&lt;="&amp;14,LubesData!$N:$N,"&lt;&gt;")</f>
        <v/>
      </c>
      <c r="AI17">
        <f>COUNTIFS(LubesData!$V:$V,$R17,LubesData!$U:$U,"&lt;="&amp;14,LubesData!$N:$N,0)</f>
        <v/>
      </c>
      <c r="AJ17">
        <f>IF(AH17=0,"",AH17-AI17)</f>
        <v/>
      </c>
      <c r="AK17">
        <f>IF(AH17=0,"",SUMIFS(LubesData!$N:$N,LubesData!$V:$V,$R17,LubesData!$U:$U,"&lt;="&amp;14))</f>
        <v/>
      </c>
      <c r="AL17">
        <f>IF(AH17=0,"",IF(ABS(MAX(T17:AG17))&gt;=ABS(MIN(T17:AG17)),MAX(T17:AG17),MIN(T17:AG17)))</f>
        <v/>
      </c>
      <c r="AM17">
        <f>IF(AH17=0,-1,AJ17*100000+MIN(ABS(AK17),99999))</f>
        <v/>
      </c>
      <c r="AN17">
        <f>IF($S17="","",1+COUNTIFS($AM$3:$AM$122,"&gt;"&amp;AM17)+COUNTIFS($AM$3:$AM$122,AM17,$R$3:$R$122,"&lt;"&amp;$R17))</f>
        <v/>
      </c>
    </row>
    <row r="18">
      <c r="A18" t="n">
        <v>16</v>
      </c>
      <c r="B18" s="31">
        <f>IFERROR(IF(INDEX(LubesData!$B:$B,MATCH($A18,LubesData!$U:$U,0))="","",INDEX(LubesData!$B:$B,MATCH($A18,LubesData!$U:$U,0))),"")</f>
        <v/>
      </c>
      <c r="C18">
        <f>IFERROR(IF(INDEX(LubesData!$D:$D,MATCH($A18,LubesData!$U:$U,0))="","",INDEX(LubesData!$D:$D,MATCH($A18,LubesData!$U:$U,0))),"")</f>
        <v/>
      </c>
      <c r="D18" s="31">
        <f>IFERROR(IF(INDEX(LubesData!$O:$O,MATCH($A18,LubesData!$U:$U,0))="","",INDEX(LubesData!$O:$O,MATCH($A18,LubesData!$U:$U,0))),"")</f>
        <v/>
      </c>
      <c r="E18">
        <f>COUNTIFS(LubesData!$U:$U,$A18)</f>
        <v/>
      </c>
      <c r="F18">
        <f>COUNTIFS(LubesData!$U:$U,$A18,LubesData!$N:$N,"&lt;&gt;")</f>
        <v/>
      </c>
      <c r="G18">
        <f>COUNTIFS(LubesData!$U:$U,$A18,LubesData!$N:$N,0)</f>
        <v/>
      </c>
      <c r="H18">
        <f>IF($F18=0,"",$F18-$G18)</f>
        <v/>
      </c>
      <c r="I18">
        <f>IF($F18=0,"",SUMIFS(LubesData!$N:$N,LubesData!$U:$U,$A18))</f>
        <v/>
      </c>
      <c r="J18">
        <f>COUNTIFS(LubesData!$U:$U,$A18,LubesData!$Q:$Q,"&lt;&gt;")</f>
        <v/>
      </c>
      <c r="K18">
        <f>IF($J18=0,"",SUMIFS(LubesData!$Q:$Q,LubesData!$U:$U,$A18))</f>
        <v/>
      </c>
      <c r="L18">
        <f>COUNTIFS(LubesData!$U:$U,$A18,LubesData!$M:$M,"&lt;&gt;")</f>
        <v/>
      </c>
      <c r="M18">
        <f>IF($E18=0,"",IF($L18=0,"not loaded","loaded"))</f>
        <v/>
      </c>
      <c r="N18">
        <f>COUNTIFS(LubesData!$U:$U,$A18,LubesData!$I:$I,"&lt;&gt;")</f>
        <v/>
      </c>
      <c r="O18">
        <f>IF($E18=0,"",IF($L18=0,"No POS sales have been loaded for this date, so variance cannot be worked out. Import the sales report for this day and it fills in.",IF($N18=0,"This is the first count of these products, so there is no opening figure to sell down from. Variance starts from the next count.",IF($F18-$G18=0,"Physical and POS agree on every product.",($F18-$G18)&amp;" of "&amp;$F18&amp;" products disagree with the POS. Largest first below."))))</f>
        <v/>
      </c>
      <c r="R18" t="n">
        <v>16</v>
      </c>
      <c r="S18">
        <f>IFERROR(INDEX(LubesData!$G:$G,MATCH($R18,LubesData!$V:$V,0)),"")</f>
        <v/>
      </c>
      <c r="T18">
        <f>IF(COUNTIFS(LubesData!$V:$V,$R18,LubesData!$U:$U,1,LubesData!$N:$N,"&lt;&gt;")=0,"",SUMIFS(LubesData!$N:$N,LubesData!$V:$V,$R18,LubesData!$U:$U,1))</f>
        <v/>
      </c>
      <c r="U18">
        <f>IF(COUNTIFS(LubesData!$V:$V,$R18,LubesData!$U:$U,2,LubesData!$N:$N,"&lt;&gt;")=0,"",SUMIFS(LubesData!$N:$N,LubesData!$V:$V,$R18,LubesData!$U:$U,2))</f>
        <v/>
      </c>
      <c r="V18">
        <f>IF(COUNTIFS(LubesData!$V:$V,$R18,LubesData!$U:$U,3,LubesData!$N:$N,"&lt;&gt;")=0,"",SUMIFS(LubesData!$N:$N,LubesData!$V:$V,$R18,LubesData!$U:$U,3))</f>
        <v/>
      </c>
      <c r="W18">
        <f>IF(COUNTIFS(LubesData!$V:$V,$R18,LubesData!$U:$U,4,LubesData!$N:$N,"&lt;&gt;")=0,"",SUMIFS(LubesData!$N:$N,LubesData!$V:$V,$R18,LubesData!$U:$U,4))</f>
        <v/>
      </c>
      <c r="X18">
        <f>IF(COUNTIFS(LubesData!$V:$V,$R18,LubesData!$U:$U,5,LubesData!$N:$N,"&lt;&gt;")=0,"",SUMIFS(LubesData!$N:$N,LubesData!$V:$V,$R18,LubesData!$U:$U,5))</f>
        <v/>
      </c>
      <c r="Y18">
        <f>IF(COUNTIFS(LubesData!$V:$V,$R18,LubesData!$U:$U,6,LubesData!$N:$N,"&lt;&gt;")=0,"",SUMIFS(LubesData!$N:$N,LubesData!$V:$V,$R18,LubesData!$U:$U,6))</f>
        <v/>
      </c>
      <c r="Z18">
        <f>IF(COUNTIFS(LubesData!$V:$V,$R18,LubesData!$U:$U,7,LubesData!$N:$N,"&lt;&gt;")=0,"",SUMIFS(LubesData!$N:$N,LubesData!$V:$V,$R18,LubesData!$U:$U,7))</f>
        <v/>
      </c>
      <c r="AA18">
        <f>IF(COUNTIFS(LubesData!$V:$V,$R18,LubesData!$U:$U,8,LubesData!$N:$N,"&lt;&gt;")=0,"",SUMIFS(LubesData!$N:$N,LubesData!$V:$V,$R18,LubesData!$U:$U,8))</f>
        <v/>
      </c>
      <c r="AB18">
        <f>IF(COUNTIFS(LubesData!$V:$V,$R18,LubesData!$U:$U,9,LubesData!$N:$N,"&lt;&gt;")=0,"",SUMIFS(LubesData!$N:$N,LubesData!$V:$V,$R18,LubesData!$U:$U,9))</f>
        <v/>
      </c>
      <c r="AC18">
        <f>IF(COUNTIFS(LubesData!$V:$V,$R18,LubesData!$U:$U,10,LubesData!$N:$N,"&lt;&gt;")=0,"",SUMIFS(LubesData!$N:$N,LubesData!$V:$V,$R18,LubesData!$U:$U,10))</f>
        <v/>
      </c>
      <c r="AD18">
        <f>IF(COUNTIFS(LubesData!$V:$V,$R18,LubesData!$U:$U,11,LubesData!$N:$N,"&lt;&gt;")=0,"",SUMIFS(LubesData!$N:$N,LubesData!$V:$V,$R18,LubesData!$U:$U,11))</f>
        <v/>
      </c>
      <c r="AE18">
        <f>IF(COUNTIFS(LubesData!$V:$V,$R18,LubesData!$U:$U,12,LubesData!$N:$N,"&lt;&gt;")=0,"",SUMIFS(LubesData!$N:$N,LubesData!$V:$V,$R18,LubesData!$U:$U,12))</f>
        <v/>
      </c>
      <c r="AF18">
        <f>IF(COUNTIFS(LubesData!$V:$V,$R18,LubesData!$U:$U,13,LubesData!$N:$N,"&lt;&gt;")=0,"",SUMIFS(LubesData!$N:$N,LubesData!$V:$V,$R18,LubesData!$U:$U,13))</f>
        <v/>
      </c>
      <c r="AG18">
        <f>IF(COUNTIFS(LubesData!$V:$V,$R18,LubesData!$U:$U,14,LubesData!$N:$N,"&lt;&gt;")=0,"",SUMIFS(LubesData!$N:$N,LubesData!$V:$V,$R18,LubesData!$U:$U,14))</f>
        <v/>
      </c>
      <c r="AH18">
        <f>COUNTIFS(LubesData!$V:$V,$R18,LubesData!$U:$U,"&lt;="&amp;14,LubesData!$N:$N,"&lt;&gt;")</f>
        <v/>
      </c>
      <c r="AI18">
        <f>COUNTIFS(LubesData!$V:$V,$R18,LubesData!$U:$U,"&lt;="&amp;14,LubesData!$N:$N,0)</f>
        <v/>
      </c>
      <c r="AJ18">
        <f>IF(AH18=0,"",AH18-AI18)</f>
        <v/>
      </c>
      <c r="AK18">
        <f>IF(AH18=0,"",SUMIFS(LubesData!$N:$N,LubesData!$V:$V,$R18,LubesData!$U:$U,"&lt;="&amp;14))</f>
        <v/>
      </c>
      <c r="AL18">
        <f>IF(AH18=0,"",IF(ABS(MAX(T18:AG18))&gt;=ABS(MIN(T18:AG18)),MAX(T18:AG18),MIN(T18:AG18)))</f>
        <v/>
      </c>
      <c r="AM18">
        <f>IF(AH18=0,-1,AJ18*100000+MIN(ABS(AK18),99999))</f>
        <v/>
      </c>
      <c r="AN18">
        <f>IF($S18="","",1+COUNTIFS($AM$3:$AM$122,"&gt;"&amp;AM18)+COUNTIFS($AM$3:$AM$122,AM18,$R$3:$R$122,"&lt;"&amp;$R18))</f>
        <v/>
      </c>
    </row>
    <row r="19">
      <c r="A19" t="n">
        <v>17</v>
      </c>
      <c r="B19" s="31">
        <f>IFERROR(IF(INDEX(LubesData!$B:$B,MATCH($A19,LubesData!$U:$U,0))="","",INDEX(LubesData!$B:$B,MATCH($A19,LubesData!$U:$U,0))),"")</f>
        <v/>
      </c>
      <c r="C19">
        <f>IFERROR(IF(INDEX(LubesData!$D:$D,MATCH($A19,LubesData!$U:$U,0))="","",INDEX(LubesData!$D:$D,MATCH($A19,LubesData!$U:$U,0))),"")</f>
        <v/>
      </c>
      <c r="D19" s="31">
        <f>IFERROR(IF(INDEX(LubesData!$O:$O,MATCH($A19,LubesData!$U:$U,0))="","",INDEX(LubesData!$O:$O,MATCH($A19,LubesData!$U:$U,0))),"")</f>
        <v/>
      </c>
      <c r="E19">
        <f>COUNTIFS(LubesData!$U:$U,$A19)</f>
        <v/>
      </c>
      <c r="F19">
        <f>COUNTIFS(LubesData!$U:$U,$A19,LubesData!$N:$N,"&lt;&gt;")</f>
        <v/>
      </c>
      <c r="G19">
        <f>COUNTIFS(LubesData!$U:$U,$A19,LubesData!$N:$N,0)</f>
        <v/>
      </c>
      <c r="H19">
        <f>IF($F19=0,"",$F19-$G19)</f>
        <v/>
      </c>
      <c r="I19">
        <f>IF($F19=0,"",SUMIFS(LubesData!$N:$N,LubesData!$U:$U,$A19))</f>
        <v/>
      </c>
      <c r="J19">
        <f>COUNTIFS(LubesData!$U:$U,$A19,LubesData!$Q:$Q,"&lt;&gt;")</f>
        <v/>
      </c>
      <c r="K19">
        <f>IF($J19=0,"",SUMIFS(LubesData!$Q:$Q,LubesData!$U:$U,$A19))</f>
        <v/>
      </c>
      <c r="L19">
        <f>COUNTIFS(LubesData!$U:$U,$A19,LubesData!$M:$M,"&lt;&gt;")</f>
        <v/>
      </c>
      <c r="M19">
        <f>IF($E19=0,"",IF($L19=0,"not loaded","loaded"))</f>
        <v/>
      </c>
      <c r="N19">
        <f>COUNTIFS(LubesData!$U:$U,$A19,LubesData!$I:$I,"&lt;&gt;")</f>
        <v/>
      </c>
      <c r="O19">
        <f>IF($E19=0,"",IF($L19=0,"No POS sales have been loaded for this date, so variance cannot be worked out. Import the sales report for this day and it fills in.",IF($N19=0,"This is the first count of these products, so there is no opening figure to sell down from. Variance starts from the next count.",IF($F19-$G19=0,"Physical and POS agree on every product.",($F19-$G19)&amp;" of "&amp;$F19&amp;" products disagree with the POS. Largest first below."))))</f>
        <v/>
      </c>
      <c r="R19" t="n">
        <v>17</v>
      </c>
      <c r="S19">
        <f>IFERROR(INDEX(LubesData!$G:$G,MATCH($R19,LubesData!$V:$V,0)),"")</f>
        <v/>
      </c>
      <c r="T19">
        <f>IF(COUNTIFS(LubesData!$V:$V,$R19,LubesData!$U:$U,1,LubesData!$N:$N,"&lt;&gt;")=0,"",SUMIFS(LubesData!$N:$N,LubesData!$V:$V,$R19,LubesData!$U:$U,1))</f>
        <v/>
      </c>
      <c r="U19">
        <f>IF(COUNTIFS(LubesData!$V:$V,$R19,LubesData!$U:$U,2,LubesData!$N:$N,"&lt;&gt;")=0,"",SUMIFS(LubesData!$N:$N,LubesData!$V:$V,$R19,LubesData!$U:$U,2))</f>
        <v/>
      </c>
      <c r="V19">
        <f>IF(COUNTIFS(LubesData!$V:$V,$R19,LubesData!$U:$U,3,LubesData!$N:$N,"&lt;&gt;")=0,"",SUMIFS(LubesData!$N:$N,LubesData!$V:$V,$R19,LubesData!$U:$U,3))</f>
        <v/>
      </c>
      <c r="W19">
        <f>IF(COUNTIFS(LubesData!$V:$V,$R19,LubesData!$U:$U,4,LubesData!$N:$N,"&lt;&gt;")=0,"",SUMIFS(LubesData!$N:$N,LubesData!$V:$V,$R19,LubesData!$U:$U,4))</f>
        <v/>
      </c>
      <c r="X19">
        <f>IF(COUNTIFS(LubesData!$V:$V,$R19,LubesData!$U:$U,5,LubesData!$N:$N,"&lt;&gt;")=0,"",SUMIFS(LubesData!$N:$N,LubesData!$V:$V,$R19,LubesData!$U:$U,5))</f>
        <v/>
      </c>
      <c r="Y19">
        <f>IF(COUNTIFS(LubesData!$V:$V,$R19,LubesData!$U:$U,6,LubesData!$N:$N,"&lt;&gt;")=0,"",SUMIFS(LubesData!$N:$N,LubesData!$V:$V,$R19,LubesData!$U:$U,6))</f>
        <v/>
      </c>
      <c r="Z19">
        <f>IF(COUNTIFS(LubesData!$V:$V,$R19,LubesData!$U:$U,7,LubesData!$N:$N,"&lt;&gt;")=0,"",SUMIFS(LubesData!$N:$N,LubesData!$V:$V,$R19,LubesData!$U:$U,7))</f>
        <v/>
      </c>
      <c r="AA19">
        <f>IF(COUNTIFS(LubesData!$V:$V,$R19,LubesData!$U:$U,8,LubesData!$N:$N,"&lt;&gt;")=0,"",SUMIFS(LubesData!$N:$N,LubesData!$V:$V,$R19,LubesData!$U:$U,8))</f>
        <v/>
      </c>
      <c r="AB19">
        <f>IF(COUNTIFS(LubesData!$V:$V,$R19,LubesData!$U:$U,9,LubesData!$N:$N,"&lt;&gt;")=0,"",SUMIFS(LubesData!$N:$N,LubesData!$V:$V,$R19,LubesData!$U:$U,9))</f>
        <v/>
      </c>
      <c r="AC19">
        <f>IF(COUNTIFS(LubesData!$V:$V,$R19,LubesData!$U:$U,10,LubesData!$N:$N,"&lt;&gt;")=0,"",SUMIFS(LubesData!$N:$N,LubesData!$V:$V,$R19,LubesData!$U:$U,10))</f>
        <v/>
      </c>
      <c r="AD19">
        <f>IF(COUNTIFS(LubesData!$V:$V,$R19,LubesData!$U:$U,11,LubesData!$N:$N,"&lt;&gt;")=0,"",SUMIFS(LubesData!$N:$N,LubesData!$V:$V,$R19,LubesData!$U:$U,11))</f>
        <v/>
      </c>
      <c r="AE19">
        <f>IF(COUNTIFS(LubesData!$V:$V,$R19,LubesData!$U:$U,12,LubesData!$N:$N,"&lt;&gt;")=0,"",SUMIFS(LubesData!$N:$N,LubesData!$V:$V,$R19,LubesData!$U:$U,12))</f>
        <v/>
      </c>
      <c r="AF19">
        <f>IF(COUNTIFS(LubesData!$V:$V,$R19,LubesData!$U:$U,13,LubesData!$N:$N,"&lt;&gt;")=0,"",SUMIFS(LubesData!$N:$N,LubesData!$V:$V,$R19,LubesData!$U:$U,13))</f>
        <v/>
      </c>
      <c r="AG19">
        <f>IF(COUNTIFS(LubesData!$V:$V,$R19,LubesData!$U:$U,14,LubesData!$N:$N,"&lt;&gt;")=0,"",SUMIFS(LubesData!$N:$N,LubesData!$V:$V,$R19,LubesData!$U:$U,14))</f>
        <v/>
      </c>
      <c r="AH19">
        <f>COUNTIFS(LubesData!$V:$V,$R19,LubesData!$U:$U,"&lt;="&amp;14,LubesData!$N:$N,"&lt;&gt;")</f>
        <v/>
      </c>
      <c r="AI19">
        <f>COUNTIFS(LubesData!$V:$V,$R19,LubesData!$U:$U,"&lt;="&amp;14,LubesData!$N:$N,0)</f>
        <v/>
      </c>
      <c r="AJ19">
        <f>IF(AH19=0,"",AH19-AI19)</f>
        <v/>
      </c>
      <c r="AK19">
        <f>IF(AH19=0,"",SUMIFS(LubesData!$N:$N,LubesData!$V:$V,$R19,LubesData!$U:$U,"&lt;="&amp;14))</f>
        <v/>
      </c>
      <c r="AL19">
        <f>IF(AH19=0,"",IF(ABS(MAX(T19:AG19))&gt;=ABS(MIN(T19:AG19)),MAX(T19:AG19),MIN(T19:AG19)))</f>
        <v/>
      </c>
      <c r="AM19">
        <f>IF(AH19=0,-1,AJ19*100000+MIN(ABS(AK19),99999))</f>
        <v/>
      </c>
      <c r="AN19">
        <f>IF($S19="","",1+COUNTIFS($AM$3:$AM$122,"&gt;"&amp;AM19)+COUNTIFS($AM$3:$AM$122,AM19,$R$3:$R$122,"&lt;"&amp;$R19))</f>
        <v/>
      </c>
    </row>
    <row r="20">
      <c r="A20" t="n">
        <v>18</v>
      </c>
      <c r="B20" s="31">
        <f>IFERROR(IF(INDEX(LubesData!$B:$B,MATCH($A20,LubesData!$U:$U,0))="","",INDEX(LubesData!$B:$B,MATCH($A20,LubesData!$U:$U,0))),"")</f>
        <v/>
      </c>
      <c r="C20">
        <f>IFERROR(IF(INDEX(LubesData!$D:$D,MATCH($A20,LubesData!$U:$U,0))="","",INDEX(LubesData!$D:$D,MATCH($A20,LubesData!$U:$U,0))),"")</f>
        <v/>
      </c>
      <c r="D20" s="31">
        <f>IFERROR(IF(INDEX(LubesData!$O:$O,MATCH($A20,LubesData!$U:$U,0))="","",INDEX(LubesData!$O:$O,MATCH($A20,LubesData!$U:$U,0))),"")</f>
        <v/>
      </c>
      <c r="E20">
        <f>COUNTIFS(LubesData!$U:$U,$A20)</f>
        <v/>
      </c>
      <c r="F20">
        <f>COUNTIFS(LubesData!$U:$U,$A20,LubesData!$N:$N,"&lt;&gt;")</f>
        <v/>
      </c>
      <c r="G20">
        <f>COUNTIFS(LubesData!$U:$U,$A20,LubesData!$N:$N,0)</f>
        <v/>
      </c>
      <c r="H20">
        <f>IF($F20=0,"",$F20-$G20)</f>
        <v/>
      </c>
      <c r="I20">
        <f>IF($F20=0,"",SUMIFS(LubesData!$N:$N,LubesData!$U:$U,$A20))</f>
        <v/>
      </c>
      <c r="J20">
        <f>COUNTIFS(LubesData!$U:$U,$A20,LubesData!$Q:$Q,"&lt;&gt;")</f>
        <v/>
      </c>
      <c r="K20">
        <f>IF($J20=0,"",SUMIFS(LubesData!$Q:$Q,LubesData!$U:$U,$A20))</f>
        <v/>
      </c>
      <c r="L20">
        <f>COUNTIFS(LubesData!$U:$U,$A20,LubesData!$M:$M,"&lt;&gt;")</f>
        <v/>
      </c>
      <c r="M20">
        <f>IF($E20=0,"",IF($L20=0,"not loaded","loaded"))</f>
        <v/>
      </c>
      <c r="N20">
        <f>COUNTIFS(LubesData!$U:$U,$A20,LubesData!$I:$I,"&lt;&gt;")</f>
        <v/>
      </c>
      <c r="O20">
        <f>IF($E20=0,"",IF($L20=0,"No POS sales have been loaded for this date, so variance cannot be worked out. Import the sales report for this day and it fills in.",IF($N20=0,"This is the first count of these products, so there is no opening figure to sell down from. Variance starts from the next count.",IF($F20-$G20=0,"Physical and POS agree on every product.",($F20-$G20)&amp;" of "&amp;$F20&amp;" products disagree with the POS. Largest first below."))))</f>
        <v/>
      </c>
      <c r="R20" t="n">
        <v>18</v>
      </c>
      <c r="S20">
        <f>IFERROR(INDEX(LubesData!$G:$G,MATCH($R20,LubesData!$V:$V,0)),"")</f>
        <v/>
      </c>
      <c r="T20">
        <f>IF(COUNTIFS(LubesData!$V:$V,$R20,LubesData!$U:$U,1,LubesData!$N:$N,"&lt;&gt;")=0,"",SUMIFS(LubesData!$N:$N,LubesData!$V:$V,$R20,LubesData!$U:$U,1))</f>
        <v/>
      </c>
      <c r="U20">
        <f>IF(COUNTIFS(LubesData!$V:$V,$R20,LubesData!$U:$U,2,LubesData!$N:$N,"&lt;&gt;")=0,"",SUMIFS(LubesData!$N:$N,LubesData!$V:$V,$R20,LubesData!$U:$U,2))</f>
        <v/>
      </c>
      <c r="V20">
        <f>IF(COUNTIFS(LubesData!$V:$V,$R20,LubesData!$U:$U,3,LubesData!$N:$N,"&lt;&gt;")=0,"",SUMIFS(LubesData!$N:$N,LubesData!$V:$V,$R20,LubesData!$U:$U,3))</f>
        <v/>
      </c>
      <c r="W20">
        <f>IF(COUNTIFS(LubesData!$V:$V,$R20,LubesData!$U:$U,4,LubesData!$N:$N,"&lt;&gt;")=0,"",SUMIFS(LubesData!$N:$N,LubesData!$V:$V,$R20,LubesData!$U:$U,4))</f>
        <v/>
      </c>
      <c r="X20">
        <f>IF(COUNTIFS(LubesData!$V:$V,$R20,LubesData!$U:$U,5,LubesData!$N:$N,"&lt;&gt;")=0,"",SUMIFS(LubesData!$N:$N,LubesData!$V:$V,$R20,LubesData!$U:$U,5))</f>
        <v/>
      </c>
      <c r="Y20">
        <f>IF(COUNTIFS(LubesData!$V:$V,$R20,LubesData!$U:$U,6,LubesData!$N:$N,"&lt;&gt;")=0,"",SUMIFS(LubesData!$N:$N,LubesData!$V:$V,$R20,LubesData!$U:$U,6))</f>
        <v/>
      </c>
      <c r="Z20">
        <f>IF(COUNTIFS(LubesData!$V:$V,$R20,LubesData!$U:$U,7,LubesData!$N:$N,"&lt;&gt;")=0,"",SUMIFS(LubesData!$N:$N,LubesData!$V:$V,$R20,LubesData!$U:$U,7))</f>
        <v/>
      </c>
      <c r="AA20">
        <f>IF(COUNTIFS(LubesData!$V:$V,$R20,LubesData!$U:$U,8,LubesData!$N:$N,"&lt;&gt;")=0,"",SUMIFS(LubesData!$N:$N,LubesData!$V:$V,$R20,LubesData!$U:$U,8))</f>
        <v/>
      </c>
      <c r="AB20">
        <f>IF(COUNTIFS(LubesData!$V:$V,$R20,LubesData!$U:$U,9,LubesData!$N:$N,"&lt;&gt;")=0,"",SUMIFS(LubesData!$N:$N,LubesData!$V:$V,$R20,LubesData!$U:$U,9))</f>
        <v/>
      </c>
      <c r="AC20">
        <f>IF(COUNTIFS(LubesData!$V:$V,$R20,LubesData!$U:$U,10,LubesData!$N:$N,"&lt;&gt;")=0,"",SUMIFS(LubesData!$N:$N,LubesData!$V:$V,$R20,LubesData!$U:$U,10))</f>
        <v/>
      </c>
      <c r="AD20">
        <f>IF(COUNTIFS(LubesData!$V:$V,$R20,LubesData!$U:$U,11,LubesData!$N:$N,"&lt;&gt;")=0,"",SUMIFS(LubesData!$N:$N,LubesData!$V:$V,$R20,LubesData!$U:$U,11))</f>
        <v/>
      </c>
      <c r="AE20">
        <f>IF(COUNTIFS(LubesData!$V:$V,$R20,LubesData!$U:$U,12,LubesData!$N:$N,"&lt;&gt;")=0,"",SUMIFS(LubesData!$N:$N,LubesData!$V:$V,$R20,LubesData!$U:$U,12))</f>
        <v/>
      </c>
      <c r="AF20">
        <f>IF(COUNTIFS(LubesData!$V:$V,$R20,LubesData!$U:$U,13,LubesData!$N:$N,"&lt;&gt;")=0,"",SUMIFS(LubesData!$N:$N,LubesData!$V:$V,$R20,LubesData!$U:$U,13))</f>
        <v/>
      </c>
      <c r="AG20">
        <f>IF(COUNTIFS(LubesData!$V:$V,$R20,LubesData!$U:$U,14,LubesData!$N:$N,"&lt;&gt;")=0,"",SUMIFS(LubesData!$N:$N,LubesData!$V:$V,$R20,LubesData!$U:$U,14))</f>
        <v/>
      </c>
      <c r="AH20">
        <f>COUNTIFS(LubesData!$V:$V,$R20,LubesData!$U:$U,"&lt;="&amp;14,LubesData!$N:$N,"&lt;&gt;")</f>
        <v/>
      </c>
      <c r="AI20">
        <f>COUNTIFS(LubesData!$V:$V,$R20,LubesData!$U:$U,"&lt;="&amp;14,LubesData!$N:$N,0)</f>
        <v/>
      </c>
      <c r="AJ20">
        <f>IF(AH20=0,"",AH20-AI20)</f>
        <v/>
      </c>
      <c r="AK20">
        <f>IF(AH20=0,"",SUMIFS(LubesData!$N:$N,LubesData!$V:$V,$R20,LubesData!$U:$U,"&lt;="&amp;14))</f>
        <v/>
      </c>
      <c r="AL20">
        <f>IF(AH20=0,"",IF(ABS(MAX(T20:AG20))&gt;=ABS(MIN(T20:AG20)),MAX(T20:AG20),MIN(T20:AG20)))</f>
        <v/>
      </c>
      <c r="AM20">
        <f>IF(AH20=0,-1,AJ20*100000+MIN(ABS(AK20),99999))</f>
        <v/>
      </c>
      <c r="AN20">
        <f>IF($S20="","",1+COUNTIFS($AM$3:$AM$122,"&gt;"&amp;AM20)+COUNTIFS($AM$3:$AM$122,AM20,$R$3:$R$122,"&lt;"&amp;$R20))</f>
        <v/>
      </c>
    </row>
    <row r="21">
      <c r="A21" t="n">
        <v>19</v>
      </c>
      <c r="B21" s="31">
        <f>IFERROR(IF(INDEX(LubesData!$B:$B,MATCH($A21,LubesData!$U:$U,0))="","",INDEX(LubesData!$B:$B,MATCH($A21,LubesData!$U:$U,0))),"")</f>
        <v/>
      </c>
      <c r="C21">
        <f>IFERROR(IF(INDEX(LubesData!$D:$D,MATCH($A21,LubesData!$U:$U,0))="","",INDEX(LubesData!$D:$D,MATCH($A21,LubesData!$U:$U,0))),"")</f>
        <v/>
      </c>
      <c r="D21" s="31">
        <f>IFERROR(IF(INDEX(LubesData!$O:$O,MATCH($A21,LubesData!$U:$U,0))="","",INDEX(LubesData!$O:$O,MATCH($A21,LubesData!$U:$U,0))),"")</f>
        <v/>
      </c>
      <c r="E21">
        <f>COUNTIFS(LubesData!$U:$U,$A21)</f>
        <v/>
      </c>
      <c r="F21">
        <f>COUNTIFS(LubesData!$U:$U,$A21,LubesData!$N:$N,"&lt;&gt;")</f>
        <v/>
      </c>
      <c r="G21">
        <f>COUNTIFS(LubesData!$U:$U,$A21,LubesData!$N:$N,0)</f>
        <v/>
      </c>
      <c r="H21">
        <f>IF($F21=0,"",$F21-$G21)</f>
        <v/>
      </c>
      <c r="I21">
        <f>IF($F21=0,"",SUMIFS(LubesData!$N:$N,LubesData!$U:$U,$A21))</f>
        <v/>
      </c>
      <c r="J21">
        <f>COUNTIFS(LubesData!$U:$U,$A21,LubesData!$Q:$Q,"&lt;&gt;")</f>
        <v/>
      </c>
      <c r="K21">
        <f>IF($J21=0,"",SUMIFS(LubesData!$Q:$Q,LubesData!$U:$U,$A21))</f>
        <v/>
      </c>
      <c r="L21">
        <f>COUNTIFS(LubesData!$U:$U,$A21,LubesData!$M:$M,"&lt;&gt;")</f>
        <v/>
      </c>
      <c r="M21">
        <f>IF($E21=0,"",IF($L21=0,"not loaded","loaded"))</f>
        <v/>
      </c>
      <c r="N21">
        <f>COUNTIFS(LubesData!$U:$U,$A21,LubesData!$I:$I,"&lt;&gt;")</f>
        <v/>
      </c>
      <c r="O21">
        <f>IF($E21=0,"",IF($L21=0,"No POS sales have been loaded for this date, so variance cannot be worked out. Import the sales report for this day and it fills in.",IF($N21=0,"This is the first count of these products, so there is no opening figure to sell down from. Variance starts from the next count.",IF($F21-$G21=0,"Physical and POS agree on every product.",($F21-$G21)&amp;" of "&amp;$F21&amp;" products disagree with the POS. Largest first below."))))</f>
        <v/>
      </c>
      <c r="R21" t="n">
        <v>19</v>
      </c>
      <c r="S21">
        <f>IFERROR(INDEX(LubesData!$G:$G,MATCH($R21,LubesData!$V:$V,0)),"")</f>
        <v/>
      </c>
      <c r="T21">
        <f>IF(COUNTIFS(LubesData!$V:$V,$R21,LubesData!$U:$U,1,LubesData!$N:$N,"&lt;&gt;")=0,"",SUMIFS(LubesData!$N:$N,LubesData!$V:$V,$R21,LubesData!$U:$U,1))</f>
        <v/>
      </c>
      <c r="U21">
        <f>IF(COUNTIFS(LubesData!$V:$V,$R21,LubesData!$U:$U,2,LubesData!$N:$N,"&lt;&gt;")=0,"",SUMIFS(LubesData!$N:$N,LubesData!$V:$V,$R21,LubesData!$U:$U,2))</f>
        <v/>
      </c>
      <c r="V21">
        <f>IF(COUNTIFS(LubesData!$V:$V,$R21,LubesData!$U:$U,3,LubesData!$N:$N,"&lt;&gt;")=0,"",SUMIFS(LubesData!$N:$N,LubesData!$V:$V,$R21,LubesData!$U:$U,3))</f>
        <v/>
      </c>
      <c r="W21">
        <f>IF(COUNTIFS(LubesData!$V:$V,$R21,LubesData!$U:$U,4,LubesData!$N:$N,"&lt;&gt;")=0,"",SUMIFS(LubesData!$N:$N,LubesData!$V:$V,$R21,LubesData!$U:$U,4))</f>
        <v/>
      </c>
      <c r="X21">
        <f>IF(COUNTIFS(LubesData!$V:$V,$R21,LubesData!$U:$U,5,LubesData!$N:$N,"&lt;&gt;")=0,"",SUMIFS(LubesData!$N:$N,LubesData!$V:$V,$R21,LubesData!$U:$U,5))</f>
        <v/>
      </c>
      <c r="Y21">
        <f>IF(COUNTIFS(LubesData!$V:$V,$R21,LubesData!$U:$U,6,LubesData!$N:$N,"&lt;&gt;")=0,"",SUMIFS(LubesData!$N:$N,LubesData!$V:$V,$R21,LubesData!$U:$U,6))</f>
        <v/>
      </c>
      <c r="Z21">
        <f>IF(COUNTIFS(LubesData!$V:$V,$R21,LubesData!$U:$U,7,LubesData!$N:$N,"&lt;&gt;")=0,"",SUMIFS(LubesData!$N:$N,LubesData!$V:$V,$R21,LubesData!$U:$U,7))</f>
        <v/>
      </c>
      <c r="AA21">
        <f>IF(COUNTIFS(LubesData!$V:$V,$R21,LubesData!$U:$U,8,LubesData!$N:$N,"&lt;&gt;")=0,"",SUMIFS(LubesData!$N:$N,LubesData!$V:$V,$R21,LubesData!$U:$U,8))</f>
        <v/>
      </c>
      <c r="AB21">
        <f>IF(COUNTIFS(LubesData!$V:$V,$R21,LubesData!$U:$U,9,LubesData!$N:$N,"&lt;&gt;")=0,"",SUMIFS(LubesData!$N:$N,LubesData!$V:$V,$R21,LubesData!$U:$U,9))</f>
        <v/>
      </c>
      <c r="AC21">
        <f>IF(COUNTIFS(LubesData!$V:$V,$R21,LubesData!$U:$U,10,LubesData!$N:$N,"&lt;&gt;")=0,"",SUMIFS(LubesData!$N:$N,LubesData!$V:$V,$R21,LubesData!$U:$U,10))</f>
        <v/>
      </c>
      <c r="AD21">
        <f>IF(COUNTIFS(LubesData!$V:$V,$R21,LubesData!$U:$U,11,LubesData!$N:$N,"&lt;&gt;")=0,"",SUMIFS(LubesData!$N:$N,LubesData!$V:$V,$R21,LubesData!$U:$U,11))</f>
        <v/>
      </c>
      <c r="AE21">
        <f>IF(COUNTIFS(LubesData!$V:$V,$R21,LubesData!$U:$U,12,LubesData!$N:$N,"&lt;&gt;")=0,"",SUMIFS(LubesData!$N:$N,LubesData!$V:$V,$R21,LubesData!$U:$U,12))</f>
        <v/>
      </c>
      <c r="AF21">
        <f>IF(COUNTIFS(LubesData!$V:$V,$R21,LubesData!$U:$U,13,LubesData!$N:$N,"&lt;&gt;")=0,"",SUMIFS(LubesData!$N:$N,LubesData!$V:$V,$R21,LubesData!$U:$U,13))</f>
        <v/>
      </c>
      <c r="AG21">
        <f>IF(COUNTIFS(LubesData!$V:$V,$R21,LubesData!$U:$U,14,LubesData!$N:$N,"&lt;&gt;")=0,"",SUMIFS(LubesData!$N:$N,LubesData!$V:$V,$R21,LubesData!$U:$U,14))</f>
        <v/>
      </c>
      <c r="AH21">
        <f>COUNTIFS(LubesData!$V:$V,$R21,LubesData!$U:$U,"&lt;="&amp;14,LubesData!$N:$N,"&lt;&gt;")</f>
        <v/>
      </c>
      <c r="AI21">
        <f>COUNTIFS(LubesData!$V:$V,$R21,LubesData!$U:$U,"&lt;="&amp;14,LubesData!$N:$N,0)</f>
        <v/>
      </c>
      <c r="AJ21">
        <f>IF(AH21=0,"",AH21-AI21)</f>
        <v/>
      </c>
      <c r="AK21">
        <f>IF(AH21=0,"",SUMIFS(LubesData!$N:$N,LubesData!$V:$V,$R21,LubesData!$U:$U,"&lt;="&amp;14))</f>
        <v/>
      </c>
      <c r="AL21">
        <f>IF(AH21=0,"",IF(ABS(MAX(T21:AG21))&gt;=ABS(MIN(T21:AG21)),MAX(T21:AG21),MIN(T21:AG21)))</f>
        <v/>
      </c>
      <c r="AM21">
        <f>IF(AH21=0,-1,AJ21*100000+MIN(ABS(AK21),99999))</f>
        <v/>
      </c>
      <c r="AN21">
        <f>IF($S21="","",1+COUNTIFS($AM$3:$AM$122,"&gt;"&amp;AM21)+COUNTIFS($AM$3:$AM$122,AM21,$R$3:$R$122,"&lt;"&amp;$R21))</f>
        <v/>
      </c>
    </row>
    <row r="22">
      <c r="A22" t="n">
        <v>20</v>
      </c>
      <c r="B22" s="31">
        <f>IFERROR(IF(INDEX(LubesData!$B:$B,MATCH($A22,LubesData!$U:$U,0))="","",INDEX(LubesData!$B:$B,MATCH($A22,LubesData!$U:$U,0))),"")</f>
        <v/>
      </c>
      <c r="C22">
        <f>IFERROR(IF(INDEX(LubesData!$D:$D,MATCH($A22,LubesData!$U:$U,0))="","",INDEX(LubesData!$D:$D,MATCH($A22,LubesData!$U:$U,0))),"")</f>
        <v/>
      </c>
      <c r="D22" s="31">
        <f>IFERROR(IF(INDEX(LubesData!$O:$O,MATCH($A22,LubesData!$U:$U,0))="","",INDEX(LubesData!$O:$O,MATCH($A22,LubesData!$U:$U,0))),"")</f>
        <v/>
      </c>
      <c r="E22">
        <f>COUNTIFS(LubesData!$U:$U,$A22)</f>
        <v/>
      </c>
      <c r="F22">
        <f>COUNTIFS(LubesData!$U:$U,$A22,LubesData!$N:$N,"&lt;&gt;")</f>
        <v/>
      </c>
      <c r="G22">
        <f>COUNTIFS(LubesData!$U:$U,$A22,LubesData!$N:$N,0)</f>
        <v/>
      </c>
      <c r="H22">
        <f>IF($F22=0,"",$F22-$G22)</f>
        <v/>
      </c>
      <c r="I22">
        <f>IF($F22=0,"",SUMIFS(LubesData!$N:$N,LubesData!$U:$U,$A22))</f>
        <v/>
      </c>
      <c r="J22">
        <f>COUNTIFS(LubesData!$U:$U,$A22,LubesData!$Q:$Q,"&lt;&gt;")</f>
        <v/>
      </c>
      <c r="K22">
        <f>IF($J22=0,"",SUMIFS(LubesData!$Q:$Q,LubesData!$U:$U,$A22))</f>
        <v/>
      </c>
      <c r="L22">
        <f>COUNTIFS(LubesData!$U:$U,$A22,LubesData!$M:$M,"&lt;&gt;")</f>
        <v/>
      </c>
      <c r="M22">
        <f>IF($E22=0,"",IF($L22=0,"not loaded","loaded"))</f>
        <v/>
      </c>
      <c r="N22">
        <f>COUNTIFS(LubesData!$U:$U,$A22,LubesData!$I:$I,"&lt;&gt;")</f>
        <v/>
      </c>
      <c r="O22">
        <f>IF($E22=0,"",IF($L22=0,"No POS sales have been loaded for this date, so variance cannot be worked out. Import the sales report for this day and it fills in.",IF($N22=0,"This is the first count of these products, so there is no opening figure to sell down from. Variance starts from the next count.",IF($F22-$G22=0,"Physical and POS agree on every product.",($F22-$G22)&amp;" of "&amp;$F22&amp;" products disagree with the POS. Largest first below."))))</f>
        <v/>
      </c>
      <c r="R22" t="n">
        <v>20</v>
      </c>
      <c r="S22">
        <f>IFERROR(INDEX(LubesData!$G:$G,MATCH($R22,LubesData!$V:$V,0)),"")</f>
        <v/>
      </c>
      <c r="T22">
        <f>IF(COUNTIFS(LubesData!$V:$V,$R22,LubesData!$U:$U,1,LubesData!$N:$N,"&lt;&gt;")=0,"",SUMIFS(LubesData!$N:$N,LubesData!$V:$V,$R22,LubesData!$U:$U,1))</f>
        <v/>
      </c>
      <c r="U22">
        <f>IF(COUNTIFS(LubesData!$V:$V,$R22,LubesData!$U:$U,2,LubesData!$N:$N,"&lt;&gt;")=0,"",SUMIFS(LubesData!$N:$N,LubesData!$V:$V,$R22,LubesData!$U:$U,2))</f>
        <v/>
      </c>
      <c r="V22">
        <f>IF(COUNTIFS(LubesData!$V:$V,$R22,LubesData!$U:$U,3,LubesData!$N:$N,"&lt;&gt;")=0,"",SUMIFS(LubesData!$N:$N,LubesData!$V:$V,$R22,LubesData!$U:$U,3))</f>
        <v/>
      </c>
      <c r="W22">
        <f>IF(COUNTIFS(LubesData!$V:$V,$R22,LubesData!$U:$U,4,LubesData!$N:$N,"&lt;&gt;")=0,"",SUMIFS(LubesData!$N:$N,LubesData!$V:$V,$R22,LubesData!$U:$U,4))</f>
        <v/>
      </c>
      <c r="X22">
        <f>IF(COUNTIFS(LubesData!$V:$V,$R22,LubesData!$U:$U,5,LubesData!$N:$N,"&lt;&gt;")=0,"",SUMIFS(LubesData!$N:$N,LubesData!$V:$V,$R22,LubesData!$U:$U,5))</f>
        <v/>
      </c>
      <c r="Y22">
        <f>IF(COUNTIFS(LubesData!$V:$V,$R22,LubesData!$U:$U,6,LubesData!$N:$N,"&lt;&gt;")=0,"",SUMIFS(LubesData!$N:$N,LubesData!$V:$V,$R22,LubesData!$U:$U,6))</f>
        <v/>
      </c>
      <c r="Z22">
        <f>IF(COUNTIFS(LubesData!$V:$V,$R22,LubesData!$U:$U,7,LubesData!$N:$N,"&lt;&gt;")=0,"",SUMIFS(LubesData!$N:$N,LubesData!$V:$V,$R22,LubesData!$U:$U,7))</f>
        <v/>
      </c>
      <c r="AA22">
        <f>IF(COUNTIFS(LubesData!$V:$V,$R22,LubesData!$U:$U,8,LubesData!$N:$N,"&lt;&gt;")=0,"",SUMIFS(LubesData!$N:$N,LubesData!$V:$V,$R22,LubesData!$U:$U,8))</f>
        <v/>
      </c>
      <c r="AB22">
        <f>IF(COUNTIFS(LubesData!$V:$V,$R22,LubesData!$U:$U,9,LubesData!$N:$N,"&lt;&gt;")=0,"",SUMIFS(LubesData!$N:$N,LubesData!$V:$V,$R22,LubesData!$U:$U,9))</f>
        <v/>
      </c>
      <c r="AC22">
        <f>IF(COUNTIFS(LubesData!$V:$V,$R22,LubesData!$U:$U,10,LubesData!$N:$N,"&lt;&gt;")=0,"",SUMIFS(LubesData!$N:$N,LubesData!$V:$V,$R22,LubesData!$U:$U,10))</f>
        <v/>
      </c>
      <c r="AD22">
        <f>IF(COUNTIFS(LubesData!$V:$V,$R22,LubesData!$U:$U,11,LubesData!$N:$N,"&lt;&gt;")=0,"",SUMIFS(LubesData!$N:$N,LubesData!$V:$V,$R22,LubesData!$U:$U,11))</f>
        <v/>
      </c>
      <c r="AE22">
        <f>IF(COUNTIFS(LubesData!$V:$V,$R22,LubesData!$U:$U,12,LubesData!$N:$N,"&lt;&gt;")=0,"",SUMIFS(LubesData!$N:$N,LubesData!$V:$V,$R22,LubesData!$U:$U,12))</f>
        <v/>
      </c>
      <c r="AF22">
        <f>IF(COUNTIFS(LubesData!$V:$V,$R22,LubesData!$U:$U,13,LubesData!$N:$N,"&lt;&gt;")=0,"",SUMIFS(LubesData!$N:$N,LubesData!$V:$V,$R22,LubesData!$U:$U,13))</f>
        <v/>
      </c>
      <c r="AG22">
        <f>IF(COUNTIFS(LubesData!$V:$V,$R22,LubesData!$U:$U,14,LubesData!$N:$N,"&lt;&gt;")=0,"",SUMIFS(LubesData!$N:$N,LubesData!$V:$V,$R22,LubesData!$U:$U,14))</f>
        <v/>
      </c>
      <c r="AH22">
        <f>COUNTIFS(LubesData!$V:$V,$R22,LubesData!$U:$U,"&lt;="&amp;14,LubesData!$N:$N,"&lt;&gt;")</f>
        <v/>
      </c>
      <c r="AI22">
        <f>COUNTIFS(LubesData!$V:$V,$R22,LubesData!$U:$U,"&lt;="&amp;14,LubesData!$N:$N,0)</f>
        <v/>
      </c>
      <c r="AJ22">
        <f>IF(AH22=0,"",AH22-AI22)</f>
        <v/>
      </c>
      <c r="AK22">
        <f>IF(AH22=0,"",SUMIFS(LubesData!$N:$N,LubesData!$V:$V,$R22,LubesData!$U:$U,"&lt;="&amp;14))</f>
        <v/>
      </c>
      <c r="AL22">
        <f>IF(AH22=0,"",IF(ABS(MAX(T22:AG22))&gt;=ABS(MIN(T22:AG22)),MAX(T22:AG22),MIN(T22:AG22)))</f>
        <v/>
      </c>
      <c r="AM22">
        <f>IF(AH22=0,-1,AJ22*100000+MIN(ABS(AK22),99999))</f>
        <v/>
      </c>
      <c r="AN22">
        <f>IF($S22="","",1+COUNTIFS($AM$3:$AM$122,"&gt;"&amp;AM22)+COUNTIFS($AM$3:$AM$122,AM22,$R$3:$R$122,"&lt;"&amp;$R22))</f>
        <v/>
      </c>
    </row>
    <row r="23">
      <c r="A23" t="n">
        <v>21</v>
      </c>
      <c r="B23" s="31">
        <f>IFERROR(IF(INDEX(LubesData!$B:$B,MATCH($A23,LubesData!$U:$U,0))="","",INDEX(LubesData!$B:$B,MATCH($A23,LubesData!$U:$U,0))),"")</f>
        <v/>
      </c>
      <c r="C23">
        <f>IFERROR(IF(INDEX(LubesData!$D:$D,MATCH($A23,LubesData!$U:$U,0))="","",INDEX(LubesData!$D:$D,MATCH($A23,LubesData!$U:$U,0))),"")</f>
        <v/>
      </c>
      <c r="D23" s="31">
        <f>IFERROR(IF(INDEX(LubesData!$O:$O,MATCH($A23,LubesData!$U:$U,0))="","",INDEX(LubesData!$O:$O,MATCH($A23,LubesData!$U:$U,0))),"")</f>
        <v/>
      </c>
      <c r="E23">
        <f>COUNTIFS(LubesData!$U:$U,$A23)</f>
        <v/>
      </c>
      <c r="F23">
        <f>COUNTIFS(LubesData!$U:$U,$A23,LubesData!$N:$N,"&lt;&gt;")</f>
        <v/>
      </c>
      <c r="G23">
        <f>COUNTIFS(LubesData!$U:$U,$A23,LubesData!$N:$N,0)</f>
        <v/>
      </c>
      <c r="H23">
        <f>IF($F23=0,"",$F23-$G23)</f>
        <v/>
      </c>
      <c r="I23">
        <f>IF($F23=0,"",SUMIFS(LubesData!$N:$N,LubesData!$U:$U,$A23))</f>
        <v/>
      </c>
      <c r="J23">
        <f>COUNTIFS(LubesData!$U:$U,$A23,LubesData!$Q:$Q,"&lt;&gt;")</f>
        <v/>
      </c>
      <c r="K23">
        <f>IF($J23=0,"",SUMIFS(LubesData!$Q:$Q,LubesData!$U:$U,$A23))</f>
        <v/>
      </c>
      <c r="L23">
        <f>COUNTIFS(LubesData!$U:$U,$A23,LubesData!$M:$M,"&lt;&gt;")</f>
        <v/>
      </c>
      <c r="M23">
        <f>IF($E23=0,"",IF($L23=0,"not loaded","loaded"))</f>
        <v/>
      </c>
      <c r="N23">
        <f>COUNTIFS(LubesData!$U:$U,$A23,LubesData!$I:$I,"&lt;&gt;")</f>
        <v/>
      </c>
      <c r="O23">
        <f>IF($E23=0,"",IF($L23=0,"No POS sales have been loaded for this date, so variance cannot be worked out. Import the sales report for this day and it fills in.",IF($N23=0,"This is the first count of these products, so there is no opening figure to sell down from. Variance starts from the next count.",IF($F23-$G23=0,"Physical and POS agree on every product.",($F23-$G23)&amp;" of "&amp;$F23&amp;" products disagree with the POS. Largest first below."))))</f>
        <v/>
      </c>
      <c r="R23" t="n">
        <v>21</v>
      </c>
      <c r="S23">
        <f>IFERROR(INDEX(LubesData!$G:$G,MATCH($R23,LubesData!$V:$V,0)),"")</f>
        <v/>
      </c>
      <c r="T23">
        <f>IF(COUNTIFS(LubesData!$V:$V,$R23,LubesData!$U:$U,1,LubesData!$N:$N,"&lt;&gt;")=0,"",SUMIFS(LubesData!$N:$N,LubesData!$V:$V,$R23,LubesData!$U:$U,1))</f>
        <v/>
      </c>
      <c r="U23">
        <f>IF(COUNTIFS(LubesData!$V:$V,$R23,LubesData!$U:$U,2,LubesData!$N:$N,"&lt;&gt;")=0,"",SUMIFS(LubesData!$N:$N,LubesData!$V:$V,$R23,LubesData!$U:$U,2))</f>
        <v/>
      </c>
      <c r="V23">
        <f>IF(COUNTIFS(LubesData!$V:$V,$R23,LubesData!$U:$U,3,LubesData!$N:$N,"&lt;&gt;")=0,"",SUMIFS(LubesData!$N:$N,LubesData!$V:$V,$R23,LubesData!$U:$U,3))</f>
        <v/>
      </c>
      <c r="W23">
        <f>IF(COUNTIFS(LubesData!$V:$V,$R23,LubesData!$U:$U,4,LubesData!$N:$N,"&lt;&gt;")=0,"",SUMIFS(LubesData!$N:$N,LubesData!$V:$V,$R23,LubesData!$U:$U,4))</f>
        <v/>
      </c>
      <c r="X23">
        <f>IF(COUNTIFS(LubesData!$V:$V,$R23,LubesData!$U:$U,5,LubesData!$N:$N,"&lt;&gt;")=0,"",SUMIFS(LubesData!$N:$N,LubesData!$V:$V,$R23,LubesData!$U:$U,5))</f>
        <v/>
      </c>
      <c r="Y23">
        <f>IF(COUNTIFS(LubesData!$V:$V,$R23,LubesData!$U:$U,6,LubesData!$N:$N,"&lt;&gt;")=0,"",SUMIFS(LubesData!$N:$N,LubesData!$V:$V,$R23,LubesData!$U:$U,6))</f>
        <v/>
      </c>
      <c r="Z23">
        <f>IF(COUNTIFS(LubesData!$V:$V,$R23,LubesData!$U:$U,7,LubesData!$N:$N,"&lt;&gt;")=0,"",SUMIFS(LubesData!$N:$N,LubesData!$V:$V,$R23,LubesData!$U:$U,7))</f>
        <v/>
      </c>
      <c r="AA23">
        <f>IF(COUNTIFS(LubesData!$V:$V,$R23,LubesData!$U:$U,8,LubesData!$N:$N,"&lt;&gt;")=0,"",SUMIFS(LubesData!$N:$N,LubesData!$V:$V,$R23,LubesData!$U:$U,8))</f>
        <v/>
      </c>
      <c r="AB23">
        <f>IF(COUNTIFS(LubesData!$V:$V,$R23,LubesData!$U:$U,9,LubesData!$N:$N,"&lt;&gt;")=0,"",SUMIFS(LubesData!$N:$N,LubesData!$V:$V,$R23,LubesData!$U:$U,9))</f>
        <v/>
      </c>
      <c r="AC23">
        <f>IF(COUNTIFS(LubesData!$V:$V,$R23,LubesData!$U:$U,10,LubesData!$N:$N,"&lt;&gt;")=0,"",SUMIFS(LubesData!$N:$N,LubesData!$V:$V,$R23,LubesData!$U:$U,10))</f>
        <v/>
      </c>
      <c r="AD23">
        <f>IF(COUNTIFS(LubesData!$V:$V,$R23,LubesData!$U:$U,11,LubesData!$N:$N,"&lt;&gt;")=0,"",SUMIFS(LubesData!$N:$N,LubesData!$V:$V,$R23,LubesData!$U:$U,11))</f>
        <v/>
      </c>
      <c r="AE23">
        <f>IF(COUNTIFS(LubesData!$V:$V,$R23,LubesData!$U:$U,12,LubesData!$N:$N,"&lt;&gt;")=0,"",SUMIFS(LubesData!$N:$N,LubesData!$V:$V,$R23,LubesData!$U:$U,12))</f>
        <v/>
      </c>
      <c r="AF23">
        <f>IF(COUNTIFS(LubesData!$V:$V,$R23,LubesData!$U:$U,13,LubesData!$N:$N,"&lt;&gt;")=0,"",SUMIFS(LubesData!$N:$N,LubesData!$V:$V,$R23,LubesData!$U:$U,13))</f>
        <v/>
      </c>
      <c r="AG23">
        <f>IF(COUNTIFS(LubesData!$V:$V,$R23,LubesData!$U:$U,14,LubesData!$N:$N,"&lt;&gt;")=0,"",SUMIFS(LubesData!$N:$N,LubesData!$V:$V,$R23,LubesData!$U:$U,14))</f>
        <v/>
      </c>
      <c r="AH23">
        <f>COUNTIFS(LubesData!$V:$V,$R23,LubesData!$U:$U,"&lt;="&amp;14,LubesData!$N:$N,"&lt;&gt;")</f>
        <v/>
      </c>
      <c r="AI23">
        <f>COUNTIFS(LubesData!$V:$V,$R23,LubesData!$U:$U,"&lt;="&amp;14,LubesData!$N:$N,0)</f>
        <v/>
      </c>
      <c r="AJ23">
        <f>IF(AH23=0,"",AH23-AI23)</f>
        <v/>
      </c>
      <c r="AK23">
        <f>IF(AH23=0,"",SUMIFS(LubesData!$N:$N,LubesData!$V:$V,$R23,LubesData!$U:$U,"&lt;="&amp;14))</f>
        <v/>
      </c>
      <c r="AL23">
        <f>IF(AH23=0,"",IF(ABS(MAX(T23:AG23))&gt;=ABS(MIN(T23:AG23)),MAX(T23:AG23),MIN(T23:AG23)))</f>
        <v/>
      </c>
      <c r="AM23">
        <f>IF(AH23=0,-1,AJ23*100000+MIN(ABS(AK23),99999))</f>
        <v/>
      </c>
      <c r="AN23">
        <f>IF($S23="","",1+COUNTIFS($AM$3:$AM$122,"&gt;"&amp;AM23)+COUNTIFS($AM$3:$AM$122,AM23,$R$3:$R$122,"&lt;"&amp;$R23))</f>
        <v/>
      </c>
    </row>
    <row r="24">
      <c r="A24" t="n">
        <v>22</v>
      </c>
      <c r="B24" s="31">
        <f>IFERROR(IF(INDEX(LubesData!$B:$B,MATCH($A24,LubesData!$U:$U,0))="","",INDEX(LubesData!$B:$B,MATCH($A24,LubesData!$U:$U,0))),"")</f>
        <v/>
      </c>
      <c r="C24">
        <f>IFERROR(IF(INDEX(LubesData!$D:$D,MATCH($A24,LubesData!$U:$U,0))="","",INDEX(LubesData!$D:$D,MATCH($A24,LubesData!$U:$U,0))),"")</f>
        <v/>
      </c>
      <c r="D24" s="31">
        <f>IFERROR(IF(INDEX(LubesData!$O:$O,MATCH($A24,LubesData!$U:$U,0))="","",INDEX(LubesData!$O:$O,MATCH($A24,LubesData!$U:$U,0))),"")</f>
        <v/>
      </c>
      <c r="E24">
        <f>COUNTIFS(LubesData!$U:$U,$A24)</f>
        <v/>
      </c>
      <c r="F24">
        <f>COUNTIFS(LubesData!$U:$U,$A24,LubesData!$N:$N,"&lt;&gt;")</f>
        <v/>
      </c>
      <c r="G24">
        <f>COUNTIFS(LubesData!$U:$U,$A24,LubesData!$N:$N,0)</f>
        <v/>
      </c>
      <c r="H24">
        <f>IF($F24=0,"",$F24-$G24)</f>
        <v/>
      </c>
      <c r="I24">
        <f>IF($F24=0,"",SUMIFS(LubesData!$N:$N,LubesData!$U:$U,$A24))</f>
        <v/>
      </c>
      <c r="J24">
        <f>COUNTIFS(LubesData!$U:$U,$A24,LubesData!$Q:$Q,"&lt;&gt;")</f>
        <v/>
      </c>
      <c r="K24">
        <f>IF($J24=0,"",SUMIFS(LubesData!$Q:$Q,LubesData!$U:$U,$A24))</f>
        <v/>
      </c>
      <c r="L24">
        <f>COUNTIFS(LubesData!$U:$U,$A24,LubesData!$M:$M,"&lt;&gt;")</f>
        <v/>
      </c>
      <c r="M24">
        <f>IF($E24=0,"",IF($L24=0,"not loaded","loaded"))</f>
        <v/>
      </c>
      <c r="N24">
        <f>COUNTIFS(LubesData!$U:$U,$A24,LubesData!$I:$I,"&lt;&gt;")</f>
        <v/>
      </c>
      <c r="O24">
        <f>IF($E24=0,"",IF($L24=0,"No POS sales have been loaded for this date, so variance cannot be worked out. Import the sales report for this day and it fills in.",IF($N24=0,"This is the first count of these products, so there is no opening figure to sell down from. Variance starts from the next count.",IF($F24-$G24=0,"Physical and POS agree on every product.",($F24-$G24)&amp;" of "&amp;$F24&amp;" products disagree with the POS. Largest first below."))))</f>
        <v/>
      </c>
      <c r="R24" t="n">
        <v>22</v>
      </c>
      <c r="S24">
        <f>IFERROR(INDEX(LubesData!$G:$G,MATCH($R24,LubesData!$V:$V,0)),"")</f>
        <v/>
      </c>
      <c r="T24">
        <f>IF(COUNTIFS(LubesData!$V:$V,$R24,LubesData!$U:$U,1,LubesData!$N:$N,"&lt;&gt;")=0,"",SUMIFS(LubesData!$N:$N,LubesData!$V:$V,$R24,LubesData!$U:$U,1))</f>
        <v/>
      </c>
      <c r="U24">
        <f>IF(COUNTIFS(LubesData!$V:$V,$R24,LubesData!$U:$U,2,LubesData!$N:$N,"&lt;&gt;")=0,"",SUMIFS(LubesData!$N:$N,LubesData!$V:$V,$R24,LubesData!$U:$U,2))</f>
        <v/>
      </c>
      <c r="V24">
        <f>IF(COUNTIFS(LubesData!$V:$V,$R24,LubesData!$U:$U,3,LubesData!$N:$N,"&lt;&gt;")=0,"",SUMIFS(LubesData!$N:$N,LubesData!$V:$V,$R24,LubesData!$U:$U,3))</f>
        <v/>
      </c>
      <c r="W24">
        <f>IF(COUNTIFS(LubesData!$V:$V,$R24,LubesData!$U:$U,4,LubesData!$N:$N,"&lt;&gt;")=0,"",SUMIFS(LubesData!$N:$N,LubesData!$V:$V,$R24,LubesData!$U:$U,4))</f>
        <v/>
      </c>
      <c r="X24">
        <f>IF(COUNTIFS(LubesData!$V:$V,$R24,LubesData!$U:$U,5,LubesData!$N:$N,"&lt;&gt;")=0,"",SUMIFS(LubesData!$N:$N,LubesData!$V:$V,$R24,LubesData!$U:$U,5))</f>
        <v/>
      </c>
      <c r="Y24">
        <f>IF(COUNTIFS(LubesData!$V:$V,$R24,LubesData!$U:$U,6,LubesData!$N:$N,"&lt;&gt;")=0,"",SUMIFS(LubesData!$N:$N,LubesData!$V:$V,$R24,LubesData!$U:$U,6))</f>
        <v/>
      </c>
      <c r="Z24">
        <f>IF(COUNTIFS(LubesData!$V:$V,$R24,LubesData!$U:$U,7,LubesData!$N:$N,"&lt;&gt;")=0,"",SUMIFS(LubesData!$N:$N,LubesData!$V:$V,$R24,LubesData!$U:$U,7))</f>
        <v/>
      </c>
      <c r="AA24">
        <f>IF(COUNTIFS(LubesData!$V:$V,$R24,LubesData!$U:$U,8,LubesData!$N:$N,"&lt;&gt;")=0,"",SUMIFS(LubesData!$N:$N,LubesData!$V:$V,$R24,LubesData!$U:$U,8))</f>
        <v/>
      </c>
      <c r="AB24">
        <f>IF(COUNTIFS(LubesData!$V:$V,$R24,LubesData!$U:$U,9,LubesData!$N:$N,"&lt;&gt;")=0,"",SUMIFS(LubesData!$N:$N,LubesData!$V:$V,$R24,LubesData!$U:$U,9))</f>
        <v/>
      </c>
      <c r="AC24">
        <f>IF(COUNTIFS(LubesData!$V:$V,$R24,LubesData!$U:$U,10,LubesData!$N:$N,"&lt;&gt;")=0,"",SUMIFS(LubesData!$N:$N,LubesData!$V:$V,$R24,LubesData!$U:$U,10))</f>
        <v/>
      </c>
      <c r="AD24">
        <f>IF(COUNTIFS(LubesData!$V:$V,$R24,LubesData!$U:$U,11,LubesData!$N:$N,"&lt;&gt;")=0,"",SUMIFS(LubesData!$N:$N,LubesData!$V:$V,$R24,LubesData!$U:$U,11))</f>
        <v/>
      </c>
      <c r="AE24">
        <f>IF(COUNTIFS(LubesData!$V:$V,$R24,LubesData!$U:$U,12,LubesData!$N:$N,"&lt;&gt;")=0,"",SUMIFS(LubesData!$N:$N,LubesData!$V:$V,$R24,LubesData!$U:$U,12))</f>
        <v/>
      </c>
      <c r="AF24">
        <f>IF(COUNTIFS(LubesData!$V:$V,$R24,LubesData!$U:$U,13,LubesData!$N:$N,"&lt;&gt;")=0,"",SUMIFS(LubesData!$N:$N,LubesData!$V:$V,$R24,LubesData!$U:$U,13))</f>
        <v/>
      </c>
      <c r="AG24">
        <f>IF(COUNTIFS(LubesData!$V:$V,$R24,LubesData!$U:$U,14,LubesData!$N:$N,"&lt;&gt;")=0,"",SUMIFS(LubesData!$N:$N,LubesData!$V:$V,$R24,LubesData!$U:$U,14))</f>
        <v/>
      </c>
      <c r="AH24">
        <f>COUNTIFS(LubesData!$V:$V,$R24,LubesData!$U:$U,"&lt;="&amp;14,LubesData!$N:$N,"&lt;&gt;")</f>
        <v/>
      </c>
      <c r="AI24">
        <f>COUNTIFS(LubesData!$V:$V,$R24,LubesData!$U:$U,"&lt;="&amp;14,LubesData!$N:$N,0)</f>
        <v/>
      </c>
      <c r="AJ24">
        <f>IF(AH24=0,"",AH24-AI24)</f>
        <v/>
      </c>
      <c r="AK24">
        <f>IF(AH24=0,"",SUMIFS(LubesData!$N:$N,LubesData!$V:$V,$R24,LubesData!$U:$U,"&lt;="&amp;14))</f>
        <v/>
      </c>
      <c r="AL24">
        <f>IF(AH24=0,"",IF(ABS(MAX(T24:AG24))&gt;=ABS(MIN(T24:AG24)),MAX(T24:AG24),MIN(T24:AG24)))</f>
        <v/>
      </c>
      <c r="AM24">
        <f>IF(AH24=0,-1,AJ24*100000+MIN(ABS(AK24),99999))</f>
        <v/>
      </c>
      <c r="AN24">
        <f>IF($S24="","",1+COUNTIFS($AM$3:$AM$122,"&gt;"&amp;AM24)+COUNTIFS($AM$3:$AM$122,AM24,$R$3:$R$122,"&lt;"&amp;$R24))</f>
        <v/>
      </c>
    </row>
    <row r="25">
      <c r="A25" t="n">
        <v>23</v>
      </c>
      <c r="B25" s="31">
        <f>IFERROR(IF(INDEX(LubesData!$B:$B,MATCH($A25,LubesData!$U:$U,0))="","",INDEX(LubesData!$B:$B,MATCH($A25,LubesData!$U:$U,0))),"")</f>
        <v/>
      </c>
      <c r="C25">
        <f>IFERROR(IF(INDEX(LubesData!$D:$D,MATCH($A25,LubesData!$U:$U,0))="","",INDEX(LubesData!$D:$D,MATCH($A25,LubesData!$U:$U,0))),"")</f>
        <v/>
      </c>
      <c r="D25" s="31">
        <f>IFERROR(IF(INDEX(LubesData!$O:$O,MATCH($A25,LubesData!$U:$U,0))="","",INDEX(LubesData!$O:$O,MATCH($A25,LubesData!$U:$U,0))),"")</f>
        <v/>
      </c>
      <c r="E25">
        <f>COUNTIFS(LubesData!$U:$U,$A25)</f>
        <v/>
      </c>
      <c r="F25">
        <f>COUNTIFS(LubesData!$U:$U,$A25,LubesData!$N:$N,"&lt;&gt;")</f>
        <v/>
      </c>
      <c r="G25">
        <f>COUNTIFS(LubesData!$U:$U,$A25,LubesData!$N:$N,0)</f>
        <v/>
      </c>
      <c r="H25">
        <f>IF($F25=0,"",$F25-$G25)</f>
        <v/>
      </c>
      <c r="I25">
        <f>IF($F25=0,"",SUMIFS(LubesData!$N:$N,LubesData!$U:$U,$A25))</f>
        <v/>
      </c>
      <c r="J25">
        <f>COUNTIFS(LubesData!$U:$U,$A25,LubesData!$Q:$Q,"&lt;&gt;")</f>
        <v/>
      </c>
      <c r="K25">
        <f>IF($J25=0,"",SUMIFS(LubesData!$Q:$Q,LubesData!$U:$U,$A25))</f>
        <v/>
      </c>
      <c r="L25">
        <f>COUNTIFS(LubesData!$U:$U,$A25,LubesData!$M:$M,"&lt;&gt;")</f>
        <v/>
      </c>
      <c r="M25">
        <f>IF($E25=0,"",IF($L25=0,"not loaded","loaded"))</f>
        <v/>
      </c>
      <c r="N25">
        <f>COUNTIFS(LubesData!$U:$U,$A25,LubesData!$I:$I,"&lt;&gt;")</f>
        <v/>
      </c>
      <c r="O25">
        <f>IF($E25=0,"",IF($L25=0,"No POS sales have been loaded for this date, so variance cannot be worked out. Import the sales report for this day and it fills in.",IF($N25=0,"This is the first count of these products, so there is no opening figure to sell down from. Variance starts from the next count.",IF($F25-$G25=0,"Physical and POS agree on every product.",($F25-$G25)&amp;" of "&amp;$F25&amp;" products disagree with the POS. Largest first below."))))</f>
        <v/>
      </c>
      <c r="R25" t="n">
        <v>23</v>
      </c>
      <c r="S25">
        <f>IFERROR(INDEX(LubesData!$G:$G,MATCH($R25,LubesData!$V:$V,0)),"")</f>
        <v/>
      </c>
      <c r="T25">
        <f>IF(COUNTIFS(LubesData!$V:$V,$R25,LubesData!$U:$U,1,LubesData!$N:$N,"&lt;&gt;")=0,"",SUMIFS(LubesData!$N:$N,LubesData!$V:$V,$R25,LubesData!$U:$U,1))</f>
        <v/>
      </c>
      <c r="U25">
        <f>IF(COUNTIFS(LubesData!$V:$V,$R25,LubesData!$U:$U,2,LubesData!$N:$N,"&lt;&gt;")=0,"",SUMIFS(LubesData!$N:$N,LubesData!$V:$V,$R25,LubesData!$U:$U,2))</f>
        <v/>
      </c>
      <c r="V25">
        <f>IF(COUNTIFS(LubesData!$V:$V,$R25,LubesData!$U:$U,3,LubesData!$N:$N,"&lt;&gt;")=0,"",SUMIFS(LubesData!$N:$N,LubesData!$V:$V,$R25,LubesData!$U:$U,3))</f>
        <v/>
      </c>
      <c r="W25">
        <f>IF(COUNTIFS(LubesData!$V:$V,$R25,LubesData!$U:$U,4,LubesData!$N:$N,"&lt;&gt;")=0,"",SUMIFS(LubesData!$N:$N,LubesData!$V:$V,$R25,LubesData!$U:$U,4))</f>
        <v/>
      </c>
      <c r="X25">
        <f>IF(COUNTIFS(LubesData!$V:$V,$R25,LubesData!$U:$U,5,LubesData!$N:$N,"&lt;&gt;")=0,"",SUMIFS(LubesData!$N:$N,LubesData!$V:$V,$R25,LubesData!$U:$U,5))</f>
        <v/>
      </c>
      <c r="Y25">
        <f>IF(COUNTIFS(LubesData!$V:$V,$R25,LubesData!$U:$U,6,LubesData!$N:$N,"&lt;&gt;")=0,"",SUMIFS(LubesData!$N:$N,LubesData!$V:$V,$R25,LubesData!$U:$U,6))</f>
        <v/>
      </c>
      <c r="Z25">
        <f>IF(COUNTIFS(LubesData!$V:$V,$R25,LubesData!$U:$U,7,LubesData!$N:$N,"&lt;&gt;")=0,"",SUMIFS(LubesData!$N:$N,LubesData!$V:$V,$R25,LubesData!$U:$U,7))</f>
        <v/>
      </c>
      <c r="AA25">
        <f>IF(COUNTIFS(LubesData!$V:$V,$R25,LubesData!$U:$U,8,LubesData!$N:$N,"&lt;&gt;")=0,"",SUMIFS(LubesData!$N:$N,LubesData!$V:$V,$R25,LubesData!$U:$U,8))</f>
        <v/>
      </c>
      <c r="AB25">
        <f>IF(COUNTIFS(LubesData!$V:$V,$R25,LubesData!$U:$U,9,LubesData!$N:$N,"&lt;&gt;")=0,"",SUMIFS(LubesData!$N:$N,LubesData!$V:$V,$R25,LubesData!$U:$U,9))</f>
        <v/>
      </c>
      <c r="AC25">
        <f>IF(COUNTIFS(LubesData!$V:$V,$R25,LubesData!$U:$U,10,LubesData!$N:$N,"&lt;&gt;")=0,"",SUMIFS(LubesData!$N:$N,LubesData!$V:$V,$R25,LubesData!$U:$U,10))</f>
        <v/>
      </c>
      <c r="AD25">
        <f>IF(COUNTIFS(LubesData!$V:$V,$R25,LubesData!$U:$U,11,LubesData!$N:$N,"&lt;&gt;")=0,"",SUMIFS(LubesData!$N:$N,LubesData!$V:$V,$R25,LubesData!$U:$U,11))</f>
        <v/>
      </c>
      <c r="AE25">
        <f>IF(COUNTIFS(LubesData!$V:$V,$R25,LubesData!$U:$U,12,LubesData!$N:$N,"&lt;&gt;")=0,"",SUMIFS(LubesData!$N:$N,LubesData!$V:$V,$R25,LubesData!$U:$U,12))</f>
        <v/>
      </c>
      <c r="AF25">
        <f>IF(COUNTIFS(LubesData!$V:$V,$R25,LubesData!$U:$U,13,LubesData!$N:$N,"&lt;&gt;")=0,"",SUMIFS(LubesData!$N:$N,LubesData!$V:$V,$R25,LubesData!$U:$U,13))</f>
        <v/>
      </c>
      <c r="AG25">
        <f>IF(COUNTIFS(LubesData!$V:$V,$R25,LubesData!$U:$U,14,LubesData!$N:$N,"&lt;&gt;")=0,"",SUMIFS(LubesData!$N:$N,LubesData!$V:$V,$R25,LubesData!$U:$U,14))</f>
        <v/>
      </c>
      <c r="AH25">
        <f>COUNTIFS(LubesData!$V:$V,$R25,LubesData!$U:$U,"&lt;="&amp;14,LubesData!$N:$N,"&lt;&gt;")</f>
        <v/>
      </c>
      <c r="AI25">
        <f>COUNTIFS(LubesData!$V:$V,$R25,LubesData!$U:$U,"&lt;="&amp;14,LubesData!$N:$N,0)</f>
        <v/>
      </c>
      <c r="AJ25">
        <f>IF(AH25=0,"",AH25-AI25)</f>
        <v/>
      </c>
      <c r="AK25">
        <f>IF(AH25=0,"",SUMIFS(LubesData!$N:$N,LubesData!$V:$V,$R25,LubesData!$U:$U,"&lt;="&amp;14))</f>
        <v/>
      </c>
      <c r="AL25">
        <f>IF(AH25=0,"",IF(ABS(MAX(T25:AG25))&gt;=ABS(MIN(T25:AG25)),MAX(T25:AG25),MIN(T25:AG25)))</f>
        <v/>
      </c>
      <c r="AM25">
        <f>IF(AH25=0,-1,AJ25*100000+MIN(ABS(AK25),99999))</f>
        <v/>
      </c>
      <c r="AN25">
        <f>IF($S25="","",1+COUNTIFS($AM$3:$AM$122,"&gt;"&amp;AM25)+COUNTIFS($AM$3:$AM$122,AM25,$R$3:$R$122,"&lt;"&amp;$R25))</f>
        <v/>
      </c>
    </row>
    <row r="26">
      <c r="A26" t="n">
        <v>24</v>
      </c>
      <c r="B26" s="31">
        <f>IFERROR(IF(INDEX(LubesData!$B:$B,MATCH($A26,LubesData!$U:$U,0))="","",INDEX(LubesData!$B:$B,MATCH($A26,LubesData!$U:$U,0))),"")</f>
        <v/>
      </c>
      <c r="C26">
        <f>IFERROR(IF(INDEX(LubesData!$D:$D,MATCH($A26,LubesData!$U:$U,0))="","",INDEX(LubesData!$D:$D,MATCH($A26,LubesData!$U:$U,0))),"")</f>
        <v/>
      </c>
      <c r="D26" s="31">
        <f>IFERROR(IF(INDEX(LubesData!$O:$O,MATCH($A26,LubesData!$U:$U,0))="","",INDEX(LubesData!$O:$O,MATCH($A26,LubesData!$U:$U,0))),"")</f>
        <v/>
      </c>
      <c r="E26">
        <f>COUNTIFS(LubesData!$U:$U,$A26)</f>
        <v/>
      </c>
      <c r="F26">
        <f>COUNTIFS(LubesData!$U:$U,$A26,LubesData!$N:$N,"&lt;&gt;")</f>
        <v/>
      </c>
      <c r="G26">
        <f>COUNTIFS(LubesData!$U:$U,$A26,LubesData!$N:$N,0)</f>
        <v/>
      </c>
      <c r="H26">
        <f>IF($F26=0,"",$F26-$G26)</f>
        <v/>
      </c>
      <c r="I26">
        <f>IF($F26=0,"",SUMIFS(LubesData!$N:$N,LubesData!$U:$U,$A26))</f>
        <v/>
      </c>
      <c r="J26">
        <f>COUNTIFS(LubesData!$U:$U,$A26,LubesData!$Q:$Q,"&lt;&gt;")</f>
        <v/>
      </c>
      <c r="K26">
        <f>IF($J26=0,"",SUMIFS(LubesData!$Q:$Q,LubesData!$U:$U,$A26))</f>
        <v/>
      </c>
      <c r="L26">
        <f>COUNTIFS(LubesData!$U:$U,$A26,LubesData!$M:$M,"&lt;&gt;")</f>
        <v/>
      </c>
      <c r="M26">
        <f>IF($E26=0,"",IF($L26=0,"not loaded","loaded"))</f>
        <v/>
      </c>
      <c r="N26">
        <f>COUNTIFS(LubesData!$U:$U,$A26,LubesData!$I:$I,"&lt;&gt;")</f>
        <v/>
      </c>
      <c r="O26">
        <f>IF($E26=0,"",IF($L26=0,"No POS sales have been loaded for this date, so variance cannot be worked out. Import the sales report for this day and it fills in.",IF($N26=0,"This is the first count of these products, so there is no opening figure to sell down from. Variance starts from the next count.",IF($F26-$G26=0,"Physical and POS agree on every product.",($F26-$G26)&amp;" of "&amp;$F26&amp;" products disagree with the POS. Largest first below."))))</f>
        <v/>
      </c>
      <c r="R26" t="n">
        <v>24</v>
      </c>
      <c r="S26">
        <f>IFERROR(INDEX(LubesData!$G:$G,MATCH($R26,LubesData!$V:$V,0)),"")</f>
        <v/>
      </c>
      <c r="T26">
        <f>IF(COUNTIFS(LubesData!$V:$V,$R26,LubesData!$U:$U,1,LubesData!$N:$N,"&lt;&gt;")=0,"",SUMIFS(LubesData!$N:$N,LubesData!$V:$V,$R26,LubesData!$U:$U,1))</f>
        <v/>
      </c>
      <c r="U26">
        <f>IF(COUNTIFS(LubesData!$V:$V,$R26,LubesData!$U:$U,2,LubesData!$N:$N,"&lt;&gt;")=0,"",SUMIFS(LubesData!$N:$N,LubesData!$V:$V,$R26,LubesData!$U:$U,2))</f>
        <v/>
      </c>
      <c r="V26">
        <f>IF(COUNTIFS(LubesData!$V:$V,$R26,LubesData!$U:$U,3,LubesData!$N:$N,"&lt;&gt;")=0,"",SUMIFS(LubesData!$N:$N,LubesData!$V:$V,$R26,LubesData!$U:$U,3))</f>
        <v/>
      </c>
      <c r="W26">
        <f>IF(COUNTIFS(LubesData!$V:$V,$R26,LubesData!$U:$U,4,LubesData!$N:$N,"&lt;&gt;")=0,"",SUMIFS(LubesData!$N:$N,LubesData!$V:$V,$R26,LubesData!$U:$U,4))</f>
        <v/>
      </c>
      <c r="X26">
        <f>IF(COUNTIFS(LubesData!$V:$V,$R26,LubesData!$U:$U,5,LubesData!$N:$N,"&lt;&gt;")=0,"",SUMIFS(LubesData!$N:$N,LubesData!$V:$V,$R26,LubesData!$U:$U,5))</f>
        <v/>
      </c>
      <c r="Y26">
        <f>IF(COUNTIFS(LubesData!$V:$V,$R26,LubesData!$U:$U,6,LubesData!$N:$N,"&lt;&gt;")=0,"",SUMIFS(LubesData!$N:$N,LubesData!$V:$V,$R26,LubesData!$U:$U,6))</f>
        <v/>
      </c>
      <c r="Z26">
        <f>IF(COUNTIFS(LubesData!$V:$V,$R26,LubesData!$U:$U,7,LubesData!$N:$N,"&lt;&gt;")=0,"",SUMIFS(LubesData!$N:$N,LubesData!$V:$V,$R26,LubesData!$U:$U,7))</f>
        <v/>
      </c>
      <c r="AA26">
        <f>IF(COUNTIFS(LubesData!$V:$V,$R26,LubesData!$U:$U,8,LubesData!$N:$N,"&lt;&gt;")=0,"",SUMIFS(LubesData!$N:$N,LubesData!$V:$V,$R26,LubesData!$U:$U,8))</f>
        <v/>
      </c>
      <c r="AB26">
        <f>IF(COUNTIFS(LubesData!$V:$V,$R26,LubesData!$U:$U,9,LubesData!$N:$N,"&lt;&gt;")=0,"",SUMIFS(LubesData!$N:$N,LubesData!$V:$V,$R26,LubesData!$U:$U,9))</f>
        <v/>
      </c>
      <c r="AC26">
        <f>IF(COUNTIFS(LubesData!$V:$V,$R26,LubesData!$U:$U,10,LubesData!$N:$N,"&lt;&gt;")=0,"",SUMIFS(LubesData!$N:$N,LubesData!$V:$V,$R26,LubesData!$U:$U,10))</f>
        <v/>
      </c>
      <c r="AD26">
        <f>IF(COUNTIFS(LubesData!$V:$V,$R26,LubesData!$U:$U,11,LubesData!$N:$N,"&lt;&gt;")=0,"",SUMIFS(LubesData!$N:$N,LubesData!$V:$V,$R26,LubesData!$U:$U,11))</f>
        <v/>
      </c>
      <c r="AE26">
        <f>IF(COUNTIFS(LubesData!$V:$V,$R26,LubesData!$U:$U,12,LubesData!$N:$N,"&lt;&gt;")=0,"",SUMIFS(LubesData!$N:$N,LubesData!$V:$V,$R26,LubesData!$U:$U,12))</f>
        <v/>
      </c>
      <c r="AF26">
        <f>IF(COUNTIFS(LubesData!$V:$V,$R26,LubesData!$U:$U,13,LubesData!$N:$N,"&lt;&gt;")=0,"",SUMIFS(LubesData!$N:$N,LubesData!$V:$V,$R26,LubesData!$U:$U,13))</f>
        <v/>
      </c>
      <c r="AG26">
        <f>IF(COUNTIFS(LubesData!$V:$V,$R26,LubesData!$U:$U,14,LubesData!$N:$N,"&lt;&gt;")=0,"",SUMIFS(LubesData!$N:$N,LubesData!$V:$V,$R26,LubesData!$U:$U,14))</f>
        <v/>
      </c>
      <c r="AH26">
        <f>COUNTIFS(LubesData!$V:$V,$R26,LubesData!$U:$U,"&lt;="&amp;14,LubesData!$N:$N,"&lt;&gt;")</f>
        <v/>
      </c>
      <c r="AI26">
        <f>COUNTIFS(LubesData!$V:$V,$R26,LubesData!$U:$U,"&lt;="&amp;14,LubesData!$N:$N,0)</f>
        <v/>
      </c>
      <c r="AJ26">
        <f>IF(AH26=0,"",AH26-AI26)</f>
        <v/>
      </c>
      <c r="AK26">
        <f>IF(AH26=0,"",SUMIFS(LubesData!$N:$N,LubesData!$V:$V,$R26,LubesData!$U:$U,"&lt;="&amp;14))</f>
        <v/>
      </c>
      <c r="AL26">
        <f>IF(AH26=0,"",IF(ABS(MAX(T26:AG26))&gt;=ABS(MIN(T26:AG26)),MAX(T26:AG26),MIN(T26:AG26)))</f>
        <v/>
      </c>
      <c r="AM26">
        <f>IF(AH26=0,-1,AJ26*100000+MIN(ABS(AK26),99999))</f>
        <v/>
      </c>
      <c r="AN26">
        <f>IF($S26="","",1+COUNTIFS($AM$3:$AM$122,"&gt;"&amp;AM26)+COUNTIFS($AM$3:$AM$122,AM26,$R$3:$R$122,"&lt;"&amp;$R26))</f>
        <v/>
      </c>
    </row>
    <row r="27">
      <c r="A27" t="n">
        <v>25</v>
      </c>
      <c r="B27" s="31">
        <f>IFERROR(IF(INDEX(LubesData!$B:$B,MATCH($A27,LubesData!$U:$U,0))="","",INDEX(LubesData!$B:$B,MATCH($A27,LubesData!$U:$U,0))),"")</f>
        <v/>
      </c>
      <c r="C27">
        <f>IFERROR(IF(INDEX(LubesData!$D:$D,MATCH($A27,LubesData!$U:$U,0))="","",INDEX(LubesData!$D:$D,MATCH($A27,LubesData!$U:$U,0))),"")</f>
        <v/>
      </c>
      <c r="D27" s="31">
        <f>IFERROR(IF(INDEX(LubesData!$O:$O,MATCH($A27,LubesData!$U:$U,0))="","",INDEX(LubesData!$O:$O,MATCH($A27,LubesData!$U:$U,0))),"")</f>
        <v/>
      </c>
      <c r="E27">
        <f>COUNTIFS(LubesData!$U:$U,$A27)</f>
        <v/>
      </c>
      <c r="F27">
        <f>COUNTIFS(LubesData!$U:$U,$A27,LubesData!$N:$N,"&lt;&gt;")</f>
        <v/>
      </c>
      <c r="G27">
        <f>COUNTIFS(LubesData!$U:$U,$A27,LubesData!$N:$N,0)</f>
        <v/>
      </c>
      <c r="H27">
        <f>IF($F27=0,"",$F27-$G27)</f>
        <v/>
      </c>
      <c r="I27">
        <f>IF($F27=0,"",SUMIFS(LubesData!$N:$N,LubesData!$U:$U,$A27))</f>
        <v/>
      </c>
      <c r="J27">
        <f>COUNTIFS(LubesData!$U:$U,$A27,LubesData!$Q:$Q,"&lt;&gt;")</f>
        <v/>
      </c>
      <c r="K27">
        <f>IF($J27=0,"",SUMIFS(LubesData!$Q:$Q,LubesData!$U:$U,$A27))</f>
        <v/>
      </c>
      <c r="L27">
        <f>COUNTIFS(LubesData!$U:$U,$A27,LubesData!$M:$M,"&lt;&gt;")</f>
        <v/>
      </c>
      <c r="M27">
        <f>IF($E27=0,"",IF($L27=0,"not loaded","loaded"))</f>
        <v/>
      </c>
      <c r="N27">
        <f>COUNTIFS(LubesData!$U:$U,$A27,LubesData!$I:$I,"&lt;&gt;")</f>
        <v/>
      </c>
      <c r="O27">
        <f>IF($E27=0,"",IF($L27=0,"No POS sales have been loaded for this date, so variance cannot be worked out. Import the sales report for this day and it fills in.",IF($N27=0,"This is the first count of these products, so there is no opening figure to sell down from. Variance starts from the next count.",IF($F27-$G27=0,"Physical and POS agree on every product.",($F27-$G27)&amp;" of "&amp;$F27&amp;" products disagree with the POS. Largest first below."))))</f>
        <v/>
      </c>
      <c r="R27" t="n">
        <v>25</v>
      </c>
      <c r="S27">
        <f>IFERROR(INDEX(LubesData!$G:$G,MATCH($R27,LubesData!$V:$V,0)),"")</f>
        <v/>
      </c>
      <c r="T27">
        <f>IF(COUNTIFS(LubesData!$V:$V,$R27,LubesData!$U:$U,1,LubesData!$N:$N,"&lt;&gt;")=0,"",SUMIFS(LubesData!$N:$N,LubesData!$V:$V,$R27,LubesData!$U:$U,1))</f>
        <v/>
      </c>
      <c r="U27">
        <f>IF(COUNTIFS(LubesData!$V:$V,$R27,LubesData!$U:$U,2,LubesData!$N:$N,"&lt;&gt;")=0,"",SUMIFS(LubesData!$N:$N,LubesData!$V:$V,$R27,LubesData!$U:$U,2))</f>
        <v/>
      </c>
      <c r="V27">
        <f>IF(COUNTIFS(LubesData!$V:$V,$R27,LubesData!$U:$U,3,LubesData!$N:$N,"&lt;&gt;")=0,"",SUMIFS(LubesData!$N:$N,LubesData!$V:$V,$R27,LubesData!$U:$U,3))</f>
        <v/>
      </c>
      <c r="W27">
        <f>IF(COUNTIFS(LubesData!$V:$V,$R27,LubesData!$U:$U,4,LubesData!$N:$N,"&lt;&gt;")=0,"",SUMIFS(LubesData!$N:$N,LubesData!$V:$V,$R27,LubesData!$U:$U,4))</f>
        <v/>
      </c>
      <c r="X27">
        <f>IF(COUNTIFS(LubesData!$V:$V,$R27,LubesData!$U:$U,5,LubesData!$N:$N,"&lt;&gt;")=0,"",SUMIFS(LubesData!$N:$N,LubesData!$V:$V,$R27,LubesData!$U:$U,5))</f>
        <v/>
      </c>
      <c r="Y27">
        <f>IF(COUNTIFS(LubesData!$V:$V,$R27,LubesData!$U:$U,6,LubesData!$N:$N,"&lt;&gt;")=0,"",SUMIFS(LubesData!$N:$N,LubesData!$V:$V,$R27,LubesData!$U:$U,6))</f>
        <v/>
      </c>
      <c r="Z27">
        <f>IF(COUNTIFS(LubesData!$V:$V,$R27,LubesData!$U:$U,7,LubesData!$N:$N,"&lt;&gt;")=0,"",SUMIFS(LubesData!$N:$N,LubesData!$V:$V,$R27,LubesData!$U:$U,7))</f>
        <v/>
      </c>
      <c r="AA27">
        <f>IF(COUNTIFS(LubesData!$V:$V,$R27,LubesData!$U:$U,8,LubesData!$N:$N,"&lt;&gt;")=0,"",SUMIFS(LubesData!$N:$N,LubesData!$V:$V,$R27,LubesData!$U:$U,8))</f>
        <v/>
      </c>
      <c r="AB27">
        <f>IF(COUNTIFS(LubesData!$V:$V,$R27,LubesData!$U:$U,9,LubesData!$N:$N,"&lt;&gt;")=0,"",SUMIFS(LubesData!$N:$N,LubesData!$V:$V,$R27,LubesData!$U:$U,9))</f>
        <v/>
      </c>
      <c r="AC27">
        <f>IF(COUNTIFS(LubesData!$V:$V,$R27,LubesData!$U:$U,10,LubesData!$N:$N,"&lt;&gt;")=0,"",SUMIFS(LubesData!$N:$N,LubesData!$V:$V,$R27,LubesData!$U:$U,10))</f>
        <v/>
      </c>
      <c r="AD27">
        <f>IF(COUNTIFS(LubesData!$V:$V,$R27,LubesData!$U:$U,11,LubesData!$N:$N,"&lt;&gt;")=0,"",SUMIFS(LubesData!$N:$N,LubesData!$V:$V,$R27,LubesData!$U:$U,11))</f>
        <v/>
      </c>
      <c r="AE27">
        <f>IF(COUNTIFS(LubesData!$V:$V,$R27,LubesData!$U:$U,12,LubesData!$N:$N,"&lt;&gt;")=0,"",SUMIFS(LubesData!$N:$N,LubesData!$V:$V,$R27,LubesData!$U:$U,12))</f>
        <v/>
      </c>
      <c r="AF27">
        <f>IF(COUNTIFS(LubesData!$V:$V,$R27,LubesData!$U:$U,13,LubesData!$N:$N,"&lt;&gt;")=0,"",SUMIFS(LubesData!$N:$N,LubesData!$V:$V,$R27,LubesData!$U:$U,13))</f>
        <v/>
      </c>
      <c r="AG27">
        <f>IF(COUNTIFS(LubesData!$V:$V,$R27,LubesData!$U:$U,14,LubesData!$N:$N,"&lt;&gt;")=0,"",SUMIFS(LubesData!$N:$N,LubesData!$V:$V,$R27,LubesData!$U:$U,14))</f>
        <v/>
      </c>
      <c r="AH27">
        <f>COUNTIFS(LubesData!$V:$V,$R27,LubesData!$U:$U,"&lt;="&amp;14,LubesData!$N:$N,"&lt;&gt;")</f>
        <v/>
      </c>
      <c r="AI27">
        <f>COUNTIFS(LubesData!$V:$V,$R27,LubesData!$U:$U,"&lt;="&amp;14,LubesData!$N:$N,0)</f>
        <v/>
      </c>
      <c r="AJ27">
        <f>IF(AH27=0,"",AH27-AI27)</f>
        <v/>
      </c>
      <c r="AK27">
        <f>IF(AH27=0,"",SUMIFS(LubesData!$N:$N,LubesData!$V:$V,$R27,LubesData!$U:$U,"&lt;="&amp;14))</f>
        <v/>
      </c>
      <c r="AL27">
        <f>IF(AH27=0,"",IF(ABS(MAX(T27:AG27))&gt;=ABS(MIN(T27:AG27)),MAX(T27:AG27),MIN(T27:AG27)))</f>
        <v/>
      </c>
      <c r="AM27">
        <f>IF(AH27=0,-1,AJ27*100000+MIN(ABS(AK27),99999))</f>
        <v/>
      </c>
      <c r="AN27">
        <f>IF($S27="","",1+COUNTIFS($AM$3:$AM$122,"&gt;"&amp;AM27)+COUNTIFS($AM$3:$AM$122,AM27,$R$3:$R$122,"&lt;"&amp;$R27))</f>
        <v/>
      </c>
    </row>
    <row r="28">
      <c r="A28" t="n">
        <v>26</v>
      </c>
      <c r="B28" s="31">
        <f>IFERROR(IF(INDEX(LubesData!$B:$B,MATCH($A28,LubesData!$U:$U,0))="","",INDEX(LubesData!$B:$B,MATCH($A28,LubesData!$U:$U,0))),"")</f>
        <v/>
      </c>
      <c r="C28">
        <f>IFERROR(IF(INDEX(LubesData!$D:$D,MATCH($A28,LubesData!$U:$U,0))="","",INDEX(LubesData!$D:$D,MATCH($A28,LubesData!$U:$U,0))),"")</f>
        <v/>
      </c>
      <c r="D28" s="31">
        <f>IFERROR(IF(INDEX(LubesData!$O:$O,MATCH($A28,LubesData!$U:$U,0))="","",INDEX(LubesData!$O:$O,MATCH($A28,LubesData!$U:$U,0))),"")</f>
        <v/>
      </c>
      <c r="E28">
        <f>COUNTIFS(LubesData!$U:$U,$A28)</f>
        <v/>
      </c>
      <c r="F28">
        <f>COUNTIFS(LubesData!$U:$U,$A28,LubesData!$N:$N,"&lt;&gt;")</f>
        <v/>
      </c>
      <c r="G28">
        <f>COUNTIFS(LubesData!$U:$U,$A28,LubesData!$N:$N,0)</f>
        <v/>
      </c>
      <c r="H28">
        <f>IF($F28=0,"",$F28-$G28)</f>
        <v/>
      </c>
      <c r="I28">
        <f>IF($F28=0,"",SUMIFS(LubesData!$N:$N,LubesData!$U:$U,$A28))</f>
        <v/>
      </c>
      <c r="J28">
        <f>COUNTIFS(LubesData!$U:$U,$A28,LubesData!$Q:$Q,"&lt;&gt;")</f>
        <v/>
      </c>
      <c r="K28">
        <f>IF($J28=0,"",SUMIFS(LubesData!$Q:$Q,LubesData!$U:$U,$A28))</f>
        <v/>
      </c>
      <c r="L28">
        <f>COUNTIFS(LubesData!$U:$U,$A28,LubesData!$M:$M,"&lt;&gt;")</f>
        <v/>
      </c>
      <c r="M28">
        <f>IF($E28=0,"",IF($L28=0,"not loaded","loaded"))</f>
        <v/>
      </c>
      <c r="N28">
        <f>COUNTIFS(LubesData!$U:$U,$A28,LubesData!$I:$I,"&lt;&gt;")</f>
        <v/>
      </c>
      <c r="O28">
        <f>IF($E28=0,"",IF($L28=0,"No POS sales have been loaded for this date, so variance cannot be worked out. Import the sales report for this day and it fills in.",IF($N28=0,"This is the first count of these products, so there is no opening figure to sell down from. Variance starts from the next count.",IF($F28-$G28=0,"Physical and POS agree on every product.",($F28-$G28)&amp;" of "&amp;$F28&amp;" products disagree with the POS. Largest first below."))))</f>
        <v/>
      </c>
      <c r="R28" t="n">
        <v>26</v>
      </c>
      <c r="S28">
        <f>IFERROR(INDEX(LubesData!$G:$G,MATCH($R28,LubesData!$V:$V,0)),"")</f>
        <v/>
      </c>
      <c r="T28">
        <f>IF(COUNTIFS(LubesData!$V:$V,$R28,LubesData!$U:$U,1,LubesData!$N:$N,"&lt;&gt;")=0,"",SUMIFS(LubesData!$N:$N,LubesData!$V:$V,$R28,LubesData!$U:$U,1))</f>
        <v/>
      </c>
      <c r="U28">
        <f>IF(COUNTIFS(LubesData!$V:$V,$R28,LubesData!$U:$U,2,LubesData!$N:$N,"&lt;&gt;")=0,"",SUMIFS(LubesData!$N:$N,LubesData!$V:$V,$R28,LubesData!$U:$U,2))</f>
        <v/>
      </c>
      <c r="V28">
        <f>IF(COUNTIFS(LubesData!$V:$V,$R28,LubesData!$U:$U,3,LubesData!$N:$N,"&lt;&gt;")=0,"",SUMIFS(LubesData!$N:$N,LubesData!$V:$V,$R28,LubesData!$U:$U,3))</f>
        <v/>
      </c>
      <c r="W28">
        <f>IF(COUNTIFS(LubesData!$V:$V,$R28,LubesData!$U:$U,4,LubesData!$N:$N,"&lt;&gt;")=0,"",SUMIFS(LubesData!$N:$N,LubesData!$V:$V,$R28,LubesData!$U:$U,4))</f>
        <v/>
      </c>
      <c r="X28">
        <f>IF(COUNTIFS(LubesData!$V:$V,$R28,LubesData!$U:$U,5,LubesData!$N:$N,"&lt;&gt;")=0,"",SUMIFS(LubesData!$N:$N,LubesData!$V:$V,$R28,LubesData!$U:$U,5))</f>
        <v/>
      </c>
      <c r="Y28">
        <f>IF(COUNTIFS(LubesData!$V:$V,$R28,LubesData!$U:$U,6,LubesData!$N:$N,"&lt;&gt;")=0,"",SUMIFS(LubesData!$N:$N,LubesData!$V:$V,$R28,LubesData!$U:$U,6))</f>
        <v/>
      </c>
      <c r="Z28">
        <f>IF(COUNTIFS(LubesData!$V:$V,$R28,LubesData!$U:$U,7,LubesData!$N:$N,"&lt;&gt;")=0,"",SUMIFS(LubesData!$N:$N,LubesData!$V:$V,$R28,LubesData!$U:$U,7))</f>
        <v/>
      </c>
      <c r="AA28">
        <f>IF(COUNTIFS(LubesData!$V:$V,$R28,LubesData!$U:$U,8,LubesData!$N:$N,"&lt;&gt;")=0,"",SUMIFS(LubesData!$N:$N,LubesData!$V:$V,$R28,LubesData!$U:$U,8))</f>
        <v/>
      </c>
      <c r="AB28">
        <f>IF(COUNTIFS(LubesData!$V:$V,$R28,LubesData!$U:$U,9,LubesData!$N:$N,"&lt;&gt;")=0,"",SUMIFS(LubesData!$N:$N,LubesData!$V:$V,$R28,LubesData!$U:$U,9))</f>
        <v/>
      </c>
      <c r="AC28">
        <f>IF(COUNTIFS(LubesData!$V:$V,$R28,LubesData!$U:$U,10,LubesData!$N:$N,"&lt;&gt;")=0,"",SUMIFS(LubesData!$N:$N,LubesData!$V:$V,$R28,LubesData!$U:$U,10))</f>
        <v/>
      </c>
      <c r="AD28">
        <f>IF(COUNTIFS(LubesData!$V:$V,$R28,LubesData!$U:$U,11,LubesData!$N:$N,"&lt;&gt;")=0,"",SUMIFS(LubesData!$N:$N,LubesData!$V:$V,$R28,LubesData!$U:$U,11))</f>
        <v/>
      </c>
      <c r="AE28">
        <f>IF(COUNTIFS(LubesData!$V:$V,$R28,LubesData!$U:$U,12,LubesData!$N:$N,"&lt;&gt;")=0,"",SUMIFS(LubesData!$N:$N,LubesData!$V:$V,$R28,LubesData!$U:$U,12))</f>
        <v/>
      </c>
      <c r="AF28">
        <f>IF(COUNTIFS(LubesData!$V:$V,$R28,LubesData!$U:$U,13,LubesData!$N:$N,"&lt;&gt;")=0,"",SUMIFS(LubesData!$N:$N,LubesData!$V:$V,$R28,LubesData!$U:$U,13))</f>
        <v/>
      </c>
      <c r="AG28">
        <f>IF(COUNTIFS(LubesData!$V:$V,$R28,LubesData!$U:$U,14,LubesData!$N:$N,"&lt;&gt;")=0,"",SUMIFS(LubesData!$N:$N,LubesData!$V:$V,$R28,LubesData!$U:$U,14))</f>
        <v/>
      </c>
      <c r="AH28">
        <f>COUNTIFS(LubesData!$V:$V,$R28,LubesData!$U:$U,"&lt;="&amp;14,LubesData!$N:$N,"&lt;&gt;")</f>
        <v/>
      </c>
      <c r="AI28">
        <f>COUNTIFS(LubesData!$V:$V,$R28,LubesData!$U:$U,"&lt;="&amp;14,LubesData!$N:$N,0)</f>
        <v/>
      </c>
      <c r="AJ28">
        <f>IF(AH28=0,"",AH28-AI28)</f>
        <v/>
      </c>
      <c r="AK28">
        <f>IF(AH28=0,"",SUMIFS(LubesData!$N:$N,LubesData!$V:$V,$R28,LubesData!$U:$U,"&lt;="&amp;14))</f>
        <v/>
      </c>
      <c r="AL28">
        <f>IF(AH28=0,"",IF(ABS(MAX(T28:AG28))&gt;=ABS(MIN(T28:AG28)),MAX(T28:AG28),MIN(T28:AG28)))</f>
        <v/>
      </c>
      <c r="AM28">
        <f>IF(AH28=0,-1,AJ28*100000+MIN(ABS(AK28),99999))</f>
        <v/>
      </c>
      <c r="AN28">
        <f>IF($S28="","",1+COUNTIFS($AM$3:$AM$122,"&gt;"&amp;AM28)+COUNTIFS($AM$3:$AM$122,AM28,$R$3:$R$122,"&lt;"&amp;$R28))</f>
        <v/>
      </c>
    </row>
    <row r="29">
      <c r="A29" t="n">
        <v>27</v>
      </c>
      <c r="B29" s="31">
        <f>IFERROR(IF(INDEX(LubesData!$B:$B,MATCH($A29,LubesData!$U:$U,0))="","",INDEX(LubesData!$B:$B,MATCH($A29,LubesData!$U:$U,0))),"")</f>
        <v/>
      </c>
      <c r="C29">
        <f>IFERROR(IF(INDEX(LubesData!$D:$D,MATCH($A29,LubesData!$U:$U,0))="","",INDEX(LubesData!$D:$D,MATCH($A29,LubesData!$U:$U,0))),"")</f>
        <v/>
      </c>
      <c r="D29" s="31">
        <f>IFERROR(IF(INDEX(LubesData!$O:$O,MATCH($A29,LubesData!$U:$U,0))="","",INDEX(LubesData!$O:$O,MATCH($A29,LubesData!$U:$U,0))),"")</f>
        <v/>
      </c>
      <c r="E29">
        <f>COUNTIFS(LubesData!$U:$U,$A29)</f>
        <v/>
      </c>
      <c r="F29">
        <f>COUNTIFS(LubesData!$U:$U,$A29,LubesData!$N:$N,"&lt;&gt;")</f>
        <v/>
      </c>
      <c r="G29">
        <f>COUNTIFS(LubesData!$U:$U,$A29,LubesData!$N:$N,0)</f>
        <v/>
      </c>
      <c r="H29">
        <f>IF($F29=0,"",$F29-$G29)</f>
        <v/>
      </c>
      <c r="I29">
        <f>IF($F29=0,"",SUMIFS(LubesData!$N:$N,LubesData!$U:$U,$A29))</f>
        <v/>
      </c>
      <c r="J29">
        <f>COUNTIFS(LubesData!$U:$U,$A29,LubesData!$Q:$Q,"&lt;&gt;")</f>
        <v/>
      </c>
      <c r="K29">
        <f>IF($J29=0,"",SUMIFS(LubesData!$Q:$Q,LubesData!$U:$U,$A29))</f>
        <v/>
      </c>
      <c r="L29">
        <f>COUNTIFS(LubesData!$U:$U,$A29,LubesData!$M:$M,"&lt;&gt;")</f>
        <v/>
      </c>
      <c r="M29">
        <f>IF($E29=0,"",IF($L29=0,"not loaded","loaded"))</f>
        <v/>
      </c>
      <c r="N29">
        <f>COUNTIFS(LubesData!$U:$U,$A29,LubesData!$I:$I,"&lt;&gt;")</f>
        <v/>
      </c>
      <c r="O29">
        <f>IF($E29=0,"",IF($L29=0,"No POS sales have been loaded for this date, so variance cannot be worked out. Import the sales report for this day and it fills in.",IF($N29=0,"This is the first count of these products, so there is no opening figure to sell down from. Variance starts from the next count.",IF($F29-$G29=0,"Physical and POS agree on every product.",($F29-$G29)&amp;" of "&amp;$F29&amp;" products disagree with the POS. Largest first below."))))</f>
        <v/>
      </c>
      <c r="R29" t="n">
        <v>27</v>
      </c>
      <c r="S29">
        <f>IFERROR(INDEX(LubesData!$G:$G,MATCH($R29,LubesData!$V:$V,0)),"")</f>
        <v/>
      </c>
      <c r="T29">
        <f>IF(COUNTIFS(LubesData!$V:$V,$R29,LubesData!$U:$U,1,LubesData!$N:$N,"&lt;&gt;")=0,"",SUMIFS(LubesData!$N:$N,LubesData!$V:$V,$R29,LubesData!$U:$U,1))</f>
        <v/>
      </c>
      <c r="U29">
        <f>IF(COUNTIFS(LubesData!$V:$V,$R29,LubesData!$U:$U,2,LubesData!$N:$N,"&lt;&gt;")=0,"",SUMIFS(LubesData!$N:$N,LubesData!$V:$V,$R29,LubesData!$U:$U,2))</f>
        <v/>
      </c>
      <c r="V29">
        <f>IF(COUNTIFS(LubesData!$V:$V,$R29,LubesData!$U:$U,3,LubesData!$N:$N,"&lt;&gt;")=0,"",SUMIFS(LubesData!$N:$N,LubesData!$V:$V,$R29,LubesData!$U:$U,3))</f>
        <v/>
      </c>
      <c r="W29">
        <f>IF(COUNTIFS(LubesData!$V:$V,$R29,LubesData!$U:$U,4,LubesData!$N:$N,"&lt;&gt;")=0,"",SUMIFS(LubesData!$N:$N,LubesData!$V:$V,$R29,LubesData!$U:$U,4))</f>
        <v/>
      </c>
      <c r="X29">
        <f>IF(COUNTIFS(LubesData!$V:$V,$R29,LubesData!$U:$U,5,LubesData!$N:$N,"&lt;&gt;")=0,"",SUMIFS(LubesData!$N:$N,LubesData!$V:$V,$R29,LubesData!$U:$U,5))</f>
        <v/>
      </c>
      <c r="Y29">
        <f>IF(COUNTIFS(LubesData!$V:$V,$R29,LubesData!$U:$U,6,LubesData!$N:$N,"&lt;&gt;")=0,"",SUMIFS(LubesData!$N:$N,LubesData!$V:$V,$R29,LubesData!$U:$U,6))</f>
        <v/>
      </c>
      <c r="Z29">
        <f>IF(COUNTIFS(LubesData!$V:$V,$R29,LubesData!$U:$U,7,LubesData!$N:$N,"&lt;&gt;")=0,"",SUMIFS(LubesData!$N:$N,LubesData!$V:$V,$R29,LubesData!$U:$U,7))</f>
        <v/>
      </c>
      <c r="AA29">
        <f>IF(COUNTIFS(LubesData!$V:$V,$R29,LubesData!$U:$U,8,LubesData!$N:$N,"&lt;&gt;")=0,"",SUMIFS(LubesData!$N:$N,LubesData!$V:$V,$R29,LubesData!$U:$U,8))</f>
        <v/>
      </c>
      <c r="AB29">
        <f>IF(COUNTIFS(LubesData!$V:$V,$R29,LubesData!$U:$U,9,LubesData!$N:$N,"&lt;&gt;")=0,"",SUMIFS(LubesData!$N:$N,LubesData!$V:$V,$R29,LubesData!$U:$U,9))</f>
        <v/>
      </c>
      <c r="AC29">
        <f>IF(COUNTIFS(LubesData!$V:$V,$R29,LubesData!$U:$U,10,LubesData!$N:$N,"&lt;&gt;")=0,"",SUMIFS(LubesData!$N:$N,LubesData!$V:$V,$R29,LubesData!$U:$U,10))</f>
        <v/>
      </c>
      <c r="AD29">
        <f>IF(COUNTIFS(LubesData!$V:$V,$R29,LubesData!$U:$U,11,LubesData!$N:$N,"&lt;&gt;")=0,"",SUMIFS(LubesData!$N:$N,LubesData!$V:$V,$R29,LubesData!$U:$U,11))</f>
        <v/>
      </c>
      <c r="AE29">
        <f>IF(COUNTIFS(LubesData!$V:$V,$R29,LubesData!$U:$U,12,LubesData!$N:$N,"&lt;&gt;")=0,"",SUMIFS(LubesData!$N:$N,LubesData!$V:$V,$R29,LubesData!$U:$U,12))</f>
        <v/>
      </c>
      <c r="AF29">
        <f>IF(COUNTIFS(LubesData!$V:$V,$R29,LubesData!$U:$U,13,LubesData!$N:$N,"&lt;&gt;")=0,"",SUMIFS(LubesData!$N:$N,LubesData!$V:$V,$R29,LubesData!$U:$U,13))</f>
        <v/>
      </c>
      <c r="AG29">
        <f>IF(COUNTIFS(LubesData!$V:$V,$R29,LubesData!$U:$U,14,LubesData!$N:$N,"&lt;&gt;")=0,"",SUMIFS(LubesData!$N:$N,LubesData!$V:$V,$R29,LubesData!$U:$U,14))</f>
        <v/>
      </c>
      <c r="AH29">
        <f>COUNTIFS(LubesData!$V:$V,$R29,LubesData!$U:$U,"&lt;="&amp;14,LubesData!$N:$N,"&lt;&gt;")</f>
        <v/>
      </c>
      <c r="AI29">
        <f>COUNTIFS(LubesData!$V:$V,$R29,LubesData!$U:$U,"&lt;="&amp;14,LubesData!$N:$N,0)</f>
        <v/>
      </c>
      <c r="AJ29">
        <f>IF(AH29=0,"",AH29-AI29)</f>
        <v/>
      </c>
      <c r="AK29">
        <f>IF(AH29=0,"",SUMIFS(LubesData!$N:$N,LubesData!$V:$V,$R29,LubesData!$U:$U,"&lt;="&amp;14))</f>
        <v/>
      </c>
      <c r="AL29">
        <f>IF(AH29=0,"",IF(ABS(MAX(T29:AG29))&gt;=ABS(MIN(T29:AG29)),MAX(T29:AG29),MIN(T29:AG29)))</f>
        <v/>
      </c>
      <c r="AM29">
        <f>IF(AH29=0,-1,AJ29*100000+MIN(ABS(AK29),99999))</f>
        <v/>
      </c>
      <c r="AN29">
        <f>IF($S29="","",1+COUNTIFS($AM$3:$AM$122,"&gt;"&amp;AM29)+COUNTIFS($AM$3:$AM$122,AM29,$R$3:$R$122,"&lt;"&amp;$R29))</f>
        <v/>
      </c>
    </row>
    <row r="30">
      <c r="A30" t="n">
        <v>28</v>
      </c>
      <c r="B30" s="31">
        <f>IFERROR(IF(INDEX(LubesData!$B:$B,MATCH($A30,LubesData!$U:$U,0))="","",INDEX(LubesData!$B:$B,MATCH($A30,LubesData!$U:$U,0))),"")</f>
        <v/>
      </c>
      <c r="C30">
        <f>IFERROR(IF(INDEX(LubesData!$D:$D,MATCH($A30,LubesData!$U:$U,0))="","",INDEX(LubesData!$D:$D,MATCH($A30,LubesData!$U:$U,0))),"")</f>
        <v/>
      </c>
      <c r="D30" s="31">
        <f>IFERROR(IF(INDEX(LubesData!$O:$O,MATCH($A30,LubesData!$U:$U,0))="","",INDEX(LubesData!$O:$O,MATCH($A30,LubesData!$U:$U,0))),"")</f>
        <v/>
      </c>
      <c r="E30">
        <f>COUNTIFS(LubesData!$U:$U,$A30)</f>
        <v/>
      </c>
      <c r="F30">
        <f>COUNTIFS(LubesData!$U:$U,$A30,LubesData!$N:$N,"&lt;&gt;")</f>
        <v/>
      </c>
      <c r="G30">
        <f>COUNTIFS(LubesData!$U:$U,$A30,LubesData!$N:$N,0)</f>
        <v/>
      </c>
      <c r="H30">
        <f>IF($F30=0,"",$F30-$G30)</f>
        <v/>
      </c>
      <c r="I30">
        <f>IF($F30=0,"",SUMIFS(LubesData!$N:$N,LubesData!$U:$U,$A30))</f>
        <v/>
      </c>
      <c r="J30">
        <f>COUNTIFS(LubesData!$U:$U,$A30,LubesData!$Q:$Q,"&lt;&gt;")</f>
        <v/>
      </c>
      <c r="K30">
        <f>IF($J30=0,"",SUMIFS(LubesData!$Q:$Q,LubesData!$U:$U,$A30))</f>
        <v/>
      </c>
      <c r="L30">
        <f>COUNTIFS(LubesData!$U:$U,$A30,LubesData!$M:$M,"&lt;&gt;")</f>
        <v/>
      </c>
      <c r="M30">
        <f>IF($E30=0,"",IF($L30=0,"not loaded","loaded"))</f>
        <v/>
      </c>
      <c r="N30">
        <f>COUNTIFS(LubesData!$U:$U,$A30,LubesData!$I:$I,"&lt;&gt;")</f>
        <v/>
      </c>
      <c r="O30">
        <f>IF($E30=0,"",IF($L30=0,"No POS sales have been loaded for this date, so variance cannot be worked out. Import the sales report for this day and it fills in.",IF($N30=0,"This is the first count of these products, so there is no opening figure to sell down from. Variance starts from the next count.",IF($F30-$G30=0,"Physical and POS agree on every product.",($F30-$G30)&amp;" of "&amp;$F30&amp;" products disagree with the POS. Largest first below."))))</f>
        <v/>
      </c>
      <c r="R30" t="n">
        <v>28</v>
      </c>
      <c r="S30">
        <f>IFERROR(INDEX(LubesData!$G:$G,MATCH($R30,LubesData!$V:$V,0)),"")</f>
        <v/>
      </c>
      <c r="T30">
        <f>IF(COUNTIFS(LubesData!$V:$V,$R30,LubesData!$U:$U,1,LubesData!$N:$N,"&lt;&gt;")=0,"",SUMIFS(LubesData!$N:$N,LubesData!$V:$V,$R30,LubesData!$U:$U,1))</f>
        <v/>
      </c>
      <c r="U30">
        <f>IF(COUNTIFS(LubesData!$V:$V,$R30,LubesData!$U:$U,2,LubesData!$N:$N,"&lt;&gt;")=0,"",SUMIFS(LubesData!$N:$N,LubesData!$V:$V,$R30,LubesData!$U:$U,2))</f>
        <v/>
      </c>
      <c r="V30">
        <f>IF(COUNTIFS(LubesData!$V:$V,$R30,LubesData!$U:$U,3,LubesData!$N:$N,"&lt;&gt;")=0,"",SUMIFS(LubesData!$N:$N,LubesData!$V:$V,$R30,LubesData!$U:$U,3))</f>
        <v/>
      </c>
      <c r="W30">
        <f>IF(COUNTIFS(LubesData!$V:$V,$R30,LubesData!$U:$U,4,LubesData!$N:$N,"&lt;&gt;")=0,"",SUMIFS(LubesData!$N:$N,LubesData!$V:$V,$R30,LubesData!$U:$U,4))</f>
        <v/>
      </c>
      <c r="X30">
        <f>IF(COUNTIFS(LubesData!$V:$V,$R30,LubesData!$U:$U,5,LubesData!$N:$N,"&lt;&gt;")=0,"",SUMIFS(LubesData!$N:$N,LubesData!$V:$V,$R30,LubesData!$U:$U,5))</f>
        <v/>
      </c>
      <c r="Y30">
        <f>IF(COUNTIFS(LubesData!$V:$V,$R30,LubesData!$U:$U,6,LubesData!$N:$N,"&lt;&gt;")=0,"",SUMIFS(LubesData!$N:$N,LubesData!$V:$V,$R30,LubesData!$U:$U,6))</f>
        <v/>
      </c>
      <c r="Z30">
        <f>IF(COUNTIFS(LubesData!$V:$V,$R30,LubesData!$U:$U,7,LubesData!$N:$N,"&lt;&gt;")=0,"",SUMIFS(LubesData!$N:$N,LubesData!$V:$V,$R30,LubesData!$U:$U,7))</f>
        <v/>
      </c>
      <c r="AA30">
        <f>IF(COUNTIFS(LubesData!$V:$V,$R30,LubesData!$U:$U,8,LubesData!$N:$N,"&lt;&gt;")=0,"",SUMIFS(LubesData!$N:$N,LubesData!$V:$V,$R30,LubesData!$U:$U,8))</f>
        <v/>
      </c>
      <c r="AB30">
        <f>IF(COUNTIFS(LubesData!$V:$V,$R30,LubesData!$U:$U,9,LubesData!$N:$N,"&lt;&gt;")=0,"",SUMIFS(LubesData!$N:$N,LubesData!$V:$V,$R30,LubesData!$U:$U,9))</f>
        <v/>
      </c>
      <c r="AC30">
        <f>IF(COUNTIFS(LubesData!$V:$V,$R30,LubesData!$U:$U,10,LubesData!$N:$N,"&lt;&gt;")=0,"",SUMIFS(LubesData!$N:$N,LubesData!$V:$V,$R30,LubesData!$U:$U,10))</f>
        <v/>
      </c>
      <c r="AD30">
        <f>IF(COUNTIFS(LubesData!$V:$V,$R30,LubesData!$U:$U,11,LubesData!$N:$N,"&lt;&gt;")=0,"",SUMIFS(LubesData!$N:$N,LubesData!$V:$V,$R30,LubesData!$U:$U,11))</f>
        <v/>
      </c>
      <c r="AE30">
        <f>IF(COUNTIFS(LubesData!$V:$V,$R30,LubesData!$U:$U,12,LubesData!$N:$N,"&lt;&gt;")=0,"",SUMIFS(LubesData!$N:$N,LubesData!$V:$V,$R30,LubesData!$U:$U,12))</f>
        <v/>
      </c>
      <c r="AF30">
        <f>IF(COUNTIFS(LubesData!$V:$V,$R30,LubesData!$U:$U,13,LubesData!$N:$N,"&lt;&gt;")=0,"",SUMIFS(LubesData!$N:$N,LubesData!$V:$V,$R30,LubesData!$U:$U,13))</f>
        <v/>
      </c>
      <c r="AG30">
        <f>IF(COUNTIFS(LubesData!$V:$V,$R30,LubesData!$U:$U,14,LubesData!$N:$N,"&lt;&gt;")=0,"",SUMIFS(LubesData!$N:$N,LubesData!$V:$V,$R30,LubesData!$U:$U,14))</f>
        <v/>
      </c>
      <c r="AH30">
        <f>COUNTIFS(LubesData!$V:$V,$R30,LubesData!$U:$U,"&lt;="&amp;14,LubesData!$N:$N,"&lt;&gt;")</f>
        <v/>
      </c>
      <c r="AI30">
        <f>COUNTIFS(LubesData!$V:$V,$R30,LubesData!$U:$U,"&lt;="&amp;14,LubesData!$N:$N,0)</f>
        <v/>
      </c>
      <c r="AJ30">
        <f>IF(AH30=0,"",AH30-AI30)</f>
        <v/>
      </c>
      <c r="AK30">
        <f>IF(AH30=0,"",SUMIFS(LubesData!$N:$N,LubesData!$V:$V,$R30,LubesData!$U:$U,"&lt;="&amp;14))</f>
        <v/>
      </c>
      <c r="AL30">
        <f>IF(AH30=0,"",IF(ABS(MAX(T30:AG30))&gt;=ABS(MIN(T30:AG30)),MAX(T30:AG30),MIN(T30:AG30)))</f>
        <v/>
      </c>
      <c r="AM30">
        <f>IF(AH30=0,-1,AJ30*100000+MIN(ABS(AK30),99999))</f>
        <v/>
      </c>
      <c r="AN30">
        <f>IF($S30="","",1+COUNTIFS($AM$3:$AM$122,"&gt;"&amp;AM30)+COUNTIFS($AM$3:$AM$122,AM30,$R$3:$R$122,"&lt;"&amp;$R30))</f>
        <v/>
      </c>
    </row>
    <row r="31">
      <c r="A31" t="n">
        <v>29</v>
      </c>
      <c r="B31" s="31">
        <f>IFERROR(IF(INDEX(LubesData!$B:$B,MATCH($A31,LubesData!$U:$U,0))="","",INDEX(LubesData!$B:$B,MATCH($A31,LubesData!$U:$U,0))),"")</f>
        <v/>
      </c>
      <c r="C31">
        <f>IFERROR(IF(INDEX(LubesData!$D:$D,MATCH($A31,LubesData!$U:$U,0))="","",INDEX(LubesData!$D:$D,MATCH($A31,LubesData!$U:$U,0))),"")</f>
        <v/>
      </c>
      <c r="D31" s="31">
        <f>IFERROR(IF(INDEX(LubesData!$O:$O,MATCH($A31,LubesData!$U:$U,0))="","",INDEX(LubesData!$O:$O,MATCH($A31,LubesData!$U:$U,0))),"")</f>
        <v/>
      </c>
      <c r="E31">
        <f>COUNTIFS(LubesData!$U:$U,$A31)</f>
        <v/>
      </c>
      <c r="F31">
        <f>COUNTIFS(LubesData!$U:$U,$A31,LubesData!$N:$N,"&lt;&gt;")</f>
        <v/>
      </c>
      <c r="G31">
        <f>COUNTIFS(LubesData!$U:$U,$A31,LubesData!$N:$N,0)</f>
        <v/>
      </c>
      <c r="H31">
        <f>IF($F31=0,"",$F31-$G31)</f>
        <v/>
      </c>
      <c r="I31">
        <f>IF($F31=0,"",SUMIFS(LubesData!$N:$N,LubesData!$U:$U,$A31))</f>
        <v/>
      </c>
      <c r="J31">
        <f>COUNTIFS(LubesData!$U:$U,$A31,LubesData!$Q:$Q,"&lt;&gt;")</f>
        <v/>
      </c>
      <c r="K31">
        <f>IF($J31=0,"",SUMIFS(LubesData!$Q:$Q,LubesData!$U:$U,$A31))</f>
        <v/>
      </c>
      <c r="L31">
        <f>COUNTIFS(LubesData!$U:$U,$A31,LubesData!$M:$M,"&lt;&gt;")</f>
        <v/>
      </c>
      <c r="M31">
        <f>IF($E31=0,"",IF($L31=0,"not loaded","loaded"))</f>
        <v/>
      </c>
      <c r="N31">
        <f>COUNTIFS(LubesData!$U:$U,$A31,LubesData!$I:$I,"&lt;&gt;")</f>
        <v/>
      </c>
      <c r="O31">
        <f>IF($E31=0,"",IF($L31=0,"No POS sales have been loaded for this date, so variance cannot be worked out. Import the sales report for this day and it fills in.",IF($N31=0,"This is the first count of these products, so there is no opening figure to sell down from. Variance starts from the next count.",IF($F31-$G31=0,"Physical and POS agree on every product.",($F31-$G31)&amp;" of "&amp;$F31&amp;" products disagree with the POS. Largest first below."))))</f>
        <v/>
      </c>
      <c r="R31" t="n">
        <v>29</v>
      </c>
      <c r="S31">
        <f>IFERROR(INDEX(LubesData!$G:$G,MATCH($R31,LubesData!$V:$V,0)),"")</f>
        <v/>
      </c>
      <c r="T31">
        <f>IF(COUNTIFS(LubesData!$V:$V,$R31,LubesData!$U:$U,1,LubesData!$N:$N,"&lt;&gt;")=0,"",SUMIFS(LubesData!$N:$N,LubesData!$V:$V,$R31,LubesData!$U:$U,1))</f>
        <v/>
      </c>
      <c r="U31">
        <f>IF(COUNTIFS(LubesData!$V:$V,$R31,LubesData!$U:$U,2,LubesData!$N:$N,"&lt;&gt;")=0,"",SUMIFS(LubesData!$N:$N,LubesData!$V:$V,$R31,LubesData!$U:$U,2))</f>
        <v/>
      </c>
      <c r="V31">
        <f>IF(COUNTIFS(LubesData!$V:$V,$R31,LubesData!$U:$U,3,LubesData!$N:$N,"&lt;&gt;")=0,"",SUMIFS(LubesData!$N:$N,LubesData!$V:$V,$R31,LubesData!$U:$U,3))</f>
        <v/>
      </c>
      <c r="W31">
        <f>IF(COUNTIFS(LubesData!$V:$V,$R31,LubesData!$U:$U,4,LubesData!$N:$N,"&lt;&gt;")=0,"",SUMIFS(LubesData!$N:$N,LubesData!$V:$V,$R31,LubesData!$U:$U,4))</f>
        <v/>
      </c>
      <c r="X31">
        <f>IF(COUNTIFS(LubesData!$V:$V,$R31,LubesData!$U:$U,5,LubesData!$N:$N,"&lt;&gt;")=0,"",SUMIFS(LubesData!$N:$N,LubesData!$V:$V,$R31,LubesData!$U:$U,5))</f>
        <v/>
      </c>
      <c r="Y31">
        <f>IF(COUNTIFS(LubesData!$V:$V,$R31,LubesData!$U:$U,6,LubesData!$N:$N,"&lt;&gt;")=0,"",SUMIFS(LubesData!$N:$N,LubesData!$V:$V,$R31,LubesData!$U:$U,6))</f>
        <v/>
      </c>
      <c r="Z31">
        <f>IF(COUNTIFS(LubesData!$V:$V,$R31,LubesData!$U:$U,7,LubesData!$N:$N,"&lt;&gt;")=0,"",SUMIFS(LubesData!$N:$N,LubesData!$V:$V,$R31,LubesData!$U:$U,7))</f>
        <v/>
      </c>
      <c r="AA31">
        <f>IF(COUNTIFS(LubesData!$V:$V,$R31,LubesData!$U:$U,8,LubesData!$N:$N,"&lt;&gt;")=0,"",SUMIFS(LubesData!$N:$N,LubesData!$V:$V,$R31,LubesData!$U:$U,8))</f>
        <v/>
      </c>
      <c r="AB31">
        <f>IF(COUNTIFS(LubesData!$V:$V,$R31,LubesData!$U:$U,9,LubesData!$N:$N,"&lt;&gt;")=0,"",SUMIFS(LubesData!$N:$N,LubesData!$V:$V,$R31,LubesData!$U:$U,9))</f>
        <v/>
      </c>
      <c r="AC31">
        <f>IF(COUNTIFS(LubesData!$V:$V,$R31,LubesData!$U:$U,10,LubesData!$N:$N,"&lt;&gt;")=0,"",SUMIFS(LubesData!$N:$N,LubesData!$V:$V,$R31,LubesData!$U:$U,10))</f>
        <v/>
      </c>
      <c r="AD31">
        <f>IF(COUNTIFS(LubesData!$V:$V,$R31,LubesData!$U:$U,11,LubesData!$N:$N,"&lt;&gt;")=0,"",SUMIFS(LubesData!$N:$N,LubesData!$V:$V,$R31,LubesData!$U:$U,11))</f>
        <v/>
      </c>
      <c r="AE31">
        <f>IF(COUNTIFS(LubesData!$V:$V,$R31,LubesData!$U:$U,12,LubesData!$N:$N,"&lt;&gt;")=0,"",SUMIFS(LubesData!$N:$N,LubesData!$V:$V,$R31,LubesData!$U:$U,12))</f>
        <v/>
      </c>
      <c r="AF31">
        <f>IF(COUNTIFS(LubesData!$V:$V,$R31,LubesData!$U:$U,13,LubesData!$N:$N,"&lt;&gt;")=0,"",SUMIFS(LubesData!$N:$N,LubesData!$V:$V,$R31,LubesData!$U:$U,13))</f>
        <v/>
      </c>
      <c r="AG31">
        <f>IF(COUNTIFS(LubesData!$V:$V,$R31,LubesData!$U:$U,14,LubesData!$N:$N,"&lt;&gt;")=0,"",SUMIFS(LubesData!$N:$N,LubesData!$V:$V,$R31,LubesData!$U:$U,14))</f>
        <v/>
      </c>
      <c r="AH31">
        <f>COUNTIFS(LubesData!$V:$V,$R31,LubesData!$U:$U,"&lt;="&amp;14,LubesData!$N:$N,"&lt;&gt;")</f>
        <v/>
      </c>
      <c r="AI31">
        <f>COUNTIFS(LubesData!$V:$V,$R31,LubesData!$U:$U,"&lt;="&amp;14,LubesData!$N:$N,0)</f>
        <v/>
      </c>
      <c r="AJ31">
        <f>IF(AH31=0,"",AH31-AI31)</f>
        <v/>
      </c>
      <c r="AK31">
        <f>IF(AH31=0,"",SUMIFS(LubesData!$N:$N,LubesData!$V:$V,$R31,LubesData!$U:$U,"&lt;="&amp;14))</f>
        <v/>
      </c>
      <c r="AL31">
        <f>IF(AH31=0,"",IF(ABS(MAX(T31:AG31))&gt;=ABS(MIN(T31:AG31)),MAX(T31:AG31),MIN(T31:AG31)))</f>
        <v/>
      </c>
      <c r="AM31">
        <f>IF(AH31=0,-1,AJ31*100000+MIN(ABS(AK31),99999))</f>
        <v/>
      </c>
      <c r="AN31">
        <f>IF($S31="","",1+COUNTIFS($AM$3:$AM$122,"&gt;"&amp;AM31)+COUNTIFS($AM$3:$AM$122,AM31,$R$3:$R$122,"&lt;"&amp;$R31))</f>
        <v/>
      </c>
    </row>
    <row r="32">
      <c r="A32" t="n">
        <v>30</v>
      </c>
      <c r="B32" s="31">
        <f>IFERROR(IF(INDEX(LubesData!$B:$B,MATCH($A32,LubesData!$U:$U,0))="","",INDEX(LubesData!$B:$B,MATCH($A32,LubesData!$U:$U,0))),"")</f>
        <v/>
      </c>
      <c r="C32">
        <f>IFERROR(IF(INDEX(LubesData!$D:$D,MATCH($A32,LubesData!$U:$U,0))="","",INDEX(LubesData!$D:$D,MATCH($A32,LubesData!$U:$U,0))),"")</f>
        <v/>
      </c>
      <c r="D32" s="31">
        <f>IFERROR(IF(INDEX(LubesData!$O:$O,MATCH($A32,LubesData!$U:$U,0))="","",INDEX(LubesData!$O:$O,MATCH($A32,LubesData!$U:$U,0))),"")</f>
        <v/>
      </c>
      <c r="E32">
        <f>COUNTIFS(LubesData!$U:$U,$A32)</f>
        <v/>
      </c>
      <c r="F32">
        <f>COUNTIFS(LubesData!$U:$U,$A32,LubesData!$N:$N,"&lt;&gt;")</f>
        <v/>
      </c>
      <c r="G32">
        <f>COUNTIFS(LubesData!$U:$U,$A32,LubesData!$N:$N,0)</f>
        <v/>
      </c>
      <c r="H32">
        <f>IF($F32=0,"",$F32-$G32)</f>
        <v/>
      </c>
      <c r="I32">
        <f>IF($F32=0,"",SUMIFS(LubesData!$N:$N,LubesData!$U:$U,$A32))</f>
        <v/>
      </c>
      <c r="J32">
        <f>COUNTIFS(LubesData!$U:$U,$A32,LubesData!$Q:$Q,"&lt;&gt;")</f>
        <v/>
      </c>
      <c r="K32">
        <f>IF($J32=0,"",SUMIFS(LubesData!$Q:$Q,LubesData!$U:$U,$A32))</f>
        <v/>
      </c>
      <c r="L32">
        <f>COUNTIFS(LubesData!$U:$U,$A32,LubesData!$M:$M,"&lt;&gt;")</f>
        <v/>
      </c>
      <c r="M32">
        <f>IF($E32=0,"",IF($L32=0,"not loaded","loaded"))</f>
        <v/>
      </c>
      <c r="N32">
        <f>COUNTIFS(LubesData!$U:$U,$A32,LubesData!$I:$I,"&lt;&gt;")</f>
        <v/>
      </c>
      <c r="O32">
        <f>IF($E32=0,"",IF($L32=0,"No POS sales have been loaded for this date, so variance cannot be worked out. Import the sales report for this day and it fills in.",IF($N32=0,"This is the first count of these products, so there is no opening figure to sell down from. Variance starts from the next count.",IF($F32-$G32=0,"Physical and POS agree on every product.",($F32-$G32)&amp;" of "&amp;$F32&amp;" products disagree with the POS. Largest first below."))))</f>
        <v/>
      </c>
      <c r="R32" t="n">
        <v>30</v>
      </c>
      <c r="S32">
        <f>IFERROR(INDEX(LubesData!$G:$G,MATCH($R32,LubesData!$V:$V,0)),"")</f>
        <v/>
      </c>
      <c r="T32">
        <f>IF(COUNTIFS(LubesData!$V:$V,$R32,LubesData!$U:$U,1,LubesData!$N:$N,"&lt;&gt;")=0,"",SUMIFS(LubesData!$N:$N,LubesData!$V:$V,$R32,LubesData!$U:$U,1))</f>
        <v/>
      </c>
      <c r="U32">
        <f>IF(COUNTIFS(LubesData!$V:$V,$R32,LubesData!$U:$U,2,LubesData!$N:$N,"&lt;&gt;")=0,"",SUMIFS(LubesData!$N:$N,LubesData!$V:$V,$R32,LubesData!$U:$U,2))</f>
        <v/>
      </c>
      <c r="V32">
        <f>IF(COUNTIFS(LubesData!$V:$V,$R32,LubesData!$U:$U,3,LubesData!$N:$N,"&lt;&gt;")=0,"",SUMIFS(LubesData!$N:$N,LubesData!$V:$V,$R32,LubesData!$U:$U,3))</f>
        <v/>
      </c>
      <c r="W32">
        <f>IF(COUNTIFS(LubesData!$V:$V,$R32,LubesData!$U:$U,4,LubesData!$N:$N,"&lt;&gt;")=0,"",SUMIFS(LubesData!$N:$N,LubesData!$V:$V,$R32,LubesData!$U:$U,4))</f>
        <v/>
      </c>
      <c r="X32">
        <f>IF(COUNTIFS(LubesData!$V:$V,$R32,LubesData!$U:$U,5,LubesData!$N:$N,"&lt;&gt;")=0,"",SUMIFS(LubesData!$N:$N,LubesData!$V:$V,$R32,LubesData!$U:$U,5))</f>
        <v/>
      </c>
      <c r="Y32">
        <f>IF(COUNTIFS(LubesData!$V:$V,$R32,LubesData!$U:$U,6,LubesData!$N:$N,"&lt;&gt;")=0,"",SUMIFS(LubesData!$N:$N,LubesData!$V:$V,$R32,LubesData!$U:$U,6))</f>
        <v/>
      </c>
      <c r="Z32">
        <f>IF(COUNTIFS(LubesData!$V:$V,$R32,LubesData!$U:$U,7,LubesData!$N:$N,"&lt;&gt;")=0,"",SUMIFS(LubesData!$N:$N,LubesData!$V:$V,$R32,LubesData!$U:$U,7))</f>
        <v/>
      </c>
      <c r="AA32">
        <f>IF(COUNTIFS(LubesData!$V:$V,$R32,LubesData!$U:$U,8,LubesData!$N:$N,"&lt;&gt;")=0,"",SUMIFS(LubesData!$N:$N,LubesData!$V:$V,$R32,LubesData!$U:$U,8))</f>
        <v/>
      </c>
      <c r="AB32">
        <f>IF(COUNTIFS(LubesData!$V:$V,$R32,LubesData!$U:$U,9,LubesData!$N:$N,"&lt;&gt;")=0,"",SUMIFS(LubesData!$N:$N,LubesData!$V:$V,$R32,LubesData!$U:$U,9))</f>
        <v/>
      </c>
      <c r="AC32">
        <f>IF(COUNTIFS(LubesData!$V:$V,$R32,LubesData!$U:$U,10,LubesData!$N:$N,"&lt;&gt;")=0,"",SUMIFS(LubesData!$N:$N,LubesData!$V:$V,$R32,LubesData!$U:$U,10))</f>
        <v/>
      </c>
      <c r="AD32">
        <f>IF(COUNTIFS(LubesData!$V:$V,$R32,LubesData!$U:$U,11,LubesData!$N:$N,"&lt;&gt;")=0,"",SUMIFS(LubesData!$N:$N,LubesData!$V:$V,$R32,LubesData!$U:$U,11))</f>
        <v/>
      </c>
      <c r="AE32">
        <f>IF(COUNTIFS(LubesData!$V:$V,$R32,LubesData!$U:$U,12,LubesData!$N:$N,"&lt;&gt;")=0,"",SUMIFS(LubesData!$N:$N,LubesData!$V:$V,$R32,LubesData!$U:$U,12))</f>
        <v/>
      </c>
      <c r="AF32">
        <f>IF(COUNTIFS(LubesData!$V:$V,$R32,LubesData!$U:$U,13,LubesData!$N:$N,"&lt;&gt;")=0,"",SUMIFS(LubesData!$N:$N,LubesData!$V:$V,$R32,LubesData!$U:$U,13))</f>
        <v/>
      </c>
      <c r="AG32">
        <f>IF(COUNTIFS(LubesData!$V:$V,$R32,LubesData!$U:$U,14,LubesData!$N:$N,"&lt;&gt;")=0,"",SUMIFS(LubesData!$N:$N,LubesData!$V:$V,$R32,LubesData!$U:$U,14))</f>
        <v/>
      </c>
      <c r="AH32">
        <f>COUNTIFS(LubesData!$V:$V,$R32,LubesData!$U:$U,"&lt;="&amp;14,LubesData!$N:$N,"&lt;&gt;")</f>
        <v/>
      </c>
      <c r="AI32">
        <f>COUNTIFS(LubesData!$V:$V,$R32,LubesData!$U:$U,"&lt;="&amp;14,LubesData!$N:$N,0)</f>
        <v/>
      </c>
      <c r="AJ32">
        <f>IF(AH32=0,"",AH32-AI32)</f>
        <v/>
      </c>
      <c r="AK32">
        <f>IF(AH32=0,"",SUMIFS(LubesData!$N:$N,LubesData!$V:$V,$R32,LubesData!$U:$U,"&lt;="&amp;14))</f>
        <v/>
      </c>
      <c r="AL32">
        <f>IF(AH32=0,"",IF(ABS(MAX(T32:AG32))&gt;=ABS(MIN(T32:AG32)),MAX(T32:AG32),MIN(T32:AG32)))</f>
        <v/>
      </c>
      <c r="AM32">
        <f>IF(AH32=0,-1,AJ32*100000+MIN(ABS(AK32),99999))</f>
        <v/>
      </c>
      <c r="AN32">
        <f>IF($S32="","",1+COUNTIFS($AM$3:$AM$122,"&gt;"&amp;AM32)+COUNTIFS($AM$3:$AM$122,AM32,$R$3:$R$122,"&lt;"&amp;$R32))</f>
        <v/>
      </c>
    </row>
    <row r="33">
      <c r="A33" t="n">
        <v>31</v>
      </c>
      <c r="B33" s="31">
        <f>IFERROR(IF(INDEX(LubesData!$B:$B,MATCH($A33,LubesData!$U:$U,0))="","",INDEX(LubesData!$B:$B,MATCH($A33,LubesData!$U:$U,0))),"")</f>
        <v/>
      </c>
      <c r="C33">
        <f>IFERROR(IF(INDEX(LubesData!$D:$D,MATCH($A33,LubesData!$U:$U,0))="","",INDEX(LubesData!$D:$D,MATCH($A33,LubesData!$U:$U,0))),"")</f>
        <v/>
      </c>
      <c r="D33" s="31">
        <f>IFERROR(IF(INDEX(LubesData!$O:$O,MATCH($A33,LubesData!$U:$U,0))="","",INDEX(LubesData!$O:$O,MATCH($A33,LubesData!$U:$U,0))),"")</f>
        <v/>
      </c>
      <c r="E33">
        <f>COUNTIFS(LubesData!$U:$U,$A33)</f>
        <v/>
      </c>
      <c r="F33">
        <f>COUNTIFS(LubesData!$U:$U,$A33,LubesData!$N:$N,"&lt;&gt;")</f>
        <v/>
      </c>
      <c r="G33">
        <f>COUNTIFS(LubesData!$U:$U,$A33,LubesData!$N:$N,0)</f>
        <v/>
      </c>
      <c r="H33">
        <f>IF($F33=0,"",$F33-$G33)</f>
        <v/>
      </c>
      <c r="I33">
        <f>IF($F33=0,"",SUMIFS(LubesData!$N:$N,LubesData!$U:$U,$A33))</f>
        <v/>
      </c>
      <c r="J33">
        <f>COUNTIFS(LubesData!$U:$U,$A33,LubesData!$Q:$Q,"&lt;&gt;")</f>
        <v/>
      </c>
      <c r="K33">
        <f>IF($J33=0,"",SUMIFS(LubesData!$Q:$Q,LubesData!$U:$U,$A33))</f>
        <v/>
      </c>
      <c r="L33">
        <f>COUNTIFS(LubesData!$U:$U,$A33,LubesData!$M:$M,"&lt;&gt;")</f>
        <v/>
      </c>
      <c r="M33">
        <f>IF($E33=0,"",IF($L33=0,"not loaded","loaded"))</f>
        <v/>
      </c>
      <c r="N33">
        <f>COUNTIFS(LubesData!$U:$U,$A33,LubesData!$I:$I,"&lt;&gt;")</f>
        <v/>
      </c>
      <c r="O33">
        <f>IF($E33=0,"",IF($L33=0,"No POS sales have been loaded for this date, so variance cannot be worked out. Import the sales report for this day and it fills in.",IF($N33=0,"This is the first count of these products, so there is no opening figure to sell down from. Variance starts from the next count.",IF($F33-$G33=0,"Physical and POS agree on every product.",($F33-$G33)&amp;" of "&amp;$F33&amp;" products disagree with the POS. Largest first below."))))</f>
        <v/>
      </c>
      <c r="R33" t="n">
        <v>31</v>
      </c>
      <c r="S33">
        <f>IFERROR(INDEX(LubesData!$G:$G,MATCH($R33,LubesData!$V:$V,0)),"")</f>
        <v/>
      </c>
      <c r="T33">
        <f>IF(COUNTIFS(LubesData!$V:$V,$R33,LubesData!$U:$U,1,LubesData!$N:$N,"&lt;&gt;")=0,"",SUMIFS(LubesData!$N:$N,LubesData!$V:$V,$R33,LubesData!$U:$U,1))</f>
        <v/>
      </c>
      <c r="U33">
        <f>IF(COUNTIFS(LubesData!$V:$V,$R33,LubesData!$U:$U,2,LubesData!$N:$N,"&lt;&gt;")=0,"",SUMIFS(LubesData!$N:$N,LubesData!$V:$V,$R33,LubesData!$U:$U,2))</f>
        <v/>
      </c>
      <c r="V33">
        <f>IF(COUNTIFS(LubesData!$V:$V,$R33,LubesData!$U:$U,3,LubesData!$N:$N,"&lt;&gt;")=0,"",SUMIFS(LubesData!$N:$N,LubesData!$V:$V,$R33,LubesData!$U:$U,3))</f>
        <v/>
      </c>
      <c r="W33">
        <f>IF(COUNTIFS(LubesData!$V:$V,$R33,LubesData!$U:$U,4,LubesData!$N:$N,"&lt;&gt;")=0,"",SUMIFS(LubesData!$N:$N,LubesData!$V:$V,$R33,LubesData!$U:$U,4))</f>
        <v/>
      </c>
      <c r="X33">
        <f>IF(COUNTIFS(LubesData!$V:$V,$R33,LubesData!$U:$U,5,LubesData!$N:$N,"&lt;&gt;")=0,"",SUMIFS(LubesData!$N:$N,LubesData!$V:$V,$R33,LubesData!$U:$U,5))</f>
        <v/>
      </c>
      <c r="Y33">
        <f>IF(COUNTIFS(LubesData!$V:$V,$R33,LubesData!$U:$U,6,LubesData!$N:$N,"&lt;&gt;")=0,"",SUMIFS(LubesData!$N:$N,LubesData!$V:$V,$R33,LubesData!$U:$U,6))</f>
        <v/>
      </c>
      <c r="Z33">
        <f>IF(COUNTIFS(LubesData!$V:$V,$R33,LubesData!$U:$U,7,LubesData!$N:$N,"&lt;&gt;")=0,"",SUMIFS(LubesData!$N:$N,LubesData!$V:$V,$R33,LubesData!$U:$U,7))</f>
        <v/>
      </c>
      <c r="AA33">
        <f>IF(COUNTIFS(LubesData!$V:$V,$R33,LubesData!$U:$U,8,LubesData!$N:$N,"&lt;&gt;")=0,"",SUMIFS(LubesData!$N:$N,LubesData!$V:$V,$R33,LubesData!$U:$U,8))</f>
        <v/>
      </c>
      <c r="AB33">
        <f>IF(COUNTIFS(LubesData!$V:$V,$R33,LubesData!$U:$U,9,LubesData!$N:$N,"&lt;&gt;")=0,"",SUMIFS(LubesData!$N:$N,LubesData!$V:$V,$R33,LubesData!$U:$U,9))</f>
        <v/>
      </c>
      <c r="AC33">
        <f>IF(COUNTIFS(LubesData!$V:$V,$R33,LubesData!$U:$U,10,LubesData!$N:$N,"&lt;&gt;")=0,"",SUMIFS(LubesData!$N:$N,LubesData!$V:$V,$R33,LubesData!$U:$U,10))</f>
        <v/>
      </c>
      <c r="AD33">
        <f>IF(COUNTIFS(LubesData!$V:$V,$R33,LubesData!$U:$U,11,LubesData!$N:$N,"&lt;&gt;")=0,"",SUMIFS(LubesData!$N:$N,LubesData!$V:$V,$R33,LubesData!$U:$U,11))</f>
        <v/>
      </c>
      <c r="AE33">
        <f>IF(COUNTIFS(LubesData!$V:$V,$R33,LubesData!$U:$U,12,LubesData!$N:$N,"&lt;&gt;")=0,"",SUMIFS(LubesData!$N:$N,LubesData!$V:$V,$R33,LubesData!$U:$U,12))</f>
        <v/>
      </c>
      <c r="AF33">
        <f>IF(COUNTIFS(LubesData!$V:$V,$R33,LubesData!$U:$U,13,LubesData!$N:$N,"&lt;&gt;")=0,"",SUMIFS(LubesData!$N:$N,LubesData!$V:$V,$R33,LubesData!$U:$U,13))</f>
        <v/>
      </c>
      <c r="AG33">
        <f>IF(COUNTIFS(LubesData!$V:$V,$R33,LubesData!$U:$U,14,LubesData!$N:$N,"&lt;&gt;")=0,"",SUMIFS(LubesData!$N:$N,LubesData!$V:$V,$R33,LubesData!$U:$U,14))</f>
        <v/>
      </c>
      <c r="AH33">
        <f>COUNTIFS(LubesData!$V:$V,$R33,LubesData!$U:$U,"&lt;="&amp;14,LubesData!$N:$N,"&lt;&gt;")</f>
        <v/>
      </c>
      <c r="AI33">
        <f>COUNTIFS(LubesData!$V:$V,$R33,LubesData!$U:$U,"&lt;="&amp;14,LubesData!$N:$N,0)</f>
        <v/>
      </c>
      <c r="AJ33">
        <f>IF(AH33=0,"",AH33-AI33)</f>
        <v/>
      </c>
      <c r="AK33">
        <f>IF(AH33=0,"",SUMIFS(LubesData!$N:$N,LubesData!$V:$V,$R33,LubesData!$U:$U,"&lt;="&amp;14))</f>
        <v/>
      </c>
      <c r="AL33">
        <f>IF(AH33=0,"",IF(ABS(MAX(T33:AG33))&gt;=ABS(MIN(T33:AG33)),MAX(T33:AG33),MIN(T33:AG33)))</f>
        <v/>
      </c>
      <c r="AM33">
        <f>IF(AH33=0,-1,AJ33*100000+MIN(ABS(AK33),99999))</f>
        <v/>
      </c>
      <c r="AN33">
        <f>IF($S33="","",1+COUNTIFS($AM$3:$AM$122,"&gt;"&amp;AM33)+COUNTIFS($AM$3:$AM$122,AM33,$R$3:$R$122,"&lt;"&amp;$R33))</f>
        <v/>
      </c>
    </row>
    <row r="34">
      <c r="A34" t="n">
        <v>32</v>
      </c>
      <c r="B34" s="31">
        <f>IFERROR(IF(INDEX(LubesData!$B:$B,MATCH($A34,LubesData!$U:$U,0))="","",INDEX(LubesData!$B:$B,MATCH($A34,LubesData!$U:$U,0))),"")</f>
        <v/>
      </c>
      <c r="C34">
        <f>IFERROR(IF(INDEX(LubesData!$D:$D,MATCH($A34,LubesData!$U:$U,0))="","",INDEX(LubesData!$D:$D,MATCH($A34,LubesData!$U:$U,0))),"")</f>
        <v/>
      </c>
      <c r="D34" s="31">
        <f>IFERROR(IF(INDEX(LubesData!$O:$O,MATCH($A34,LubesData!$U:$U,0))="","",INDEX(LubesData!$O:$O,MATCH($A34,LubesData!$U:$U,0))),"")</f>
        <v/>
      </c>
      <c r="E34">
        <f>COUNTIFS(LubesData!$U:$U,$A34)</f>
        <v/>
      </c>
      <c r="F34">
        <f>COUNTIFS(LubesData!$U:$U,$A34,LubesData!$N:$N,"&lt;&gt;")</f>
        <v/>
      </c>
      <c r="G34">
        <f>COUNTIFS(LubesData!$U:$U,$A34,LubesData!$N:$N,0)</f>
        <v/>
      </c>
      <c r="H34">
        <f>IF($F34=0,"",$F34-$G34)</f>
        <v/>
      </c>
      <c r="I34">
        <f>IF($F34=0,"",SUMIFS(LubesData!$N:$N,LubesData!$U:$U,$A34))</f>
        <v/>
      </c>
      <c r="J34">
        <f>COUNTIFS(LubesData!$U:$U,$A34,LubesData!$Q:$Q,"&lt;&gt;")</f>
        <v/>
      </c>
      <c r="K34">
        <f>IF($J34=0,"",SUMIFS(LubesData!$Q:$Q,LubesData!$U:$U,$A34))</f>
        <v/>
      </c>
      <c r="L34">
        <f>COUNTIFS(LubesData!$U:$U,$A34,LubesData!$M:$M,"&lt;&gt;")</f>
        <v/>
      </c>
      <c r="M34">
        <f>IF($E34=0,"",IF($L34=0,"not loaded","loaded"))</f>
        <v/>
      </c>
      <c r="N34">
        <f>COUNTIFS(LubesData!$U:$U,$A34,LubesData!$I:$I,"&lt;&gt;")</f>
        <v/>
      </c>
      <c r="O34">
        <f>IF($E34=0,"",IF($L34=0,"No POS sales have been loaded for this date, so variance cannot be worked out. Import the sales report for this day and it fills in.",IF($N34=0,"This is the first count of these products, so there is no opening figure to sell down from. Variance starts from the next count.",IF($F34-$G34=0,"Physical and POS agree on every product.",($F34-$G34)&amp;" of "&amp;$F34&amp;" products disagree with the POS. Largest first below."))))</f>
        <v/>
      </c>
      <c r="R34" t="n">
        <v>32</v>
      </c>
      <c r="S34">
        <f>IFERROR(INDEX(LubesData!$G:$G,MATCH($R34,LubesData!$V:$V,0)),"")</f>
        <v/>
      </c>
      <c r="T34">
        <f>IF(COUNTIFS(LubesData!$V:$V,$R34,LubesData!$U:$U,1,LubesData!$N:$N,"&lt;&gt;")=0,"",SUMIFS(LubesData!$N:$N,LubesData!$V:$V,$R34,LubesData!$U:$U,1))</f>
        <v/>
      </c>
      <c r="U34">
        <f>IF(COUNTIFS(LubesData!$V:$V,$R34,LubesData!$U:$U,2,LubesData!$N:$N,"&lt;&gt;")=0,"",SUMIFS(LubesData!$N:$N,LubesData!$V:$V,$R34,LubesData!$U:$U,2))</f>
        <v/>
      </c>
      <c r="V34">
        <f>IF(COUNTIFS(LubesData!$V:$V,$R34,LubesData!$U:$U,3,LubesData!$N:$N,"&lt;&gt;")=0,"",SUMIFS(LubesData!$N:$N,LubesData!$V:$V,$R34,LubesData!$U:$U,3))</f>
        <v/>
      </c>
      <c r="W34">
        <f>IF(COUNTIFS(LubesData!$V:$V,$R34,LubesData!$U:$U,4,LubesData!$N:$N,"&lt;&gt;")=0,"",SUMIFS(LubesData!$N:$N,LubesData!$V:$V,$R34,LubesData!$U:$U,4))</f>
        <v/>
      </c>
      <c r="X34">
        <f>IF(COUNTIFS(LubesData!$V:$V,$R34,LubesData!$U:$U,5,LubesData!$N:$N,"&lt;&gt;")=0,"",SUMIFS(LubesData!$N:$N,LubesData!$V:$V,$R34,LubesData!$U:$U,5))</f>
        <v/>
      </c>
      <c r="Y34">
        <f>IF(COUNTIFS(LubesData!$V:$V,$R34,LubesData!$U:$U,6,LubesData!$N:$N,"&lt;&gt;")=0,"",SUMIFS(LubesData!$N:$N,LubesData!$V:$V,$R34,LubesData!$U:$U,6))</f>
        <v/>
      </c>
      <c r="Z34">
        <f>IF(COUNTIFS(LubesData!$V:$V,$R34,LubesData!$U:$U,7,LubesData!$N:$N,"&lt;&gt;")=0,"",SUMIFS(LubesData!$N:$N,LubesData!$V:$V,$R34,LubesData!$U:$U,7))</f>
        <v/>
      </c>
      <c r="AA34">
        <f>IF(COUNTIFS(LubesData!$V:$V,$R34,LubesData!$U:$U,8,LubesData!$N:$N,"&lt;&gt;")=0,"",SUMIFS(LubesData!$N:$N,LubesData!$V:$V,$R34,LubesData!$U:$U,8))</f>
        <v/>
      </c>
      <c r="AB34">
        <f>IF(COUNTIFS(LubesData!$V:$V,$R34,LubesData!$U:$U,9,LubesData!$N:$N,"&lt;&gt;")=0,"",SUMIFS(LubesData!$N:$N,LubesData!$V:$V,$R34,LubesData!$U:$U,9))</f>
        <v/>
      </c>
      <c r="AC34">
        <f>IF(COUNTIFS(LubesData!$V:$V,$R34,LubesData!$U:$U,10,LubesData!$N:$N,"&lt;&gt;")=0,"",SUMIFS(LubesData!$N:$N,LubesData!$V:$V,$R34,LubesData!$U:$U,10))</f>
        <v/>
      </c>
      <c r="AD34">
        <f>IF(COUNTIFS(LubesData!$V:$V,$R34,LubesData!$U:$U,11,LubesData!$N:$N,"&lt;&gt;")=0,"",SUMIFS(LubesData!$N:$N,LubesData!$V:$V,$R34,LubesData!$U:$U,11))</f>
        <v/>
      </c>
      <c r="AE34">
        <f>IF(COUNTIFS(LubesData!$V:$V,$R34,LubesData!$U:$U,12,LubesData!$N:$N,"&lt;&gt;")=0,"",SUMIFS(LubesData!$N:$N,LubesData!$V:$V,$R34,LubesData!$U:$U,12))</f>
        <v/>
      </c>
      <c r="AF34">
        <f>IF(COUNTIFS(LubesData!$V:$V,$R34,LubesData!$U:$U,13,LubesData!$N:$N,"&lt;&gt;")=0,"",SUMIFS(LubesData!$N:$N,LubesData!$V:$V,$R34,LubesData!$U:$U,13))</f>
        <v/>
      </c>
      <c r="AG34">
        <f>IF(COUNTIFS(LubesData!$V:$V,$R34,LubesData!$U:$U,14,LubesData!$N:$N,"&lt;&gt;")=0,"",SUMIFS(LubesData!$N:$N,LubesData!$V:$V,$R34,LubesData!$U:$U,14))</f>
        <v/>
      </c>
      <c r="AH34">
        <f>COUNTIFS(LubesData!$V:$V,$R34,LubesData!$U:$U,"&lt;="&amp;14,LubesData!$N:$N,"&lt;&gt;")</f>
        <v/>
      </c>
      <c r="AI34">
        <f>COUNTIFS(LubesData!$V:$V,$R34,LubesData!$U:$U,"&lt;="&amp;14,LubesData!$N:$N,0)</f>
        <v/>
      </c>
      <c r="AJ34">
        <f>IF(AH34=0,"",AH34-AI34)</f>
        <v/>
      </c>
      <c r="AK34">
        <f>IF(AH34=0,"",SUMIFS(LubesData!$N:$N,LubesData!$V:$V,$R34,LubesData!$U:$U,"&lt;="&amp;14))</f>
        <v/>
      </c>
      <c r="AL34">
        <f>IF(AH34=0,"",IF(ABS(MAX(T34:AG34))&gt;=ABS(MIN(T34:AG34)),MAX(T34:AG34),MIN(T34:AG34)))</f>
        <v/>
      </c>
      <c r="AM34">
        <f>IF(AH34=0,-1,AJ34*100000+MIN(ABS(AK34),99999))</f>
        <v/>
      </c>
      <c r="AN34">
        <f>IF($S34="","",1+COUNTIFS($AM$3:$AM$122,"&gt;"&amp;AM34)+COUNTIFS($AM$3:$AM$122,AM34,$R$3:$R$122,"&lt;"&amp;$R34))</f>
        <v/>
      </c>
    </row>
    <row r="35">
      <c r="A35" t="n">
        <v>33</v>
      </c>
      <c r="B35" s="31">
        <f>IFERROR(IF(INDEX(LubesData!$B:$B,MATCH($A35,LubesData!$U:$U,0))="","",INDEX(LubesData!$B:$B,MATCH($A35,LubesData!$U:$U,0))),"")</f>
        <v/>
      </c>
      <c r="C35">
        <f>IFERROR(IF(INDEX(LubesData!$D:$D,MATCH($A35,LubesData!$U:$U,0))="","",INDEX(LubesData!$D:$D,MATCH($A35,LubesData!$U:$U,0))),"")</f>
        <v/>
      </c>
      <c r="D35" s="31">
        <f>IFERROR(IF(INDEX(LubesData!$O:$O,MATCH($A35,LubesData!$U:$U,0))="","",INDEX(LubesData!$O:$O,MATCH($A35,LubesData!$U:$U,0))),"")</f>
        <v/>
      </c>
      <c r="E35">
        <f>COUNTIFS(LubesData!$U:$U,$A35)</f>
        <v/>
      </c>
      <c r="F35">
        <f>COUNTIFS(LubesData!$U:$U,$A35,LubesData!$N:$N,"&lt;&gt;")</f>
        <v/>
      </c>
      <c r="G35">
        <f>COUNTIFS(LubesData!$U:$U,$A35,LubesData!$N:$N,0)</f>
        <v/>
      </c>
      <c r="H35">
        <f>IF($F35=0,"",$F35-$G35)</f>
        <v/>
      </c>
      <c r="I35">
        <f>IF($F35=0,"",SUMIFS(LubesData!$N:$N,LubesData!$U:$U,$A35))</f>
        <v/>
      </c>
      <c r="J35">
        <f>COUNTIFS(LubesData!$U:$U,$A35,LubesData!$Q:$Q,"&lt;&gt;")</f>
        <v/>
      </c>
      <c r="K35">
        <f>IF($J35=0,"",SUMIFS(LubesData!$Q:$Q,LubesData!$U:$U,$A35))</f>
        <v/>
      </c>
      <c r="L35">
        <f>COUNTIFS(LubesData!$U:$U,$A35,LubesData!$M:$M,"&lt;&gt;")</f>
        <v/>
      </c>
      <c r="M35">
        <f>IF($E35=0,"",IF($L35=0,"not loaded","loaded"))</f>
        <v/>
      </c>
      <c r="N35">
        <f>COUNTIFS(LubesData!$U:$U,$A35,LubesData!$I:$I,"&lt;&gt;")</f>
        <v/>
      </c>
      <c r="O35">
        <f>IF($E35=0,"",IF($L35=0,"No POS sales have been loaded for this date, so variance cannot be worked out. Import the sales report for this day and it fills in.",IF($N35=0,"This is the first count of these products, so there is no opening figure to sell down from. Variance starts from the next count.",IF($F35-$G35=0,"Physical and POS agree on every product.",($F35-$G35)&amp;" of "&amp;$F35&amp;" products disagree with the POS. Largest first below."))))</f>
        <v/>
      </c>
      <c r="R35" t="n">
        <v>33</v>
      </c>
      <c r="S35">
        <f>IFERROR(INDEX(LubesData!$G:$G,MATCH($R35,LubesData!$V:$V,0)),"")</f>
        <v/>
      </c>
      <c r="T35">
        <f>IF(COUNTIFS(LubesData!$V:$V,$R35,LubesData!$U:$U,1,LubesData!$N:$N,"&lt;&gt;")=0,"",SUMIFS(LubesData!$N:$N,LubesData!$V:$V,$R35,LubesData!$U:$U,1))</f>
        <v/>
      </c>
      <c r="U35">
        <f>IF(COUNTIFS(LubesData!$V:$V,$R35,LubesData!$U:$U,2,LubesData!$N:$N,"&lt;&gt;")=0,"",SUMIFS(LubesData!$N:$N,LubesData!$V:$V,$R35,LubesData!$U:$U,2))</f>
        <v/>
      </c>
      <c r="V35">
        <f>IF(COUNTIFS(LubesData!$V:$V,$R35,LubesData!$U:$U,3,LubesData!$N:$N,"&lt;&gt;")=0,"",SUMIFS(LubesData!$N:$N,LubesData!$V:$V,$R35,LubesData!$U:$U,3))</f>
        <v/>
      </c>
      <c r="W35">
        <f>IF(COUNTIFS(LubesData!$V:$V,$R35,LubesData!$U:$U,4,LubesData!$N:$N,"&lt;&gt;")=0,"",SUMIFS(LubesData!$N:$N,LubesData!$V:$V,$R35,LubesData!$U:$U,4))</f>
        <v/>
      </c>
      <c r="X35">
        <f>IF(COUNTIFS(LubesData!$V:$V,$R35,LubesData!$U:$U,5,LubesData!$N:$N,"&lt;&gt;")=0,"",SUMIFS(LubesData!$N:$N,LubesData!$V:$V,$R35,LubesData!$U:$U,5))</f>
        <v/>
      </c>
      <c r="Y35">
        <f>IF(COUNTIFS(LubesData!$V:$V,$R35,LubesData!$U:$U,6,LubesData!$N:$N,"&lt;&gt;")=0,"",SUMIFS(LubesData!$N:$N,LubesData!$V:$V,$R35,LubesData!$U:$U,6))</f>
        <v/>
      </c>
      <c r="Z35">
        <f>IF(COUNTIFS(LubesData!$V:$V,$R35,LubesData!$U:$U,7,LubesData!$N:$N,"&lt;&gt;")=0,"",SUMIFS(LubesData!$N:$N,LubesData!$V:$V,$R35,LubesData!$U:$U,7))</f>
        <v/>
      </c>
      <c r="AA35">
        <f>IF(COUNTIFS(LubesData!$V:$V,$R35,LubesData!$U:$U,8,LubesData!$N:$N,"&lt;&gt;")=0,"",SUMIFS(LubesData!$N:$N,LubesData!$V:$V,$R35,LubesData!$U:$U,8))</f>
        <v/>
      </c>
      <c r="AB35">
        <f>IF(COUNTIFS(LubesData!$V:$V,$R35,LubesData!$U:$U,9,LubesData!$N:$N,"&lt;&gt;")=0,"",SUMIFS(LubesData!$N:$N,LubesData!$V:$V,$R35,LubesData!$U:$U,9))</f>
        <v/>
      </c>
      <c r="AC35">
        <f>IF(COUNTIFS(LubesData!$V:$V,$R35,LubesData!$U:$U,10,LubesData!$N:$N,"&lt;&gt;")=0,"",SUMIFS(LubesData!$N:$N,LubesData!$V:$V,$R35,LubesData!$U:$U,10))</f>
        <v/>
      </c>
      <c r="AD35">
        <f>IF(COUNTIFS(LubesData!$V:$V,$R35,LubesData!$U:$U,11,LubesData!$N:$N,"&lt;&gt;")=0,"",SUMIFS(LubesData!$N:$N,LubesData!$V:$V,$R35,LubesData!$U:$U,11))</f>
        <v/>
      </c>
      <c r="AE35">
        <f>IF(COUNTIFS(LubesData!$V:$V,$R35,LubesData!$U:$U,12,LubesData!$N:$N,"&lt;&gt;")=0,"",SUMIFS(LubesData!$N:$N,LubesData!$V:$V,$R35,LubesData!$U:$U,12))</f>
        <v/>
      </c>
      <c r="AF35">
        <f>IF(COUNTIFS(LubesData!$V:$V,$R35,LubesData!$U:$U,13,LubesData!$N:$N,"&lt;&gt;")=0,"",SUMIFS(LubesData!$N:$N,LubesData!$V:$V,$R35,LubesData!$U:$U,13))</f>
        <v/>
      </c>
      <c r="AG35">
        <f>IF(COUNTIFS(LubesData!$V:$V,$R35,LubesData!$U:$U,14,LubesData!$N:$N,"&lt;&gt;")=0,"",SUMIFS(LubesData!$N:$N,LubesData!$V:$V,$R35,LubesData!$U:$U,14))</f>
        <v/>
      </c>
      <c r="AH35">
        <f>COUNTIFS(LubesData!$V:$V,$R35,LubesData!$U:$U,"&lt;="&amp;14,LubesData!$N:$N,"&lt;&gt;")</f>
        <v/>
      </c>
      <c r="AI35">
        <f>COUNTIFS(LubesData!$V:$V,$R35,LubesData!$U:$U,"&lt;="&amp;14,LubesData!$N:$N,0)</f>
        <v/>
      </c>
      <c r="AJ35">
        <f>IF(AH35=0,"",AH35-AI35)</f>
        <v/>
      </c>
      <c r="AK35">
        <f>IF(AH35=0,"",SUMIFS(LubesData!$N:$N,LubesData!$V:$V,$R35,LubesData!$U:$U,"&lt;="&amp;14))</f>
        <v/>
      </c>
      <c r="AL35">
        <f>IF(AH35=0,"",IF(ABS(MAX(T35:AG35))&gt;=ABS(MIN(T35:AG35)),MAX(T35:AG35),MIN(T35:AG35)))</f>
        <v/>
      </c>
      <c r="AM35">
        <f>IF(AH35=0,-1,AJ35*100000+MIN(ABS(AK35),99999))</f>
        <v/>
      </c>
      <c r="AN35">
        <f>IF($S35="","",1+COUNTIFS($AM$3:$AM$122,"&gt;"&amp;AM35)+COUNTIFS($AM$3:$AM$122,AM35,$R$3:$R$122,"&lt;"&amp;$R35))</f>
        <v/>
      </c>
    </row>
    <row r="36">
      <c r="A36" t="n">
        <v>34</v>
      </c>
      <c r="B36" s="31">
        <f>IFERROR(IF(INDEX(LubesData!$B:$B,MATCH($A36,LubesData!$U:$U,0))="","",INDEX(LubesData!$B:$B,MATCH($A36,LubesData!$U:$U,0))),"")</f>
        <v/>
      </c>
      <c r="C36">
        <f>IFERROR(IF(INDEX(LubesData!$D:$D,MATCH($A36,LubesData!$U:$U,0))="","",INDEX(LubesData!$D:$D,MATCH($A36,LubesData!$U:$U,0))),"")</f>
        <v/>
      </c>
      <c r="D36" s="31">
        <f>IFERROR(IF(INDEX(LubesData!$O:$O,MATCH($A36,LubesData!$U:$U,0))="","",INDEX(LubesData!$O:$O,MATCH($A36,LubesData!$U:$U,0))),"")</f>
        <v/>
      </c>
      <c r="E36">
        <f>COUNTIFS(LubesData!$U:$U,$A36)</f>
        <v/>
      </c>
      <c r="F36">
        <f>COUNTIFS(LubesData!$U:$U,$A36,LubesData!$N:$N,"&lt;&gt;")</f>
        <v/>
      </c>
      <c r="G36">
        <f>COUNTIFS(LubesData!$U:$U,$A36,LubesData!$N:$N,0)</f>
        <v/>
      </c>
      <c r="H36">
        <f>IF($F36=0,"",$F36-$G36)</f>
        <v/>
      </c>
      <c r="I36">
        <f>IF($F36=0,"",SUMIFS(LubesData!$N:$N,LubesData!$U:$U,$A36))</f>
        <v/>
      </c>
      <c r="J36">
        <f>COUNTIFS(LubesData!$U:$U,$A36,LubesData!$Q:$Q,"&lt;&gt;")</f>
        <v/>
      </c>
      <c r="K36">
        <f>IF($J36=0,"",SUMIFS(LubesData!$Q:$Q,LubesData!$U:$U,$A36))</f>
        <v/>
      </c>
      <c r="L36">
        <f>COUNTIFS(LubesData!$U:$U,$A36,LubesData!$M:$M,"&lt;&gt;")</f>
        <v/>
      </c>
      <c r="M36">
        <f>IF($E36=0,"",IF($L36=0,"not loaded","loaded"))</f>
        <v/>
      </c>
      <c r="N36">
        <f>COUNTIFS(LubesData!$U:$U,$A36,LubesData!$I:$I,"&lt;&gt;")</f>
        <v/>
      </c>
      <c r="O36">
        <f>IF($E36=0,"",IF($L36=0,"No POS sales have been loaded for this date, so variance cannot be worked out. Import the sales report for this day and it fills in.",IF($N36=0,"This is the first count of these products, so there is no opening figure to sell down from. Variance starts from the next count.",IF($F36-$G36=0,"Physical and POS agree on every product.",($F36-$G36)&amp;" of "&amp;$F36&amp;" products disagree with the POS. Largest first below."))))</f>
        <v/>
      </c>
      <c r="R36" t="n">
        <v>34</v>
      </c>
      <c r="S36">
        <f>IFERROR(INDEX(LubesData!$G:$G,MATCH($R36,LubesData!$V:$V,0)),"")</f>
        <v/>
      </c>
      <c r="T36">
        <f>IF(COUNTIFS(LubesData!$V:$V,$R36,LubesData!$U:$U,1,LubesData!$N:$N,"&lt;&gt;")=0,"",SUMIFS(LubesData!$N:$N,LubesData!$V:$V,$R36,LubesData!$U:$U,1))</f>
        <v/>
      </c>
      <c r="U36">
        <f>IF(COUNTIFS(LubesData!$V:$V,$R36,LubesData!$U:$U,2,LubesData!$N:$N,"&lt;&gt;")=0,"",SUMIFS(LubesData!$N:$N,LubesData!$V:$V,$R36,LubesData!$U:$U,2))</f>
        <v/>
      </c>
      <c r="V36">
        <f>IF(COUNTIFS(LubesData!$V:$V,$R36,LubesData!$U:$U,3,LubesData!$N:$N,"&lt;&gt;")=0,"",SUMIFS(LubesData!$N:$N,LubesData!$V:$V,$R36,LubesData!$U:$U,3))</f>
        <v/>
      </c>
      <c r="W36">
        <f>IF(COUNTIFS(LubesData!$V:$V,$R36,LubesData!$U:$U,4,LubesData!$N:$N,"&lt;&gt;")=0,"",SUMIFS(LubesData!$N:$N,LubesData!$V:$V,$R36,LubesData!$U:$U,4))</f>
        <v/>
      </c>
      <c r="X36">
        <f>IF(COUNTIFS(LubesData!$V:$V,$R36,LubesData!$U:$U,5,LubesData!$N:$N,"&lt;&gt;")=0,"",SUMIFS(LubesData!$N:$N,LubesData!$V:$V,$R36,LubesData!$U:$U,5))</f>
        <v/>
      </c>
      <c r="Y36">
        <f>IF(COUNTIFS(LubesData!$V:$V,$R36,LubesData!$U:$U,6,LubesData!$N:$N,"&lt;&gt;")=0,"",SUMIFS(LubesData!$N:$N,LubesData!$V:$V,$R36,LubesData!$U:$U,6))</f>
        <v/>
      </c>
      <c r="Z36">
        <f>IF(COUNTIFS(LubesData!$V:$V,$R36,LubesData!$U:$U,7,LubesData!$N:$N,"&lt;&gt;")=0,"",SUMIFS(LubesData!$N:$N,LubesData!$V:$V,$R36,LubesData!$U:$U,7))</f>
        <v/>
      </c>
      <c r="AA36">
        <f>IF(COUNTIFS(LubesData!$V:$V,$R36,LubesData!$U:$U,8,LubesData!$N:$N,"&lt;&gt;")=0,"",SUMIFS(LubesData!$N:$N,LubesData!$V:$V,$R36,LubesData!$U:$U,8))</f>
        <v/>
      </c>
      <c r="AB36">
        <f>IF(COUNTIFS(LubesData!$V:$V,$R36,LubesData!$U:$U,9,LubesData!$N:$N,"&lt;&gt;")=0,"",SUMIFS(LubesData!$N:$N,LubesData!$V:$V,$R36,LubesData!$U:$U,9))</f>
        <v/>
      </c>
      <c r="AC36">
        <f>IF(COUNTIFS(LubesData!$V:$V,$R36,LubesData!$U:$U,10,LubesData!$N:$N,"&lt;&gt;")=0,"",SUMIFS(LubesData!$N:$N,LubesData!$V:$V,$R36,LubesData!$U:$U,10))</f>
        <v/>
      </c>
      <c r="AD36">
        <f>IF(COUNTIFS(LubesData!$V:$V,$R36,LubesData!$U:$U,11,LubesData!$N:$N,"&lt;&gt;")=0,"",SUMIFS(LubesData!$N:$N,LubesData!$V:$V,$R36,LubesData!$U:$U,11))</f>
        <v/>
      </c>
      <c r="AE36">
        <f>IF(COUNTIFS(LubesData!$V:$V,$R36,LubesData!$U:$U,12,LubesData!$N:$N,"&lt;&gt;")=0,"",SUMIFS(LubesData!$N:$N,LubesData!$V:$V,$R36,LubesData!$U:$U,12))</f>
        <v/>
      </c>
      <c r="AF36">
        <f>IF(COUNTIFS(LubesData!$V:$V,$R36,LubesData!$U:$U,13,LubesData!$N:$N,"&lt;&gt;")=0,"",SUMIFS(LubesData!$N:$N,LubesData!$V:$V,$R36,LubesData!$U:$U,13))</f>
        <v/>
      </c>
      <c r="AG36">
        <f>IF(COUNTIFS(LubesData!$V:$V,$R36,LubesData!$U:$U,14,LubesData!$N:$N,"&lt;&gt;")=0,"",SUMIFS(LubesData!$N:$N,LubesData!$V:$V,$R36,LubesData!$U:$U,14))</f>
        <v/>
      </c>
      <c r="AH36">
        <f>COUNTIFS(LubesData!$V:$V,$R36,LubesData!$U:$U,"&lt;="&amp;14,LubesData!$N:$N,"&lt;&gt;")</f>
        <v/>
      </c>
      <c r="AI36">
        <f>COUNTIFS(LubesData!$V:$V,$R36,LubesData!$U:$U,"&lt;="&amp;14,LubesData!$N:$N,0)</f>
        <v/>
      </c>
      <c r="AJ36">
        <f>IF(AH36=0,"",AH36-AI36)</f>
        <v/>
      </c>
      <c r="AK36">
        <f>IF(AH36=0,"",SUMIFS(LubesData!$N:$N,LubesData!$V:$V,$R36,LubesData!$U:$U,"&lt;="&amp;14))</f>
        <v/>
      </c>
      <c r="AL36">
        <f>IF(AH36=0,"",IF(ABS(MAX(T36:AG36))&gt;=ABS(MIN(T36:AG36)),MAX(T36:AG36),MIN(T36:AG36)))</f>
        <v/>
      </c>
      <c r="AM36">
        <f>IF(AH36=0,-1,AJ36*100000+MIN(ABS(AK36),99999))</f>
        <v/>
      </c>
      <c r="AN36">
        <f>IF($S36="","",1+COUNTIFS($AM$3:$AM$122,"&gt;"&amp;AM36)+COUNTIFS($AM$3:$AM$122,AM36,$R$3:$R$122,"&lt;"&amp;$R36))</f>
        <v/>
      </c>
    </row>
    <row r="37">
      <c r="A37" t="n">
        <v>35</v>
      </c>
      <c r="B37" s="31">
        <f>IFERROR(IF(INDEX(LubesData!$B:$B,MATCH($A37,LubesData!$U:$U,0))="","",INDEX(LubesData!$B:$B,MATCH($A37,LubesData!$U:$U,0))),"")</f>
        <v/>
      </c>
      <c r="C37">
        <f>IFERROR(IF(INDEX(LubesData!$D:$D,MATCH($A37,LubesData!$U:$U,0))="","",INDEX(LubesData!$D:$D,MATCH($A37,LubesData!$U:$U,0))),"")</f>
        <v/>
      </c>
      <c r="D37" s="31">
        <f>IFERROR(IF(INDEX(LubesData!$O:$O,MATCH($A37,LubesData!$U:$U,0))="","",INDEX(LubesData!$O:$O,MATCH($A37,LubesData!$U:$U,0))),"")</f>
        <v/>
      </c>
      <c r="E37">
        <f>COUNTIFS(LubesData!$U:$U,$A37)</f>
        <v/>
      </c>
      <c r="F37">
        <f>COUNTIFS(LubesData!$U:$U,$A37,LubesData!$N:$N,"&lt;&gt;")</f>
        <v/>
      </c>
      <c r="G37">
        <f>COUNTIFS(LubesData!$U:$U,$A37,LubesData!$N:$N,0)</f>
        <v/>
      </c>
      <c r="H37">
        <f>IF($F37=0,"",$F37-$G37)</f>
        <v/>
      </c>
      <c r="I37">
        <f>IF($F37=0,"",SUMIFS(LubesData!$N:$N,LubesData!$U:$U,$A37))</f>
        <v/>
      </c>
      <c r="J37">
        <f>COUNTIFS(LubesData!$U:$U,$A37,LubesData!$Q:$Q,"&lt;&gt;")</f>
        <v/>
      </c>
      <c r="K37">
        <f>IF($J37=0,"",SUMIFS(LubesData!$Q:$Q,LubesData!$U:$U,$A37))</f>
        <v/>
      </c>
      <c r="L37">
        <f>COUNTIFS(LubesData!$U:$U,$A37,LubesData!$M:$M,"&lt;&gt;")</f>
        <v/>
      </c>
      <c r="M37">
        <f>IF($E37=0,"",IF($L37=0,"not loaded","loaded"))</f>
        <v/>
      </c>
      <c r="N37">
        <f>COUNTIFS(LubesData!$U:$U,$A37,LubesData!$I:$I,"&lt;&gt;")</f>
        <v/>
      </c>
      <c r="O37">
        <f>IF($E37=0,"",IF($L37=0,"No POS sales have been loaded for this date, so variance cannot be worked out. Import the sales report for this day and it fills in.",IF($N37=0,"This is the first count of these products, so there is no opening figure to sell down from. Variance starts from the next count.",IF($F37-$G37=0,"Physical and POS agree on every product.",($F37-$G37)&amp;" of "&amp;$F37&amp;" products disagree with the POS. Largest first below."))))</f>
        <v/>
      </c>
      <c r="R37" t="n">
        <v>35</v>
      </c>
      <c r="S37">
        <f>IFERROR(INDEX(LubesData!$G:$G,MATCH($R37,LubesData!$V:$V,0)),"")</f>
        <v/>
      </c>
      <c r="T37">
        <f>IF(COUNTIFS(LubesData!$V:$V,$R37,LubesData!$U:$U,1,LubesData!$N:$N,"&lt;&gt;")=0,"",SUMIFS(LubesData!$N:$N,LubesData!$V:$V,$R37,LubesData!$U:$U,1))</f>
        <v/>
      </c>
      <c r="U37">
        <f>IF(COUNTIFS(LubesData!$V:$V,$R37,LubesData!$U:$U,2,LubesData!$N:$N,"&lt;&gt;")=0,"",SUMIFS(LubesData!$N:$N,LubesData!$V:$V,$R37,LubesData!$U:$U,2))</f>
        <v/>
      </c>
      <c r="V37">
        <f>IF(COUNTIFS(LubesData!$V:$V,$R37,LubesData!$U:$U,3,LubesData!$N:$N,"&lt;&gt;")=0,"",SUMIFS(LubesData!$N:$N,LubesData!$V:$V,$R37,LubesData!$U:$U,3))</f>
        <v/>
      </c>
      <c r="W37">
        <f>IF(COUNTIFS(LubesData!$V:$V,$R37,LubesData!$U:$U,4,LubesData!$N:$N,"&lt;&gt;")=0,"",SUMIFS(LubesData!$N:$N,LubesData!$V:$V,$R37,LubesData!$U:$U,4))</f>
        <v/>
      </c>
      <c r="X37">
        <f>IF(COUNTIFS(LubesData!$V:$V,$R37,LubesData!$U:$U,5,LubesData!$N:$N,"&lt;&gt;")=0,"",SUMIFS(LubesData!$N:$N,LubesData!$V:$V,$R37,LubesData!$U:$U,5))</f>
        <v/>
      </c>
      <c r="Y37">
        <f>IF(COUNTIFS(LubesData!$V:$V,$R37,LubesData!$U:$U,6,LubesData!$N:$N,"&lt;&gt;")=0,"",SUMIFS(LubesData!$N:$N,LubesData!$V:$V,$R37,LubesData!$U:$U,6))</f>
        <v/>
      </c>
      <c r="Z37">
        <f>IF(COUNTIFS(LubesData!$V:$V,$R37,LubesData!$U:$U,7,LubesData!$N:$N,"&lt;&gt;")=0,"",SUMIFS(LubesData!$N:$N,LubesData!$V:$V,$R37,LubesData!$U:$U,7))</f>
        <v/>
      </c>
      <c r="AA37">
        <f>IF(COUNTIFS(LubesData!$V:$V,$R37,LubesData!$U:$U,8,LubesData!$N:$N,"&lt;&gt;")=0,"",SUMIFS(LubesData!$N:$N,LubesData!$V:$V,$R37,LubesData!$U:$U,8))</f>
        <v/>
      </c>
      <c r="AB37">
        <f>IF(COUNTIFS(LubesData!$V:$V,$R37,LubesData!$U:$U,9,LubesData!$N:$N,"&lt;&gt;")=0,"",SUMIFS(LubesData!$N:$N,LubesData!$V:$V,$R37,LubesData!$U:$U,9))</f>
        <v/>
      </c>
      <c r="AC37">
        <f>IF(COUNTIFS(LubesData!$V:$V,$R37,LubesData!$U:$U,10,LubesData!$N:$N,"&lt;&gt;")=0,"",SUMIFS(LubesData!$N:$N,LubesData!$V:$V,$R37,LubesData!$U:$U,10))</f>
        <v/>
      </c>
      <c r="AD37">
        <f>IF(COUNTIFS(LubesData!$V:$V,$R37,LubesData!$U:$U,11,LubesData!$N:$N,"&lt;&gt;")=0,"",SUMIFS(LubesData!$N:$N,LubesData!$V:$V,$R37,LubesData!$U:$U,11))</f>
        <v/>
      </c>
      <c r="AE37">
        <f>IF(COUNTIFS(LubesData!$V:$V,$R37,LubesData!$U:$U,12,LubesData!$N:$N,"&lt;&gt;")=0,"",SUMIFS(LubesData!$N:$N,LubesData!$V:$V,$R37,LubesData!$U:$U,12))</f>
        <v/>
      </c>
      <c r="AF37">
        <f>IF(COUNTIFS(LubesData!$V:$V,$R37,LubesData!$U:$U,13,LubesData!$N:$N,"&lt;&gt;")=0,"",SUMIFS(LubesData!$N:$N,LubesData!$V:$V,$R37,LubesData!$U:$U,13))</f>
        <v/>
      </c>
      <c r="AG37">
        <f>IF(COUNTIFS(LubesData!$V:$V,$R37,LubesData!$U:$U,14,LubesData!$N:$N,"&lt;&gt;")=0,"",SUMIFS(LubesData!$N:$N,LubesData!$V:$V,$R37,LubesData!$U:$U,14))</f>
        <v/>
      </c>
      <c r="AH37">
        <f>COUNTIFS(LubesData!$V:$V,$R37,LubesData!$U:$U,"&lt;="&amp;14,LubesData!$N:$N,"&lt;&gt;")</f>
        <v/>
      </c>
      <c r="AI37">
        <f>COUNTIFS(LubesData!$V:$V,$R37,LubesData!$U:$U,"&lt;="&amp;14,LubesData!$N:$N,0)</f>
        <v/>
      </c>
      <c r="AJ37">
        <f>IF(AH37=0,"",AH37-AI37)</f>
        <v/>
      </c>
      <c r="AK37">
        <f>IF(AH37=0,"",SUMIFS(LubesData!$N:$N,LubesData!$V:$V,$R37,LubesData!$U:$U,"&lt;="&amp;14))</f>
        <v/>
      </c>
      <c r="AL37">
        <f>IF(AH37=0,"",IF(ABS(MAX(T37:AG37))&gt;=ABS(MIN(T37:AG37)),MAX(T37:AG37),MIN(T37:AG37)))</f>
        <v/>
      </c>
      <c r="AM37">
        <f>IF(AH37=0,-1,AJ37*100000+MIN(ABS(AK37),99999))</f>
        <v/>
      </c>
      <c r="AN37">
        <f>IF($S37="","",1+COUNTIFS($AM$3:$AM$122,"&gt;"&amp;AM37)+COUNTIFS($AM$3:$AM$122,AM37,$R$3:$R$122,"&lt;"&amp;$R37))</f>
        <v/>
      </c>
    </row>
    <row r="38">
      <c r="A38" t="n">
        <v>36</v>
      </c>
      <c r="B38" s="31">
        <f>IFERROR(IF(INDEX(LubesData!$B:$B,MATCH($A38,LubesData!$U:$U,0))="","",INDEX(LubesData!$B:$B,MATCH($A38,LubesData!$U:$U,0))),"")</f>
        <v/>
      </c>
      <c r="C38">
        <f>IFERROR(IF(INDEX(LubesData!$D:$D,MATCH($A38,LubesData!$U:$U,0))="","",INDEX(LubesData!$D:$D,MATCH($A38,LubesData!$U:$U,0))),"")</f>
        <v/>
      </c>
      <c r="D38" s="31">
        <f>IFERROR(IF(INDEX(LubesData!$O:$O,MATCH($A38,LubesData!$U:$U,0))="","",INDEX(LubesData!$O:$O,MATCH($A38,LubesData!$U:$U,0))),"")</f>
        <v/>
      </c>
      <c r="E38">
        <f>COUNTIFS(LubesData!$U:$U,$A38)</f>
        <v/>
      </c>
      <c r="F38">
        <f>COUNTIFS(LubesData!$U:$U,$A38,LubesData!$N:$N,"&lt;&gt;")</f>
        <v/>
      </c>
      <c r="G38">
        <f>COUNTIFS(LubesData!$U:$U,$A38,LubesData!$N:$N,0)</f>
        <v/>
      </c>
      <c r="H38">
        <f>IF($F38=0,"",$F38-$G38)</f>
        <v/>
      </c>
      <c r="I38">
        <f>IF($F38=0,"",SUMIFS(LubesData!$N:$N,LubesData!$U:$U,$A38))</f>
        <v/>
      </c>
      <c r="J38">
        <f>COUNTIFS(LubesData!$U:$U,$A38,LubesData!$Q:$Q,"&lt;&gt;")</f>
        <v/>
      </c>
      <c r="K38">
        <f>IF($J38=0,"",SUMIFS(LubesData!$Q:$Q,LubesData!$U:$U,$A38))</f>
        <v/>
      </c>
      <c r="L38">
        <f>COUNTIFS(LubesData!$U:$U,$A38,LubesData!$M:$M,"&lt;&gt;")</f>
        <v/>
      </c>
      <c r="M38">
        <f>IF($E38=0,"",IF($L38=0,"not loaded","loaded"))</f>
        <v/>
      </c>
      <c r="N38">
        <f>COUNTIFS(LubesData!$U:$U,$A38,LubesData!$I:$I,"&lt;&gt;")</f>
        <v/>
      </c>
      <c r="O38">
        <f>IF($E38=0,"",IF($L38=0,"No POS sales have been loaded for this date, so variance cannot be worked out. Import the sales report for this day and it fills in.",IF($N38=0,"This is the first count of these products, so there is no opening figure to sell down from. Variance starts from the next count.",IF($F38-$G38=0,"Physical and POS agree on every product.",($F38-$G38)&amp;" of "&amp;$F38&amp;" products disagree with the POS. Largest first below."))))</f>
        <v/>
      </c>
      <c r="R38" t="n">
        <v>36</v>
      </c>
      <c r="S38">
        <f>IFERROR(INDEX(LubesData!$G:$G,MATCH($R38,LubesData!$V:$V,0)),"")</f>
        <v/>
      </c>
      <c r="T38">
        <f>IF(COUNTIFS(LubesData!$V:$V,$R38,LubesData!$U:$U,1,LubesData!$N:$N,"&lt;&gt;")=0,"",SUMIFS(LubesData!$N:$N,LubesData!$V:$V,$R38,LubesData!$U:$U,1))</f>
        <v/>
      </c>
      <c r="U38">
        <f>IF(COUNTIFS(LubesData!$V:$V,$R38,LubesData!$U:$U,2,LubesData!$N:$N,"&lt;&gt;")=0,"",SUMIFS(LubesData!$N:$N,LubesData!$V:$V,$R38,LubesData!$U:$U,2))</f>
        <v/>
      </c>
      <c r="V38">
        <f>IF(COUNTIFS(LubesData!$V:$V,$R38,LubesData!$U:$U,3,LubesData!$N:$N,"&lt;&gt;")=0,"",SUMIFS(LubesData!$N:$N,LubesData!$V:$V,$R38,LubesData!$U:$U,3))</f>
        <v/>
      </c>
      <c r="W38">
        <f>IF(COUNTIFS(LubesData!$V:$V,$R38,LubesData!$U:$U,4,LubesData!$N:$N,"&lt;&gt;")=0,"",SUMIFS(LubesData!$N:$N,LubesData!$V:$V,$R38,LubesData!$U:$U,4))</f>
        <v/>
      </c>
      <c r="X38">
        <f>IF(COUNTIFS(LubesData!$V:$V,$R38,LubesData!$U:$U,5,LubesData!$N:$N,"&lt;&gt;")=0,"",SUMIFS(LubesData!$N:$N,LubesData!$V:$V,$R38,LubesData!$U:$U,5))</f>
        <v/>
      </c>
      <c r="Y38">
        <f>IF(COUNTIFS(LubesData!$V:$V,$R38,LubesData!$U:$U,6,LubesData!$N:$N,"&lt;&gt;")=0,"",SUMIFS(LubesData!$N:$N,LubesData!$V:$V,$R38,LubesData!$U:$U,6))</f>
        <v/>
      </c>
      <c r="Z38">
        <f>IF(COUNTIFS(LubesData!$V:$V,$R38,LubesData!$U:$U,7,LubesData!$N:$N,"&lt;&gt;")=0,"",SUMIFS(LubesData!$N:$N,LubesData!$V:$V,$R38,LubesData!$U:$U,7))</f>
        <v/>
      </c>
      <c r="AA38">
        <f>IF(COUNTIFS(LubesData!$V:$V,$R38,LubesData!$U:$U,8,LubesData!$N:$N,"&lt;&gt;")=0,"",SUMIFS(LubesData!$N:$N,LubesData!$V:$V,$R38,LubesData!$U:$U,8))</f>
        <v/>
      </c>
      <c r="AB38">
        <f>IF(COUNTIFS(LubesData!$V:$V,$R38,LubesData!$U:$U,9,LubesData!$N:$N,"&lt;&gt;")=0,"",SUMIFS(LubesData!$N:$N,LubesData!$V:$V,$R38,LubesData!$U:$U,9))</f>
        <v/>
      </c>
      <c r="AC38">
        <f>IF(COUNTIFS(LubesData!$V:$V,$R38,LubesData!$U:$U,10,LubesData!$N:$N,"&lt;&gt;")=0,"",SUMIFS(LubesData!$N:$N,LubesData!$V:$V,$R38,LubesData!$U:$U,10))</f>
        <v/>
      </c>
      <c r="AD38">
        <f>IF(COUNTIFS(LubesData!$V:$V,$R38,LubesData!$U:$U,11,LubesData!$N:$N,"&lt;&gt;")=0,"",SUMIFS(LubesData!$N:$N,LubesData!$V:$V,$R38,LubesData!$U:$U,11))</f>
        <v/>
      </c>
      <c r="AE38">
        <f>IF(COUNTIFS(LubesData!$V:$V,$R38,LubesData!$U:$U,12,LubesData!$N:$N,"&lt;&gt;")=0,"",SUMIFS(LubesData!$N:$N,LubesData!$V:$V,$R38,LubesData!$U:$U,12))</f>
        <v/>
      </c>
      <c r="AF38">
        <f>IF(COUNTIFS(LubesData!$V:$V,$R38,LubesData!$U:$U,13,LubesData!$N:$N,"&lt;&gt;")=0,"",SUMIFS(LubesData!$N:$N,LubesData!$V:$V,$R38,LubesData!$U:$U,13))</f>
        <v/>
      </c>
      <c r="AG38">
        <f>IF(COUNTIFS(LubesData!$V:$V,$R38,LubesData!$U:$U,14,LubesData!$N:$N,"&lt;&gt;")=0,"",SUMIFS(LubesData!$N:$N,LubesData!$V:$V,$R38,LubesData!$U:$U,14))</f>
        <v/>
      </c>
      <c r="AH38">
        <f>COUNTIFS(LubesData!$V:$V,$R38,LubesData!$U:$U,"&lt;="&amp;14,LubesData!$N:$N,"&lt;&gt;")</f>
        <v/>
      </c>
      <c r="AI38">
        <f>COUNTIFS(LubesData!$V:$V,$R38,LubesData!$U:$U,"&lt;="&amp;14,LubesData!$N:$N,0)</f>
        <v/>
      </c>
      <c r="AJ38">
        <f>IF(AH38=0,"",AH38-AI38)</f>
        <v/>
      </c>
      <c r="AK38">
        <f>IF(AH38=0,"",SUMIFS(LubesData!$N:$N,LubesData!$V:$V,$R38,LubesData!$U:$U,"&lt;="&amp;14))</f>
        <v/>
      </c>
      <c r="AL38">
        <f>IF(AH38=0,"",IF(ABS(MAX(T38:AG38))&gt;=ABS(MIN(T38:AG38)),MAX(T38:AG38),MIN(T38:AG38)))</f>
        <v/>
      </c>
      <c r="AM38">
        <f>IF(AH38=0,-1,AJ38*100000+MIN(ABS(AK38),99999))</f>
        <v/>
      </c>
      <c r="AN38">
        <f>IF($S38="","",1+COUNTIFS($AM$3:$AM$122,"&gt;"&amp;AM38)+COUNTIFS($AM$3:$AM$122,AM38,$R$3:$R$122,"&lt;"&amp;$R38))</f>
        <v/>
      </c>
    </row>
    <row r="39">
      <c r="A39" t="n">
        <v>37</v>
      </c>
      <c r="B39" s="31">
        <f>IFERROR(IF(INDEX(LubesData!$B:$B,MATCH($A39,LubesData!$U:$U,0))="","",INDEX(LubesData!$B:$B,MATCH($A39,LubesData!$U:$U,0))),"")</f>
        <v/>
      </c>
      <c r="C39">
        <f>IFERROR(IF(INDEX(LubesData!$D:$D,MATCH($A39,LubesData!$U:$U,0))="","",INDEX(LubesData!$D:$D,MATCH($A39,LubesData!$U:$U,0))),"")</f>
        <v/>
      </c>
      <c r="D39" s="31">
        <f>IFERROR(IF(INDEX(LubesData!$O:$O,MATCH($A39,LubesData!$U:$U,0))="","",INDEX(LubesData!$O:$O,MATCH($A39,LubesData!$U:$U,0))),"")</f>
        <v/>
      </c>
      <c r="E39">
        <f>COUNTIFS(LubesData!$U:$U,$A39)</f>
        <v/>
      </c>
      <c r="F39">
        <f>COUNTIFS(LubesData!$U:$U,$A39,LubesData!$N:$N,"&lt;&gt;")</f>
        <v/>
      </c>
      <c r="G39">
        <f>COUNTIFS(LubesData!$U:$U,$A39,LubesData!$N:$N,0)</f>
        <v/>
      </c>
      <c r="H39">
        <f>IF($F39=0,"",$F39-$G39)</f>
        <v/>
      </c>
      <c r="I39">
        <f>IF($F39=0,"",SUMIFS(LubesData!$N:$N,LubesData!$U:$U,$A39))</f>
        <v/>
      </c>
      <c r="J39">
        <f>COUNTIFS(LubesData!$U:$U,$A39,LubesData!$Q:$Q,"&lt;&gt;")</f>
        <v/>
      </c>
      <c r="K39">
        <f>IF($J39=0,"",SUMIFS(LubesData!$Q:$Q,LubesData!$U:$U,$A39))</f>
        <v/>
      </c>
      <c r="L39">
        <f>COUNTIFS(LubesData!$U:$U,$A39,LubesData!$M:$M,"&lt;&gt;")</f>
        <v/>
      </c>
      <c r="M39">
        <f>IF($E39=0,"",IF($L39=0,"not loaded","loaded"))</f>
        <v/>
      </c>
      <c r="N39">
        <f>COUNTIFS(LubesData!$U:$U,$A39,LubesData!$I:$I,"&lt;&gt;")</f>
        <v/>
      </c>
      <c r="O39">
        <f>IF($E39=0,"",IF($L39=0,"No POS sales have been loaded for this date, so variance cannot be worked out. Import the sales report for this day and it fills in.",IF($N39=0,"This is the first count of these products, so there is no opening figure to sell down from. Variance starts from the next count.",IF($F39-$G39=0,"Physical and POS agree on every product.",($F39-$G39)&amp;" of "&amp;$F39&amp;" products disagree with the POS. Largest first below."))))</f>
        <v/>
      </c>
      <c r="R39" t="n">
        <v>37</v>
      </c>
      <c r="S39">
        <f>IFERROR(INDEX(LubesData!$G:$G,MATCH($R39,LubesData!$V:$V,0)),"")</f>
        <v/>
      </c>
      <c r="T39">
        <f>IF(COUNTIFS(LubesData!$V:$V,$R39,LubesData!$U:$U,1,LubesData!$N:$N,"&lt;&gt;")=0,"",SUMIFS(LubesData!$N:$N,LubesData!$V:$V,$R39,LubesData!$U:$U,1))</f>
        <v/>
      </c>
      <c r="U39">
        <f>IF(COUNTIFS(LubesData!$V:$V,$R39,LubesData!$U:$U,2,LubesData!$N:$N,"&lt;&gt;")=0,"",SUMIFS(LubesData!$N:$N,LubesData!$V:$V,$R39,LubesData!$U:$U,2))</f>
        <v/>
      </c>
      <c r="V39">
        <f>IF(COUNTIFS(LubesData!$V:$V,$R39,LubesData!$U:$U,3,LubesData!$N:$N,"&lt;&gt;")=0,"",SUMIFS(LubesData!$N:$N,LubesData!$V:$V,$R39,LubesData!$U:$U,3))</f>
        <v/>
      </c>
      <c r="W39">
        <f>IF(COUNTIFS(LubesData!$V:$V,$R39,LubesData!$U:$U,4,LubesData!$N:$N,"&lt;&gt;")=0,"",SUMIFS(LubesData!$N:$N,LubesData!$V:$V,$R39,LubesData!$U:$U,4))</f>
        <v/>
      </c>
      <c r="X39">
        <f>IF(COUNTIFS(LubesData!$V:$V,$R39,LubesData!$U:$U,5,LubesData!$N:$N,"&lt;&gt;")=0,"",SUMIFS(LubesData!$N:$N,LubesData!$V:$V,$R39,LubesData!$U:$U,5))</f>
        <v/>
      </c>
      <c r="Y39">
        <f>IF(COUNTIFS(LubesData!$V:$V,$R39,LubesData!$U:$U,6,LubesData!$N:$N,"&lt;&gt;")=0,"",SUMIFS(LubesData!$N:$N,LubesData!$V:$V,$R39,LubesData!$U:$U,6))</f>
        <v/>
      </c>
      <c r="Z39">
        <f>IF(COUNTIFS(LubesData!$V:$V,$R39,LubesData!$U:$U,7,LubesData!$N:$N,"&lt;&gt;")=0,"",SUMIFS(LubesData!$N:$N,LubesData!$V:$V,$R39,LubesData!$U:$U,7))</f>
        <v/>
      </c>
      <c r="AA39">
        <f>IF(COUNTIFS(LubesData!$V:$V,$R39,LubesData!$U:$U,8,LubesData!$N:$N,"&lt;&gt;")=0,"",SUMIFS(LubesData!$N:$N,LubesData!$V:$V,$R39,LubesData!$U:$U,8))</f>
        <v/>
      </c>
      <c r="AB39">
        <f>IF(COUNTIFS(LubesData!$V:$V,$R39,LubesData!$U:$U,9,LubesData!$N:$N,"&lt;&gt;")=0,"",SUMIFS(LubesData!$N:$N,LubesData!$V:$V,$R39,LubesData!$U:$U,9))</f>
        <v/>
      </c>
      <c r="AC39">
        <f>IF(COUNTIFS(LubesData!$V:$V,$R39,LubesData!$U:$U,10,LubesData!$N:$N,"&lt;&gt;")=0,"",SUMIFS(LubesData!$N:$N,LubesData!$V:$V,$R39,LubesData!$U:$U,10))</f>
        <v/>
      </c>
      <c r="AD39">
        <f>IF(COUNTIFS(LubesData!$V:$V,$R39,LubesData!$U:$U,11,LubesData!$N:$N,"&lt;&gt;")=0,"",SUMIFS(LubesData!$N:$N,LubesData!$V:$V,$R39,LubesData!$U:$U,11))</f>
        <v/>
      </c>
      <c r="AE39">
        <f>IF(COUNTIFS(LubesData!$V:$V,$R39,LubesData!$U:$U,12,LubesData!$N:$N,"&lt;&gt;")=0,"",SUMIFS(LubesData!$N:$N,LubesData!$V:$V,$R39,LubesData!$U:$U,12))</f>
        <v/>
      </c>
      <c r="AF39">
        <f>IF(COUNTIFS(LubesData!$V:$V,$R39,LubesData!$U:$U,13,LubesData!$N:$N,"&lt;&gt;")=0,"",SUMIFS(LubesData!$N:$N,LubesData!$V:$V,$R39,LubesData!$U:$U,13))</f>
        <v/>
      </c>
      <c r="AG39">
        <f>IF(COUNTIFS(LubesData!$V:$V,$R39,LubesData!$U:$U,14,LubesData!$N:$N,"&lt;&gt;")=0,"",SUMIFS(LubesData!$N:$N,LubesData!$V:$V,$R39,LubesData!$U:$U,14))</f>
        <v/>
      </c>
      <c r="AH39">
        <f>COUNTIFS(LubesData!$V:$V,$R39,LubesData!$U:$U,"&lt;="&amp;14,LubesData!$N:$N,"&lt;&gt;")</f>
        <v/>
      </c>
      <c r="AI39">
        <f>COUNTIFS(LubesData!$V:$V,$R39,LubesData!$U:$U,"&lt;="&amp;14,LubesData!$N:$N,0)</f>
        <v/>
      </c>
      <c r="AJ39">
        <f>IF(AH39=0,"",AH39-AI39)</f>
        <v/>
      </c>
      <c r="AK39">
        <f>IF(AH39=0,"",SUMIFS(LubesData!$N:$N,LubesData!$V:$V,$R39,LubesData!$U:$U,"&lt;="&amp;14))</f>
        <v/>
      </c>
      <c r="AL39">
        <f>IF(AH39=0,"",IF(ABS(MAX(T39:AG39))&gt;=ABS(MIN(T39:AG39)),MAX(T39:AG39),MIN(T39:AG39)))</f>
        <v/>
      </c>
      <c r="AM39">
        <f>IF(AH39=0,-1,AJ39*100000+MIN(ABS(AK39),99999))</f>
        <v/>
      </c>
      <c r="AN39">
        <f>IF($S39="","",1+COUNTIFS($AM$3:$AM$122,"&gt;"&amp;AM39)+COUNTIFS($AM$3:$AM$122,AM39,$R$3:$R$122,"&lt;"&amp;$R39))</f>
        <v/>
      </c>
    </row>
    <row r="40">
      <c r="A40" t="n">
        <v>38</v>
      </c>
      <c r="B40" s="31">
        <f>IFERROR(IF(INDEX(LubesData!$B:$B,MATCH($A40,LubesData!$U:$U,0))="","",INDEX(LubesData!$B:$B,MATCH($A40,LubesData!$U:$U,0))),"")</f>
        <v/>
      </c>
      <c r="C40">
        <f>IFERROR(IF(INDEX(LubesData!$D:$D,MATCH($A40,LubesData!$U:$U,0))="","",INDEX(LubesData!$D:$D,MATCH($A40,LubesData!$U:$U,0))),"")</f>
        <v/>
      </c>
      <c r="D40" s="31">
        <f>IFERROR(IF(INDEX(LubesData!$O:$O,MATCH($A40,LubesData!$U:$U,0))="","",INDEX(LubesData!$O:$O,MATCH($A40,LubesData!$U:$U,0))),"")</f>
        <v/>
      </c>
      <c r="E40">
        <f>COUNTIFS(LubesData!$U:$U,$A40)</f>
        <v/>
      </c>
      <c r="F40">
        <f>COUNTIFS(LubesData!$U:$U,$A40,LubesData!$N:$N,"&lt;&gt;")</f>
        <v/>
      </c>
      <c r="G40">
        <f>COUNTIFS(LubesData!$U:$U,$A40,LubesData!$N:$N,0)</f>
        <v/>
      </c>
      <c r="H40">
        <f>IF($F40=0,"",$F40-$G40)</f>
        <v/>
      </c>
      <c r="I40">
        <f>IF($F40=0,"",SUMIFS(LubesData!$N:$N,LubesData!$U:$U,$A40))</f>
        <v/>
      </c>
      <c r="J40">
        <f>COUNTIFS(LubesData!$U:$U,$A40,LubesData!$Q:$Q,"&lt;&gt;")</f>
        <v/>
      </c>
      <c r="K40">
        <f>IF($J40=0,"",SUMIFS(LubesData!$Q:$Q,LubesData!$U:$U,$A40))</f>
        <v/>
      </c>
      <c r="L40">
        <f>COUNTIFS(LubesData!$U:$U,$A40,LubesData!$M:$M,"&lt;&gt;")</f>
        <v/>
      </c>
      <c r="M40">
        <f>IF($E40=0,"",IF($L40=0,"not loaded","loaded"))</f>
        <v/>
      </c>
      <c r="N40">
        <f>COUNTIFS(LubesData!$U:$U,$A40,LubesData!$I:$I,"&lt;&gt;")</f>
        <v/>
      </c>
      <c r="O40">
        <f>IF($E40=0,"",IF($L40=0,"No POS sales have been loaded for this date, so variance cannot be worked out. Import the sales report for this day and it fills in.",IF($N40=0,"This is the first count of these products, so there is no opening figure to sell down from. Variance starts from the next count.",IF($F40-$G40=0,"Physical and POS agree on every product.",($F40-$G40)&amp;" of "&amp;$F40&amp;" products disagree with the POS. Largest first below."))))</f>
        <v/>
      </c>
      <c r="R40" t="n">
        <v>38</v>
      </c>
      <c r="S40">
        <f>IFERROR(INDEX(LubesData!$G:$G,MATCH($R40,LubesData!$V:$V,0)),"")</f>
        <v/>
      </c>
      <c r="T40">
        <f>IF(COUNTIFS(LubesData!$V:$V,$R40,LubesData!$U:$U,1,LubesData!$N:$N,"&lt;&gt;")=0,"",SUMIFS(LubesData!$N:$N,LubesData!$V:$V,$R40,LubesData!$U:$U,1))</f>
        <v/>
      </c>
      <c r="U40">
        <f>IF(COUNTIFS(LubesData!$V:$V,$R40,LubesData!$U:$U,2,LubesData!$N:$N,"&lt;&gt;")=0,"",SUMIFS(LubesData!$N:$N,LubesData!$V:$V,$R40,LubesData!$U:$U,2))</f>
        <v/>
      </c>
      <c r="V40">
        <f>IF(COUNTIFS(LubesData!$V:$V,$R40,LubesData!$U:$U,3,LubesData!$N:$N,"&lt;&gt;")=0,"",SUMIFS(LubesData!$N:$N,LubesData!$V:$V,$R40,LubesData!$U:$U,3))</f>
        <v/>
      </c>
      <c r="W40">
        <f>IF(COUNTIFS(LubesData!$V:$V,$R40,LubesData!$U:$U,4,LubesData!$N:$N,"&lt;&gt;")=0,"",SUMIFS(LubesData!$N:$N,LubesData!$V:$V,$R40,LubesData!$U:$U,4))</f>
        <v/>
      </c>
      <c r="X40">
        <f>IF(COUNTIFS(LubesData!$V:$V,$R40,LubesData!$U:$U,5,LubesData!$N:$N,"&lt;&gt;")=0,"",SUMIFS(LubesData!$N:$N,LubesData!$V:$V,$R40,LubesData!$U:$U,5))</f>
        <v/>
      </c>
      <c r="Y40">
        <f>IF(COUNTIFS(LubesData!$V:$V,$R40,LubesData!$U:$U,6,LubesData!$N:$N,"&lt;&gt;")=0,"",SUMIFS(LubesData!$N:$N,LubesData!$V:$V,$R40,LubesData!$U:$U,6))</f>
        <v/>
      </c>
      <c r="Z40">
        <f>IF(COUNTIFS(LubesData!$V:$V,$R40,LubesData!$U:$U,7,LubesData!$N:$N,"&lt;&gt;")=0,"",SUMIFS(LubesData!$N:$N,LubesData!$V:$V,$R40,LubesData!$U:$U,7))</f>
        <v/>
      </c>
      <c r="AA40">
        <f>IF(COUNTIFS(LubesData!$V:$V,$R40,LubesData!$U:$U,8,LubesData!$N:$N,"&lt;&gt;")=0,"",SUMIFS(LubesData!$N:$N,LubesData!$V:$V,$R40,LubesData!$U:$U,8))</f>
        <v/>
      </c>
      <c r="AB40">
        <f>IF(COUNTIFS(LubesData!$V:$V,$R40,LubesData!$U:$U,9,LubesData!$N:$N,"&lt;&gt;")=0,"",SUMIFS(LubesData!$N:$N,LubesData!$V:$V,$R40,LubesData!$U:$U,9))</f>
        <v/>
      </c>
      <c r="AC40">
        <f>IF(COUNTIFS(LubesData!$V:$V,$R40,LubesData!$U:$U,10,LubesData!$N:$N,"&lt;&gt;")=0,"",SUMIFS(LubesData!$N:$N,LubesData!$V:$V,$R40,LubesData!$U:$U,10))</f>
        <v/>
      </c>
      <c r="AD40">
        <f>IF(COUNTIFS(LubesData!$V:$V,$R40,LubesData!$U:$U,11,LubesData!$N:$N,"&lt;&gt;")=0,"",SUMIFS(LubesData!$N:$N,LubesData!$V:$V,$R40,LubesData!$U:$U,11))</f>
        <v/>
      </c>
      <c r="AE40">
        <f>IF(COUNTIFS(LubesData!$V:$V,$R40,LubesData!$U:$U,12,LubesData!$N:$N,"&lt;&gt;")=0,"",SUMIFS(LubesData!$N:$N,LubesData!$V:$V,$R40,LubesData!$U:$U,12))</f>
        <v/>
      </c>
      <c r="AF40">
        <f>IF(COUNTIFS(LubesData!$V:$V,$R40,LubesData!$U:$U,13,LubesData!$N:$N,"&lt;&gt;")=0,"",SUMIFS(LubesData!$N:$N,LubesData!$V:$V,$R40,LubesData!$U:$U,13))</f>
        <v/>
      </c>
      <c r="AG40">
        <f>IF(COUNTIFS(LubesData!$V:$V,$R40,LubesData!$U:$U,14,LubesData!$N:$N,"&lt;&gt;")=0,"",SUMIFS(LubesData!$N:$N,LubesData!$V:$V,$R40,LubesData!$U:$U,14))</f>
        <v/>
      </c>
      <c r="AH40">
        <f>COUNTIFS(LubesData!$V:$V,$R40,LubesData!$U:$U,"&lt;="&amp;14,LubesData!$N:$N,"&lt;&gt;")</f>
        <v/>
      </c>
      <c r="AI40">
        <f>COUNTIFS(LubesData!$V:$V,$R40,LubesData!$U:$U,"&lt;="&amp;14,LubesData!$N:$N,0)</f>
        <v/>
      </c>
      <c r="AJ40">
        <f>IF(AH40=0,"",AH40-AI40)</f>
        <v/>
      </c>
      <c r="AK40">
        <f>IF(AH40=0,"",SUMIFS(LubesData!$N:$N,LubesData!$V:$V,$R40,LubesData!$U:$U,"&lt;="&amp;14))</f>
        <v/>
      </c>
      <c r="AL40">
        <f>IF(AH40=0,"",IF(ABS(MAX(T40:AG40))&gt;=ABS(MIN(T40:AG40)),MAX(T40:AG40),MIN(T40:AG40)))</f>
        <v/>
      </c>
      <c r="AM40">
        <f>IF(AH40=0,-1,AJ40*100000+MIN(ABS(AK40),99999))</f>
        <v/>
      </c>
      <c r="AN40">
        <f>IF($S40="","",1+COUNTIFS($AM$3:$AM$122,"&gt;"&amp;AM40)+COUNTIFS($AM$3:$AM$122,AM40,$R$3:$R$122,"&lt;"&amp;$R40))</f>
        <v/>
      </c>
    </row>
    <row r="41">
      <c r="A41" t="n">
        <v>39</v>
      </c>
      <c r="B41" s="31">
        <f>IFERROR(IF(INDEX(LubesData!$B:$B,MATCH($A41,LubesData!$U:$U,0))="","",INDEX(LubesData!$B:$B,MATCH($A41,LubesData!$U:$U,0))),"")</f>
        <v/>
      </c>
      <c r="C41">
        <f>IFERROR(IF(INDEX(LubesData!$D:$D,MATCH($A41,LubesData!$U:$U,0))="","",INDEX(LubesData!$D:$D,MATCH($A41,LubesData!$U:$U,0))),"")</f>
        <v/>
      </c>
      <c r="D41" s="31">
        <f>IFERROR(IF(INDEX(LubesData!$O:$O,MATCH($A41,LubesData!$U:$U,0))="","",INDEX(LubesData!$O:$O,MATCH($A41,LubesData!$U:$U,0))),"")</f>
        <v/>
      </c>
      <c r="E41">
        <f>COUNTIFS(LubesData!$U:$U,$A41)</f>
        <v/>
      </c>
      <c r="F41">
        <f>COUNTIFS(LubesData!$U:$U,$A41,LubesData!$N:$N,"&lt;&gt;")</f>
        <v/>
      </c>
      <c r="G41">
        <f>COUNTIFS(LubesData!$U:$U,$A41,LubesData!$N:$N,0)</f>
        <v/>
      </c>
      <c r="H41">
        <f>IF($F41=0,"",$F41-$G41)</f>
        <v/>
      </c>
      <c r="I41">
        <f>IF($F41=0,"",SUMIFS(LubesData!$N:$N,LubesData!$U:$U,$A41))</f>
        <v/>
      </c>
      <c r="J41">
        <f>COUNTIFS(LubesData!$U:$U,$A41,LubesData!$Q:$Q,"&lt;&gt;")</f>
        <v/>
      </c>
      <c r="K41">
        <f>IF($J41=0,"",SUMIFS(LubesData!$Q:$Q,LubesData!$U:$U,$A41))</f>
        <v/>
      </c>
      <c r="L41">
        <f>COUNTIFS(LubesData!$U:$U,$A41,LubesData!$M:$M,"&lt;&gt;")</f>
        <v/>
      </c>
      <c r="M41">
        <f>IF($E41=0,"",IF($L41=0,"not loaded","loaded"))</f>
        <v/>
      </c>
      <c r="N41">
        <f>COUNTIFS(LubesData!$U:$U,$A41,LubesData!$I:$I,"&lt;&gt;")</f>
        <v/>
      </c>
      <c r="O41">
        <f>IF($E41=0,"",IF($L41=0,"No POS sales have been loaded for this date, so variance cannot be worked out. Import the sales report for this day and it fills in.",IF($N41=0,"This is the first count of these products, so there is no opening figure to sell down from. Variance starts from the next count.",IF($F41-$G41=0,"Physical and POS agree on every product.",($F41-$G41)&amp;" of "&amp;$F41&amp;" products disagree with the POS. Largest first below."))))</f>
        <v/>
      </c>
      <c r="R41" t="n">
        <v>39</v>
      </c>
      <c r="S41">
        <f>IFERROR(INDEX(LubesData!$G:$G,MATCH($R41,LubesData!$V:$V,0)),"")</f>
        <v/>
      </c>
      <c r="T41">
        <f>IF(COUNTIFS(LubesData!$V:$V,$R41,LubesData!$U:$U,1,LubesData!$N:$N,"&lt;&gt;")=0,"",SUMIFS(LubesData!$N:$N,LubesData!$V:$V,$R41,LubesData!$U:$U,1))</f>
        <v/>
      </c>
      <c r="U41">
        <f>IF(COUNTIFS(LubesData!$V:$V,$R41,LubesData!$U:$U,2,LubesData!$N:$N,"&lt;&gt;")=0,"",SUMIFS(LubesData!$N:$N,LubesData!$V:$V,$R41,LubesData!$U:$U,2))</f>
        <v/>
      </c>
      <c r="V41">
        <f>IF(COUNTIFS(LubesData!$V:$V,$R41,LubesData!$U:$U,3,LubesData!$N:$N,"&lt;&gt;")=0,"",SUMIFS(LubesData!$N:$N,LubesData!$V:$V,$R41,LubesData!$U:$U,3))</f>
        <v/>
      </c>
      <c r="W41">
        <f>IF(COUNTIFS(LubesData!$V:$V,$R41,LubesData!$U:$U,4,LubesData!$N:$N,"&lt;&gt;")=0,"",SUMIFS(LubesData!$N:$N,LubesData!$V:$V,$R41,LubesData!$U:$U,4))</f>
        <v/>
      </c>
      <c r="X41">
        <f>IF(COUNTIFS(LubesData!$V:$V,$R41,LubesData!$U:$U,5,LubesData!$N:$N,"&lt;&gt;")=0,"",SUMIFS(LubesData!$N:$N,LubesData!$V:$V,$R41,LubesData!$U:$U,5))</f>
        <v/>
      </c>
      <c r="Y41">
        <f>IF(COUNTIFS(LubesData!$V:$V,$R41,LubesData!$U:$U,6,LubesData!$N:$N,"&lt;&gt;")=0,"",SUMIFS(LubesData!$N:$N,LubesData!$V:$V,$R41,LubesData!$U:$U,6))</f>
        <v/>
      </c>
      <c r="Z41">
        <f>IF(COUNTIFS(LubesData!$V:$V,$R41,LubesData!$U:$U,7,LubesData!$N:$N,"&lt;&gt;")=0,"",SUMIFS(LubesData!$N:$N,LubesData!$V:$V,$R41,LubesData!$U:$U,7))</f>
        <v/>
      </c>
      <c r="AA41">
        <f>IF(COUNTIFS(LubesData!$V:$V,$R41,LubesData!$U:$U,8,LubesData!$N:$N,"&lt;&gt;")=0,"",SUMIFS(LubesData!$N:$N,LubesData!$V:$V,$R41,LubesData!$U:$U,8))</f>
        <v/>
      </c>
      <c r="AB41">
        <f>IF(COUNTIFS(LubesData!$V:$V,$R41,LubesData!$U:$U,9,LubesData!$N:$N,"&lt;&gt;")=0,"",SUMIFS(LubesData!$N:$N,LubesData!$V:$V,$R41,LubesData!$U:$U,9))</f>
        <v/>
      </c>
      <c r="AC41">
        <f>IF(COUNTIFS(LubesData!$V:$V,$R41,LubesData!$U:$U,10,LubesData!$N:$N,"&lt;&gt;")=0,"",SUMIFS(LubesData!$N:$N,LubesData!$V:$V,$R41,LubesData!$U:$U,10))</f>
        <v/>
      </c>
      <c r="AD41">
        <f>IF(COUNTIFS(LubesData!$V:$V,$R41,LubesData!$U:$U,11,LubesData!$N:$N,"&lt;&gt;")=0,"",SUMIFS(LubesData!$N:$N,LubesData!$V:$V,$R41,LubesData!$U:$U,11))</f>
        <v/>
      </c>
      <c r="AE41">
        <f>IF(COUNTIFS(LubesData!$V:$V,$R41,LubesData!$U:$U,12,LubesData!$N:$N,"&lt;&gt;")=0,"",SUMIFS(LubesData!$N:$N,LubesData!$V:$V,$R41,LubesData!$U:$U,12))</f>
        <v/>
      </c>
      <c r="AF41">
        <f>IF(COUNTIFS(LubesData!$V:$V,$R41,LubesData!$U:$U,13,LubesData!$N:$N,"&lt;&gt;")=0,"",SUMIFS(LubesData!$N:$N,LubesData!$V:$V,$R41,LubesData!$U:$U,13))</f>
        <v/>
      </c>
      <c r="AG41">
        <f>IF(COUNTIFS(LubesData!$V:$V,$R41,LubesData!$U:$U,14,LubesData!$N:$N,"&lt;&gt;")=0,"",SUMIFS(LubesData!$N:$N,LubesData!$V:$V,$R41,LubesData!$U:$U,14))</f>
        <v/>
      </c>
      <c r="AH41">
        <f>COUNTIFS(LubesData!$V:$V,$R41,LubesData!$U:$U,"&lt;="&amp;14,LubesData!$N:$N,"&lt;&gt;")</f>
        <v/>
      </c>
      <c r="AI41">
        <f>COUNTIFS(LubesData!$V:$V,$R41,LubesData!$U:$U,"&lt;="&amp;14,LubesData!$N:$N,0)</f>
        <v/>
      </c>
      <c r="AJ41">
        <f>IF(AH41=0,"",AH41-AI41)</f>
        <v/>
      </c>
      <c r="AK41">
        <f>IF(AH41=0,"",SUMIFS(LubesData!$N:$N,LubesData!$V:$V,$R41,LubesData!$U:$U,"&lt;="&amp;14))</f>
        <v/>
      </c>
      <c r="AL41">
        <f>IF(AH41=0,"",IF(ABS(MAX(T41:AG41))&gt;=ABS(MIN(T41:AG41)),MAX(T41:AG41),MIN(T41:AG41)))</f>
        <v/>
      </c>
      <c r="AM41">
        <f>IF(AH41=0,-1,AJ41*100000+MIN(ABS(AK41),99999))</f>
        <v/>
      </c>
      <c r="AN41">
        <f>IF($S41="","",1+COUNTIFS($AM$3:$AM$122,"&gt;"&amp;AM41)+COUNTIFS($AM$3:$AM$122,AM41,$R$3:$R$122,"&lt;"&amp;$R41))</f>
        <v/>
      </c>
    </row>
    <row r="42">
      <c r="A42" t="n">
        <v>40</v>
      </c>
      <c r="B42" s="31">
        <f>IFERROR(IF(INDEX(LubesData!$B:$B,MATCH($A42,LubesData!$U:$U,0))="","",INDEX(LubesData!$B:$B,MATCH($A42,LubesData!$U:$U,0))),"")</f>
        <v/>
      </c>
      <c r="C42">
        <f>IFERROR(IF(INDEX(LubesData!$D:$D,MATCH($A42,LubesData!$U:$U,0))="","",INDEX(LubesData!$D:$D,MATCH($A42,LubesData!$U:$U,0))),"")</f>
        <v/>
      </c>
      <c r="D42" s="31">
        <f>IFERROR(IF(INDEX(LubesData!$O:$O,MATCH($A42,LubesData!$U:$U,0))="","",INDEX(LubesData!$O:$O,MATCH($A42,LubesData!$U:$U,0))),"")</f>
        <v/>
      </c>
      <c r="E42">
        <f>COUNTIFS(LubesData!$U:$U,$A42)</f>
        <v/>
      </c>
      <c r="F42">
        <f>COUNTIFS(LubesData!$U:$U,$A42,LubesData!$N:$N,"&lt;&gt;")</f>
        <v/>
      </c>
      <c r="G42">
        <f>COUNTIFS(LubesData!$U:$U,$A42,LubesData!$N:$N,0)</f>
        <v/>
      </c>
      <c r="H42">
        <f>IF($F42=0,"",$F42-$G42)</f>
        <v/>
      </c>
      <c r="I42">
        <f>IF($F42=0,"",SUMIFS(LubesData!$N:$N,LubesData!$U:$U,$A42))</f>
        <v/>
      </c>
      <c r="J42">
        <f>COUNTIFS(LubesData!$U:$U,$A42,LubesData!$Q:$Q,"&lt;&gt;")</f>
        <v/>
      </c>
      <c r="K42">
        <f>IF($J42=0,"",SUMIFS(LubesData!$Q:$Q,LubesData!$U:$U,$A42))</f>
        <v/>
      </c>
      <c r="L42">
        <f>COUNTIFS(LubesData!$U:$U,$A42,LubesData!$M:$M,"&lt;&gt;")</f>
        <v/>
      </c>
      <c r="M42">
        <f>IF($E42=0,"",IF($L42=0,"not loaded","loaded"))</f>
        <v/>
      </c>
      <c r="N42">
        <f>COUNTIFS(LubesData!$U:$U,$A42,LubesData!$I:$I,"&lt;&gt;")</f>
        <v/>
      </c>
      <c r="O42">
        <f>IF($E42=0,"",IF($L42=0,"No POS sales have been loaded for this date, so variance cannot be worked out. Import the sales report for this day and it fills in.",IF($N42=0,"This is the first count of these products, so there is no opening figure to sell down from. Variance starts from the next count.",IF($F42-$G42=0,"Physical and POS agree on every product.",($F42-$G42)&amp;" of "&amp;$F42&amp;" products disagree with the POS. Largest first below."))))</f>
        <v/>
      </c>
      <c r="R42" t="n">
        <v>40</v>
      </c>
      <c r="S42">
        <f>IFERROR(INDEX(LubesData!$G:$G,MATCH($R42,LubesData!$V:$V,0)),"")</f>
        <v/>
      </c>
      <c r="T42">
        <f>IF(COUNTIFS(LubesData!$V:$V,$R42,LubesData!$U:$U,1,LubesData!$N:$N,"&lt;&gt;")=0,"",SUMIFS(LubesData!$N:$N,LubesData!$V:$V,$R42,LubesData!$U:$U,1))</f>
        <v/>
      </c>
      <c r="U42">
        <f>IF(COUNTIFS(LubesData!$V:$V,$R42,LubesData!$U:$U,2,LubesData!$N:$N,"&lt;&gt;")=0,"",SUMIFS(LubesData!$N:$N,LubesData!$V:$V,$R42,LubesData!$U:$U,2))</f>
        <v/>
      </c>
      <c r="V42">
        <f>IF(COUNTIFS(LubesData!$V:$V,$R42,LubesData!$U:$U,3,LubesData!$N:$N,"&lt;&gt;")=0,"",SUMIFS(LubesData!$N:$N,LubesData!$V:$V,$R42,LubesData!$U:$U,3))</f>
        <v/>
      </c>
      <c r="W42">
        <f>IF(COUNTIFS(LubesData!$V:$V,$R42,LubesData!$U:$U,4,LubesData!$N:$N,"&lt;&gt;")=0,"",SUMIFS(LubesData!$N:$N,LubesData!$V:$V,$R42,LubesData!$U:$U,4))</f>
        <v/>
      </c>
      <c r="X42">
        <f>IF(COUNTIFS(LubesData!$V:$V,$R42,LubesData!$U:$U,5,LubesData!$N:$N,"&lt;&gt;")=0,"",SUMIFS(LubesData!$N:$N,LubesData!$V:$V,$R42,LubesData!$U:$U,5))</f>
        <v/>
      </c>
      <c r="Y42">
        <f>IF(COUNTIFS(LubesData!$V:$V,$R42,LubesData!$U:$U,6,LubesData!$N:$N,"&lt;&gt;")=0,"",SUMIFS(LubesData!$N:$N,LubesData!$V:$V,$R42,LubesData!$U:$U,6))</f>
        <v/>
      </c>
      <c r="Z42">
        <f>IF(COUNTIFS(LubesData!$V:$V,$R42,LubesData!$U:$U,7,LubesData!$N:$N,"&lt;&gt;")=0,"",SUMIFS(LubesData!$N:$N,LubesData!$V:$V,$R42,LubesData!$U:$U,7))</f>
        <v/>
      </c>
      <c r="AA42">
        <f>IF(COUNTIFS(LubesData!$V:$V,$R42,LubesData!$U:$U,8,LubesData!$N:$N,"&lt;&gt;")=0,"",SUMIFS(LubesData!$N:$N,LubesData!$V:$V,$R42,LubesData!$U:$U,8))</f>
        <v/>
      </c>
      <c r="AB42">
        <f>IF(COUNTIFS(LubesData!$V:$V,$R42,LubesData!$U:$U,9,LubesData!$N:$N,"&lt;&gt;")=0,"",SUMIFS(LubesData!$N:$N,LubesData!$V:$V,$R42,LubesData!$U:$U,9))</f>
        <v/>
      </c>
      <c r="AC42">
        <f>IF(COUNTIFS(LubesData!$V:$V,$R42,LubesData!$U:$U,10,LubesData!$N:$N,"&lt;&gt;")=0,"",SUMIFS(LubesData!$N:$N,LubesData!$V:$V,$R42,LubesData!$U:$U,10))</f>
        <v/>
      </c>
      <c r="AD42">
        <f>IF(COUNTIFS(LubesData!$V:$V,$R42,LubesData!$U:$U,11,LubesData!$N:$N,"&lt;&gt;")=0,"",SUMIFS(LubesData!$N:$N,LubesData!$V:$V,$R42,LubesData!$U:$U,11))</f>
        <v/>
      </c>
      <c r="AE42">
        <f>IF(COUNTIFS(LubesData!$V:$V,$R42,LubesData!$U:$U,12,LubesData!$N:$N,"&lt;&gt;")=0,"",SUMIFS(LubesData!$N:$N,LubesData!$V:$V,$R42,LubesData!$U:$U,12))</f>
        <v/>
      </c>
      <c r="AF42">
        <f>IF(COUNTIFS(LubesData!$V:$V,$R42,LubesData!$U:$U,13,LubesData!$N:$N,"&lt;&gt;")=0,"",SUMIFS(LubesData!$N:$N,LubesData!$V:$V,$R42,LubesData!$U:$U,13))</f>
        <v/>
      </c>
      <c r="AG42">
        <f>IF(COUNTIFS(LubesData!$V:$V,$R42,LubesData!$U:$U,14,LubesData!$N:$N,"&lt;&gt;")=0,"",SUMIFS(LubesData!$N:$N,LubesData!$V:$V,$R42,LubesData!$U:$U,14))</f>
        <v/>
      </c>
      <c r="AH42">
        <f>COUNTIFS(LubesData!$V:$V,$R42,LubesData!$U:$U,"&lt;="&amp;14,LubesData!$N:$N,"&lt;&gt;")</f>
        <v/>
      </c>
      <c r="AI42">
        <f>COUNTIFS(LubesData!$V:$V,$R42,LubesData!$U:$U,"&lt;="&amp;14,LubesData!$N:$N,0)</f>
        <v/>
      </c>
      <c r="AJ42">
        <f>IF(AH42=0,"",AH42-AI42)</f>
        <v/>
      </c>
      <c r="AK42">
        <f>IF(AH42=0,"",SUMIFS(LubesData!$N:$N,LubesData!$V:$V,$R42,LubesData!$U:$U,"&lt;="&amp;14))</f>
        <v/>
      </c>
      <c r="AL42">
        <f>IF(AH42=0,"",IF(ABS(MAX(T42:AG42))&gt;=ABS(MIN(T42:AG42)),MAX(T42:AG42),MIN(T42:AG42)))</f>
        <v/>
      </c>
      <c r="AM42">
        <f>IF(AH42=0,-1,AJ42*100000+MIN(ABS(AK42),99999))</f>
        <v/>
      </c>
      <c r="AN42">
        <f>IF($S42="","",1+COUNTIFS($AM$3:$AM$122,"&gt;"&amp;AM42)+COUNTIFS($AM$3:$AM$122,AM42,$R$3:$R$122,"&lt;"&amp;$R42))</f>
        <v/>
      </c>
    </row>
    <row r="43">
      <c r="A43" t="n">
        <v>41</v>
      </c>
      <c r="B43" s="31">
        <f>IFERROR(IF(INDEX(LubesData!$B:$B,MATCH($A43,LubesData!$U:$U,0))="","",INDEX(LubesData!$B:$B,MATCH($A43,LubesData!$U:$U,0))),"")</f>
        <v/>
      </c>
      <c r="C43">
        <f>IFERROR(IF(INDEX(LubesData!$D:$D,MATCH($A43,LubesData!$U:$U,0))="","",INDEX(LubesData!$D:$D,MATCH($A43,LubesData!$U:$U,0))),"")</f>
        <v/>
      </c>
      <c r="D43" s="31">
        <f>IFERROR(IF(INDEX(LubesData!$O:$O,MATCH($A43,LubesData!$U:$U,0))="","",INDEX(LubesData!$O:$O,MATCH($A43,LubesData!$U:$U,0))),"")</f>
        <v/>
      </c>
      <c r="E43">
        <f>COUNTIFS(LubesData!$U:$U,$A43)</f>
        <v/>
      </c>
      <c r="F43">
        <f>COUNTIFS(LubesData!$U:$U,$A43,LubesData!$N:$N,"&lt;&gt;")</f>
        <v/>
      </c>
      <c r="G43">
        <f>COUNTIFS(LubesData!$U:$U,$A43,LubesData!$N:$N,0)</f>
        <v/>
      </c>
      <c r="H43">
        <f>IF($F43=0,"",$F43-$G43)</f>
        <v/>
      </c>
      <c r="I43">
        <f>IF($F43=0,"",SUMIFS(LubesData!$N:$N,LubesData!$U:$U,$A43))</f>
        <v/>
      </c>
      <c r="J43">
        <f>COUNTIFS(LubesData!$U:$U,$A43,LubesData!$Q:$Q,"&lt;&gt;")</f>
        <v/>
      </c>
      <c r="K43">
        <f>IF($J43=0,"",SUMIFS(LubesData!$Q:$Q,LubesData!$U:$U,$A43))</f>
        <v/>
      </c>
      <c r="L43">
        <f>COUNTIFS(LubesData!$U:$U,$A43,LubesData!$M:$M,"&lt;&gt;")</f>
        <v/>
      </c>
      <c r="M43">
        <f>IF($E43=0,"",IF($L43=0,"not loaded","loaded"))</f>
        <v/>
      </c>
      <c r="N43">
        <f>COUNTIFS(LubesData!$U:$U,$A43,LubesData!$I:$I,"&lt;&gt;")</f>
        <v/>
      </c>
      <c r="O43">
        <f>IF($E43=0,"",IF($L43=0,"No POS sales have been loaded for this date, so variance cannot be worked out. Import the sales report for this day and it fills in.",IF($N43=0,"This is the first count of these products, so there is no opening figure to sell down from. Variance starts from the next count.",IF($F43-$G43=0,"Physical and POS agree on every product.",($F43-$G43)&amp;" of "&amp;$F43&amp;" products disagree with the POS. Largest first below."))))</f>
        <v/>
      </c>
      <c r="R43" t="n">
        <v>41</v>
      </c>
      <c r="S43">
        <f>IFERROR(INDEX(LubesData!$G:$G,MATCH($R43,LubesData!$V:$V,0)),"")</f>
        <v/>
      </c>
      <c r="T43">
        <f>IF(COUNTIFS(LubesData!$V:$V,$R43,LubesData!$U:$U,1,LubesData!$N:$N,"&lt;&gt;")=0,"",SUMIFS(LubesData!$N:$N,LubesData!$V:$V,$R43,LubesData!$U:$U,1))</f>
        <v/>
      </c>
      <c r="U43">
        <f>IF(COUNTIFS(LubesData!$V:$V,$R43,LubesData!$U:$U,2,LubesData!$N:$N,"&lt;&gt;")=0,"",SUMIFS(LubesData!$N:$N,LubesData!$V:$V,$R43,LubesData!$U:$U,2))</f>
        <v/>
      </c>
      <c r="V43">
        <f>IF(COUNTIFS(LubesData!$V:$V,$R43,LubesData!$U:$U,3,LubesData!$N:$N,"&lt;&gt;")=0,"",SUMIFS(LubesData!$N:$N,LubesData!$V:$V,$R43,LubesData!$U:$U,3))</f>
        <v/>
      </c>
      <c r="W43">
        <f>IF(COUNTIFS(LubesData!$V:$V,$R43,LubesData!$U:$U,4,LubesData!$N:$N,"&lt;&gt;")=0,"",SUMIFS(LubesData!$N:$N,LubesData!$V:$V,$R43,LubesData!$U:$U,4))</f>
        <v/>
      </c>
      <c r="X43">
        <f>IF(COUNTIFS(LubesData!$V:$V,$R43,LubesData!$U:$U,5,LubesData!$N:$N,"&lt;&gt;")=0,"",SUMIFS(LubesData!$N:$N,LubesData!$V:$V,$R43,LubesData!$U:$U,5))</f>
        <v/>
      </c>
      <c r="Y43">
        <f>IF(COUNTIFS(LubesData!$V:$V,$R43,LubesData!$U:$U,6,LubesData!$N:$N,"&lt;&gt;")=0,"",SUMIFS(LubesData!$N:$N,LubesData!$V:$V,$R43,LubesData!$U:$U,6))</f>
        <v/>
      </c>
      <c r="Z43">
        <f>IF(COUNTIFS(LubesData!$V:$V,$R43,LubesData!$U:$U,7,LubesData!$N:$N,"&lt;&gt;")=0,"",SUMIFS(LubesData!$N:$N,LubesData!$V:$V,$R43,LubesData!$U:$U,7))</f>
        <v/>
      </c>
      <c r="AA43">
        <f>IF(COUNTIFS(LubesData!$V:$V,$R43,LubesData!$U:$U,8,LubesData!$N:$N,"&lt;&gt;")=0,"",SUMIFS(LubesData!$N:$N,LubesData!$V:$V,$R43,LubesData!$U:$U,8))</f>
        <v/>
      </c>
      <c r="AB43">
        <f>IF(COUNTIFS(LubesData!$V:$V,$R43,LubesData!$U:$U,9,LubesData!$N:$N,"&lt;&gt;")=0,"",SUMIFS(LubesData!$N:$N,LubesData!$V:$V,$R43,LubesData!$U:$U,9))</f>
        <v/>
      </c>
      <c r="AC43">
        <f>IF(COUNTIFS(LubesData!$V:$V,$R43,LubesData!$U:$U,10,LubesData!$N:$N,"&lt;&gt;")=0,"",SUMIFS(LubesData!$N:$N,LubesData!$V:$V,$R43,LubesData!$U:$U,10))</f>
        <v/>
      </c>
      <c r="AD43">
        <f>IF(COUNTIFS(LubesData!$V:$V,$R43,LubesData!$U:$U,11,LubesData!$N:$N,"&lt;&gt;")=0,"",SUMIFS(LubesData!$N:$N,LubesData!$V:$V,$R43,LubesData!$U:$U,11))</f>
        <v/>
      </c>
      <c r="AE43">
        <f>IF(COUNTIFS(LubesData!$V:$V,$R43,LubesData!$U:$U,12,LubesData!$N:$N,"&lt;&gt;")=0,"",SUMIFS(LubesData!$N:$N,LubesData!$V:$V,$R43,LubesData!$U:$U,12))</f>
        <v/>
      </c>
      <c r="AF43">
        <f>IF(COUNTIFS(LubesData!$V:$V,$R43,LubesData!$U:$U,13,LubesData!$N:$N,"&lt;&gt;")=0,"",SUMIFS(LubesData!$N:$N,LubesData!$V:$V,$R43,LubesData!$U:$U,13))</f>
        <v/>
      </c>
      <c r="AG43">
        <f>IF(COUNTIFS(LubesData!$V:$V,$R43,LubesData!$U:$U,14,LubesData!$N:$N,"&lt;&gt;")=0,"",SUMIFS(LubesData!$N:$N,LubesData!$V:$V,$R43,LubesData!$U:$U,14))</f>
        <v/>
      </c>
      <c r="AH43">
        <f>COUNTIFS(LubesData!$V:$V,$R43,LubesData!$U:$U,"&lt;="&amp;14,LubesData!$N:$N,"&lt;&gt;")</f>
        <v/>
      </c>
      <c r="AI43">
        <f>COUNTIFS(LubesData!$V:$V,$R43,LubesData!$U:$U,"&lt;="&amp;14,LubesData!$N:$N,0)</f>
        <v/>
      </c>
      <c r="AJ43">
        <f>IF(AH43=0,"",AH43-AI43)</f>
        <v/>
      </c>
      <c r="AK43">
        <f>IF(AH43=0,"",SUMIFS(LubesData!$N:$N,LubesData!$V:$V,$R43,LubesData!$U:$U,"&lt;="&amp;14))</f>
        <v/>
      </c>
      <c r="AL43">
        <f>IF(AH43=0,"",IF(ABS(MAX(T43:AG43))&gt;=ABS(MIN(T43:AG43)),MAX(T43:AG43),MIN(T43:AG43)))</f>
        <v/>
      </c>
      <c r="AM43">
        <f>IF(AH43=0,-1,AJ43*100000+MIN(ABS(AK43),99999))</f>
        <v/>
      </c>
      <c r="AN43">
        <f>IF($S43="","",1+COUNTIFS($AM$3:$AM$122,"&gt;"&amp;AM43)+COUNTIFS($AM$3:$AM$122,AM43,$R$3:$R$122,"&lt;"&amp;$R43))</f>
        <v/>
      </c>
    </row>
    <row r="44">
      <c r="A44" t="n">
        <v>42</v>
      </c>
      <c r="B44" s="31">
        <f>IFERROR(IF(INDEX(LubesData!$B:$B,MATCH($A44,LubesData!$U:$U,0))="","",INDEX(LubesData!$B:$B,MATCH($A44,LubesData!$U:$U,0))),"")</f>
        <v/>
      </c>
      <c r="C44">
        <f>IFERROR(IF(INDEX(LubesData!$D:$D,MATCH($A44,LubesData!$U:$U,0))="","",INDEX(LubesData!$D:$D,MATCH($A44,LubesData!$U:$U,0))),"")</f>
        <v/>
      </c>
      <c r="D44" s="31">
        <f>IFERROR(IF(INDEX(LubesData!$O:$O,MATCH($A44,LubesData!$U:$U,0))="","",INDEX(LubesData!$O:$O,MATCH($A44,LubesData!$U:$U,0))),"")</f>
        <v/>
      </c>
      <c r="E44">
        <f>COUNTIFS(LubesData!$U:$U,$A44)</f>
        <v/>
      </c>
      <c r="F44">
        <f>COUNTIFS(LubesData!$U:$U,$A44,LubesData!$N:$N,"&lt;&gt;")</f>
        <v/>
      </c>
      <c r="G44">
        <f>COUNTIFS(LubesData!$U:$U,$A44,LubesData!$N:$N,0)</f>
        <v/>
      </c>
      <c r="H44">
        <f>IF($F44=0,"",$F44-$G44)</f>
        <v/>
      </c>
      <c r="I44">
        <f>IF($F44=0,"",SUMIFS(LubesData!$N:$N,LubesData!$U:$U,$A44))</f>
        <v/>
      </c>
      <c r="J44">
        <f>COUNTIFS(LubesData!$U:$U,$A44,LubesData!$Q:$Q,"&lt;&gt;")</f>
        <v/>
      </c>
      <c r="K44">
        <f>IF($J44=0,"",SUMIFS(LubesData!$Q:$Q,LubesData!$U:$U,$A44))</f>
        <v/>
      </c>
      <c r="L44">
        <f>COUNTIFS(LubesData!$U:$U,$A44,LubesData!$M:$M,"&lt;&gt;")</f>
        <v/>
      </c>
      <c r="M44">
        <f>IF($E44=0,"",IF($L44=0,"not loaded","loaded"))</f>
        <v/>
      </c>
      <c r="N44">
        <f>COUNTIFS(LubesData!$U:$U,$A44,LubesData!$I:$I,"&lt;&gt;")</f>
        <v/>
      </c>
      <c r="O44">
        <f>IF($E44=0,"",IF($L44=0,"No POS sales have been loaded for this date, so variance cannot be worked out. Import the sales report for this day and it fills in.",IF($N44=0,"This is the first count of these products, so there is no opening figure to sell down from. Variance starts from the next count.",IF($F44-$G44=0,"Physical and POS agree on every product.",($F44-$G44)&amp;" of "&amp;$F44&amp;" products disagree with the POS. Largest first below."))))</f>
        <v/>
      </c>
      <c r="R44" t="n">
        <v>42</v>
      </c>
      <c r="S44">
        <f>IFERROR(INDEX(LubesData!$G:$G,MATCH($R44,LubesData!$V:$V,0)),"")</f>
        <v/>
      </c>
      <c r="T44">
        <f>IF(COUNTIFS(LubesData!$V:$V,$R44,LubesData!$U:$U,1,LubesData!$N:$N,"&lt;&gt;")=0,"",SUMIFS(LubesData!$N:$N,LubesData!$V:$V,$R44,LubesData!$U:$U,1))</f>
        <v/>
      </c>
      <c r="U44">
        <f>IF(COUNTIFS(LubesData!$V:$V,$R44,LubesData!$U:$U,2,LubesData!$N:$N,"&lt;&gt;")=0,"",SUMIFS(LubesData!$N:$N,LubesData!$V:$V,$R44,LubesData!$U:$U,2))</f>
        <v/>
      </c>
      <c r="V44">
        <f>IF(COUNTIFS(LubesData!$V:$V,$R44,LubesData!$U:$U,3,LubesData!$N:$N,"&lt;&gt;")=0,"",SUMIFS(LubesData!$N:$N,LubesData!$V:$V,$R44,LubesData!$U:$U,3))</f>
        <v/>
      </c>
      <c r="W44">
        <f>IF(COUNTIFS(LubesData!$V:$V,$R44,LubesData!$U:$U,4,LubesData!$N:$N,"&lt;&gt;")=0,"",SUMIFS(LubesData!$N:$N,LubesData!$V:$V,$R44,LubesData!$U:$U,4))</f>
        <v/>
      </c>
      <c r="X44">
        <f>IF(COUNTIFS(LubesData!$V:$V,$R44,LubesData!$U:$U,5,LubesData!$N:$N,"&lt;&gt;")=0,"",SUMIFS(LubesData!$N:$N,LubesData!$V:$V,$R44,LubesData!$U:$U,5))</f>
        <v/>
      </c>
      <c r="Y44">
        <f>IF(COUNTIFS(LubesData!$V:$V,$R44,LubesData!$U:$U,6,LubesData!$N:$N,"&lt;&gt;")=0,"",SUMIFS(LubesData!$N:$N,LubesData!$V:$V,$R44,LubesData!$U:$U,6))</f>
        <v/>
      </c>
      <c r="Z44">
        <f>IF(COUNTIFS(LubesData!$V:$V,$R44,LubesData!$U:$U,7,LubesData!$N:$N,"&lt;&gt;")=0,"",SUMIFS(LubesData!$N:$N,LubesData!$V:$V,$R44,LubesData!$U:$U,7))</f>
        <v/>
      </c>
      <c r="AA44">
        <f>IF(COUNTIFS(LubesData!$V:$V,$R44,LubesData!$U:$U,8,LubesData!$N:$N,"&lt;&gt;")=0,"",SUMIFS(LubesData!$N:$N,LubesData!$V:$V,$R44,LubesData!$U:$U,8))</f>
        <v/>
      </c>
      <c r="AB44">
        <f>IF(COUNTIFS(LubesData!$V:$V,$R44,LubesData!$U:$U,9,LubesData!$N:$N,"&lt;&gt;")=0,"",SUMIFS(LubesData!$N:$N,LubesData!$V:$V,$R44,LubesData!$U:$U,9))</f>
        <v/>
      </c>
      <c r="AC44">
        <f>IF(COUNTIFS(LubesData!$V:$V,$R44,LubesData!$U:$U,10,LubesData!$N:$N,"&lt;&gt;")=0,"",SUMIFS(LubesData!$N:$N,LubesData!$V:$V,$R44,LubesData!$U:$U,10))</f>
        <v/>
      </c>
      <c r="AD44">
        <f>IF(COUNTIFS(LubesData!$V:$V,$R44,LubesData!$U:$U,11,LubesData!$N:$N,"&lt;&gt;")=0,"",SUMIFS(LubesData!$N:$N,LubesData!$V:$V,$R44,LubesData!$U:$U,11))</f>
        <v/>
      </c>
      <c r="AE44">
        <f>IF(COUNTIFS(LubesData!$V:$V,$R44,LubesData!$U:$U,12,LubesData!$N:$N,"&lt;&gt;")=0,"",SUMIFS(LubesData!$N:$N,LubesData!$V:$V,$R44,LubesData!$U:$U,12))</f>
        <v/>
      </c>
      <c r="AF44">
        <f>IF(COUNTIFS(LubesData!$V:$V,$R44,LubesData!$U:$U,13,LubesData!$N:$N,"&lt;&gt;")=0,"",SUMIFS(LubesData!$N:$N,LubesData!$V:$V,$R44,LubesData!$U:$U,13))</f>
        <v/>
      </c>
      <c r="AG44">
        <f>IF(COUNTIFS(LubesData!$V:$V,$R44,LubesData!$U:$U,14,LubesData!$N:$N,"&lt;&gt;")=0,"",SUMIFS(LubesData!$N:$N,LubesData!$V:$V,$R44,LubesData!$U:$U,14))</f>
        <v/>
      </c>
      <c r="AH44">
        <f>COUNTIFS(LubesData!$V:$V,$R44,LubesData!$U:$U,"&lt;="&amp;14,LubesData!$N:$N,"&lt;&gt;")</f>
        <v/>
      </c>
      <c r="AI44">
        <f>COUNTIFS(LubesData!$V:$V,$R44,LubesData!$U:$U,"&lt;="&amp;14,LubesData!$N:$N,0)</f>
        <v/>
      </c>
      <c r="AJ44">
        <f>IF(AH44=0,"",AH44-AI44)</f>
        <v/>
      </c>
      <c r="AK44">
        <f>IF(AH44=0,"",SUMIFS(LubesData!$N:$N,LubesData!$V:$V,$R44,LubesData!$U:$U,"&lt;="&amp;14))</f>
        <v/>
      </c>
      <c r="AL44">
        <f>IF(AH44=0,"",IF(ABS(MAX(T44:AG44))&gt;=ABS(MIN(T44:AG44)),MAX(T44:AG44),MIN(T44:AG44)))</f>
        <v/>
      </c>
      <c r="AM44">
        <f>IF(AH44=0,-1,AJ44*100000+MIN(ABS(AK44),99999))</f>
        <v/>
      </c>
      <c r="AN44">
        <f>IF($S44="","",1+COUNTIFS($AM$3:$AM$122,"&gt;"&amp;AM44)+COUNTIFS($AM$3:$AM$122,AM44,$R$3:$R$122,"&lt;"&amp;$R44))</f>
        <v/>
      </c>
    </row>
    <row r="45">
      <c r="A45" t="n">
        <v>43</v>
      </c>
      <c r="B45" s="31">
        <f>IFERROR(IF(INDEX(LubesData!$B:$B,MATCH($A45,LubesData!$U:$U,0))="","",INDEX(LubesData!$B:$B,MATCH($A45,LubesData!$U:$U,0))),"")</f>
        <v/>
      </c>
      <c r="C45">
        <f>IFERROR(IF(INDEX(LubesData!$D:$D,MATCH($A45,LubesData!$U:$U,0))="","",INDEX(LubesData!$D:$D,MATCH($A45,LubesData!$U:$U,0))),"")</f>
        <v/>
      </c>
      <c r="D45" s="31">
        <f>IFERROR(IF(INDEX(LubesData!$O:$O,MATCH($A45,LubesData!$U:$U,0))="","",INDEX(LubesData!$O:$O,MATCH($A45,LubesData!$U:$U,0))),"")</f>
        <v/>
      </c>
      <c r="E45">
        <f>COUNTIFS(LubesData!$U:$U,$A45)</f>
        <v/>
      </c>
      <c r="F45">
        <f>COUNTIFS(LubesData!$U:$U,$A45,LubesData!$N:$N,"&lt;&gt;")</f>
        <v/>
      </c>
      <c r="G45">
        <f>COUNTIFS(LubesData!$U:$U,$A45,LubesData!$N:$N,0)</f>
        <v/>
      </c>
      <c r="H45">
        <f>IF($F45=0,"",$F45-$G45)</f>
        <v/>
      </c>
      <c r="I45">
        <f>IF($F45=0,"",SUMIFS(LubesData!$N:$N,LubesData!$U:$U,$A45))</f>
        <v/>
      </c>
      <c r="J45">
        <f>COUNTIFS(LubesData!$U:$U,$A45,LubesData!$Q:$Q,"&lt;&gt;")</f>
        <v/>
      </c>
      <c r="K45">
        <f>IF($J45=0,"",SUMIFS(LubesData!$Q:$Q,LubesData!$U:$U,$A45))</f>
        <v/>
      </c>
      <c r="L45">
        <f>COUNTIFS(LubesData!$U:$U,$A45,LubesData!$M:$M,"&lt;&gt;")</f>
        <v/>
      </c>
      <c r="M45">
        <f>IF($E45=0,"",IF($L45=0,"not loaded","loaded"))</f>
        <v/>
      </c>
      <c r="N45">
        <f>COUNTIFS(LubesData!$U:$U,$A45,LubesData!$I:$I,"&lt;&gt;")</f>
        <v/>
      </c>
      <c r="O45">
        <f>IF($E45=0,"",IF($L45=0,"No POS sales have been loaded for this date, so variance cannot be worked out. Import the sales report for this day and it fills in.",IF($N45=0,"This is the first count of these products, so there is no opening figure to sell down from. Variance starts from the next count.",IF($F45-$G45=0,"Physical and POS agree on every product.",($F45-$G45)&amp;" of "&amp;$F45&amp;" products disagree with the POS. Largest first below."))))</f>
        <v/>
      </c>
      <c r="R45" t="n">
        <v>43</v>
      </c>
      <c r="S45">
        <f>IFERROR(INDEX(LubesData!$G:$G,MATCH($R45,LubesData!$V:$V,0)),"")</f>
        <v/>
      </c>
      <c r="T45">
        <f>IF(COUNTIFS(LubesData!$V:$V,$R45,LubesData!$U:$U,1,LubesData!$N:$N,"&lt;&gt;")=0,"",SUMIFS(LubesData!$N:$N,LubesData!$V:$V,$R45,LubesData!$U:$U,1))</f>
        <v/>
      </c>
      <c r="U45">
        <f>IF(COUNTIFS(LubesData!$V:$V,$R45,LubesData!$U:$U,2,LubesData!$N:$N,"&lt;&gt;")=0,"",SUMIFS(LubesData!$N:$N,LubesData!$V:$V,$R45,LubesData!$U:$U,2))</f>
        <v/>
      </c>
      <c r="V45">
        <f>IF(COUNTIFS(LubesData!$V:$V,$R45,LubesData!$U:$U,3,LubesData!$N:$N,"&lt;&gt;")=0,"",SUMIFS(LubesData!$N:$N,LubesData!$V:$V,$R45,LubesData!$U:$U,3))</f>
        <v/>
      </c>
      <c r="W45">
        <f>IF(COUNTIFS(LubesData!$V:$V,$R45,LubesData!$U:$U,4,LubesData!$N:$N,"&lt;&gt;")=0,"",SUMIFS(LubesData!$N:$N,LubesData!$V:$V,$R45,LubesData!$U:$U,4))</f>
        <v/>
      </c>
      <c r="X45">
        <f>IF(COUNTIFS(LubesData!$V:$V,$R45,LubesData!$U:$U,5,LubesData!$N:$N,"&lt;&gt;")=0,"",SUMIFS(LubesData!$N:$N,LubesData!$V:$V,$R45,LubesData!$U:$U,5))</f>
        <v/>
      </c>
      <c r="Y45">
        <f>IF(COUNTIFS(LubesData!$V:$V,$R45,LubesData!$U:$U,6,LubesData!$N:$N,"&lt;&gt;")=0,"",SUMIFS(LubesData!$N:$N,LubesData!$V:$V,$R45,LubesData!$U:$U,6))</f>
        <v/>
      </c>
      <c r="Z45">
        <f>IF(COUNTIFS(LubesData!$V:$V,$R45,LubesData!$U:$U,7,LubesData!$N:$N,"&lt;&gt;")=0,"",SUMIFS(LubesData!$N:$N,LubesData!$V:$V,$R45,LubesData!$U:$U,7))</f>
        <v/>
      </c>
      <c r="AA45">
        <f>IF(COUNTIFS(LubesData!$V:$V,$R45,LubesData!$U:$U,8,LubesData!$N:$N,"&lt;&gt;")=0,"",SUMIFS(LubesData!$N:$N,LubesData!$V:$V,$R45,LubesData!$U:$U,8))</f>
        <v/>
      </c>
      <c r="AB45">
        <f>IF(COUNTIFS(LubesData!$V:$V,$R45,LubesData!$U:$U,9,LubesData!$N:$N,"&lt;&gt;")=0,"",SUMIFS(LubesData!$N:$N,LubesData!$V:$V,$R45,LubesData!$U:$U,9))</f>
        <v/>
      </c>
      <c r="AC45">
        <f>IF(COUNTIFS(LubesData!$V:$V,$R45,LubesData!$U:$U,10,LubesData!$N:$N,"&lt;&gt;")=0,"",SUMIFS(LubesData!$N:$N,LubesData!$V:$V,$R45,LubesData!$U:$U,10))</f>
        <v/>
      </c>
      <c r="AD45">
        <f>IF(COUNTIFS(LubesData!$V:$V,$R45,LubesData!$U:$U,11,LubesData!$N:$N,"&lt;&gt;")=0,"",SUMIFS(LubesData!$N:$N,LubesData!$V:$V,$R45,LubesData!$U:$U,11))</f>
        <v/>
      </c>
      <c r="AE45">
        <f>IF(COUNTIFS(LubesData!$V:$V,$R45,LubesData!$U:$U,12,LubesData!$N:$N,"&lt;&gt;")=0,"",SUMIFS(LubesData!$N:$N,LubesData!$V:$V,$R45,LubesData!$U:$U,12))</f>
        <v/>
      </c>
      <c r="AF45">
        <f>IF(COUNTIFS(LubesData!$V:$V,$R45,LubesData!$U:$U,13,LubesData!$N:$N,"&lt;&gt;")=0,"",SUMIFS(LubesData!$N:$N,LubesData!$V:$V,$R45,LubesData!$U:$U,13))</f>
        <v/>
      </c>
      <c r="AG45">
        <f>IF(COUNTIFS(LubesData!$V:$V,$R45,LubesData!$U:$U,14,LubesData!$N:$N,"&lt;&gt;")=0,"",SUMIFS(LubesData!$N:$N,LubesData!$V:$V,$R45,LubesData!$U:$U,14))</f>
        <v/>
      </c>
      <c r="AH45">
        <f>COUNTIFS(LubesData!$V:$V,$R45,LubesData!$U:$U,"&lt;="&amp;14,LubesData!$N:$N,"&lt;&gt;")</f>
        <v/>
      </c>
      <c r="AI45">
        <f>COUNTIFS(LubesData!$V:$V,$R45,LubesData!$U:$U,"&lt;="&amp;14,LubesData!$N:$N,0)</f>
        <v/>
      </c>
      <c r="AJ45">
        <f>IF(AH45=0,"",AH45-AI45)</f>
        <v/>
      </c>
      <c r="AK45">
        <f>IF(AH45=0,"",SUMIFS(LubesData!$N:$N,LubesData!$V:$V,$R45,LubesData!$U:$U,"&lt;="&amp;14))</f>
        <v/>
      </c>
      <c r="AL45">
        <f>IF(AH45=0,"",IF(ABS(MAX(T45:AG45))&gt;=ABS(MIN(T45:AG45)),MAX(T45:AG45),MIN(T45:AG45)))</f>
        <v/>
      </c>
      <c r="AM45">
        <f>IF(AH45=0,-1,AJ45*100000+MIN(ABS(AK45),99999))</f>
        <v/>
      </c>
      <c r="AN45">
        <f>IF($S45="","",1+COUNTIFS($AM$3:$AM$122,"&gt;"&amp;AM45)+COUNTIFS($AM$3:$AM$122,AM45,$R$3:$R$122,"&lt;"&amp;$R45))</f>
        <v/>
      </c>
    </row>
    <row r="46">
      <c r="A46" t="n">
        <v>44</v>
      </c>
      <c r="B46" s="31">
        <f>IFERROR(IF(INDEX(LubesData!$B:$B,MATCH($A46,LubesData!$U:$U,0))="","",INDEX(LubesData!$B:$B,MATCH($A46,LubesData!$U:$U,0))),"")</f>
        <v/>
      </c>
      <c r="C46">
        <f>IFERROR(IF(INDEX(LubesData!$D:$D,MATCH($A46,LubesData!$U:$U,0))="","",INDEX(LubesData!$D:$D,MATCH($A46,LubesData!$U:$U,0))),"")</f>
        <v/>
      </c>
      <c r="D46" s="31">
        <f>IFERROR(IF(INDEX(LubesData!$O:$O,MATCH($A46,LubesData!$U:$U,0))="","",INDEX(LubesData!$O:$O,MATCH($A46,LubesData!$U:$U,0))),"")</f>
        <v/>
      </c>
      <c r="E46">
        <f>COUNTIFS(LubesData!$U:$U,$A46)</f>
        <v/>
      </c>
      <c r="F46">
        <f>COUNTIFS(LubesData!$U:$U,$A46,LubesData!$N:$N,"&lt;&gt;")</f>
        <v/>
      </c>
      <c r="G46">
        <f>COUNTIFS(LubesData!$U:$U,$A46,LubesData!$N:$N,0)</f>
        <v/>
      </c>
      <c r="H46">
        <f>IF($F46=0,"",$F46-$G46)</f>
        <v/>
      </c>
      <c r="I46">
        <f>IF($F46=0,"",SUMIFS(LubesData!$N:$N,LubesData!$U:$U,$A46))</f>
        <v/>
      </c>
      <c r="J46">
        <f>COUNTIFS(LubesData!$U:$U,$A46,LubesData!$Q:$Q,"&lt;&gt;")</f>
        <v/>
      </c>
      <c r="K46">
        <f>IF($J46=0,"",SUMIFS(LubesData!$Q:$Q,LubesData!$U:$U,$A46))</f>
        <v/>
      </c>
      <c r="L46">
        <f>COUNTIFS(LubesData!$U:$U,$A46,LubesData!$M:$M,"&lt;&gt;")</f>
        <v/>
      </c>
      <c r="M46">
        <f>IF($E46=0,"",IF($L46=0,"not loaded","loaded"))</f>
        <v/>
      </c>
      <c r="N46">
        <f>COUNTIFS(LubesData!$U:$U,$A46,LubesData!$I:$I,"&lt;&gt;")</f>
        <v/>
      </c>
      <c r="O46">
        <f>IF($E46=0,"",IF($L46=0,"No POS sales have been loaded for this date, so variance cannot be worked out. Import the sales report for this day and it fills in.",IF($N46=0,"This is the first count of these products, so there is no opening figure to sell down from. Variance starts from the next count.",IF($F46-$G46=0,"Physical and POS agree on every product.",($F46-$G46)&amp;" of "&amp;$F46&amp;" products disagree with the POS. Largest first below."))))</f>
        <v/>
      </c>
      <c r="R46" t="n">
        <v>44</v>
      </c>
      <c r="S46">
        <f>IFERROR(INDEX(LubesData!$G:$G,MATCH($R46,LubesData!$V:$V,0)),"")</f>
        <v/>
      </c>
      <c r="T46">
        <f>IF(COUNTIFS(LubesData!$V:$V,$R46,LubesData!$U:$U,1,LubesData!$N:$N,"&lt;&gt;")=0,"",SUMIFS(LubesData!$N:$N,LubesData!$V:$V,$R46,LubesData!$U:$U,1))</f>
        <v/>
      </c>
      <c r="U46">
        <f>IF(COUNTIFS(LubesData!$V:$V,$R46,LubesData!$U:$U,2,LubesData!$N:$N,"&lt;&gt;")=0,"",SUMIFS(LubesData!$N:$N,LubesData!$V:$V,$R46,LubesData!$U:$U,2))</f>
        <v/>
      </c>
      <c r="V46">
        <f>IF(COUNTIFS(LubesData!$V:$V,$R46,LubesData!$U:$U,3,LubesData!$N:$N,"&lt;&gt;")=0,"",SUMIFS(LubesData!$N:$N,LubesData!$V:$V,$R46,LubesData!$U:$U,3))</f>
        <v/>
      </c>
      <c r="W46">
        <f>IF(COUNTIFS(LubesData!$V:$V,$R46,LubesData!$U:$U,4,LubesData!$N:$N,"&lt;&gt;")=0,"",SUMIFS(LubesData!$N:$N,LubesData!$V:$V,$R46,LubesData!$U:$U,4))</f>
        <v/>
      </c>
      <c r="X46">
        <f>IF(COUNTIFS(LubesData!$V:$V,$R46,LubesData!$U:$U,5,LubesData!$N:$N,"&lt;&gt;")=0,"",SUMIFS(LubesData!$N:$N,LubesData!$V:$V,$R46,LubesData!$U:$U,5))</f>
        <v/>
      </c>
      <c r="Y46">
        <f>IF(COUNTIFS(LubesData!$V:$V,$R46,LubesData!$U:$U,6,LubesData!$N:$N,"&lt;&gt;")=0,"",SUMIFS(LubesData!$N:$N,LubesData!$V:$V,$R46,LubesData!$U:$U,6))</f>
        <v/>
      </c>
      <c r="Z46">
        <f>IF(COUNTIFS(LubesData!$V:$V,$R46,LubesData!$U:$U,7,LubesData!$N:$N,"&lt;&gt;")=0,"",SUMIFS(LubesData!$N:$N,LubesData!$V:$V,$R46,LubesData!$U:$U,7))</f>
        <v/>
      </c>
      <c r="AA46">
        <f>IF(COUNTIFS(LubesData!$V:$V,$R46,LubesData!$U:$U,8,LubesData!$N:$N,"&lt;&gt;")=0,"",SUMIFS(LubesData!$N:$N,LubesData!$V:$V,$R46,LubesData!$U:$U,8))</f>
        <v/>
      </c>
      <c r="AB46">
        <f>IF(COUNTIFS(LubesData!$V:$V,$R46,LubesData!$U:$U,9,LubesData!$N:$N,"&lt;&gt;")=0,"",SUMIFS(LubesData!$N:$N,LubesData!$V:$V,$R46,LubesData!$U:$U,9))</f>
        <v/>
      </c>
      <c r="AC46">
        <f>IF(COUNTIFS(LubesData!$V:$V,$R46,LubesData!$U:$U,10,LubesData!$N:$N,"&lt;&gt;")=0,"",SUMIFS(LubesData!$N:$N,LubesData!$V:$V,$R46,LubesData!$U:$U,10))</f>
        <v/>
      </c>
      <c r="AD46">
        <f>IF(COUNTIFS(LubesData!$V:$V,$R46,LubesData!$U:$U,11,LubesData!$N:$N,"&lt;&gt;")=0,"",SUMIFS(LubesData!$N:$N,LubesData!$V:$V,$R46,LubesData!$U:$U,11))</f>
        <v/>
      </c>
      <c r="AE46">
        <f>IF(COUNTIFS(LubesData!$V:$V,$R46,LubesData!$U:$U,12,LubesData!$N:$N,"&lt;&gt;")=0,"",SUMIFS(LubesData!$N:$N,LubesData!$V:$V,$R46,LubesData!$U:$U,12))</f>
        <v/>
      </c>
      <c r="AF46">
        <f>IF(COUNTIFS(LubesData!$V:$V,$R46,LubesData!$U:$U,13,LubesData!$N:$N,"&lt;&gt;")=0,"",SUMIFS(LubesData!$N:$N,LubesData!$V:$V,$R46,LubesData!$U:$U,13))</f>
        <v/>
      </c>
      <c r="AG46">
        <f>IF(COUNTIFS(LubesData!$V:$V,$R46,LubesData!$U:$U,14,LubesData!$N:$N,"&lt;&gt;")=0,"",SUMIFS(LubesData!$N:$N,LubesData!$V:$V,$R46,LubesData!$U:$U,14))</f>
        <v/>
      </c>
      <c r="AH46">
        <f>COUNTIFS(LubesData!$V:$V,$R46,LubesData!$U:$U,"&lt;="&amp;14,LubesData!$N:$N,"&lt;&gt;")</f>
        <v/>
      </c>
      <c r="AI46">
        <f>COUNTIFS(LubesData!$V:$V,$R46,LubesData!$U:$U,"&lt;="&amp;14,LubesData!$N:$N,0)</f>
        <v/>
      </c>
      <c r="AJ46">
        <f>IF(AH46=0,"",AH46-AI46)</f>
        <v/>
      </c>
      <c r="AK46">
        <f>IF(AH46=0,"",SUMIFS(LubesData!$N:$N,LubesData!$V:$V,$R46,LubesData!$U:$U,"&lt;="&amp;14))</f>
        <v/>
      </c>
      <c r="AL46">
        <f>IF(AH46=0,"",IF(ABS(MAX(T46:AG46))&gt;=ABS(MIN(T46:AG46)),MAX(T46:AG46),MIN(T46:AG46)))</f>
        <v/>
      </c>
      <c r="AM46">
        <f>IF(AH46=0,-1,AJ46*100000+MIN(ABS(AK46),99999))</f>
        <v/>
      </c>
      <c r="AN46">
        <f>IF($S46="","",1+COUNTIFS($AM$3:$AM$122,"&gt;"&amp;AM46)+COUNTIFS($AM$3:$AM$122,AM46,$R$3:$R$122,"&lt;"&amp;$R46))</f>
        <v/>
      </c>
    </row>
    <row r="47">
      <c r="A47" t="n">
        <v>45</v>
      </c>
      <c r="B47" s="31">
        <f>IFERROR(IF(INDEX(LubesData!$B:$B,MATCH($A47,LubesData!$U:$U,0))="","",INDEX(LubesData!$B:$B,MATCH($A47,LubesData!$U:$U,0))),"")</f>
        <v/>
      </c>
      <c r="C47">
        <f>IFERROR(IF(INDEX(LubesData!$D:$D,MATCH($A47,LubesData!$U:$U,0))="","",INDEX(LubesData!$D:$D,MATCH($A47,LubesData!$U:$U,0))),"")</f>
        <v/>
      </c>
      <c r="D47" s="31">
        <f>IFERROR(IF(INDEX(LubesData!$O:$O,MATCH($A47,LubesData!$U:$U,0))="","",INDEX(LubesData!$O:$O,MATCH($A47,LubesData!$U:$U,0))),"")</f>
        <v/>
      </c>
      <c r="E47">
        <f>COUNTIFS(LubesData!$U:$U,$A47)</f>
        <v/>
      </c>
      <c r="F47">
        <f>COUNTIFS(LubesData!$U:$U,$A47,LubesData!$N:$N,"&lt;&gt;")</f>
        <v/>
      </c>
      <c r="G47">
        <f>COUNTIFS(LubesData!$U:$U,$A47,LubesData!$N:$N,0)</f>
        <v/>
      </c>
      <c r="H47">
        <f>IF($F47=0,"",$F47-$G47)</f>
        <v/>
      </c>
      <c r="I47">
        <f>IF($F47=0,"",SUMIFS(LubesData!$N:$N,LubesData!$U:$U,$A47))</f>
        <v/>
      </c>
      <c r="J47">
        <f>COUNTIFS(LubesData!$U:$U,$A47,LubesData!$Q:$Q,"&lt;&gt;")</f>
        <v/>
      </c>
      <c r="K47">
        <f>IF($J47=0,"",SUMIFS(LubesData!$Q:$Q,LubesData!$U:$U,$A47))</f>
        <v/>
      </c>
      <c r="L47">
        <f>COUNTIFS(LubesData!$U:$U,$A47,LubesData!$M:$M,"&lt;&gt;")</f>
        <v/>
      </c>
      <c r="M47">
        <f>IF($E47=0,"",IF($L47=0,"not loaded","loaded"))</f>
        <v/>
      </c>
      <c r="N47">
        <f>COUNTIFS(LubesData!$U:$U,$A47,LubesData!$I:$I,"&lt;&gt;")</f>
        <v/>
      </c>
      <c r="O47">
        <f>IF($E47=0,"",IF($L47=0,"No POS sales have been loaded for this date, so variance cannot be worked out. Import the sales report for this day and it fills in.",IF($N47=0,"This is the first count of these products, so there is no opening figure to sell down from. Variance starts from the next count.",IF($F47-$G47=0,"Physical and POS agree on every product.",($F47-$G47)&amp;" of "&amp;$F47&amp;" products disagree with the POS. Largest first below."))))</f>
        <v/>
      </c>
      <c r="R47" t="n">
        <v>45</v>
      </c>
      <c r="S47">
        <f>IFERROR(INDEX(LubesData!$G:$G,MATCH($R47,LubesData!$V:$V,0)),"")</f>
        <v/>
      </c>
      <c r="T47">
        <f>IF(COUNTIFS(LubesData!$V:$V,$R47,LubesData!$U:$U,1,LubesData!$N:$N,"&lt;&gt;")=0,"",SUMIFS(LubesData!$N:$N,LubesData!$V:$V,$R47,LubesData!$U:$U,1))</f>
        <v/>
      </c>
      <c r="U47">
        <f>IF(COUNTIFS(LubesData!$V:$V,$R47,LubesData!$U:$U,2,LubesData!$N:$N,"&lt;&gt;")=0,"",SUMIFS(LubesData!$N:$N,LubesData!$V:$V,$R47,LubesData!$U:$U,2))</f>
        <v/>
      </c>
      <c r="V47">
        <f>IF(COUNTIFS(LubesData!$V:$V,$R47,LubesData!$U:$U,3,LubesData!$N:$N,"&lt;&gt;")=0,"",SUMIFS(LubesData!$N:$N,LubesData!$V:$V,$R47,LubesData!$U:$U,3))</f>
        <v/>
      </c>
      <c r="W47">
        <f>IF(COUNTIFS(LubesData!$V:$V,$R47,LubesData!$U:$U,4,LubesData!$N:$N,"&lt;&gt;")=0,"",SUMIFS(LubesData!$N:$N,LubesData!$V:$V,$R47,LubesData!$U:$U,4))</f>
        <v/>
      </c>
      <c r="X47">
        <f>IF(COUNTIFS(LubesData!$V:$V,$R47,LubesData!$U:$U,5,LubesData!$N:$N,"&lt;&gt;")=0,"",SUMIFS(LubesData!$N:$N,LubesData!$V:$V,$R47,LubesData!$U:$U,5))</f>
        <v/>
      </c>
      <c r="Y47">
        <f>IF(COUNTIFS(LubesData!$V:$V,$R47,LubesData!$U:$U,6,LubesData!$N:$N,"&lt;&gt;")=0,"",SUMIFS(LubesData!$N:$N,LubesData!$V:$V,$R47,LubesData!$U:$U,6))</f>
        <v/>
      </c>
      <c r="Z47">
        <f>IF(COUNTIFS(LubesData!$V:$V,$R47,LubesData!$U:$U,7,LubesData!$N:$N,"&lt;&gt;")=0,"",SUMIFS(LubesData!$N:$N,LubesData!$V:$V,$R47,LubesData!$U:$U,7))</f>
        <v/>
      </c>
      <c r="AA47">
        <f>IF(COUNTIFS(LubesData!$V:$V,$R47,LubesData!$U:$U,8,LubesData!$N:$N,"&lt;&gt;")=0,"",SUMIFS(LubesData!$N:$N,LubesData!$V:$V,$R47,LubesData!$U:$U,8))</f>
        <v/>
      </c>
      <c r="AB47">
        <f>IF(COUNTIFS(LubesData!$V:$V,$R47,LubesData!$U:$U,9,LubesData!$N:$N,"&lt;&gt;")=0,"",SUMIFS(LubesData!$N:$N,LubesData!$V:$V,$R47,LubesData!$U:$U,9))</f>
        <v/>
      </c>
      <c r="AC47">
        <f>IF(COUNTIFS(LubesData!$V:$V,$R47,LubesData!$U:$U,10,LubesData!$N:$N,"&lt;&gt;")=0,"",SUMIFS(LubesData!$N:$N,LubesData!$V:$V,$R47,LubesData!$U:$U,10))</f>
        <v/>
      </c>
      <c r="AD47">
        <f>IF(COUNTIFS(LubesData!$V:$V,$R47,LubesData!$U:$U,11,LubesData!$N:$N,"&lt;&gt;")=0,"",SUMIFS(LubesData!$N:$N,LubesData!$V:$V,$R47,LubesData!$U:$U,11))</f>
        <v/>
      </c>
      <c r="AE47">
        <f>IF(COUNTIFS(LubesData!$V:$V,$R47,LubesData!$U:$U,12,LubesData!$N:$N,"&lt;&gt;")=0,"",SUMIFS(LubesData!$N:$N,LubesData!$V:$V,$R47,LubesData!$U:$U,12))</f>
        <v/>
      </c>
      <c r="AF47">
        <f>IF(COUNTIFS(LubesData!$V:$V,$R47,LubesData!$U:$U,13,LubesData!$N:$N,"&lt;&gt;")=0,"",SUMIFS(LubesData!$N:$N,LubesData!$V:$V,$R47,LubesData!$U:$U,13))</f>
        <v/>
      </c>
      <c r="AG47">
        <f>IF(COUNTIFS(LubesData!$V:$V,$R47,LubesData!$U:$U,14,LubesData!$N:$N,"&lt;&gt;")=0,"",SUMIFS(LubesData!$N:$N,LubesData!$V:$V,$R47,LubesData!$U:$U,14))</f>
        <v/>
      </c>
      <c r="AH47">
        <f>COUNTIFS(LubesData!$V:$V,$R47,LubesData!$U:$U,"&lt;="&amp;14,LubesData!$N:$N,"&lt;&gt;")</f>
        <v/>
      </c>
      <c r="AI47">
        <f>COUNTIFS(LubesData!$V:$V,$R47,LubesData!$U:$U,"&lt;="&amp;14,LubesData!$N:$N,0)</f>
        <v/>
      </c>
      <c r="AJ47">
        <f>IF(AH47=0,"",AH47-AI47)</f>
        <v/>
      </c>
      <c r="AK47">
        <f>IF(AH47=0,"",SUMIFS(LubesData!$N:$N,LubesData!$V:$V,$R47,LubesData!$U:$U,"&lt;="&amp;14))</f>
        <v/>
      </c>
      <c r="AL47">
        <f>IF(AH47=0,"",IF(ABS(MAX(T47:AG47))&gt;=ABS(MIN(T47:AG47)),MAX(T47:AG47),MIN(T47:AG47)))</f>
        <v/>
      </c>
      <c r="AM47">
        <f>IF(AH47=0,-1,AJ47*100000+MIN(ABS(AK47),99999))</f>
        <v/>
      </c>
      <c r="AN47">
        <f>IF($S47="","",1+COUNTIFS($AM$3:$AM$122,"&gt;"&amp;AM47)+COUNTIFS($AM$3:$AM$122,AM47,$R$3:$R$122,"&lt;"&amp;$R47))</f>
        <v/>
      </c>
    </row>
    <row r="48">
      <c r="A48" t="n">
        <v>46</v>
      </c>
      <c r="B48" s="31">
        <f>IFERROR(IF(INDEX(LubesData!$B:$B,MATCH($A48,LubesData!$U:$U,0))="","",INDEX(LubesData!$B:$B,MATCH($A48,LubesData!$U:$U,0))),"")</f>
        <v/>
      </c>
      <c r="C48">
        <f>IFERROR(IF(INDEX(LubesData!$D:$D,MATCH($A48,LubesData!$U:$U,0))="","",INDEX(LubesData!$D:$D,MATCH($A48,LubesData!$U:$U,0))),"")</f>
        <v/>
      </c>
      <c r="D48" s="31">
        <f>IFERROR(IF(INDEX(LubesData!$O:$O,MATCH($A48,LubesData!$U:$U,0))="","",INDEX(LubesData!$O:$O,MATCH($A48,LubesData!$U:$U,0))),"")</f>
        <v/>
      </c>
      <c r="E48">
        <f>COUNTIFS(LubesData!$U:$U,$A48)</f>
        <v/>
      </c>
      <c r="F48">
        <f>COUNTIFS(LubesData!$U:$U,$A48,LubesData!$N:$N,"&lt;&gt;")</f>
        <v/>
      </c>
      <c r="G48">
        <f>COUNTIFS(LubesData!$U:$U,$A48,LubesData!$N:$N,0)</f>
        <v/>
      </c>
      <c r="H48">
        <f>IF($F48=0,"",$F48-$G48)</f>
        <v/>
      </c>
      <c r="I48">
        <f>IF($F48=0,"",SUMIFS(LubesData!$N:$N,LubesData!$U:$U,$A48))</f>
        <v/>
      </c>
      <c r="J48">
        <f>COUNTIFS(LubesData!$U:$U,$A48,LubesData!$Q:$Q,"&lt;&gt;")</f>
        <v/>
      </c>
      <c r="K48">
        <f>IF($J48=0,"",SUMIFS(LubesData!$Q:$Q,LubesData!$U:$U,$A48))</f>
        <v/>
      </c>
      <c r="L48">
        <f>COUNTIFS(LubesData!$U:$U,$A48,LubesData!$M:$M,"&lt;&gt;")</f>
        <v/>
      </c>
      <c r="M48">
        <f>IF($E48=0,"",IF($L48=0,"not loaded","loaded"))</f>
        <v/>
      </c>
      <c r="N48">
        <f>COUNTIFS(LubesData!$U:$U,$A48,LubesData!$I:$I,"&lt;&gt;")</f>
        <v/>
      </c>
      <c r="O48">
        <f>IF($E48=0,"",IF($L48=0,"No POS sales have been loaded for this date, so variance cannot be worked out. Import the sales report for this day and it fills in.",IF($N48=0,"This is the first count of these products, so there is no opening figure to sell down from. Variance starts from the next count.",IF($F48-$G48=0,"Physical and POS agree on every product.",($F48-$G48)&amp;" of "&amp;$F48&amp;" products disagree with the POS. Largest first below."))))</f>
        <v/>
      </c>
      <c r="R48" t="n">
        <v>46</v>
      </c>
      <c r="S48">
        <f>IFERROR(INDEX(LubesData!$G:$G,MATCH($R48,LubesData!$V:$V,0)),"")</f>
        <v/>
      </c>
      <c r="T48">
        <f>IF(COUNTIFS(LubesData!$V:$V,$R48,LubesData!$U:$U,1,LubesData!$N:$N,"&lt;&gt;")=0,"",SUMIFS(LubesData!$N:$N,LubesData!$V:$V,$R48,LubesData!$U:$U,1))</f>
        <v/>
      </c>
      <c r="U48">
        <f>IF(COUNTIFS(LubesData!$V:$V,$R48,LubesData!$U:$U,2,LubesData!$N:$N,"&lt;&gt;")=0,"",SUMIFS(LubesData!$N:$N,LubesData!$V:$V,$R48,LubesData!$U:$U,2))</f>
        <v/>
      </c>
      <c r="V48">
        <f>IF(COUNTIFS(LubesData!$V:$V,$R48,LubesData!$U:$U,3,LubesData!$N:$N,"&lt;&gt;")=0,"",SUMIFS(LubesData!$N:$N,LubesData!$V:$V,$R48,LubesData!$U:$U,3))</f>
        <v/>
      </c>
      <c r="W48">
        <f>IF(COUNTIFS(LubesData!$V:$V,$R48,LubesData!$U:$U,4,LubesData!$N:$N,"&lt;&gt;")=0,"",SUMIFS(LubesData!$N:$N,LubesData!$V:$V,$R48,LubesData!$U:$U,4))</f>
        <v/>
      </c>
      <c r="X48">
        <f>IF(COUNTIFS(LubesData!$V:$V,$R48,LubesData!$U:$U,5,LubesData!$N:$N,"&lt;&gt;")=0,"",SUMIFS(LubesData!$N:$N,LubesData!$V:$V,$R48,LubesData!$U:$U,5))</f>
        <v/>
      </c>
      <c r="Y48">
        <f>IF(COUNTIFS(LubesData!$V:$V,$R48,LubesData!$U:$U,6,LubesData!$N:$N,"&lt;&gt;")=0,"",SUMIFS(LubesData!$N:$N,LubesData!$V:$V,$R48,LubesData!$U:$U,6))</f>
        <v/>
      </c>
      <c r="Z48">
        <f>IF(COUNTIFS(LubesData!$V:$V,$R48,LubesData!$U:$U,7,LubesData!$N:$N,"&lt;&gt;")=0,"",SUMIFS(LubesData!$N:$N,LubesData!$V:$V,$R48,LubesData!$U:$U,7))</f>
        <v/>
      </c>
      <c r="AA48">
        <f>IF(COUNTIFS(LubesData!$V:$V,$R48,LubesData!$U:$U,8,LubesData!$N:$N,"&lt;&gt;")=0,"",SUMIFS(LubesData!$N:$N,LubesData!$V:$V,$R48,LubesData!$U:$U,8))</f>
        <v/>
      </c>
      <c r="AB48">
        <f>IF(COUNTIFS(LubesData!$V:$V,$R48,LubesData!$U:$U,9,LubesData!$N:$N,"&lt;&gt;")=0,"",SUMIFS(LubesData!$N:$N,LubesData!$V:$V,$R48,LubesData!$U:$U,9))</f>
        <v/>
      </c>
      <c r="AC48">
        <f>IF(COUNTIFS(LubesData!$V:$V,$R48,LubesData!$U:$U,10,LubesData!$N:$N,"&lt;&gt;")=0,"",SUMIFS(LubesData!$N:$N,LubesData!$V:$V,$R48,LubesData!$U:$U,10))</f>
        <v/>
      </c>
      <c r="AD48">
        <f>IF(COUNTIFS(LubesData!$V:$V,$R48,LubesData!$U:$U,11,LubesData!$N:$N,"&lt;&gt;")=0,"",SUMIFS(LubesData!$N:$N,LubesData!$V:$V,$R48,LubesData!$U:$U,11))</f>
        <v/>
      </c>
      <c r="AE48">
        <f>IF(COUNTIFS(LubesData!$V:$V,$R48,LubesData!$U:$U,12,LubesData!$N:$N,"&lt;&gt;")=0,"",SUMIFS(LubesData!$N:$N,LubesData!$V:$V,$R48,LubesData!$U:$U,12))</f>
        <v/>
      </c>
      <c r="AF48">
        <f>IF(COUNTIFS(LubesData!$V:$V,$R48,LubesData!$U:$U,13,LubesData!$N:$N,"&lt;&gt;")=0,"",SUMIFS(LubesData!$N:$N,LubesData!$V:$V,$R48,LubesData!$U:$U,13))</f>
        <v/>
      </c>
      <c r="AG48">
        <f>IF(COUNTIFS(LubesData!$V:$V,$R48,LubesData!$U:$U,14,LubesData!$N:$N,"&lt;&gt;")=0,"",SUMIFS(LubesData!$N:$N,LubesData!$V:$V,$R48,LubesData!$U:$U,14))</f>
        <v/>
      </c>
      <c r="AH48">
        <f>COUNTIFS(LubesData!$V:$V,$R48,LubesData!$U:$U,"&lt;="&amp;14,LubesData!$N:$N,"&lt;&gt;")</f>
        <v/>
      </c>
      <c r="AI48">
        <f>COUNTIFS(LubesData!$V:$V,$R48,LubesData!$U:$U,"&lt;="&amp;14,LubesData!$N:$N,0)</f>
        <v/>
      </c>
      <c r="AJ48">
        <f>IF(AH48=0,"",AH48-AI48)</f>
        <v/>
      </c>
      <c r="AK48">
        <f>IF(AH48=0,"",SUMIFS(LubesData!$N:$N,LubesData!$V:$V,$R48,LubesData!$U:$U,"&lt;="&amp;14))</f>
        <v/>
      </c>
      <c r="AL48">
        <f>IF(AH48=0,"",IF(ABS(MAX(T48:AG48))&gt;=ABS(MIN(T48:AG48)),MAX(T48:AG48),MIN(T48:AG48)))</f>
        <v/>
      </c>
      <c r="AM48">
        <f>IF(AH48=0,-1,AJ48*100000+MIN(ABS(AK48),99999))</f>
        <v/>
      </c>
      <c r="AN48">
        <f>IF($S48="","",1+COUNTIFS($AM$3:$AM$122,"&gt;"&amp;AM48)+COUNTIFS($AM$3:$AM$122,AM48,$R$3:$R$122,"&lt;"&amp;$R48))</f>
        <v/>
      </c>
    </row>
    <row r="49">
      <c r="A49" t="n">
        <v>47</v>
      </c>
      <c r="B49" s="31">
        <f>IFERROR(IF(INDEX(LubesData!$B:$B,MATCH($A49,LubesData!$U:$U,0))="","",INDEX(LubesData!$B:$B,MATCH($A49,LubesData!$U:$U,0))),"")</f>
        <v/>
      </c>
      <c r="C49">
        <f>IFERROR(IF(INDEX(LubesData!$D:$D,MATCH($A49,LubesData!$U:$U,0))="","",INDEX(LubesData!$D:$D,MATCH($A49,LubesData!$U:$U,0))),"")</f>
        <v/>
      </c>
      <c r="D49" s="31">
        <f>IFERROR(IF(INDEX(LubesData!$O:$O,MATCH($A49,LubesData!$U:$U,0))="","",INDEX(LubesData!$O:$O,MATCH($A49,LubesData!$U:$U,0))),"")</f>
        <v/>
      </c>
      <c r="E49">
        <f>COUNTIFS(LubesData!$U:$U,$A49)</f>
        <v/>
      </c>
      <c r="F49">
        <f>COUNTIFS(LubesData!$U:$U,$A49,LubesData!$N:$N,"&lt;&gt;")</f>
        <v/>
      </c>
      <c r="G49">
        <f>COUNTIFS(LubesData!$U:$U,$A49,LubesData!$N:$N,0)</f>
        <v/>
      </c>
      <c r="H49">
        <f>IF($F49=0,"",$F49-$G49)</f>
        <v/>
      </c>
      <c r="I49">
        <f>IF($F49=0,"",SUMIFS(LubesData!$N:$N,LubesData!$U:$U,$A49))</f>
        <v/>
      </c>
      <c r="J49">
        <f>COUNTIFS(LubesData!$U:$U,$A49,LubesData!$Q:$Q,"&lt;&gt;")</f>
        <v/>
      </c>
      <c r="K49">
        <f>IF($J49=0,"",SUMIFS(LubesData!$Q:$Q,LubesData!$U:$U,$A49))</f>
        <v/>
      </c>
      <c r="L49">
        <f>COUNTIFS(LubesData!$U:$U,$A49,LubesData!$M:$M,"&lt;&gt;")</f>
        <v/>
      </c>
      <c r="M49">
        <f>IF($E49=0,"",IF($L49=0,"not loaded","loaded"))</f>
        <v/>
      </c>
      <c r="N49">
        <f>COUNTIFS(LubesData!$U:$U,$A49,LubesData!$I:$I,"&lt;&gt;")</f>
        <v/>
      </c>
      <c r="O49">
        <f>IF($E49=0,"",IF($L49=0,"No POS sales have been loaded for this date, so variance cannot be worked out. Import the sales report for this day and it fills in.",IF($N49=0,"This is the first count of these products, so there is no opening figure to sell down from. Variance starts from the next count.",IF($F49-$G49=0,"Physical and POS agree on every product.",($F49-$G49)&amp;" of "&amp;$F49&amp;" products disagree with the POS. Largest first below."))))</f>
        <v/>
      </c>
      <c r="R49" t="n">
        <v>47</v>
      </c>
      <c r="S49">
        <f>IFERROR(INDEX(LubesData!$G:$G,MATCH($R49,LubesData!$V:$V,0)),"")</f>
        <v/>
      </c>
      <c r="T49">
        <f>IF(COUNTIFS(LubesData!$V:$V,$R49,LubesData!$U:$U,1,LubesData!$N:$N,"&lt;&gt;")=0,"",SUMIFS(LubesData!$N:$N,LubesData!$V:$V,$R49,LubesData!$U:$U,1))</f>
        <v/>
      </c>
      <c r="U49">
        <f>IF(COUNTIFS(LubesData!$V:$V,$R49,LubesData!$U:$U,2,LubesData!$N:$N,"&lt;&gt;")=0,"",SUMIFS(LubesData!$N:$N,LubesData!$V:$V,$R49,LubesData!$U:$U,2))</f>
        <v/>
      </c>
      <c r="V49">
        <f>IF(COUNTIFS(LubesData!$V:$V,$R49,LubesData!$U:$U,3,LubesData!$N:$N,"&lt;&gt;")=0,"",SUMIFS(LubesData!$N:$N,LubesData!$V:$V,$R49,LubesData!$U:$U,3))</f>
        <v/>
      </c>
      <c r="W49">
        <f>IF(COUNTIFS(LubesData!$V:$V,$R49,LubesData!$U:$U,4,LubesData!$N:$N,"&lt;&gt;")=0,"",SUMIFS(LubesData!$N:$N,LubesData!$V:$V,$R49,LubesData!$U:$U,4))</f>
        <v/>
      </c>
      <c r="X49">
        <f>IF(COUNTIFS(LubesData!$V:$V,$R49,LubesData!$U:$U,5,LubesData!$N:$N,"&lt;&gt;")=0,"",SUMIFS(LubesData!$N:$N,LubesData!$V:$V,$R49,LubesData!$U:$U,5))</f>
        <v/>
      </c>
      <c r="Y49">
        <f>IF(COUNTIFS(LubesData!$V:$V,$R49,LubesData!$U:$U,6,LubesData!$N:$N,"&lt;&gt;")=0,"",SUMIFS(LubesData!$N:$N,LubesData!$V:$V,$R49,LubesData!$U:$U,6))</f>
        <v/>
      </c>
      <c r="Z49">
        <f>IF(COUNTIFS(LubesData!$V:$V,$R49,LubesData!$U:$U,7,LubesData!$N:$N,"&lt;&gt;")=0,"",SUMIFS(LubesData!$N:$N,LubesData!$V:$V,$R49,LubesData!$U:$U,7))</f>
        <v/>
      </c>
      <c r="AA49">
        <f>IF(COUNTIFS(LubesData!$V:$V,$R49,LubesData!$U:$U,8,LubesData!$N:$N,"&lt;&gt;")=0,"",SUMIFS(LubesData!$N:$N,LubesData!$V:$V,$R49,LubesData!$U:$U,8))</f>
        <v/>
      </c>
      <c r="AB49">
        <f>IF(COUNTIFS(LubesData!$V:$V,$R49,LubesData!$U:$U,9,LubesData!$N:$N,"&lt;&gt;")=0,"",SUMIFS(LubesData!$N:$N,LubesData!$V:$V,$R49,LubesData!$U:$U,9))</f>
        <v/>
      </c>
      <c r="AC49">
        <f>IF(COUNTIFS(LubesData!$V:$V,$R49,LubesData!$U:$U,10,LubesData!$N:$N,"&lt;&gt;")=0,"",SUMIFS(LubesData!$N:$N,LubesData!$V:$V,$R49,LubesData!$U:$U,10))</f>
        <v/>
      </c>
      <c r="AD49">
        <f>IF(COUNTIFS(LubesData!$V:$V,$R49,LubesData!$U:$U,11,LubesData!$N:$N,"&lt;&gt;")=0,"",SUMIFS(LubesData!$N:$N,LubesData!$V:$V,$R49,LubesData!$U:$U,11))</f>
        <v/>
      </c>
      <c r="AE49">
        <f>IF(COUNTIFS(LubesData!$V:$V,$R49,LubesData!$U:$U,12,LubesData!$N:$N,"&lt;&gt;")=0,"",SUMIFS(LubesData!$N:$N,LubesData!$V:$V,$R49,LubesData!$U:$U,12))</f>
        <v/>
      </c>
      <c r="AF49">
        <f>IF(COUNTIFS(LubesData!$V:$V,$R49,LubesData!$U:$U,13,LubesData!$N:$N,"&lt;&gt;")=0,"",SUMIFS(LubesData!$N:$N,LubesData!$V:$V,$R49,LubesData!$U:$U,13))</f>
        <v/>
      </c>
      <c r="AG49">
        <f>IF(COUNTIFS(LubesData!$V:$V,$R49,LubesData!$U:$U,14,LubesData!$N:$N,"&lt;&gt;")=0,"",SUMIFS(LubesData!$N:$N,LubesData!$V:$V,$R49,LubesData!$U:$U,14))</f>
        <v/>
      </c>
      <c r="AH49">
        <f>COUNTIFS(LubesData!$V:$V,$R49,LubesData!$U:$U,"&lt;="&amp;14,LubesData!$N:$N,"&lt;&gt;")</f>
        <v/>
      </c>
      <c r="AI49">
        <f>COUNTIFS(LubesData!$V:$V,$R49,LubesData!$U:$U,"&lt;="&amp;14,LubesData!$N:$N,0)</f>
        <v/>
      </c>
      <c r="AJ49">
        <f>IF(AH49=0,"",AH49-AI49)</f>
        <v/>
      </c>
      <c r="AK49">
        <f>IF(AH49=0,"",SUMIFS(LubesData!$N:$N,LubesData!$V:$V,$R49,LubesData!$U:$U,"&lt;="&amp;14))</f>
        <v/>
      </c>
      <c r="AL49">
        <f>IF(AH49=0,"",IF(ABS(MAX(T49:AG49))&gt;=ABS(MIN(T49:AG49)),MAX(T49:AG49),MIN(T49:AG49)))</f>
        <v/>
      </c>
      <c r="AM49">
        <f>IF(AH49=0,-1,AJ49*100000+MIN(ABS(AK49),99999))</f>
        <v/>
      </c>
      <c r="AN49">
        <f>IF($S49="","",1+COUNTIFS($AM$3:$AM$122,"&gt;"&amp;AM49)+COUNTIFS($AM$3:$AM$122,AM49,$R$3:$R$122,"&lt;"&amp;$R49))</f>
        <v/>
      </c>
    </row>
    <row r="50">
      <c r="A50" t="n">
        <v>48</v>
      </c>
      <c r="B50" s="31">
        <f>IFERROR(IF(INDEX(LubesData!$B:$B,MATCH($A50,LubesData!$U:$U,0))="","",INDEX(LubesData!$B:$B,MATCH($A50,LubesData!$U:$U,0))),"")</f>
        <v/>
      </c>
      <c r="C50">
        <f>IFERROR(IF(INDEX(LubesData!$D:$D,MATCH($A50,LubesData!$U:$U,0))="","",INDEX(LubesData!$D:$D,MATCH($A50,LubesData!$U:$U,0))),"")</f>
        <v/>
      </c>
      <c r="D50" s="31">
        <f>IFERROR(IF(INDEX(LubesData!$O:$O,MATCH($A50,LubesData!$U:$U,0))="","",INDEX(LubesData!$O:$O,MATCH($A50,LubesData!$U:$U,0))),"")</f>
        <v/>
      </c>
      <c r="E50">
        <f>COUNTIFS(LubesData!$U:$U,$A50)</f>
        <v/>
      </c>
      <c r="F50">
        <f>COUNTIFS(LubesData!$U:$U,$A50,LubesData!$N:$N,"&lt;&gt;")</f>
        <v/>
      </c>
      <c r="G50">
        <f>COUNTIFS(LubesData!$U:$U,$A50,LubesData!$N:$N,0)</f>
        <v/>
      </c>
      <c r="H50">
        <f>IF($F50=0,"",$F50-$G50)</f>
        <v/>
      </c>
      <c r="I50">
        <f>IF($F50=0,"",SUMIFS(LubesData!$N:$N,LubesData!$U:$U,$A50))</f>
        <v/>
      </c>
      <c r="J50">
        <f>COUNTIFS(LubesData!$U:$U,$A50,LubesData!$Q:$Q,"&lt;&gt;")</f>
        <v/>
      </c>
      <c r="K50">
        <f>IF($J50=0,"",SUMIFS(LubesData!$Q:$Q,LubesData!$U:$U,$A50))</f>
        <v/>
      </c>
      <c r="L50">
        <f>COUNTIFS(LubesData!$U:$U,$A50,LubesData!$M:$M,"&lt;&gt;")</f>
        <v/>
      </c>
      <c r="M50">
        <f>IF($E50=0,"",IF($L50=0,"not loaded","loaded"))</f>
        <v/>
      </c>
      <c r="N50">
        <f>COUNTIFS(LubesData!$U:$U,$A50,LubesData!$I:$I,"&lt;&gt;")</f>
        <v/>
      </c>
      <c r="O50">
        <f>IF($E50=0,"",IF($L50=0,"No POS sales have been loaded for this date, so variance cannot be worked out. Import the sales report for this day and it fills in.",IF($N50=0,"This is the first count of these products, so there is no opening figure to sell down from. Variance starts from the next count.",IF($F50-$G50=0,"Physical and POS agree on every product.",($F50-$G50)&amp;" of "&amp;$F50&amp;" products disagree with the POS. Largest first below."))))</f>
        <v/>
      </c>
      <c r="R50" t="n">
        <v>48</v>
      </c>
      <c r="S50">
        <f>IFERROR(INDEX(LubesData!$G:$G,MATCH($R50,LubesData!$V:$V,0)),"")</f>
        <v/>
      </c>
      <c r="T50">
        <f>IF(COUNTIFS(LubesData!$V:$V,$R50,LubesData!$U:$U,1,LubesData!$N:$N,"&lt;&gt;")=0,"",SUMIFS(LubesData!$N:$N,LubesData!$V:$V,$R50,LubesData!$U:$U,1))</f>
        <v/>
      </c>
      <c r="U50">
        <f>IF(COUNTIFS(LubesData!$V:$V,$R50,LubesData!$U:$U,2,LubesData!$N:$N,"&lt;&gt;")=0,"",SUMIFS(LubesData!$N:$N,LubesData!$V:$V,$R50,LubesData!$U:$U,2))</f>
        <v/>
      </c>
      <c r="V50">
        <f>IF(COUNTIFS(LubesData!$V:$V,$R50,LubesData!$U:$U,3,LubesData!$N:$N,"&lt;&gt;")=0,"",SUMIFS(LubesData!$N:$N,LubesData!$V:$V,$R50,LubesData!$U:$U,3))</f>
        <v/>
      </c>
      <c r="W50">
        <f>IF(COUNTIFS(LubesData!$V:$V,$R50,LubesData!$U:$U,4,LubesData!$N:$N,"&lt;&gt;")=0,"",SUMIFS(LubesData!$N:$N,LubesData!$V:$V,$R50,LubesData!$U:$U,4))</f>
        <v/>
      </c>
      <c r="X50">
        <f>IF(COUNTIFS(LubesData!$V:$V,$R50,LubesData!$U:$U,5,LubesData!$N:$N,"&lt;&gt;")=0,"",SUMIFS(LubesData!$N:$N,LubesData!$V:$V,$R50,LubesData!$U:$U,5))</f>
        <v/>
      </c>
      <c r="Y50">
        <f>IF(COUNTIFS(LubesData!$V:$V,$R50,LubesData!$U:$U,6,LubesData!$N:$N,"&lt;&gt;")=0,"",SUMIFS(LubesData!$N:$N,LubesData!$V:$V,$R50,LubesData!$U:$U,6))</f>
        <v/>
      </c>
      <c r="Z50">
        <f>IF(COUNTIFS(LubesData!$V:$V,$R50,LubesData!$U:$U,7,LubesData!$N:$N,"&lt;&gt;")=0,"",SUMIFS(LubesData!$N:$N,LubesData!$V:$V,$R50,LubesData!$U:$U,7))</f>
        <v/>
      </c>
      <c r="AA50">
        <f>IF(COUNTIFS(LubesData!$V:$V,$R50,LubesData!$U:$U,8,LubesData!$N:$N,"&lt;&gt;")=0,"",SUMIFS(LubesData!$N:$N,LubesData!$V:$V,$R50,LubesData!$U:$U,8))</f>
        <v/>
      </c>
      <c r="AB50">
        <f>IF(COUNTIFS(LubesData!$V:$V,$R50,LubesData!$U:$U,9,LubesData!$N:$N,"&lt;&gt;")=0,"",SUMIFS(LubesData!$N:$N,LubesData!$V:$V,$R50,LubesData!$U:$U,9))</f>
        <v/>
      </c>
      <c r="AC50">
        <f>IF(COUNTIFS(LubesData!$V:$V,$R50,LubesData!$U:$U,10,LubesData!$N:$N,"&lt;&gt;")=0,"",SUMIFS(LubesData!$N:$N,LubesData!$V:$V,$R50,LubesData!$U:$U,10))</f>
        <v/>
      </c>
      <c r="AD50">
        <f>IF(COUNTIFS(LubesData!$V:$V,$R50,LubesData!$U:$U,11,LubesData!$N:$N,"&lt;&gt;")=0,"",SUMIFS(LubesData!$N:$N,LubesData!$V:$V,$R50,LubesData!$U:$U,11))</f>
        <v/>
      </c>
      <c r="AE50">
        <f>IF(COUNTIFS(LubesData!$V:$V,$R50,LubesData!$U:$U,12,LubesData!$N:$N,"&lt;&gt;")=0,"",SUMIFS(LubesData!$N:$N,LubesData!$V:$V,$R50,LubesData!$U:$U,12))</f>
        <v/>
      </c>
      <c r="AF50">
        <f>IF(COUNTIFS(LubesData!$V:$V,$R50,LubesData!$U:$U,13,LubesData!$N:$N,"&lt;&gt;")=0,"",SUMIFS(LubesData!$N:$N,LubesData!$V:$V,$R50,LubesData!$U:$U,13))</f>
        <v/>
      </c>
      <c r="AG50">
        <f>IF(COUNTIFS(LubesData!$V:$V,$R50,LubesData!$U:$U,14,LubesData!$N:$N,"&lt;&gt;")=0,"",SUMIFS(LubesData!$N:$N,LubesData!$V:$V,$R50,LubesData!$U:$U,14))</f>
        <v/>
      </c>
      <c r="AH50">
        <f>COUNTIFS(LubesData!$V:$V,$R50,LubesData!$U:$U,"&lt;="&amp;14,LubesData!$N:$N,"&lt;&gt;")</f>
        <v/>
      </c>
      <c r="AI50">
        <f>COUNTIFS(LubesData!$V:$V,$R50,LubesData!$U:$U,"&lt;="&amp;14,LubesData!$N:$N,0)</f>
        <v/>
      </c>
      <c r="AJ50">
        <f>IF(AH50=0,"",AH50-AI50)</f>
        <v/>
      </c>
      <c r="AK50">
        <f>IF(AH50=0,"",SUMIFS(LubesData!$N:$N,LubesData!$V:$V,$R50,LubesData!$U:$U,"&lt;="&amp;14))</f>
        <v/>
      </c>
      <c r="AL50">
        <f>IF(AH50=0,"",IF(ABS(MAX(T50:AG50))&gt;=ABS(MIN(T50:AG50)),MAX(T50:AG50),MIN(T50:AG50)))</f>
        <v/>
      </c>
      <c r="AM50">
        <f>IF(AH50=0,-1,AJ50*100000+MIN(ABS(AK50),99999))</f>
        <v/>
      </c>
      <c r="AN50">
        <f>IF($S50="","",1+COUNTIFS($AM$3:$AM$122,"&gt;"&amp;AM50)+COUNTIFS($AM$3:$AM$122,AM50,$R$3:$R$122,"&lt;"&amp;$R50))</f>
        <v/>
      </c>
    </row>
    <row r="51">
      <c r="A51" t="n">
        <v>49</v>
      </c>
      <c r="B51" s="31">
        <f>IFERROR(IF(INDEX(LubesData!$B:$B,MATCH($A51,LubesData!$U:$U,0))="","",INDEX(LubesData!$B:$B,MATCH($A51,LubesData!$U:$U,0))),"")</f>
        <v/>
      </c>
      <c r="C51">
        <f>IFERROR(IF(INDEX(LubesData!$D:$D,MATCH($A51,LubesData!$U:$U,0))="","",INDEX(LubesData!$D:$D,MATCH($A51,LubesData!$U:$U,0))),"")</f>
        <v/>
      </c>
      <c r="D51" s="31">
        <f>IFERROR(IF(INDEX(LubesData!$O:$O,MATCH($A51,LubesData!$U:$U,0))="","",INDEX(LubesData!$O:$O,MATCH($A51,LubesData!$U:$U,0))),"")</f>
        <v/>
      </c>
      <c r="E51">
        <f>COUNTIFS(LubesData!$U:$U,$A51)</f>
        <v/>
      </c>
      <c r="F51">
        <f>COUNTIFS(LubesData!$U:$U,$A51,LubesData!$N:$N,"&lt;&gt;")</f>
        <v/>
      </c>
      <c r="G51">
        <f>COUNTIFS(LubesData!$U:$U,$A51,LubesData!$N:$N,0)</f>
        <v/>
      </c>
      <c r="H51">
        <f>IF($F51=0,"",$F51-$G51)</f>
        <v/>
      </c>
      <c r="I51">
        <f>IF($F51=0,"",SUMIFS(LubesData!$N:$N,LubesData!$U:$U,$A51))</f>
        <v/>
      </c>
      <c r="J51">
        <f>COUNTIFS(LubesData!$U:$U,$A51,LubesData!$Q:$Q,"&lt;&gt;")</f>
        <v/>
      </c>
      <c r="K51">
        <f>IF($J51=0,"",SUMIFS(LubesData!$Q:$Q,LubesData!$U:$U,$A51))</f>
        <v/>
      </c>
      <c r="L51">
        <f>COUNTIFS(LubesData!$U:$U,$A51,LubesData!$M:$M,"&lt;&gt;")</f>
        <v/>
      </c>
      <c r="M51">
        <f>IF($E51=0,"",IF($L51=0,"not loaded","loaded"))</f>
        <v/>
      </c>
      <c r="N51">
        <f>COUNTIFS(LubesData!$U:$U,$A51,LubesData!$I:$I,"&lt;&gt;")</f>
        <v/>
      </c>
      <c r="O51">
        <f>IF($E51=0,"",IF($L51=0,"No POS sales have been loaded for this date, so variance cannot be worked out. Import the sales report for this day and it fills in.",IF($N51=0,"This is the first count of these products, so there is no opening figure to sell down from. Variance starts from the next count.",IF($F51-$G51=0,"Physical and POS agree on every product.",($F51-$G51)&amp;" of "&amp;$F51&amp;" products disagree with the POS. Largest first below."))))</f>
        <v/>
      </c>
      <c r="R51" t="n">
        <v>49</v>
      </c>
      <c r="S51">
        <f>IFERROR(INDEX(LubesData!$G:$G,MATCH($R51,LubesData!$V:$V,0)),"")</f>
        <v/>
      </c>
      <c r="T51">
        <f>IF(COUNTIFS(LubesData!$V:$V,$R51,LubesData!$U:$U,1,LubesData!$N:$N,"&lt;&gt;")=0,"",SUMIFS(LubesData!$N:$N,LubesData!$V:$V,$R51,LubesData!$U:$U,1))</f>
        <v/>
      </c>
      <c r="U51">
        <f>IF(COUNTIFS(LubesData!$V:$V,$R51,LubesData!$U:$U,2,LubesData!$N:$N,"&lt;&gt;")=0,"",SUMIFS(LubesData!$N:$N,LubesData!$V:$V,$R51,LubesData!$U:$U,2))</f>
        <v/>
      </c>
      <c r="V51">
        <f>IF(COUNTIFS(LubesData!$V:$V,$R51,LubesData!$U:$U,3,LubesData!$N:$N,"&lt;&gt;")=0,"",SUMIFS(LubesData!$N:$N,LubesData!$V:$V,$R51,LubesData!$U:$U,3))</f>
        <v/>
      </c>
      <c r="W51">
        <f>IF(COUNTIFS(LubesData!$V:$V,$R51,LubesData!$U:$U,4,LubesData!$N:$N,"&lt;&gt;")=0,"",SUMIFS(LubesData!$N:$N,LubesData!$V:$V,$R51,LubesData!$U:$U,4))</f>
        <v/>
      </c>
      <c r="X51">
        <f>IF(COUNTIFS(LubesData!$V:$V,$R51,LubesData!$U:$U,5,LubesData!$N:$N,"&lt;&gt;")=0,"",SUMIFS(LubesData!$N:$N,LubesData!$V:$V,$R51,LubesData!$U:$U,5))</f>
        <v/>
      </c>
      <c r="Y51">
        <f>IF(COUNTIFS(LubesData!$V:$V,$R51,LubesData!$U:$U,6,LubesData!$N:$N,"&lt;&gt;")=0,"",SUMIFS(LubesData!$N:$N,LubesData!$V:$V,$R51,LubesData!$U:$U,6))</f>
        <v/>
      </c>
      <c r="Z51">
        <f>IF(COUNTIFS(LubesData!$V:$V,$R51,LubesData!$U:$U,7,LubesData!$N:$N,"&lt;&gt;")=0,"",SUMIFS(LubesData!$N:$N,LubesData!$V:$V,$R51,LubesData!$U:$U,7))</f>
        <v/>
      </c>
      <c r="AA51">
        <f>IF(COUNTIFS(LubesData!$V:$V,$R51,LubesData!$U:$U,8,LubesData!$N:$N,"&lt;&gt;")=0,"",SUMIFS(LubesData!$N:$N,LubesData!$V:$V,$R51,LubesData!$U:$U,8))</f>
        <v/>
      </c>
      <c r="AB51">
        <f>IF(COUNTIFS(LubesData!$V:$V,$R51,LubesData!$U:$U,9,LubesData!$N:$N,"&lt;&gt;")=0,"",SUMIFS(LubesData!$N:$N,LubesData!$V:$V,$R51,LubesData!$U:$U,9))</f>
        <v/>
      </c>
      <c r="AC51">
        <f>IF(COUNTIFS(LubesData!$V:$V,$R51,LubesData!$U:$U,10,LubesData!$N:$N,"&lt;&gt;")=0,"",SUMIFS(LubesData!$N:$N,LubesData!$V:$V,$R51,LubesData!$U:$U,10))</f>
        <v/>
      </c>
      <c r="AD51">
        <f>IF(COUNTIFS(LubesData!$V:$V,$R51,LubesData!$U:$U,11,LubesData!$N:$N,"&lt;&gt;")=0,"",SUMIFS(LubesData!$N:$N,LubesData!$V:$V,$R51,LubesData!$U:$U,11))</f>
        <v/>
      </c>
      <c r="AE51">
        <f>IF(COUNTIFS(LubesData!$V:$V,$R51,LubesData!$U:$U,12,LubesData!$N:$N,"&lt;&gt;")=0,"",SUMIFS(LubesData!$N:$N,LubesData!$V:$V,$R51,LubesData!$U:$U,12))</f>
        <v/>
      </c>
      <c r="AF51">
        <f>IF(COUNTIFS(LubesData!$V:$V,$R51,LubesData!$U:$U,13,LubesData!$N:$N,"&lt;&gt;")=0,"",SUMIFS(LubesData!$N:$N,LubesData!$V:$V,$R51,LubesData!$U:$U,13))</f>
        <v/>
      </c>
      <c r="AG51">
        <f>IF(COUNTIFS(LubesData!$V:$V,$R51,LubesData!$U:$U,14,LubesData!$N:$N,"&lt;&gt;")=0,"",SUMIFS(LubesData!$N:$N,LubesData!$V:$V,$R51,LubesData!$U:$U,14))</f>
        <v/>
      </c>
      <c r="AH51">
        <f>COUNTIFS(LubesData!$V:$V,$R51,LubesData!$U:$U,"&lt;="&amp;14,LubesData!$N:$N,"&lt;&gt;")</f>
        <v/>
      </c>
      <c r="AI51">
        <f>COUNTIFS(LubesData!$V:$V,$R51,LubesData!$U:$U,"&lt;="&amp;14,LubesData!$N:$N,0)</f>
        <v/>
      </c>
      <c r="AJ51">
        <f>IF(AH51=0,"",AH51-AI51)</f>
        <v/>
      </c>
      <c r="AK51">
        <f>IF(AH51=0,"",SUMIFS(LubesData!$N:$N,LubesData!$V:$V,$R51,LubesData!$U:$U,"&lt;="&amp;14))</f>
        <v/>
      </c>
      <c r="AL51">
        <f>IF(AH51=0,"",IF(ABS(MAX(T51:AG51))&gt;=ABS(MIN(T51:AG51)),MAX(T51:AG51),MIN(T51:AG51)))</f>
        <v/>
      </c>
      <c r="AM51">
        <f>IF(AH51=0,-1,AJ51*100000+MIN(ABS(AK51),99999))</f>
        <v/>
      </c>
      <c r="AN51">
        <f>IF($S51="","",1+COUNTIFS($AM$3:$AM$122,"&gt;"&amp;AM51)+COUNTIFS($AM$3:$AM$122,AM51,$R$3:$R$122,"&lt;"&amp;$R51))</f>
        <v/>
      </c>
    </row>
    <row r="52">
      <c r="A52" t="n">
        <v>50</v>
      </c>
      <c r="B52" s="31">
        <f>IFERROR(IF(INDEX(LubesData!$B:$B,MATCH($A52,LubesData!$U:$U,0))="","",INDEX(LubesData!$B:$B,MATCH($A52,LubesData!$U:$U,0))),"")</f>
        <v/>
      </c>
      <c r="C52">
        <f>IFERROR(IF(INDEX(LubesData!$D:$D,MATCH($A52,LubesData!$U:$U,0))="","",INDEX(LubesData!$D:$D,MATCH($A52,LubesData!$U:$U,0))),"")</f>
        <v/>
      </c>
      <c r="D52" s="31">
        <f>IFERROR(IF(INDEX(LubesData!$O:$O,MATCH($A52,LubesData!$U:$U,0))="","",INDEX(LubesData!$O:$O,MATCH($A52,LubesData!$U:$U,0))),"")</f>
        <v/>
      </c>
      <c r="E52">
        <f>COUNTIFS(LubesData!$U:$U,$A52)</f>
        <v/>
      </c>
      <c r="F52">
        <f>COUNTIFS(LubesData!$U:$U,$A52,LubesData!$N:$N,"&lt;&gt;")</f>
        <v/>
      </c>
      <c r="G52">
        <f>COUNTIFS(LubesData!$U:$U,$A52,LubesData!$N:$N,0)</f>
        <v/>
      </c>
      <c r="H52">
        <f>IF($F52=0,"",$F52-$G52)</f>
        <v/>
      </c>
      <c r="I52">
        <f>IF($F52=0,"",SUMIFS(LubesData!$N:$N,LubesData!$U:$U,$A52))</f>
        <v/>
      </c>
      <c r="J52">
        <f>COUNTIFS(LubesData!$U:$U,$A52,LubesData!$Q:$Q,"&lt;&gt;")</f>
        <v/>
      </c>
      <c r="K52">
        <f>IF($J52=0,"",SUMIFS(LubesData!$Q:$Q,LubesData!$U:$U,$A52))</f>
        <v/>
      </c>
      <c r="L52">
        <f>COUNTIFS(LubesData!$U:$U,$A52,LubesData!$M:$M,"&lt;&gt;")</f>
        <v/>
      </c>
      <c r="M52">
        <f>IF($E52=0,"",IF($L52=0,"not loaded","loaded"))</f>
        <v/>
      </c>
      <c r="N52">
        <f>COUNTIFS(LubesData!$U:$U,$A52,LubesData!$I:$I,"&lt;&gt;")</f>
        <v/>
      </c>
      <c r="O52">
        <f>IF($E52=0,"",IF($L52=0,"No POS sales have been loaded for this date, so variance cannot be worked out. Import the sales report for this day and it fills in.",IF($N52=0,"This is the first count of these products, so there is no opening figure to sell down from. Variance starts from the next count.",IF($F52-$G52=0,"Physical and POS agree on every product.",($F52-$G52)&amp;" of "&amp;$F52&amp;" products disagree with the POS. Largest first below."))))</f>
        <v/>
      </c>
      <c r="R52" t="n">
        <v>50</v>
      </c>
      <c r="S52">
        <f>IFERROR(INDEX(LubesData!$G:$G,MATCH($R52,LubesData!$V:$V,0)),"")</f>
        <v/>
      </c>
      <c r="T52">
        <f>IF(COUNTIFS(LubesData!$V:$V,$R52,LubesData!$U:$U,1,LubesData!$N:$N,"&lt;&gt;")=0,"",SUMIFS(LubesData!$N:$N,LubesData!$V:$V,$R52,LubesData!$U:$U,1))</f>
        <v/>
      </c>
      <c r="U52">
        <f>IF(COUNTIFS(LubesData!$V:$V,$R52,LubesData!$U:$U,2,LubesData!$N:$N,"&lt;&gt;")=0,"",SUMIFS(LubesData!$N:$N,LubesData!$V:$V,$R52,LubesData!$U:$U,2))</f>
        <v/>
      </c>
      <c r="V52">
        <f>IF(COUNTIFS(LubesData!$V:$V,$R52,LubesData!$U:$U,3,LubesData!$N:$N,"&lt;&gt;")=0,"",SUMIFS(LubesData!$N:$N,LubesData!$V:$V,$R52,LubesData!$U:$U,3))</f>
        <v/>
      </c>
      <c r="W52">
        <f>IF(COUNTIFS(LubesData!$V:$V,$R52,LubesData!$U:$U,4,LubesData!$N:$N,"&lt;&gt;")=0,"",SUMIFS(LubesData!$N:$N,LubesData!$V:$V,$R52,LubesData!$U:$U,4))</f>
        <v/>
      </c>
      <c r="X52">
        <f>IF(COUNTIFS(LubesData!$V:$V,$R52,LubesData!$U:$U,5,LubesData!$N:$N,"&lt;&gt;")=0,"",SUMIFS(LubesData!$N:$N,LubesData!$V:$V,$R52,LubesData!$U:$U,5))</f>
        <v/>
      </c>
      <c r="Y52">
        <f>IF(COUNTIFS(LubesData!$V:$V,$R52,LubesData!$U:$U,6,LubesData!$N:$N,"&lt;&gt;")=0,"",SUMIFS(LubesData!$N:$N,LubesData!$V:$V,$R52,LubesData!$U:$U,6))</f>
        <v/>
      </c>
      <c r="Z52">
        <f>IF(COUNTIFS(LubesData!$V:$V,$R52,LubesData!$U:$U,7,LubesData!$N:$N,"&lt;&gt;")=0,"",SUMIFS(LubesData!$N:$N,LubesData!$V:$V,$R52,LubesData!$U:$U,7))</f>
        <v/>
      </c>
      <c r="AA52">
        <f>IF(COUNTIFS(LubesData!$V:$V,$R52,LubesData!$U:$U,8,LubesData!$N:$N,"&lt;&gt;")=0,"",SUMIFS(LubesData!$N:$N,LubesData!$V:$V,$R52,LubesData!$U:$U,8))</f>
        <v/>
      </c>
      <c r="AB52">
        <f>IF(COUNTIFS(LubesData!$V:$V,$R52,LubesData!$U:$U,9,LubesData!$N:$N,"&lt;&gt;")=0,"",SUMIFS(LubesData!$N:$N,LubesData!$V:$V,$R52,LubesData!$U:$U,9))</f>
        <v/>
      </c>
      <c r="AC52">
        <f>IF(COUNTIFS(LubesData!$V:$V,$R52,LubesData!$U:$U,10,LubesData!$N:$N,"&lt;&gt;")=0,"",SUMIFS(LubesData!$N:$N,LubesData!$V:$V,$R52,LubesData!$U:$U,10))</f>
        <v/>
      </c>
      <c r="AD52">
        <f>IF(COUNTIFS(LubesData!$V:$V,$R52,LubesData!$U:$U,11,LubesData!$N:$N,"&lt;&gt;")=0,"",SUMIFS(LubesData!$N:$N,LubesData!$V:$V,$R52,LubesData!$U:$U,11))</f>
        <v/>
      </c>
      <c r="AE52">
        <f>IF(COUNTIFS(LubesData!$V:$V,$R52,LubesData!$U:$U,12,LubesData!$N:$N,"&lt;&gt;")=0,"",SUMIFS(LubesData!$N:$N,LubesData!$V:$V,$R52,LubesData!$U:$U,12))</f>
        <v/>
      </c>
      <c r="AF52">
        <f>IF(COUNTIFS(LubesData!$V:$V,$R52,LubesData!$U:$U,13,LubesData!$N:$N,"&lt;&gt;")=0,"",SUMIFS(LubesData!$N:$N,LubesData!$V:$V,$R52,LubesData!$U:$U,13))</f>
        <v/>
      </c>
      <c r="AG52">
        <f>IF(COUNTIFS(LubesData!$V:$V,$R52,LubesData!$U:$U,14,LubesData!$N:$N,"&lt;&gt;")=0,"",SUMIFS(LubesData!$N:$N,LubesData!$V:$V,$R52,LubesData!$U:$U,14))</f>
        <v/>
      </c>
      <c r="AH52">
        <f>COUNTIFS(LubesData!$V:$V,$R52,LubesData!$U:$U,"&lt;="&amp;14,LubesData!$N:$N,"&lt;&gt;")</f>
        <v/>
      </c>
      <c r="AI52">
        <f>COUNTIFS(LubesData!$V:$V,$R52,LubesData!$U:$U,"&lt;="&amp;14,LubesData!$N:$N,0)</f>
        <v/>
      </c>
      <c r="AJ52">
        <f>IF(AH52=0,"",AH52-AI52)</f>
        <v/>
      </c>
      <c r="AK52">
        <f>IF(AH52=0,"",SUMIFS(LubesData!$N:$N,LubesData!$V:$V,$R52,LubesData!$U:$U,"&lt;="&amp;14))</f>
        <v/>
      </c>
      <c r="AL52">
        <f>IF(AH52=0,"",IF(ABS(MAX(T52:AG52))&gt;=ABS(MIN(T52:AG52)),MAX(T52:AG52),MIN(T52:AG52)))</f>
        <v/>
      </c>
      <c r="AM52">
        <f>IF(AH52=0,-1,AJ52*100000+MIN(ABS(AK52),99999))</f>
        <v/>
      </c>
      <c r="AN52">
        <f>IF($S52="","",1+COUNTIFS($AM$3:$AM$122,"&gt;"&amp;AM52)+COUNTIFS($AM$3:$AM$122,AM52,$R$3:$R$122,"&lt;"&amp;$R52))</f>
        <v/>
      </c>
    </row>
    <row r="53">
      <c r="A53" t="n">
        <v>51</v>
      </c>
      <c r="B53" s="31">
        <f>IFERROR(IF(INDEX(LubesData!$B:$B,MATCH($A53,LubesData!$U:$U,0))="","",INDEX(LubesData!$B:$B,MATCH($A53,LubesData!$U:$U,0))),"")</f>
        <v/>
      </c>
      <c r="C53">
        <f>IFERROR(IF(INDEX(LubesData!$D:$D,MATCH($A53,LubesData!$U:$U,0))="","",INDEX(LubesData!$D:$D,MATCH($A53,LubesData!$U:$U,0))),"")</f>
        <v/>
      </c>
      <c r="D53" s="31">
        <f>IFERROR(IF(INDEX(LubesData!$O:$O,MATCH($A53,LubesData!$U:$U,0))="","",INDEX(LubesData!$O:$O,MATCH($A53,LubesData!$U:$U,0))),"")</f>
        <v/>
      </c>
      <c r="E53">
        <f>COUNTIFS(LubesData!$U:$U,$A53)</f>
        <v/>
      </c>
      <c r="F53">
        <f>COUNTIFS(LubesData!$U:$U,$A53,LubesData!$N:$N,"&lt;&gt;")</f>
        <v/>
      </c>
      <c r="G53">
        <f>COUNTIFS(LubesData!$U:$U,$A53,LubesData!$N:$N,0)</f>
        <v/>
      </c>
      <c r="H53">
        <f>IF($F53=0,"",$F53-$G53)</f>
        <v/>
      </c>
      <c r="I53">
        <f>IF($F53=0,"",SUMIFS(LubesData!$N:$N,LubesData!$U:$U,$A53))</f>
        <v/>
      </c>
      <c r="J53">
        <f>COUNTIFS(LubesData!$U:$U,$A53,LubesData!$Q:$Q,"&lt;&gt;")</f>
        <v/>
      </c>
      <c r="K53">
        <f>IF($J53=0,"",SUMIFS(LubesData!$Q:$Q,LubesData!$U:$U,$A53))</f>
        <v/>
      </c>
      <c r="L53">
        <f>COUNTIFS(LubesData!$U:$U,$A53,LubesData!$M:$M,"&lt;&gt;")</f>
        <v/>
      </c>
      <c r="M53">
        <f>IF($E53=0,"",IF($L53=0,"not loaded","loaded"))</f>
        <v/>
      </c>
      <c r="N53">
        <f>COUNTIFS(LubesData!$U:$U,$A53,LubesData!$I:$I,"&lt;&gt;")</f>
        <v/>
      </c>
      <c r="O53">
        <f>IF($E53=0,"",IF($L53=0,"No POS sales have been loaded for this date, so variance cannot be worked out. Import the sales report for this day and it fills in.",IF($N53=0,"This is the first count of these products, so there is no opening figure to sell down from. Variance starts from the next count.",IF($F53-$G53=0,"Physical and POS agree on every product.",($F53-$G53)&amp;" of "&amp;$F53&amp;" products disagree with the POS. Largest first below."))))</f>
        <v/>
      </c>
      <c r="R53" t="n">
        <v>51</v>
      </c>
      <c r="S53">
        <f>IFERROR(INDEX(LubesData!$G:$G,MATCH($R53,LubesData!$V:$V,0)),"")</f>
        <v/>
      </c>
      <c r="T53">
        <f>IF(COUNTIFS(LubesData!$V:$V,$R53,LubesData!$U:$U,1,LubesData!$N:$N,"&lt;&gt;")=0,"",SUMIFS(LubesData!$N:$N,LubesData!$V:$V,$R53,LubesData!$U:$U,1))</f>
        <v/>
      </c>
      <c r="U53">
        <f>IF(COUNTIFS(LubesData!$V:$V,$R53,LubesData!$U:$U,2,LubesData!$N:$N,"&lt;&gt;")=0,"",SUMIFS(LubesData!$N:$N,LubesData!$V:$V,$R53,LubesData!$U:$U,2))</f>
        <v/>
      </c>
      <c r="V53">
        <f>IF(COUNTIFS(LubesData!$V:$V,$R53,LubesData!$U:$U,3,LubesData!$N:$N,"&lt;&gt;")=0,"",SUMIFS(LubesData!$N:$N,LubesData!$V:$V,$R53,LubesData!$U:$U,3))</f>
        <v/>
      </c>
      <c r="W53">
        <f>IF(COUNTIFS(LubesData!$V:$V,$R53,LubesData!$U:$U,4,LubesData!$N:$N,"&lt;&gt;")=0,"",SUMIFS(LubesData!$N:$N,LubesData!$V:$V,$R53,LubesData!$U:$U,4))</f>
        <v/>
      </c>
      <c r="X53">
        <f>IF(COUNTIFS(LubesData!$V:$V,$R53,LubesData!$U:$U,5,LubesData!$N:$N,"&lt;&gt;")=0,"",SUMIFS(LubesData!$N:$N,LubesData!$V:$V,$R53,LubesData!$U:$U,5))</f>
        <v/>
      </c>
      <c r="Y53">
        <f>IF(COUNTIFS(LubesData!$V:$V,$R53,LubesData!$U:$U,6,LubesData!$N:$N,"&lt;&gt;")=0,"",SUMIFS(LubesData!$N:$N,LubesData!$V:$V,$R53,LubesData!$U:$U,6))</f>
        <v/>
      </c>
      <c r="Z53">
        <f>IF(COUNTIFS(LubesData!$V:$V,$R53,LubesData!$U:$U,7,LubesData!$N:$N,"&lt;&gt;")=0,"",SUMIFS(LubesData!$N:$N,LubesData!$V:$V,$R53,LubesData!$U:$U,7))</f>
        <v/>
      </c>
      <c r="AA53">
        <f>IF(COUNTIFS(LubesData!$V:$V,$R53,LubesData!$U:$U,8,LubesData!$N:$N,"&lt;&gt;")=0,"",SUMIFS(LubesData!$N:$N,LubesData!$V:$V,$R53,LubesData!$U:$U,8))</f>
        <v/>
      </c>
      <c r="AB53">
        <f>IF(COUNTIFS(LubesData!$V:$V,$R53,LubesData!$U:$U,9,LubesData!$N:$N,"&lt;&gt;")=0,"",SUMIFS(LubesData!$N:$N,LubesData!$V:$V,$R53,LubesData!$U:$U,9))</f>
        <v/>
      </c>
      <c r="AC53">
        <f>IF(COUNTIFS(LubesData!$V:$V,$R53,LubesData!$U:$U,10,LubesData!$N:$N,"&lt;&gt;")=0,"",SUMIFS(LubesData!$N:$N,LubesData!$V:$V,$R53,LubesData!$U:$U,10))</f>
        <v/>
      </c>
      <c r="AD53">
        <f>IF(COUNTIFS(LubesData!$V:$V,$R53,LubesData!$U:$U,11,LubesData!$N:$N,"&lt;&gt;")=0,"",SUMIFS(LubesData!$N:$N,LubesData!$V:$V,$R53,LubesData!$U:$U,11))</f>
        <v/>
      </c>
      <c r="AE53">
        <f>IF(COUNTIFS(LubesData!$V:$V,$R53,LubesData!$U:$U,12,LubesData!$N:$N,"&lt;&gt;")=0,"",SUMIFS(LubesData!$N:$N,LubesData!$V:$V,$R53,LubesData!$U:$U,12))</f>
        <v/>
      </c>
      <c r="AF53">
        <f>IF(COUNTIFS(LubesData!$V:$V,$R53,LubesData!$U:$U,13,LubesData!$N:$N,"&lt;&gt;")=0,"",SUMIFS(LubesData!$N:$N,LubesData!$V:$V,$R53,LubesData!$U:$U,13))</f>
        <v/>
      </c>
      <c r="AG53">
        <f>IF(COUNTIFS(LubesData!$V:$V,$R53,LubesData!$U:$U,14,LubesData!$N:$N,"&lt;&gt;")=0,"",SUMIFS(LubesData!$N:$N,LubesData!$V:$V,$R53,LubesData!$U:$U,14))</f>
        <v/>
      </c>
      <c r="AH53">
        <f>COUNTIFS(LubesData!$V:$V,$R53,LubesData!$U:$U,"&lt;="&amp;14,LubesData!$N:$N,"&lt;&gt;")</f>
        <v/>
      </c>
      <c r="AI53">
        <f>COUNTIFS(LubesData!$V:$V,$R53,LubesData!$U:$U,"&lt;="&amp;14,LubesData!$N:$N,0)</f>
        <v/>
      </c>
      <c r="AJ53">
        <f>IF(AH53=0,"",AH53-AI53)</f>
        <v/>
      </c>
      <c r="AK53">
        <f>IF(AH53=0,"",SUMIFS(LubesData!$N:$N,LubesData!$V:$V,$R53,LubesData!$U:$U,"&lt;="&amp;14))</f>
        <v/>
      </c>
      <c r="AL53">
        <f>IF(AH53=0,"",IF(ABS(MAX(T53:AG53))&gt;=ABS(MIN(T53:AG53)),MAX(T53:AG53),MIN(T53:AG53)))</f>
        <v/>
      </c>
      <c r="AM53">
        <f>IF(AH53=0,-1,AJ53*100000+MIN(ABS(AK53),99999))</f>
        <v/>
      </c>
      <c r="AN53">
        <f>IF($S53="","",1+COUNTIFS($AM$3:$AM$122,"&gt;"&amp;AM53)+COUNTIFS($AM$3:$AM$122,AM53,$R$3:$R$122,"&lt;"&amp;$R53))</f>
        <v/>
      </c>
    </row>
    <row r="54">
      <c r="A54" t="n">
        <v>52</v>
      </c>
      <c r="B54" s="31">
        <f>IFERROR(IF(INDEX(LubesData!$B:$B,MATCH($A54,LubesData!$U:$U,0))="","",INDEX(LubesData!$B:$B,MATCH($A54,LubesData!$U:$U,0))),"")</f>
        <v/>
      </c>
      <c r="C54">
        <f>IFERROR(IF(INDEX(LubesData!$D:$D,MATCH($A54,LubesData!$U:$U,0))="","",INDEX(LubesData!$D:$D,MATCH($A54,LubesData!$U:$U,0))),"")</f>
        <v/>
      </c>
      <c r="D54" s="31">
        <f>IFERROR(IF(INDEX(LubesData!$O:$O,MATCH($A54,LubesData!$U:$U,0))="","",INDEX(LubesData!$O:$O,MATCH($A54,LubesData!$U:$U,0))),"")</f>
        <v/>
      </c>
      <c r="E54">
        <f>COUNTIFS(LubesData!$U:$U,$A54)</f>
        <v/>
      </c>
      <c r="F54">
        <f>COUNTIFS(LubesData!$U:$U,$A54,LubesData!$N:$N,"&lt;&gt;")</f>
        <v/>
      </c>
      <c r="G54">
        <f>COUNTIFS(LubesData!$U:$U,$A54,LubesData!$N:$N,0)</f>
        <v/>
      </c>
      <c r="H54">
        <f>IF($F54=0,"",$F54-$G54)</f>
        <v/>
      </c>
      <c r="I54">
        <f>IF($F54=0,"",SUMIFS(LubesData!$N:$N,LubesData!$U:$U,$A54))</f>
        <v/>
      </c>
      <c r="J54">
        <f>COUNTIFS(LubesData!$U:$U,$A54,LubesData!$Q:$Q,"&lt;&gt;")</f>
        <v/>
      </c>
      <c r="K54">
        <f>IF($J54=0,"",SUMIFS(LubesData!$Q:$Q,LubesData!$U:$U,$A54))</f>
        <v/>
      </c>
      <c r="L54">
        <f>COUNTIFS(LubesData!$U:$U,$A54,LubesData!$M:$M,"&lt;&gt;")</f>
        <v/>
      </c>
      <c r="M54">
        <f>IF($E54=0,"",IF($L54=0,"not loaded","loaded"))</f>
        <v/>
      </c>
      <c r="N54">
        <f>COUNTIFS(LubesData!$U:$U,$A54,LubesData!$I:$I,"&lt;&gt;")</f>
        <v/>
      </c>
      <c r="O54">
        <f>IF($E54=0,"",IF($L54=0,"No POS sales have been loaded for this date, so variance cannot be worked out. Import the sales report for this day and it fills in.",IF($N54=0,"This is the first count of these products, so there is no opening figure to sell down from. Variance starts from the next count.",IF($F54-$G54=0,"Physical and POS agree on every product.",($F54-$G54)&amp;" of "&amp;$F54&amp;" products disagree with the POS. Largest first below."))))</f>
        <v/>
      </c>
      <c r="R54" t="n">
        <v>52</v>
      </c>
      <c r="S54">
        <f>IFERROR(INDEX(LubesData!$G:$G,MATCH($R54,LubesData!$V:$V,0)),"")</f>
        <v/>
      </c>
      <c r="T54">
        <f>IF(COUNTIFS(LubesData!$V:$V,$R54,LubesData!$U:$U,1,LubesData!$N:$N,"&lt;&gt;")=0,"",SUMIFS(LubesData!$N:$N,LubesData!$V:$V,$R54,LubesData!$U:$U,1))</f>
        <v/>
      </c>
      <c r="U54">
        <f>IF(COUNTIFS(LubesData!$V:$V,$R54,LubesData!$U:$U,2,LubesData!$N:$N,"&lt;&gt;")=0,"",SUMIFS(LubesData!$N:$N,LubesData!$V:$V,$R54,LubesData!$U:$U,2))</f>
        <v/>
      </c>
      <c r="V54">
        <f>IF(COUNTIFS(LubesData!$V:$V,$R54,LubesData!$U:$U,3,LubesData!$N:$N,"&lt;&gt;")=0,"",SUMIFS(LubesData!$N:$N,LubesData!$V:$V,$R54,LubesData!$U:$U,3))</f>
        <v/>
      </c>
      <c r="W54">
        <f>IF(COUNTIFS(LubesData!$V:$V,$R54,LubesData!$U:$U,4,LubesData!$N:$N,"&lt;&gt;")=0,"",SUMIFS(LubesData!$N:$N,LubesData!$V:$V,$R54,LubesData!$U:$U,4))</f>
        <v/>
      </c>
      <c r="X54">
        <f>IF(COUNTIFS(LubesData!$V:$V,$R54,LubesData!$U:$U,5,LubesData!$N:$N,"&lt;&gt;")=0,"",SUMIFS(LubesData!$N:$N,LubesData!$V:$V,$R54,LubesData!$U:$U,5))</f>
        <v/>
      </c>
      <c r="Y54">
        <f>IF(COUNTIFS(LubesData!$V:$V,$R54,LubesData!$U:$U,6,LubesData!$N:$N,"&lt;&gt;")=0,"",SUMIFS(LubesData!$N:$N,LubesData!$V:$V,$R54,LubesData!$U:$U,6))</f>
        <v/>
      </c>
      <c r="Z54">
        <f>IF(COUNTIFS(LubesData!$V:$V,$R54,LubesData!$U:$U,7,LubesData!$N:$N,"&lt;&gt;")=0,"",SUMIFS(LubesData!$N:$N,LubesData!$V:$V,$R54,LubesData!$U:$U,7))</f>
        <v/>
      </c>
      <c r="AA54">
        <f>IF(COUNTIFS(LubesData!$V:$V,$R54,LubesData!$U:$U,8,LubesData!$N:$N,"&lt;&gt;")=0,"",SUMIFS(LubesData!$N:$N,LubesData!$V:$V,$R54,LubesData!$U:$U,8))</f>
        <v/>
      </c>
      <c r="AB54">
        <f>IF(COUNTIFS(LubesData!$V:$V,$R54,LubesData!$U:$U,9,LubesData!$N:$N,"&lt;&gt;")=0,"",SUMIFS(LubesData!$N:$N,LubesData!$V:$V,$R54,LubesData!$U:$U,9))</f>
        <v/>
      </c>
      <c r="AC54">
        <f>IF(COUNTIFS(LubesData!$V:$V,$R54,LubesData!$U:$U,10,LubesData!$N:$N,"&lt;&gt;")=0,"",SUMIFS(LubesData!$N:$N,LubesData!$V:$V,$R54,LubesData!$U:$U,10))</f>
        <v/>
      </c>
      <c r="AD54">
        <f>IF(COUNTIFS(LubesData!$V:$V,$R54,LubesData!$U:$U,11,LubesData!$N:$N,"&lt;&gt;")=0,"",SUMIFS(LubesData!$N:$N,LubesData!$V:$V,$R54,LubesData!$U:$U,11))</f>
        <v/>
      </c>
      <c r="AE54">
        <f>IF(COUNTIFS(LubesData!$V:$V,$R54,LubesData!$U:$U,12,LubesData!$N:$N,"&lt;&gt;")=0,"",SUMIFS(LubesData!$N:$N,LubesData!$V:$V,$R54,LubesData!$U:$U,12))</f>
        <v/>
      </c>
      <c r="AF54">
        <f>IF(COUNTIFS(LubesData!$V:$V,$R54,LubesData!$U:$U,13,LubesData!$N:$N,"&lt;&gt;")=0,"",SUMIFS(LubesData!$N:$N,LubesData!$V:$V,$R54,LubesData!$U:$U,13))</f>
        <v/>
      </c>
      <c r="AG54">
        <f>IF(COUNTIFS(LubesData!$V:$V,$R54,LubesData!$U:$U,14,LubesData!$N:$N,"&lt;&gt;")=0,"",SUMIFS(LubesData!$N:$N,LubesData!$V:$V,$R54,LubesData!$U:$U,14))</f>
        <v/>
      </c>
      <c r="AH54">
        <f>COUNTIFS(LubesData!$V:$V,$R54,LubesData!$U:$U,"&lt;="&amp;14,LubesData!$N:$N,"&lt;&gt;")</f>
        <v/>
      </c>
      <c r="AI54">
        <f>COUNTIFS(LubesData!$V:$V,$R54,LubesData!$U:$U,"&lt;="&amp;14,LubesData!$N:$N,0)</f>
        <v/>
      </c>
      <c r="AJ54">
        <f>IF(AH54=0,"",AH54-AI54)</f>
        <v/>
      </c>
      <c r="AK54">
        <f>IF(AH54=0,"",SUMIFS(LubesData!$N:$N,LubesData!$V:$V,$R54,LubesData!$U:$U,"&lt;="&amp;14))</f>
        <v/>
      </c>
      <c r="AL54">
        <f>IF(AH54=0,"",IF(ABS(MAX(T54:AG54))&gt;=ABS(MIN(T54:AG54)),MAX(T54:AG54),MIN(T54:AG54)))</f>
        <v/>
      </c>
      <c r="AM54">
        <f>IF(AH54=0,-1,AJ54*100000+MIN(ABS(AK54),99999))</f>
        <v/>
      </c>
      <c r="AN54">
        <f>IF($S54="","",1+COUNTIFS($AM$3:$AM$122,"&gt;"&amp;AM54)+COUNTIFS($AM$3:$AM$122,AM54,$R$3:$R$122,"&lt;"&amp;$R54))</f>
        <v/>
      </c>
    </row>
    <row r="55">
      <c r="A55" t="n">
        <v>53</v>
      </c>
      <c r="B55" s="31">
        <f>IFERROR(IF(INDEX(LubesData!$B:$B,MATCH($A55,LubesData!$U:$U,0))="","",INDEX(LubesData!$B:$B,MATCH($A55,LubesData!$U:$U,0))),"")</f>
        <v/>
      </c>
      <c r="C55">
        <f>IFERROR(IF(INDEX(LubesData!$D:$D,MATCH($A55,LubesData!$U:$U,0))="","",INDEX(LubesData!$D:$D,MATCH($A55,LubesData!$U:$U,0))),"")</f>
        <v/>
      </c>
      <c r="D55" s="31">
        <f>IFERROR(IF(INDEX(LubesData!$O:$O,MATCH($A55,LubesData!$U:$U,0))="","",INDEX(LubesData!$O:$O,MATCH($A55,LubesData!$U:$U,0))),"")</f>
        <v/>
      </c>
      <c r="E55">
        <f>COUNTIFS(LubesData!$U:$U,$A55)</f>
        <v/>
      </c>
      <c r="F55">
        <f>COUNTIFS(LubesData!$U:$U,$A55,LubesData!$N:$N,"&lt;&gt;")</f>
        <v/>
      </c>
      <c r="G55">
        <f>COUNTIFS(LubesData!$U:$U,$A55,LubesData!$N:$N,0)</f>
        <v/>
      </c>
      <c r="H55">
        <f>IF($F55=0,"",$F55-$G55)</f>
        <v/>
      </c>
      <c r="I55">
        <f>IF($F55=0,"",SUMIFS(LubesData!$N:$N,LubesData!$U:$U,$A55))</f>
        <v/>
      </c>
      <c r="J55">
        <f>COUNTIFS(LubesData!$U:$U,$A55,LubesData!$Q:$Q,"&lt;&gt;")</f>
        <v/>
      </c>
      <c r="K55">
        <f>IF($J55=0,"",SUMIFS(LubesData!$Q:$Q,LubesData!$U:$U,$A55))</f>
        <v/>
      </c>
      <c r="L55">
        <f>COUNTIFS(LubesData!$U:$U,$A55,LubesData!$M:$M,"&lt;&gt;")</f>
        <v/>
      </c>
      <c r="M55">
        <f>IF($E55=0,"",IF($L55=0,"not loaded","loaded"))</f>
        <v/>
      </c>
      <c r="N55">
        <f>COUNTIFS(LubesData!$U:$U,$A55,LubesData!$I:$I,"&lt;&gt;")</f>
        <v/>
      </c>
      <c r="O55">
        <f>IF($E55=0,"",IF($L55=0,"No POS sales have been loaded for this date, so variance cannot be worked out. Import the sales report for this day and it fills in.",IF($N55=0,"This is the first count of these products, so there is no opening figure to sell down from. Variance starts from the next count.",IF($F55-$G55=0,"Physical and POS agree on every product.",($F55-$G55)&amp;" of "&amp;$F55&amp;" products disagree with the POS. Largest first below."))))</f>
        <v/>
      </c>
      <c r="R55" t="n">
        <v>53</v>
      </c>
      <c r="S55">
        <f>IFERROR(INDEX(LubesData!$G:$G,MATCH($R55,LubesData!$V:$V,0)),"")</f>
        <v/>
      </c>
      <c r="T55">
        <f>IF(COUNTIFS(LubesData!$V:$V,$R55,LubesData!$U:$U,1,LubesData!$N:$N,"&lt;&gt;")=0,"",SUMIFS(LubesData!$N:$N,LubesData!$V:$V,$R55,LubesData!$U:$U,1))</f>
        <v/>
      </c>
      <c r="U55">
        <f>IF(COUNTIFS(LubesData!$V:$V,$R55,LubesData!$U:$U,2,LubesData!$N:$N,"&lt;&gt;")=0,"",SUMIFS(LubesData!$N:$N,LubesData!$V:$V,$R55,LubesData!$U:$U,2))</f>
        <v/>
      </c>
      <c r="V55">
        <f>IF(COUNTIFS(LubesData!$V:$V,$R55,LubesData!$U:$U,3,LubesData!$N:$N,"&lt;&gt;")=0,"",SUMIFS(LubesData!$N:$N,LubesData!$V:$V,$R55,LubesData!$U:$U,3))</f>
        <v/>
      </c>
      <c r="W55">
        <f>IF(COUNTIFS(LubesData!$V:$V,$R55,LubesData!$U:$U,4,LubesData!$N:$N,"&lt;&gt;")=0,"",SUMIFS(LubesData!$N:$N,LubesData!$V:$V,$R55,LubesData!$U:$U,4))</f>
        <v/>
      </c>
      <c r="X55">
        <f>IF(COUNTIFS(LubesData!$V:$V,$R55,LubesData!$U:$U,5,LubesData!$N:$N,"&lt;&gt;")=0,"",SUMIFS(LubesData!$N:$N,LubesData!$V:$V,$R55,LubesData!$U:$U,5))</f>
        <v/>
      </c>
      <c r="Y55">
        <f>IF(COUNTIFS(LubesData!$V:$V,$R55,LubesData!$U:$U,6,LubesData!$N:$N,"&lt;&gt;")=0,"",SUMIFS(LubesData!$N:$N,LubesData!$V:$V,$R55,LubesData!$U:$U,6))</f>
        <v/>
      </c>
      <c r="Z55">
        <f>IF(COUNTIFS(LubesData!$V:$V,$R55,LubesData!$U:$U,7,LubesData!$N:$N,"&lt;&gt;")=0,"",SUMIFS(LubesData!$N:$N,LubesData!$V:$V,$R55,LubesData!$U:$U,7))</f>
        <v/>
      </c>
      <c r="AA55">
        <f>IF(COUNTIFS(LubesData!$V:$V,$R55,LubesData!$U:$U,8,LubesData!$N:$N,"&lt;&gt;")=0,"",SUMIFS(LubesData!$N:$N,LubesData!$V:$V,$R55,LubesData!$U:$U,8))</f>
        <v/>
      </c>
      <c r="AB55">
        <f>IF(COUNTIFS(LubesData!$V:$V,$R55,LubesData!$U:$U,9,LubesData!$N:$N,"&lt;&gt;")=0,"",SUMIFS(LubesData!$N:$N,LubesData!$V:$V,$R55,LubesData!$U:$U,9))</f>
        <v/>
      </c>
      <c r="AC55">
        <f>IF(COUNTIFS(LubesData!$V:$V,$R55,LubesData!$U:$U,10,LubesData!$N:$N,"&lt;&gt;")=0,"",SUMIFS(LubesData!$N:$N,LubesData!$V:$V,$R55,LubesData!$U:$U,10))</f>
        <v/>
      </c>
      <c r="AD55">
        <f>IF(COUNTIFS(LubesData!$V:$V,$R55,LubesData!$U:$U,11,LubesData!$N:$N,"&lt;&gt;")=0,"",SUMIFS(LubesData!$N:$N,LubesData!$V:$V,$R55,LubesData!$U:$U,11))</f>
        <v/>
      </c>
      <c r="AE55">
        <f>IF(COUNTIFS(LubesData!$V:$V,$R55,LubesData!$U:$U,12,LubesData!$N:$N,"&lt;&gt;")=0,"",SUMIFS(LubesData!$N:$N,LubesData!$V:$V,$R55,LubesData!$U:$U,12))</f>
        <v/>
      </c>
      <c r="AF55">
        <f>IF(COUNTIFS(LubesData!$V:$V,$R55,LubesData!$U:$U,13,LubesData!$N:$N,"&lt;&gt;")=0,"",SUMIFS(LubesData!$N:$N,LubesData!$V:$V,$R55,LubesData!$U:$U,13))</f>
        <v/>
      </c>
      <c r="AG55">
        <f>IF(COUNTIFS(LubesData!$V:$V,$R55,LubesData!$U:$U,14,LubesData!$N:$N,"&lt;&gt;")=0,"",SUMIFS(LubesData!$N:$N,LubesData!$V:$V,$R55,LubesData!$U:$U,14))</f>
        <v/>
      </c>
      <c r="AH55">
        <f>COUNTIFS(LubesData!$V:$V,$R55,LubesData!$U:$U,"&lt;="&amp;14,LubesData!$N:$N,"&lt;&gt;")</f>
        <v/>
      </c>
      <c r="AI55">
        <f>COUNTIFS(LubesData!$V:$V,$R55,LubesData!$U:$U,"&lt;="&amp;14,LubesData!$N:$N,0)</f>
        <v/>
      </c>
      <c r="AJ55">
        <f>IF(AH55=0,"",AH55-AI55)</f>
        <v/>
      </c>
      <c r="AK55">
        <f>IF(AH55=0,"",SUMIFS(LubesData!$N:$N,LubesData!$V:$V,$R55,LubesData!$U:$U,"&lt;="&amp;14))</f>
        <v/>
      </c>
      <c r="AL55">
        <f>IF(AH55=0,"",IF(ABS(MAX(T55:AG55))&gt;=ABS(MIN(T55:AG55)),MAX(T55:AG55),MIN(T55:AG55)))</f>
        <v/>
      </c>
      <c r="AM55">
        <f>IF(AH55=0,-1,AJ55*100000+MIN(ABS(AK55),99999))</f>
        <v/>
      </c>
      <c r="AN55">
        <f>IF($S55="","",1+COUNTIFS($AM$3:$AM$122,"&gt;"&amp;AM55)+COUNTIFS($AM$3:$AM$122,AM55,$R$3:$R$122,"&lt;"&amp;$R55))</f>
        <v/>
      </c>
    </row>
    <row r="56">
      <c r="A56" t="n">
        <v>54</v>
      </c>
      <c r="B56" s="31">
        <f>IFERROR(IF(INDEX(LubesData!$B:$B,MATCH($A56,LubesData!$U:$U,0))="","",INDEX(LubesData!$B:$B,MATCH($A56,LubesData!$U:$U,0))),"")</f>
        <v/>
      </c>
      <c r="C56">
        <f>IFERROR(IF(INDEX(LubesData!$D:$D,MATCH($A56,LubesData!$U:$U,0))="","",INDEX(LubesData!$D:$D,MATCH($A56,LubesData!$U:$U,0))),"")</f>
        <v/>
      </c>
      <c r="D56" s="31">
        <f>IFERROR(IF(INDEX(LubesData!$O:$O,MATCH($A56,LubesData!$U:$U,0))="","",INDEX(LubesData!$O:$O,MATCH($A56,LubesData!$U:$U,0))),"")</f>
        <v/>
      </c>
      <c r="E56">
        <f>COUNTIFS(LubesData!$U:$U,$A56)</f>
        <v/>
      </c>
      <c r="F56">
        <f>COUNTIFS(LubesData!$U:$U,$A56,LubesData!$N:$N,"&lt;&gt;")</f>
        <v/>
      </c>
      <c r="G56">
        <f>COUNTIFS(LubesData!$U:$U,$A56,LubesData!$N:$N,0)</f>
        <v/>
      </c>
      <c r="H56">
        <f>IF($F56=0,"",$F56-$G56)</f>
        <v/>
      </c>
      <c r="I56">
        <f>IF($F56=0,"",SUMIFS(LubesData!$N:$N,LubesData!$U:$U,$A56))</f>
        <v/>
      </c>
      <c r="J56">
        <f>COUNTIFS(LubesData!$U:$U,$A56,LubesData!$Q:$Q,"&lt;&gt;")</f>
        <v/>
      </c>
      <c r="K56">
        <f>IF($J56=0,"",SUMIFS(LubesData!$Q:$Q,LubesData!$U:$U,$A56))</f>
        <v/>
      </c>
      <c r="L56">
        <f>COUNTIFS(LubesData!$U:$U,$A56,LubesData!$M:$M,"&lt;&gt;")</f>
        <v/>
      </c>
      <c r="M56">
        <f>IF($E56=0,"",IF($L56=0,"not loaded","loaded"))</f>
        <v/>
      </c>
      <c r="N56">
        <f>COUNTIFS(LubesData!$U:$U,$A56,LubesData!$I:$I,"&lt;&gt;")</f>
        <v/>
      </c>
      <c r="O56">
        <f>IF($E56=0,"",IF($L56=0,"No POS sales have been loaded for this date, so variance cannot be worked out. Import the sales report for this day and it fills in.",IF($N56=0,"This is the first count of these products, so there is no opening figure to sell down from. Variance starts from the next count.",IF($F56-$G56=0,"Physical and POS agree on every product.",($F56-$G56)&amp;" of "&amp;$F56&amp;" products disagree with the POS. Largest first below."))))</f>
        <v/>
      </c>
      <c r="R56" t="n">
        <v>54</v>
      </c>
      <c r="S56">
        <f>IFERROR(INDEX(LubesData!$G:$G,MATCH($R56,LubesData!$V:$V,0)),"")</f>
        <v/>
      </c>
      <c r="T56">
        <f>IF(COUNTIFS(LubesData!$V:$V,$R56,LubesData!$U:$U,1,LubesData!$N:$N,"&lt;&gt;")=0,"",SUMIFS(LubesData!$N:$N,LubesData!$V:$V,$R56,LubesData!$U:$U,1))</f>
        <v/>
      </c>
      <c r="U56">
        <f>IF(COUNTIFS(LubesData!$V:$V,$R56,LubesData!$U:$U,2,LubesData!$N:$N,"&lt;&gt;")=0,"",SUMIFS(LubesData!$N:$N,LubesData!$V:$V,$R56,LubesData!$U:$U,2))</f>
        <v/>
      </c>
      <c r="V56">
        <f>IF(COUNTIFS(LubesData!$V:$V,$R56,LubesData!$U:$U,3,LubesData!$N:$N,"&lt;&gt;")=0,"",SUMIFS(LubesData!$N:$N,LubesData!$V:$V,$R56,LubesData!$U:$U,3))</f>
        <v/>
      </c>
      <c r="W56">
        <f>IF(COUNTIFS(LubesData!$V:$V,$R56,LubesData!$U:$U,4,LubesData!$N:$N,"&lt;&gt;")=0,"",SUMIFS(LubesData!$N:$N,LubesData!$V:$V,$R56,LubesData!$U:$U,4))</f>
        <v/>
      </c>
      <c r="X56">
        <f>IF(COUNTIFS(LubesData!$V:$V,$R56,LubesData!$U:$U,5,LubesData!$N:$N,"&lt;&gt;")=0,"",SUMIFS(LubesData!$N:$N,LubesData!$V:$V,$R56,LubesData!$U:$U,5))</f>
        <v/>
      </c>
      <c r="Y56">
        <f>IF(COUNTIFS(LubesData!$V:$V,$R56,LubesData!$U:$U,6,LubesData!$N:$N,"&lt;&gt;")=0,"",SUMIFS(LubesData!$N:$N,LubesData!$V:$V,$R56,LubesData!$U:$U,6))</f>
        <v/>
      </c>
      <c r="Z56">
        <f>IF(COUNTIFS(LubesData!$V:$V,$R56,LubesData!$U:$U,7,LubesData!$N:$N,"&lt;&gt;")=0,"",SUMIFS(LubesData!$N:$N,LubesData!$V:$V,$R56,LubesData!$U:$U,7))</f>
        <v/>
      </c>
      <c r="AA56">
        <f>IF(COUNTIFS(LubesData!$V:$V,$R56,LubesData!$U:$U,8,LubesData!$N:$N,"&lt;&gt;")=0,"",SUMIFS(LubesData!$N:$N,LubesData!$V:$V,$R56,LubesData!$U:$U,8))</f>
        <v/>
      </c>
      <c r="AB56">
        <f>IF(COUNTIFS(LubesData!$V:$V,$R56,LubesData!$U:$U,9,LubesData!$N:$N,"&lt;&gt;")=0,"",SUMIFS(LubesData!$N:$N,LubesData!$V:$V,$R56,LubesData!$U:$U,9))</f>
        <v/>
      </c>
      <c r="AC56">
        <f>IF(COUNTIFS(LubesData!$V:$V,$R56,LubesData!$U:$U,10,LubesData!$N:$N,"&lt;&gt;")=0,"",SUMIFS(LubesData!$N:$N,LubesData!$V:$V,$R56,LubesData!$U:$U,10))</f>
        <v/>
      </c>
      <c r="AD56">
        <f>IF(COUNTIFS(LubesData!$V:$V,$R56,LubesData!$U:$U,11,LubesData!$N:$N,"&lt;&gt;")=0,"",SUMIFS(LubesData!$N:$N,LubesData!$V:$V,$R56,LubesData!$U:$U,11))</f>
        <v/>
      </c>
      <c r="AE56">
        <f>IF(COUNTIFS(LubesData!$V:$V,$R56,LubesData!$U:$U,12,LubesData!$N:$N,"&lt;&gt;")=0,"",SUMIFS(LubesData!$N:$N,LubesData!$V:$V,$R56,LubesData!$U:$U,12))</f>
        <v/>
      </c>
      <c r="AF56">
        <f>IF(COUNTIFS(LubesData!$V:$V,$R56,LubesData!$U:$U,13,LubesData!$N:$N,"&lt;&gt;")=0,"",SUMIFS(LubesData!$N:$N,LubesData!$V:$V,$R56,LubesData!$U:$U,13))</f>
        <v/>
      </c>
      <c r="AG56">
        <f>IF(COUNTIFS(LubesData!$V:$V,$R56,LubesData!$U:$U,14,LubesData!$N:$N,"&lt;&gt;")=0,"",SUMIFS(LubesData!$N:$N,LubesData!$V:$V,$R56,LubesData!$U:$U,14))</f>
        <v/>
      </c>
      <c r="AH56">
        <f>COUNTIFS(LubesData!$V:$V,$R56,LubesData!$U:$U,"&lt;="&amp;14,LubesData!$N:$N,"&lt;&gt;")</f>
        <v/>
      </c>
      <c r="AI56">
        <f>COUNTIFS(LubesData!$V:$V,$R56,LubesData!$U:$U,"&lt;="&amp;14,LubesData!$N:$N,0)</f>
        <v/>
      </c>
      <c r="AJ56">
        <f>IF(AH56=0,"",AH56-AI56)</f>
        <v/>
      </c>
      <c r="AK56">
        <f>IF(AH56=0,"",SUMIFS(LubesData!$N:$N,LubesData!$V:$V,$R56,LubesData!$U:$U,"&lt;="&amp;14))</f>
        <v/>
      </c>
      <c r="AL56">
        <f>IF(AH56=0,"",IF(ABS(MAX(T56:AG56))&gt;=ABS(MIN(T56:AG56)),MAX(T56:AG56),MIN(T56:AG56)))</f>
        <v/>
      </c>
      <c r="AM56">
        <f>IF(AH56=0,-1,AJ56*100000+MIN(ABS(AK56),99999))</f>
        <v/>
      </c>
      <c r="AN56">
        <f>IF($S56="","",1+COUNTIFS($AM$3:$AM$122,"&gt;"&amp;AM56)+COUNTIFS($AM$3:$AM$122,AM56,$R$3:$R$122,"&lt;"&amp;$R56))</f>
        <v/>
      </c>
    </row>
    <row r="57">
      <c r="A57" t="n">
        <v>55</v>
      </c>
      <c r="B57" s="31">
        <f>IFERROR(IF(INDEX(LubesData!$B:$B,MATCH($A57,LubesData!$U:$U,0))="","",INDEX(LubesData!$B:$B,MATCH($A57,LubesData!$U:$U,0))),"")</f>
        <v/>
      </c>
      <c r="C57">
        <f>IFERROR(IF(INDEX(LubesData!$D:$D,MATCH($A57,LubesData!$U:$U,0))="","",INDEX(LubesData!$D:$D,MATCH($A57,LubesData!$U:$U,0))),"")</f>
        <v/>
      </c>
      <c r="D57" s="31">
        <f>IFERROR(IF(INDEX(LubesData!$O:$O,MATCH($A57,LubesData!$U:$U,0))="","",INDEX(LubesData!$O:$O,MATCH($A57,LubesData!$U:$U,0))),"")</f>
        <v/>
      </c>
      <c r="E57">
        <f>COUNTIFS(LubesData!$U:$U,$A57)</f>
        <v/>
      </c>
      <c r="F57">
        <f>COUNTIFS(LubesData!$U:$U,$A57,LubesData!$N:$N,"&lt;&gt;")</f>
        <v/>
      </c>
      <c r="G57">
        <f>COUNTIFS(LubesData!$U:$U,$A57,LubesData!$N:$N,0)</f>
        <v/>
      </c>
      <c r="H57">
        <f>IF($F57=0,"",$F57-$G57)</f>
        <v/>
      </c>
      <c r="I57">
        <f>IF($F57=0,"",SUMIFS(LubesData!$N:$N,LubesData!$U:$U,$A57))</f>
        <v/>
      </c>
      <c r="J57">
        <f>COUNTIFS(LubesData!$U:$U,$A57,LubesData!$Q:$Q,"&lt;&gt;")</f>
        <v/>
      </c>
      <c r="K57">
        <f>IF($J57=0,"",SUMIFS(LubesData!$Q:$Q,LubesData!$U:$U,$A57))</f>
        <v/>
      </c>
      <c r="L57">
        <f>COUNTIFS(LubesData!$U:$U,$A57,LubesData!$M:$M,"&lt;&gt;")</f>
        <v/>
      </c>
      <c r="M57">
        <f>IF($E57=0,"",IF($L57=0,"not loaded","loaded"))</f>
        <v/>
      </c>
      <c r="N57">
        <f>COUNTIFS(LubesData!$U:$U,$A57,LubesData!$I:$I,"&lt;&gt;")</f>
        <v/>
      </c>
      <c r="O57">
        <f>IF($E57=0,"",IF($L57=0,"No POS sales have been loaded for this date, so variance cannot be worked out. Import the sales report for this day and it fills in.",IF($N57=0,"This is the first count of these products, so there is no opening figure to sell down from. Variance starts from the next count.",IF($F57-$G57=0,"Physical and POS agree on every product.",($F57-$G57)&amp;" of "&amp;$F57&amp;" products disagree with the POS. Largest first below."))))</f>
        <v/>
      </c>
      <c r="R57" t="n">
        <v>55</v>
      </c>
      <c r="S57">
        <f>IFERROR(INDEX(LubesData!$G:$G,MATCH($R57,LubesData!$V:$V,0)),"")</f>
        <v/>
      </c>
      <c r="T57">
        <f>IF(COUNTIFS(LubesData!$V:$V,$R57,LubesData!$U:$U,1,LubesData!$N:$N,"&lt;&gt;")=0,"",SUMIFS(LubesData!$N:$N,LubesData!$V:$V,$R57,LubesData!$U:$U,1))</f>
        <v/>
      </c>
      <c r="U57">
        <f>IF(COUNTIFS(LubesData!$V:$V,$R57,LubesData!$U:$U,2,LubesData!$N:$N,"&lt;&gt;")=0,"",SUMIFS(LubesData!$N:$N,LubesData!$V:$V,$R57,LubesData!$U:$U,2))</f>
        <v/>
      </c>
      <c r="V57">
        <f>IF(COUNTIFS(LubesData!$V:$V,$R57,LubesData!$U:$U,3,LubesData!$N:$N,"&lt;&gt;")=0,"",SUMIFS(LubesData!$N:$N,LubesData!$V:$V,$R57,LubesData!$U:$U,3))</f>
        <v/>
      </c>
      <c r="W57">
        <f>IF(COUNTIFS(LubesData!$V:$V,$R57,LubesData!$U:$U,4,LubesData!$N:$N,"&lt;&gt;")=0,"",SUMIFS(LubesData!$N:$N,LubesData!$V:$V,$R57,LubesData!$U:$U,4))</f>
        <v/>
      </c>
      <c r="X57">
        <f>IF(COUNTIFS(LubesData!$V:$V,$R57,LubesData!$U:$U,5,LubesData!$N:$N,"&lt;&gt;")=0,"",SUMIFS(LubesData!$N:$N,LubesData!$V:$V,$R57,LubesData!$U:$U,5))</f>
        <v/>
      </c>
      <c r="Y57">
        <f>IF(COUNTIFS(LubesData!$V:$V,$R57,LubesData!$U:$U,6,LubesData!$N:$N,"&lt;&gt;")=0,"",SUMIFS(LubesData!$N:$N,LubesData!$V:$V,$R57,LubesData!$U:$U,6))</f>
        <v/>
      </c>
      <c r="Z57">
        <f>IF(COUNTIFS(LubesData!$V:$V,$R57,LubesData!$U:$U,7,LubesData!$N:$N,"&lt;&gt;")=0,"",SUMIFS(LubesData!$N:$N,LubesData!$V:$V,$R57,LubesData!$U:$U,7))</f>
        <v/>
      </c>
      <c r="AA57">
        <f>IF(COUNTIFS(LubesData!$V:$V,$R57,LubesData!$U:$U,8,LubesData!$N:$N,"&lt;&gt;")=0,"",SUMIFS(LubesData!$N:$N,LubesData!$V:$V,$R57,LubesData!$U:$U,8))</f>
        <v/>
      </c>
      <c r="AB57">
        <f>IF(COUNTIFS(LubesData!$V:$V,$R57,LubesData!$U:$U,9,LubesData!$N:$N,"&lt;&gt;")=0,"",SUMIFS(LubesData!$N:$N,LubesData!$V:$V,$R57,LubesData!$U:$U,9))</f>
        <v/>
      </c>
      <c r="AC57">
        <f>IF(COUNTIFS(LubesData!$V:$V,$R57,LubesData!$U:$U,10,LubesData!$N:$N,"&lt;&gt;")=0,"",SUMIFS(LubesData!$N:$N,LubesData!$V:$V,$R57,LubesData!$U:$U,10))</f>
        <v/>
      </c>
      <c r="AD57">
        <f>IF(COUNTIFS(LubesData!$V:$V,$R57,LubesData!$U:$U,11,LubesData!$N:$N,"&lt;&gt;")=0,"",SUMIFS(LubesData!$N:$N,LubesData!$V:$V,$R57,LubesData!$U:$U,11))</f>
        <v/>
      </c>
      <c r="AE57">
        <f>IF(COUNTIFS(LubesData!$V:$V,$R57,LubesData!$U:$U,12,LubesData!$N:$N,"&lt;&gt;")=0,"",SUMIFS(LubesData!$N:$N,LubesData!$V:$V,$R57,LubesData!$U:$U,12))</f>
        <v/>
      </c>
      <c r="AF57">
        <f>IF(COUNTIFS(LubesData!$V:$V,$R57,LubesData!$U:$U,13,LubesData!$N:$N,"&lt;&gt;")=0,"",SUMIFS(LubesData!$N:$N,LubesData!$V:$V,$R57,LubesData!$U:$U,13))</f>
        <v/>
      </c>
      <c r="AG57">
        <f>IF(COUNTIFS(LubesData!$V:$V,$R57,LubesData!$U:$U,14,LubesData!$N:$N,"&lt;&gt;")=0,"",SUMIFS(LubesData!$N:$N,LubesData!$V:$V,$R57,LubesData!$U:$U,14))</f>
        <v/>
      </c>
      <c r="AH57">
        <f>COUNTIFS(LubesData!$V:$V,$R57,LubesData!$U:$U,"&lt;="&amp;14,LubesData!$N:$N,"&lt;&gt;")</f>
        <v/>
      </c>
      <c r="AI57">
        <f>COUNTIFS(LubesData!$V:$V,$R57,LubesData!$U:$U,"&lt;="&amp;14,LubesData!$N:$N,0)</f>
        <v/>
      </c>
      <c r="AJ57">
        <f>IF(AH57=0,"",AH57-AI57)</f>
        <v/>
      </c>
      <c r="AK57">
        <f>IF(AH57=0,"",SUMIFS(LubesData!$N:$N,LubesData!$V:$V,$R57,LubesData!$U:$U,"&lt;="&amp;14))</f>
        <v/>
      </c>
      <c r="AL57">
        <f>IF(AH57=0,"",IF(ABS(MAX(T57:AG57))&gt;=ABS(MIN(T57:AG57)),MAX(T57:AG57),MIN(T57:AG57)))</f>
        <v/>
      </c>
      <c r="AM57">
        <f>IF(AH57=0,-1,AJ57*100000+MIN(ABS(AK57),99999))</f>
        <v/>
      </c>
      <c r="AN57">
        <f>IF($S57="","",1+COUNTIFS($AM$3:$AM$122,"&gt;"&amp;AM57)+COUNTIFS($AM$3:$AM$122,AM57,$R$3:$R$122,"&lt;"&amp;$R57))</f>
        <v/>
      </c>
    </row>
    <row r="58">
      <c r="A58" t="n">
        <v>56</v>
      </c>
      <c r="B58" s="31">
        <f>IFERROR(IF(INDEX(LubesData!$B:$B,MATCH($A58,LubesData!$U:$U,0))="","",INDEX(LubesData!$B:$B,MATCH($A58,LubesData!$U:$U,0))),"")</f>
        <v/>
      </c>
      <c r="C58">
        <f>IFERROR(IF(INDEX(LubesData!$D:$D,MATCH($A58,LubesData!$U:$U,0))="","",INDEX(LubesData!$D:$D,MATCH($A58,LubesData!$U:$U,0))),"")</f>
        <v/>
      </c>
      <c r="D58" s="31">
        <f>IFERROR(IF(INDEX(LubesData!$O:$O,MATCH($A58,LubesData!$U:$U,0))="","",INDEX(LubesData!$O:$O,MATCH($A58,LubesData!$U:$U,0))),"")</f>
        <v/>
      </c>
      <c r="E58">
        <f>COUNTIFS(LubesData!$U:$U,$A58)</f>
        <v/>
      </c>
      <c r="F58">
        <f>COUNTIFS(LubesData!$U:$U,$A58,LubesData!$N:$N,"&lt;&gt;")</f>
        <v/>
      </c>
      <c r="G58">
        <f>COUNTIFS(LubesData!$U:$U,$A58,LubesData!$N:$N,0)</f>
        <v/>
      </c>
      <c r="H58">
        <f>IF($F58=0,"",$F58-$G58)</f>
        <v/>
      </c>
      <c r="I58">
        <f>IF($F58=0,"",SUMIFS(LubesData!$N:$N,LubesData!$U:$U,$A58))</f>
        <v/>
      </c>
      <c r="J58">
        <f>COUNTIFS(LubesData!$U:$U,$A58,LubesData!$Q:$Q,"&lt;&gt;")</f>
        <v/>
      </c>
      <c r="K58">
        <f>IF($J58=0,"",SUMIFS(LubesData!$Q:$Q,LubesData!$U:$U,$A58))</f>
        <v/>
      </c>
      <c r="L58">
        <f>COUNTIFS(LubesData!$U:$U,$A58,LubesData!$M:$M,"&lt;&gt;")</f>
        <v/>
      </c>
      <c r="M58">
        <f>IF($E58=0,"",IF($L58=0,"not loaded","loaded"))</f>
        <v/>
      </c>
      <c r="N58">
        <f>COUNTIFS(LubesData!$U:$U,$A58,LubesData!$I:$I,"&lt;&gt;")</f>
        <v/>
      </c>
      <c r="O58">
        <f>IF($E58=0,"",IF($L58=0,"No POS sales have been loaded for this date, so variance cannot be worked out. Import the sales report for this day and it fills in.",IF($N58=0,"This is the first count of these products, so there is no opening figure to sell down from. Variance starts from the next count.",IF($F58-$G58=0,"Physical and POS agree on every product.",($F58-$G58)&amp;" of "&amp;$F58&amp;" products disagree with the POS. Largest first below."))))</f>
        <v/>
      </c>
      <c r="R58" t="n">
        <v>56</v>
      </c>
      <c r="S58">
        <f>IFERROR(INDEX(LubesData!$G:$G,MATCH($R58,LubesData!$V:$V,0)),"")</f>
        <v/>
      </c>
      <c r="T58">
        <f>IF(COUNTIFS(LubesData!$V:$V,$R58,LubesData!$U:$U,1,LubesData!$N:$N,"&lt;&gt;")=0,"",SUMIFS(LubesData!$N:$N,LubesData!$V:$V,$R58,LubesData!$U:$U,1))</f>
        <v/>
      </c>
      <c r="U58">
        <f>IF(COUNTIFS(LubesData!$V:$V,$R58,LubesData!$U:$U,2,LubesData!$N:$N,"&lt;&gt;")=0,"",SUMIFS(LubesData!$N:$N,LubesData!$V:$V,$R58,LubesData!$U:$U,2))</f>
        <v/>
      </c>
      <c r="V58">
        <f>IF(COUNTIFS(LubesData!$V:$V,$R58,LubesData!$U:$U,3,LubesData!$N:$N,"&lt;&gt;")=0,"",SUMIFS(LubesData!$N:$N,LubesData!$V:$V,$R58,LubesData!$U:$U,3))</f>
        <v/>
      </c>
      <c r="W58">
        <f>IF(COUNTIFS(LubesData!$V:$V,$R58,LubesData!$U:$U,4,LubesData!$N:$N,"&lt;&gt;")=0,"",SUMIFS(LubesData!$N:$N,LubesData!$V:$V,$R58,LubesData!$U:$U,4))</f>
        <v/>
      </c>
      <c r="X58">
        <f>IF(COUNTIFS(LubesData!$V:$V,$R58,LubesData!$U:$U,5,LubesData!$N:$N,"&lt;&gt;")=0,"",SUMIFS(LubesData!$N:$N,LubesData!$V:$V,$R58,LubesData!$U:$U,5))</f>
        <v/>
      </c>
      <c r="Y58">
        <f>IF(COUNTIFS(LubesData!$V:$V,$R58,LubesData!$U:$U,6,LubesData!$N:$N,"&lt;&gt;")=0,"",SUMIFS(LubesData!$N:$N,LubesData!$V:$V,$R58,LubesData!$U:$U,6))</f>
        <v/>
      </c>
      <c r="Z58">
        <f>IF(COUNTIFS(LubesData!$V:$V,$R58,LubesData!$U:$U,7,LubesData!$N:$N,"&lt;&gt;")=0,"",SUMIFS(LubesData!$N:$N,LubesData!$V:$V,$R58,LubesData!$U:$U,7))</f>
        <v/>
      </c>
      <c r="AA58">
        <f>IF(COUNTIFS(LubesData!$V:$V,$R58,LubesData!$U:$U,8,LubesData!$N:$N,"&lt;&gt;")=0,"",SUMIFS(LubesData!$N:$N,LubesData!$V:$V,$R58,LubesData!$U:$U,8))</f>
        <v/>
      </c>
      <c r="AB58">
        <f>IF(COUNTIFS(LubesData!$V:$V,$R58,LubesData!$U:$U,9,LubesData!$N:$N,"&lt;&gt;")=0,"",SUMIFS(LubesData!$N:$N,LubesData!$V:$V,$R58,LubesData!$U:$U,9))</f>
        <v/>
      </c>
      <c r="AC58">
        <f>IF(COUNTIFS(LubesData!$V:$V,$R58,LubesData!$U:$U,10,LubesData!$N:$N,"&lt;&gt;")=0,"",SUMIFS(LubesData!$N:$N,LubesData!$V:$V,$R58,LubesData!$U:$U,10))</f>
        <v/>
      </c>
      <c r="AD58">
        <f>IF(COUNTIFS(LubesData!$V:$V,$R58,LubesData!$U:$U,11,LubesData!$N:$N,"&lt;&gt;")=0,"",SUMIFS(LubesData!$N:$N,LubesData!$V:$V,$R58,LubesData!$U:$U,11))</f>
        <v/>
      </c>
      <c r="AE58">
        <f>IF(COUNTIFS(LubesData!$V:$V,$R58,LubesData!$U:$U,12,LubesData!$N:$N,"&lt;&gt;")=0,"",SUMIFS(LubesData!$N:$N,LubesData!$V:$V,$R58,LubesData!$U:$U,12))</f>
        <v/>
      </c>
      <c r="AF58">
        <f>IF(COUNTIFS(LubesData!$V:$V,$R58,LubesData!$U:$U,13,LubesData!$N:$N,"&lt;&gt;")=0,"",SUMIFS(LubesData!$N:$N,LubesData!$V:$V,$R58,LubesData!$U:$U,13))</f>
        <v/>
      </c>
      <c r="AG58">
        <f>IF(COUNTIFS(LubesData!$V:$V,$R58,LubesData!$U:$U,14,LubesData!$N:$N,"&lt;&gt;")=0,"",SUMIFS(LubesData!$N:$N,LubesData!$V:$V,$R58,LubesData!$U:$U,14))</f>
        <v/>
      </c>
      <c r="AH58">
        <f>COUNTIFS(LubesData!$V:$V,$R58,LubesData!$U:$U,"&lt;="&amp;14,LubesData!$N:$N,"&lt;&gt;")</f>
        <v/>
      </c>
      <c r="AI58">
        <f>COUNTIFS(LubesData!$V:$V,$R58,LubesData!$U:$U,"&lt;="&amp;14,LubesData!$N:$N,0)</f>
        <v/>
      </c>
      <c r="AJ58">
        <f>IF(AH58=0,"",AH58-AI58)</f>
        <v/>
      </c>
      <c r="AK58">
        <f>IF(AH58=0,"",SUMIFS(LubesData!$N:$N,LubesData!$V:$V,$R58,LubesData!$U:$U,"&lt;="&amp;14))</f>
        <v/>
      </c>
      <c r="AL58">
        <f>IF(AH58=0,"",IF(ABS(MAX(T58:AG58))&gt;=ABS(MIN(T58:AG58)),MAX(T58:AG58),MIN(T58:AG58)))</f>
        <v/>
      </c>
      <c r="AM58">
        <f>IF(AH58=0,-1,AJ58*100000+MIN(ABS(AK58),99999))</f>
        <v/>
      </c>
      <c r="AN58">
        <f>IF($S58="","",1+COUNTIFS($AM$3:$AM$122,"&gt;"&amp;AM58)+COUNTIFS($AM$3:$AM$122,AM58,$R$3:$R$122,"&lt;"&amp;$R58))</f>
        <v/>
      </c>
    </row>
    <row r="59">
      <c r="A59" t="n">
        <v>57</v>
      </c>
      <c r="B59" s="31">
        <f>IFERROR(IF(INDEX(LubesData!$B:$B,MATCH($A59,LubesData!$U:$U,0))="","",INDEX(LubesData!$B:$B,MATCH($A59,LubesData!$U:$U,0))),"")</f>
        <v/>
      </c>
      <c r="C59">
        <f>IFERROR(IF(INDEX(LubesData!$D:$D,MATCH($A59,LubesData!$U:$U,0))="","",INDEX(LubesData!$D:$D,MATCH($A59,LubesData!$U:$U,0))),"")</f>
        <v/>
      </c>
      <c r="D59" s="31">
        <f>IFERROR(IF(INDEX(LubesData!$O:$O,MATCH($A59,LubesData!$U:$U,0))="","",INDEX(LubesData!$O:$O,MATCH($A59,LubesData!$U:$U,0))),"")</f>
        <v/>
      </c>
      <c r="E59">
        <f>COUNTIFS(LubesData!$U:$U,$A59)</f>
        <v/>
      </c>
      <c r="F59">
        <f>COUNTIFS(LubesData!$U:$U,$A59,LubesData!$N:$N,"&lt;&gt;")</f>
        <v/>
      </c>
      <c r="G59">
        <f>COUNTIFS(LubesData!$U:$U,$A59,LubesData!$N:$N,0)</f>
        <v/>
      </c>
      <c r="H59">
        <f>IF($F59=0,"",$F59-$G59)</f>
        <v/>
      </c>
      <c r="I59">
        <f>IF($F59=0,"",SUMIFS(LubesData!$N:$N,LubesData!$U:$U,$A59))</f>
        <v/>
      </c>
      <c r="J59">
        <f>COUNTIFS(LubesData!$U:$U,$A59,LubesData!$Q:$Q,"&lt;&gt;")</f>
        <v/>
      </c>
      <c r="K59">
        <f>IF($J59=0,"",SUMIFS(LubesData!$Q:$Q,LubesData!$U:$U,$A59))</f>
        <v/>
      </c>
      <c r="L59">
        <f>COUNTIFS(LubesData!$U:$U,$A59,LubesData!$M:$M,"&lt;&gt;")</f>
        <v/>
      </c>
      <c r="M59">
        <f>IF($E59=0,"",IF($L59=0,"not loaded","loaded"))</f>
        <v/>
      </c>
      <c r="N59">
        <f>COUNTIFS(LubesData!$U:$U,$A59,LubesData!$I:$I,"&lt;&gt;")</f>
        <v/>
      </c>
      <c r="O59">
        <f>IF($E59=0,"",IF($L59=0,"No POS sales have been loaded for this date, so variance cannot be worked out. Import the sales report for this day and it fills in.",IF($N59=0,"This is the first count of these products, so there is no opening figure to sell down from. Variance starts from the next count.",IF($F59-$G59=0,"Physical and POS agree on every product.",($F59-$G59)&amp;" of "&amp;$F59&amp;" products disagree with the POS. Largest first below."))))</f>
        <v/>
      </c>
      <c r="R59" t="n">
        <v>57</v>
      </c>
      <c r="S59">
        <f>IFERROR(INDEX(LubesData!$G:$G,MATCH($R59,LubesData!$V:$V,0)),"")</f>
        <v/>
      </c>
      <c r="T59">
        <f>IF(COUNTIFS(LubesData!$V:$V,$R59,LubesData!$U:$U,1,LubesData!$N:$N,"&lt;&gt;")=0,"",SUMIFS(LubesData!$N:$N,LubesData!$V:$V,$R59,LubesData!$U:$U,1))</f>
        <v/>
      </c>
      <c r="U59">
        <f>IF(COUNTIFS(LubesData!$V:$V,$R59,LubesData!$U:$U,2,LubesData!$N:$N,"&lt;&gt;")=0,"",SUMIFS(LubesData!$N:$N,LubesData!$V:$V,$R59,LubesData!$U:$U,2))</f>
        <v/>
      </c>
      <c r="V59">
        <f>IF(COUNTIFS(LubesData!$V:$V,$R59,LubesData!$U:$U,3,LubesData!$N:$N,"&lt;&gt;")=0,"",SUMIFS(LubesData!$N:$N,LubesData!$V:$V,$R59,LubesData!$U:$U,3))</f>
        <v/>
      </c>
      <c r="W59">
        <f>IF(COUNTIFS(LubesData!$V:$V,$R59,LubesData!$U:$U,4,LubesData!$N:$N,"&lt;&gt;")=0,"",SUMIFS(LubesData!$N:$N,LubesData!$V:$V,$R59,LubesData!$U:$U,4))</f>
        <v/>
      </c>
      <c r="X59">
        <f>IF(COUNTIFS(LubesData!$V:$V,$R59,LubesData!$U:$U,5,LubesData!$N:$N,"&lt;&gt;")=0,"",SUMIFS(LubesData!$N:$N,LubesData!$V:$V,$R59,LubesData!$U:$U,5))</f>
        <v/>
      </c>
      <c r="Y59">
        <f>IF(COUNTIFS(LubesData!$V:$V,$R59,LubesData!$U:$U,6,LubesData!$N:$N,"&lt;&gt;")=0,"",SUMIFS(LubesData!$N:$N,LubesData!$V:$V,$R59,LubesData!$U:$U,6))</f>
        <v/>
      </c>
      <c r="Z59">
        <f>IF(COUNTIFS(LubesData!$V:$V,$R59,LubesData!$U:$U,7,LubesData!$N:$N,"&lt;&gt;")=0,"",SUMIFS(LubesData!$N:$N,LubesData!$V:$V,$R59,LubesData!$U:$U,7))</f>
        <v/>
      </c>
      <c r="AA59">
        <f>IF(COUNTIFS(LubesData!$V:$V,$R59,LubesData!$U:$U,8,LubesData!$N:$N,"&lt;&gt;")=0,"",SUMIFS(LubesData!$N:$N,LubesData!$V:$V,$R59,LubesData!$U:$U,8))</f>
        <v/>
      </c>
      <c r="AB59">
        <f>IF(COUNTIFS(LubesData!$V:$V,$R59,LubesData!$U:$U,9,LubesData!$N:$N,"&lt;&gt;")=0,"",SUMIFS(LubesData!$N:$N,LubesData!$V:$V,$R59,LubesData!$U:$U,9))</f>
        <v/>
      </c>
      <c r="AC59">
        <f>IF(COUNTIFS(LubesData!$V:$V,$R59,LubesData!$U:$U,10,LubesData!$N:$N,"&lt;&gt;")=0,"",SUMIFS(LubesData!$N:$N,LubesData!$V:$V,$R59,LubesData!$U:$U,10))</f>
        <v/>
      </c>
      <c r="AD59">
        <f>IF(COUNTIFS(LubesData!$V:$V,$R59,LubesData!$U:$U,11,LubesData!$N:$N,"&lt;&gt;")=0,"",SUMIFS(LubesData!$N:$N,LubesData!$V:$V,$R59,LubesData!$U:$U,11))</f>
        <v/>
      </c>
      <c r="AE59">
        <f>IF(COUNTIFS(LubesData!$V:$V,$R59,LubesData!$U:$U,12,LubesData!$N:$N,"&lt;&gt;")=0,"",SUMIFS(LubesData!$N:$N,LubesData!$V:$V,$R59,LubesData!$U:$U,12))</f>
        <v/>
      </c>
      <c r="AF59">
        <f>IF(COUNTIFS(LubesData!$V:$V,$R59,LubesData!$U:$U,13,LubesData!$N:$N,"&lt;&gt;")=0,"",SUMIFS(LubesData!$N:$N,LubesData!$V:$V,$R59,LubesData!$U:$U,13))</f>
        <v/>
      </c>
      <c r="AG59">
        <f>IF(COUNTIFS(LubesData!$V:$V,$R59,LubesData!$U:$U,14,LubesData!$N:$N,"&lt;&gt;")=0,"",SUMIFS(LubesData!$N:$N,LubesData!$V:$V,$R59,LubesData!$U:$U,14))</f>
        <v/>
      </c>
      <c r="AH59">
        <f>COUNTIFS(LubesData!$V:$V,$R59,LubesData!$U:$U,"&lt;="&amp;14,LubesData!$N:$N,"&lt;&gt;")</f>
        <v/>
      </c>
      <c r="AI59">
        <f>COUNTIFS(LubesData!$V:$V,$R59,LubesData!$U:$U,"&lt;="&amp;14,LubesData!$N:$N,0)</f>
        <v/>
      </c>
      <c r="AJ59">
        <f>IF(AH59=0,"",AH59-AI59)</f>
        <v/>
      </c>
      <c r="AK59">
        <f>IF(AH59=0,"",SUMIFS(LubesData!$N:$N,LubesData!$V:$V,$R59,LubesData!$U:$U,"&lt;="&amp;14))</f>
        <v/>
      </c>
      <c r="AL59">
        <f>IF(AH59=0,"",IF(ABS(MAX(T59:AG59))&gt;=ABS(MIN(T59:AG59)),MAX(T59:AG59),MIN(T59:AG59)))</f>
        <v/>
      </c>
      <c r="AM59">
        <f>IF(AH59=0,-1,AJ59*100000+MIN(ABS(AK59),99999))</f>
        <v/>
      </c>
      <c r="AN59">
        <f>IF($S59="","",1+COUNTIFS($AM$3:$AM$122,"&gt;"&amp;AM59)+COUNTIFS($AM$3:$AM$122,AM59,$R$3:$R$122,"&lt;"&amp;$R59))</f>
        <v/>
      </c>
    </row>
    <row r="60">
      <c r="A60" t="n">
        <v>58</v>
      </c>
      <c r="B60" s="31">
        <f>IFERROR(IF(INDEX(LubesData!$B:$B,MATCH($A60,LubesData!$U:$U,0))="","",INDEX(LubesData!$B:$B,MATCH($A60,LubesData!$U:$U,0))),"")</f>
        <v/>
      </c>
      <c r="C60">
        <f>IFERROR(IF(INDEX(LubesData!$D:$D,MATCH($A60,LubesData!$U:$U,0))="","",INDEX(LubesData!$D:$D,MATCH($A60,LubesData!$U:$U,0))),"")</f>
        <v/>
      </c>
      <c r="D60" s="31">
        <f>IFERROR(IF(INDEX(LubesData!$O:$O,MATCH($A60,LubesData!$U:$U,0))="","",INDEX(LubesData!$O:$O,MATCH($A60,LubesData!$U:$U,0))),"")</f>
        <v/>
      </c>
      <c r="E60">
        <f>COUNTIFS(LubesData!$U:$U,$A60)</f>
        <v/>
      </c>
      <c r="F60">
        <f>COUNTIFS(LubesData!$U:$U,$A60,LubesData!$N:$N,"&lt;&gt;")</f>
        <v/>
      </c>
      <c r="G60">
        <f>COUNTIFS(LubesData!$U:$U,$A60,LubesData!$N:$N,0)</f>
        <v/>
      </c>
      <c r="H60">
        <f>IF($F60=0,"",$F60-$G60)</f>
        <v/>
      </c>
      <c r="I60">
        <f>IF($F60=0,"",SUMIFS(LubesData!$N:$N,LubesData!$U:$U,$A60))</f>
        <v/>
      </c>
      <c r="J60">
        <f>COUNTIFS(LubesData!$U:$U,$A60,LubesData!$Q:$Q,"&lt;&gt;")</f>
        <v/>
      </c>
      <c r="K60">
        <f>IF($J60=0,"",SUMIFS(LubesData!$Q:$Q,LubesData!$U:$U,$A60))</f>
        <v/>
      </c>
      <c r="L60">
        <f>COUNTIFS(LubesData!$U:$U,$A60,LubesData!$M:$M,"&lt;&gt;")</f>
        <v/>
      </c>
      <c r="M60">
        <f>IF($E60=0,"",IF($L60=0,"not loaded","loaded"))</f>
        <v/>
      </c>
      <c r="N60">
        <f>COUNTIFS(LubesData!$U:$U,$A60,LubesData!$I:$I,"&lt;&gt;")</f>
        <v/>
      </c>
      <c r="O60">
        <f>IF($E60=0,"",IF($L60=0,"No POS sales have been loaded for this date, so variance cannot be worked out. Import the sales report for this day and it fills in.",IF($N60=0,"This is the first count of these products, so there is no opening figure to sell down from. Variance starts from the next count.",IF($F60-$G60=0,"Physical and POS agree on every product.",($F60-$G60)&amp;" of "&amp;$F60&amp;" products disagree with the POS. Largest first below."))))</f>
        <v/>
      </c>
      <c r="R60" t="n">
        <v>58</v>
      </c>
      <c r="S60">
        <f>IFERROR(INDEX(LubesData!$G:$G,MATCH($R60,LubesData!$V:$V,0)),"")</f>
        <v/>
      </c>
      <c r="T60">
        <f>IF(COUNTIFS(LubesData!$V:$V,$R60,LubesData!$U:$U,1,LubesData!$N:$N,"&lt;&gt;")=0,"",SUMIFS(LubesData!$N:$N,LubesData!$V:$V,$R60,LubesData!$U:$U,1))</f>
        <v/>
      </c>
      <c r="U60">
        <f>IF(COUNTIFS(LubesData!$V:$V,$R60,LubesData!$U:$U,2,LubesData!$N:$N,"&lt;&gt;")=0,"",SUMIFS(LubesData!$N:$N,LubesData!$V:$V,$R60,LubesData!$U:$U,2))</f>
        <v/>
      </c>
      <c r="V60">
        <f>IF(COUNTIFS(LubesData!$V:$V,$R60,LubesData!$U:$U,3,LubesData!$N:$N,"&lt;&gt;")=0,"",SUMIFS(LubesData!$N:$N,LubesData!$V:$V,$R60,LubesData!$U:$U,3))</f>
        <v/>
      </c>
      <c r="W60">
        <f>IF(COUNTIFS(LubesData!$V:$V,$R60,LubesData!$U:$U,4,LubesData!$N:$N,"&lt;&gt;")=0,"",SUMIFS(LubesData!$N:$N,LubesData!$V:$V,$R60,LubesData!$U:$U,4))</f>
        <v/>
      </c>
      <c r="X60">
        <f>IF(COUNTIFS(LubesData!$V:$V,$R60,LubesData!$U:$U,5,LubesData!$N:$N,"&lt;&gt;")=0,"",SUMIFS(LubesData!$N:$N,LubesData!$V:$V,$R60,LubesData!$U:$U,5))</f>
        <v/>
      </c>
      <c r="Y60">
        <f>IF(COUNTIFS(LubesData!$V:$V,$R60,LubesData!$U:$U,6,LubesData!$N:$N,"&lt;&gt;")=0,"",SUMIFS(LubesData!$N:$N,LubesData!$V:$V,$R60,LubesData!$U:$U,6))</f>
        <v/>
      </c>
      <c r="Z60">
        <f>IF(COUNTIFS(LubesData!$V:$V,$R60,LubesData!$U:$U,7,LubesData!$N:$N,"&lt;&gt;")=0,"",SUMIFS(LubesData!$N:$N,LubesData!$V:$V,$R60,LubesData!$U:$U,7))</f>
        <v/>
      </c>
      <c r="AA60">
        <f>IF(COUNTIFS(LubesData!$V:$V,$R60,LubesData!$U:$U,8,LubesData!$N:$N,"&lt;&gt;")=0,"",SUMIFS(LubesData!$N:$N,LubesData!$V:$V,$R60,LubesData!$U:$U,8))</f>
        <v/>
      </c>
      <c r="AB60">
        <f>IF(COUNTIFS(LubesData!$V:$V,$R60,LubesData!$U:$U,9,LubesData!$N:$N,"&lt;&gt;")=0,"",SUMIFS(LubesData!$N:$N,LubesData!$V:$V,$R60,LubesData!$U:$U,9))</f>
        <v/>
      </c>
      <c r="AC60">
        <f>IF(COUNTIFS(LubesData!$V:$V,$R60,LubesData!$U:$U,10,LubesData!$N:$N,"&lt;&gt;")=0,"",SUMIFS(LubesData!$N:$N,LubesData!$V:$V,$R60,LubesData!$U:$U,10))</f>
        <v/>
      </c>
      <c r="AD60">
        <f>IF(COUNTIFS(LubesData!$V:$V,$R60,LubesData!$U:$U,11,LubesData!$N:$N,"&lt;&gt;")=0,"",SUMIFS(LubesData!$N:$N,LubesData!$V:$V,$R60,LubesData!$U:$U,11))</f>
        <v/>
      </c>
      <c r="AE60">
        <f>IF(COUNTIFS(LubesData!$V:$V,$R60,LubesData!$U:$U,12,LubesData!$N:$N,"&lt;&gt;")=0,"",SUMIFS(LubesData!$N:$N,LubesData!$V:$V,$R60,LubesData!$U:$U,12))</f>
        <v/>
      </c>
      <c r="AF60">
        <f>IF(COUNTIFS(LubesData!$V:$V,$R60,LubesData!$U:$U,13,LubesData!$N:$N,"&lt;&gt;")=0,"",SUMIFS(LubesData!$N:$N,LubesData!$V:$V,$R60,LubesData!$U:$U,13))</f>
        <v/>
      </c>
      <c r="AG60">
        <f>IF(COUNTIFS(LubesData!$V:$V,$R60,LubesData!$U:$U,14,LubesData!$N:$N,"&lt;&gt;")=0,"",SUMIFS(LubesData!$N:$N,LubesData!$V:$V,$R60,LubesData!$U:$U,14))</f>
        <v/>
      </c>
      <c r="AH60">
        <f>COUNTIFS(LubesData!$V:$V,$R60,LubesData!$U:$U,"&lt;="&amp;14,LubesData!$N:$N,"&lt;&gt;")</f>
        <v/>
      </c>
      <c r="AI60">
        <f>COUNTIFS(LubesData!$V:$V,$R60,LubesData!$U:$U,"&lt;="&amp;14,LubesData!$N:$N,0)</f>
        <v/>
      </c>
      <c r="AJ60">
        <f>IF(AH60=0,"",AH60-AI60)</f>
        <v/>
      </c>
      <c r="AK60">
        <f>IF(AH60=0,"",SUMIFS(LubesData!$N:$N,LubesData!$V:$V,$R60,LubesData!$U:$U,"&lt;="&amp;14))</f>
        <v/>
      </c>
      <c r="AL60">
        <f>IF(AH60=0,"",IF(ABS(MAX(T60:AG60))&gt;=ABS(MIN(T60:AG60)),MAX(T60:AG60),MIN(T60:AG60)))</f>
        <v/>
      </c>
      <c r="AM60">
        <f>IF(AH60=0,-1,AJ60*100000+MIN(ABS(AK60),99999))</f>
        <v/>
      </c>
      <c r="AN60">
        <f>IF($S60="","",1+COUNTIFS($AM$3:$AM$122,"&gt;"&amp;AM60)+COUNTIFS($AM$3:$AM$122,AM60,$R$3:$R$122,"&lt;"&amp;$R60))</f>
        <v/>
      </c>
    </row>
    <row r="61">
      <c r="A61" t="n">
        <v>59</v>
      </c>
      <c r="B61" s="31">
        <f>IFERROR(IF(INDEX(LubesData!$B:$B,MATCH($A61,LubesData!$U:$U,0))="","",INDEX(LubesData!$B:$B,MATCH($A61,LubesData!$U:$U,0))),"")</f>
        <v/>
      </c>
      <c r="C61">
        <f>IFERROR(IF(INDEX(LubesData!$D:$D,MATCH($A61,LubesData!$U:$U,0))="","",INDEX(LubesData!$D:$D,MATCH($A61,LubesData!$U:$U,0))),"")</f>
        <v/>
      </c>
      <c r="D61" s="31">
        <f>IFERROR(IF(INDEX(LubesData!$O:$O,MATCH($A61,LubesData!$U:$U,0))="","",INDEX(LubesData!$O:$O,MATCH($A61,LubesData!$U:$U,0))),"")</f>
        <v/>
      </c>
      <c r="E61">
        <f>COUNTIFS(LubesData!$U:$U,$A61)</f>
        <v/>
      </c>
      <c r="F61">
        <f>COUNTIFS(LubesData!$U:$U,$A61,LubesData!$N:$N,"&lt;&gt;")</f>
        <v/>
      </c>
      <c r="G61">
        <f>COUNTIFS(LubesData!$U:$U,$A61,LubesData!$N:$N,0)</f>
        <v/>
      </c>
      <c r="H61">
        <f>IF($F61=0,"",$F61-$G61)</f>
        <v/>
      </c>
      <c r="I61">
        <f>IF($F61=0,"",SUMIFS(LubesData!$N:$N,LubesData!$U:$U,$A61))</f>
        <v/>
      </c>
      <c r="J61">
        <f>COUNTIFS(LubesData!$U:$U,$A61,LubesData!$Q:$Q,"&lt;&gt;")</f>
        <v/>
      </c>
      <c r="K61">
        <f>IF($J61=0,"",SUMIFS(LubesData!$Q:$Q,LubesData!$U:$U,$A61))</f>
        <v/>
      </c>
      <c r="L61">
        <f>COUNTIFS(LubesData!$U:$U,$A61,LubesData!$M:$M,"&lt;&gt;")</f>
        <v/>
      </c>
      <c r="M61">
        <f>IF($E61=0,"",IF($L61=0,"not loaded","loaded"))</f>
        <v/>
      </c>
      <c r="N61">
        <f>COUNTIFS(LubesData!$U:$U,$A61,LubesData!$I:$I,"&lt;&gt;")</f>
        <v/>
      </c>
      <c r="O61">
        <f>IF($E61=0,"",IF($L61=0,"No POS sales have been loaded for this date, so variance cannot be worked out. Import the sales report for this day and it fills in.",IF($N61=0,"This is the first count of these products, so there is no opening figure to sell down from. Variance starts from the next count.",IF($F61-$G61=0,"Physical and POS agree on every product.",($F61-$G61)&amp;" of "&amp;$F61&amp;" products disagree with the POS. Largest first below."))))</f>
        <v/>
      </c>
      <c r="R61" t="n">
        <v>59</v>
      </c>
      <c r="S61">
        <f>IFERROR(INDEX(LubesData!$G:$G,MATCH($R61,LubesData!$V:$V,0)),"")</f>
        <v/>
      </c>
      <c r="T61">
        <f>IF(COUNTIFS(LubesData!$V:$V,$R61,LubesData!$U:$U,1,LubesData!$N:$N,"&lt;&gt;")=0,"",SUMIFS(LubesData!$N:$N,LubesData!$V:$V,$R61,LubesData!$U:$U,1))</f>
        <v/>
      </c>
      <c r="U61">
        <f>IF(COUNTIFS(LubesData!$V:$V,$R61,LubesData!$U:$U,2,LubesData!$N:$N,"&lt;&gt;")=0,"",SUMIFS(LubesData!$N:$N,LubesData!$V:$V,$R61,LubesData!$U:$U,2))</f>
        <v/>
      </c>
      <c r="V61">
        <f>IF(COUNTIFS(LubesData!$V:$V,$R61,LubesData!$U:$U,3,LubesData!$N:$N,"&lt;&gt;")=0,"",SUMIFS(LubesData!$N:$N,LubesData!$V:$V,$R61,LubesData!$U:$U,3))</f>
        <v/>
      </c>
      <c r="W61">
        <f>IF(COUNTIFS(LubesData!$V:$V,$R61,LubesData!$U:$U,4,LubesData!$N:$N,"&lt;&gt;")=0,"",SUMIFS(LubesData!$N:$N,LubesData!$V:$V,$R61,LubesData!$U:$U,4))</f>
        <v/>
      </c>
      <c r="X61">
        <f>IF(COUNTIFS(LubesData!$V:$V,$R61,LubesData!$U:$U,5,LubesData!$N:$N,"&lt;&gt;")=0,"",SUMIFS(LubesData!$N:$N,LubesData!$V:$V,$R61,LubesData!$U:$U,5))</f>
        <v/>
      </c>
      <c r="Y61">
        <f>IF(COUNTIFS(LubesData!$V:$V,$R61,LubesData!$U:$U,6,LubesData!$N:$N,"&lt;&gt;")=0,"",SUMIFS(LubesData!$N:$N,LubesData!$V:$V,$R61,LubesData!$U:$U,6))</f>
        <v/>
      </c>
      <c r="Z61">
        <f>IF(COUNTIFS(LubesData!$V:$V,$R61,LubesData!$U:$U,7,LubesData!$N:$N,"&lt;&gt;")=0,"",SUMIFS(LubesData!$N:$N,LubesData!$V:$V,$R61,LubesData!$U:$U,7))</f>
        <v/>
      </c>
      <c r="AA61">
        <f>IF(COUNTIFS(LubesData!$V:$V,$R61,LubesData!$U:$U,8,LubesData!$N:$N,"&lt;&gt;")=0,"",SUMIFS(LubesData!$N:$N,LubesData!$V:$V,$R61,LubesData!$U:$U,8))</f>
        <v/>
      </c>
      <c r="AB61">
        <f>IF(COUNTIFS(LubesData!$V:$V,$R61,LubesData!$U:$U,9,LubesData!$N:$N,"&lt;&gt;")=0,"",SUMIFS(LubesData!$N:$N,LubesData!$V:$V,$R61,LubesData!$U:$U,9))</f>
        <v/>
      </c>
      <c r="AC61">
        <f>IF(COUNTIFS(LubesData!$V:$V,$R61,LubesData!$U:$U,10,LubesData!$N:$N,"&lt;&gt;")=0,"",SUMIFS(LubesData!$N:$N,LubesData!$V:$V,$R61,LubesData!$U:$U,10))</f>
        <v/>
      </c>
      <c r="AD61">
        <f>IF(COUNTIFS(LubesData!$V:$V,$R61,LubesData!$U:$U,11,LubesData!$N:$N,"&lt;&gt;")=0,"",SUMIFS(LubesData!$N:$N,LubesData!$V:$V,$R61,LubesData!$U:$U,11))</f>
        <v/>
      </c>
      <c r="AE61">
        <f>IF(COUNTIFS(LubesData!$V:$V,$R61,LubesData!$U:$U,12,LubesData!$N:$N,"&lt;&gt;")=0,"",SUMIFS(LubesData!$N:$N,LubesData!$V:$V,$R61,LubesData!$U:$U,12))</f>
        <v/>
      </c>
      <c r="AF61">
        <f>IF(COUNTIFS(LubesData!$V:$V,$R61,LubesData!$U:$U,13,LubesData!$N:$N,"&lt;&gt;")=0,"",SUMIFS(LubesData!$N:$N,LubesData!$V:$V,$R61,LubesData!$U:$U,13))</f>
        <v/>
      </c>
      <c r="AG61">
        <f>IF(COUNTIFS(LubesData!$V:$V,$R61,LubesData!$U:$U,14,LubesData!$N:$N,"&lt;&gt;")=0,"",SUMIFS(LubesData!$N:$N,LubesData!$V:$V,$R61,LubesData!$U:$U,14))</f>
        <v/>
      </c>
      <c r="AH61">
        <f>COUNTIFS(LubesData!$V:$V,$R61,LubesData!$U:$U,"&lt;="&amp;14,LubesData!$N:$N,"&lt;&gt;")</f>
        <v/>
      </c>
      <c r="AI61">
        <f>COUNTIFS(LubesData!$V:$V,$R61,LubesData!$U:$U,"&lt;="&amp;14,LubesData!$N:$N,0)</f>
        <v/>
      </c>
      <c r="AJ61">
        <f>IF(AH61=0,"",AH61-AI61)</f>
        <v/>
      </c>
      <c r="AK61">
        <f>IF(AH61=0,"",SUMIFS(LubesData!$N:$N,LubesData!$V:$V,$R61,LubesData!$U:$U,"&lt;="&amp;14))</f>
        <v/>
      </c>
      <c r="AL61">
        <f>IF(AH61=0,"",IF(ABS(MAX(T61:AG61))&gt;=ABS(MIN(T61:AG61)),MAX(T61:AG61),MIN(T61:AG61)))</f>
        <v/>
      </c>
      <c r="AM61">
        <f>IF(AH61=0,-1,AJ61*100000+MIN(ABS(AK61),99999))</f>
        <v/>
      </c>
      <c r="AN61">
        <f>IF($S61="","",1+COUNTIFS($AM$3:$AM$122,"&gt;"&amp;AM61)+COUNTIFS($AM$3:$AM$122,AM61,$R$3:$R$122,"&lt;"&amp;$R61))</f>
        <v/>
      </c>
    </row>
    <row r="62">
      <c r="A62" t="n">
        <v>60</v>
      </c>
      <c r="B62" s="31">
        <f>IFERROR(IF(INDEX(LubesData!$B:$B,MATCH($A62,LubesData!$U:$U,0))="","",INDEX(LubesData!$B:$B,MATCH($A62,LubesData!$U:$U,0))),"")</f>
        <v/>
      </c>
      <c r="C62">
        <f>IFERROR(IF(INDEX(LubesData!$D:$D,MATCH($A62,LubesData!$U:$U,0))="","",INDEX(LubesData!$D:$D,MATCH($A62,LubesData!$U:$U,0))),"")</f>
        <v/>
      </c>
      <c r="D62" s="31">
        <f>IFERROR(IF(INDEX(LubesData!$O:$O,MATCH($A62,LubesData!$U:$U,0))="","",INDEX(LubesData!$O:$O,MATCH($A62,LubesData!$U:$U,0))),"")</f>
        <v/>
      </c>
      <c r="E62">
        <f>COUNTIFS(LubesData!$U:$U,$A62)</f>
        <v/>
      </c>
      <c r="F62">
        <f>COUNTIFS(LubesData!$U:$U,$A62,LubesData!$N:$N,"&lt;&gt;")</f>
        <v/>
      </c>
      <c r="G62">
        <f>COUNTIFS(LubesData!$U:$U,$A62,LubesData!$N:$N,0)</f>
        <v/>
      </c>
      <c r="H62">
        <f>IF($F62=0,"",$F62-$G62)</f>
        <v/>
      </c>
      <c r="I62">
        <f>IF($F62=0,"",SUMIFS(LubesData!$N:$N,LubesData!$U:$U,$A62))</f>
        <v/>
      </c>
      <c r="J62">
        <f>COUNTIFS(LubesData!$U:$U,$A62,LubesData!$Q:$Q,"&lt;&gt;")</f>
        <v/>
      </c>
      <c r="K62">
        <f>IF($J62=0,"",SUMIFS(LubesData!$Q:$Q,LubesData!$U:$U,$A62))</f>
        <v/>
      </c>
      <c r="L62">
        <f>COUNTIFS(LubesData!$U:$U,$A62,LubesData!$M:$M,"&lt;&gt;")</f>
        <v/>
      </c>
      <c r="M62">
        <f>IF($E62=0,"",IF($L62=0,"not loaded","loaded"))</f>
        <v/>
      </c>
      <c r="N62">
        <f>COUNTIFS(LubesData!$U:$U,$A62,LubesData!$I:$I,"&lt;&gt;")</f>
        <v/>
      </c>
      <c r="O62">
        <f>IF($E62=0,"",IF($L62=0,"No POS sales have been loaded for this date, so variance cannot be worked out. Import the sales report for this day and it fills in.",IF($N62=0,"This is the first count of these products, so there is no opening figure to sell down from. Variance starts from the next count.",IF($F62-$G62=0,"Physical and POS agree on every product.",($F62-$G62)&amp;" of "&amp;$F62&amp;" products disagree with the POS. Largest first below."))))</f>
        <v/>
      </c>
      <c r="R62" t="n">
        <v>60</v>
      </c>
      <c r="S62">
        <f>IFERROR(INDEX(LubesData!$G:$G,MATCH($R62,LubesData!$V:$V,0)),"")</f>
        <v/>
      </c>
      <c r="T62">
        <f>IF(COUNTIFS(LubesData!$V:$V,$R62,LubesData!$U:$U,1,LubesData!$N:$N,"&lt;&gt;")=0,"",SUMIFS(LubesData!$N:$N,LubesData!$V:$V,$R62,LubesData!$U:$U,1))</f>
        <v/>
      </c>
      <c r="U62">
        <f>IF(COUNTIFS(LubesData!$V:$V,$R62,LubesData!$U:$U,2,LubesData!$N:$N,"&lt;&gt;")=0,"",SUMIFS(LubesData!$N:$N,LubesData!$V:$V,$R62,LubesData!$U:$U,2))</f>
        <v/>
      </c>
      <c r="V62">
        <f>IF(COUNTIFS(LubesData!$V:$V,$R62,LubesData!$U:$U,3,LubesData!$N:$N,"&lt;&gt;")=0,"",SUMIFS(LubesData!$N:$N,LubesData!$V:$V,$R62,LubesData!$U:$U,3))</f>
        <v/>
      </c>
      <c r="W62">
        <f>IF(COUNTIFS(LubesData!$V:$V,$R62,LubesData!$U:$U,4,LubesData!$N:$N,"&lt;&gt;")=0,"",SUMIFS(LubesData!$N:$N,LubesData!$V:$V,$R62,LubesData!$U:$U,4))</f>
        <v/>
      </c>
      <c r="X62">
        <f>IF(COUNTIFS(LubesData!$V:$V,$R62,LubesData!$U:$U,5,LubesData!$N:$N,"&lt;&gt;")=0,"",SUMIFS(LubesData!$N:$N,LubesData!$V:$V,$R62,LubesData!$U:$U,5))</f>
        <v/>
      </c>
      <c r="Y62">
        <f>IF(COUNTIFS(LubesData!$V:$V,$R62,LubesData!$U:$U,6,LubesData!$N:$N,"&lt;&gt;")=0,"",SUMIFS(LubesData!$N:$N,LubesData!$V:$V,$R62,LubesData!$U:$U,6))</f>
        <v/>
      </c>
      <c r="Z62">
        <f>IF(COUNTIFS(LubesData!$V:$V,$R62,LubesData!$U:$U,7,LubesData!$N:$N,"&lt;&gt;")=0,"",SUMIFS(LubesData!$N:$N,LubesData!$V:$V,$R62,LubesData!$U:$U,7))</f>
        <v/>
      </c>
      <c r="AA62">
        <f>IF(COUNTIFS(LubesData!$V:$V,$R62,LubesData!$U:$U,8,LubesData!$N:$N,"&lt;&gt;")=0,"",SUMIFS(LubesData!$N:$N,LubesData!$V:$V,$R62,LubesData!$U:$U,8))</f>
        <v/>
      </c>
      <c r="AB62">
        <f>IF(COUNTIFS(LubesData!$V:$V,$R62,LubesData!$U:$U,9,LubesData!$N:$N,"&lt;&gt;")=0,"",SUMIFS(LubesData!$N:$N,LubesData!$V:$V,$R62,LubesData!$U:$U,9))</f>
        <v/>
      </c>
      <c r="AC62">
        <f>IF(COUNTIFS(LubesData!$V:$V,$R62,LubesData!$U:$U,10,LubesData!$N:$N,"&lt;&gt;")=0,"",SUMIFS(LubesData!$N:$N,LubesData!$V:$V,$R62,LubesData!$U:$U,10))</f>
        <v/>
      </c>
      <c r="AD62">
        <f>IF(COUNTIFS(LubesData!$V:$V,$R62,LubesData!$U:$U,11,LubesData!$N:$N,"&lt;&gt;")=0,"",SUMIFS(LubesData!$N:$N,LubesData!$V:$V,$R62,LubesData!$U:$U,11))</f>
        <v/>
      </c>
      <c r="AE62">
        <f>IF(COUNTIFS(LubesData!$V:$V,$R62,LubesData!$U:$U,12,LubesData!$N:$N,"&lt;&gt;")=0,"",SUMIFS(LubesData!$N:$N,LubesData!$V:$V,$R62,LubesData!$U:$U,12))</f>
        <v/>
      </c>
      <c r="AF62">
        <f>IF(COUNTIFS(LubesData!$V:$V,$R62,LubesData!$U:$U,13,LubesData!$N:$N,"&lt;&gt;")=0,"",SUMIFS(LubesData!$N:$N,LubesData!$V:$V,$R62,LubesData!$U:$U,13))</f>
        <v/>
      </c>
      <c r="AG62">
        <f>IF(COUNTIFS(LubesData!$V:$V,$R62,LubesData!$U:$U,14,LubesData!$N:$N,"&lt;&gt;")=0,"",SUMIFS(LubesData!$N:$N,LubesData!$V:$V,$R62,LubesData!$U:$U,14))</f>
        <v/>
      </c>
      <c r="AH62">
        <f>COUNTIFS(LubesData!$V:$V,$R62,LubesData!$U:$U,"&lt;="&amp;14,LubesData!$N:$N,"&lt;&gt;")</f>
        <v/>
      </c>
      <c r="AI62">
        <f>COUNTIFS(LubesData!$V:$V,$R62,LubesData!$U:$U,"&lt;="&amp;14,LubesData!$N:$N,0)</f>
        <v/>
      </c>
      <c r="AJ62">
        <f>IF(AH62=0,"",AH62-AI62)</f>
        <v/>
      </c>
      <c r="AK62">
        <f>IF(AH62=0,"",SUMIFS(LubesData!$N:$N,LubesData!$V:$V,$R62,LubesData!$U:$U,"&lt;="&amp;14))</f>
        <v/>
      </c>
      <c r="AL62">
        <f>IF(AH62=0,"",IF(ABS(MAX(T62:AG62))&gt;=ABS(MIN(T62:AG62)),MAX(T62:AG62),MIN(T62:AG62)))</f>
        <v/>
      </c>
      <c r="AM62">
        <f>IF(AH62=0,-1,AJ62*100000+MIN(ABS(AK62),99999))</f>
        <v/>
      </c>
      <c r="AN62">
        <f>IF($S62="","",1+COUNTIFS($AM$3:$AM$122,"&gt;"&amp;AM62)+COUNTIFS($AM$3:$AM$122,AM62,$R$3:$R$122,"&lt;"&amp;$R62))</f>
        <v/>
      </c>
    </row>
    <row r="63">
      <c r="R63" t="n">
        <v>61</v>
      </c>
      <c r="S63">
        <f>IFERROR(INDEX(LubesData!$G:$G,MATCH($R63,LubesData!$V:$V,0)),"")</f>
        <v/>
      </c>
      <c r="T63">
        <f>IF(COUNTIFS(LubesData!$V:$V,$R63,LubesData!$U:$U,1,LubesData!$N:$N,"&lt;&gt;")=0,"",SUMIFS(LubesData!$N:$N,LubesData!$V:$V,$R63,LubesData!$U:$U,1))</f>
        <v/>
      </c>
      <c r="U63">
        <f>IF(COUNTIFS(LubesData!$V:$V,$R63,LubesData!$U:$U,2,LubesData!$N:$N,"&lt;&gt;")=0,"",SUMIFS(LubesData!$N:$N,LubesData!$V:$V,$R63,LubesData!$U:$U,2))</f>
        <v/>
      </c>
      <c r="V63">
        <f>IF(COUNTIFS(LubesData!$V:$V,$R63,LubesData!$U:$U,3,LubesData!$N:$N,"&lt;&gt;")=0,"",SUMIFS(LubesData!$N:$N,LubesData!$V:$V,$R63,LubesData!$U:$U,3))</f>
        <v/>
      </c>
      <c r="W63">
        <f>IF(COUNTIFS(LubesData!$V:$V,$R63,LubesData!$U:$U,4,LubesData!$N:$N,"&lt;&gt;")=0,"",SUMIFS(LubesData!$N:$N,LubesData!$V:$V,$R63,LubesData!$U:$U,4))</f>
        <v/>
      </c>
      <c r="X63">
        <f>IF(COUNTIFS(LubesData!$V:$V,$R63,LubesData!$U:$U,5,LubesData!$N:$N,"&lt;&gt;")=0,"",SUMIFS(LubesData!$N:$N,LubesData!$V:$V,$R63,LubesData!$U:$U,5))</f>
        <v/>
      </c>
      <c r="Y63">
        <f>IF(COUNTIFS(LubesData!$V:$V,$R63,LubesData!$U:$U,6,LubesData!$N:$N,"&lt;&gt;")=0,"",SUMIFS(LubesData!$N:$N,LubesData!$V:$V,$R63,LubesData!$U:$U,6))</f>
        <v/>
      </c>
      <c r="Z63">
        <f>IF(COUNTIFS(LubesData!$V:$V,$R63,LubesData!$U:$U,7,LubesData!$N:$N,"&lt;&gt;")=0,"",SUMIFS(LubesData!$N:$N,LubesData!$V:$V,$R63,LubesData!$U:$U,7))</f>
        <v/>
      </c>
      <c r="AA63">
        <f>IF(COUNTIFS(LubesData!$V:$V,$R63,LubesData!$U:$U,8,LubesData!$N:$N,"&lt;&gt;")=0,"",SUMIFS(LubesData!$N:$N,LubesData!$V:$V,$R63,LubesData!$U:$U,8))</f>
        <v/>
      </c>
      <c r="AB63">
        <f>IF(COUNTIFS(LubesData!$V:$V,$R63,LubesData!$U:$U,9,LubesData!$N:$N,"&lt;&gt;")=0,"",SUMIFS(LubesData!$N:$N,LubesData!$V:$V,$R63,LubesData!$U:$U,9))</f>
        <v/>
      </c>
      <c r="AC63">
        <f>IF(COUNTIFS(LubesData!$V:$V,$R63,LubesData!$U:$U,10,LubesData!$N:$N,"&lt;&gt;")=0,"",SUMIFS(LubesData!$N:$N,LubesData!$V:$V,$R63,LubesData!$U:$U,10))</f>
        <v/>
      </c>
      <c r="AD63">
        <f>IF(COUNTIFS(LubesData!$V:$V,$R63,LubesData!$U:$U,11,LubesData!$N:$N,"&lt;&gt;")=0,"",SUMIFS(LubesData!$N:$N,LubesData!$V:$V,$R63,LubesData!$U:$U,11))</f>
        <v/>
      </c>
      <c r="AE63">
        <f>IF(COUNTIFS(LubesData!$V:$V,$R63,LubesData!$U:$U,12,LubesData!$N:$N,"&lt;&gt;")=0,"",SUMIFS(LubesData!$N:$N,LubesData!$V:$V,$R63,LubesData!$U:$U,12))</f>
        <v/>
      </c>
      <c r="AF63">
        <f>IF(COUNTIFS(LubesData!$V:$V,$R63,LubesData!$U:$U,13,LubesData!$N:$N,"&lt;&gt;")=0,"",SUMIFS(LubesData!$N:$N,LubesData!$V:$V,$R63,LubesData!$U:$U,13))</f>
        <v/>
      </c>
      <c r="AG63">
        <f>IF(COUNTIFS(LubesData!$V:$V,$R63,LubesData!$U:$U,14,LubesData!$N:$N,"&lt;&gt;")=0,"",SUMIFS(LubesData!$N:$N,LubesData!$V:$V,$R63,LubesData!$U:$U,14))</f>
        <v/>
      </c>
      <c r="AH63">
        <f>COUNTIFS(LubesData!$V:$V,$R63,LubesData!$U:$U,"&lt;="&amp;14,LubesData!$N:$N,"&lt;&gt;")</f>
        <v/>
      </c>
      <c r="AI63">
        <f>COUNTIFS(LubesData!$V:$V,$R63,LubesData!$U:$U,"&lt;="&amp;14,LubesData!$N:$N,0)</f>
        <v/>
      </c>
      <c r="AJ63">
        <f>IF(AH63=0,"",AH63-AI63)</f>
        <v/>
      </c>
      <c r="AK63">
        <f>IF(AH63=0,"",SUMIFS(LubesData!$N:$N,LubesData!$V:$V,$R63,LubesData!$U:$U,"&lt;="&amp;14))</f>
        <v/>
      </c>
      <c r="AL63">
        <f>IF(AH63=0,"",IF(ABS(MAX(T63:AG63))&gt;=ABS(MIN(T63:AG63)),MAX(T63:AG63),MIN(T63:AG63)))</f>
        <v/>
      </c>
      <c r="AM63">
        <f>IF(AH63=0,-1,AJ63*100000+MIN(ABS(AK63),99999))</f>
        <v/>
      </c>
      <c r="AN63">
        <f>IF($S63="","",1+COUNTIFS($AM$3:$AM$122,"&gt;"&amp;AM63)+COUNTIFS($AM$3:$AM$122,AM63,$R$3:$R$122,"&lt;"&amp;$R63))</f>
        <v/>
      </c>
    </row>
    <row r="64">
      <c r="R64" t="n">
        <v>62</v>
      </c>
      <c r="S64">
        <f>IFERROR(INDEX(LubesData!$G:$G,MATCH($R64,LubesData!$V:$V,0)),"")</f>
        <v/>
      </c>
      <c r="T64">
        <f>IF(COUNTIFS(LubesData!$V:$V,$R64,LubesData!$U:$U,1,LubesData!$N:$N,"&lt;&gt;")=0,"",SUMIFS(LubesData!$N:$N,LubesData!$V:$V,$R64,LubesData!$U:$U,1))</f>
        <v/>
      </c>
      <c r="U64">
        <f>IF(COUNTIFS(LubesData!$V:$V,$R64,LubesData!$U:$U,2,LubesData!$N:$N,"&lt;&gt;")=0,"",SUMIFS(LubesData!$N:$N,LubesData!$V:$V,$R64,LubesData!$U:$U,2))</f>
        <v/>
      </c>
      <c r="V64">
        <f>IF(COUNTIFS(LubesData!$V:$V,$R64,LubesData!$U:$U,3,LubesData!$N:$N,"&lt;&gt;")=0,"",SUMIFS(LubesData!$N:$N,LubesData!$V:$V,$R64,LubesData!$U:$U,3))</f>
        <v/>
      </c>
      <c r="W64">
        <f>IF(COUNTIFS(LubesData!$V:$V,$R64,LubesData!$U:$U,4,LubesData!$N:$N,"&lt;&gt;")=0,"",SUMIFS(LubesData!$N:$N,LubesData!$V:$V,$R64,LubesData!$U:$U,4))</f>
        <v/>
      </c>
      <c r="X64">
        <f>IF(COUNTIFS(LubesData!$V:$V,$R64,LubesData!$U:$U,5,LubesData!$N:$N,"&lt;&gt;")=0,"",SUMIFS(LubesData!$N:$N,LubesData!$V:$V,$R64,LubesData!$U:$U,5))</f>
        <v/>
      </c>
      <c r="Y64">
        <f>IF(COUNTIFS(LubesData!$V:$V,$R64,LubesData!$U:$U,6,LubesData!$N:$N,"&lt;&gt;")=0,"",SUMIFS(LubesData!$N:$N,LubesData!$V:$V,$R64,LubesData!$U:$U,6))</f>
        <v/>
      </c>
      <c r="Z64">
        <f>IF(COUNTIFS(LubesData!$V:$V,$R64,LubesData!$U:$U,7,LubesData!$N:$N,"&lt;&gt;")=0,"",SUMIFS(LubesData!$N:$N,LubesData!$V:$V,$R64,LubesData!$U:$U,7))</f>
        <v/>
      </c>
      <c r="AA64">
        <f>IF(COUNTIFS(LubesData!$V:$V,$R64,LubesData!$U:$U,8,LubesData!$N:$N,"&lt;&gt;")=0,"",SUMIFS(LubesData!$N:$N,LubesData!$V:$V,$R64,LubesData!$U:$U,8))</f>
        <v/>
      </c>
      <c r="AB64">
        <f>IF(COUNTIFS(LubesData!$V:$V,$R64,LubesData!$U:$U,9,LubesData!$N:$N,"&lt;&gt;")=0,"",SUMIFS(LubesData!$N:$N,LubesData!$V:$V,$R64,LubesData!$U:$U,9))</f>
        <v/>
      </c>
      <c r="AC64">
        <f>IF(COUNTIFS(LubesData!$V:$V,$R64,LubesData!$U:$U,10,LubesData!$N:$N,"&lt;&gt;")=0,"",SUMIFS(LubesData!$N:$N,LubesData!$V:$V,$R64,LubesData!$U:$U,10))</f>
        <v/>
      </c>
      <c r="AD64">
        <f>IF(COUNTIFS(LubesData!$V:$V,$R64,LubesData!$U:$U,11,LubesData!$N:$N,"&lt;&gt;")=0,"",SUMIFS(LubesData!$N:$N,LubesData!$V:$V,$R64,LubesData!$U:$U,11))</f>
        <v/>
      </c>
      <c r="AE64">
        <f>IF(COUNTIFS(LubesData!$V:$V,$R64,LubesData!$U:$U,12,LubesData!$N:$N,"&lt;&gt;")=0,"",SUMIFS(LubesData!$N:$N,LubesData!$V:$V,$R64,LubesData!$U:$U,12))</f>
        <v/>
      </c>
      <c r="AF64">
        <f>IF(COUNTIFS(LubesData!$V:$V,$R64,LubesData!$U:$U,13,LubesData!$N:$N,"&lt;&gt;")=0,"",SUMIFS(LubesData!$N:$N,LubesData!$V:$V,$R64,LubesData!$U:$U,13))</f>
        <v/>
      </c>
      <c r="AG64">
        <f>IF(COUNTIFS(LubesData!$V:$V,$R64,LubesData!$U:$U,14,LubesData!$N:$N,"&lt;&gt;")=0,"",SUMIFS(LubesData!$N:$N,LubesData!$V:$V,$R64,LubesData!$U:$U,14))</f>
        <v/>
      </c>
      <c r="AH64">
        <f>COUNTIFS(LubesData!$V:$V,$R64,LubesData!$U:$U,"&lt;="&amp;14,LubesData!$N:$N,"&lt;&gt;")</f>
        <v/>
      </c>
      <c r="AI64">
        <f>COUNTIFS(LubesData!$V:$V,$R64,LubesData!$U:$U,"&lt;="&amp;14,LubesData!$N:$N,0)</f>
        <v/>
      </c>
      <c r="AJ64">
        <f>IF(AH64=0,"",AH64-AI64)</f>
        <v/>
      </c>
      <c r="AK64">
        <f>IF(AH64=0,"",SUMIFS(LubesData!$N:$N,LubesData!$V:$V,$R64,LubesData!$U:$U,"&lt;="&amp;14))</f>
        <v/>
      </c>
      <c r="AL64">
        <f>IF(AH64=0,"",IF(ABS(MAX(T64:AG64))&gt;=ABS(MIN(T64:AG64)),MAX(T64:AG64),MIN(T64:AG64)))</f>
        <v/>
      </c>
      <c r="AM64">
        <f>IF(AH64=0,-1,AJ64*100000+MIN(ABS(AK64),99999))</f>
        <v/>
      </c>
      <c r="AN64">
        <f>IF($S64="","",1+COUNTIFS($AM$3:$AM$122,"&gt;"&amp;AM64)+COUNTIFS($AM$3:$AM$122,AM64,$R$3:$R$122,"&lt;"&amp;$R64))</f>
        <v/>
      </c>
    </row>
    <row r="65">
      <c r="R65" t="n">
        <v>63</v>
      </c>
      <c r="S65">
        <f>IFERROR(INDEX(LubesData!$G:$G,MATCH($R65,LubesData!$V:$V,0)),"")</f>
        <v/>
      </c>
      <c r="T65">
        <f>IF(COUNTIFS(LubesData!$V:$V,$R65,LubesData!$U:$U,1,LubesData!$N:$N,"&lt;&gt;")=0,"",SUMIFS(LubesData!$N:$N,LubesData!$V:$V,$R65,LubesData!$U:$U,1))</f>
        <v/>
      </c>
      <c r="U65">
        <f>IF(COUNTIFS(LubesData!$V:$V,$R65,LubesData!$U:$U,2,LubesData!$N:$N,"&lt;&gt;")=0,"",SUMIFS(LubesData!$N:$N,LubesData!$V:$V,$R65,LubesData!$U:$U,2))</f>
        <v/>
      </c>
      <c r="V65">
        <f>IF(COUNTIFS(LubesData!$V:$V,$R65,LubesData!$U:$U,3,LubesData!$N:$N,"&lt;&gt;")=0,"",SUMIFS(LubesData!$N:$N,LubesData!$V:$V,$R65,LubesData!$U:$U,3))</f>
        <v/>
      </c>
      <c r="W65">
        <f>IF(COUNTIFS(LubesData!$V:$V,$R65,LubesData!$U:$U,4,LubesData!$N:$N,"&lt;&gt;")=0,"",SUMIFS(LubesData!$N:$N,LubesData!$V:$V,$R65,LubesData!$U:$U,4))</f>
        <v/>
      </c>
      <c r="X65">
        <f>IF(COUNTIFS(LubesData!$V:$V,$R65,LubesData!$U:$U,5,LubesData!$N:$N,"&lt;&gt;")=0,"",SUMIFS(LubesData!$N:$N,LubesData!$V:$V,$R65,LubesData!$U:$U,5))</f>
        <v/>
      </c>
      <c r="Y65">
        <f>IF(COUNTIFS(LubesData!$V:$V,$R65,LubesData!$U:$U,6,LubesData!$N:$N,"&lt;&gt;")=0,"",SUMIFS(LubesData!$N:$N,LubesData!$V:$V,$R65,LubesData!$U:$U,6))</f>
        <v/>
      </c>
      <c r="Z65">
        <f>IF(COUNTIFS(LubesData!$V:$V,$R65,LubesData!$U:$U,7,LubesData!$N:$N,"&lt;&gt;")=0,"",SUMIFS(LubesData!$N:$N,LubesData!$V:$V,$R65,LubesData!$U:$U,7))</f>
        <v/>
      </c>
      <c r="AA65">
        <f>IF(COUNTIFS(LubesData!$V:$V,$R65,LubesData!$U:$U,8,LubesData!$N:$N,"&lt;&gt;")=0,"",SUMIFS(LubesData!$N:$N,LubesData!$V:$V,$R65,LubesData!$U:$U,8))</f>
        <v/>
      </c>
      <c r="AB65">
        <f>IF(COUNTIFS(LubesData!$V:$V,$R65,LubesData!$U:$U,9,LubesData!$N:$N,"&lt;&gt;")=0,"",SUMIFS(LubesData!$N:$N,LubesData!$V:$V,$R65,LubesData!$U:$U,9))</f>
        <v/>
      </c>
      <c r="AC65">
        <f>IF(COUNTIFS(LubesData!$V:$V,$R65,LubesData!$U:$U,10,LubesData!$N:$N,"&lt;&gt;")=0,"",SUMIFS(LubesData!$N:$N,LubesData!$V:$V,$R65,LubesData!$U:$U,10))</f>
        <v/>
      </c>
      <c r="AD65">
        <f>IF(COUNTIFS(LubesData!$V:$V,$R65,LubesData!$U:$U,11,LubesData!$N:$N,"&lt;&gt;")=0,"",SUMIFS(LubesData!$N:$N,LubesData!$V:$V,$R65,LubesData!$U:$U,11))</f>
        <v/>
      </c>
      <c r="AE65">
        <f>IF(COUNTIFS(LubesData!$V:$V,$R65,LubesData!$U:$U,12,LubesData!$N:$N,"&lt;&gt;")=0,"",SUMIFS(LubesData!$N:$N,LubesData!$V:$V,$R65,LubesData!$U:$U,12))</f>
        <v/>
      </c>
      <c r="AF65">
        <f>IF(COUNTIFS(LubesData!$V:$V,$R65,LubesData!$U:$U,13,LubesData!$N:$N,"&lt;&gt;")=0,"",SUMIFS(LubesData!$N:$N,LubesData!$V:$V,$R65,LubesData!$U:$U,13))</f>
        <v/>
      </c>
      <c r="AG65">
        <f>IF(COUNTIFS(LubesData!$V:$V,$R65,LubesData!$U:$U,14,LubesData!$N:$N,"&lt;&gt;")=0,"",SUMIFS(LubesData!$N:$N,LubesData!$V:$V,$R65,LubesData!$U:$U,14))</f>
        <v/>
      </c>
      <c r="AH65">
        <f>COUNTIFS(LubesData!$V:$V,$R65,LubesData!$U:$U,"&lt;="&amp;14,LubesData!$N:$N,"&lt;&gt;")</f>
        <v/>
      </c>
      <c r="AI65">
        <f>COUNTIFS(LubesData!$V:$V,$R65,LubesData!$U:$U,"&lt;="&amp;14,LubesData!$N:$N,0)</f>
        <v/>
      </c>
      <c r="AJ65">
        <f>IF(AH65=0,"",AH65-AI65)</f>
        <v/>
      </c>
      <c r="AK65">
        <f>IF(AH65=0,"",SUMIFS(LubesData!$N:$N,LubesData!$V:$V,$R65,LubesData!$U:$U,"&lt;="&amp;14))</f>
        <v/>
      </c>
      <c r="AL65">
        <f>IF(AH65=0,"",IF(ABS(MAX(T65:AG65))&gt;=ABS(MIN(T65:AG65)),MAX(T65:AG65),MIN(T65:AG65)))</f>
        <v/>
      </c>
      <c r="AM65">
        <f>IF(AH65=0,-1,AJ65*100000+MIN(ABS(AK65),99999))</f>
        <v/>
      </c>
      <c r="AN65">
        <f>IF($S65="","",1+COUNTIFS($AM$3:$AM$122,"&gt;"&amp;AM65)+COUNTIFS($AM$3:$AM$122,AM65,$R$3:$R$122,"&lt;"&amp;$R65))</f>
        <v/>
      </c>
    </row>
    <row r="66">
      <c r="R66" t="n">
        <v>64</v>
      </c>
      <c r="S66">
        <f>IFERROR(INDEX(LubesData!$G:$G,MATCH($R66,LubesData!$V:$V,0)),"")</f>
        <v/>
      </c>
      <c r="T66">
        <f>IF(COUNTIFS(LubesData!$V:$V,$R66,LubesData!$U:$U,1,LubesData!$N:$N,"&lt;&gt;")=0,"",SUMIFS(LubesData!$N:$N,LubesData!$V:$V,$R66,LubesData!$U:$U,1))</f>
        <v/>
      </c>
      <c r="U66">
        <f>IF(COUNTIFS(LubesData!$V:$V,$R66,LubesData!$U:$U,2,LubesData!$N:$N,"&lt;&gt;")=0,"",SUMIFS(LubesData!$N:$N,LubesData!$V:$V,$R66,LubesData!$U:$U,2))</f>
        <v/>
      </c>
      <c r="V66">
        <f>IF(COUNTIFS(LubesData!$V:$V,$R66,LubesData!$U:$U,3,LubesData!$N:$N,"&lt;&gt;")=0,"",SUMIFS(LubesData!$N:$N,LubesData!$V:$V,$R66,LubesData!$U:$U,3))</f>
        <v/>
      </c>
      <c r="W66">
        <f>IF(COUNTIFS(LubesData!$V:$V,$R66,LubesData!$U:$U,4,LubesData!$N:$N,"&lt;&gt;")=0,"",SUMIFS(LubesData!$N:$N,LubesData!$V:$V,$R66,LubesData!$U:$U,4))</f>
        <v/>
      </c>
      <c r="X66">
        <f>IF(COUNTIFS(LubesData!$V:$V,$R66,LubesData!$U:$U,5,LubesData!$N:$N,"&lt;&gt;")=0,"",SUMIFS(LubesData!$N:$N,LubesData!$V:$V,$R66,LubesData!$U:$U,5))</f>
        <v/>
      </c>
      <c r="Y66">
        <f>IF(COUNTIFS(LubesData!$V:$V,$R66,LubesData!$U:$U,6,LubesData!$N:$N,"&lt;&gt;")=0,"",SUMIFS(LubesData!$N:$N,LubesData!$V:$V,$R66,LubesData!$U:$U,6))</f>
        <v/>
      </c>
      <c r="Z66">
        <f>IF(COUNTIFS(LubesData!$V:$V,$R66,LubesData!$U:$U,7,LubesData!$N:$N,"&lt;&gt;")=0,"",SUMIFS(LubesData!$N:$N,LubesData!$V:$V,$R66,LubesData!$U:$U,7))</f>
        <v/>
      </c>
      <c r="AA66">
        <f>IF(COUNTIFS(LubesData!$V:$V,$R66,LubesData!$U:$U,8,LubesData!$N:$N,"&lt;&gt;")=0,"",SUMIFS(LubesData!$N:$N,LubesData!$V:$V,$R66,LubesData!$U:$U,8))</f>
        <v/>
      </c>
      <c r="AB66">
        <f>IF(COUNTIFS(LubesData!$V:$V,$R66,LubesData!$U:$U,9,LubesData!$N:$N,"&lt;&gt;")=0,"",SUMIFS(LubesData!$N:$N,LubesData!$V:$V,$R66,LubesData!$U:$U,9))</f>
        <v/>
      </c>
      <c r="AC66">
        <f>IF(COUNTIFS(LubesData!$V:$V,$R66,LubesData!$U:$U,10,LubesData!$N:$N,"&lt;&gt;")=0,"",SUMIFS(LubesData!$N:$N,LubesData!$V:$V,$R66,LubesData!$U:$U,10))</f>
        <v/>
      </c>
      <c r="AD66">
        <f>IF(COUNTIFS(LubesData!$V:$V,$R66,LubesData!$U:$U,11,LubesData!$N:$N,"&lt;&gt;")=0,"",SUMIFS(LubesData!$N:$N,LubesData!$V:$V,$R66,LubesData!$U:$U,11))</f>
        <v/>
      </c>
      <c r="AE66">
        <f>IF(COUNTIFS(LubesData!$V:$V,$R66,LubesData!$U:$U,12,LubesData!$N:$N,"&lt;&gt;")=0,"",SUMIFS(LubesData!$N:$N,LubesData!$V:$V,$R66,LubesData!$U:$U,12))</f>
        <v/>
      </c>
      <c r="AF66">
        <f>IF(COUNTIFS(LubesData!$V:$V,$R66,LubesData!$U:$U,13,LubesData!$N:$N,"&lt;&gt;")=0,"",SUMIFS(LubesData!$N:$N,LubesData!$V:$V,$R66,LubesData!$U:$U,13))</f>
        <v/>
      </c>
      <c r="AG66">
        <f>IF(COUNTIFS(LubesData!$V:$V,$R66,LubesData!$U:$U,14,LubesData!$N:$N,"&lt;&gt;")=0,"",SUMIFS(LubesData!$N:$N,LubesData!$V:$V,$R66,LubesData!$U:$U,14))</f>
        <v/>
      </c>
      <c r="AH66">
        <f>COUNTIFS(LubesData!$V:$V,$R66,LubesData!$U:$U,"&lt;="&amp;14,LubesData!$N:$N,"&lt;&gt;")</f>
        <v/>
      </c>
      <c r="AI66">
        <f>COUNTIFS(LubesData!$V:$V,$R66,LubesData!$U:$U,"&lt;="&amp;14,LubesData!$N:$N,0)</f>
        <v/>
      </c>
      <c r="AJ66">
        <f>IF(AH66=0,"",AH66-AI66)</f>
        <v/>
      </c>
      <c r="AK66">
        <f>IF(AH66=0,"",SUMIFS(LubesData!$N:$N,LubesData!$V:$V,$R66,LubesData!$U:$U,"&lt;="&amp;14))</f>
        <v/>
      </c>
      <c r="AL66">
        <f>IF(AH66=0,"",IF(ABS(MAX(T66:AG66))&gt;=ABS(MIN(T66:AG66)),MAX(T66:AG66),MIN(T66:AG66)))</f>
        <v/>
      </c>
      <c r="AM66">
        <f>IF(AH66=0,-1,AJ66*100000+MIN(ABS(AK66),99999))</f>
        <v/>
      </c>
      <c r="AN66">
        <f>IF($S66="","",1+COUNTIFS($AM$3:$AM$122,"&gt;"&amp;AM66)+COUNTIFS($AM$3:$AM$122,AM66,$R$3:$R$122,"&lt;"&amp;$R66))</f>
        <v/>
      </c>
    </row>
    <row r="67">
      <c r="R67" t="n">
        <v>65</v>
      </c>
      <c r="S67">
        <f>IFERROR(INDEX(LubesData!$G:$G,MATCH($R67,LubesData!$V:$V,0)),"")</f>
        <v/>
      </c>
      <c r="T67">
        <f>IF(COUNTIFS(LubesData!$V:$V,$R67,LubesData!$U:$U,1,LubesData!$N:$N,"&lt;&gt;")=0,"",SUMIFS(LubesData!$N:$N,LubesData!$V:$V,$R67,LubesData!$U:$U,1))</f>
        <v/>
      </c>
      <c r="U67">
        <f>IF(COUNTIFS(LubesData!$V:$V,$R67,LubesData!$U:$U,2,LubesData!$N:$N,"&lt;&gt;")=0,"",SUMIFS(LubesData!$N:$N,LubesData!$V:$V,$R67,LubesData!$U:$U,2))</f>
        <v/>
      </c>
      <c r="V67">
        <f>IF(COUNTIFS(LubesData!$V:$V,$R67,LubesData!$U:$U,3,LubesData!$N:$N,"&lt;&gt;")=0,"",SUMIFS(LubesData!$N:$N,LubesData!$V:$V,$R67,LubesData!$U:$U,3))</f>
        <v/>
      </c>
      <c r="W67">
        <f>IF(COUNTIFS(LubesData!$V:$V,$R67,LubesData!$U:$U,4,LubesData!$N:$N,"&lt;&gt;")=0,"",SUMIFS(LubesData!$N:$N,LubesData!$V:$V,$R67,LubesData!$U:$U,4))</f>
        <v/>
      </c>
      <c r="X67">
        <f>IF(COUNTIFS(LubesData!$V:$V,$R67,LubesData!$U:$U,5,LubesData!$N:$N,"&lt;&gt;")=0,"",SUMIFS(LubesData!$N:$N,LubesData!$V:$V,$R67,LubesData!$U:$U,5))</f>
        <v/>
      </c>
      <c r="Y67">
        <f>IF(COUNTIFS(LubesData!$V:$V,$R67,LubesData!$U:$U,6,LubesData!$N:$N,"&lt;&gt;")=0,"",SUMIFS(LubesData!$N:$N,LubesData!$V:$V,$R67,LubesData!$U:$U,6))</f>
        <v/>
      </c>
      <c r="Z67">
        <f>IF(COUNTIFS(LubesData!$V:$V,$R67,LubesData!$U:$U,7,LubesData!$N:$N,"&lt;&gt;")=0,"",SUMIFS(LubesData!$N:$N,LubesData!$V:$V,$R67,LubesData!$U:$U,7))</f>
        <v/>
      </c>
      <c r="AA67">
        <f>IF(COUNTIFS(LubesData!$V:$V,$R67,LubesData!$U:$U,8,LubesData!$N:$N,"&lt;&gt;")=0,"",SUMIFS(LubesData!$N:$N,LubesData!$V:$V,$R67,LubesData!$U:$U,8))</f>
        <v/>
      </c>
      <c r="AB67">
        <f>IF(COUNTIFS(LubesData!$V:$V,$R67,LubesData!$U:$U,9,LubesData!$N:$N,"&lt;&gt;")=0,"",SUMIFS(LubesData!$N:$N,LubesData!$V:$V,$R67,LubesData!$U:$U,9))</f>
        <v/>
      </c>
      <c r="AC67">
        <f>IF(COUNTIFS(LubesData!$V:$V,$R67,LubesData!$U:$U,10,LubesData!$N:$N,"&lt;&gt;")=0,"",SUMIFS(LubesData!$N:$N,LubesData!$V:$V,$R67,LubesData!$U:$U,10))</f>
        <v/>
      </c>
      <c r="AD67">
        <f>IF(COUNTIFS(LubesData!$V:$V,$R67,LubesData!$U:$U,11,LubesData!$N:$N,"&lt;&gt;")=0,"",SUMIFS(LubesData!$N:$N,LubesData!$V:$V,$R67,LubesData!$U:$U,11))</f>
        <v/>
      </c>
      <c r="AE67">
        <f>IF(COUNTIFS(LubesData!$V:$V,$R67,LubesData!$U:$U,12,LubesData!$N:$N,"&lt;&gt;")=0,"",SUMIFS(LubesData!$N:$N,LubesData!$V:$V,$R67,LubesData!$U:$U,12))</f>
        <v/>
      </c>
      <c r="AF67">
        <f>IF(COUNTIFS(LubesData!$V:$V,$R67,LubesData!$U:$U,13,LubesData!$N:$N,"&lt;&gt;")=0,"",SUMIFS(LubesData!$N:$N,LubesData!$V:$V,$R67,LubesData!$U:$U,13))</f>
        <v/>
      </c>
      <c r="AG67">
        <f>IF(COUNTIFS(LubesData!$V:$V,$R67,LubesData!$U:$U,14,LubesData!$N:$N,"&lt;&gt;")=0,"",SUMIFS(LubesData!$N:$N,LubesData!$V:$V,$R67,LubesData!$U:$U,14))</f>
        <v/>
      </c>
      <c r="AH67">
        <f>COUNTIFS(LubesData!$V:$V,$R67,LubesData!$U:$U,"&lt;="&amp;14,LubesData!$N:$N,"&lt;&gt;")</f>
        <v/>
      </c>
      <c r="AI67">
        <f>COUNTIFS(LubesData!$V:$V,$R67,LubesData!$U:$U,"&lt;="&amp;14,LubesData!$N:$N,0)</f>
        <v/>
      </c>
      <c r="AJ67">
        <f>IF(AH67=0,"",AH67-AI67)</f>
        <v/>
      </c>
      <c r="AK67">
        <f>IF(AH67=0,"",SUMIFS(LubesData!$N:$N,LubesData!$V:$V,$R67,LubesData!$U:$U,"&lt;="&amp;14))</f>
        <v/>
      </c>
      <c r="AL67">
        <f>IF(AH67=0,"",IF(ABS(MAX(T67:AG67))&gt;=ABS(MIN(T67:AG67)),MAX(T67:AG67),MIN(T67:AG67)))</f>
        <v/>
      </c>
      <c r="AM67">
        <f>IF(AH67=0,-1,AJ67*100000+MIN(ABS(AK67),99999))</f>
        <v/>
      </c>
      <c r="AN67">
        <f>IF($S67="","",1+COUNTIFS($AM$3:$AM$122,"&gt;"&amp;AM67)+COUNTIFS($AM$3:$AM$122,AM67,$R$3:$R$122,"&lt;"&amp;$R67))</f>
        <v/>
      </c>
    </row>
    <row r="68">
      <c r="R68" t="n">
        <v>66</v>
      </c>
      <c r="S68">
        <f>IFERROR(INDEX(LubesData!$G:$G,MATCH($R68,LubesData!$V:$V,0)),"")</f>
        <v/>
      </c>
      <c r="T68">
        <f>IF(COUNTIFS(LubesData!$V:$V,$R68,LubesData!$U:$U,1,LubesData!$N:$N,"&lt;&gt;")=0,"",SUMIFS(LubesData!$N:$N,LubesData!$V:$V,$R68,LubesData!$U:$U,1))</f>
        <v/>
      </c>
      <c r="U68">
        <f>IF(COUNTIFS(LubesData!$V:$V,$R68,LubesData!$U:$U,2,LubesData!$N:$N,"&lt;&gt;")=0,"",SUMIFS(LubesData!$N:$N,LubesData!$V:$V,$R68,LubesData!$U:$U,2))</f>
        <v/>
      </c>
      <c r="V68">
        <f>IF(COUNTIFS(LubesData!$V:$V,$R68,LubesData!$U:$U,3,LubesData!$N:$N,"&lt;&gt;")=0,"",SUMIFS(LubesData!$N:$N,LubesData!$V:$V,$R68,LubesData!$U:$U,3))</f>
        <v/>
      </c>
      <c r="W68">
        <f>IF(COUNTIFS(LubesData!$V:$V,$R68,LubesData!$U:$U,4,LubesData!$N:$N,"&lt;&gt;")=0,"",SUMIFS(LubesData!$N:$N,LubesData!$V:$V,$R68,LubesData!$U:$U,4))</f>
        <v/>
      </c>
      <c r="X68">
        <f>IF(COUNTIFS(LubesData!$V:$V,$R68,LubesData!$U:$U,5,LubesData!$N:$N,"&lt;&gt;")=0,"",SUMIFS(LubesData!$N:$N,LubesData!$V:$V,$R68,LubesData!$U:$U,5))</f>
        <v/>
      </c>
      <c r="Y68">
        <f>IF(COUNTIFS(LubesData!$V:$V,$R68,LubesData!$U:$U,6,LubesData!$N:$N,"&lt;&gt;")=0,"",SUMIFS(LubesData!$N:$N,LubesData!$V:$V,$R68,LubesData!$U:$U,6))</f>
        <v/>
      </c>
      <c r="Z68">
        <f>IF(COUNTIFS(LubesData!$V:$V,$R68,LubesData!$U:$U,7,LubesData!$N:$N,"&lt;&gt;")=0,"",SUMIFS(LubesData!$N:$N,LubesData!$V:$V,$R68,LubesData!$U:$U,7))</f>
        <v/>
      </c>
      <c r="AA68">
        <f>IF(COUNTIFS(LubesData!$V:$V,$R68,LubesData!$U:$U,8,LubesData!$N:$N,"&lt;&gt;")=0,"",SUMIFS(LubesData!$N:$N,LubesData!$V:$V,$R68,LubesData!$U:$U,8))</f>
        <v/>
      </c>
      <c r="AB68">
        <f>IF(COUNTIFS(LubesData!$V:$V,$R68,LubesData!$U:$U,9,LubesData!$N:$N,"&lt;&gt;")=0,"",SUMIFS(LubesData!$N:$N,LubesData!$V:$V,$R68,LubesData!$U:$U,9))</f>
        <v/>
      </c>
      <c r="AC68">
        <f>IF(COUNTIFS(LubesData!$V:$V,$R68,LubesData!$U:$U,10,LubesData!$N:$N,"&lt;&gt;")=0,"",SUMIFS(LubesData!$N:$N,LubesData!$V:$V,$R68,LubesData!$U:$U,10))</f>
        <v/>
      </c>
      <c r="AD68">
        <f>IF(COUNTIFS(LubesData!$V:$V,$R68,LubesData!$U:$U,11,LubesData!$N:$N,"&lt;&gt;")=0,"",SUMIFS(LubesData!$N:$N,LubesData!$V:$V,$R68,LubesData!$U:$U,11))</f>
        <v/>
      </c>
      <c r="AE68">
        <f>IF(COUNTIFS(LubesData!$V:$V,$R68,LubesData!$U:$U,12,LubesData!$N:$N,"&lt;&gt;")=0,"",SUMIFS(LubesData!$N:$N,LubesData!$V:$V,$R68,LubesData!$U:$U,12))</f>
        <v/>
      </c>
      <c r="AF68">
        <f>IF(COUNTIFS(LubesData!$V:$V,$R68,LubesData!$U:$U,13,LubesData!$N:$N,"&lt;&gt;")=0,"",SUMIFS(LubesData!$N:$N,LubesData!$V:$V,$R68,LubesData!$U:$U,13))</f>
        <v/>
      </c>
      <c r="AG68">
        <f>IF(COUNTIFS(LubesData!$V:$V,$R68,LubesData!$U:$U,14,LubesData!$N:$N,"&lt;&gt;")=0,"",SUMIFS(LubesData!$N:$N,LubesData!$V:$V,$R68,LubesData!$U:$U,14))</f>
        <v/>
      </c>
      <c r="AH68">
        <f>COUNTIFS(LubesData!$V:$V,$R68,LubesData!$U:$U,"&lt;="&amp;14,LubesData!$N:$N,"&lt;&gt;")</f>
        <v/>
      </c>
      <c r="AI68">
        <f>COUNTIFS(LubesData!$V:$V,$R68,LubesData!$U:$U,"&lt;="&amp;14,LubesData!$N:$N,0)</f>
        <v/>
      </c>
      <c r="AJ68">
        <f>IF(AH68=0,"",AH68-AI68)</f>
        <v/>
      </c>
      <c r="AK68">
        <f>IF(AH68=0,"",SUMIFS(LubesData!$N:$N,LubesData!$V:$V,$R68,LubesData!$U:$U,"&lt;="&amp;14))</f>
        <v/>
      </c>
      <c r="AL68">
        <f>IF(AH68=0,"",IF(ABS(MAX(T68:AG68))&gt;=ABS(MIN(T68:AG68)),MAX(T68:AG68),MIN(T68:AG68)))</f>
        <v/>
      </c>
      <c r="AM68">
        <f>IF(AH68=0,-1,AJ68*100000+MIN(ABS(AK68),99999))</f>
        <v/>
      </c>
      <c r="AN68">
        <f>IF($S68="","",1+COUNTIFS($AM$3:$AM$122,"&gt;"&amp;AM68)+COUNTIFS($AM$3:$AM$122,AM68,$R$3:$R$122,"&lt;"&amp;$R68))</f>
        <v/>
      </c>
    </row>
    <row r="69">
      <c r="R69" t="n">
        <v>67</v>
      </c>
      <c r="S69">
        <f>IFERROR(INDEX(LubesData!$G:$G,MATCH($R69,LubesData!$V:$V,0)),"")</f>
        <v/>
      </c>
      <c r="T69">
        <f>IF(COUNTIFS(LubesData!$V:$V,$R69,LubesData!$U:$U,1,LubesData!$N:$N,"&lt;&gt;")=0,"",SUMIFS(LubesData!$N:$N,LubesData!$V:$V,$R69,LubesData!$U:$U,1))</f>
        <v/>
      </c>
      <c r="U69">
        <f>IF(COUNTIFS(LubesData!$V:$V,$R69,LubesData!$U:$U,2,LubesData!$N:$N,"&lt;&gt;")=0,"",SUMIFS(LubesData!$N:$N,LubesData!$V:$V,$R69,LubesData!$U:$U,2))</f>
        <v/>
      </c>
      <c r="V69">
        <f>IF(COUNTIFS(LubesData!$V:$V,$R69,LubesData!$U:$U,3,LubesData!$N:$N,"&lt;&gt;")=0,"",SUMIFS(LubesData!$N:$N,LubesData!$V:$V,$R69,LubesData!$U:$U,3))</f>
        <v/>
      </c>
      <c r="W69">
        <f>IF(COUNTIFS(LubesData!$V:$V,$R69,LubesData!$U:$U,4,LubesData!$N:$N,"&lt;&gt;")=0,"",SUMIFS(LubesData!$N:$N,LubesData!$V:$V,$R69,LubesData!$U:$U,4))</f>
        <v/>
      </c>
      <c r="X69">
        <f>IF(COUNTIFS(LubesData!$V:$V,$R69,LubesData!$U:$U,5,LubesData!$N:$N,"&lt;&gt;")=0,"",SUMIFS(LubesData!$N:$N,LubesData!$V:$V,$R69,LubesData!$U:$U,5))</f>
        <v/>
      </c>
      <c r="Y69">
        <f>IF(COUNTIFS(LubesData!$V:$V,$R69,LubesData!$U:$U,6,LubesData!$N:$N,"&lt;&gt;")=0,"",SUMIFS(LubesData!$N:$N,LubesData!$V:$V,$R69,LubesData!$U:$U,6))</f>
        <v/>
      </c>
      <c r="Z69">
        <f>IF(COUNTIFS(LubesData!$V:$V,$R69,LubesData!$U:$U,7,LubesData!$N:$N,"&lt;&gt;")=0,"",SUMIFS(LubesData!$N:$N,LubesData!$V:$V,$R69,LubesData!$U:$U,7))</f>
        <v/>
      </c>
      <c r="AA69">
        <f>IF(COUNTIFS(LubesData!$V:$V,$R69,LubesData!$U:$U,8,LubesData!$N:$N,"&lt;&gt;")=0,"",SUMIFS(LubesData!$N:$N,LubesData!$V:$V,$R69,LubesData!$U:$U,8))</f>
        <v/>
      </c>
      <c r="AB69">
        <f>IF(COUNTIFS(LubesData!$V:$V,$R69,LubesData!$U:$U,9,LubesData!$N:$N,"&lt;&gt;")=0,"",SUMIFS(LubesData!$N:$N,LubesData!$V:$V,$R69,LubesData!$U:$U,9))</f>
        <v/>
      </c>
      <c r="AC69">
        <f>IF(COUNTIFS(LubesData!$V:$V,$R69,LubesData!$U:$U,10,LubesData!$N:$N,"&lt;&gt;")=0,"",SUMIFS(LubesData!$N:$N,LubesData!$V:$V,$R69,LubesData!$U:$U,10))</f>
        <v/>
      </c>
      <c r="AD69">
        <f>IF(COUNTIFS(LubesData!$V:$V,$R69,LubesData!$U:$U,11,LubesData!$N:$N,"&lt;&gt;")=0,"",SUMIFS(LubesData!$N:$N,LubesData!$V:$V,$R69,LubesData!$U:$U,11))</f>
        <v/>
      </c>
      <c r="AE69">
        <f>IF(COUNTIFS(LubesData!$V:$V,$R69,LubesData!$U:$U,12,LubesData!$N:$N,"&lt;&gt;")=0,"",SUMIFS(LubesData!$N:$N,LubesData!$V:$V,$R69,LubesData!$U:$U,12))</f>
        <v/>
      </c>
      <c r="AF69">
        <f>IF(COUNTIFS(LubesData!$V:$V,$R69,LubesData!$U:$U,13,LubesData!$N:$N,"&lt;&gt;")=0,"",SUMIFS(LubesData!$N:$N,LubesData!$V:$V,$R69,LubesData!$U:$U,13))</f>
        <v/>
      </c>
      <c r="AG69">
        <f>IF(COUNTIFS(LubesData!$V:$V,$R69,LubesData!$U:$U,14,LubesData!$N:$N,"&lt;&gt;")=0,"",SUMIFS(LubesData!$N:$N,LubesData!$V:$V,$R69,LubesData!$U:$U,14))</f>
        <v/>
      </c>
      <c r="AH69">
        <f>COUNTIFS(LubesData!$V:$V,$R69,LubesData!$U:$U,"&lt;="&amp;14,LubesData!$N:$N,"&lt;&gt;")</f>
        <v/>
      </c>
      <c r="AI69">
        <f>COUNTIFS(LubesData!$V:$V,$R69,LubesData!$U:$U,"&lt;="&amp;14,LubesData!$N:$N,0)</f>
        <v/>
      </c>
      <c r="AJ69">
        <f>IF(AH69=0,"",AH69-AI69)</f>
        <v/>
      </c>
      <c r="AK69">
        <f>IF(AH69=0,"",SUMIFS(LubesData!$N:$N,LubesData!$V:$V,$R69,LubesData!$U:$U,"&lt;="&amp;14))</f>
        <v/>
      </c>
      <c r="AL69">
        <f>IF(AH69=0,"",IF(ABS(MAX(T69:AG69))&gt;=ABS(MIN(T69:AG69)),MAX(T69:AG69),MIN(T69:AG69)))</f>
        <v/>
      </c>
      <c r="AM69">
        <f>IF(AH69=0,-1,AJ69*100000+MIN(ABS(AK69),99999))</f>
        <v/>
      </c>
      <c r="AN69">
        <f>IF($S69="","",1+COUNTIFS($AM$3:$AM$122,"&gt;"&amp;AM69)+COUNTIFS($AM$3:$AM$122,AM69,$R$3:$R$122,"&lt;"&amp;$R69))</f>
        <v/>
      </c>
    </row>
    <row r="70">
      <c r="R70" t="n">
        <v>68</v>
      </c>
      <c r="S70">
        <f>IFERROR(INDEX(LubesData!$G:$G,MATCH($R70,LubesData!$V:$V,0)),"")</f>
        <v/>
      </c>
      <c r="T70">
        <f>IF(COUNTIFS(LubesData!$V:$V,$R70,LubesData!$U:$U,1,LubesData!$N:$N,"&lt;&gt;")=0,"",SUMIFS(LubesData!$N:$N,LubesData!$V:$V,$R70,LubesData!$U:$U,1))</f>
        <v/>
      </c>
      <c r="U70">
        <f>IF(COUNTIFS(LubesData!$V:$V,$R70,LubesData!$U:$U,2,LubesData!$N:$N,"&lt;&gt;")=0,"",SUMIFS(LubesData!$N:$N,LubesData!$V:$V,$R70,LubesData!$U:$U,2))</f>
        <v/>
      </c>
      <c r="V70">
        <f>IF(COUNTIFS(LubesData!$V:$V,$R70,LubesData!$U:$U,3,LubesData!$N:$N,"&lt;&gt;")=0,"",SUMIFS(LubesData!$N:$N,LubesData!$V:$V,$R70,LubesData!$U:$U,3))</f>
        <v/>
      </c>
      <c r="W70">
        <f>IF(COUNTIFS(LubesData!$V:$V,$R70,LubesData!$U:$U,4,LubesData!$N:$N,"&lt;&gt;")=0,"",SUMIFS(LubesData!$N:$N,LubesData!$V:$V,$R70,LubesData!$U:$U,4))</f>
        <v/>
      </c>
      <c r="X70">
        <f>IF(COUNTIFS(LubesData!$V:$V,$R70,LubesData!$U:$U,5,LubesData!$N:$N,"&lt;&gt;")=0,"",SUMIFS(LubesData!$N:$N,LubesData!$V:$V,$R70,LubesData!$U:$U,5))</f>
        <v/>
      </c>
      <c r="Y70">
        <f>IF(COUNTIFS(LubesData!$V:$V,$R70,LubesData!$U:$U,6,LubesData!$N:$N,"&lt;&gt;")=0,"",SUMIFS(LubesData!$N:$N,LubesData!$V:$V,$R70,LubesData!$U:$U,6))</f>
        <v/>
      </c>
      <c r="Z70">
        <f>IF(COUNTIFS(LubesData!$V:$V,$R70,LubesData!$U:$U,7,LubesData!$N:$N,"&lt;&gt;")=0,"",SUMIFS(LubesData!$N:$N,LubesData!$V:$V,$R70,LubesData!$U:$U,7))</f>
        <v/>
      </c>
      <c r="AA70">
        <f>IF(COUNTIFS(LubesData!$V:$V,$R70,LubesData!$U:$U,8,LubesData!$N:$N,"&lt;&gt;")=0,"",SUMIFS(LubesData!$N:$N,LubesData!$V:$V,$R70,LubesData!$U:$U,8))</f>
        <v/>
      </c>
      <c r="AB70">
        <f>IF(COUNTIFS(LubesData!$V:$V,$R70,LubesData!$U:$U,9,LubesData!$N:$N,"&lt;&gt;")=0,"",SUMIFS(LubesData!$N:$N,LubesData!$V:$V,$R70,LubesData!$U:$U,9))</f>
        <v/>
      </c>
      <c r="AC70">
        <f>IF(COUNTIFS(LubesData!$V:$V,$R70,LubesData!$U:$U,10,LubesData!$N:$N,"&lt;&gt;")=0,"",SUMIFS(LubesData!$N:$N,LubesData!$V:$V,$R70,LubesData!$U:$U,10))</f>
        <v/>
      </c>
      <c r="AD70">
        <f>IF(COUNTIFS(LubesData!$V:$V,$R70,LubesData!$U:$U,11,LubesData!$N:$N,"&lt;&gt;")=0,"",SUMIFS(LubesData!$N:$N,LubesData!$V:$V,$R70,LubesData!$U:$U,11))</f>
        <v/>
      </c>
      <c r="AE70">
        <f>IF(COUNTIFS(LubesData!$V:$V,$R70,LubesData!$U:$U,12,LubesData!$N:$N,"&lt;&gt;")=0,"",SUMIFS(LubesData!$N:$N,LubesData!$V:$V,$R70,LubesData!$U:$U,12))</f>
        <v/>
      </c>
      <c r="AF70">
        <f>IF(COUNTIFS(LubesData!$V:$V,$R70,LubesData!$U:$U,13,LubesData!$N:$N,"&lt;&gt;")=0,"",SUMIFS(LubesData!$N:$N,LubesData!$V:$V,$R70,LubesData!$U:$U,13))</f>
        <v/>
      </c>
      <c r="AG70">
        <f>IF(COUNTIFS(LubesData!$V:$V,$R70,LubesData!$U:$U,14,LubesData!$N:$N,"&lt;&gt;")=0,"",SUMIFS(LubesData!$N:$N,LubesData!$V:$V,$R70,LubesData!$U:$U,14))</f>
        <v/>
      </c>
      <c r="AH70">
        <f>COUNTIFS(LubesData!$V:$V,$R70,LubesData!$U:$U,"&lt;="&amp;14,LubesData!$N:$N,"&lt;&gt;")</f>
        <v/>
      </c>
      <c r="AI70">
        <f>COUNTIFS(LubesData!$V:$V,$R70,LubesData!$U:$U,"&lt;="&amp;14,LubesData!$N:$N,0)</f>
        <v/>
      </c>
      <c r="AJ70">
        <f>IF(AH70=0,"",AH70-AI70)</f>
        <v/>
      </c>
      <c r="AK70">
        <f>IF(AH70=0,"",SUMIFS(LubesData!$N:$N,LubesData!$V:$V,$R70,LubesData!$U:$U,"&lt;="&amp;14))</f>
        <v/>
      </c>
      <c r="AL70">
        <f>IF(AH70=0,"",IF(ABS(MAX(T70:AG70))&gt;=ABS(MIN(T70:AG70)),MAX(T70:AG70),MIN(T70:AG70)))</f>
        <v/>
      </c>
      <c r="AM70">
        <f>IF(AH70=0,-1,AJ70*100000+MIN(ABS(AK70),99999))</f>
        <v/>
      </c>
      <c r="AN70">
        <f>IF($S70="","",1+COUNTIFS($AM$3:$AM$122,"&gt;"&amp;AM70)+COUNTIFS($AM$3:$AM$122,AM70,$R$3:$R$122,"&lt;"&amp;$R70))</f>
        <v/>
      </c>
    </row>
    <row r="71">
      <c r="R71" t="n">
        <v>69</v>
      </c>
      <c r="S71">
        <f>IFERROR(INDEX(LubesData!$G:$G,MATCH($R71,LubesData!$V:$V,0)),"")</f>
        <v/>
      </c>
      <c r="T71">
        <f>IF(COUNTIFS(LubesData!$V:$V,$R71,LubesData!$U:$U,1,LubesData!$N:$N,"&lt;&gt;")=0,"",SUMIFS(LubesData!$N:$N,LubesData!$V:$V,$R71,LubesData!$U:$U,1))</f>
        <v/>
      </c>
      <c r="U71">
        <f>IF(COUNTIFS(LubesData!$V:$V,$R71,LubesData!$U:$U,2,LubesData!$N:$N,"&lt;&gt;")=0,"",SUMIFS(LubesData!$N:$N,LubesData!$V:$V,$R71,LubesData!$U:$U,2))</f>
        <v/>
      </c>
      <c r="V71">
        <f>IF(COUNTIFS(LubesData!$V:$V,$R71,LubesData!$U:$U,3,LubesData!$N:$N,"&lt;&gt;")=0,"",SUMIFS(LubesData!$N:$N,LubesData!$V:$V,$R71,LubesData!$U:$U,3))</f>
        <v/>
      </c>
      <c r="W71">
        <f>IF(COUNTIFS(LubesData!$V:$V,$R71,LubesData!$U:$U,4,LubesData!$N:$N,"&lt;&gt;")=0,"",SUMIFS(LubesData!$N:$N,LubesData!$V:$V,$R71,LubesData!$U:$U,4))</f>
        <v/>
      </c>
      <c r="X71">
        <f>IF(COUNTIFS(LubesData!$V:$V,$R71,LubesData!$U:$U,5,LubesData!$N:$N,"&lt;&gt;")=0,"",SUMIFS(LubesData!$N:$N,LubesData!$V:$V,$R71,LubesData!$U:$U,5))</f>
        <v/>
      </c>
      <c r="Y71">
        <f>IF(COUNTIFS(LubesData!$V:$V,$R71,LubesData!$U:$U,6,LubesData!$N:$N,"&lt;&gt;")=0,"",SUMIFS(LubesData!$N:$N,LubesData!$V:$V,$R71,LubesData!$U:$U,6))</f>
        <v/>
      </c>
      <c r="Z71">
        <f>IF(COUNTIFS(LubesData!$V:$V,$R71,LubesData!$U:$U,7,LubesData!$N:$N,"&lt;&gt;")=0,"",SUMIFS(LubesData!$N:$N,LubesData!$V:$V,$R71,LubesData!$U:$U,7))</f>
        <v/>
      </c>
      <c r="AA71">
        <f>IF(COUNTIFS(LubesData!$V:$V,$R71,LubesData!$U:$U,8,LubesData!$N:$N,"&lt;&gt;")=0,"",SUMIFS(LubesData!$N:$N,LubesData!$V:$V,$R71,LubesData!$U:$U,8))</f>
        <v/>
      </c>
      <c r="AB71">
        <f>IF(COUNTIFS(LubesData!$V:$V,$R71,LubesData!$U:$U,9,LubesData!$N:$N,"&lt;&gt;")=0,"",SUMIFS(LubesData!$N:$N,LubesData!$V:$V,$R71,LubesData!$U:$U,9))</f>
        <v/>
      </c>
      <c r="AC71">
        <f>IF(COUNTIFS(LubesData!$V:$V,$R71,LubesData!$U:$U,10,LubesData!$N:$N,"&lt;&gt;")=0,"",SUMIFS(LubesData!$N:$N,LubesData!$V:$V,$R71,LubesData!$U:$U,10))</f>
        <v/>
      </c>
      <c r="AD71">
        <f>IF(COUNTIFS(LubesData!$V:$V,$R71,LubesData!$U:$U,11,LubesData!$N:$N,"&lt;&gt;")=0,"",SUMIFS(LubesData!$N:$N,LubesData!$V:$V,$R71,LubesData!$U:$U,11))</f>
        <v/>
      </c>
      <c r="AE71">
        <f>IF(COUNTIFS(LubesData!$V:$V,$R71,LubesData!$U:$U,12,LubesData!$N:$N,"&lt;&gt;")=0,"",SUMIFS(LubesData!$N:$N,LubesData!$V:$V,$R71,LubesData!$U:$U,12))</f>
        <v/>
      </c>
      <c r="AF71">
        <f>IF(COUNTIFS(LubesData!$V:$V,$R71,LubesData!$U:$U,13,LubesData!$N:$N,"&lt;&gt;")=0,"",SUMIFS(LubesData!$N:$N,LubesData!$V:$V,$R71,LubesData!$U:$U,13))</f>
        <v/>
      </c>
      <c r="AG71">
        <f>IF(COUNTIFS(LubesData!$V:$V,$R71,LubesData!$U:$U,14,LubesData!$N:$N,"&lt;&gt;")=0,"",SUMIFS(LubesData!$N:$N,LubesData!$V:$V,$R71,LubesData!$U:$U,14))</f>
        <v/>
      </c>
      <c r="AH71">
        <f>COUNTIFS(LubesData!$V:$V,$R71,LubesData!$U:$U,"&lt;="&amp;14,LubesData!$N:$N,"&lt;&gt;")</f>
        <v/>
      </c>
      <c r="AI71">
        <f>COUNTIFS(LubesData!$V:$V,$R71,LubesData!$U:$U,"&lt;="&amp;14,LubesData!$N:$N,0)</f>
        <v/>
      </c>
      <c r="AJ71">
        <f>IF(AH71=0,"",AH71-AI71)</f>
        <v/>
      </c>
      <c r="AK71">
        <f>IF(AH71=0,"",SUMIFS(LubesData!$N:$N,LubesData!$V:$V,$R71,LubesData!$U:$U,"&lt;="&amp;14))</f>
        <v/>
      </c>
      <c r="AL71">
        <f>IF(AH71=0,"",IF(ABS(MAX(T71:AG71))&gt;=ABS(MIN(T71:AG71)),MAX(T71:AG71),MIN(T71:AG71)))</f>
        <v/>
      </c>
      <c r="AM71">
        <f>IF(AH71=0,-1,AJ71*100000+MIN(ABS(AK71),99999))</f>
        <v/>
      </c>
      <c r="AN71">
        <f>IF($S71="","",1+COUNTIFS($AM$3:$AM$122,"&gt;"&amp;AM71)+COUNTIFS($AM$3:$AM$122,AM71,$R$3:$R$122,"&lt;"&amp;$R71))</f>
        <v/>
      </c>
    </row>
    <row r="72">
      <c r="R72" t="n">
        <v>70</v>
      </c>
      <c r="S72">
        <f>IFERROR(INDEX(LubesData!$G:$G,MATCH($R72,LubesData!$V:$V,0)),"")</f>
        <v/>
      </c>
      <c r="T72">
        <f>IF(COUNTIFS(LubesData!$V:$V,$R72,LubesData!$U:$U,1,LubesData!$N:$N,"&lt;&gt;")=0,"",SUMIFS(LubesData!$N:$N,LubesData!$V:$V,$R72,LubesData!$U:$U,1))</f>
        <v/>
      </c>
      <c r="U72">
        <f>IF(COUNTIFS(LubesData!$V:$V,$R72,LubesData!$U:$U,2,LubesData!$N:$N,"&lt;&gt;")=0,"",SUMIFS(LubesData!$N:$N,LubesData!$V:$V,$R72,LubesData!$U:$U,2))</f>
        <v/>
      </c>
      <c r="V72">
        <f>IF(COUNTIFS(LubesData!$V:$V,$R72,LubesData!$U:$U,3,LubesData!$N:$N,"&lt;&gt;")=0,"",SUMIFS(LubesData!$N:$N,LubesData!$V:$V,$R72,LubesData!$U:$U,3))</f>
        <v/>
      </c>
      <c r="W72">
        <f>IF(COUNTIFS(LubesData!$V:$V,$R72,LubesData!$U:$U,4,LubesData!$N:$N,"&lt;&gt;")=0,"",SUMIFS(LubesData!$N:$N,LubesData!$V:$V,$R72,LubesData!$U:$U,4))</f>
        <v/>
      </c>
      <c r="X72">
        <f>IF(COUNTIFS(LubesData!$V:$V,$R72,LubesData!$U:$U,5,LubesData!$N:$N,"&lt;&gt;")=0,"",SUMIFS(LubesData!$N:$N,LubesData!$V:$V,$R72,LubesData!$U:$U,5))</f>
        <v/>
      </c>
      <c r="Y72">
        <f>IF(COUNTIFS(LubesData!$V:$V,$R72,LubesData!$U:$U,6,LubesData!$N:$N,"&lt;&gt;")=0,"",SUMIFS(LubesData!$N:$N,LubesData!$V:$V,$R72,LubesData!$U:$U,6))</f>
        <v/>
      </c>
      <c r="Z72">
        <f>IF(COUNTIFS(LubesData!$V:$V,$R72,LubesData!$U:$U,7,LubesData!$N:$N,"&lt;&gt;")=0,"",SUMIFS(LubesData!$N:$N,LubesData!$V:$V,$R72,LubesData!$U:$U,7))</f>
        <v/>
      </c>
      <c r="AA72">
        <f>IF(COUNTIFS(LubesData!$V:$V,$R72,LubesData!$U:$U,8,LubesData!$N:$N,"&lt;&gt;")=0,"",SUMIFS(LubesData!$N:$N,LubesData!$V:$V,$R72,LubesData!$U:$U,8))</f>
        <v/>
      </c>
      <c r="AB72">
        <f>IF(COUNTIFS(LubesData!$V:$V,$R72,LubesData!$U:$U,9,LubesData!$N:$N,"&lt;&gt;")=0,"",SUMIFS(LubesData!$N:$N,LubesData!$V:$V,$R72,LubesData!$U:$U,9))</f>
        <v/>
      </c>
      <c r="AC72">
        <f>IF(COUNTIFS(LubesData!$V:$V,$R72,LubesData!$U:$U,10,LubesData!$N:$N,"&lt;&gt;")=0,"",SUMIFS(LubesData!$N:$N,LubesData!$V:$V,$R72,LubesData!$U:$U,10))</f>
        <v/>
      </c>
      <c r="AD72">
        <f>IF(COUNTIFS(LubesData!$V:$V,$R72,LubesData!$U:$U,11,LubesData!$N:$N,"&lt;&gt;")=0,"",SUMIFS(LubesData!$N:$N,LubesData!$V:$V,$R72,LubesData!$U:$U,11))</f>
        <v/>
      </c>
      <c r="AE72">
        <f>IF(COUNTIFS(LubesData!$V:$V,$R72,LubesData!$U:$U,12,LubesData!$N:$N,"&lt;&gt;")=0,"",SUMIFS(LubesData!$N:$N,LubesData!$V:$V,$R72,LubesData!$U:$U,12))</f>
        <v/>
      </c>
      <c r="AF72">
        <f>IF(COUNTIFS(LubesData!$V:$V,$R72,LubesData!$U:$U,13,LubesData!$N:$N,"&lt;&gt;")=0,"",SUMIFS(LubesData!$N:$N,LubesData!$V:$V,$R72,LubesData!$U:$U,13))</f>
        <v/>
      </c>
      <c r="AG72">
        <f>IF(COUNTIFS(LubesData!$V:$V,$R72,LubesData!$U:$U,14,LubesData!$N:$N,"&lt;&gt;")=0,"",SUMIFS(LubesData!$N:$N,LubesData!$V:$V,$R72,LubesData!$U:$U,14))</f>
        <v/>
      </c>
      <c r="AH72">
        <f>COUNTIFS(LubesData!$V:$V,$R72,LubesData!$U:$U,"&lt;="&amp;14,LubesData!$N:$N,"&lt;&gt;")</f>
        <v/>
      </c>
      <c r="AI72">
        <f>COUNTIFS(LubesData!$V:$V,$R72,LubesData!$U:$U,"&lt;="&amp;14,LubesData!$N:$N,0)</f>
        <v/>
      </c>
      <c r="AJ72">
        <f>IF(AH72=0,"",AH72-AI72)</f>
        <v/>
      </c>
      <c r="AK72">
        <f>IF(AH72=0,"",SUMIFS(LubesData!$N:$N,LubesData!$V:$V,$R72,LubesData!$U:$U,"&lt;="&amp;14))</f>
        <v/>
      </c>
      <c r="AL72">
        <f>IF(AH72=0,"",IF(ABS(MAX(T72:AG72))&gt;=ABS(MIN(T72:AG72)),MAX(T72:AG72),MIN(T72:AG72)))</f>
        <v/>
      </c>
      <c r="AM72">
        <f>IF(AH72=0,-1,AJ72*100000+MIN(ABS(AK72),99999))</f>
        <v/>
      </c>
      <c r="AN72">
        <f>IF($S72="","",1+COUNTIFS($AM$3:$AM$122,"&gt;"&amp;AM72)+COUNTIFS($AM$3:$AM$122,AM72,$R$3:$R$122,"&lt;"&amp;$R72))</f>
        <v/>
      </c>
    </row>
    <row r="73">
      <c r="R73" t="n">
        <v>71</v>
      </c>
      <c r="S73">
        <f>IFERROR(INDEX(LubesData!$G:$G,MATCH($R73,LubesData!$V:$V,0)),"")</f>
        <v/>
      </c>
      <c r="T73">
        <f>IF(COUNTIFS(LubesData!$V:$V,$R73,LubesData!$U:$U,1,LubesData!$N:$N,"&lt;&gt;")=0,"",SUMIFS(LubesData!$N:$N,LubesData!$V:$V,$R73,LubesData!$U:$U,1))</f>
        <v/>
      </c>
      <c r="U73">
        <f>IF(COUNTIFS(LubesData!$V:$V,$R73,LubesData!$U:$U,2,LubesData!$N:$N,"&lt;&gt;")=0,"",SUMIFS(LubesData!$N:$N,LubesData!$V:$V,$R73,LubesData!$U:$U,2))</f>
        <v/>
      </c>
      <c r="V73">
        <f>IF(COUNTIFS(LubesData!$V:$V,$R73,LubesData!$U:$U,3,LubesData!$N:$N,"&lt;&gt;")=0,"",SUMIFS(LubesData!$N:$N,LubesData!$V:$V,$R73,LubesData!$U:$U,3))</f>
        <v/>
      </c>
      <c r="W73">
        <f>IF(COUNTIFS(LubesData!$V:$V,$R73,LubesData!$U:$U,4,LubesData!$N:$N,"&lt;&gt;")=0,"",SUMIFS(LubesData!$N:$N,LubesData!$V:$V,$R73,LubesData!$U:$U,4))</f>
        <v/>
      </c>
      <c r="X73">
        <f>IF(COUNTIFS(LubesData!$V:$V,$R73,LubesData!$U:$U,5,LubesData!$N:$N,"&lt;&gt;")=0,"",SUMIFS(LubesData!$N:$N,LubesData!$V:$V,$R73,LubesData!$U:$U,5))</f>
        <v/>
      </c>
      <c r="Y73">
        <f>IF(COUNTIFS(LubesData!$V:$V,$R73,LubesData!$U:$U,6,LubesData!$N:$N,"&lt;&gt;")=0,"",SUMIFS(LubesData!$N:$N,LubesData!$V:$V,$R73,LubesData!$U:$U,6))</f>
        <v/>
      </c>
      <c r="Z73">
        <f>IF(COUNTIFS(LubesData!$V:$V,$R73,LubesData!$U:$U,7,LubesData!$N:$N,"&lt;&gt;")=0,"",SUMIFS(LubesData!$N:$N,LubesData!$V:$V,$R73,LubesData!$U:$U,7))</f>
        <v/>
      </c>
      <c r="AA73">
        <f>IF(COUNTIFS(LubesData!$V:$V,$R73,LubesData!$U:$U,8,LubesData!$N:$N,"&lt;&gt;")=0,"",SUMIFS(LubesData!$N:$N,LubesData!$V:$V,$R73,LubesData!$U:$U,8))</f>
        <v/>
      </c>
      <c r="AB73">
        <f>IF(COUNTIFS(LubesData!$V:$V,$R73,LubesData!$U:$U,9,LubesData!$N:$N,"&lt;&gt;")=0,"",SUMIFS(LubesData!$N:$N,LubesData!$V:$V,$R73,LubesData!$U:$U,9))</f>
        <v/>
      </c>
      <c r="AC73">
        <f>IF(COUNTIFS(LubesData!$V:$V,$R73,LubesData!$U:$U,10,LubesData!$N:$N,"&lt;&gt;")=0,"",SUMIFS(LubesData!$N:$N,LubesData!$V:$V,$R73,LubesData!$U:$U,10))</f>
        <v/>
      </c>
      <c r="AD73">
        <f>IF(COUNTIFS(LubesData!$V:$V,$R73,LubesData!$U:$U,11,LubesData!$N:$N,"&lt;&gt;")=0,"",SUMIFS(LubesData!$N:$N,LubesData!$V:$V,$R73,LubesData!$U:$U,11))</f>
        <v/>
      </c>
      <c r="AE73">
        <f>IF(COUNTIFS(LubesData!$V:$V,$R73,LubesData!$U:$U,12,LubesData!$N:$N,"&lt;&gt;")=0,"",SUMIFS(LubesData!$N:$N,LubesData!$V:$V,$R73,LubesData!$U:$U,12))</f>
        <v/>
      </c>
      <c r="AF73">
        <f>IF(COUNTIFS(LubesData!$V:$V,$R73,LubesData!$U:$U,13,LubesData!$N:$N,"&lt;&gt;")=0,"",SUMIFS(LubesData!$N:$N,LubesData!$V:$V,$R73,LubesData!$U:$U,13))</f>
        <v/>
      </c>
      <c r="AG73">
        <f>IF(COUNTIFS(LubesData!$V:$V,$R73,LubesData!$U:$U,14,LubesData!$N:$N,"&lt;&gt;")=0,"",SUMIFS(LubesData!$N:$N,LubesData!$V:$V,$R73,LubesData!$U:$U,14))</f>
        <v/>
      </c>
      <c r="AH73">
        <f>COUNTIFS(LubesData!$V:$V,$R73,LubesData!$U:$U,"&lt;="&amp;14,LubesData!$N:$N,"&lt;&gt;")</f>
        <v/>
      </c>
      <c r="AI73">
        <f>COUNTIFS(LubesData!$V:$V,$R73,LubesData!$U:$U,"&lt;="&amp;14,LubesData!$N:$N,0)</f>
        <v/>
      </c>
      <c r="AJ73">
        <f>IF(AH73=0,"",AH73-AI73)</f>
        <v/>
      </c>
      <c r="AK73">
        <f>IF(AH73=0,"",SUMIFS(LubesData!$N:$N,LubesData!$V:$V,$R73,LubesData!$U:$U,"&lt;="&amp;14))</f>
        <v/>
      </c>
      <c r="AL73">
        <f>IF(AH73=0,"",IF(ABS(MAX(T73:AG73))&gt;=ABS(MIN(T73:AG73)),MAX(T73:AG73),MIN(T73:AG73)))</f>
        <v/>
      </c>
      <c r="AM73">
        <f>IF(AH73=0,-1,AJ73*100000+MIN(ABS(AK73),99999))</f>
        <v/>
      </c>
      <c r="AN73">
        <f>IF($S73="","",1+COUNTIFS($AM$3:$AM$122,"&gt;"&amp;AM73)+COUNTIFS($AM$3:$AM$122,AM73,$R$3:$R$122,"&lt;"&amp;$R73))</f>
        <v/>
      </c>
    </row>
    <row r="74">
      <c r="R74" t="n">
        <v>72</v>
      </c>
      <c r="S74">
        <f>IFERROR(INDEX(LubesData!$G:$G,MATCH($R74,LubesData!$V:$V,0)),"")</f>
        <v/>
      </c>
      <c r="T74">
        <f>IF(COUNTIFS(LubesData!$V:$V,$R74,LubesData!$U:$U,1,LubesData!$N:$N,"&lt;&gt;")=0,"",SUMIFS(LubesData!$N:$N,LubesData!$V:$V,$R74,LubesData!$U:$U,1))</f>
        <v/>
      </c>
      <c r="U74">
        <f>IF(COUNTIFS(LubesData!$V:$V,$R74,LubesData!$U:$U,2,LubesData!$N:$N,"&lt;&gt;")=0,"",SUMIFS(LubesData!$N:$N,LubesData!$V:$V,$R74,LubesData!$U:$U,2))</f>
        <v/>
      </c>
      <c r="V74">
        <f>IF(COUNTIFS(LubesData!$V:$V,$R74,LubesData!$U:$U,3,LubesData!$N:$N,"&lt;&gt;")=0,"",SUMIFS(LubesData!$N:$N,LubesData!$V:$V,$R74,LubesData!$U:$U,3))</f>
        <v/>
      </c>
      <c r="W74">
        <f>IF(COUNTIFS(LubesData!$V:$V,$R74,LubesData!$U:$U,4,LubesData!$N:$N,"&lt;&gt;")=0,"",SUMIFS(LubesData!$N:$N,LubesData!$V:$V,$R74,LubesData!$U:$U,4))</f>
        <v/>
      </c>
      <c r="X74">
        <f>IF(COUNTIFS(LubesData!$V:$V,$R74,LubesData!$U:$U,5,LubesData!$N:$N,"&lt;&gt;")=0,"",SUMIFS(LubesData!$N:$N,LubesData!$V:$V,$R74,LubesData!$U:$U,5))</f>
        <v/>
      </c>
      <c r="Y74">
        <f>IF(COUNTIFS(LubesData!$V:$V,$R74,LubesData!$U:$U,6,LubesData!$N:$N,"&lt;&gt;")=0,"",SUMIFS(LubesData!$N:$N,LubesData!$V:$V,$R74,LubesData!$U:$U,6))</f>
        <v/>
      </c>
      <c r="Z74">
        <f>IF(COUNTIFS(LubesData!$V:$V,$R74,LubesData!$U:$U,7,LubesData!$N:$N,"&lt;&gt;")=0,"",SUMIFS(LubesData!$N:$N,LubesData!$V:$V,$R74,LubesData!$U:$U,7))</f>
        <v/>
      </c>
      <c r="AA74">
        <f>IF(COUNTIFS(LubesData!$V:$V,$R74,LubesData!$U:$U,8,LubesData!$N:$N,"&lt;&gt;")=0,"",SUMIFS(LubesData!$N:$N,LubesData!$V:$V,$R74,LubesData!$U:$U,8))</f>
        <v/>
      </c>
      <c r="AB74">
        <f>IF(COUNTIFS(LubesData!$V:$V,$R74,LubesData!$U:$U,9,LubesData!$N:$N,"&lt;&gt;")=0,"",SUMIFS(LubesData!$N:$N,LubesData!$V:$V,$R74,LubesData!$U:$U,9))</f>
        <v/>
      </c>
      <c r="AC74">
        <f>IF(COUNTIFS(LubesData!$V:$V,$R74,LubesData!$U:$U,10,LubesData!$N:$N,"&lt;&gt;")=0,"",SUMIFS(LubesData!$N:$N,LubesData!$V:$V,$R74,LubesData!$U:$U,10))</f>
        <v/>
      </c>
      <c r="AD74">
        <f>IF(COUNTIFS(LubesData!$V:$V,$R74,LubesData!$U:$U,11,LubesData!$N:$N,"&lt;&gt;")=0,"",SUMIFS(LubesData!$N:$N,LubesData!$V:$V,$R74,LubesData!$U:$U,11))</f>
        <v/>
      </c>
      <c r="AE74">
        <f>IF(COUNTIFS(LubesData!$V:$V,$R74,LubesData!$U:$U,12,LubesData!$N:$N,"&lt;&gt;")=0,"",SUMIFS(LubesData!$N:$N,LubesData!$V:$V,$R74,LubesData!$U:$U,12))</f>
        <v/>
      </c>
      <c r="AF74">
        <f>IF(COUNTIFS(LubesData!$V:$V,$R74,LubesData!$U:$U,13,LubesData!$N:$N,"&lt;&gt;")=0,"",SUMIFS(LubesData!$N:$N,LubesData!$V:$V,$R74,LubesData!$U:$U,13))</f>
        <v/>
      </c>
      <c r="AG74">
        <f>IF(COUNTIFS(LubesData!$V:$V,$R74,LubesData!$U:$U,14,LubesData!$N:$N,"&lt;&gt;")=0,"",SUMIFS(LubesData!$N:$N,LubesData!$V:$V,$R74,LubesData!$U:$U,14))</f>
        <v/>
      </c>
      <c r="AH74">
        <f>COUNTIFS(LubesData!$V:$V,$R74,LubesData!$U:$U,"&lt;="&amp;14,LubesData!$N:$N,"&lt;&gt;")</f>
        <v/>
      </c>
      <c r="AI74">
        <f>COUNTIFS(LubesData!$V:$V,$R74,LubesData!$U:$U,"&lt;="&amp;14,LubesData!$N:$N,0)</f>
        <v/>
      </c>
      <c r="AJ74">
        <f>IF(AH74=0,"",AH74-AI74)</f>
        <v/>
      </c>
      <c r="AK74">
        <f>IF(AH74=0,"",SUMIFS(LubesData!$N:$N,LubesData!$V:$V,$R74,LubesData!$U:$U,"&lt;="&amp;14))</f>
        <v/>
      </c>
      <c r="AL74">
        <f>IF(AH74=0,"",IF(ABS(MAX(T74:AG74))&gt;=ABS(MIN(T74:AG74)),MAX(T74:AG74),MIN(T74:AG74)))</f>
        <v/>
      </c>
      <c r="AM74">
        <f>IF(AH74=0,-1,AJ74*100000+MIN(ABS(AK74),99999))</f>
        <v/>
      </c>
      <c r="AN74">
        <f>IF($S74="","",1+COUNTIFS($AM$3:$AM$122,"&gt;"&amp;AM74)+COUNTIFS($AM$3:$AM$122,AM74,$R$3:$R$122,"&lt;"&amp;$R74))</f>
        <v/>
      </c>
    </row>
    <row r="75">
      <c r="R75" t="n">
        <v>73</v>
      </c>
      <c r="S75">
        <f>IFERROR(INDEX(LubesData!$G:$G,MATCH($R75,LubesData!$V:$V,0)),"")</f>
        <v/>
      </c>
      <c r="T75">
        <f>IF(COUNTIFS(LubesData!$V:$V,$R75,LubesData!$U:$U,1,LubesData!$N:$N,"&lt;&gt;")=0,"",SUMIFS(LubesData!$N:$N,LubesData!$V:$V,$R75,LubesData!$U:$U,1))</f>
        <v/>
      </c>
      <c r="U75">
        <f>IF(COUNTIFS(LubesData!$V:$V,$R75,LubesData!$U:$U,2,LubesData!$N:$N,"&lt;&gt;")=0,"",SUMIFS(LubesData!$N:$N,LubesData!$V:$V,$R75,LubesData!$U:$U,2))</f>
        <v/>
      </c>
      <c r="V75">
        <f>IF(COUNTIFS(LubesData!$V:$V,$R75,LubesData!$U:$U,3,LubesData!$N:$N,"&lt;&gt;")=0,"",SUMIFS(LubesData!$N:$N,LubesData!$V:$V,$R75,LubesData!$U:$U,3))</f>
        <v/>
      </c>
      <c r="W75">
        <f>IF(COUNTIFS(LubesData!$V:$V,$R75,LubesData!$U:$U,4,LubesData!$N:$N,"&lt;&gt;")=0,"",SUMIFS(LubesData!$N:$N,LubesData!$V:$V,$R75,LubesData!$U:$U,4))</f>
        <v/>
      </c>
      <c r="X75">
        <f>IF(COUNTIFS(LubesData!$V:$V,$R75,LubesData!$U:$U,5,LubesData!$N:$N,"&lt;&gt;")=0,"",SUMIFS(LubesData!$N:$N,LubesData!$V:$V,$R75,LubesData!$U:$U,5))</f>
        <v/>
      </c>
      <c r="Y75">
        <f>IF(COUNTIFS(LubesData!$V:$V,$R75,LubesData!$U:$U,6,LubesData!$N:$N,"&lt;&gt;")=0,"",SUMIFS(LubesData!$N:$N,LubesData!$V:$V,$R75,LubesData!$U:$U,6))</f>
        <v/>
      </c>
      <c r="Z75">
        <f>IF(COUNTIFS(LubesData!$V:$V,$R75,LubesData!$U:$U,7,LubesData!$N:$N,"&lt;&gt;")=0,"",SUMIFS(LubesData!$N:$N,LubesData!$V:$V,$R75,LubesData!$U:$U,7))</f>
        <v/>
      </c>
      <c r="AA75">
        <f>IF(COUNTIFS(LubesData!$V:$V,$R75,LubesData!$U:$U,8,LubesData!$N:$N,"&lt;&gt;")=0,"",SUMIFS(LubesData!$N:$N,LubesData!$V:$V,$R75,LubesData!$U:$U,8))</f>
        <v/>
      </c>
      <c r="AB75">
        <f>IF(COUNTIFS(LubesData!$V:$V,$R75,LubesData!$U:$U,9,LubesData!$N:$N,"&lt;&gt;")=0,"",SUMIFS(LubesData!$N:$N,LubesData!$V:$V,$R75,LubesData!$U:$U,9))</f>
        <v/>
      </c>
      <c r="AC75">
        <f>IF(COUNTIFS(LubesData!$V:$V,$R75,LubesData!$U:$U,10,LubesData!$N:$N,"&lt;&gt;")=0,"",SUMIFS(LubesData!$N:$N,LubesData!$V:$V,$R75,LubesData!$U:$U,10))</f>
        <v/>
      </c>
      <c r="AD75">
        <f>IF(COUNTIFS(LubesData!$V:$V,$R75,LubesData!$U:$U,11,LubesData!$N:$N,"&lt;&gt;")=0,"",SUMIFS(LubesData!$N:$N,LubesData!$V:$V,$R75,LubesData!$U:$U,11))</f>
        <v/>
      </c>
      <c r="AE75">
        <f>IF(COUNTIFS(LubesData!$V:$V,$R75,LubesData!$U:$U,12,LubesData!$N:$N,"&lt;&gt;")=0,"",SUMIFS(LubesData!$N:$N,LubesData!$V:$V,$R75,LubesData!$U:$U,12))</f>
        <v/>
      </c>
      <c r="AF75">
        <f>IF(COUNTIFS(LubesData!$V:$V,$R75,LubesData!$U:$U,13,LubesData!$N:$N,"&lt;&gt;")=0,"",SUMIFS(LubesData!$N:$N,LubesData!$V:$V,$R75,LubesData!$U:$U,13))</f>
        <v/>
      </c>
      <c r="AG75">
        <f>IF(COUNTIFS(LubesData!$V:$V,$R75,LubesData!$U:$U,14,LubesData!$N:$N,"&lt;&gt;")=0,"",SUMIFS(LubesData!$N:$N,LubesData!$V:$V,$R75,LubesData!$U:$U,14))</f>
        <v/>
      </c>
      <c r="AH75">
        <f>COUNTIFS(LubesData!$V:$V,$R75,LubesData!$U:$U,"&lt;="&amp;14,LubesData!$N:$N,"&lt;&gt;")</f>
        <v/>
      </c>
      <c r="AI75">
        <f>COUNTIFS(LubesData!$V:$V,$R75,LubesData!$U:$U,"&lt;="&amp;14,LubesData!$N:$N,0)</f>
        <v/>
      </c>
      <c r="AJ75">
        <f>IF(AH75=0,"",AH75-AI75)</f>
        <v/>
      </c>
      <c r="AK75">
        <f>IF(AH75=0,"",SUMIFS(LubesData!$N:$N,LubesData!$V:$V,$R75,LubesData!$U:$U,"&lt;="&amp;14))</f>
        <v/>
      </c>
      <c r="AL75">
        <f>IF(AH75=0,"",IF(ABS(MAX(T75:AG75))&gt;=ABS(MIN(T75:AG75)),MAX(T75:AG75),MIN(T75:AG75)))</f>
        <v/>
      </c>
      <c r="AM75">
        <f>IF(AH75=0,-1,AJ75*100000+MIN(ABS(AK75),99999))</f>
        <v/>
      </c>
      <c r="AN75">
        <f>IF($S75="","",1+COUNTIFS($AM$3:$AM$122,"&gt;"&amp;AM75)+COUNTIFS($AM$3:$AM$122,AM75,$R$3:$R$122,"&lt;"&amp;$R75))</f>
        <v/>
      </c>
    </row>
    <row r="76">
      <c r="R76" t="n">
        <v>74</v>
      </c>
      <c r="S76">
        <f>IFERROR(INDEX(LubesData!$G:$G,MATCH($R76,LubesData!$V:$V,0)),"")</f>
        <v/>
      </c>
      <c r="T76">
        <f>IF(COUNTIFS(LubesData!$V:$V,$R76,LubesData!$U:$U,1,LubesData!$N:$N,"&lt;&gt;")=0,"",SUMIFS(LubesData!$N:$N,LubesData!$V:$V,$R76,LubesData!$U:$U,1))</f>
        <v/>
      </c>
      <c r="U76">
        <f>IF(COUNTIFS(LubesData!$V:$V,$R76,LubesData!$U:$U,2,LubesData!$N:$N,"&lt;&gt;")=0,"",SUMIFS(LubesData!$N:$N,LubesData!$V:$V,$R76,LubesData!$U:$U,2))</f>
        <v/>
      </c>
      <c r="V76">
        <f>IF(COUNTIFS(LubesData!$V:$V,$R76,LubesData!$U:$U,3,LubesData!$N:$N,"&lt;&gt;")=0,"",SUMIFS(LubesData!$N:$N,LubesData!$V:$V,$R76,LubesData!$U:$U,3))</f>
        <v/>
      </c>
      <c r="W76">
        <f>IF(COUNTIFS(LubesData!$V:$V,$R76,LubesData!$U:$U,4,LubesData!$N:$N,"&lt;&gt;")=0,"",SUMIFS(LubesData!$N:$N,LubesData!$V:$V,$R76,LubesData!$U:$U,4))</f>
        <v/>
      </c>
      <c r="X76">
        <f>IF(COUNTIFS(LubesData!$V:$V,$R76,LubesData!$U:$U,5,LubesData!$N:$N,"&lt;&gt;")=0,"",SUMIFS(LubesData!$N:$N,LubesData!$V:$V,$R76,LubesData!$U:$U,5))</f>
        <v/>
      </c>
      <c r="Y76">
        <f>IF(COUNTIFS(LubesData!$V:$V,$R76,LubesData!$U:$U,6,LubesData!$N:$N,"&lt;&gt;")=0,"",SUMIFS(LubesData!$N:$N,LubesData!$V:$V,$R76,LubesData!$U:$U,6))</f>
        <v/>
      </c>
      <c r="Z76">
        <f>IF(COUNTIFS(LubesData!$V:$V,$R76,LubesData!$U:$U,7,LubesData!$N:$N,"&lt;&gt;")=0,"",SUMIFS(LubesData!$N:$N,LubesData!$V:$V,$R76,LubesData!$U:$U,7))</f>
        <v/>
      </c>
      <c r="AA76">
        <f>IF(COUNTIFS(LubesData!$V:$V,$R76,LubesData!$U:$U,8,LubesData!$N:$N,"&lt;&gt;")=0,"",SUMIFS(LubesData!$N:$N,LubesData!$V:$V,$R76,LubesData!$U:$U,8))</f>
        <v/>
      </c>
      <c r="AB76">
        <f>IF(COUNTIFS(LubesData!$V:$V,$R76,LubesData!$U:$U,9,LubesData!$N:$N,"&lt;&gt;")=0,"",SUMIFS(LubesData!$N:$N,LubesData!$V:$V,$R76,LubesData!$U:$U,9))</f>
        <v/>
      </c>
      <c r="AC76">
        <f>IF(COUNTIFS(LubesData!$V:$V,$R76,LubesData!$U:$U,10,LubesData!$N:$N,"&lt;&gt;")=0,"",SUMIFS(LubesData!$N:$N,LubesData!$V:$V,$R76,LubesData!$U:$U,10))</f>
        <v/>
      </c>
      <c r="AD76">
        <f>IF(COUNTIFS(LubesData!$V:$V,$R76,LubesData!$U:$U,11,LubesData!$N:$N,"&lt;&gt;")=0,"",SUMIFS(LubesData!$N:$N,LubesData!$V:$V,$R76,LubesData!$U:$U,11))</f>
        <v/>
      </c>
      <c r="AE76">
        <f>IF(COUNTIFS(LubesData!$V:$V,$R76,LubesData!$U:$U,12,LubesData!$N:$N,"&lt;&gt;")=0,"",SUMIFS(LubesData!$N:$N,LubesData!$V:$V,$R76,LubesData!$U:$U,12))</f>
        <v/>
      </c>
      <c r="AF76">
        <f>IF(COUNTIFS(LubesData!$V:$V,$R76,LubesData!$U:$U,13,LubesData!$N:$N,"&lt;&gt;")=0,"",SUMIFS(LubesData!$N:$N,LubesData!$V:$V,$R76,LubesData!$U:$U,13))</f>
        <v/>
      </c>
      <c r="AG76">
        <f>IF(COUNTIFS(LubesData!$V:$V,$R76,LubesData!$U:$U,14,LubesData!$N:$N,"&lt;&gt;")=0,"",SUMIFS(LubesData!$N:$N,LubesData!$V:$V,$R76,LubesData!$U:$U,14))</f>
        <v/>
      </c>
      <c r="AH76">
        <f>COUNTIFS(LubesData!$V:$V,$R76,LubesData!$U:$U,"&lt;="&amp;14,LubesData!$N:$N,"&lt;&gt;")</f>
        <v/>
      </c>
      <c r="AI76">
        <f>COUNTIFS(LubesData!$V:$V,$R76,LubesData!$U:$U,"&lt;="&amp;14,LubesData!$N:$N,0)</f>
        <v/>
      </c>
      <c r="AJ76">
        <f>IF(AH76=0,"",AH76-AI76)</f>
        <v/>
      </c>
      <c r="AK76">
        <f>IF(AH76=0,"",SUMIFS(LubesData!$N:$N,LubesData!$V:$V,$R76,LubesData!$U:$U,"&lt;="&amp;14))</f>
        <v/>
      </c>
      <c r="AL76">
        <f>IF(AH76=0,"",IF(ABS(MAX(T76:AG76))&gt;=ABS(MIN(T76:AG76)),MAX(T76:AG76),MIN(T76:AG76)))</f>
        <v/>
      </c>
      <c r="AM76">
        <f>IF(AH76=0,-1,AJ76*100000+MIN(ABS(AK76),99999))</f>
        <v/>
      </c>
      <c r="AN76">
        <f>IF($S76="","",1+COUNTIFS($AM$3:$AM$122,"&gt;"&amp;AM76)+COUNTIFS($AM$3:$AM$122,AM76,$R$3:$R$122,"&lt;"&amp;$R76))</f>
        <v/>
      </c>
    </row>
    <row r="77">
      <c r="R77" t="n">
        <v>75</v>
      </c>
      <c r="S77">
        <f>IFERROR(INDEX(LubesData!$G:$G,MATCH($R77,LubesData!$V:$V,0)),"")</f>
        <v/>
      </c>
      <c r="T77">
        <f>IF(COUNTIFS(LubesData!$V:$V,$R77,LubesData!$U:$U,1,LubesData!$N:$N,"&lt;&gt;")=0,"",SUMIFS(LubesData!$N:$N,LubesData!$V:$V,$R77,LubesData!$U:$U,1))</f>
        <v/>
      </c>
      <c r="U77">
        <f>IF(COUNTIFS(LubesData!$V:$V,$R77,LubesData!$U:$U,2,LubesData!$N:$N,"&lt;&gt;")=0,"",SUMIFS(LubesData!$N:$N,LubesData!$V:$V,$R77,LubesData!$U:$U,2))</f>
        <v/>
      </c>
      <c r="V77">
        <f>IF(COUNTIFS(LubesData!$V:$V,$R77,LubesData!$U:$U,3,LubesData!$N:$N,"&lt;&gt;")=0,"",SUMIFS(LubesData!$N:$N,LubesData!$V:$V,$R77,LubesData!$U:$U,3))</f>
        <v/>
      </c>
      <c r="W77">
        <f>IF(COUNTIFS(LubesData!$V:$V,$R77,LubesData!$U:$U,4,LubesData!$N:$N,"&lt;&gt;")=0,"",SUMIFS(LubesData!$N:$N,LubesData!$V:$V,$R77,LubesData!$U:$U,4))</f>
        <v/>
      </c>
      <c r="X77">
        <f>IF(COUNTIFS(LubesData!$V:$V,$R77,LubesData!$U:$U,5,LubesData!$N:$N,"&lt;&gt;")=0,"",SUMIFS(LubesData!$N:$N,LubesData!$V:$V,$R77,LubesData!$U:$U,5))</f>
        <v/>
      </c>
      <c r="Y77">
        <f>IF(COUNTIFS(LubesData!$V:$V,$R77,LubesData!$U:$U,6,LubesData!$N:$N,"&lt;&gt;")=0,"",SUMIFS(LubesData!$N:$N,LubesData!$V:$V,$R77,LubesData!$U:$U,6))</f>
        <v/>
      </c>
      <c r="Z77">
        <f>IF(COUNTIFS(LubesData!$V:$V,$R77,LubesData!$U:$U,7,LubesData!$N:$N,"&lt;&gt;")=0,"",SUMIFS(LubesData!$N:$N,LubesData!$V:$V,$R77,LubesData!$U:$U,7))</f>
        <v/>
      </c>
      <c r="AA77">
        <f>IF(COUNTIFS(LubesData!$V:$V,$R77,LubesData!$U:$U,8,LubesData!$N:$N,"&lt;&gt;")=0,"",SUMIFS(LubesData!$N:$N,LubesData!$V:$V,$R77,LubesData!$U:$U,8))</f>
        <v/>
      </c>
      <c r="AB77">
        <f>IF(COUNTIFS(LubesData!$V:$V,$R77,LubesData!$U:$U,9,LubesData!$N:$N,"&lt;&gt;")=0,"",SUMIFS(LubesData!$N:$N,LubesData!$V:$V,$R77,LubesData!$U:$U,9))</f>
        <v/>
      </c>
      <c r="AC77">
        <f>IF(COUNTIFS(LubesData!$V:$V,$R77,LubesData!$U:$U,10,LubesData!$N:$N,"&lt;&gt;")=0,"",SUMIFS(LubesData!$N:$N,LubesData!$V:$V,$R77,LubesData!$U:$U,10))</f>
        <v/>
      </c>
      <c r="AD77">
        <f>IF(COUNTIFS(LubesData!$V:$V,$R77,LubesData!$U:$U,11,LubesData!$N:$N,"&lt;&gt;")=0,"",SUMIFS(LubesData!$N:$N,LubesData!$V:$V,$R77,LubesData!$U:$U,11))</f>
        <v/>
      </c>
      <c r="AE77">
        <f>IF(COUNTIFS(LubesData!$V:$V,$R77,LubesData!$U:$U,12,LubesData!$N:$N,"&lt;&gt;")=0,"",SUMIFS(LubesData!$N:$N,LubesData!$V:$V,$R77,LubesData!$U:$U,12))</f>
        <v/>
      </c>
      <c r="AF77">
        <f>IF(COUNTIFS(LubesData!$V:$V,$R77,LubesData!$U:$U,13,LubesData!$N:$N,"&lt;&gt;")=0,"",SUMIFS(LubesData!$N:$N,LubesData!$V:$V,$R77,LubesData!$U:$U,13))</f>
        <v/>
      </c>
      <c r="AG77">
        <f>IF(COUNTIFS(LubesData!$V:$V,$R77,LubesData!$U:$U,14,LubesData!$N:$N,"&lt;&gt;")=0,"",SUMIFS(LubesData!$N:$N,LubesData!$V:$V,$R77,LubesData!$U:$U,14))</f>
        <v/>
      </c>
      <c r="AH77">
        <f>COUNTIFS(LubesData!$V:$V,$R77,LubesData!$U:$U,"&lt;="&amp;14,LubesData!$N:$N,"&lt;&gt;")</f>
        <v/>
      </c>
      <c r="AI77">
        <f>COUNTIFS(LubesData!$V:$V,$R77,LubesData!$U:$U,"&lt;="&amp;14,LubesData!$N:$N,0)</f>
        <v/>
      </c>
      <c r="AJ77">
        <f>IF(AH77=0,"",AH77-AI77)</f>
        <v/>
      </c>
      <c r="AK77">
        <f>IF(AH77=0,"",SUMIFS(LubesData!$N:$N,LubesData!$V:$V,$R77,LubesData!$U:$U,"&lt;="&amp;14))</f>
        <v/>
      </c>
      <c r="AL77">
        <f>IF(AH77=0,"",IF(ABS(MAX(T77:AG77))&gt;=ABS(MIN(T77:AG77)),MAX(T77:AG77),MIN(T77:AG77)))</f>
        <v/>
      </c>
      <c r="AM77">
        <f>IF(AH77=0,-1,AJ77*100000+MIN(ABS(AK77),99999))</f>
        <v/>
      </c>
      <c r="AN77">
        <f>IF($S77="","",1+COUNTIFS($AM$3:$AM$122,"&gt;"&amp;AM77)+COUNTIFS($AM$3:$AM$122,AM77,$R$3:$R$122,"&lt;"&amp;$R77))</f>
        <v/>
      </c>
    </row>
    <row r="78">
      <c r="R78" t="n">
        <v>76</v>
      </c>
      <c r="S78">
        <f>IFERROR(INDEX(LubesData!$G:$G,MATCH($R78,LubesData!$V:$V,0)),"")</f>
        <v/>
      </c>
      <c r="T78">
        <f>IF(COUNTIFS(LubesData!$V:$V,$R78,LubesData!$U:$U,1,LubesData!$N:$N,"&lt;&gt;")=0,"",SUMIFS(LubesData!$N:$N,LubesData!$V:$V,$R78,LubesData!$U:$U,1))</f>
        <v/>
      </c>
      <c r="U78">
        <f>IF(COUNTIFS(LubesData!$V:$V,$R78,LubesData!$U:$U,2,LubesData!$N:$N,"&lt;&gt;")=0,"",SUMIFS(LubesData!$N:$N,LubesData!$V:$V,$R78,LubesData!$U:$U,2))</f>
        <v/>
      </c>
      <c r="V78">
        <f>IF(COUNTIFS(LubesData!$V:$V,$R78,LubesData!$U:$U,3,LubesData!$N:$N,"&lt;&gt;")=0,"",SUMIFS(LubesData!$N:$N,LubesData!$V:$V,$R78,LubesData!$U:$U,3))</f>
        <v/>
      </c>
      <c r="W78">
        <f>IF(COUNTIFS(LubesData!$V:$V,$R78,LubesData!$U:$U,4,LubesData!$N:$N,"&lt;&gt;")=0,"",SUMIFS(LubesData!$N:$N,LubesData!$V:$V,$R78,LubesData!$U:$U,4))</f>
        <v/>
      </c>
      <c r="X78">
        <f>IF(COUNTIFS(LubesData!$V:$V,$R78,LubesData!$U:$U,5,LubesData!$N:$N,"&lt;&gt;")=0,"",SUMIFS(LubesData!$N:$N,LubesData!$V:$V,$R78,LubesData!$U:$U,5))</f>
        <v/>
      </c>
      <c r="Y78">
        <f>IF(COUNTIFS(LubesData!$V:$V,$R78,LubesData!$U:$U,6,LubesData!$N:$N,"&lt;&gt;")=0,"",SUMIFS(LubesData!$N:$N,LubesData!$V:$V,$R78,LubesData!$U:$U,6))</f>
        <v/>
      </c>
      <c r="Z78">
        <f>IF(COUNTIFS(LubesData!$V:$V,$R78,LubesData!$U:$U,7,LubesData!$N:$N,"&lt;&gt;")=0,"",SUMIFS(LubesData!$N:$N,LubesData!$V:$V,$R78,LubesData!$U:$U,7))</f>
        <v/>
      </c>
      <c r="AA78">
        <f>IF(COUNTIFS(LubesData!$V:$V,$R78,LubesData!$U:$U,8,LubesData!$N:$N,"&lt;&gt;")=0,"",SUMIFS(LubesData!$N:$N,LubesData!$V:$V,$R78,LubesData!$U:$U,8))</f>
        <v/>
      </c>
      <c r="AB78">
        <f>IF(COUNTIFS(LubesData!$V:$V,$R78,LubesData!$U:$U,9,LubesData!$N:$N,"&lt;&gt;")=0,"",SUMIFS(LubesData!$N:$N,LubesData!$V:$V,$R78,LubesData!$U:$U,9))</f>
        <v/>
      </c>
      <c r="AC78">
        <f>IF(COUNTIFS(LubesData!$V:$V,$R78,LubesData!$U:$U,10,LubesData!$N:$N,"&lt;&gt;")=0,"",SUMIFS(LubesData!$N:$N,LubesData!$V:$V,$R78,LubesData!$U:$U,10))</f>
        <v/>
      </c>
      <c r="AD78">
        <f>IF(COUNTIFS(LubesData!$V:$V,$R78,LubesData!$U:$U,11,LubesData!$N:$N,"&lt;&gt;")=0,"",SUMIFS(LubesData!$N:$N,LubesData!$V:$V,$R78,LubesData!$U:$U,11))</f>
        <v/>
      </c>
      <c r="AE78">
        <f>IF(COUNTIFS(LubesData!$V:$V,$R78,LubesData!$U:$U,12,LubesData!$N:$N,"&lt;&gt;")=0,"",SUMIFS(LubesData!$N:$N,LubesData!$V:$V,$R78,LubesData!$U:$U,12))</f>
        <v/>
      </c>
      <c r="AF78">
        <f>IF(COUNTIFS(LubesData!$V:$V,$R78,LubesData!$U:$U,13,LubesData!$N:$N,"&lt;&gt;")=0,"",SUMIFS(LubesData!$N:$N,LubesData!$V:$V,$R78,LubesData!$U:$U,13))</f>
        <v/>
      </c>
      <c r="AG78">
        <f>IF(COUNTIFS(LubesData!$V:$V,$R78,LubesData!$U:$U,14,LubesData!$N:$N,"&lt;&gt;")=0,"",SUMIFS(LubesData!$N:$N,LubesData!$V:$V,$R78,LubesData!$U:$U,14))</f>
        <v/>
      </c>
      <c r="AH78">
        <f>COUNTIFS(LubesData!$V:$V,$R78,LubesData!$U:$U,"&lt;="&amp;14,LubesData!$N:$N,"&lt;&gt;")</f>
        <v/>
      </c>
      <c r="AI78">
        <f>COUNTIFS(LubesData!$V:$V,$R78,LubesData!$U:$U,"&lt;="&amp;14,LubesData!$N:$N,0)</f>
        <v/>
      </c>
      <c r="AJ78">
        <f>IF(AH78=0,"",AH78-AI78)</f>
        <v/>
      </c>
      <c r="AK78">
        <f>IF(AH78=0,"",SUMIFS(LubesData!$N:$N,LubesData!$V:$V,$R78,LubesData!$U:$U,"&lt;="&amp;14))</f>
        <v/>
      </c>
      <c r="AL78">
        <f>IF(AH78=0,"",IF(ABS(MAX(T78:AG78))&gt;=ABS(MIN(T78:AG78)),MAX(T78:AG78),MIN(T78:AG78)))</f>
        <v/>
      </c>
      <c r="AM78">
        <f>IF(AH78=0,-1,AJ78*100000+MIN(ABS(AK78),99999))</f>
        <v/>
      </c>
      <c r="AN78">
        <f>IF($S78="","",1+COUNTIFS($AM$3:$AM$122,"&gt;"&amp;AM78)+COUNTIFS($AM$3:$AM$122,AM78,$R$3:$R$122,"&lt;"&amp;$R78))</f>
        <v/>
      </c>
    </row>
    <row r="79">
      <c r="R79" t="n">
        <v>77</v>
      </c>
      <c r="S79">
        <f>IFERROR(INDEX(LubesData!$G:$G,MATCH($R79,LubesData!$V:$V,0)),"")</f>
        <v/>
      </c>
      <c r="T79">
        <f>IF(COUNTIFS(LubesData!$V:$V,$R79,LubesData!$U:$U,1,LubesData!$N:$N,"&lt;&gt;")=0,"",SUMIFS(LubesData!$N:$N,LubesData!$V:$V,$R79,LubesData!$U:$U,1))</f>
        <v/>
      </c>
      <c r="U79">
        <f>IF(COUNTIFS(LubesData!$V:$V,$R79,LubesData!$U:$U,2,LubesData!$N:$N,"&lt;&gt;")=0,"",SUMIFS(LubesData!$N:$N,LubesData!$V:$V,$R79,LubesData!$U:$U,2))</f>
        <v/>
      </c>
      <c r="V79">
        <f>IF(COUNTIFS(LubesData!$V:$V,$R79,LubesData!$U:$U,3,LubesData!$N:$N,"&lt;&gt;")=0,"",SUMIFS(LubesData!$N:$N,LubesData!$V:$V,$R79,LubesData!$U:$U,3))</f>
        <v/>
      </c>
      <c r="W79">
        <f>IF(COUNTIFS(LubesData!$V:$V,$R79,LubesData!$U:$U,4,LubesData!$N:$N,"&lt;&gt;")=0,"",SUMIFS(LubesData!$N:$N,LubesData!$V:$V,$R79,LubesData!$U:$U,4))</f>
        <v/>
      </c>
      <c r="X79">
        <f>IF(COUNTIFS(LubesData!$V:$V,$R79,LubesData!$U:$U,5,LubesData!$N:$N,"&lt;&gt;")=0,"",SUMIFS(LubesData!$N:$N,LubesData!$V:$V,$R79,LubesData!$U:$U,5))</f>
        <v/>
      </c>
      <c r="Y79">
        <f>IF(COUNTIFS(LubesData!$V:$V,$R79,LubesData!$U:$U,6,LubesData!$N:$N,"&lt;&gt;")=0,"",SUMIFS(LubesData!$N:$N,LubesData!$V:$V,$R79,LubesData!$U:$U,6))</f>
        <v/>
      </c>
      <c r="Z79">
        <f>IF(COUNTIFS(LubesData!$V:$V,$R79,LubesData!$U:$U,7,LubesData!$N:$N,"&lt;&gt;")=0,"",SUMIFS(LubesData!$N:$N,LubesData!$V:$V,$R79,LubesData!$U:$U,7))</f>
        <v/>
      </c>
      <c r="AA79">
        <f>IF(COUNTIFS(LubesData!$V:$V,$R79,LubesData!$U:$U,8,LubesData!$N:$N,"&lt;&gt;")=0,"",SUMIFS(LubesData!$N:$N,LubesData!$V:$V,$R79,LubesData!$U:$U,8))</f>
        <v/>
      </c>
      <c r="AB79">
        <f>IF(COUNTIFS(LubesData!$V:$V,$R79,LubesData!$U:$U,9,LubesData!$N:$N,"&lt;&gt;")=0,"",SUMIFS(LubesData!$N:$N,LubesData!$V:$V,$R79,LubesData!$U:$U,9))</f>
        <v/>
      </c>
      <c r="AC79">
        <f>IF(COUNTIFS(LubesData!$V:$V,$R79,LubesData!$U:$U,10,LubesData!$N:$N,"&lt;&gt;")=0,"",SUMIFS(LubesData!$N:$N,LubesData!$V:$V,$R79,LubesData!$U:$U,10))</f>
        <v/>
      </c>
      <c r="AD79">
        <f>IF(COUNTIFS(LubesData!$V:$V,$R79,LubesData!$U:$U,11,LubesData!$N:$N,"&lt;&gt;")=0,"",SUMIFS(LubesData!$N:$N,LubesData!$V:$V,$R79,LubesData!$U:$U,11))</f>
        <v/>
      </c>
      <c r="AE79">
        <f>IF(COUNTIFS(LubesData!$V:$V,$R79,LubesData!$U:$U,12,LubesData!$N:$N,"&lt;&gt;")=0,"",SUMIFS(LubesData!$N:$N,LubesData!$V:$V,$R79,LubesData!$U:$U,12))</f>
        <v/>
      </c>
      <c r="AF79">
        <f>IF(COUNTIFS(LubesData!$V:$V,$R79,LubesData!$U:$U,13,LubesData!$N:$N,"&lt;&gt;")=0,"",SUMIFS(LubesData!$N:$N,LubesData!$V:$V,$R79,LubesData!$U:$U,13))</f>
        <v/>
      </c>
      <c r="AG79">
        <f>IF(COUNTIFS(LubesData!$V:$V,$R79,LubesData!$U:$U,14,LubesData!$N:$N,"&lt;&gt;")=0,"",SUMIFS(LubesData!$N:$N,LubesData!$V:$V,$R79,LubesData!$U:$U,14))</f>
        <v/>
      </c>
      <c r="AH79">
        <f>COUNTIFS(LubesData!$V:$V,$R79,LubesData!$U:$U,"&lt;="&amp;14,LubesData!$N:$N,"&lt;&gt;")</f>
        <v/>
      </c>
      <c r="AI79">
        <f>COUNTIFS(LubesData!$V:$V,$R79,LubesData!$U:$U,"&lt;="&amp;14,LubesData!$N:$N,0)</f>
        <v/>
      </c>
      <c r="AJ79">
        <f>IF(AH79=0,"",AH79-AI79)</f>
        <v/>
      </c>
      <c r="AK79">
        <f>IF(AH79=0,"",SUMIFS(LubesData!$N:$N,LubesData!$V:$V,$R79,LubesData!$U:$U,"&lt;="&amp;14))</f>
        <v/>
      </c>
      <c r="AL79">
        <f>IF(AH79=0,"",IF(ABS(MAX(T79:AG79))&gt;=ABS(MIN(T79:AG79)),MAX(T79:AG79),MIN(T79:AG79)))</f>
        <v/>
      </c>
      <c r="AM79">
        <f>IF(AH79=0,-1,AJ79*100000+MIN(ABS(AK79),99999))</f>
        <v/>
      </c>
      <c r="AN79">
        <f>IF($S79="","",1+COUNTIFS($AM$3:$AM$122,"&gt;"&amp;AM79)+COUNTIFS($AM$3:$AM$122,AM79,$R$3:$R$122,"&lt;"&amp;$R79))</f>
        <v/>
      </c>
    </row>
    <row r="80">
      <c r="R80" t="n">
        <v>78</v>
      </c>
      <c r="S80">
        <f>IFERROR(INDEX(LubesData!$G:$G,MATCH($R80,LubesData!$V:$V,0)),"")</f>
        <v/>
      </c>
      <c r="T80">
        <f>IF(COUNTIFS(LubesData!$V:$V,$R80,LubesData!$U:$U,1,LubesData!$N:$N,"&lt;&gt;")=0,"",SUMIFS(LubesData!$N:$N,LubesData!$V:$V,$R80,LubesData!$U:$U,1))</f>
        <v/>
      </c>
      <c r="U80">
        <f>IF(COUNTIFS(LubesData!$V:$V,$R80,LubesData!$U:$U,2,LubesData!$N:$N,"&lt;&gt;")=0,"",SUMIFS(LubesData!$N:$N,LubesData!$V:$V,$R80,LubesData!$U:$U,2))</f>
        <v/>
      </c>
      <c r="V80">
        <f>IF(COUNTIFS(LubesData!$V:$V,$R80,LubesData!$U:$U,3,LubesData!$N:$N,"&lt;&gt;")=0,"",SUMIFS(LubesData!$N:$N,LubesData!$V:$V,$R80,LubesData!$U:$U,3))</f>
        <v/>
      </c>
      <c r="W80">
        <f>IF(COUNTIFS(LubesData!$V:$V,$R80,LubesData!$U:$U,4,LubesData!$N:$N,"&lt;&gt;")=0,"",SUMIFS(LubesData!$N:$N,LubesData!$V:$V,$R80,LubesData!$U:$U,4))</f>
        <v/>
      </c>
      <c r="X80">
        <f>IF(COUNTIFS(LubesData!$V:$V,$R80,LubesData!$U:$U,5,LubesData!$N:$N,"&lt;&gt;")=0,"",SUMIFS(LubesData!$N:$N,LubesData!$V:$V,$R80,LubesData!$U:$U,5))</f>
        <v/>
      </c>
      <c r="Y80">
        <f>IF(COUNTIFS(LubesData!$V:$V,$R80,LubesData!$U:$U,6,LubesData!$N:$N,"&lt;&gt;")=0,"",SUMIFS(LubesData!$N:$N,LubesData!$V:$V,$R80,LubesData!$U:$U,6))</f>
        <v/>
      </c>
      <c r="Z80">
        <f>IF(COUNTIFS(LubesData!$V:$V,$R80,LubesData!$U:$U,7,LubesData!$N:$N,"&lt;&gt;")=0,"",SUMIFS(LubesData!$N:$N,LubesData!$V:$V,$R80,LubesData!$U:$U,7))</f>
        <v/>
      </c>
      <c r="AA80">
        <f>IF(COUNTIFS(LubesData!$V:$V,$R80,LubesData!$U:$U,8,LubesData!$N:$N,"&lt;&gt;")=0,"",SUMIFS(LubesData!$N:$N,LubesData!$V:$V,$R80,LubesData!$U:$U,8))</f>
        <v/>
      </c>
      <c r="AB80">
        <f>IF(COUNTIFS(LubesData!$V:$V,$R80,LubesData!$U:$U,9,LubesData!$N:$N,"&lt;&gt;")=0,"",SUMIFS(LubesData!$N:$N,LubesData!$V:$V,$R80,LubesData!$U:$U,9))</f>
        <v/>
      </c>
      <c r="AC80">
        <f>IF(COUNTIFS(LubesData!$V:$V,$R80,LubesData!$U:$U,10,LubesData!$N:$N,"&lt;&gt;")=0,"",SUMIFS(LubesData!$N:$N,LubesData!$V:$V,$R80,LubesData!$U:$U,10))</f>
        <v/>
      </c>
      <c r="AD80">
        <f>IF(COUNTIFS(LubesData!$V:$V,$R80,LubesData!$U:$U,11,LubesData!$N:$N,"&lt;&gt;")=0,"",SUMIFS(LubesData!$N:$N,LubesData!$V:$V,$R80,LubesData!$U:$U,11))</f>
        <v/>
      </c>
      <c r="AE80">
        <f>IF(COUNTIFS(LubesData!$V:$V,$R80,LubesData!$U:$U,12,LubesData!$N:$N,"&lt;&gt;")=0,"",SUMIFS(LubesData!$N:$N,LubesData!$V:$V,$R80,LubesData!$U:$U,12))</f>
        <v/>
      </c>
      <c r="AF80">
        <f>IF(COUNTIFS(LubesData!$V:$V,$R80,LubesData!$U:$U,13,LubesData!$N:$N,"&lt;&gt;")=0,"",SUMIFS(LubesData!$N:$N,LubesData!$V:$V,$R80,LubesData!$U:$U,13))</f>
        <v/>
      </c>
      <c r="AG80">
        <f>IF(COUNTIFS(LubesData!$V:$V,$R80,LubesData!$U:$U,14,LubesData!$N:$N,"&lt;&gt;")=0,"",SUMIFS(LubesData!$N:$N,LubesData!$V:$V,$R80,LubesData!$U:$U,14))</f>
        <v/>
      </c>
      <c r="AH80">
        <f>COUNTIFS(LubesData!$V:$V,$R80,LubesData!$U:$U,"&lt;="&amp;14,LubesData!$N:$N,"&lt;&gt;")</f>
        <v/>
      </c>
      <c r="AI80">
        <f>COUNTIFS(LubesData!$V:$V,$R80,LubesData!$U:$U,"&lt;="&amp;14,LubesData!$N:$N,0)</f>
        <v/>
      </c>
      <c r="AJ80">
        <f>IF(AH80=0,"",AH80-AI80)</f>
        <v/>
      </c>
      <c r="AK80">
        <f>IF(AH80=0,"",SUMIFS(LubesData!$N:$N,LubesData!$V:$V,$R80,LubesData!$U:$U,"&lt;="&amp;14))</f>
        <v/>
      </c>
      <c r="AL80">
        <f>IF(AH80=0,"",IF(ABS(MAX(T80:AG80))&gt;=ABS(MIN(T80:AG80)),MAX(T80:AG80),MIN(T80:AG80)))</f>
        <v/>
      </c>
      <c r="AM80">
        <f>IF(AH80=0,-1,AJ80*100000+MIN(ABS(AK80),99999))</f>
        <v/>
      </c>
      <c r="AN80">
        <f>IF($S80="","",1+COUNTIFS($AM$3:$AM$122,"&gt;"&amp;AM80)+COUNTIFS($AM$3:$AM$122,AM80,$R$3:$R$122,"&lt;"&amp;$R80))</f>
        <v/>
      </c>
    </row>
    <row r="81">
      <c r="R81" t="n">
        <v>79</v>
      </c>
      <c r="S81">
        <f>IFERROR(INDEX(LubesData!$G:$G,MATCH($R81,LubesData!$V:$V,0)),"")</f>
        <v/>
      </c>
      <c r="T81">
        <f>IF(COUNTIFS(LubesData!$V:$V,$R81,LubesData!$U:$U,1,LubesData!$N:$N,"&lt;&gt;")=0,"",SUMIFS(LubesData!$N:$N,LubesData!$V:$V,$R81,LubesData!$U:$U,1))</f>
        <v/>
      </c>
      <c r="U81">
        <f>IF(COUNTIFS(LubesData!$V:$V,$R81,LubesData!$U:$U,2,LubesData!$N:$N,"&lt;&gt;")=0,"",SUMIFS(LubesData!$N:$N,LubesData!$V:$V,$R81,LubesData!$U:$U,2))</f>
        <v/>
      </c>
      <c r="V81">
        <f>IF(COUNTIFS(LubesData!$V:$V,$R81,LubesData!$U:$U,3,LubesData!$N:$N,"&lt;&gt;")=0,"",SUMIFS(LubesData!$N:$N,LubesData!$V:$V,$R81,LubesData!$U:$U,3))</f>
        <v/>
      </c>
      <c r="W81">
        <f>IF(COUNTIFS(LubesData!$V:$V,$R81,LubesData!$U:$U,4,LubesData!$N:$N,"&lt;&gt;")=0,"",SUMIFS(LubesData!$N:$N,LubesData!$V:$V,$R81,LubesData!$U:$U,4))</f>
        <v/>
      </c>
      <c r="X81">
        <f>IF(COUNTIFS(LubesData!$V:$V,$R81,LubesData!$U:$U,5,LubesData!$N:$N,"&lt;&gt;")=0,"",SUMIFS(LubesData!$N:$N,LubesData!$V:$V,$R81,LubesData!$U:$U,5))</f>
        <v/>
      </c>
      <c r="Y81">
        <f>IF(COUNTIFS(LubesData!$V:$V,$R81,LubesData!$U:$U,6,LubesData!$N:$N,"&lt;&gt;")=0,"",SUMIFS(LubesData!$N:$N,LubesData!$V:$V,$R81,LubesData!$U:$U,6))</f>
        <v/>
      </c>
      <c r="Z81">
        <f>IF(COUNTIFS(LubesData!$V:$V,$R81,LubesData!$U:$U,7,LubesData!$N:$N,"&lt;&gt;")=0,"",SUMIFS(LubesData!$N:$N,LubesData!$V:$V,$R81,LubesData!$U:$U,7))</f>
        <v/>
      </c>
      <c r="AA81">
        <f>IF(COUNTIFS(LubesData!$V:$V,$R81,LubesData!$U:$U,8,LubesData!$N:$N,"&lt;&gt;")=0,"",SUMIFS(LubesData!$N:$N,LubesData!$V:$V,$R81,LubesData!$U:$U,8))</f>
        <v/>
      </c>
      <c r="AB81">
        <f>IF(COUNTIFS(LubesData!$V:$V,$R81,LubesData!$U:$U,9,LubesData!$N:$N,"&lt;&gt;")=0,"",SUMIFS(LubesData!$N:$N,LubesData!$V:$V,$R81,LubesData!$U:$U,9))</f>
        <v/>
      </c>
      <c r="AC81">
        <f>IF(COUNTIFS(LubesData!$V:$V,$R81,LubesData!$U:$U,10,LubesData!$N:$N,"&lt;&gt;")=0,"",SUMIFS(LubesData!$N:$N,LubesData!$V:$V,$R81,LubesData!$U:$U,10))</f>
        <v/>
      </c>
      <c r="AD81">
        <f>IF(COUNTIFS(LubesData!$V:$V,$R81,LubesData!$U:$U,11,LubesData!$N:$N,"&lt;&gt;")=0,"",SUMIFS(LubesData!$N:$N,LubesData!$V:$V,$R81,LubesData!$U:$U,11))</f>
        <v/>
      </c>
      <c r="AE81">
        <f>IF(COUNTIFS(LubesData!$V:$V,$R81,LubesData!$U:$U,12,LubesData!$N:$N,"&lt;&gt;")=0,"",SUMIFS(LubesData!$N:$N,LubesData!$V:$V,$R81,LubesData!$U:$U,12))</f>
        <v/>
      </c>
      <c r="AF81">
        <f>IF(COUNTIFS(LubesData!$V:$V,$R81,LubesData!$U:$U,13,LubesData!$N:$N,"&lt;&gt;")=0,"",SUMIFS(LubesData!$N:$N,LubesData!$V:$V,$R81,LubesData!$U:$U,13))</f>
        <v/>
      </c>
      <c r="AG81">
        <f>IF(COUNTIFS(LubesData!$V:$V,$R81,LubesData!$U:$U,14,LubesData!$N:$N,"&lt;&gt;")=0,"",SUMIFS(LubesData!$N:$N,LubesData!$V:$V,$R81,LubesData!$U:$U,14))</f>
        <v/>
      </c>
      <c r="AH81">
        <f>COUNTIFS(LubesData!$V:$V,$R81,LubesData!$U:$U,"&lt;="&amp;14,LubesData!$N:$N,"&lt;&gt;")</f>
        <v/>
      </c>
      <c r="AI81">
        <f>COUNTIFS(LubesData!$V:$V,$R81,LubesData!$U:$U,"&lt;="&amp;14,LubesData!$N:$N,0)</f>
        <v/>
      </c>
      <c r="AJ81">
        <f>IF(AH81=0,"",AH81-AI81)</f>
        <v/>
      </c>
      <c r="AK81">
        <f>IF(AH81=0,"",SUMIFS(LubesData!$N:$N,LubesData!$V:$V,$R81,LubesData!$U:$U,"&lt;="&amp;14))</f>
        <v/>
      </c>
      <c r="AL81">
        <f>IF(AH81=0,"",IF(ABS(MAX(T81:AG81))&gt;=ABS(MIN(T81:AG81)),MAX(T81:AG81),MIN(T81:AG81)))</f>
        <v/>
      </c>
      <c r="AM81">
        <f>IF(AH81=0,-1,AJ81*100000+MIN(ABS(AK81),99999))</f>
        <v/>
      </c>
      <c r="AN81">
        <f>IF($S81="","",1+COUNTIFS($AM$3:$AM$122,"&gt;"&amp;AM81)+COUNTIFS($AM$3:$AM$122,AM81,$R$3:$R$122,"&lt;"&amp;$R81))</f>
        <v/>
      </c>
    </row>
    <row r="82">
      <c r="R82" t="n">
        <v>80</v>
      </c>
      <c r="S82">
        <f>IFERROR(INDEX(LubesData!$G:$G,MATCH($R82,LubesData!$V:$V,0)),"")</f>
        <v/>
      </c>
      <c r="T82">
        <f>IF(COUNTIFS(LubesData!$V:$V,$R82,LubesData!$U:$U,1,LubesData!$N:$N,"&lt;&gt;")=0,"",SUMIFS(LubesData!$N:$N,LubesData!$V:$V,$R82,LubesData!$U:$U,1))</f>
        <v/>
      </c>
      <c r="U82">
        <f>IF(COUNTIFS(LubesData!$V:$V,$R82,LubesData!$U:$U,2,LubesData!$N:$N,"&lt;&gt;")=0,"",SUMIFS(LubesData!$N:$N,LubesData!$V:$V,$R82,LubesData!$U:$U,2))</f>
        <v/>
      </c>
      <c r="V82">
        <f>IF(COUNTIFS(LubesData!$V:$V,$R82,LubesData!$U:$U,3,LubesData!$N:$N,"&lt;&gt;")=0,"",SUMIFS(LubesData!$N:$N,LubesData!$V:$V,$R82,LubesData!$U:$U,3))</f>
        <v/>
      </c>
      <c r="W82">
        <f>IF(COUNTIFS(LubesData!$V:$V,$R82,LubesData!$U:$U,4,LubesData!$N:$N,"&lt;&gt;")=0,"",SUMIFS(LubesData!$N:$N,LubesData!$V:$V,$R82,LubesData!$U:$U,4))</f>
        <v/>
      </c>
      <c r="X82">
        <f>IF(COUNTIFS(LubesData!$V:$V,$R82,LubesData!$U:$U,5,LubesData!$N:$N,"&lt;&gt;")=0,"",SUMIFS(LubesData!$N:$N,LubesData!$V:$V,$R82,LubesData!$U:$U,5))</f>
        <v/>
      </c>
      <c r="Y82">
        <f>IF(COUNTIFS(LubesData!$V:$V,$R82,LubesData!$U:$U,6,LubesData!$N:$N,"&lt;&gt;")=0,"",SUMIFS(LubesData!$N:$N,LubesData!$V:$V,$R82,LubesData!$U:$U,6))</f>
        <v/>
      </c>
      <c r="Z82">
        <f>IF(COUNTIFS(LubesData!$V:$V,$R82,LubesData!$U:$U,7,LubesData!$N:$N,"&lt;&gt;")=0,"",SUMIFS(LubesData!$N:$N,LubesData!$V:$V,$R82,LubesData!$U:$U,7))</f>
        <v/>
      </c>
      <c r="AA82">
        <f>IF(COUNTIFS(LubesData!$V:$V,$R82,LubesData!$U:$U,8,LubesData!$N:$N,"&lt;&gt;")=0,"",SUMIFS(LubesData!$N:$N,LubesData!$V:$V,$R82,LubesData!$U:$U,8))</f>
        <v/>
      </c>
      <c r="AB82">
        <f>IF(COUNTIFS(LubesData!$V:$V,$R82,LubesData!$U:$U,9,LubesData!$N:$N,"&lt;&gt;")=0,"",SUMIFS(LubesData!$N:$N,LubesData!$V:$V,$R82,LubesData!$U:$U,9))</f>
        <v/>
      </c>
      <c r="AC82">
        <f>IF(COUNTIFS(LubesData!$V:$V,$R82,LubesData!$U:$U,10,LubesData!$N:$N,"&lt;&gt;")=0,"",SUMIFS(LubesData!$N:$N,LubesData!$V:$V,$R82,LubesData!$U:$U,10))</f>
        <v/>
      </c>
      <c r="AD82">
        <f>IF(COUNTIFS(LubesData!$V:$V,$R82,LubesData!$U:$U,11,LubesData!$N:$N,"&lt;&gt;")=0,"",SUMIFS(LubesData!$N:$N,LubesData!$V:$V,$R82,LubesData!$U:$U,11))</f>
        <v/>
      </c>
      <c r="AE82">
        <f>IF(COUNTIFS(LubesData!$V:$V,$R82,LubesData!$U:$U,12,LubesData!$N:$N,"&lt;&gt;")=0,"",SUMIFS(LubesData!$N:$N,LubesData!$V:$V,$R82,LubesData!$U:$U,12))</f>
        <v/>
      </c>
      <c r="AF82">
        <f>IF(COUNTIFS(LubesData!$V:$V,$R82,LubesData!$U:$U,13,LubesData!$N:$N,"&lt;&gt;")=0,"",SUMIFS(LubesData!$N:$N,LubesData!$V:$V,$R82,LubesData!$U:$U,13))</f>
        <v/>
      </c>
      <c r="AG82">
        <f>IF(COUNTIFS(LubesData!$V:$V,$R82,LubesData!$U:$U,14,LubesData!$N:$N,"&lt;&gt;")=0,"",SUMIFS(LubesData!$N:$N,LubesData!$V:$V,$R82,LubesData!$U:$U,14))</f>
        <v/>
      </c>
      <c r="AH82">
        <f>COUNTIFS(LubesData!$V:$V,$R82,LubesData!$U:$U,"&lt;="&amp;14,LubesData!$N:$N,"&lt;&gt;")</f>
        <v/>
      </c>
      <c r="AI82">
        <f>COUNTIFS(LubesData!$V:$V,$R82,LubesData!$U:$U,"&lt;="&amp;14,LubesData!$N:$N,0)</f>
        <v/>
      </c>
      <c r="AJ82">
        <f>IF(AH82=0,"",AH82-AI82)</f>
        <v/>
      </c>
      <c r="AK82">
        <f>IF(AH82=0,"",SUMIFS(LubesData!$N:$N,LubesData!$V:$V,$R82,LubesData!$U:$U,"&lt;="&amp;14))</f>
        <v/>
      </c>
      <c r="AL82">
        <f>IF(AH82=0,"",IF(ABS(MAX(T82:AG82))&gt;=ABS(MIN(T82:AG82)),MAX(T82:AG82),MIN(T82:AG82)))</f>
        <v/>
      </c>
      <c r="AM82">
        <f>IF(AH82=0,-1,AJ82*100000+MIN(ABS(AK82),99999))</f>
        <v/>
      </c>
      <c r="AN82">
        <f>IF($S82="","",1+COUNTIFS($AM$3:$AM$122,"&gt;"&amp;AM82)+COUNTIFS($AM$3:$AM$122,AM82,$R$3:$R$122,"&lt;"&amp;$R82))</f>
        <v/>
      </c>
    </row>
    <row r="83">
      <c r="R83" t="n">
        <v>81</v>
      </c>
      <c r="S83">
        <f>IFERROR(INDEX(LubesData!$G:$G,MATCH($R83,LubesData!$V:$V,0)),"")</f>
        <v/>
      </c>
      <c r="T83">
        <f>IF(COUNTIFS(LubesData!$V:$V,$R83,LubesData!$U:$U,1,LubesData!$N:$N,"&lt;&gt;")=0,"",SUMIFS(LubesData!$N:$N,LubesData!$V:$V,$R83,LubesData!$U:$U,1))</f>
        <v/>
      </c>
      <c r="U83">
        <f>IF(COUNTIFS(LubesData!$V:$V,$R83,LubesData!$U:$U,2,LubesData!$N:$N,"&lt;&gt;")=0,"",SUMIFS(LubesData!$N:$N,LubesData!$V:$V,$R83,LubesData!$U:$U,2))</f>
        <v/>
      </c>
      <c r="V83">
        <f>IF(COUNTIFS(LubesData!$V:$V,$R83,LubesData!$U:$U,3,LubesData!$N:$N,"&lt;&gt;")=0,"",SUMIFS(LubesData!$N:$N,LubesData!$V:$V,$R83,LubesData!$U:$U,3))</f>
        <v/>
      </c>
      <c r="W83">
        <f>IF(COUNTIFS(LubesData!$V:$V,$R83,LubesData!$U:$U,4,LubesData!$N:$N,"&lt;&gt;")=0,"",SUMIFS(LubesData!$N:$N,LubesData!$V:$V,$R83,LubesData!$U:$U,4))</f>
        <v/>
      </c>
      <c r="X83">
        <f>IF(COUNTIFS(LubesData!$V:$V,$R83,LubesData!$U:$U,5,LubesData!$N:$N,"&lt;&gt;")=0,"",SUMIFS(LubesData!$N:$N,LubesData!$V:$V,$R83,LubesData!$U:$U,5))</f>
        <v/>
      </c>
      <c r="Y83">
        <f>IF(COUNTIFS(LubesData!$V:$V,$R83,LubesData!$U:$U,6,LubesData!$N:$N,"&lt;&gt;")=0,"",SUMIFS(LubesData!$N:$N,LubesData!$V:$V,$R83,LubesData!$U:$U,6))</f>
        <v/>
      </c>
      <c r="Z83">
        <f>IF(COUNTIFS(LubesData!$V:$V,$R83,LubesData!$U:$U,7,LubesData!$N:$N,"&lt;&gt;")=0,"",SUMIFS(LubesData!$N:$N,LubesData!$V:$V,$R83,LubesData!$U:$U,7))</f>
        <v/>
      </c>
      <c r="AA83">
        <f>IF(COUNTIFS(LubesData!$V:$V,$R83,LubesData!$U:$U,8,LubesData!$N:$N,"&lt;&gt;")=0,"",SUMIFS(LubesData!$N:$N,LubesData!$V:$V,$R83,LubesData!$U:$U,8))</f>
        <v/>
      </c>
      <c r="AB83">
        <f>IF(COUNTIFS(LubesData!$V:$V,$R83,LubesData!$U:$U,9,LubesData!$N:$N,"&lt;&gt;")=0,"",SUMIFS(LubesData!$N:$N,LubesData!$V:$V,$R83,LubesData!$U:$U,9))</f>
        <v/>
      </c>
      <c r="AC83">
        <f>IF(COUNTIFS(LubesData!$V:$V,$R83,LubesData!$U:$U,10,LubesData!$N:$N,"&lt;&gt;")=0,"",SUMIFS(LubesData!$N:$N,LubesData!$V:$V,$R83,LubesData!$U:$U,10))</f>
        <v/>
      </c>
      <c r="AD83">
        <f>IF(COUNTIFS(LubesData!$V:$V,$R83,LubesData!$U:$U,11,LubesData!$N:$N,"&lt;&gt;")=0,"",SUMIFS(LubesData!$N:$N,LubesData!$V:$V,$R83,LubesData!$U:$U,11))</f>
        <v/>
      </c>
      <c r="AE83">
        <f>IF(COUNTIFS(LubesData!$V:$V,$R83,LubesData!$U:$U,12,LubesData!$N:$N,"&lt;&gt;")=0,"",SUMIFS(LubesData!$N:$N,LubesData!$V:$V,$R83,LubesData!$U:$U,12))</f>
        <v/>
      </c>
      <c r="AF83">
        <f>IF(COUNTIFS(LubesData!$V:$V,$R83,LubesData!$U:$U,13,LubesData!$N:$N,"&lt;&gt;")=0,"",SUMIFS(LubesData!$N:$N,LubesData!$V:$V,$R83,LubesData!$U:$U,13))</f>
        <v/>
      </c>
      <c r="AG83">
        <f>IF(COUNTIFS(LubesData!$V:$V,$R83,LubesData!$U:$U,14,LubesData!$N:$N,"&lt;&gt;")=0,"",SUMIFS(LubesData!$N:$N,LubesData!$V:$V,$R83,LubesData!$U:$U,14))</f>
        <v/>
      </c>
      <c r="AH83">
        <f>COUNTIFS(LubesData!$V:$V,$R83,LubesData!$U:$U,"&lt;="&amp;14,LubesData!$N:$N,"&lt;&gt;")</f>
        <v/>
      </c>
      <c r="AI83">
        <f>COUNTIFS(LubesData!$V:$V,$R83,LubesData!$U:$U,"&lt;="&amp;14,LubesData!$N:$N,0)</f>
        <v/>
      </c>
      <c r="AJ83">
        <f>IF(AH83=0,"",AH83-AI83)</f>
        <v/>
      </c>
      <c r="AK83">
        <f>IF(AH83=0,"",SUMIFS(LubesData!$N:$N,LubesData!$V:$V,$R83,LubesData!$U:$U,"&lt;="&amp;14))</f>
        <v/>
      </c>
      <c r="AL83">
        <f>IF(AH83=0,"",IF(ABS(MAX(T83:AG83))&gt;=ABS(MIN(T83:AG83)),MAX(T83:AG83),MIN(T83:AG83)))</f>
        <v/>
      </c>
      <c r="AM83">
        <f>IF(AH83=0,-1,AJ83*100000+MIN(ABS(AK83),99999))</f>
        <v/>
      </c>
      <c r="AN83">
        <f>IF($S83="","",1+COUNTIFS($AM$3:$AM$122,"&gt;"&amp;AM83)+COUNTIFS($AM$3:$AM$122,AM83,$R$3:$R$122,"&lt;"&amp;$R83))</f>
        <v/>
      </c>
    </row>
    <row r="84">
      <c r="R84" t="n">
        <v>82</v>
      </c>
      <c r="S84">
        <f>IFERROR(INDEX(LubesData!$G:$G,MATCH($R84,LubesData!$V:$V,0)),"")</f>
        <v/>
      </c>
      <c r="T84">
        <f>IF(COUNTIFS(LubesData!$V:$V,$R84,LubesData!$U:$U,1,LubesData!$N:$N,"&lt;&gt;")=0,"",SUMIFS(LubesData!$N:$N,LubesData!$V:$V,$R84,LubesData!$U:$U,1))</f>
        <v/>
      </c>
      <c r="U84">
        <f>IF(COUNTIFS(LubesData!$V:$V,$R84,LubesData!$U:$U,2,LubesData!$N:$N,"&lt;&gt;")=0,"",SUMIFS(LubesData!$N:$N,LubesData!$V:$V,$R84,LubesData!$U:$U,2))</f>
        <v/>
      </c>
      <c r="V84">
        <f>IF(COUNTIFS(LubesData!$V:$V,$R84,LubesData!$U:$U,3,LubesData!$N:$N,"&lt;&gt;")=0,"",SUMIFS(LubesData!$N:$N,LubesData!$V:$V,$R84,LubesData!$U:$U,3))</f>
        <v/>
      </c>
      <c r="W84">
        <f>IF(COUNTIFS(LubesData!$V:$V,$R84,LubesData!$U:$U,4,LubesData!$N:$N,"&lt;&gt;")=0,"",SUMIFS(LubesData!$N:$N,LubesData!$V:$V,$R84,LubesData!$U:$U,4))</f>
        <v/>
      </c>
      <c r="X84">
        <f>IF(COUNTIFS(LubesData!$V:$V,$R84,LubesData!$U:$U,5,LubesData!$N:$N,"&lt;&gt;")=0,"",SUMIFS(LubesData!$N:$N,LubesData!$V:$V,$R84,LubesData!$U:$U,5))</f>
        <v/>
      </c>
      <c r="Y84">
        <f>IF(COUNTIFS(LubesData!$V:$V,$R84,LubesData!$U:$U,6,LubesData!$N:$N,"&lt;&gt;")=0,"",SUMIFS(LubesData!$N:$N,LubesData!$V:$V,$R84,LubesData!$U:$U,6))</f>
        <v/>
      </c>
      <c r="Z84">
        <f>IF(COUNTIFS(LubesData!$V:$V,$R84,LubesData!$U:$U,7,LubesData!$N:$N,"&lt;&gt;")=0,"",SUMIFS(LubesData!$N:$N,LubesData!$V:$V,$R84,LubesData!$U:$U,7))</f>
        <v/>
      </c>
      <c r="AA84">
        <f>IF(COUNTIFS(LubesData!$V:$V,$R84,LubesData!$U:$U,8,LubesData!$N:$N,"&lt;&gt;")=0,"",SUMIFS(LubesData!$N:$N,LubesData!$V:$V,$R84,LubesData!$U:$U,8))</f>
        <v/>
      </c>
      <c r="AB84">
        <f>IF(COUNTIFS(LubesData!$V:$V,$R84,LubesData!$U:$U,9,LubesData!$N:$N,"&lt;&gt;")=0,"",SUMIFS(LubesData!$N:$N,LubesData!$V:$V,$R84,LubesData!$U:$U,9))</f>
        <v/>
      </c>
      <c r="AC84">
        <f>IF(COUNTIFS(LubesData!$V:$V,$R84,LubesData!$U:$U,10,LubesData!$N:$N,"&lt;&gt;")=0,"",SUMIFS(LubesData!$N:$N,LubesData!$V:$V,$R84,LubesData!$U:$U,10))</f>
        <v/>
      </c>
      <c r="AD84">
        <f>IF(COUNTIFS(LubesData!$V:$V,$R84,LubesData!$U:$U,11,LubesData!$N:$N,"&lt;&gt;")=0,"",SUMIFS(LubesData!$N:$N,LubesData!$V:$V,$R84,LubesData!$U:$U,11))</f>
        <v/>
      </c>
      <c r="AE84">
        <f>IF(COUNTIFS(LubesData!$V:$V,$R84,LubesData!$U:$U,12,LubesData!$N:$N,"&lt;&gt;")=0,"",SUMIFS(LubesData!$N:$N,LubesData!$V:$V,$R84,LubesData!$U:$U,12))</f>
        <v/>
      </c>
      <c r="AF84">
        <f>IF(COUNTIFS(LubesData!$V:$V,$R84,LubesData!$U:$U,13,LubesData!$N:$N,"&lt;&gt;")=0,"",SUMIFS(LubesData!$N:$N,LubesData!$V:$V,$R84,LubesData!$U:$U,13))</f>
        <v/>
      </c>
      <c r="AG84">
        <f>IF(COUNTIFS(LubesData!$V:$V,$R84,LubesData!$U:$U,14,LubesData!$N:$N,"&lt;&gt;")=0,"",SUMIFS(LubesData!$N:$N,LubesData!$V:$V,$R84,LubesData!$U:$U,14))</f>
        <v/>
      </c>
      <c r="AH84">
        <f>COUNTIFS(LubesData!$V:$V,$R84,LubesData!$U:$U,"&lt;="&amp;14,LubesData!$N:$N,"&lt;&gt;")</f>
        <v/>
      </c>
      <c r="AI84">
        <f>COUNTIFS(LubesData!$V:$V,$R84,LubesData!$U:$U,"&lt;="&amp;14,LubesData!$N:$N,0)</f>
        <v/>
      </c>
      <c r="AJ84">
        <f>IF(AH84=0,"",AH84-AI84)</f>
        <v/>
      </c>
      <c r="AK84">
        <f>IF(AH84=0,"",SUMIFS(LubesData!$N:$N,LubesData!$V:$V,$R84,LubesData!$U:$U,"&lt;="&amp;14))</f>
        <v/>
      </c>
      <c r="AL84">
        <f>IF(AH84=0,"",IF(ABS(MAX(T84:AG84))&gt;=ABS(MIN(T84:AG84)),MAX(T84:AG84),MIN(T84:AG84)))</f>
        <v/>
      </c>
      <c r="AM84">
        <f>IF(AH84=0,-1,AJ84*100000+MIN(ABS(AK84),99999))</f>
        <v/>
      </c>
      <c r="AN84">
        <f>IF($S84="","",1+COUNTIFS($AM$3:$AM$122,"&gt;"&amp;AM84)+COUNTIFS($AM$3:$AM$122,AM84,$R$3:$R$122,"&lt;"&amp;$R84))</f>
        <v/>
      </c>
    </row>
    <row r="85">
      <c r="R85" t="n">
        <v>83</v>
      </c>
      <c r="S85">
        <f>IFERROR(INDEX(LubesData!$G:$G,MATCH($R85,LubesData!$V:$V,0)),"")</f>
        <v/>
      </c>
      <c r="T85">
        <f>IF(COUNTIFS(LubesData!$V:$V,$R85,LubesData!$U:$U,1,LubesData!$N:$N,"&lt;&gt;")=0,"",SUMIFS(LubesData!$N:$N,LubesData!$V:$V,$R85,LubesData!$U:$U,1))</f>
        <v/>
      </c>
      <c r="U85">
        <f>IF(COUNTIFS(LubesData!$V:$V,$R85,LubesData!$U:$U,2,LubesData!$N:$N,"&lt;&gt;")=0,"",SUMIFS(LubesData!$N:$N,LubesData!$V:$V,$R85,LubesData!$U:$U,2))</f>
        <v/>
      </c>
      <c r="V85">
        <f>IF(COUNTIFS(LubesData!$V:$V,$R85,LubesData!$U:$U,3,LubesData!$N:$N,"&lt;&gt;")=0,"",SUMIFS(LubesData!$N:$N,LubesData!$V:$V,$R85,LubesData!$U:$U,3))</f>
        <v/>
      </c>
      <c r="W85">
        <f>IF(COUNTIFS(LubesData!$V:$V,$R85,LubesData!$U:$U,4,LubesData!$N:$N,"&lt;&gt;")=0,"",SUMIFS(LubesData!$N:$N,LubesData!$V:$V,$R85,LubesData!$U:$U,4))</f>
        <v/>
      </c>
      <c r="X85">
        <f>IF(COUNTIFS(LubesData!$V:$V,$R85,LubesData!$U:$U,5,LubesData!$N:$N,"&lt;&gt;")=0,"",SUMIFS(LubesData!$N:$N,LubesData!$V:$V,$R85,LubesData!$U:$U,5))</f>
        <v/>
      </c>
      <c r="Y85">
        <f>IF(COUNTIFS(LubesData!$V:$V,$R85,LubesData!$U:$U,6,LubesData!$N:$N,"&lt;&gt;")=0,"",SUMIFS(LubesData!$N:$N,LubesData!$V:$V,$R85,LubesData!$U:$U,6))</f>
        <v/>
      </c>
      <c r="Z85">
        <f>IF(COUNTIFS(LubesData!$V:$V,$R85,LubesData!$U:$U,7,LubesData!$N:$N,"&lt;&gt;")=0,"",SUMIFS(LubesData!$N:$N,LubesData!$V:$V,$R85,LubesData!$U:$U,7))</f>
        <v/>
      </c>
      <c r="AA85">
        <f>IF(COUNTIFS(LubesData!$V:$V,$R85,LubesData!$U:$U,8,LubesData!$N:$N,"&lt;&gt;")=0,"",SUMIFS(LubesData!$N:$N,LubesData!$V:$V,$R85,LubesData!$U:$U,8))</f>
        <v/>
      </c>
      <c r="AB85">
        <f>IF(COUNTIFS(LubesData!$V:$V,$R85,LubesData!$U:$U,9,LubesData!$N:$N,"&lt;&gt;")=0,"",SUMIFS(LubesData!$N:$N,LubesData!$V:$V,$R85,LubesData!$U:$U,9))</f>
        <v/>
      </c>
      <c r="AC85">
        <f>IF(COUNTIFS(LubesData!$V:$V,$R85,LubesData!$U:$U,10,LubesData!$N:$N,"&lt;&gt;")=0,"",SUMIFS(LubesData!$N:$N,LubesData!$V:$V,$R85,LubesData!$U:$U,10))</f>
        <v/>
      </c>
      <c r="AD85">
        <f>IF(COUNTIFS(LubesData!$V:$V,$R85,LubesData!$U:$U,11,LubesData!$N:$N,"&lt;&gt;")=0,"",SUMIFS(LubesData!$N:$N,LubesData!$V:$V,$R85,LubesData!$U:$U,11))</f>
        <v/>
      </c>
      <c r="AE85">
        <f>IF(COUNTIFS(LubesData!$V:$V,$R85,LubesData!$U:$U,12,LubesData!$N:$N,"&lt;&gt;")=0,"",SUMIFS(LubesData!$N:$N,LubesData!$V:$V,$R85,LubesData!$U:$U,12))</f>
        <v/>
      </c>
      <c r="AF85">
        <f>IF(COUNTIFS(LubesData!$V:$V,$R85,LubesData!$U:$U,13,LubesData!$N:$N,"&lt;&gt;")=0,"",SUMIFS(LubesData!$N:$N,LubesData!$V:$V,$R85,LubesData!$U:$U,13))</f>
        <v/>
      </c>
      <c r="AG85">
        <f>IF(COUNTIFS(LubesData!$V:$V,$R85,LubesData!$U:$U,14,LubesData!$N:$N,"&lt;&gt;")=0,"",SUMIFS(LubesData!$N:$N,LubesData!$V:$V,$R85,LubesData!$U:$U,14))</f>
        <v/>
      </c>
      <c r="AH85">
        <f>COUNTIFS(LubesData!$V:$V,$R85,LubesData!$U:$U,"&lt;="&amp;14,LubesData!$N:$N,"&lt;&gt;")</f>
        <v/>
      </c>
      <c r="AI85">
        <f>COUNTIFS(LubesData!$V:$V,$R85,LubesData!$U:$U,"&lt;="&amp;14,LubesData!$N:$N,0)</f>
        <v/>
      </c>
      <c r="AJ85">
        <f>IF(AH85=0,"",AH85-AI85)</f>
        <v/>
      </c>
      <c r="AK85">
        <f>IF(AH85=0,"",SUMIFS(LubesData!$N:$N,LubesData!$V:$V,$R85,LubesData!$U:$U,"&lt;="&amp;14))</f>
        <v/>
      </c>
      <c r="AL85">
        <f>IF(AH85=0,"",IF(ABS(MAX(T85:AG85))&gt;=ABS(MIN(T85:AG85)),MAX(T85:AG85),MIN(T85:AG85)))</f>
        <v/>
      </c>
      <c r="AM85">
        <f>IF(AH85=0,-1,AJ85*100000+MIN(ABS(AK85),99999))</f>
        <v/>
      </c>
      <c r="AN85">
        <f>IF($S85="","",1+COUNTIFS($AM$3:$AM$122,"&gt;"&amp;AM85)+COUNTIFS($AM$3:$AM$122,AM85,$R$3:$R$122,"&lt;"&amp;$R85))</f>
        <v/>
      </c>
    </row>
    <row r="86">
      <c r="R86" t="n">
        <v>84</v>
      </c>
      <c r="S86">
        <f>IFERROR(INDEX(LubesData!$G:$G,MATCH($R86,LubesData!$V:$V,0)),"")</f>
        <v/>
      </c>
      <c r="T86">
        <f>IF(COUNTIFS(LubesData!$V:$V,$R86,LubesData!$U:$U,1,LubesData!$N:$N,"&lt;&gt;")=0,"",SUMIFS(LubesData!$N:$N,LubesData!$V:$V,$R86,LubesData!$U:$U,1))</f>
        <v/>
      </c>
      <c r="U86">
        <f>IF(COUNTIFS(LubesData!$V:$V,$R86,LubesData!$U:$U,2,LubesData!$N:$N,"&lt;&gt;")=0,"",SUMIFS(LubesData!$N:$N,LubesData!$V:$V,$R86,LubesData!$U:$U,2))</f>
        <v/>
      </c>
      <c r="V86">
        <f>IF(COUNTIFS(LubesData!$V:$V,$R86,LubesData!$U:$U,3,LubesData!$N:$N,"&lt;&gt;")=0,"",SUMIFS(LubesData!$N:$N,LubesData!$V:$V,$R86,LubesData!$U:$U,3))</f>
        <v/>
      </c>
      <c r="W86">
        <f>IF(COUNTIFS(LubesData!$V:$V,$R86,LubesData!$U:$U,4,LubesData!$N:$N,"&lt;&gt;")=0,"",SUMIFS(LubesData!$N:$N,LubesData!$V:$V,$R86,LubesData!$U:$U,4))</f>
        <v/>
      </c>
      <c r="X86">
        <f>IF(COUNTIFS(LubesData!$V:$V,$R86,LubesData!$U:$U,5,LubesData!$N:$N,"&lt;&gt;")=0,"",SUMIFS(LubesData!$N:$N,LubesData!$V:$V,$R86,LubesData!$U:$U,5))</f>
        <v/>
      </c>
      <c r="Y86">
        <f>IF(COUNTIFS(LubesData!$V:$V,$R86,LubesData!$U:$U,6,LubesData!$N:$N,"&lt;&gt;")=0,"",SUMIFS(LubesData!$N:$N,LubesData!$V:$V,$R86,LubesData!$U:$U,6))</f>
        <v/>
      </c>
      <c r="Z86">
        <f>IF(COUNTIFS(LubesData!$V:$V,$R86,LubesData!$U:$U,7,LubesData!$N:$N,"&lt;&gt;")=0,"",SUMIFS(LubesData!$N:$N,LubesData!$V:$V,$R86,LubesData!$U:$U,7))</f>
        <v/>
      </c>
      <c r="AA86">
        <f>IF(COUNTIFS(LubesData!$V:$V,$R86,LubesData!$U:$U,8,LubesData!$N:$N,"&lt;&gt;")=0,"",SUMIFS(LubesData!$N:$N,LubesData!$V:$V,$R86,LubesData!$U:$U,8))</f>
        <v/>
      </c>
      <c r="AB86">
        <f>IF(COUNTIFS(LubesData!$V:$V,$R86,LubesData!$U:$U,9,LubesData!$N:$N,"&lt;&gt;")=0,"",SUMIFS(LubesData!$N:$N,LubesData!$V:$V,$R86,LubesData!$U:$U,9))</f>
        <v/>
      </c>
      <c r="AC86">
        <f>IF(COUNTIFS(LubesData!$V:$V,$R86,LubesData!$U:$U,10,LubesData!$N:$N,"&lt;&gt;")=0,"",SUMIFS(LubesData!$N:$N,LubesData!$V:$V,$R86,LubesData!$U:$U,10))</f>
        <v/>
      </c>
      <c r="AD86">
        <f>IF(COUNTIFS(LubesData!$V:$V,$R86,LubesData!$U:$U,11,LubesData!$N:$N,"&lt;&gt;")=0,"",SUMIFS(LubesData!$N:$N,LubesData!$V:$V,$R86,LubesData!$U:$U,11))</f>
        <v/>
      </c>
      <c r="AE86">
        <f>IF(COUNTIFS(LubesData!$V:$V,$R86,LubesData!$U:$U,12,LubesData!$N:$N,"&lt;&gt;")=0,"",SUMIFS(LubesData!$N:$N,LubesData!$V:$V,$R86,LubesData!$U:$U,12))</f>
        <v/>
      </c>
      <c r="AF86">
        <f>IF(COUNTIFS(LubesData!$V:$V,$R86,LubesData!$U:$U,13,LubesData!$N:$N,"&lt;&gt;")=0,"",SUMIFS(LubesData!$N:$N,LubesData!$V:$V,$R86,LubesData!$U:$U,13))</f>
        <v/>
      </c>
      <c r="AG86">
        <f>IF(COUNTIFS(LubesData!$V:$V,$R86,LubesData!$U:$U,14,LubesData!$N:$N,"&lt;&gt;")=0,"",SUMIFS(LubesData!$N:$N,LubesData!$V:$V,$R86,LubesData!$U:$U,14))</f>
        <v/>
      </c>
      <c r="AH86">
        <f>COUNTIFS(LubesData!$V:$V,$R86,LubesData!$U:$U,"&lt;="&amp;14,LubesData!$N:$N,"&lt;&gt;")</f>
        <v/>
      </c>
      <c r="AI86">
        <f>COUNTIFS(LubesData!$V:$V,$R86,LubesData!$U:$U,"&lt;="&amp;14,LubesData!$N:$N,0)</f>
        <v/>
      </c>
      <c r="AJ86">
        <f>IF(AH86=0,"",AH86-AI86)</f>
        <v/>
      </c>
      <c r="AK86">
        <f>IF(AH86=0,"",SUMIFS(LubesData!$N:$N,LubesData!$V:$V,$R86,LubesData!$U:$U,"&lt;="&amp;14))</f>
        <v/>
      </c>
      <c r="AL86">
        <f>IF(AH86=0,"",IF(ABS(MAX(T86:AG86))&gt;=ABS(MIN(T86:AG86)),MAX(T86:AG86),MIN(T86:AG86)))</f>
        <v/>
      </c>
      <c r="AM86">
        <f>IF(AH86=0,-1,AJ86*100000+MIN(ABS(AK86),99999))</f>
        <v/>
      </c>
      <c r="AN86">
        <f>IF($S86="","",1+COUNTIFS($AM$3:$AM$122,"&gt;"&amp;AM86)+COUNTIFS($AM$3:$AM$122,AM86,$R$3:$R$122,"&lt;"&amp;$R86))</f>
        <v/>
      </c>
    </row>
    <row r="87">
      <c r="R87" t="n">
        <v>85</v>
      </c>
      <c r="S87">
        <f>IFERROR(INDEX(LubesData!$G:$G,MATCH($R87,LubesData!$V:$V,0)),"")</f>
        <v/>
      </c>
      <c r="T87">
        <f>IF(COUNTIFS(LubesData!$V:$V,$R87,LubesData!$U:$U,1,LubesData!$N:$N,"&lt;&gt;")=0,"",SUMIFS(LubesData!$N:$N,LubesData!$V:$V,$R87,LubesData!$U:$U,1))</f>
        <v/>
      </c>
      <c r="U87">
        <f>IF(COUNTIFS(LubesData!$V:$V,$R87,LubesData!$U:$U,2,LubesData!$N:$N,"&lt;&gt;")=0,"",SUMIFS(LubesData!$N:$N,LubesData!$V:$V,$R87,LubesData!$U:$U,2))</f>
        <v/>
      </c>
      <c r="V87">
        <f>IF(COUNTIFS(LubesData!$V:$V,$R87,LubesData!$U:$U,3,LubesData!$N:$N,"&lt;&gt;")=0,"",SUMIFS(LubesData!$N:$N,LubesData!$V:$V,$R87,LubesData!$U:$U,3))</f>
        <v/>
      </c>
      <c r="W87">
        <f>IF(COUNTIFS(LubesData!$V:$V,$R87,LubesData!$U:$U,4,LubesData!$N:$N,"&lt;&gt;")=0,"",SUMIFS(LubesData!$N:$N,LubesData!$V:$V,$R87,LubesData!$U:$U,4))</f>
        <v/>
      </c>
      <c r="X87">
        <f>IF(COUNTIFS(LubesData!$V:$V,$R87,LubesData!$U:$U,5,LubesData!$N:$N,"&lt;&gt;")=0,"",SUMIFS(LubesData!$N:$N,LubesData!$V:$V,$R87,LubesData!$U:$U,5))</f>
        <v/>
      </c>
      <c r="Y87">
        <f>IF(COUNTIFS(LubesData!$V:$V,$R87,LubesData!$U:$U,6,LubesData!$N:$N,"&lt;&gt;")=0,"",SUMIFS(LubesData!$N:$N,LubesData!$V:$V,$R87,LubesData!$U:$U,6))</f>
        <v/>
      </c>
      <c r="Z87">
        <f>IF(COUNTIFS(LubesData!$V:$V,$R87,LubesData!$U:$U,7,LubesData!$N:$N,"&lt;&gt;")=0,"",SUMIFS(LubesData!$N:$N,LubesData!$V:$V,$R87,LubesData!$U:$U,7))</f>
        <v/>
      </c>
      <c r="AA87">
        <f>IF(COUNTIFS(LubesData!$V:$V,$R87,LubesData!$U:$U,8,LubesData!$N:$N,"&lt;&gt;")=0,"",SUMIFS(LubesData!$N:$N,LubesData!$V:$V,$R87,LubesData!$U:$U,8))</f>
        <v/>
      </c>
      <c r="AB87">
        <f>IF(COUNTIFS(LubesData!$V:$V,$R87,LubesData!$U:$U,9,LubesData!$N:$N,"&lt;&gt;")=0,"",SUMIFS(LubesData!$N:$N,LubesData!$V:$V,$R87,LubesData!$U:$U,9))</f>
        <v/>
      </c>
      <c r="AC87">
        <f>IF(COUNTIFS(LubesData!$V:$V,$R87,LubesData!$U:$U,10,LubesData!$N:$N,"&lt;&gt;")=0,"",SUMIFS(LubesData!$N:$N,LubesData!$V:$V,$R87,LubesData!$U:$U,10))</f>
        <v/>
      </c>
      <c r="AD87">
        <f>IF(COUNTIFS(LubesData!$V:$V,$R87,LubesData!$U:$U,11,LubesData!$N:$N,"&lt;&gt;")=0,"",SUMIFS(LubesData!$N:$N,LubesData!$V:$V,$R87,LubesData!$U:$U,11))</f>
        <v/>
      </c>
      <c r="AE87">
        <f>IF(COUNTIFS(LubesData!$V:$V,$R87,LubesData!$U:$U,12,LubesData!$N:$N,"&lt;&gt;")=0,"",SUMIFS(LubesData!$N:$N,LubesData!$V:$V,$R87,LubesData!$U:$U,12))</f>
        <v/>
      </c>
      <c r="AF87">
        <f>IF(COUNTIFS(LubesData!$V:$V,$R87,LubesData!$U:$U,13,LubesData!$N:$N,"&lt;&gt;")=0,"",SUMIFS(LubesData!$N:$N,LubesData!$V:$V,$R87,LubesData!$U:$U,13))</f>
        <v/>
      </c>
      <c r="AG87">
        <f>IF(COUNTIFS(LubesData!$V:$V,$R87,LubesData!$U:$U,14,LubesData!$N:$N,"&lt;&gt;")=0,"",SUMIFS(LubesData!$N:$N,LubesData!$V:$V,$R87,LubesData!$U:$U,14))</f>
        <v/>
      </c>
      <c r="AH87">
        <f>COUNTIFS(LubesData!$V:$V,$R87,LubesData!$U:$U,"&lt;="&amp;14,LubesData!$N:$N,"&lt;&gt;")</f>
        <v/>
      </c>
      <c r="AI87">
        <f>COUNTIFS(LubesData!$V:$V,$R87,LubesData!$U:$U,"&lt;="&amp;14,LubesData!$N:$N,0)</f>
        <v/>
      </c>
      <c r="AJ87">
        <f>IF(AH87=0,"",AH87-AI87)</f>
        <v/>
      </c>
      <c r="AK87">
        <f>IF(AH87=0,"",SUMIFS(LubesData!$N:$N,LubesData!$V:$V,$R87,LubesData!$U:$U,"&lt;="&amp;14))</f>
        <v/>
      </c>
      <c r="AL87">
        <f>IF(AH87=0,"",IF(ABS(MAX(T87:AG87))&gt;=ABS(MIN(T87:AG87)),MAX(T87:AG87),MIN(T87:AG87)))</f>
        <v/>
      </c>
      <c r="AM87">
        <f>IF(AH87=0,-1,AJ87*100000+MIN(ABS(AK87),99999))</f>
        <v/>
      </c>
      <c r="AN87">
        <f>IF($S87="","",1+COUNTIFS($AM$3:$AM$122,"&gt;"&amp;AM87)+COUNTIFS($AM$3:$AM$122,AM87,$R$3:$R$122,"&lt;"&amp;$R87))</f>
        <v/>
      </c>
    </row>
    <row r="88">
      <c r="R88" t="n">
        <v>86</v>
      </c>
      <c r="S88">
        <f>IFERROR(INDEX(LubesData!$G:$G,MATCH($R88,LubesData!$V:$V,0)),"")</f>
        <v/>
      </c>
      <c r="T88">
        <f>IF(COUNTIFS(LubesData!$V:$V,$R88,LubesData!$U:$U,1,LubesData!$N:$N,"&lt;&gt;")=0,"",SUMIFS(LubesData!$N:$N,LubesData!$V:$V,$R88,LubesData!$U:$U,1))</f>
        <v/>
      </c>
      <c r="U88">
        <f>IF(COUNTIFS(LubesData!$V:$V,$R88,LubesData!$U:$U,2,LubesData!$N:$N,"&lt;&gt;")=0,"",SUMIFS(LubesData!$N:$N,LubesData!$V:$V,$R88,LubesData!$U:$U,2))</f>
        <v/>
      </c>
      <c r="V88">
        <f>IF(COUNTIFS(LubesData!$V:$V,$R88,LubesData!$U:$U,3,LubesData!$N:$N,"&lt;&gt;")=0,"",SUMIFS(LubesData!$N:$N,LubesData!$V:$V,$R88,LubesData!$U:$U,3))</f>
        <v/>
      </c>
      <c r="W88">
        <f>IF(COUNTIFS(LubesData!$V:$V,$R88,LubesData!$U:$U,4,LubesData!$N:$N,"&lt;&gt;")=0,"",SUMIFS(LubesData!$N:$N,LubesData!$V:$V,$R88,LubesData!$U:$U,4))</f>
        <v/>
      </c>
      <c r="X88">
        <f>IF(COUNTIFS(LubesData!$V:$V,$R88,LubesData!$U:$U,5,LubesData!$N:$N,"&lt;&gt;")=0,"",SUMIFS(LubesData!$N:$N,LubesData!$V:$V,$R88,LubesData!$U:$U,5))</f>
        <v/>
      </c>
      <c r="Y88">
        <f>IF(COUNTIFS(LubesData!$V:$V,$R88,LubesData!$U:$U,6,LubesData!$N:$N,"&lt;&gt;")=0,"",SUMIFS(LubesData!$N:$N,LubesData!$V:$V,$R88,LubesData!$U:$U,6))</f>
        <v/>
      </c>
      <c r="Z88">
        <f>IF(COUNTIFS(LubesData!$V:$V,$R88,LubesData!$U:$U,7,LubesData!$N:$N,"&lt;&gt;")=0,"",SUMIFS(LubesData!$N:$N,LubesData!$V:$V,$R88,LubesData!$U:$U,7))</f>
        <v/>
      </c>
      <c r="AA88">
        <f>IF(COUNTIFS(LubesData!$V:$V,$R88,LubesData!$U:$U,8,LubesData!$N:$N,"&lt;&gt;")=0,"",SUMIFS(LubesData!$N:$N,LubesData!$V:$V,$R88,LubesData!$U:$U,8))</f>
        <v/>
      </c>
      <c r="AB88">
        <f>IF(COUNTIFS(LubesData!$V:$V,$R88,LubesData!$U:$U,9,LubesData!$N:$N,"&lt;&gt;")=0,"",SUMIFS(LubesData!$N:$N,LubesData!$V:$V,$R88,LubesData!$U:$U,9))</f>
        <v/>
      </c>
      <c r="AC88">
        <f>IF(COUNTIFS(LubesData!$V:$V,$R88,LubesData!$U:$U,10,LubesData!$N:$N,"&lt;&gt;")=0,"",SUMIFS(LubesData!$N:$N,LubesData!$V:$V,$R88,LubesData!$U:$U,10))</f>
        <v/>
      </c>
      <c r="AD88">
        <f>IF(COUNTIFS(LubesData!$V:$V,$R88,LubesData!$U:$U,11,LubesData!$N:$N,"&lt;&gt;")=0,"",SUMIFS(LubesData!$N:$N,LubesData!$V:$V,$R88,LubesData!$U:$U,11))</f>
        <v/>
      </c>
      <c r="AE88">
        <f>IF(COUNTIFS(LubesData!$V:$V,$R88,LubesData!$U:$U,12,LubesData!$N:$N,"&lt;&gt;")=0,"",SUMIFS(LubesData!$N:$N,LubesData!$V:$V,$R88,LubesData!$U:$U,12))</f>
        <v/>
      </c>
      <c r="AF88">
        <f>IF(COUNTIFS(LubesData!$V:$V,$R88,LubesData!$U:$U,13,LubesData!$N:$N,"&lt;&gt;")=0,"",SUMIFS(LubesData!$N:$N,LubesData!$V:$V,$R88,LubesData!$U:$U,13))</f>
        <v/>
      </c>
      <c r="AG88">
        <f>IF(COUNTIFS(LubesData!$V:$V,$R88,LubesData!$U:$U,14,LubesData!$N:$N,"&lt;&gt;")=0,"",SUMIFS(LubesData!$N:$N,LubesData!$V:$V,$R88,LubesData!$U:$U,14))</f>
        <v/>
      </c>
      <c r="AH88">
        <f>COUNTIFS(LubesData!$V:$V,$R88,LubesData!$U:$U,"&lt;="&amp;14,LubesData!$N:$N,"&lt;&gt;")</f>
        <v/>
      </c>
      <c r="AI88">
        <f>COUNTIFS(LubesData!$V:$V,$R88,LubesData!$U:$U,"&lt;="&amp;14,LubesData!$N:$N,0)</f>
        <v/>
      </c>
      <c r="AJ88">
        <f>IF(AH88=0,"",AH88-AI88)</f>
        <v/>
      </c>
      <c r="AK88">
        <f>IF(AH88=0,"",SUMIFS(LubesData!$N:$N,LubesData!$V:$V,$R88,LubesData!$U:$U,"&lt;="&amp;14))</f>
        <v/>
      </c>
      <c r="AL88">
        <f>IF(AH88=0,"",IF(ABS(MAX(T88:AG88))&gt;=ABS(MIN(T88:AG88)),MAX(T88:AG88),MIN(T88:AG88)))</f>
        <v/>
      </c>
      <c r="AM88">
        <f>IF(AH88=0,-1,AJ88*100000+MIN(ABS(AK88),99999))</f>
        <v/>
      </c>
      <c r="AN88">
        <f>IF($S88="","",1+COUNTIFS($AM$3:$AM$122,"&gt;"&amp;AM88)+COUNTIFS($AM$3:$AM$122,AM88,$R$3:$R$122,"&lt;"&amp;$R88))</f>
        <v/>
      </c>
    </row>
    <row r="89">
      <c r="R89" t="n">
        <v>87</v>
      </c>
      <c r="S89">
        <f>IFERROR(INDEX(LubesData!$G:$G,MATCH($R89,LubesData!$V:$V,0)),"")</f>
        <v/>
      </c>
      <c r="T89">
        <f>IF(COUNTIFS(LubesData!$V:$V,$R89,LubesData!$U:$U,1,LubesData!$N:$N,"&lt;&gt;")=0,"",SUMIFS(LubesData!$N:$N,LubesData!$V:$V,$R89,LubesData!$U:$U,1))</f>
        <v/>
      </c>
      <c r="U89">
        <f>IF(COUNTIFS(LubesData!$V:$V,$R89,LubesData!$U:$U,2,LubesData!$N:$N,"&lt;&gt;")=0,"",SUMIFS(LubesData!$N:$N,LubesData!$V:$V,$R89,LubesData!$U:$U,2))</f>
        <v/>
      </c>
      <c r="V89">
        <f>IF(COUNTIFS(LubesData!$V:$V,$R89,LubesData!$U:$U,3,LubesData!$N:$N,"&lt;&gt;")=0,"",SUMIFS(LubesData!$N:$N,LubesData!$V:$V,$R89,LubesData!$U:$U,3))</f>
        <v/>
      </c>
      <c r="W89">
        <f>IF(COUNTIFS(LubesData!$V:$V,$R89,LubesData!$U:$U,4,LubesData!$N:$N,"&lt;&gt;")=0,"",SUMIFS(LubesData!$N:$N,LubesData!$V:$V,$R89,LubesData!$U:$U,4))</f>
        <v/>
      </c>
      <c r="X89">
        <f>IF(COUNTIFS(LubesData!$V:$V,$R89,LubesData!$U:$U,5,LubesData!$N:$N,"&lt;&gt;")=0,"",SUMIFS(LubesData!$N:$N,LubesData!$V:$V,$R89,LubesData!$U:$U,5))</f>
        <v/>
      </c>
      <c r="Y89">
        <f>IF(COUNTIFS(LubesData!$V:$V,$R89,LubesData!$U:$U,6,LubesData!$N:$N,"&lt;&gt;")=0,"",SUMIFS(LubesData!$N:$N,LubesData!$V:$V,$R89,LubesData!$U:$U,6))</f>
        <v/>
      </c>
      <c r="Z89">
        <f>IF(COUNTIFS(LubesData!$V:$V,$R89,LubesData!$U:$U,7,LubesData!$N:$N,"&lt;&gt;")=0,"",SUMIFS(LubesData!$N:$N,LubesData!$V:$V,$R89,LubesData!$U:$U,7))</f>
        <v/>
      </c>
      <c r="AA89">
        <f>IF(COUNTIFS(LubesData!$V:$V,$R89,LubesData!$U:$U,8,LubesData!$N:$N,"&lt;&gt;")=0,"",SUMIFS(LubesData!$N:$N,LubesData!$V:$V,$R89,LubesData!$U:$U,8))</f>
        <v/>
      </c>
      <c r="AB89">
        <f>IF(COUNTIFS(LubesData!$V:$V,$R89,LubesData!$U:$U,9,LubesData!$N:$N,"&lt;&gt;")=0,"",SUMIFS(LubesData!$N:$N,LubesData!$V:$V,$R89,LubesData!$U:$U,9))</f>
        <v/>
      </c>
      <c r="AC89">
        <f>IF(COUNTIFS(LubesData!$V:$V,$R89,LubesData!$U:$U,10,LubesData!$N:$N,"&lt;&gt;")=0,"",SUMIFS(LubesData!$N:$N,LubesData!$V:$V,$R89,LubesData!$U:$U,10))</f>
        <v/>
      </c>
      <c r="AD89">
        <f>IF(COUNTIFS(LubesData!$V:$V,$R89,LubesData!$U:$U,11,LubesData!$N:$N,"&lt;&gt;")=0,"",SUMIFS(LubesData!$N:$N,LubesData!$V:$V,$R89,LubesData!$U:$U,11))</f>
        <v/>
      </c>
      <c r="AE89">
        <f>IF(COUNTIFS(LubesData!$V:$V,$R89,LubesData!$U:$U,12,LubesData!$N:$N,"&lt;&gt;")=0,"",SUMIFS(LubesData!$N:$N,LubesData!$V:$V,$R89,LubesData!$U:$U,12))</f>
        <v/>
      </c>
      <c r="AF89">
        <f>IF(COUNTIFS(LubesData!$V:$V,$R89,LubesData!$U:$U,13,LubesData!$N:$N,"&lt;&gt;")=0,"",SUMIFS(LubesData!$N:$N,LubesData!$V:$V,$R89,LubesData!$U:$U,13))</f>
        <v/>
      </c>
      <c r="AG89">
        <f>IF(COUNTIFS(LubesData!$V:$V,$R89,LubesData!$U:$U,14,LubesData!$N:$N,"&lt;&gt;")=0,"",SUMIFS(LubesData!$N:$N,LubesData!$V:$V,$R89,LubesData!$U:$U,14))</f>
        <v/>
      </c>
      <c r="AH89">
        <f>COUNTIFS(LubesData!$V:$V,$R89,LubesData!$U:$U,"&lt;="&amp;14,LubesData!$N:$N,"&lt;&gt;")</f>
        <v/>
      </c>
      <c r="AI89">
        <f>COUNTIFS(LubesData!$V:$V,$R89,LubesData!$U:$U,"&lt;="&amp;14,LubesData!$N:$N,0)</f>
        <v/>
      </c>
      <c r="AJ89">
        <f>IF(AH89=0,"",AH89-AI89)</f>
        <v/>
      </c>
      <c r="AK89">
        <f>IF(AH89=0,"",SUMIFS(LubesData!$N:$N,LubesData!$V:$V,$R89,LubesData!$U:$U,"&lt;="&amp;14))</f>
        <v/>
      </c>
      <c r="AL89">
        <f>IF(AH89=0,"",IF(ABS(MAX(T89:AG89))&gt;=ABS(MIN(T89:AG89)),MAX(T89:AG89),MIN(T89:AG89)))</f>
        <v/>
      </c>
      <c r="AM89">
        <f>IF(AH89=0,-1,AJ89*100000+MIN(ABS(AK89),99999))</f>
        <v/>
      </c>
      <c r="AN89">
        <f>IF($S89="","",1+COUNTIFS($AM$3:$AM$122,"&gt;"&amp;AM89)+COUNTIFS($AM$3:$AM$122,AM89,$R$3:$R$122,"&lt;"&amp;$R89))</f>
        <v/>
      </c>
    </row>
    <row r="90">
      <c r="R90" t="n">
        <v>88</v>
      </c>
      <c r="S90">
        <f>IFERROR(INDEX(LubesData!$G:$G,MATCH($R90,LubesData!$V:$V,0)),"")</f>
        <v/>
      </c>
      <c r="T90">
        <f>IF(COUNTIFS(LubesData!$V:$V,$R90,LubesData!$U:$U,1,LubesData!$N:$N,"&lt;&gt;")=0,"",SUMIFS(LubesData!$N:$N,LubesData!$V:$V,$R90,LubesData!$U:$U,1))</f>
        <v/>
      </c>
      <c r="U90">
        <f>IF(COUNTIFS(LubesData!$V:$V,$R90,LubesData!$U:$U,2,LubesData!$N:$N,"&lt;&gt;")=0,"",SUMIFS(LubesData!$N:$N,LubesData!$V:$V,$R90,LubesData!$U:$U,2))</f>
        <v/>
      </c>
      <c r="V90">
        <f>IF(COUNTIFS(LubesData!$V:$V,$R90,LubesData!$U:$U,3,LubesData!$N:$N,"&lt;&gt;")=0,"",SUMIFS(LubesData!$N:$N,LubesData!$V:$V,$R90,LubesData!$U:$U,3))</f>
        <v/>
      </c>
      <c r="W90">
        <f>IF(COUNTIFS(LubesData!$V:$V,$R90,LubesData!$U:$U,4,LubesData!$N:$N,"&lt;&gt;")=0,"",SUMIFS(LubesData!$N:$N,LubesData!$V:$V,$R90,LubesData!$U:$U,4))</f>
        <v/>
      </c>
      <c r="X90">
        <f>IF(COUNTIFS(LubesData!$V:$V,$R90,LubesData!$U:$U,5,LubesData!$N:$N,"&lt;&gt;")=0,"",SUMIFS(LubesData!$N:$N,LubesData!$V:$V,$R90,LubesData!$U:$U,5))</f>
        <v/>
      </c>
      <c r="Y90">
        <f>IF(COUNTIFS(LubesData!$V:$V,$R90,LubesData!$U:$U,6,LubesData!$N:$N,"&lt;&gt;")=0,"",SUMIFS(LubesData!$N:$N,LubesData!$V:$V,$R90,LubesData!$U:$U,6))</f>
        <v/>
      </c>
      <c r="Z90">
        <f>IF(COUNTIFS(LubesData!$V:$V,$R90,LubesData!$U:$U,7,LubesData!$N:$N,"&lt;&gt;")=0,"",SUMIFS(LubesData!$N:$N,LubesData!$V:$V,$R90,LubesData!$U:$U,7))</f>
        <v/>
      </c>
      <c r="AA90">
        <f>IF(COUNTIFS(LubesData!$V:$V,$R90,LubesData!$U:$U,8,LubesData!$N:$N,"&lt;&gt;")=0,"",SUMIFS(LubesData!$N:$N,LubesData!$V:$V,$R90,LubesData!$U:$U,8))</f>
        <v/>
      </c>
      <c r="AB90">
        <f>IF(COUNTIFS(LubesData!$V:$V,$R90,LubesData!$U:$U,9,LubesData!$N:$N,"&lt;&gt;")=0,"",SUMIFS(LubesData!$N:$N,LubesData!$V:$V,$R90,LubesData!$U:$U,9))</f>
        <v/>
      </c>
      <c r="AC90">
        <f>IF(COUNTIFS(LubesData!$V:$V,$R90,LubesData!$U:$U,10,LubesData!$N:$N,"&lt;&gt;")=0,"",SUMIFS(LubesData!$N:$N,LubesData!$V:$V,$R90,LubesData!$U:$U,10))</f>
        <v/>
      </c>
      <c r="AD90">
        <f>IF(COUNTIFS(LubesData!$V:$V,$R90,LubesData!$U:$U,11,LubesData!$N:$N,"&lt;&gt;")=0,"",SUMIFS(LubesData!$N:$N,LubesData!$V:$V,$R90,LubesData!$U:$U,11))</f>
        <v/>
      </c>
      <c r="AE90">
        <f>IF(COUNTIFS(LubesData!$V:$V,$R90,LubesData!$U:$U,12,LubesData!$N:$N,"&lt;&gt;")=0,"",SUMIFS(LubesData!$N:$N,LubesData!$V:$V,$R90,LubesData!$U:$U,12))</f>
        <v/>
      </c>
      <c r="AF90">
        <f>IF(COUNTIFS(LubesData!$V:$V,$R90,LubesData!$U:$U,13,LubesData!$N:$N,"&lt;&gt;")=0,"",SUMIFS(LubesData!$N:$N,LubesData!$V:$V,$R90,LubesData!$U:$U,13))</f>
        <v/>
      </c>
      <c r="AG90">
        <f>IF(COUNTIFS(LubesData!$V:$V,$R90,LubesData!$U:$U,14,LubesData!$N:$N,"&lt;&gt;")=0,"",SUMIFS(LubesData!$N:$N,LubesData!$V:$V,$R90,LubesData!$U:$U,14))</f>
        <v/>
      </c>
      <c r="AH90">
        <f>COUNTIFS(LubesData!$V:$V,$R90,LubesData!$U:$U,"&lt;="&amp;14,LubesData!$N:$N,"&lt;&gt;")</f>
        <v/>
      </c>
      <c r="AI90">
        <f>COUNTIFS(LubesData!$V:$V,$R90,LubesData!$U:$U,"&lt;="&amp;14,LubesData!$N:$N,0)</f>
        <v/>
      </c>
      <c r="AJ90">
        <f>IF(AH90=0,"",AH90-AI90)</f>
        <v/>
      </c>
      <c r="AK90">
        <f>IF(AH90=0,"",SUMIFS(LubesData!$N:$N,LubesData!$V:$V,$R90,LubesData!$U:$U,"&lt;="&amp;14))</f>
        <v/>
      </c>
      <c r="AL90">
        <f>IF(AH90=0,"",IF(ABS(MAX(T90:AG90))&gt;=ABS(MIN(T90:AG90)),MAX(T90:AG90),MIN(T90:AG90)))</f>
        <v/>
      </c>
      <c r="AM90">
        <f>IF(AH90=0,-1,AJ90*100000+MIN(ABS(AK90),99999))</f>
        <v/>
      </c>
      <c r="AN90">
        <f>IF($S90="","",1+COUNTIFS($AM$3:$AM$122,"&gt;"&amp;AM90)+COUNTIFS($AM$3:$AM$122,AM90,$R$3:$R$122,"&lt;"&amp;$R90))</f>
        <v/>
      </c>
    </row>
    <row r="91">
      <c r="R91" t="n">
        <v>89</v>
      </c>
      <c r="S91">
        <f>IFERROR(INDEX(LubesData!$G:$G,MATCH($R91,LubesData!$V:$V,0)),"")</f>
        <v/>
      </c>
      <c r="T91">
        <f>IF(COUNTIFS(LubesData!$V:$V,$R91,LubesData!$U:$U,1,LubesData!$N:$N,"&lt;&gt;")=0,"",SUMIFS(LubesData!$N:$N,LubesData!$V:$V,$R91,LubesData!$U:$U,1))</f>
        <v/>
      </c>
      <c r="U91">
        <f>IF(COUNTIFS(LubesData!$V:$V,$R91,LubesData!$U:$U,2,LubesData!$N:$N,"&lt;&gt;")=0,"",SUMIFS(LubesData!$N:$N,LubesData!$V:$V,$R91,LubesData!$U:$U,2))</f>
        <v/>
      </c>
      <c r="V91">
        <f>IF(COUNTIFS(LubesData!$V:$V,$R91,LubesData!$U:$U,3,LubesData!$N:$N,"&lt;&gt;")=0,"",SUMIFS(LubesData!$N:$N,LubesData!$V:$V,$R91,LubesData!$U:$U,3))</f>
        <v/>
      </c>
      <c r="W91">
        <f>IF(COUNTIFS(LubesData!$V:$V,$R91,LubesData!$U:$U,4,LubesData!$N:$N,"&lt;&gt;")=0,"",SUMIFS(LubesData!$N:$N,LubesData!$V:$V,$R91,LubesData!$U:$U,4))</f>
        <v/>
      </c>
      <c r="X91">
        <f>IF(COUNTIFS(LubesData!$V:$V,$R91,LubesData!$U:$U,5,LubesData!$N:$N,"&lt;&gt;")=0,"",SUMIFS(LubesData!$N:$N,LubesData!$V:$V,$R91,LubesData!$U:$U,5))</f>
        <v/>
      </c>
      <c r="Y91">
        <f>IF(COUNTIFS(LubesData!$V:$V,$R91,LubesData!$U:$U,6,LubesData!$N:$N,"&lt;&gt;")=0,"",SUMIFS(LubesData!$N:$N,LubesData!$V:$V,$R91,LubesData!$U:$U,6))</f>
        <v/>
      </c>
      <c r="Z91">
        <f>IF(COUNTIFS(LubesData!$V:$V,$R91,LubesData!$U:$U,7,LubesData!$N:$N,"&lt;&gt;")=0,"",SUMIFS(LubesData!$N:$N,LubesData!$V:$V,$R91,LubesData!$U:$U,7))</f>
        <v/>
      </c>
      <c r="AA91">
        <f>IF(COUNTIFS(LubesData!$V:$V,$R91,LubesData!$U:$U,8,LubesData!$N:$N,"&lt;&gt;")=0,"",SUMIFS(LubesData!$N:$N,LubesData!$V:$V,$R91,LubesData!$U:$U,8))</f>
        <v/>
      </c>
      <c r="AB91">
        <f>IF(COUNTIFS(LubesData!$V:$V,$R91,LubesData!$U:$U,9,LubesData!$N:$N,"&lt;&gt;")=0,"",SUMIFS(LubesData!$N:$N,LubesData!$V:$V,$R91,LubesData!$U:$U,9))</f>
        <v/>
      </c>
      <c r="AC91">
        <f>IF(COUNTIFS(LubesData!$V:$V,$R91,LubesData!$U:$U,10,LubesData!$N:$N,"&lt;&gt;")=0,"",SUMIFS(LubesData!$N:$N,LubesData!$V:$V,$R91,LubesData!$U:$U,10))</f>
        <v/>
      </c>
      <c r="AD91">
        <f>IF(COUNTIFS(LubesData!$V:$V,$R91,LubesData!$U:$U,11,LubesData!$N:$N,"&lt;&gt;")=0,"",SUMIFS(LubesData!$N:$N,LubesData!$V:$V,$R91,LubesData!$U:$U,11))</f>
        <v/>
      </c>
      <c r="AE91">
        <f>IF(COUNTIFS(LubesData!$V:$V,$R91,LubesData!$U:$U,12,LubesData!$N:$N,"&lt;&gt;")=0,"",SUMIFS(LubesData!$N:$N,LubesData!$V:$V,$R91,LubesData!$U:$U,12))</f>
        <v/>
      </c>
      <c r="AF91">
        <f>IF(COUNTIFS(LubesData!$V:$V,$R91,LubesData!$U:$U,13,LubesData!$N:$N,"&lt;&gt;")=0,"",SUMIFS(LubesData!$N:$N,LubesData!$V:$V,$R91,LubesData!$U:$U,13))</f>
        <v/>
      </c>
      <c r="AG91">
        <f>IF(COUNTIFS(LubesData!$V:$V,$R91,LubesData!$U:$U,14,LubesData!$N:$N,"&lt;&gt;")=0,"",SUMIFS(LubesData!$N:$N,LubesData!$V:$V,$R91,LubesData!$U:$U,14))</f>
        <v/>
      </c>
      <c r="AH91">
        <f>COUNTIFS(LubesData!$V:$V,$R91,LubesData!$U:$U,"&lt;="&amp;14,LubesData!$N:$N,"&lt;&gt;")</f>
        <v/>
      </c>
      <c r="AI91">
        <f>COUNTIFS(LubesData!$V:$V,$R91,LubesData!$U:$U,"&lt;="&amp;14,LubesData!$N:$N,0)</f>
        <v/>
      </c>
      <c r="AJ91">
        <f>IF(AH91=0,"",AH91-AI91)</f>
        <v/>
      </c>
      <c r="AK91">
        <f>IF(AH91=0,"",SUMIFS(LubesData!$N:$N,LubesData!$V:$V,$R91,LubesData!$U:$U,"&lt;="&amp;14))</f>
        <v/>
      </c>
      <c r="AL91">
        <f>IF(AH91=0,"",IF(ABS(MAX(T91:AG91))&gt;=ABS(MIN(T91:AG91)),MAX(T91:AG91),MIN(T91:AG91)))</f>
        <v/>
      </c>
      <c r="AM91">
        <f>IF(AH91=0,-1,AJ91*100000+MIN(ABS(AK91),99999))</f>
        <v/>
      </c>
      <c r="AN91">
        <f>IF($S91="","",1+COUNTIFS($AM$3:$AM$122,"&gt;"&amp;AM91)+COUNTIFS($AM$3:$AM$122,AM91,$R$3:$R$122,"&lt;"&amp;$R91))</f>
        <v/>
      </c>
    </row>
    <row r="92">
      <c r="R92" t="n">
        <v>90</v>
      </c>
      <c r="S92">
        <f>IFERROR(INDEX(LubesData!$G:$G,MATCH($R92,LubesData!$V:$V,0)),"")</f>
        <v/>
      </c>
      <c r="T92">
        <f>IF(COUNTIFS(LubesData!$V:$V,$R92,LubesData!$U:$U,1,LubesData!$N:$N,"&lt;&gt;")=0,"",SUMIFS(LubesData!$N:$N,LubesData!$V:$V,$R92,LubesData!$U:$U,1))</f>
        <v/>
      </c>
      <c r="U92">
        <f>IF(COUNTIFS(LubesData!$V:$V,$R92,LubesData!$U:$U,2,LubesData!$N:$N,"&lt;&gt;")=0,"",SUMIFS(LubesData!$N:$N,LubesData!$V:$V,$R92,LubesData!$U:$U,2))</f>
        <v/>
      </c>
      <c r="V92">
        <f>IF(COUNTIFS(LubesData!$V:$V,$R92,LubesData!$U:$U,3,LubesData!$N:$N,"&lt;&gt;")=0,"",SUMIFS(LubesData!$N:$N,LubesData!$V:$V,$R92,LubesData!$U:$U,3))</f>
        <v/>
      </c>
      <c r="W92">
        <f>IF(COUNTIFS(LubesData!$V:$V,$R92,LubesData!$U:$U,4,LubesData!$N:$N,"&lt;&gt;")=0,"",SUMIFS(LubesData!$N:$N,LubesData!$V:$V,$R92,LubesData!$U:$U,4))</f>
        <v/>
      </c>
      <c r="X92">
        <f>IF(COUNTIFS(LubesData!$V:$V,$R92,LubesData!$U:$U,5,LubesData!$N:$N,"&lt;&gt;")=0,"",SUMIFS(LubesData!$N:$N,LubesData!$V:$V,$R92,LubesData!$U:$U,5))</f>
        <v/>
      </c>
      <c r="Y92">
        <f>IF(COUNTIFS(LubesData!$V:$V,$R92,LubesData!$U:$U,6,LubesData!$N:$N,"&lt;&gt;")=0,"",SUMIFS(LubesData!$N:$N,LubesData!$V:$V,$R92,LubesData!$U:$U,6))</f>
        <v/>
      </c>
      <c r="Z92">
        <f>IF(COUNTIFS(LubesData!$V:$V,$R92,LubesData!$U:$U,7,LubesData!$N:$N,"&lt;&gt;")=0,"",SUMIFS(LubesData!$N:$N,LubesData!$V:$V,$R92,LubesData!$U:$U,7))</f>
        <v/>
      </c>
      <c r="AA92">
        <f>IF(COUNTIFS(LubesData!$V:$V,$R92,LubesData!$U:$U,8,LubesData!$N:$N,"&lt;&gt;")=0,"",SUMIFS(LubesData!$N:$N,LubesData!$V:$V,$R92,LubesData!$U:$U,8))</f>
        <v/>
      </c>
      <c r="AB92">
        <f>IF(COUNTIFS(LubesData!$V:$V,$R92,LubesData!$U:$U,9,LubesData!$N:$N,"&lt;&gt;")=0,"",SUMIFS(LubesData!$N:$N,LubesData!$V:$V,$R92,LubesData!$U:$U,9))</f>
        <v/>
      </c>
      <c r="AC92">
        <f>IF(COUNTIFS(LubesData!$V:$V,$R92,LubesData!$U:$U,10,LubesData!$N:$N,"&lt;&gt;")=0,"",SUMIFS(LubesData!$N:$N,LubesData!$V:$V,$R92,LubesData!$U:$U,10))</f>
        <v/>
      </c>
      <c r="AD92">
        <f>IF(COUNTIFS(LubesData!$V:$V,$R92,LubesData!$U:$U,11,LubesData!$N:$N,"&lt;&gt;")=0,"",SUMIFS(LubesData!$N:$N,LubesData!$V:$V,$R92,LubesData!$U:$U,11))</f>
        <v/>
      </c>
      <c r="AE92">
        <f>IF(COUNTIFS(LubesData!$V:$V,$R92,LubesData!$U:$U,12,LubesData!$N:$N,"&lt;&gt;")=0,"",SUMIFS(LubesData!$N:$N,LubesData!$V:$V,$R92,LubesData!$U:$U,12))</f>
        <v/>
      </c>
      <c r="AF92">
        <f>IF(COUNTIFS(LubesData!$V:$V,$R92,LubesData!$U:$U,13,LubesData!$N:$N,"&lt;&gt;")=0,"",SUMIFS(LubesData!$N:$N,LubesData!$V:$V,$R92,LubesData!$U:$U,13))</f>
        <v/>
      </c>
      <c r="AG92">
        <f>IF(COUNTIFS(LubesData!$V:$V,$R92,LubesData!$U:$U,14,LubesData!$N:$N,"&lt;&gt;")=0,"",SUMIFS(LubesData!$N:$N,LubesData!$V:$V,$R92,LubesData!$U:$U,14))</f>
        <v/>
      </c>
      <c r="AH92">
        <f>COUNTIFS(LubesData!$V:$V,$R92,LubesData!$U:$U,"&lt;="&amp;14,LubesData!$N:$N,"&lt;&gt;")</f>
        <v/>
      </c>
      <c r="AI92">
        <f>COUNTIFS(LubesData!$V:$V,$R92,LubesData!$U:$U,"&lt;="&amp;14,LubesData!$N:$N,0)</f>
        <v/>
      </c>
      <c r="AJ92">
        <f>IF(AH92=0,"",AH92-AI92)</f>
        <v/>
      </c>
      <c r="AK92">
        <f>IF(AH92=0,"",SUMIFS(LubesData!$N:$N,LubesData!$V:$V,$R92,LubesData!$U:$U,"&lt;="&amp;14))</f>
        <v/>
      </c>
      <c r="AL92">
        <f>IF(AH92=0,"",IF(ABS(MAX(T92:AG92))&gt;=ABS(MIN(T92:AG92)),MAX(T92:AG92),MIN(T92:AG92)))</f>
        <v/>
      </c>
      <c r="AM92">
        <f>IF(AH92=0,-1,AJ92*100000+MIN(ABS(AK92),99999))</f>
        <v/>
      </c>
      <c r="AN92">
        <f>IF($S92="","",1+COUNTIFS($AM$3:$AM$122,"&gt;"&amp;AM92)+COUNTIFS($AM$3:$AM$122,AM92,$R$3:$R$122,"&lt;"&amp;$R92))</f>
        <v/>
      </c>
    </row>
    <row r="93">
      <c r="R93" t="n">
        <v>91</v>
      </c>
      <c r="S93">
        <f>IFERROR(INDEX(LubesData!$G:$G,MATCH($R93,LubesData!$V:$V,0)),"")</f>
        <v/>
      </c>
      <c r="T93">
        <f>IF(COUNTIFS(LubesData!$V:$V,$R93,LubesData!$U:$U,1,LubesData!$N:$N,"&lt;&gt;")=0,"",SUMIFS(LubesData!$N:$N,LubesData!$V:$V,$R93,LubesData!$U:$U,1))</f>
        <v/>
      </c>
      <c r="U93">
        <f>IF(COUNTIFS(LubesData!$V:$V,$R93,LubesData!$U:$U,2,LubesData!$N:$N,"&lt;&gt;")=0,"",SUMIFS(LubesData!$N:$N,LubesData!$V:$V,$R93,LubesData!$U:$U,2))</f>
        <v/>
      </c>
      <c r="V93">
        <f>IF(COUNTIFS(LubesData!$V:$V,$R93,LubesData!$U:$U,3,LubesData!$N:$N,"&lt;&gt;")=0,"",SUMIFS(LubesData!$N:$N,LubesData!$V:$V,$R93,LubesData!$U:$U,3))</f>
        <v/>
      </c>
      <c r="W93">
        <f>IF(COUNTIFS(LubesData!$V:$V,$R93,LubesData!$U:$U,4,LubesData!$N:$N,"&lt;&gt;")=0,"",SUMIFS(LubesData!$N:$N,LubesData!$V:$V,$R93,LubesData!$U:$U,4))</f>
        <v/>
      </c>
      <c r="X93">
        <f>IF(COUNTIFS(LubesData!$V:$V,$R93,LubesData!$U:$U,5,LubesData!$N:$N,"&lt;&gt;")=0,"",SUMIFS(LubesData!$N:$N,LubesData!$V:$V,$R93,LubesData!$U:$U,5))</f>
        <v/>
      </c>
      <c r="Y93">
        <f>IF(COUNTIFS(LubesData!$V:$V,$R93,LubesData!$U:$U,6,LubesData!$N:$N,"&lt;&gt;")=0,"",SUMIFS(LubesData!$N:$N,LubesData!$V:$V,$R93,LubesData!$U:$U,6))</f>
        <v/>
      </c>
      <c r="Z93">
        <f>IF(COUNTIFS(LubesData!$V:$V,$R93,LubesData!$U:$U,7,LubesData!$N:$N,"&lt;&gt;")=0,"",SUMIFS(LubesData!$N:$N,LubesData!$V:$V,$R93,LubesData!$U:$U,7))</f>
        <v/>
      </c>
      <c r="AA93">
        <f>IF(COUNTIFS(LubesData!$V:$V,$R93,LubesData!$U:$U,8,LubesData!$N:$N,"&lt;&gt;")=0,"",SUMIFS(LubesData!$N:$N,LubesData!$V:$V,$R93,LubesData!$U:$U,8))</f>
        <v/>
      </c>
      <c r="AB93">
        <f>IF(COUNTIFS(LubesData!$V:$V,$R93,LubesData!$U:$U,9,LubesData!$N:$N,"&lt;&gt;")=0,"",SUMIFS(LubesData!$N:$N,LubesData!$V:$V,$R93,LubesData!$U:$U,9))</f>
        <v/>
      </c>
      <c r="AC93">
        <f>IF(COUNTIFS(LubesData!$V:$V,$R93,LubesData!$U:$U,10,LubesData!$N:$N,"&lt;&gt;")=0,"",SUMIFS(LubesData!$N:$N,LubesData!$V:$V,$R93,LubesData!$U:$U,10))</f>
        <v/>
      </c>
      <c r="AD93">
        <f>IF(COUNTIFS(LubesData!$V:$V,$R93,LubesData!$U:$U,11,LubesData!$N:$N,"&lt;&gt;")=0,"",SUMIFS(LubesData!$N:$N,LubesData!$V:$V,$R93,LubesData!$U:$U,11))</f>
        <v/>
      </c>
      <c r="AE93">
        <f>IF(COUNTIFS(LubesData!$V:$V,$R93,LubesData!$U:$U,12,LubesData!$N:$N,"&lt;&gt;")=0,"",SUMIFS(LubesData!$N:$N,LubesData!$V:$V,$R93,LubesData!$U:$U,12))</f>
        <v/>
      </c>
      <c r="AF93">
        <f>IF(COUNTIFS(LubesData!$V:$V,$R93,LubesData!$U:$U,13,LubesData!$N:$N,"&lt;&gt;")=0,"",SUMIFS(LubesData!$N:$N,LubesData!$V:$V,$R93,LubesData!$U:$U,13))</f>
        <v/>
      </c>
      <c r="AG93">
        <f>IF(COUNTIFS(LubesData!$V:$V,$R93,LubesData!$U:$U,14,LubesData!$N:$N,"&lt;&gt;")=0,"",SUMIFS(LubesData!$N:$N,LubesData!$V:$V,$R93,LubesData!$U:$U,14))</f>
        <v/>
      </c>
      <c r="AH93">
        <f>COUNTIFS(LubesData!$V:$V,$R93,LubesData!$U:$U,"&lt;="&amp;14,LubesData!$N:$N,"&lt;&gt;")</f>
        <v/>
      </c>
      <c r="AI93">
        <f>COUNTIFS(LubesData!$V:$V,$R93,LubesData!$U:$U,"&lt;="&amp;14,LubesData!$N:$N,0)</f>
        <v/>
      </c>
      <c r="AJ93">
        <f>IF(AH93=0,"",AH93-AI93)</f>
        <v/>
      </c>
      <c r="AK93">
        <f>IF(AH93=0,"",SUMIFS(LubesData!$N:$N,LubesData!$V:$V,$R93,LubesData!$U:$U,"&lt;="&amp;14))</f>
        <v/>
      </c>
      <c r="AL93">
        <f>IF(AH93=0,"",IF(ABS(MAX(T93:AG93))&gt;=ABS(MIN(T93:AG93)),MAX(T93:AG93),MIN(T93:AG93)))</f>
        <v/>
      </c>
      <c r="AM93">
        <f>IF(AH93=0,-1,AJ93*100000+MIN(ABS(AK93),99999))</f>
        <v/>
      </c>
      <c r="AN93">
        <f>IF($S93="","",1+COUNTIFS($AM$3:$AM$122,"&gt;"&amp;AM93)+COUNTIFS($AM$3:$AM$122,AM93,$R$3:$R$122,"&lt;"&amp;$R93))</f>
        <v/>
      </c>
    </row>
    <row r="94">
      <c r="R94" t="n">
        <v>92</v>
      </c>
      <c r="S94">
        <f>IFERROR(INDEX(LubesData!$G:$G,MATCH($R94,LubesData!$V:$V,0)),"")</f>
        <v/>
      </c>
      <c r="T94">
        <f>IF(COUNTIFS(LubesData!$V:$V,$R94,LubesData!$U:$U,1,LubesData!$N:$N,"&lt;&gt;")=0,"",SUMIFS(LubesData!$N:$N,LubesData!$V:$V,$R94,LubesData!$U:$U,1))</f>
        <v/>
      </c>
      <c r="U94">
        <f>IF(COUNTIFS(LubesData!$V:$V,$R94,LubesData!$U:$U,2,LubesData!$N:$N,"&lt;&gt;")=0,"",SUMIFS(LubesData!$N:$N,LubesData!$V:$V,$R94,LubesData!$U:$U,2))</f>
        <v/>
      </c>
      <c r="V94">
        <f>IF(COUNTIFS(LubesData!$V:$V,$R94,LubesData!$U:$U,3,LubesData!$N:$N,"&lt;&gt;")=0,"",SUMIFS(LubesData!$N:$N,LubesData!$V:$V,$R94,LubesData!$U:$U,3))</f>
        <v/>
      </c>
      <c r="W94">
        <f>IF(COUNTIFS(LubesData!$V:$V,$R94,LubesData!$U:$U,4,LubesData!$N:$N,"&lt;&gt;")=0,"",SUMIFS(LubesData!$N:$N,LubesData!$V:$V,$R94,LubesData!$U:$U,4))</f>
        <v/>
      </c>
      <c r="X94">
        <f>IF(COUNTIFS(LubesData!$V:$V,$R94,LubesData!$U:$U,5,LubesData!$N:$N,"&lt;&gt;")=0,"",SUMIFS(LubesData!$N:$N,LubesData!$V:$V,$R94,LubesData!$U:$U,5))</f>
        <v/>
      </c>
      <c r="Y94">
        <f>IF(COUNTIFS(LubesData!$V:$V,$R94,LubesData!$U:$U,6,LubesData!$N:$N,"&lt;&gt;")=0,"",SUMIFS(LubesData!$N:$N,LubesData!$V:$V,$R94,LubesData!$U:$U,6))</f>
        <v/>
      </c>
      <c r="Z94">
        <f>IF(COUNTIFS(LubesData!$V:$V,$R94,LubesData!$U:$U,7,LubesData!$N:$N,"&lt;&gt;")=0,"",SUMIFS(LubesData!$N:$N,LubesData!$V:$V,$R94,LubesData!$U:$U,7))</f>
        <v/>
      </c>
      <c r="AA94">
        <f>IF(COUNTIFS(LubesData!$V:$V,$R94,LubesData!$U:$U,8,LubesData!$N:$N,"&lt;&gt;")=0,"",SUMIFS(LubesData!$N:$N,LubesData!$V:$V,$R94,LubesData!$U:$U,8))</f>
        <v/>
      </c>
      <c r="AB94">
        <f>IF(COUNTIFS(LubesData!$V:$V,$R94,LubesData!$U:$U,9,LubesData!$N:$N,"&lt;&gt;")=0,"",SUMIFS(LubesData!$N:$N,LubesData!$V:$V,$R94,LubesData!$U:$U,9))</f>
        <v/>
      </c>
      <c r="AC94">
        <f>IF(COUNTIFS(LubesData!$V:$V,$R94,LubesData!$U:$U,10,LubesData!$N:$N,"&lt;&gt;")=0,"",SUMIFS(LubesData!$N:$N,LubesData!$V:$V,$R94,LubesData!$U:$U,10))</f>
        <v/>
      </c>
      <c r="AD94">
        <f>IF(COUNTIFS(LubesData!$V:$V,$R94,LubesData!$U:$U,11,LubesData!$N:$N,"&lt;&gt;")=0,"",SUMIFS(LubesData!$N:$N,LubesData!$V:$V,$R94,LubesData!$U:$U,11))</f>
        <v/>
      </c>
      <c r="AE94">
        <f>IF(COUNTIFS(LubesData!$V:$V,$R94,LubesData!$U:$U,12,LubesData!$N:$N,"&lt;&gt;")=0,"",SUMIFS(LubesData!$N:$N,LubesData!$V:$V,$R94,LubesData!$U:$U,12))</f>
        <v/>
      </c>
      <c r="AF94">
        <f>IF(COUNTIFS(LubesData!$V:$V,$R94,LubesData!$U:$U,13,LubesData!$N:$N,"&lt;&gt;")=0,"",SUMIFS(LubesData!$N:$N,LubesData!$V:$V,$R94,LubesData!$U:$U,13))</f>
        <v/>
      </c>
      <c r="AG94">
        <f>IF(COUNTIFS(LubesData!$V:$V,$R94,LubesData!$U:$U,14,LubesData!$N:$N,"&lt;&gt;")=0,"",SUMIFS(LubesData!$N:$N,LubesData!$V:$V,$R94,LubesData!$U:$U,14))</f>
        <v/>
      </c>
      <c r="AH94">
        <f>COUNTIFS(LubesData!$V:$V,$R94,LubesData!$U:$U,"&lt;="&amp;14,LubesData!$N:$N,"&lt;&gt;")</f>
        <v/>
      </c>
      <c r="AI94">
        <f>COUNTIFS(LubesData!$V:$V,$R94,LubesData!$U:$U,"&lt;="&amp;14,LubesData!$N:$N,0)</f>
        <v/>
      </c>
      <c r="AJ94">
        <f>IF(AH94=0,"",AH94-AI94)</f>
        <v/>
      </c>
      <c r="AK94">
        <f>IF(AH94=0,"",SUMIFS(LubesData!$N:$N,LubesData!$V:$V,$R94,LubesData!$U:$U,"&lt;="&amp;14))</f>
        <v/>
      </c>
      <c r="AL94">
        <f>IF(AH94=0,"",IF(ABS(MAX(T94:AG94))&gt;=ABS(MIN(T94:AG94)),MAX(T94:AG94),MIN(T94:AG94)))</f>
        <v/>
      </c>
      <c r="AM94">
        <f>IF(AH94=0,-1,AJ94*100000+MIN(ABS(AK94),99999))</f>
        <v/>
      </c>
      <c r="AN94">
        <f>IF($S94="","",1+COUNTIFS($AM$3:$AM$122,"&gt;"&amp;AM94)+COUNTIFS($AM$3:$AM$122,AM94,$R$3:$R$122,"&lt;"&amp;$R94))</f>
        <v/>
      </c>
    </row>
    <row r="95">
      <c r="R95" t="n">
        <v>93</v>
      </c>
      <c r="S95">
        <f>IFERROR(INDEX(LubesData!$G:$G,MATCH($R95,LubesData!$V:$V,0)),"")</f>
        <v/>
      </c>
      <c r="T95">
        <f>IF(COUNTIFS(LubesData!$V:$V,$R95,LubesData!$U:$U,1,LubesData!$N:$N,"&lt;&gt;")=0,"",SUMIFS(LubesData!$N:$N,LubesData!$V:$V,$R95,LubesData!$U:$U,1))</f>
        <v/>
      </c>
      <c r="U95">
        <f>IF(COUNTIFS(LubesData!$V:$V,$R95,LubesData!$U:$U,2,LubesData!$N:$N,"&lt;&gt;")=0,"",SUMIFS(LubesData!$N:$N,LubesData!$V:$V,$R95,LubesData!$U:$U,2))</f>
        <v/>
      </c>
      <c r="V95">
        <f>IF(COUNTIFS(LubesData!$V:$V,$R95,LubesData!$U:$U,3,LubesData!$N:$N,"&lt;&gt;")=0,"",SUMIFS(LubesData!$N:$N,LubesData!$V:$V,$R95,LubesData!$U:$U,3))</f>
        <v/>
      </c>
      <c r="W95">
        <f>IF(COUNTIFS(LubesData!$V:$V,$R95,LubesData!$U:$U,4,LubesData!$N:$N,"&lt;&gt;")=0,"",SUMIFS(LubesData!$N:$N,LubesData!$V:$V,$R95,LubesData!$U:$U,4))</f>
        <v/>
      </c>
      <c r="X95">
        <f>IF(COUNTIFS(LubesData!$V:$V,$R95,LubesData!$U:$U,5,LubesData!$N:$N,"&lt;&gt;")=0,"",SUMIFS(LubesData!$N:$N,LubesData!$V:$V,$R95,LubesData!$U:$U,5))</f>
        <v/>
      </c>
      <c r="Y95">
        <f>IF(COUNTIFS(LubesData!$V:$V,$R95,LubesData!$U:$U,6,LubesData!$N:$N,"&lt;&gt;")=0,"",SUMIFS(LubesData!$N:$N,LubesData!$V:$V,$R95,LubesData!$U:$U,6))</f>
        <v/>
      </c>
      <c r="Z95">
        <f>IF(COUNTIFS(LubesData!$V:$V,$R95,LubesData!$U:$U,7,LubesData!$N:$N,"&lt;&gt;")=0,"",SUMIFS(LubesData!$N:$N,LubesData!$V:$V,$R95,LubesData!$U:$U,7))</f>
        <v/>
      </c>
      <c r="AA95">
        <f>IF(COUNTIFS(LubesData!$V:$V,$R95,LubesData!$U:$U,8,LubesData!$N:$N,"&lt;&gt;")=0,"",SUMIFS(LubesData!$N:$N,LubesData!$V:$V,$R95,LubesData!$U:$U,8))</f>
        <v/>
      </c>
      <c r="AB95">
        <f>IF(COUNTIFS(LubesData!$V:$V,$R95,LubesData!$U:$U,9,LubesData!$N:$N,"&lt;&gt;")=0,"",SUMIFS(LubesData!$N:$N,LubesData!$V:$V,$R95,LubesData!$U:$U,9))</f>
        <v/>
      </c>
      <c r="AC95">
        <f>IF(COUNTIFS(LubesData!$V:$V,$R95,LubesData!$U:$U,10,LubesData!$N:$N,"&lt;&gt;")=0,"",SUMIFS(LubesData!$N:$N,LubesData!$V:$V,$R95,LubesData!$U:$U,10))</f>
        <v/>
      </c>
      <c r="AD95">
        <f>IF(COUNTIFS(LubesData!$V:$V,$R95,LubesData!$U:$U,11,LubesData!$N:$N,"&lt;&gt;")=0,"",SUMIFS(LubesData!$N:$N,LubesData!$V:$V,$R95,LubesData!$U:$U,11))</f>
        <v/>
      </c>
      <c r="AE95">
        <f>IF(COUNTIFS(LubesData!$V:$V,$R95,LubesData!$U:$U,12,LubesData!$N:$N,"&lt;&gt;")=0,"",SUMIFS(LubesData!$N:$N,LubesData!$V:$V,$R95,LubesData!$U:$U,12))</f>
        <v/>
      </c>
      <c r="AF95">
        <f>IF(COUNTIFS(LubesData!$V:$V,$R95,LubesData!$U:$U,13,LubesData!$N:$N,"&lt;&gt;")=0,"",SUMIFS(LubesData!$N:$N,LubesData!$V:$V,$R95,LubesData!$U:$U,13))</f>
        <v/>
      </c>
      <c r="AG95">
        <f>IF(COUNTIFS(LubesData!$V:$V,$R95,LubesData!$U:$U,14,LubesData!$N:$N,"&lt;&gt;")=0,"",SUMIFS(LubesData!$N:$N,LubesData!$V:$V,$R95,LubesData!$U:$U,14))</f>
        <v/>
      </c>
      <c r="AH95">
        <f>COUNTIFS(LubesData!$V:$V,$R95,LubesData!$U:$U,"&lt;="&amp;14,LubesData!$N:$N,"&lt;&gt;")</f>
        <v/>
      </c>
      <c r="AI95">
        <f>COUNTIFS(LubesData!$V:$V,$R95,LubesData!$U:$U,"&lt;="&amp;14,LubesData!$N:$N,0)</f>
        <v/>
      </c>
      <c r="AJ95">
        <f>IF(AH95=0,"",AH95-AI95)</f>
        <v/>
      </c>
      <c r="AK95">
        <f>IF(AH95=0,"",SUMIFS(LubesData!$N:$N,LubesData!$V:$V,$R95,LubesData!$U:$U,"&lt;="&amp;14))</f>
        <v/>
      </c>
      <c r="AL95">
        <f>IF(AH95=0,"",IF(ABS(MAX(T95:AG95))&gt;=ABS(MIN(T95:AG95)),MAX(T95:AG95),MIN(T95:AG95)))</f>
        <v/>
      </c>
      <c r="AM95">
        <f>IF(AH95=0,-1,AJ95*100000+MIN(ABS(AK95),99999))</f>
        <v/>
      </c>
      <c r="AN95">
        <f>IF($S95="","",1+COUNTIFS($AM$3:$AM$122,"&gt;"&amp;AM95)+COUNTIFS($AM$3:$AM$122,AM95,$R$3:$R$122,"&lt;"&amp;$R95))</f>
        <v/>
      </c>
    </row>
    <row r="96">
      <c r="R96" t="n">
        <v>94</v>
      </c>
      <c r="S96">
        <f>IFERROR(INDEX(LubesData!$G:$G,MATCH($R96,LubesData!$V:$V,0)),"")</f>
        <v/>
      </c>
      <c r="T96">
        <f>IF(COUNTIFS(LubesData!$V:$V,$R96,LubesData!$U:$U,1,LubesData!$N:$N,"&lt;&gt;")=0,"",SUMIFS(LubesData!$N:$N,LubesData!$V:$V,$R96,LubesData!$U:$U,1))</f>
        <v/>
      </c>
      <c r="U96">
        <f>IF(COUNTIFS(LubesData!$V:$V,$R96,LubesData!$U:$U,2,LubesData!$N:$N,"&lt;&gt;")=0,"",SUMIFS(LubesData!$N:$N,LubesData!$V:$V,$R96,LubesData!$U:$U,2))</f>
        <v/>
      </c>
      <c r="V96">
        <f>IF(COUNTIFS(LubesData!$V:$V,$R96,LubesData!$U:$U,3,LubesData!$N:$N,"&lt;&gt;")=0,"",SUMIFS(LubesData!$N:$N,LubesData!$V:$V,$R96,LubesData!$U:$U,3))</f>
        <v/>
      </c>
      <c r="W96">
        <f>IF(COUNTIFS(LubesData!$V:$V,$R96,LubesData!$U:$U,4,LubesData!$N:$N,"&lt;&gt;")=0,"",SUMIFS(LubesData!$N:$N,LubesData!$V:$V,$R96,LubesData!$U:$U,4))</f>
        <v/>
      </c>
      <c r="X96">
        <f>IF(COUNTIFS(LubesData!$V:$V,$R96,LubesData!$U:$U,5,LubesData!$N:$N,"&lt;&gt;")=0,"",SUMIFS(LubesData!$N:$N,LubesData!$V:$V,$R96,LubesData!$U:$U,5))</f>
        <v/>
      </c>
      <c r="Y96">
        <f>IF(COUNTIFS(LubesData!$V:$V,$R96,LubesData!$U:$U,6,LubesData!$N:$N,"&lt;&gt;")=0,"",SUMIFS(LubesData!$N:$N,LubesData!$V:$V,$R96,LubesData!$U:$U,6))</f>
        <v/>
      </c>
      <c r="Z96">
        <f>IF(COUNTIFS(LubesData!$V:$V,$R96,LubesData!$U:$U,7,LubesData!$N:$N,"&lt;&gt;")=0,"",SUMIFS(LubesData!$N:$N,LubesData!$V:$V,$R96,LubesData!$U:$U,7))</f>
        <v/>
      </c>
      <c r="AA96">
        <f>IF(COUNTIFS(LubesData!$V:$V,$R96,LubesData!$U:$U,8,LubesData!$N:$N,"&lt;&gt;")=0,"",SUMIFS(LubesData!$N:$N,LubesData!$V:$V,$R96,LubesData!$U:$U,8))</f>
        <v/>
      </c>
      <c r="AB96">
        <f>IF(COUNTIFS(LubesData!$V:$V,$R96,LubesData!$U:$U,9,LubesData!$N:$N,"&lt;&gt;")=0,"",SUMIFS(LubesData!$N:$N,LubesData!$V:$V,$R96,LubesData!$U:$U,9))</f>
        <v/>
      </c>
      <c r="AC96">
        <f>IF(COUNTIFS(LubesData!$V:$V,$R96,LubesData!$U:$U,10,LubesData!$N:$N,"&lt;&gt;")=0,"",SUMIFS(LubesData!$N:$N,LubesData!$V:$V,$R96,LubesData!$U:$U,10))</f>
        <v/>
      </c>
      <c r="AD96">
        <f>IF(COUNTIFS(LubesData!$V:$V,$R96,LubesData!$U:$U,11,LubesData!$N:$N,"&lt;&gt;")=0,"",SUMIFS(LubesData!$N:$N,LubesData!$V:$V,$R96,LubesData!$U:$U,11))</f>
        <v/>
      </c>
      <c r="AE96">
        <f>IF(COUNTIFS(LubesData!$V:$V,$R96,LubesData!$U:$U,12,LubesData!$N:$N,"&lt;&gt;")=0,"",SUMIFS(LubesData!$N:$N,LubesData!$V:$V,$R96,LubesData!$U:$U,12))</f>
        <v/>
      </c>
      <c r="AF96">
        <f>IF(COUNTIFS(LubesData!$V:$V,$R96,LubesData!$U:$U,13,LubesData!$N:$N,"&lt;&gt;")=0,"",SUMIFS(LubesData!$N:$N,LubesData!$V:$V,$R96,LubesData!$U:$U,13))</f>
        <v/>
      </c>
      <c r="AG96">
        <f>IF(COUNTIFS(LubesData!$V:$V,$R96,LubesData!$U:$U,14,LubesData!$N:$N,"&lt;&gt;")=0,"",SUMIFS(LubesData!$N:$N,LubesData!$V:$V,$R96,LubesData!$U:$U,14))</f>
        <v/>
      </c>
      <c r="AH96">
        <f>COUNTIFS(LubesData!$V:$V,$R96,LubesData!$U:$U,"&lt;="&amp;14,LubesData!$N:$N,"&lt;&gt;")</f>
        <v/>
      </c>
      <c r="AI96">
        <f>COUNTIFS(LubesData!$V:$V,$R96,LubesData!$U:$U,"&lt;="&amp;14,LubesData!$N:$N,0)</f>
        <v/>
      </c>
      <c r="AJ96">
        <f>IF(AH96=0,"",AH96-AI96)</f>
        <v/>
      </c>
      <c r="AK96">
        <f>IF(AH96=0,"",SUMIFS(LubesData!$N:$N,LubesData!$V:$V,$R96,LubesData!$U:$U,"&lt;="&amp;14))</f>
        <v/>
      </c>
      <c r="AL96">
        <f>IF(AH96=0,"",IF(ABS(MAX(T96:AG96))&gt;=ABS(MIN(T96:AG96)),MAX(T96:AG96),MIN(T96:AG96)))</f>
        <v/>
      </c>
      <c r="AM96">
        <f>IF(AH96=0,-1,AJ96*100000+MIN(ABS(AK96),99999))</f>
        <v/>
      </c>
      <c r="AN96">
        <f>IF($S96="","",1+COUNTIFS($AM$3:$AM$122,"&gt;"&amp;AM96)+COUNTIFS($AM$3:$AM$122,AM96,$R$3:$R$122,"&lt;"&amp;$R96))</f>
        <v/>
      </c>
    </row>
    <row r="97">
      <c r="R97" t="n">
        <v>95</v>
      </c>
      <c r="S97">
        <f>IFERROR(INDEX(LubesData!$G:$G,MATCH($R97,LubesData!$V:$V,0)),"")</f>
        <v/>
      </c>
      <c r="T97">
        <f>IF(COUNTIFS(LubesData!$V:$V,$R97,LubesData!$U:$U,1,LubesData!$N:$N,"&lt;&gt;")=0,"",SUMIFS(LubesData!$N:$N,LubesData!$V:$V,$R97,LubesData!$U:$U,1))</f>
        <v/>
      </c>
      <c r="U97">
        <f>IF(COUNTIFS(LubesData!$V:$V,$R97,LubesData!$U:$U,2,LubesData!$N:$N,"&lt;&gt;")=0,"",SUMIFS(LubesData!$N:$N,LubesData!$V:$V,$R97,LubesData!$U:$U,2))</f>
        <v/>
      </c>
      <c r="V97">
        <f>IF(COUNTIFS(LubesData!$V:$V,$R97,LubesData!$U:$U,3,LubesData!$N:$N,"&lt;&gt;")=0,"",SUMIFS(LubesData!$N:$N,LubesData!$V:$V,$R97,LubesData!$U:$U,3))</f>
        <v/>
      </c>
      <c r="W97">
        <f>IF(COUNTIFS(LubesData!$V:$V,$R97,LubesData!$U:$U,4,LubesData!$N:$N,"&lt;&gt;")=0,"",SUMIFS(LubesData!$N:$N,LubesData!$V:$V,$R97,LubesData!$U:$U,4))</f>
        <v/>
      </c>
      <c r="X97">
        <f>IF(COUNTIFS(LubesData!$V:$V,$R97,LubesData!$U:$U,5,LubesData!$N:$N,"&lt;&gt;")=0,"",SUMIFS(LubesData!$N:$N,LubesData!$V:$V,$R97,LubesData!$U:$U,5))</f>
        <v/>
      </c>
      <c r="Y97">
        <f>IF(COUNTIFS(LubesData!$V:$V,$R97,LubesData!$U:$U,6,LubesData!$N:$N,"&lt;&gt;")=0,"",SUMIFS(LubesData!$N:$N,LubesData!$V:$V,$R97,LubesData!$U:$U,6))</f>
        <v/>
      </c>
      <c r="Z97">
        <f>IF(COUNTIFS(LubesData!$V:$V,$R97,LubesData!$U:$U,7,LubesData!$N:$N,"&lt;&gt;")=0,"",SUMIFS(LubesData!$N:$N,LubesData!$V:$V,$R97,LubesData!$U:$U,7))</f>
        <v/>
      </c>
      <c r="AA97">
        <f>IF(COUNTIFS(LubesData!$V:$V,$R97,LubesData!$U:$U,8,LubesData!$N:$N,"&lt;&gt;")=0,"",SUMIFS(LubesData!$N:$N,LubesData!$V:$V,$R97,LubesData!$U:$U,8))</f>
        <v/>
      </c>
      <c r="AB97">
        <f>IF(COUNTIFS(LubesData!$V:$V,$R97,LubesData!$U:$U,9,LubesData!$N:$N,"&lt;&gt;")=0,"",SUMIFS(LubesData!$N:$N,LubesData!$V:$V,$R97,LubesData!$U:$U,9))</f>
        <v/>
      </c>
      <c r="AC97">
        <f>IF(COUNTIFS(LubesData!$V:$V,$R97,LubesData!$U:$U,10,LubesData!$N:$N,"&lt;&gt;")=0,"",SUMIFS(LubesData!$N:$N,LubesData!$V:$V,$R97,LubesData!$U:$U,10))</f>
        <v/>
      </c>
      <c r="AD97">
        <f>IF(COUNTIFS(LubesData!$V:$V,$R97,LubesData!$U:$U,11,LubesData!$N:$N,"&lt;&gt;")=0,"",SUMIFS(LubesData!$N:$N,LubesData!$V:$V,$R97,LubesData!$U:$U,11))</f>
        <v/>
      </c>
      <c r="AE97">
        <f>IF(COUNTIFS(LubesData!$V:$V,$R97,LubesData!$U:$U,12,LubesData!$N:$N,"&lt;&gt;")=0,"",SUMIFS(LubesData!$N:$N,LubesData!$V:$V,$R97,LubesData!$U:$U,12))</f>
        <v/>
      </c>
      <c r="AF97">
        <f>IF(COUNTIFS(LubesData!$V:$V,$R97,LubesData!$U:$U,13,LubesData!$N:$N,"&lt;&gt;")=0,"",SUMIFS(LubesData!$N:$N,LubesData!$V:$V,$R97,LubesData!$U:$U,13))</f>
        <v/>
      </c>
      <c r="AG97">
        <f>IF(COUNTIFS(LubesData!$V:$V,$R97,LubesData!$U:$U,14,LubesData!$N:$N,"&lt;&gt;")=0,"",SUMIFS(LubesData!$N:$N,LubesData!$V:$V,$R97,LubesData!$U:$U,14))</f>
        <v/>
      </c>
      <c r="AH97">
        <f>COUNTIFS(LubesData!$V:$V,$R97,LubesData!$U:$U,"&lt;="&amp;14,LubesData!$N:$N,"&lt;&gt;")</f>
        <v/>
      </c>
      <c r="AI97">
        <f>COUNTIFS(LubesData!$V:$V,$R97,LubesData!$U:$U,"&lt;="&amp;14,LubesData!$N:$N,0)</f>
        <v/>
      </c>
      <c r="AJ97">
        <f>IF(AH97=0,"",AH97-AI97)</f>
        <v/>
      </c>
      <c r="AK97">
        <f>IF(AH97=0,"",SUMIFS(LubesData!$N:$N,LubesData!$V:$V,$R97,LubesData!$U:$U,"&lt;="&amp;14))</f>
        <v/>
      </c>
      <c r="AL97">
        <f>IF(AH97=0,"",IF(ABS(MAX(T97:AG97))&gt;=ABS(MIN(T97:AG97)),MAX(T97:AG97),MIN(T97:AG97)))</f>
        <v/>
      </c>
      <c r="AM97">
        <f>IF(AH97=0,-1,AJ97*100000+MIN(ABS(AK97),99999))</f>
        <v/>
      </c>
      <c r="AN97">
        <f>IF($S97="","",1+COUNTIFS($AM$3:$AM$122,"&gt;"&amp;AM97)+COUNTIFS($AM$3:$AM$122,AM97,$R$3:$R$122,"&lt;"&amp;$R97))</f>
        <v/>
      </c>
    </row>
    <row r="98">
      <c r="R98" t="n">
        <v>96</v>
      </c>
      <c r="S98">
        <f>IFERROR(INDEX(LubesData!$G:$G,MATCH($R98,LubesData!$V:$V,0)),"")</f>
        <v/>
      </c>
      <c r="T98">
        <f>IF(COUNTIFS(LubesData!$V:$V,$R98,LubesData!$U:$U,1,LubesData!$N:$N,"&lt;&gt;")=0,"",SUMIFS(LubesData!$N:$N,LubesData!$V:$V,$R98,LubesData!$U:$U,1))</f>
        <v/>
      </c>
      <c r="U98">
        <f>IF(COUNTIFS(LubesData!$V:$V,$R98,LubesData!$U:$U,2,LubesData!$N:$N,"&lt;&gt;")=0,"",SUMIFS(LubesData!$N:$N,LubesData!$V:$V,$R98,LubesData!$U:$U,2))</f>
        <v/>
      </c>
      <c r="V98">
        <f>IF(COUNTIFS(LubesData!$V:$V,$R98,LubesData!$U:$U,3,LubesData!$N:$N,"&lt;&gt;")=0,"",SUMIFS(LubesData!$N:$N,LubesData!$V:$V,$R98,LubesData!$U:$U,3))</f>
        <v/>
      </c>
      <c r="W98">
        <f>IF(COUNTIFS(LubesData!$V:$V,$R98,LubesData!$U:$U,4,LubesData!$N:$N,"&lt;&gt;")=0,"",SUMIFS(LubesData!$N:$N,LubesData!$V:$V,$R98,LubesData!$U:$U,4))</f>
        <v/>
      </c>
      <c r="X98">
        <f>IF(COUNTIFS(LubesData!$V:$V,$R98,LubesData!$U:$U,5,LubesData!$N:$N,"&lt;&gt;")=0,"",SUMIFS(LubesData!$N:$N,LubesData!$V:$V,$R98,LubesData!$U:$U,5))</f>
        <v/>
      </c>
      <c r="Y98">
        <f>IF(COUNTIFS(LubesData!$V:$V,$R98,LubesData!$U:$U,6,LubesData!$N:$N,"&lt;&gt;")=0,"",SUMIFS(LubesData!$N:$N,LubesData!$V:$V,$R98,LubesData!$U:$U,6))</f>
        <v/>
      </c>
      <c r="Z98">
        <f>IF(COUNTIFS(LubesData!$V:$V,$R98,LubesData!$U:$U,7,LubesData!$N:$N,"&lt;&gt;")=0,"",SUMIFS(LubesData!$N:$N,LubesData!$V:$V,$R98,LubesData!$U:$U,7))</f>
        <v/>
      </c>
      <c r="AA98">
        <f>IF(COUNTIFS(LubesData!$V:$V,$R98,LubesData!$U:$U,8,LubesData!$N:$N,"&lt;&gt;")=0,"",SUMIFS(LubesData!$N:$N,LubesData!$V:$V,$R98,LubesData!$U:$U,8))</f>
        <v/>
      </c>
      <c r="AB98">
        <f>IF(COUNTIFS(LubesData!$V:$V,$R98,LubesData!$U:$U,9,LubesData!$N:$N,"&lt;&gt;")=0,"",SUMIFS(LubesData!$N:$N,LubesData!$V:$V,$R98,LubesData!$U:$U,9))</f>
        <v/>
      </c>
      <c r="AC98">
        <f>IF(COUNTIFS(LubesData!$V:$V,$R98,LubesData!$U:$U,10,LubesData!$N:$N,"&lt;&gt;")=0,"",SUMIFS(LubesData!$N:$N,LubesData!$V:$V,$R98,LubesData!$U:$U,10))</f>
        <v/>
      </c>
      <c r="AD98">
        <f>IF(COUNTIFS(LubesData!$V:$V,$R98,LubesData!$U:$U,11,LubesData!$N:$N,"&lt;&gt;")=0,"",SUMIFS(LubesData!$N:$N,LubesData!$V:$V,$R98,LubesData!$U:$U,11))</f>
        <v/>
      </c>
      <c r="AE98">
        <f>IF(COUNTIFS(LubesData!$V:$V,$R98,LubesData!$U:$U,12,LubesData!$N:$N,"&lt;&gt;")=0,"",SUMIFS(LubesData!$N:$N,LubesData!$V:$V,$R98,LubesData!$U:$U,12))</f>
        <v/>
      </c>
      <c r="AF98">
        <f>IF(COUNTIFS(LubesData!$V:$V,$R98,LubesData!$U:$U,13,LubesData!$N:$N,"&lt;&gt;")=0,"",SUMIFS(LubesData!$N:$N,LubesData!$V:$V,$R98,LubesData!$U:$U,13))</f>
        <v/>
      </c>
      <c r="AG98">
        <f>IF(COUNTIFS(LubesData!$V:$V,$R98,LubesData!$U:$U,14,LubesData!$N:$N,"&lt;&gt;")=0,"",SUMIFS(LubesData!$N:$N,LubesData!$V:$V,$R98,LubesData!$U:$U,14))</f>
        <v/>
      </c>
      <c r="AH98">
        <f>COUNTIFS(LubesData!$V:$V,$R98,LubesData!$U:$U,"&lt;="&amp;14,LubesData!$N:$N,"&lt;&gt;")</f>
        <v/>
      </c>
      <c r="AI98">
        <f>COUNTIFS(LubesData!$V:$V,$R98,LubesData!$U:$U,"&lt;="&amp;14,LubesData!$N:$N,0)</f>
        <v/>
      </c>
      <c r="AJ98">
        <f>IF(AH98=0,"",AH98-AI98)</f>
        <v/>
      </c>
      <c r="AK98">
        <f>IF(AH98=0,"",SUMIFS(LubesData!$N:$N,LubesData!$V:$V,$R98,LubesData!$U:$U,"&lt;="&amp;14))</f>
        <v/>
      </c>
      <c r="AL98">
        <f>IF(AH98=0,"",IF(ABS(MAX(T98:AG98))&gt;=ABS(MIN(T98:AG98)),MAX(T98:AG98),MIN(T98:AG98)))</f>
        <v/>
      </c>
      <c r="AM98">
        <f>IF(AH98=0,-1,AJ98*100000+MIN(ABS(AK98),99999))</f>
        <v/>
      </c>
      <c r="AN98">
        <f>IF($S98="","",1+COUNTIFS($AM$3:$AM$122,"&gt;"&amp;AM98)+COUNTIFS($AM$3:$AM$122,AM98,$R$3:$R$122,"&lt;"&amp;$R98))</f>
        <v/>
      </c>
    </row>
    <row r="99">
      <c r="R99" t="n">
        <v>97</v>
      </c>
      <c r="S99">
        <f>IFERROR(INDEX(LubesData!$G:$G,MATCH($R99,LubesData!$V:$V,0)),"")</f>
        <v/>
      </c>
      <c r="T99">
        <f>IF(COUNTIFS(LubesData!$V:$V,$R99,LubesData!$U:$U,1,LubesData!$N:$N,"&lt;&gt;")=0,"",SUMIFS(LubesData!$N:$N,LubesData!$V:$V,$R99,LubesData!$U:$U,1))</f>
        <v/>
      </c>
      <c r="U99">
        <f>IF(COUNTIFS(LubesData!$V:$V,$R99,LubesData!$U:$U,2,LubesData!$N:$N,"&lt;&gt;")=0,"",SUMIFS(LubesData!$N:$N,LubesData!$V:$V,$R99,LubesData!$U:$U,2))</f>
        <v/>
      </c>
      <c r="V99">
        <f>IF(COUNTIFS(LubesData!$V:$V,$R99,LubesData!$U:$U,3,LubesData!$N:$N,"&lt;&gt;")=0,"",SUMIFS(LubesData!$N:$N,LubesData!$V:$V,$R99,LubesData!$U:$U,3))</f>
        <v/>
      </c>
      <c r="W99">
        <f>IF(COUNTIFS(LubesData!$V:$V,$R99,LubesData!$U:$U,4,LubesData!$N:$N,"&lt;&gt;")=0,"",SUMIFS(LubesData!$N:$N,LubesData!$V:$V,$R99,LubesData!$U:$U,4))</f>
        <v/>
      </c>
      <c r="X99">
        <f>IF(COUNTIFS(LubesData!$V:$V,$R99,LubesData!$U:$U,5,LubesData!$N:$N,"&lt;&gt;")=0,"",SUMIFS(LubesData!$N:$N,LubesData!$V:$V,$R99,LubesData!$U:$U,5))</f>
        <v/>
      </c>
      <c r="Y99">
        <f>IF(COUNTIFS(LubesData!$V:$V,$R99,LubesData!$U:$U,6,LubesData!$N:$N,"&lt;&gt;")=0,"",SUMIFS(LubesData!$N:$N,LubesData!$V:$V,$R99,LubesData!$U:$U,6))</f>
        <v/>
      </c>
      <c r="Z99">
        <f>IF(COUNTIFS(LubesData!$V:$V,$R99,LubesData!$U:$U,7,LubesData!$N:$N,"&lt;&gt;")=0,"",SUMIFS(LubesData!$N:$N,LubesData!$V:$V,$R99,LubesData!$U:$U,7))</f>
        <v/>
      </c>
      <c r="AA99">
        <f>IF(COUNTIFS(LubesData!$V:$V,$R99,LubesData!$U:$U,8,LubesData!$N:$N,"&lt;&gt;")=0,"",SUMIFS(LubesData!$N:$N,LubesData!$V:$V,$R99,LubesData!$U:$U,8))</f>
        <v/>
      </c>
      <c r="AB99">
        <f>IF(COUNTIFS(LubesData!$V:$V,$R99,LubesData!$U:$U,9,LubesData!$N:$N,"&lt;&gt;")=0,"",SUMIFS(LubesData!$N:$N,LubesData!$V:$V,$R99,LubesData!$U:$U,9))</f>
        <v/>
      </c>
      <c r="AC99">
        <f>IF(COUNTIFS(LubesData!$V:$V,$R99,LubesData!$U:$U,10,LubesData!$N:$N,"&lt;&gt;")=0,"",SUMIFS(LubesData!$N:$N,LubesData!$V:$V,$R99,LubesData!$U:$U,10))</f>
        <v/>
      </c>
      <c r="AD99">
        <f>IF(COUNTIFS(LubesData!$V:$V,$R99,LubesData!$U:$U,11,LubesData!$N:$N,"&lt;&gt;")=0,"",SUMIFS(LubesData!$N:$N,LubesData!$V:$V,$R99,LubesData!$U:$U,11))</f>
        <v/>
      </c>
      <c r="AE99">
        <f>IF(COUNTIFS(LubesData!$V:$V,$R99,LubesData!$U:$U,12,LubesData!$N:$N,"&lt;&gt;")=0,"",SUMIFS(LubesData!$N:$N,LubesData!$V:$V,$R99,LubesData!$U:$U,12))</f>
        <v/>
      </c>
      <c r="AF99">
        <f>IF(COUNTIFS(LubesData!$V:$V,$R99,LubesData!$U:$U,13,LubesData!$N:$N,"&lt;&gt;")=0,"",SUMIFS(LubesData!$N:$N,LubesData!$V:$V,$R99,LubesData!$U:$U,13))</f>
        <v/>
      </c>
      <c r="AG99">
        <f>IF(COUNTIFS(LubesData!$V:$V,$R99,LubesData!$U:$U,14,LubesData!$N:$N,"&lt;&gt;")=0,"",SUMIFS(LubesData!$N:$N,LubesData!$V:$V,$R99,LubesData!$U:$U,14))</f>
        <v/>
      </c>
      <c r="AH99">
        <f>COUNTIFS(LubesData!$V:$V,$R99,LubesData!$U:$U,"&lt;="&amp;14,LubesData!$N:$N,"&lt;&gt;")</f>
        <v/>
      </c>
      <c r="AI99">
        <f>COUNTIFS(LubesData!$V:$V,$R99,LubesData!$U:$U,"&lt;="&amp;14,LubesData!$N:$N,0)</f>
        <v/>
      </c>
      <c r="AJ99">
        <f>IF(AH99=0,"",AH99-AI99)</f>
        <v/>
      </c>
      <c r="AK99">
        <f>IF(AH99=0,"",SUMIFS(LubesData!$N:$N,LubesData!$V:$V,$R99,LubesData!$U:$U,"&lt;="&amp;14))</f>
        <v/>
      </c>
      <c r="AL99">
        <f>IF(AH99=0,"",IF(ABS(MAX(T99:AG99))&gt;=ABS(MIN(T99:AG99)),MAX(T99:AG99),MIN(T99:AG99)))</f>
        <v/>
      </c>
      <c r="AM99">
        <f>IF(AH99=0,-1,AJ99*100000+MIN(ABS(AK99),99999))</f>
        <v/>
      </c>
      <c r="AN99">
        <f>IF($S99="","",1+COUNTIFS($AM$3:$AM$122,"&gt;"&amp;AM99)+COUNTIFS($AM$3:$AM$122,AM99,$R$3:$R$122,"&lt;"&amp;$R99))</f>
        <v/>
      </c>
    </row>
    <row r="100">
      <c r="R100" t="n">
        <v>98</v>
      </c>
      <c r="S100">
        <f>IFERROR(INDEX(LubesData!$G:$G,MATCH($R100,LubesData!$V:$V,0)),"")</f>
        <v/>
      </c>
      <c r="T100">
        <f>IF(COUNTIFS(LubesData!$V:$V,$R100,LubesData!$U:$U,1,LubesData!$N:$N,"&lt;&gt;")=0,"",SUMIFS(LubesData!$N:$N,LubesData!$V:$V,$R100,LubesData!$U:$U,1))</f>
        <v/>
      </c>
      <c r="U100">
        <f>IF(COUNTIFS(LubesData!$V:$V,$R100,LubesData!$U:$U,2,LubesData!$N:$N,"&lt;&gt;")=0,"",SUMIFS(LubesData!$N:$N,LubesData!$V:$V,$R100,LubesData!$U:$U,2))</f>
        <v/>
      </c>
      <c r="V100">
        <f>IF(COUNTIFS(LubesData!$V:$V,$R100,LubesData!$U:$U,3,LubesData!$N:$N,"&lt;&gt;")=0,"",SUMIFS(LubesData!$N:$N,LubesData!$V:$V,$R100,LubesData!$U:$U,3))</f>
        <v/>
      </c>
      <c r="W100">
        <f>IF(COUNTIFS(LubesData!$V:$V,$R100,LubesData!$U:$U,4,LubesData!$N:$N,"&lt;&gt;")=0,"",SUMIFS(LubesData!$N:$N,LubesData!$V:$V,$R100,LubesData!$U:$U,4))</f>
        <v/>
      </c>
      <c r="X100">
        <f>IF(COUNTIFS(LubesData!$V:$V,$R100,LubesData!$U:$U,5,LubesData!$N:$N,"&lt;&gt;")=0,"",SUMIFS(LubesData!$N:$N,LubesData!$V:$V,$R100,LubesData!$U:$U,5))</f>
        <v/>
      </c>
      <c r="Y100">
        <f>IF(COUNTIFS(LubesData!$V:$V,$R100,LubesData!$U:$U,6,LubesData!$N:$N,"&lt;&gt;")=0,"",SUMIFS(LubesData!$N:$N,LubesData!$V:$V,$R100,LubesData!$U:$U,6))</f>
        <v/>
      </c>
      <c r="Z100">
        <f>IF(COUNTIFS(LubesData!$V:$V,$R100,LubesData!$U:$U,7,LubesData!$N:$N,"&lt;&gt;")=0,"",SUMIFS(LubesData!$N:$N,LubesData!$V:$V,$R100,LubesData!$U:$U,7))</f>
        <v/>
      </c>
      <c r="AA100">
        <f>IF(COUNTIFS(LubesData!$V:$V,$R100,LubesData!$U:$U,8,LubesData!$N:$N,"&lt;&gt;")=0,"",SUMIFS(LubesData!$N:$N,LubesData!$V:$V,$R100,LubesData!$U:$U,8))</f>
        <v/>
      </c>
      <c r="AB100">
        <f>IF(COUNTIFS(LubesData!$V:$V,$R100,LubesData!$U:$U,9,LubesData!$N:$N,"&lt;&gt;")=0,"",SUMIFS(LubesData!$N:$N,LubesData!$V:$V,$R100,LubesData!$U:$U,9))</f>
        <v/>
      </c>
      <c r="AC100">
        <f>IF(COUNTIFS(LubesData!$V:$V,$R100,LubesData!$U:$U,10,LubesData!$N:$N,"&lt;&gt;")=0,"",SUMIFS(LubesData!$N:$N,LubesData!$V:$V,$R100,LubesData!$U:$U,10))</f>
        <v/>
      </c>
      <c r="AD100">
        <f>IF(COUNTIFS(LubesData!$V:$V,$R100,LubesData!$U:$U,11,LubesData!$N:$N,"&lt;&gt;")=0,"",SUMIFS(LubesData!$N:$N,LubesData!$V:$V,$R100,LubesData!$U:$U,11))</f>
        <v/>
      </c>
      <c r="AE100">
        <f>IF(COUNTIFS(LubesData!$V:$V,$R100,LubesData!$U:$U,12,LubesData!$N:$N,"&lt;&gt;")=0,"",SUMIFS(LubesData!$N:$N,LubesData!$V:$V,$R100,LubesData!$U:$U,12))</f>
        <v/>
      </c>
      <c r="AF100">
        <f>IF(COUNTIFS(LubesData!$V:$V,$R100,LubesData!$U:$U,13,LubesData!$N:$N,"&lt;&gt;")=0,"",SUMIFS(LubesData!$N:$N,LubesData!$V:$V,$R100,LubesData!$U:$U,13))</f>
        <v/>
      </c>
      <c r="AG100">
        <f>IF(COUNTIFS(LubesData!$V:$V,$R100,LubesData!$U:$U,14,LubesData!$N:$N,"&lt;&gt;")=0,"",SUMIFS(LubesData!$N:$N,LubesData!$V:$V,$R100,LubesData!$U:$U,14))</f>
        <v/>
      </c>
      <c r="AH100">
        <f>COUNTIFS(LubesData!$V:$V,$R100,LubesData!$U:$U,"&lt;="&amp;14,LubesData!$N:$N,"&lt;&gt;")</f>
        <v/>
      </c>
      <c r="AI100">
        <f>COUNTIFS(LubesData!$V:$V,$R100,LubesData!$U:$U,"&lt;="&amp;14,LubesData!$N:$N,0)</f>
        <v/>
      </c>
      <c r="AJ100">
        <f>IF(AH100=0,"",AH100-AI100)</f>
        <v/>
      </c>
      <c r="AK100">
        <f>IF(AH100=0,"",SUMIFS(LubesData!$N:$N,LubesData!$V:$V,$R100,LubesData!$U:$U,"&lt;="&amp;14))</f>
        <v/>
      </c>
      <c r="AL100">
        <f>IF(AH100=0,"",IF(ABS(MAX(T100:AG100))&gt;=ABS(MIN(T100:AG100)),MAX(T100:AG100),MIN(T100:AG100)))</f>
        <v/>
      </c>
      <c r="AM100">
        <f>IF(AH100=0,-1,AJ100*100000+MIN(ABS(AK100),99999))</f>
        <v/>
      </c>
      <c r="AN100">
        <f>IF($S100="","",1+COUNTIFS($AM$3:$AM$122,"&gt;"&amp;AM100)+COUNTIFS($AM$3:$AM$122,AM100,$R$3:$R$122,"&lt;"&amp;$R100))</f>
        <v/>
      </c>
    </row>
    <row r="101">
      <c r="R101" t="n">
        <v>99</v>
      </c>
      <c r="S101">
        <f>IFERROR(INDEX(LubesData!$G:$G,MATCH($R101,LubesData!$V:$V,0)),"")</f>
        <v/>
      </c>
      <c r="T101">
        <f>IF(COUNTIFS(LubesData!$V:$V,$R101,LubesData!$U:$U,1,LubesData!$N:$N,"&lt;&gt;")=0,"",SUMIFS(LubesData!$N:$N,LubesData!$V:$V,$R101,LubesData!$U:$U,1))</f>
        <v/>
      </c>
      <c r="U101">
        <f>IF(COUNTIFS(LubesData!$V:$V,$R101,LubesData!$U:$U,2,LubesData!$N:$N,"&lt;&gt;")=0,"",SUMIFS(LubesData!$N:$N,LubesData!$V:$V,$R101,LubesData!$U:$U,2))</f>
        <v/>
      </c>
      <c r="V101">
        <f>IF(COUNTIFS(LubesData!$V:$V,$R101,LubesData!$U:$U,3,LubesData!$N:$N,"&lt;&gt;")=0,"",SUMIFS(LubesData!$N:$N,LubesData!$V:$V,$R101,LubesData!$U:$U,3))</f>
        <v/>
      </c>
      <c r="W101">
        <f>IF(COUNTIFS(LubesData!$V:$V,$R101,LubesData!$U:$U,4,LubesData!$N:$N,"&lt;&gt;")=0,"",SUMIFS(LubesData!$N:$N,LubesData!$V:$V,$R101,LubesData!$U:$U,4))</f>
        <v/>
      </c>
      <c r="X101">
        <f>IF(COUNTIFS(LubesData!$V:$V,$R101,LubesData!$U:$U,5,LubesData!$N:$N,"&lt;&gt;")=0,"",SUMIFS(LubesData!$N:$N,LubesData!$V:$V,$R101,LubesData!$U:$U,5))</f>
        <v/>
      </c>
      <c r="Y101">
        <f>IF(COUNTIFS(LubesData!$V:$V,$R101,LubesData!$U:$U,6,LubesData!$N:$N,"&lt;&gt;")=0,"",SUMIFS(LubesData!$N:$N,LubesData!$V:$V,$R101,LubesData!$U:$U,6))</f>
        <v/>
      </c>
      <c r="Z101">
        <f>IF(COUNTIFS(LubesData!$V:$V,$R101,LubesData!$U:$U,7,LubesData!$N:$N,"&lt;&gt;")=0,"",SUMIFS(LubesData!$N:$N,LubesData!$V:$V,$R101,LubesData!$U:$U,7))</f>
        <v/>
      </c>
      <c r="AA101">
        <f>IF(COUNTIFS(LubesData!$V:$V,$R101,LubesData!$U:$U,8,LubesData!$N:$N,"&lt;&gt;")=0,"",SUMIFS(LubesData!$N:$N,LubesData!$V:$V,$R101,LubesData!$U:$U,8))</f>
        <v/>
      </c>
      <c r="AB101">
        <f>IF(COUNTIFS(LubesData!$V:$V,$R101,LubesData!$U:$U,9,LubesData!$N:$N,"&lt;&gt;")=0,"",SUMIFS(LubesData!$N:$N,LubesData!$V:$V,$R101,LubesData!$U:$U,9))</f>
        <v/>
      </c>
      <c r="AC101">
        <f>IF(COUNTIFS(LubesData!$V:$V,$R101,LubesData!$U:$U,10,LubesData!$N:$N,"&lt;&gt;")=0,"",SUMIFS(LubesData!$N:$N,LubesData!$V:$V,$R101,LubesData!$U:$U,10))</f>
        <v/>
      </c>
      <c r="AD101">
        <f>IF(COUNTIFS(LubesData!$V:$V,$R101,LubesData!$U:$U,11,LubesData!$N:$N,"&lt;&gt;")=0,"",SUMIFS(LubesData!$N:$N,LubesData!$V:$V,$R101,LubesData!$U:$U,11))</f>
        <v/>
      </c>
      <c r="AE101">
        <f>IF(COUNTIFS(LubesData!$V:$V,$R101,LubesData!$U:$U,12,LubesData!$N:$N,"&lt;&gt;")=0,"",SUMIFS(LubesData!$N:$N,LubesData!$V:$V,$R101,LubesData!$U:$U,12))</f>
        <v/>
      </c>
      <c r="AF101">
        <f>IF(COUNTIFS(LubesData!$V:$V,$R101,LubesData!$U:$U,13,LubesData!$N:$N,"&lt;&gt;")=0,"",SUMIFS(LubesData!$N:$N,LubesData!$V:$V,$R101,LubesData!$U:$U,13))</f>
        <v/>
      </c>
      <c r="AG101">
        <f>IF(COUNTIFS(LubesData!$V:$V,$R101,LubesData!$U:$U,14,LubesData!$N:$N,"&lt;&gt;")=0,"",SUMIFS(LubesData!$N:$N,LubesData!$V:$V,$R101,LubesData!$U:$U,14))</f>
        <v/>
      </c>
      <c r="AH101">
        <f>COUNTIFS(LubesData!$V:$V,$R101,LubesData!$U:$U,"&lt;="&amp;14,LubesData!$N:$N,"&lt;&gt;")</f>
        <v/>
      </c>
      <c r="AI101">
        <f>COUNTIFS(LubesData!$V:$V,$R101,LubesData!$U:$U,"&lt;="&amp;14,LubesData!$N:$N,0)</f>
        <v/>
      </c>
      <c r="AJ101">
        <f>IF(AH101=0,"",AH101-AI101)</f>
        <v/>
      </c>
      <c r="AK101">
        <f>IF(AH101=0,"",SUMIFS(LubesData!$N:$N,LubesData!$V:$V,$R101,LubesData!$U:$U,"&lt;="&amp;14))</f>
        <v/>
      </c>
      <c r="AL101">
        <f>IF(AH101=0,"",IF(ABS(MAX(T101:AG101))&gt;=ABS(MIN(T101:AG101)),MAX(T101:AG101),MIN(T101:AG101)))</f>
        <v/>
      </c>
      <c r="AM101">
        <f>IF(AH101=0,-1,AJ101*100000+MIN(ABS(AK101),99999))</f>
        <v/>
      </c>
      <c r="AN101">
        <f>IF($S101="","",1+COUNTIFS($AM$3:$AM$122,"&gt;"&amp;AM101)+COUNTIFS($AM$3:$AM$122,AM101,$R$3:$R$122,"&lt;"&amp;$R101))</f>
        <v/>
      </c>
    </row>
    <row r="102">
      <c r="R102" t="n">
        <v>100</v>
      </c>
      <c r="S102">
        <f>IFERROR(INDEX(LubesData!$G:$G,MATCH($R102,LubesData!$V:$V,0)),"")</f>
        <v/>
      </c>
      <c r="T102">
        <f>IF(COUNTIFS(LubesData!$V:$V,$R102,LubesData!$U:$U,1,LubesData!$N:$N,"&lt;&gt;")=0,"",SUMIFS(LubesData!$N:$N,LubesData!$V:$V,$R102,LubesData!$U:$U,1))</f>
        <v/>
      </c>
      <c r="U102">
        <f>IF(COUNTIFS(LubesData!$V:$V,$R102,LubesData!$U:$U,2,LubesData!$N:$N,"&lt;&gt;")=0,"",SUMIFS(LubesData!$N:$N,LubesData!$V:$V,$R102,LubesData!$U:$U,2))</f>
        <v/>
      </c>
      <c r="V102">
        <f>IF(COUNTIFS(LubesData!$V:$V,$R102,LubesData!$U:$U,3,LubesData!$N:$N,"&lt;&gt;")=0,"",SUMIFS(LubesData!$N:$N,LubesData!$V:$V,$R102,LubesData!$U:$U,3))</f>
        <v/>
      </c>
      <c r="W102">
        <f>IF(COUNTIFS(LubesData!$V:$V,$R102,LubesData!$U:$U,4,LubesData!$N:$N,"&lt;&gt;")=0,"",SUMIFS(LubesData!$N:$N,LubesData!$V:$V,$R102,LubesData!$U:$U,4))</f>
        <v/>
      </c>
      <c r="X102">
        <f>IF(COUNTIFS(LubesData!$V:$V,$R102,LubesData!$U:$U,5,LubesData!$N:$N,"&lt;&gt;")=0,"",SUMIFS(LubesData!$N:$N,LubesData!$V:$V,$R102,LubesData!$U:$U,5))</f>
        <v/>
      </c>
      <c r="Y102">
        <f>IF(COUNTIFS(LubesData!$V:$V,$R102,LubesData!$U:$U,6,LubesData!$N:$N,"&lt;&gt;")=0,"",SUMIFS(LubesData!$N:$N,LubesData!$V:$V,$R102,LubesData!$U:$U,6))</f>
        <v/>
      </c>
      <c r="Z102">
        <f>IF(COUNTIFS(LubesData!$V:$V,$R102,LubesData!$U:$U,7,LubesData!$N:$N,"&lt;&gt;")=0,"",SUMIFS(LubesData!$N:$N,LubesData!$V:$V,$R102,LubesData!$U:$U,7))</f>
        <v/>
      </c>
      <c r="AA102">
        <f>IF(COUNTIFS(LubesData!$V:$V,$R102,LubesData!$U:$U,8,LubesData!$N:$N,"&lt;&gt;")=0,"",SUMIFS(LubesData!$N:$N,LubesData!$V:$V,$R102,LubesData!$U:$U,8))</f>
        <v/>
      </c>
      <c r="AB102">
        <f>IF(COUNTIFS(LubesData!$V:$V,$R102,LubesData!$U:$U,9,LubesData!$N:$N,"&lt;&gt;")=0,"",SUMIFS(LubesData!$N:$N,LubesData!$V:$V,$R102,LubesData!$U:$U,9))</f>
        <v/>
      </c>
      <c r="AC102">
        <f>IF(COUNTIFS(LubesData!$V:$V,$R102,LubesData!$U:$U,10,LubesData!$N:$N,"&lt;&gt;")=0,"",SUMIFS(LubesData!$N:$N,LubesData!$V:$V,$R102,LubesData!$U:$U,10))</f>
        <v/>
      </c>
      <c r="AD102">
        <f>IF(COUNTIFS(LubesData!$V:$V,$R102,LubesData!$U:$U,11,LubesData!$N:$N,"&lt;&gt;")=0,"",SUMIFS(LubesData!$N:$N,LubesData!$V:$V,$R102,LubesData!$U:$U,11))</f>
        <v/>
      </c>
      <c r="AE102">
        <f>IF(COUNTIFS(LubesData!$V:$V,$R102,LubesData!$U:$U,12,LubesData!$N:$N,"&lt;&gt;")=0,"",SUMIFS(LubesData!$N:$N,LubesData!$V:$V,$R102,LubesData!$U:$U,12))</f>
        <v/>
      </c>
      <c r="AF102">
        <f>IF(COUNTIFS(LubesData!$V:$V,$R102,LubesData!$U:$U,13,LubesData!$N:$N,"&lt;&gt;")=0,"",SUMIFS(LubesData!$N:$N,LubesData!$V:$V,$R102,LubesData!$U:$U,13))</f>
        <v/>
      </c>
      <c r="AG102">
        <f>IF(COUNTIFS(LubesData!$V:$V,$R102,LubesData!$U:$U,14,LubesData!$N:$N,"&lt;&gt;")=0,"",SUMIFS(LubesData!$N:$N,LubesData!$V:$V,$R102,LubesData!$U:$U,14))</f>
        <v/>
      </c>
      <c r="AH102">
        <f>COUNTIFS(LubesData!$V:$V,$R102,LubesData!$U:$U,"&lt;="&amp;14,LubesData!$N:$N,"&lt;&gt;")</f>
        <v/>
      </c>
      <c r="AI102">
        <f>COUNTIFS(LubesData!$V:$V,$R102,LubesData!$U:$U,"&lt;="&amp;14,LubesData!$N:$N,0)</f>
        <v/>
      </c>
      <c r="AJ102">
        <f>IF(AH102=0,"",AH102-AI102)</f>
        <v/>
      </c>
      <c r="AK102">
        <f>IF(AH102=0,"",SUMIFS(LubesData!$N:$N,LubesData!$V:$V,$R102,LubesData!$U:$U,"&lt;="&amp;14))</f>
        <v/>
      </c>
      <c r="AL102">
        <f>IF(AH102=0,"",IF(ABS(MAX(T102:AG102))&gt;=ABS(MIN(T102:AG102)),MAX(T102:AG102),MIN(T102:AG102)))</f>
        <v/>
      </c>
      <c r="AM102">
        <f>IF(AH102=0,-1,AJ102*100000+MIN(ABS(AK102),99999))</f>
        <v/>
      </c>
      <c r="AN102">
        <f>IF($S102="","",1+COUNTIFS($AM$3:$AM$122,"&gt;"&amp;AM102)+COUNTIFS($AM$3:$AM$122,AM102,$R$3:$R$122,"&lt;"&amp;$R102))</f>
        <v/>
      </c>
    </row>
    <row r="103">
      <c r="R103" t="n">
        <v>101</v>
      </c>
      <c r="S103">
        <f>IFERROR(INDEX(LubesData!$G:$G,MATCH($R103,LubesData!$V:$V,0)),"")</f>
        <v/>
      </c>
      <c r="T103">
        <f>IF(COUNTIFS(LubesData!$V:$V,$R103,LubesData!$U:$U,1,LubesData!$N:$N,"&lt;&gt;")=0,"",SUMIFS(LubesData!$N:$N,LubesData!$V:$V,$R103,LubesData!$U:$U,1))</f>
        <v/>
      </c>
      <c r="U103">
        <f>IF(COUNTIFS(LubesData!$V:$V,$R103,LubesData!$U:$U,2,LubesData!$N:$N,"&lt;&gt;")=0,"",SUMIFS(LubesData!$N:$N,LubesData!$V:$V,$R103,LubesData!$U:$U,2))</f>
        <v/>
      </c>
      <c r="V103">
        <f>IF(COUNTIFS(LubesData!$V:$V,$R103,LubesData!$U:$U,3,LubesData!$N:$N,"&lt;&gt;")=0,"",SUMIFS(LubesData!$N:$N,LubesData!$V:$V,$R103,LubesData!$U:$U,3))</f>
        <v/>
      </c>
      <c r="W103">
        <f>IF(COUNTIFS(LubesData!$V:$V,$R103,LubesData!$U:$U,4,LubesData!$N:$N,"&lt;&gt;")=0,"",SUMIFS(LubesData!$N:$N,LubesData!$V:$V,$R103,LubesData!$U:$U,4))</f>
        <v/>
      </c>
      <c r="X103">
        <f>IF(COUNTIFS(LubesData!$V:$V,$R103,LubesData!$U:$U,5,LubesData!$N:$N,"&lt;&gt;")=0,"",SUMIFS(LubesData!$N:$N,LubesData!$V:$V,$R103,LubesData!$U:$U,5))</f>
        <v/>
      </c>
      <c r="Y103">
        <f>IF(COUNTIFS(LubesData!$V:$V,$R103,LubesData!$U:$U,6,LubesData!$N:$N,"&lt;&gt;")=0,"",SUMIFS(LubesData!$N:$N,LubesData!$V:$V,$R103,LubesData!$U:$U,6))</f>
        <v/>
      </c>
      <c r="Z103">
        <f>IF(COUNTIFS(LubesData!$V:$V,$R103,LubesData!$U:$U,7,LubesData!$N:$N,"&lt;&gt;")=0,"",SUMIFS(LubesData!$N:$N,LubesData!$V:$V,$R103,LubesData!$U:$U,7))</f>
        <v/>
      </c>
      <c r="AA103">
        <f>IF(COUNTIFS(LubesData!$V:$V,$R103,LubesData!$U:$U,8,LubesData!$N:$N,"&lt;&gt;")=0,"",SUMIFS(LubesData!$N:$N,LubesData!$V:$V,$R103,LubesData!$U:$U,8))</f>
        <v/>
      </c>
      <c r="AB103">
        <f>IF(COUNTIFS(LubesData!$V:$V,$R103,LubesData!$U:$U,9,LubesData!$N:$N,"&lt;&gt;")=0,"",SUMIFS(LubesData!$N:$N,LubesData!$V:$V,$R103,LubesData!$U:$U,9))</f>
        <v/>
      </c>
      <c r="AC103">
        <f>IF(COUNTIFS(LubesData!$V:$V,$R103,LubesData!$U:$U,10,LubesData!$N:$N,"&lt;&gt;")=0,"",SUMIFS(LubesData!$N:$N,LubesData!$V:$V,$R103,LubesData!$U:$U,10))</f>
        <v/>
      </c>
      <c r="AD103">
        <f>IF(COUNTIFS(LubesData!$V:$V,$R103,LubesData!$U:$U,11,LubesData!$N:$N,"&lt;&gt;")=0,"",SUMIFS(LubesData!$N:$N,LubesData!$V:$V,$R103,LubesData!$U:$U,11))</f>
        <v/>
      </c>
      <c r="AE103">
        <f>IF(COUNTIFS(LubesData!$V:$V,$R103,LubesData!$U:$U,12,LubesData!$N:$N,"&lt;&gt;")=0,"",SUMIFS(LubesData!$N:$N,LubesData!$V:$V,$R103,LubesData!$U:$U,12))</f>
        <v/>
      </c>
      <c r="AF103">
        <f>IF(COUNTIFS(LubesData!$V:$V,$R103,LubesData!$U:$U,13,LubesData!$N:$N,"&lt;&gt;")=0,"",SUMIFS(LubesData!$N:$N,LubesData!$V:$V,$R103,LubesData!$U:$U,13))</f>
        <v/>
      </c>
      <c r="AG103">
        <f>IF(COUNTIFS(LubesData!$V:$V,$R103,LubesData!$U:$U,14,LubesData!$N:$N,"&lt;&gt;")=0,"",SUMIFS(LubesData!$N:$N,LubesData!$V:$V,$R103,LubesData!$U:$U,14))</f>
        <v/>
      </c>
      <c r="AH103">
        <f>COUNTIFS(LubesData!$V:$V,$R103,LubesData!$U:$U,"&lt;="&amp;14,LubesData!$N:$N,"&lt;&gt;")</f>
        <v/>
      </c>
      <c r="AI103">
        <f>COUNTIFS(LubesData!$V:$V,$R103,LubesData!$U:$U,"&lt;="&amp;14,LubesData!$N:$N,0)</f>
        <v/>
      </c>
      <c r="AJ103">
        <f>IF(AH103=0,"",AH103-AI103)</f>
        <v/>
      </c>
      <c r="AK103">
        <f>IF(AH103=0,"",SUMIFS(LubesData!$N:$N,LubesData!$V:$V,$R103,LubesData!$U:$U,"&lt;="&amp;14))</f>
        <v/>
      </c>
      <c r="AL103">
        <f>IF(AH103=0,"",IF(ABS(MAX(T103:AG103))&gt;=ABS(MIN(T103:AG103)),MAX(T103:AG103),MIN(T103:AG103)))</f>
        <v/>
      </c>
      <c r="AM103">
        <f>IF(AH103=0,-1,AJ103*100000+MIN(ABS(AK103),99999))</f>
        <v/>
      </c>
      <c r="AN103">
        <f>IF($S103="","",1+COUNTIFS($AM$3:$AM$122,"&gt;"&amp;AM103)+COUNTIFS($AM$3:$AM$122,AM103,$R$3:$R$122,"&lt;"&amp;$R103))</f>
        <v/>
      </c>
    </row>
    <row r="104">
      <c r="R104" t="n">
        <v>102</v>
      </c>
      <c r="S104">
        <f>IFERROR(INDEX(LubesData!$G:$G,MATCH($R104,LubesData!$V:$V,0)),"")</f>
        <v/>
      </c>
      <c r="T104">
        <f>IF(COUNTIFS(LubesData!$V:$V,$R104,LubesData!$U:$U,1,LubesData!$N:$N,"&lt;&gt;")=0,"",SUMIFS(LubesData!$N:$N,LubesData!$V:$V,$R104,LubesData!$U:$U,1))</f>
        <v/>
      </c>
      <c r="U104">
        <f>IF(COUNTIFS(LubesData!$V:$V,$R104,LubesData!$U:$U,2,LubesData!$N:$N,"&lt;&gt;")=0,"",SUMIFS(LubesData!$N:$N,LubesData!$V:$V,$R104,LubesData!$U:$U,2))</f>
        <v/>
      </c>
      <c r="V104">
        <f>IF(COUNTIFS(LubesData!$V:$V,$R104,LubesData!$U:$U,3,LubesData!$N:$N,"&lt;&gt;")=0,"",SUMIFS(LubesData!$N:$N,LubesData!$V:$V,$R104,LubesData!$U:$U,3))</f>
        <v/>
      </c>
      <c r="W104">
        <f>IF(COUNTIFS(LubesData!$V:$V,$R104,LubesData!$U:$U,4,LubesData!$N:$N,"&lt;&gt;")=0,"",SUMIFS(LubesData!$N:$N,LubesData!$V:$V,$R104,LubesData!$U:$U,4))</f>
        <v/>
      </c>
      <c r="X104">
        <f>IF(COUNTIFS(LubesData!$V:$V,$R104,LubesData!$U:$U,5,LubesData!$N:$N,"&lt;&gt;")=0,"",SUMIFS(LubesData!$N:$N,LubesData!$V:$V,$R104,LubesData!$U:$U,5))</f>
        <v/>
      </c>
      <c r="Y104">
        <f>IF(COUNTIFS(LubesData!$V:$V,$R104,LubesData!$U:$U,6,LubesData!$N:$N,"&lt;&gt;")=0,"",SUMIFS(LubesData!$N:$N,LubesData!$V:$V,$R104,LubesData!$U:$U,6))</f>
        <v/>
      </c>
      <c r="Z104">
        <f>IF(COUNTIFS(LubesData!$V:$V,$R104,LubesData!$U:$U,7,LubesData!$N:$N,"&lt;&gt;")=0,"",SUMIFS(LubesData!$N:$N,LubesData!$V:$V,$R104,LubesData!$U:$U,7))</f>
        <v/>
      </c>
      <c r="AA104">
        <f>IF(COUNTIFS(LubesData!$V:$V,$R104,LubesData!$U:$U,8,LubesData!$N:$N,"&lt;&gt;")=0,"",SUMIFS(LubesData!$N:$N,LubesData!$V:$V,$R104,LubesData!$U:$U,8))</f>
        <v/>
      </c>
      <c r="AB104">
        <f>IF(COUNTIFS(LubesData!$V:$V,$R104,LubesData!$U:$U,9,LubesData!$N:$N,"&lt;&gt;")=0,"",SUMIFS(LubesData!$N:$N,LubesData!$V:$V,$R104,LubesData!$U:$U,9))</f>
        <v/>
      </c>
      <c r="AC104">
        <f>IF(COUNTIFS(LubesData!$V:$V,$R104,LubesData!$U:$U,10,LubesData!$N:$N,"&lt;&gt;")=0,"",SUMIFS(LubesData!$N:$N,LubesData!$V:$V,$R104,LubesData!$U:$U,10))</f>
        <v/>
      </c>
      <c r="AD104">
        <f>IF(COUNTIFS(LubesData!$V:$V,$R104,LubesData!$U:$U,11,LubesData!$N:$N,"&lt;&gt;")=0,"",SUMIFS(LubesData!$N:$N,LubesData!$V:$V,$R104,LubesData!$U:$U,11))</f>
        <v/>
      </c>
      <c r="AE104">
        <f>IF(COUNTIFS(LubesData!$V:$V,$R104,LubesData!$U:$U,12,LubesData!$N:$N,"&lt;&gt;")=0,"",SUMIFS(LubesData!$N:$N,LubesData!$V:$V,$R104,LubesData!$U:$U,12))</f>
        <v/>
      </c>
      <c r="AF104">
        <f>IF(COUNTIFS(LubesData!$V:$V,$R104,LubesData!$U:$U,13,LubesData!$N:$N,"&lt;&gt;")=0,"",SUMIFS(LubesData!$N:$N,LubesData!$V:$V,$R104,LubesData!$U:$U,13))</f>
        <v/>
      </c>
      <c r="AG104">
        <f>IF(COUNTIFS(LubesData!$V:$V,$R104,LubesData!$U:$U,14,LubesData!$N:$N,"&lt;&gt;")=0,"",SUMIFS(LubesData!$N:$N,LubesData!$V:$V,$R104,LubesData!$U:$U,14))</f>
        <v/>
      </c>
      <c r="AH104">
        <f>COUNTIFS(LubesData!$V:$V,$R104,LubesData!$U:$U,"&lt;="&amp;14,LubesData!$N:$N,"&lt;&gt;")</f>
        <v/>
      </c>
      <c r="AI104">
        <f>COUNTIFS(LubesData!$V:$V,$R104,LubesData!$U:$U,"&lt;="&amp;14,LubesData!$N:$N,0)</f>
        <v/>
      </c>
      <c r="AJ104">
        <f>IF(AH104=0,"",AH104-AI104)</f>
        <v/>
      </c>
      <c r="AK104">
        <f>IF(AH104=0,"",SUMIFS(LubesData!$N:$N,LubesData!$V:$V,$R104,LubesData!$U:$U,"&lt;="&amp;14))</f>
        <v/>
      </c>
      <c r="AL104">
        <f>IF(AH104=0,"",IF(ABS(MAX(T104:AG104))&gt;=ABS(MIN(T104:AG104)),MAX(T104:AG104),MIN(T104:AG104)))</f>
        <v/>
      </c>
      <c r="AM104">
        <f>IF(AH104=0,-1,AJ104*100000+MIN(ABS(AK104),99999))</f>
        <v/>
      </c>
      <c r="AN104">
        <f>IF($S104="","",1+COUNTIFS($AM$3:$AM$122,"&gt;"&amp;AM104)+COUNTIFS($AM$3:$AM$122,AM104,$R$3:$R$122,"&lt;"&amp;$R104))</f>
        <v/>
      </c>
    </row>
    <row r="105">
      <c r="R105" t="n">
        <v>103</v>
      </c>
      <c r="S105">
        <f>IFERROR(INDEX(LubesData!$G:$G,MATCH($R105,LubesData!$V:$V,0)),"")</f>
        <v/>
      </c>
      <c r="T105">
        <f>IF(COUNTIFS(LubesData!$V:$V,$R105,LubesData!$U:$U,1,LubesData!$N:$N,"&lt;&gt;")=0,"",SUMIFS(LubesData!$N:$N,LubesData!$V:$V,$R105,LubesData!$U:$U,1))</f>
        <v/>
      </c>
      <c r="U105">
        <f>IF(COUNTIFS(LubesData!$V:$V,$R105,LubesData!$U:$U,2,LubesData!$N:$N,"&lt;&gt;")=0,"",SUMIFS(LubesData!$N:$N,LubesData!$V:$V,$R105,LubesData!$U:$U,2))</f>
        <v/>
      </c>
      <c r="V105">
        <f>IF(COUNTIFS(LubesData!$V:$V,$R105,LubesData!$U:$U,3,LubesData!$N:$N,"&lt;&gt;")=0,"",SUMIFS(LubesData!$N:$N,LubesData!$V:$V,$R105,LubesData!$U:$U,3))</f>
        <v/>
      </c>
      <c r="W105">
        <f>IF(COUNTIFS(LubesData!$V:$V,$R105,LubesData!$U:$U,4,LubesData!$N:$N,"&lt;&gt;")=0,"",SUMIFS(LubesData!$N:$N,LubesData!$V:$V,$R105,LubesData!$U:$U,4))</f>
        <v/>
      </c>
      <c r="X105">
        <f>IF(COUNTIFS(LubesData!$V:$V,$R105,LubesData!$U:$U,5,LubesData!$N:$N,"&lt;&gt;")=0,"",SUMIFS(LubesData!$N:$N,LubesData!$V:$V,$R105,LubesData!$U:$U,5))</f>
        <v/>
      </c>
      <c r="Y105">
        <f>IF(COUNTIFS(LubesData!$V:$V,$R105,LubesData!$U:$U,6,LubesData!$N:$N,"&lt;&gt;")=0,"",SUMIFS(LubesData!$N:$N,LubesData!$V:$V,$R105,LubesData!$U:$U,6))</f>
        <v/>
      </c>
      <c r="Z105">
        <f>IF(COUNTIFS(LubesData!$V:$V,$R105,LubesData!$U:$U,7,LubesData!$N:$N,"&lt;&gt;")=0,"",SUMIFS(LubesData!$N:$N,LubesData!$V:$V,$R105,LubesData!$U:$U,7))</f>
        <v/>
      </c>
      <c r="AA105">
        <f>IF(COUNTIFS(LubesData!$V:$V,$R105,LubesData!$U:$U,8,LubesData!$N:$N,"&lt;&gt;")=0,"",SUMIFS(LubesData!$N:$N,LubesData!$V:$V,$R105,LubesData!$U:$U,8))</f>
        <v/>
      </c>
      <c r="AB105">
        <f>IF(COUNTIFS(LubesData!$V:$V,$R105,LubesData!$U:$U,9,LubesData!$N:$N,"&lt;&gt;")=0,"",SUMIFS(LubesData!$N:$N,LubesData!$V:$V,$R105,LubesData!$U:$U,9))</f>
        <v/>
      </c>
      <c r="AC105">
        <f>IF(COUNTIFS(LubesData!$V:$V,$R105,LubesData!$U:$U,10,LubesData!$N:$N,"&lt;&gt;")=0,"",SUMIFS(LubesData!$N:$N,LubesData!$V:$V,$R105,LubesData!$U:$U,10))</f>
        <v/>
      </c>
      <c r="AD105">
        <f>IF(COUNTIFS(LubesData!$V:$V,$R105,LubesData!$U:$U,11,LubesData!$N:$N,"&lt;&gt;")=0,"",SUMIFS(LubesData!$N:$N,LubesData!$V:$V,$R105,LubesData!$U:$U,11))</f>
        <v/>
      </c>
      <c r="AE105">
        <f>IF(COUNTIFS(LubesData!$V:$V,$R105,LubesData!$U:$U,12,LubesData!$N:$N,"&lt;&gt;")=0,"",SUMIFS(LubesData!$N:$N,LubesData!$V:$V,$R105,LubesData!$U:$U,12))</f>
        <v/>
      </c>
      <c r="AF105">
        <f>IF(COUNTIFS(LubesData!$V:$V,$R105,LubesData!$U:$U,13,LubesData!$N:$N,"&lt;&gt;")=0,"",SUMIFS(LubesData!$N:$N,LubesData!$V:$V,$R105,LubesData!$U:$U,13))</f>
        <v/>
      </c>
      <c r="AG105">
        <f>IF(COUNTIFS(LubesData!$V:$V,$R105,LubesData!$U:$U,14,LubesData!$N:$N,"&lt;&gt;")=0,"",SUMIFS(LubesData!$N:$N,LubesData!$V:$V,$R105,LubesData!$U:$U,14))</f>
        <v/>
      </c>
      <c r="AH105">
        <f>COUNTIFS(LubesData!$V:$V,$R105,LubesData!$U:$U,"&lt;="&amp;14,LubesData!$N:$N,"&lt;&gt;")</f>
        <v/>
      </c>
      <c r="AI105">
        <f>COUNTIFS(LubesData!$V:$V,$R105,LubesData!$U:$U,"&lt;="&amp;14,LubesData!$N:$N,0)</f>
        <v/>
      </c>
      <c r="AJ105">
        <f>IF(AH105=0,"",AH105-AI105)</f>
        <v/>
      </c>
      <c r="AK105">
        <f>IF(AH105=0,"",SUMIFS(LubesData!$N:$N,LubesData!$V:$V,$R105,LubesData!$U:$U,"&lt;="&amp;14))</f>
        <v/>
      </c>
      <c r="AL105">
        <f>IF(AH105=0,"",IF(ABS(MAX(T105:AG105))&gt;=ABS(MIN(T105:AG105)),MAX(T105:AG105),MIN(T105:AG105)))</f>
        <v/>
      </c>
      <c r="AM105">
        <f>IF(AH105=0,-1,AJ105*100000+MIN(ABS(AK105),99999))</f>
        <v/>
      </c>
      <c r="AN105">
        <f>IF($S105="","",1+COUNTIFS($AM$3:$AM$122,"&gt;"&amp;AM105)+COUNTIFS($AM$3:$AM$122,AM105,$R$3:$R$122,"&lt;"&amp;$R105))</f>
        <v/>
      </c>
    </row>
    <row r="106">
      <c r="R106" t="n">
        <v>104</v>
      </c>
      <c r="S106">
        <f>IFERROR(INDEX(LubesData!$G:$G,MATCH($R106,LubesData!$V:$V,0)),"")</f>
        <v/>
      </c>
      <c r="T106">
        <f>IF(COUNTIFS(LubesData!$V:$V,$R106,LubesData!$U:$U,1,LubesData!$N:$N,"&lt;&gt;")=0,"",SUMIFS(LubesData!$N:$N,LubesData!$V:$V,$R106,LubesData!$U:$U,1))</f>
        <v/>
      </c>
      <c r="U106">
        <f>IF(COUNTIFS(LubesData!$V:$V,$R106,LubesData!$U:$U,2,LubesData!$N:$N,"&lt;&gt;")=0,"",SUMIFS(LubesData!$N:$N,LubesData!$V:$V,$R106,LubesData!$U:$U,2))</f>
        <v/>
      </c>
      <c r="V106">
        <f>IF(COUNTIFS(LubesData!$V:$V,$R106,LubesData!$U:$U,3,LubesData!$N:$N,"&lt;&gt;")=0,"",SUMIFS(LubesData!$N:$N,LubesData!$V:$V,$R106,LubesData!$U:$U,3))</f>
        <v/>
      </c>
      <c r="W106">
        <f>IF(COUNTIFS(LubesData!$V:$V,$R106,LubesData!$U:$U,4,LubesData!$N:$N,"&lt;&gt;")=0,"",SUMIFS(LubesData!$N:$N,LubesData!$V:$V,$R106,LubesData!$U:$U,4))</f>
        <v/>
      </c>
      <c r="X106">
        <f>IF(COUNTIFS(LubesData!$V:$V,$R106,LubesData!$U:$U,5,LubesData!$N:$N,"&lt;&gt;")=0,"",SUMIFS(LubesData!$N:$N,LubesData!$V:$V,$R106,LubesData!$U:$U,5))</f>
        <v/>
      </c>
      <c r="Y106">
        <f>IF(COUNTIFS(LubesData!$V:$V,$R106,LubesData!$U:$U,6,LubesData!$N:$N,"&lt;&gt;")=0,"",SUMIFS(LubesData!$N:$N,LubesData!$V:$V,$R106,LubesData!$U:$U,6))</f>
        <v/>
      </c>
      <c r="Z106">
        <f>IF(COUNTIFS(LubesData!$V:$V,$R106,LubesData!$U:$U,7,LubesData!$N:$N,"&lt;&gt;")=0,"",SUMIFS(LubesData!$N:$N,LubesData!$V:$V,$R106,LubesData!$U:$U,7))</f>
        <v/>
      </c>
      <c r="AA106">
        <f>IF(COUNTIFS(LubesData!$V:$V,$R106,LubesData!$U:$U,8,LubesData!$N:$N,"&lt;&gt;")=0,"",SUMIFS(LubesData!$N:$N,LubesData!$V:$V,$R106,LubesData!$U:$U,8))</f>
        <v/>
      </c>
      <c r="AB106">
        <f>IF(COUNTIFS(LubesData!$V:$V,$R106,LubesData!$U:$U,9,LubesData!$N:$N,"&lt;&gt;")=0,"",SUMIFS(LubesData!$N:$N,LubesData!$V:$V,$R106,LubesData!$U:$U,9))</f>
        <v/>
      </c>
      <c r="AC106">
        <f>IF(COUNTIFS(LubesData!$V:$V,$R106,LubesData!$U:$U,10,LubesData!$N:$N,"&lt;&gt;")=0,"",SUMIFS(LubesData!$N:$N,LubesData!$V:$V,$R106,LubesData!$U:$U,10))</f>
        <v/>
      </c>
      <c r="AD106">
        <f>IF(COUNTIFS(LubesData!$V:$V,$R106,LubesData!$U:$U,11,LubesData!$N:$N,"&lt;&gt;")=0,"",SUMIFS(LubesData!$N:$N,LubesData!$V:$V,$R106,LubesData!$U:$U,11))</f>
        <v/>
      </c>
      <c r="AE106">
        <f>IF(COUNTIFS(LubesData!$V:$V,$R106,LubesData!$U:$U,12,LubesData!$N:$N,"&lt;&gt;")=0,"",SUMIFS(LubesData!$N:$N,LubesData!$V:$V,$R106,LubesData!$U:$U,12))</f>
        <v/>
      </c>
      <c r="AF106">
        <f>IF(COUNTIFS(LubesData!$V:$V,$R106,LubesData!$U:$U,13,LubesData!$N:$N,"&lt;&gt;")=0,"",SUMIFS(LubesData!$N:$N,LubesData!$V:$V,$R106,LubesData!$U:$U,13))</f>
        <v/>
      </c>
      <c r="AG106">
        <f>IF(COUNTIFS(LubesData!$V:$V,$R106,LubesData!$U:$U,14,LubesData!$N:$N,"&lt;&gt;")=0,"",SUMIFS(LubesData!$N:$N,LubesData!$V:$V,$R106,LubesData!$U:$U,14))</f>
        <v/>
      </c>
      <c r="AH106">
        <f>COUNTIFS(LubesData!$V:$V,$R106,LubesData!$U:$U,"&lt;="&amp;14,LubesData!$N:$N,"&lt;&gt;")</f>
        <v/>
      </c>
      <c r="AI106">
        <f>COUNTIFS(LubesData!$V:$V,$R106,LubesData!$U:$U,"&lt;="&amp;14,LubesData!$N:$N,0)</f>
        <v/>
      </c>
      <c r="AJ106">
        <f>IF(AH106=0,"",AH106-AI106)</f>
        <v/>
      </c>
      <c r="AK106">
        <f>IF(AH106=0,"",SUMIFS(LubesData!$N:$N,LubesData!$V:$V,$R106,LubesData!$U:$U,"&lt;="&amp;14))</f>
        <v/>
      </c>
      <c r="AL106">
        <f>IF(AH106=0,"",IF(ABS(MAX(T106:AG106))&gt;=ABS(MIN(T106:AG106)),MAX(T106:AG106),MIN(T106:AG106)))</f>
        <v/>
      </c>
      <c r="AM106">
        <f>IF(AH106=0,-1,AJ106*100000+MIN(ABS(AK106),99999))</f>
        <v/>
      </c>
      <c r="AN106">
        <f>IF($S106="","",1+COUNTIFS($AM$3:$AM$122,"&gt;"&amp;AM106)+COUNTIFS($AM$3:$AM$122,AM106,$R$3:$R$122,"&lt;"&amp;$R106))</f>
        <v/>
      </c>
    </row>
    <row r="107">
      <c r="R107" t="n">
        <v>105</v>
      </c>
      <c r="S107">
        <f>IFERROR(INDEX(LubesData!$G:$G,MATCH($R107,LubesData!$V:$V,0)),"")</f>
        <v/>
      </c>
      <c r="T107">
        <f>IF(COUNTIFS(LubesData!$V:$V,$R107,LubesData!$U:$U,1,LubesData!$N:$N,"&lt;&gt;")=0,"",SUMIFS(LubesData!$N:$N,LubesData!$V:$V,$R107,LubesData!$U:$U,1))</f>
        <v/>
      </c>
      <c r="U107">
        <f>IF(COUNTIFS(LubesData!$V:$V,$R107,LubesData!$U:$U,2,LubesData!$N:$N,"&lt;&gt;")=0,"",SUMIFS(LubesData!$N:$N,LubesData!$V:$V,$R107,LubesData!$U:$U,2))</f>
        <v/>
      </c>
      <c r="V107">
        <f>IF(COUNTIFS(LubesData!$V:$V,$R107,LubesData!$U:$U,3,LubesData!$N:$N,"&lt;&gt;")=0,"",SUMIFS(LubesData!$N:$N,LubesData!$V:$V,$R107,LubesData!$U:$U,3))</f>
        <v/>
      </c>
      <c r="W107">
        <f>IF(COUNTIFS(LubesData!$V:$V,$R107,LubesData!$U:$U,4,LubesData!$N:$N,"&lt;&gt;")=0,"",SUMIFS(LubesData!$N:$N,LubesData!$V:$V,$R107,LubesData!$U:$U,4))</f>
        <v/>
      </c>
      <c r="X107">
        <f>IF(COUNTIFS(LubesData!$V:$V,$R107,LubesData!$U:$U,5,LubesData!$N:$N,"&lt;&gt;")=0,"",SUMIFS(LubesData!$N:$N,LubesData!$V:$V,$R107,LubesData!$U:$U,5))</f>
        <v/>
      </c>
      <c r="Y107">
        <f>IF(COUNTIFS(LubesData!$V:$V,$R107,LubesData!$U:$U,6,LubesData!$N:$N,"&lt;&gt;")=0,"",SUMIFS(LubesData!$N:$N,LubesData!$V:$V,$R107,LubesData!$U:$U,6))</f>
        <v/>
      </c>
      <c r="Z107">
        <f>IF(COUNTIFS(LubesData!$V:$V,$R107,LubesData!$U:$U,7,LubesData!$N:$N,"&lt;&gt;")=0,"",SUMIFS(LubesData!$N:$N,LubesData!$V:$V,$R107,LubesData!$U:$U,7))</f>
        <v/>
      </c>
      <c r="AA107">
        <f>IF(COUNTIFS(LubesData!$V:$V,$R107,LubesData!$U:$U,8,LubesData!$N:$N,"&lt;&gt;")=0,"",SUMIFS(LubesData!$N:$N,LubesData!$V:$V,$R107,LubesData!$U:$U,8))</f>
        <v/>
      </c>
      <c r="AB107">
        <f>IF(COUNTIFS(LubesData!$V:$V,$R107,LubesData!$U:$U,9,LubesData!$N:$N,"&lt;&gt;")=0,"",SUMIFS(LubesData!$N:$N,LubesData!$V:$V,$R107,LubesData!$U:$U,9))</f>
        <v/>
      </c>
      <c r="AC107">
        <f>IF(COUNTIFS(LubesData!$V:$V,$R107,LubesData!$U:$U,10,LubesData!$N:$N,"&lt;&gt;")=0,"",SUMIFS(LubesData!$N:$N,LubesData!$V:$V,$R107,LubesData!$U:$U,10))</f>
        <v/>
      </c>
      <c r="AD107">
        <f>IF(COUNTIFS(LubesData!$V:$V,$R107,LubesData!$U:$U,11,LubesData!$N:$N,"&lt;&gt;")=0,"",SUMIFS(LubesData!$N:$N,LubesData!$V:$V,$R107,LubesData!$U:$U,11))</f>
        <v/>
      </c>
      <c r="AE107">
        <f>IF(COUNTIFS(LubesData!$V:$V,$R107,LubesData!$U:$U,12,LubesData!$N:$N,"&lt;&gt;")=0,"",SUMIFS(LubesData!$N:$N,LubesData!$V:$V,$R107,LubesData!$U:$U,12))</f>
        <v/>
      </c>
      <c r="AF107">
        <f>IF(COUNTIFS(LubesData!$V:$V,$R107,LubesData!$U:$U,13,LubesData!$N:$N,"&lt;&gt;")=0,"",SUMIFS(LubesData!$N:$N,LubesData!$V:$V,$R107,LubesData!$U:$U,13))</f>
        <v/>
      </c>
      <c r="AG107">
        <f>IF(COUNTIFS(LubesData!$V:$V,$R107,LubesData!$U:$U,14,LubesData!$N:$N,"&lt;&gt;")=0,"",SUMIFS(LubesData!$N:$N,LubesData!$V:$V,$R107,LubesData!$U:$U,14))</f>
        <v/>
      </c>
      <c r="AH107">
        <f>COUNTIFS(LubesData!$V:$V,$R107,LubesData!$U:$U,"&lt;="&amp;14,LubesData!$N:$N,"&lt;&gt;")</f>
        <v/>
      </c>
      <c r="AI107">
        <f>COUNTIFS(LubesData!$V:$V,$R107,LubesData!$U:$U,"&lt;="&amp;14,LubesData!$N:$N,0)</f>
        <v/>
      </c>
      <c r="AJ107">
        <f>IF(AH107=0,"",AH107-AI107)</f>
        <v/>
      </c>
      <c r="AK107">
        <f>IF(AH107=0,"",SUMIFS(LubesData!$N:$N,LubesData!$V:$V,$R107,LubesData!$U:$U,"&lt;="&amp;14))</f>
        <v/>
      </c>
      <c r="AL107">
        <f>IF(AH107=0,"",IF(ABS(MAX(T107:AG107))&gt;=ABS(MIN(T107:AG107)),MAX(T107:AG107),MIN(T107:AG107)))</f>
        <v/>
      </c>
      <c r="AM107">
        <f>IF(AH107=0,-1,AJ107*100000+MIN(ABS(AK107),99999))</f>
        <v/>
      </c>
      <c r="AN107">
        <f>IF($S107="","",1+COUNTIFS($AM$3:$AM$122,"&gt;"&amp;AM107)+COUNTIFS($AM$3:$AM$122,AM107,$R$3:$R$122,"&lt;"&amp;$R107))</f>
        <v/>
      </c>
    </row>
    <row r="108">
      <c r="R108" t="n">
        <v>106</v>
      </c>
      <c r="S108">
        <f>IFERROR(INDEX(LubesData!$G:$G,MATCH($R108,LubesData!$V:$V,0)),"")</f>
        <v/>
      </c>
      <c r="T108">
        <f>IF(COUNTIFS(LubesData!$V:$V,$R108,LubesData!$U:$U,1,LubesData!$N:$N,"&lt;&gt;")=0,"",SUMIFS(LubesData!$N:$N,LubesData!$V:$V,$R108,LubesData!$U:$U,1))</f>
        <v/>
      </c>
      <c r="U108">
        <f>IF(COUNTIFS(LubesData!$V:$V,$R108,LubesData!$U:$U,2,LubesData!$N:$N,"&lt;&gt;")=0,"",SUMIFS(LubesData!$N:$N,LubesData!$V:$V,$R108,LubesData!$U:$U,2))</f>
        <v/>
      </c>
      <c r="V108">
        <f>IF(COUNTIFS(LubesData!$V:$V,$R108,LubesData!$U:$U,3,LubesData!$N:$N,"&lt;&gt;")=0,"",SUMIFS(LubesData!$N:$N,LubesData!$V:$V,$R108,LubesData!$U:$U,3))</f>
        <v/>
      </c>
      <c r="W108">
        <f>IF(COUNTIFS(LubesData!$V:$V,$R108,LubesData!$U:$U,4,LubesData!$N:$N,"&lt;&gt;")=0,"",SUMIFS(LubesData!$N:$N,LubesData!$V:$V,$R108,LubesData!$U:$U,4))</f>
        <v/>
      </c>
      <c r="X108">
        <f>IF(COUNTIFS(LubesData!$V:$V,$R108,LubesData!$U:$U,5,LubesData!$N:$N,"&lt;&gt;")=0,"",SUMIFS(LubesData!$N:$N,LubesData!$V:$V,$R108,LubesData!$U:$U,5))</f>
        <v/>
      </c>
      <c r="Y108">
        <f>IF(COUNTIFS(LubesData!$V:$V,$R108,LubesData!$U:$U,6,LubesData!$N:$N,"&lt;&gt;")=0,"",SUMIFS(LubesData!$N:$N,LubesData!$V:$V,$R108,LubesData!$U:$U,6))</f>
        <v/>
      </c>
      <c r="Z108">
        <f>IF(COUNTIFS(LubesData!$V:$V,$R108,LubesData!$U:$U,7,LubesData!$N:$N,"&lt;&gt;")=0,"",SUMIFS(LubesData!$N:$N,LubesData!$V:$V,$R108,LubesData!$U:$U,7))</f>
        <v/>
      </c>
      <c r="AA108">
        <f>IF(COUNTIFS(LubesData!$V:$V,$R108,LubesData!$U:$U,8,LubesData!$N:$N,"&lt;&gt;")=0,"",SUMIFS(LubesData!$N:$N,LubesData!$V:$V,$R108,LubesData!$U:$U,8))</f>
        <v/>
      </c>
      <c r="AB108">
        <f>IF(COUNTIFS(LubesData!$V:$V,$R108,LubesData!$U:$U,9,LubesData!$N:$N,"&lt;&gt;")=0,"",SUMIFS(LubesData!$N:$N,LubesData!$V:$V,$R108,LubesData!$U:$U,9))</f>
        <v/>
      </c>
      <c r="AC108">
        <f>IF(COUNTIFS(LubesData!$V:$V,$R108,LubesData!$U:$U,10,LubesData!$N:$N,"&lt;&gt;")=0,"",SUMIFS(LubesData!$N:$N,LubesData!$V:$V,$R108,LubesData!$U:$U,10))</f>
        <v/>
      </c>
      <c r="AD108">
        <f>IF(COUNTIFS(LubesData!$V:$V,$R108,LubesData!$U:$U,11,LubesData!$N:$N,"&lt;&gt;")=0,"",SUMIFS(LubesData!$N:$N,LubesData!$V:$V,$R108,LubesData!$U:$U,11))</f>
        <v/>
      </c>
      <c r="AE108">
        <f>IF(COUNTIFS(LubesData!$V:$V,$R108,LubesData!$U:$U,12,LubesData!$N:$N,"&lt;&gt;")=0,"",SUMIFS(LubesData!$N:$N,LubesData!$V:$V,$R108,LubesData!$U:$U,12))</f>
        <v/>
      </c>
      <c r="AF108">
        <f>IF(COUNTIFS(LubesData!$V:$V,$R108,LubesData!$U:$U,13,LubesData!$N:$N,"&lt;&gt;")=0,"",SUMIFS(LubesData!$N:$N,LubesData!$V:$V,$R108,LubesData!$U:$U,13))</f>
        <v/>
      </c>
      <c r="AG108">
        <f>IF(COUNTIFS(LubesData!$V:$V,$R108,LubesData!$U:$U,14,LubesData!$N:$N,"&lt;&gt;")=0,"",SUMIFS(LubesData!$N:$N,LubesData!$V:$V,$R108,LubesData!$U:$U,14))</f>
        <v/>
      </c>
      <c r="AH108">
        <f>COUNTIFS(LubesData!$V:$V,$R108,LubesData!$U:$U,"&lt;="&amp;14,LubesData!$N:$N,"&lt;&gt;")</f>
        <v/>
      </c>
      <c r="AI108">
        <f>COUNTIFS(LubesData!$V:$V,$R108,LubesData!$U:$U,"&lt;="&amp;14,LubesData!$N:$N,0)</f>
        <v/>
      </c>
      <c r="AJ108">
        <f>IF(AH108=0,"",AH108-AI108)</f>
        <v/>
      </c>
      <c r="AK108">
        <f>IF(AH108=0,"",SUMIFS(LubesData!$N:$N,LubesData!$V:$V,$R108,LubesData!$U:$U,"&lt;="&amp;14))</f>
        <v/>
      </c>
      <c r="AL108">
        <f>IF(AH108=0,"",IF(ABS(MAX(T108:AG108))&gt;=ABS(MIN(T108:AG108)),MAX(T108:AG108),MIN(T108:AG108)))</f>
        <v/>
      </c>
      <c r="AM108">
        <f>IF(AH108=0,-1,AJ108*100000+MIN(ABS(AK108),99999))</f>
        <v/>
      </c>
      <c r="AN108">
        <f>IF($S108="","",1+COUNTIFS($AM$3:$AM$122,"&gt;"&amp;AM108)+COUNTIFS($AM$3:$AM$122,AM108,$R$3:$R$122,"&lt;"&amp;$R108))</f>
        <v/>
      </c>
    </row>
    <row r="109">
      <c r="R109" t="n">
        <v>107</v>
      </c>
      <c r="S109">
        <f>IFERROR(INDEX(LubesData!$G:$G,MATCH($R109,LubesData!$V:$V,0)),"")</f>
        <v/>
      </c>
      <c r="T109">
        <f>IF(COUNTIFS(LubesData!$V:$V,$R109,LubesData!$U:$U,1,LubesData!$N:$N,"&lt;&gt;")=0,"",SUMIFS(LubesData!$N:$N,LubesData!$V:$V,$R109,LubesData!$U:$U,1))</f>
        <v/>
      </c>
      <c r="U109">
        <f>IF(COUNTIFS(LubesData!$V:$V,$R109,LubesData!$U:$U,2,LubesData!$N:$N,"&lt;&gt;")=0,"",SUMIFS(LubesData!$N:$N,LubesData!$V:$V,$R109,LubesData!$U:$U,2))</f>
        <v/>
      </c>
      <c r="V109">
        <f>IF(COUNTIFS(LubesData!$V:$V,$R109,LubesData!$U:$U,3,LubesData!$N:$N,"&lt;&gt;")=0,"",SUMIFS(LubesData!$N:$N,LubesData!$V:$V,$R109,LubesData!$U:$U,3))</f>
        <v/>
      </c>
      <c r="W109">
        <f>IF(COUNTIFS(LubesData!$V:$V,$R109,LubesData!$U:$U,4,LubesData!$N:$N,"&lt;&gt;")=0,"",SUMIFS(LubesData!$N:$N,LubesData!$V:$V,$R109,LubesData!$U:$U,4))</f>
        <v/>
      </c>
      <c r="X109">
        <f>IF(COUNTIFS(LubesData!$V:$V,$R109,LubesData!$U:$U,5,LubesData!$N:$N,"&lt;&gt;")=0,"",SUMIFS(LubesData!$N:$N,LubesData!$V:$V,$R109,LubesData!$U:$U,5))</f>
        <v/>
      </c>
      <c r="Y109">
        <f>IF(COUNTIFS(LubesData!$V:$V,$R109,LubesData!$U:$U,6,LubesData!$N:$N,"&lt;&gt;")=0,"",SUMIFS(LubesData!$N:$N,LubesData!$V:$V,$R109,LubesData!$U:$U,6))</f>
        <v/>
      </c>
      <c r="Z109">
        <f>IF(COUNTIFS(LubesData!$V:$V,$R109,LubesData!$U:$U,7,LubesData!$N:$N,"&lt;&gt;")=0,"",SUMIFS(LubesData!$N:$N,LubesData!$V:$V,$R109,LubesData!$U:$U,7))</f>
        <v/>
      </c>
      <c r="AA109">
        <f>IF(COUNTIFS(LubesData!$V:$V,$R109,LubesData!$U:$U,8,LubesData!$N:$N,"&lt;&gt;")=0,"",SUMIFS(LubesData!$N:$N,LubesData!$V:$V,$R109,LubesData!$U:$U,8))</f>
        <v/>
      </c>
      <c r="AB109">
        <f>IF(COUNTIFS(LubesData!$V:$V,$R109,LubesData!$U:$U,9,LubesData!$N:$N,"&lt;&gt;")=0,"",SUMIFS(LubesData!$N:$N,LubesData!$V:$V,$R109,LubesData!$U:$U,9))</f>
        <v/>
      </c>
      <c r="AC109">
        <f>IF(COUNTIFS(LubesData!$V:$V,$R109,LubesData!$U:$U,10,LubesData!$N:$N,"&lt;&gt;")=0,"",SUMIFS(LubesData!$N:$N,LubesData!$V:$V,$R109,LubesData!$U:$U,10))</f>
        <v/>
      </c>
      <c r="AD109">
        <f>IF(COUNTIFS(LubesData!$V:$V,$R109,LubesData!$U:$U,11,LubesData!$N:$N,"&lt;&gt;")=0,"",SUMIFS(LubesData!$N:$N,LubesData!$V:$V,$R109,LubesData!$U:$U,11))</f>
        <v/>
      </c>
      <c r="AE109">
        <f>IF(COUNTIFS(LubesData!$V:$V,$R109,LubesData!$U:$U,12,LubesData!$N:$N,"&lt;&gt;")=0,"",SUMIFS(LubesData!$N:$N,LubesData!$V:$V,$R109,LubesData!$U:$U,12))</f>
        <v/>
      </c>
      <c r="AF109">
        <f>IF(COUNTIFS(LubesData!$V:$V,$R109,LubesData!$U:$U,13,LubesData!$N:$N,"&lt;&gt;")=0,"",SUMIFS(LubesData!$N:$N,LubesData!$V:$V,$R109,LubesData!$U:$U,13))</f>
        <v/>
      </c>
      <c r="AG109">
        <f>IF(COUNTIFS(LubesData!$V:$V,$R109,LubesData!$U:$U,14,LubesData!$N:$N,"&lt;&gt;")=0,"",SUMIFS(LubesData!$N:$N,LubesData!$V:$V,$R109,LubesData!$U:$U,14))</f>
        <v/>
      </c>
      <c r="AH109">
        <f>COUNTIFS(LubesData!$V:$V,$R109,LubesData!$U:$U,"&lt;="&amp;14,LubesData!$N:$N,"&lt;&gt;")</f>
        <v/>
      </c>
      <c r="AI109">
        <f>COUNTIFS(LubesData!$V:$V,$R109,LubesData!$U:$U,"&lt;="&amp;14,LubesData!$N:$N,0)</f>
        <v/>
      </c>
      <c r="AJ109">
        <f>IF(AH109=0,"",AH109-AI109)</f>
        <v/>
      </c>
      <c r="AK109">
        <f>IF(AH109=0,"",SUMIFS(LubesData!$N:$N,LubesData!$V:$V,$R109,LubesData!$U:$U,"&lt;="&amp;14))</f>
        <v/>
      </c>
      <c r="AL109">
        <f>IF(AH109=0,"",IF(ABS(MAX(T109:AG109))&gt;=ABS(MIN(T109:AG109)),MAX(T109:AG109),MIN(T109:AG109)))</f>
        <v/>
      </c>
      <c r="AM109">
        <f>IF(AH109=0,-1,AJ109*100000+MIN(ABS(AK109),99999))</f>
        <v/>
      </c>
      <c r="AN109">
        <f>IF($S109="","",1+COUNTIFS($AM$3:$AM$122,"&gt;"&amp;AM109)+COUNTIFS($AM$3:$AM$122,AM109,$R$3:$R$122,"&lt;"&amp;$R109))</f>
        <v/>
      </c>
    </row>
    <row r="110">
      <c r="R110" t="n">
        <v>108</v>
      </c>
      <c r="S110">
        <f>IFERROR(INDEX(LubesData!$G:$G,MATCH($R110,LubesData!$V:$V,0)),"")</f>
        <v/>
      </c>
      <c r="T110">
        <f>IF(COUNTIFS(LubesData!$V:$V,$R110,LubesData!$U:$U,1,LubesData!$N:$N,"&lt;&gt;")=0,"",SUMIFS(LubesData!$N:$N,LubesData!$V:$V,$R110,LubesData!$U:$U,1))</f>
        <v/>
      </c>
      <c r="U110">
        <f>IF(COUNTIFS(LubesData!$V:$V,$R110,LubesData!$U:$U,2,LubesData!$N:$N,"&lt;&gt;")=0,"",SUMIFS(LubesData!$N:$N,LubesData!$V:$V,$R110,LubesData!$U:$U,2))</f>
        <v/>
      </c>
      <c r="V110">
        <f>IF(COUNTIFS(LubesData!$V:$V,$R110,LubesData!$U:$U,3,LubesData!$N:$N,"&lt;&gt;")=0,"",SUMIFS(LubesData!$N:$N,LubesData!$V:$V,$R110,LubesData!$U:$U,3))</f>
        <v/>
      </c>
      <c r="W110">
        <f>IF(COUNTIFS(LubesData!$V:$V,$R110,LubesData!$U:$U,4,LubesData!$N:$N,"&lt;&gt;")=0,"",SUMIFS(LubesData!$N:$N,LubesData!$V:$V,$R110,LubesData!$U:$U,4))</f>
        <v/>
      </c>
      <c r="X110">
        <f>IF(COUNTIFS(LubesData!$V:$V,$R110,LubesData!$U:$U,5,LubesData!$N:$N,"&lt;&gt;")=0,"",SUMIFS(LubesData!$N:$N,LubesData!$V:$V,$R110,LubesData!$U:$U,5))</f>
        <v/>
      </c>
      <c r="Y110">
        <f>IF(COUNTIFS(LubesData!$V:$V,$R110,LubesData!$U:$U,6,LubesData!$N:$N,"&lt;&gt;")=0,"",SUMIFS(LubesData!$N:$N,LubesData!$V:$V,$R110,LubesData!$U:$U,6))</f>
        <v/>
      </c>
      <c r="Z110">
        <f>IF(COUNTIFS(LubesData!$V:$V,$R110,LubesData!$U:$U,7,LubesData!$N:$N,"&lt;&gt;")=0,"",SUMIFS(LubesData!$N:$N,LubesData!$V:$V,$R110,LubesData!$U:$U,7))</f>
        <v/>
      </c>
      <c r="AA110">
        <f>IF(COUNTIFS(LubesData!$V:$V,$R110,LubesData!$U:$U,8,LubesData!$N:$N,"&lt;&gt;")=0,"",SUMIFS(LubesData!$N:$N,LubesData!$V:$V,$R110,LubesData!$U:$U,8))</f>
        <v/>
      </c>
      <c r="AB110">
        <f>IF(COUNTIFS(LubesData!$V:$V,$R110,LubesData!$U:$U,9,LubesData!$N:$N,"&lt;&gt;")=0,"",SUMIFS(LubesData!$N:$N,LubesData!$V:$V,$R110,LubesData!$U:$U,9))</f>
        <v/>
      </c>
      <c r="AC110">
        <f>IF(COUNTIFS(LubesData!$V:$V,$R110,LubesData!$U:$U,10,LubesData!$N:$N,"&lt;&gt;")=0,"",SUMIFS(LubesData!$N:$N,LubesData!$V:$V,$R110,LubesData!$U:$U,10))</f>
        <v/>
      </c>
      <c r="AD110">
        <f>IF(COUNTIFS(LubesData!$V:$V,$R110,LubesData!$U:$U,11,LubesData!$N:$N,"&lt;&gt;")=0,"",SUMIFS(LubesData!$N:$N,LubesData!$V:$V,$R110,LubesData!$U:$U,11))</f>
        <v/>
      </c>
      <c r="AE110">
        <f>IF(COUNTIFS(LubesData!$V:$V,$R110,LubesData!$U:$U,12,LubesData!$N:$N,"&lt;&gt;")=0,"",SUMIFS(LubesData!$N:$N,LubesData!$V:$V,$R110,LubesData!$U:$U,12))</f>
        <v/>
      </c>
      <c r="AF110">
        <f>IF(COUNTIFS(LubesData!$V:$V,$R110,LubesData!$U:$U,13,LubesData!$N:$N,"&lt;&gt;")=0,"",SUMIFS(LubesData!$N:$N,LubesData!$V:$V,$R110,LubesData!$U:$U,13))</f>
        <v/>
      </c>
      <c r="AG110">
        <f>IF(COUNTIFS(LubesData!$V:$V,$R110,LubesData!$U:$U,14,LubesData!$N:$N,"&lt;&gt;")=0,"",SUMIFS(LubesData!$N:$N,LubesData!$V:$V,$R110,LubesData!$U:$U,14))</f>
        <v/>
      </c>
      <c r="AH110">
        <f>COUNTIFS(LubesData!$V:$V,$R110,LubesData!$U:$U,"&lt;="&amp;14,LubesData!$N:$N,"&lt;&gt;")</f>
        <v/>
      </c>
      <c r="AI110">
        <f>COUNTIFS(LubesData!$V:$V,$R110,LubesData!$U:$U,"&lt;="&amp;14,LubesData!$N:$N,0)</f>
        <v/>
      </c>
      <c r="AJ110">
        <f>IF(AH110=0,"",AH110-AI110)</f>
        <v/>
      </c>
      <c r="AK110">
        <f>IF(AH110=0,"",SUMIFS(LubesData!$N:$N,LubesData!$V:$V,$R110,LubesData!$U:$U,"&lt;="&amp;14))</f>
        <v/>
      </c>
      <c r="AL110">
        <f>IF(AH110=0,"",IF(ABS(MAX(T110:AG110))&gt;=ABS(MIN(T110:AG110)),MAX(T110:AG110),MIN(T110:AG110)))</f>
        <v/>
      </c>
      <c r="AM110">
        <f>IF(AH110=0,-1,AJ110*100000+MIN(ABS(AK110),99999))</f>
        <v/>
      </c>
      <c r="AN110">
        <f>IF($S110="","",1+COUNTIFS($AM$3:$AM$122,"&gt;"&amp;AM110)+COUNTIFS($AM$3:$AM$122,AM110,$R$3:$R$122,"&lt;"&amp;$R110))</f>
        <v/>
      </c>
    </row>
    <row r="111">
      <c r="R111" t="n">
        <v>109</v>
      </c>
      <c r="S111">
        <f>IFERROR(INDEX(LubesData!$G:$G,MATCH($R111,LubesData!$V:$V,0)),"")</f>
        <v/>
      </c>
      <c r="T111">
        <f>IF(COUNTIFS(LubesData!$V:$V,$R111,LubesData!$U:$U,1,LubesData!$N:$N,"&lt;&gt;")=0,"",SUMIFS(LubesData!$N:$N,LubesData!$V:$V,$R111,LubesData!$U:$U,1))</f>
        <v/>
      </c>
      <c r="U111">
        <f>IF(COUNTIFS(LubesData!$V:$V,$R111,LubesData!$U:$U,2,LubesData!$N:$N,"&lt;&gt;")=0,"",SUMIFS(LubesData!$N:$N,LubesData!$V:$V,$R111,LubesData!$U:$U,2))</f>
        <v/>
      </c>
      <c r="V111">
        <f>IF(COUNTIFS(LubesData!$V:$V,$R111,LubesData!$U:$U,3,LubesData!$N:$N,"&lt;&gt;")=0,"",SUMIFS(LubesData!$N:$N,LubesData!$V:$V,$R111,LubesData!$U:$U,3))</f>
        <v/>
      </c>
      <c r="W111">
        <f>IF(COUNTIFS(LubesData!$V:$V,$R111,LubesData!$U:$U,4,LubesData!$N:$N,"&lt;&gt;")=0,"",SUMIFS(LubesData!$N:$N,LubesData!$V:$V,$R111,LubesData!$U:$U,4))</f>
        <v/>
      </c>
      <c r="X111">
        <f>IF(COUNTIFS(LubesData!$V:$V,$R111,LubesData!$U:$U,5,LubesData!$N:$N,"&lt;&gt;")=0,"",SUMIFS(LubesData!$N:$N,LubesData!$V:$V,$R111,LubesData!$U:$U,5))</f>
        <v/>
      </c>
      <c r="Y111">
        <f>IF(COUNTIFS(LubesData!$V:$V,$R111,LubesData!$U:$U,6,LubesData!$N:$N,"&lt;&gt;")=0,"",SUMIFS(LubesData!$N:$N,LubesData!$V:$V,$R111,LubesData!$U:$U,6))</f>
        <v/>
      </c>
      <c r="Z111">
        <f>IF(COUNTIFS(LubesData!$V:$V,$R111,LubesData!$U:$U,7,LubesData!$N:$N,"&lt;&gt;")=0,"",SUMIFS(LubesData!$N:$N,LubesData!$V:$V,$R111,LubesData!$U:$U,7))</f>
        <v/>
      </c>
      <c r="AA111">
        <f>IF(COUNTIFS(LubesData!$V:$V,$R111,LubesData!$U:$U,8,LubesData!$N:$N,"&lt;&gt;")=0,"",SUMIFS(LubesData!$N:$N,LubesData!$V:$V,$R111,LubesData!$U:$U,8))</f>
        <v/>
      </c>
      <c r="AB111">
        <f>IF(COUNTIFS(LubesData!$V:$V,$R111,LubesData!$U:$U,9,LubesData!$N:$N,"&lt;&gt;")=0,"",SUMIFS(LubesData!$N:$N,LubesData!$V:$V,$R111,LubesData!$U:$U,9))</f>
        <v/>
      </c>
      <c r="AC111">
        <f>IF(COUNTIFS(LubesData!$V:$V,$R111,LubesData!$U:$U,10,LubesData!$N:$N,"&lt;&gt;")=0,"",SUMIFS(LubesData!$N:$N,LubesData!$V:$V,$R111,LubesData!$U:$U,10))</f>
        <v/>
      </c>
      <c r="AD111">
        <f>IF(COUNTIFS(LubesData!$V:$V,$R111,LubesData!$U:$U,11,LubesData!$N:$N,"&lt;&gt;")=0,"",SUMIFS(LubesData!$N:$N,LubesData!$V:$V,$R111,LubesData!$U:$U,11))</f>
        <v/>
      </c>
      <c r="AE111">
        <f>IF(COUNTIFS(LubesData!$V:$V,$R111,LubesData!$U:$U,12,LubesData!$N:$N,"&lt;&gt;")=0,"",SUMIFS(LubesData!$N:$N,LubesData!$V:$V,$R111,LubesData!$U:$U,12))</f>
        <v/>
      </c>
      <c r="AF111">
        <f>IF(COUNTIFS(LubesData!$V:$V,$R111,LubesData!$U:$U,13,LubesData!$N:$N,"&lt;&gt;")=0,"",SUMIFS(LubesData!$N:$N,LubesData!$V:$V,$R111,LubesData!$U:$U,13))</f>
        <v/>
      </c>
      <c r="AG111">
        <f>IF(COUNTIFS(LubesData!$V:$V,$R111,LubesData!$U:$U,14,LubesData!$N:$N,"&lt;&gt;")=0,"",SUMIFS(LubesData!$N:$N,LubesData!$V:$V,$R111,LubesData!$U:$U,14))</f>
        <v/>
      </c>
      <c r="AH111">
        <f>COUNTIFS(LubesData!$V:$V,$R111,LubesData!$U:$U,"&lt;="&amp;14,LubesData!$N:$N,"&lt;&gt;")</f>
        <v/>
      </c>
      <c r="AI111">
        <f>COUNTIFS(LubesData!$V:$V,$R111,LubesData!$U:$U,"&lt;="&amp;14,LubesData!$N:$N,0)</f>
        <v/>
      </c>
      <c r="AJ111">
        <f>IF(AH111=0,"",AH111-AI111)</f>
        <v/>
      </c>
      <c r="AK111">
        <f>IF(AH111=0,"",SUMIFS(LubesData!$N:$N,LubesData!$V:$V,$R111,LubesData!$U:$U,"&lt;="&amp;14))</f>
        <v/>
      </c>
      <c r="AL111">
        <f>IF(AH111=0,"",IF(ABS(MAX(T111:AG111))&gt;=ABS(MIN(T111:AG111)),MAX(T111:AG111),MIN(T111:AG111)))</f>
        <v/>
      </c>
      <c r="AM111">
        <f>IF(AH111=0,-1,AJ111*100000+MIN(ABS(AK111),99999))</f>
        <v/>
      </c>
      <c r="AN111">
        <f>IF($S111="","",1+COUNTIFS($AM$3:$AM$122,"&gt;"&amp;AM111)+COUNTIFS($AM$3:$AM$122,AM111,$R$3:$R$122,"&lt;"&amp;$R111))</f>
        <v/>
      </c>
    </row>
    <row r="112">
      <c r="R112" t="n">
        <v>110</v>
      </c>
      <c r="S112">
        <f>IFERROR(INDEX(LubesData!$G:$G,MATCH($R112,LubesData!$V:$V,0)),"")</f>
        <v/>
      </c>
      <c r="T112">
        <f>IF(COUNTIFS(LubesData!$V:$V,$R112,LubesData!$U:$U,1,LubesData!$N:$N,"&lt;&gt;")=0,"",SUMIFS(LubesData!$N:$N,LubesData!$V:$V,$R112,LubesData!$U:$U,1))</f>
        <v/>
      </c>
      <c r="U112">
        <f>IF(COUNTIFS(LubesData!$V:$V,$R112,LubesData!$U:$U,2,LubesData!$N:$N,"&lt;&gt;")=0,"",SUMIFS(LubesData!$N:$N,LubesData!$V:$V,$R112,LubesData!$U:$U,2))</f>
        <v/>
      </c>
      <c r="V112">
        <f>IF(COUNTIFS(LubesData!$V:$V,$R112,LubesData!$U:$U,3,LubesData!$N:$N,"&lt;&gt;")=0,"",SUMIFS(LubesData!$N:$N,LubesData!$V:$V,$R112,LubesData!$U:$U,3))</f>
        <v/>
      </c>
      <c r="W112">
        <f>IF(COUNTIFS(LubesData!$V:$V,$R112,LubesData!$U:$U,4,LubesData!$N:$N,"&lt;&gt;")=0,"",SUMIFS(LubesData!$N:$N,LubesData!$V:$V,$R112,LubesData!$U:$U,4))</f>
        <v/>
      </c>
      <c r="X112">
        <f>IF(COUNTIFS(LubesData!$V:$V,$R112,LubesData!$U:$U,5,LubesData!$N:$N,"&lt;&gt;")=0,"",SUMIFS(LubesData!$N:$N,LubesData!$V:$V,$R112,LubesData!$U:$U,5))</f>
        <v/>
      </c>
      <c r="Y112">
        <f>IF(COUNTIFS(LubesData!$V:$V,$R112,LubesData!$U:$U,6,LubesData!$N:$N,"&lt;&gt;")=0,"",SUMIFS(LubesData!$N:$N,LubesData!$V:$V,$R112,LubesData!$U:$U,6))</f>
        <v/>
      </c>
      <c r="Z112">
        <f>IF(COUNTIFS(LubesData!$V:$V,$R112,LubesData!$U:$U,7,LubesData!$N:$N,"&lt;&gt;")=0,"",SUMIFS(LubesData!$N:$N,LubesData!$V:$V,$R112,LubesData!$U:$U,7))</f>
        <v/>
      </c>
      <c r="AA112">
        <f>IF(COUNTIFS(LubesData!$V:$V,$R112,LubesData!$U:$U,8,LubesData!$N:$N,"&lt;&gt;")=0,"",SUMIFS(LubesData!$N:$N,LubesData!$V:$V,$R112,LubesData!$U:$U,8))</f>
        <v/>
      </c>
      <c r="AB112">
        <f>IF(COUNTIFS(LubesData!$V:$V,$R112,LubesData!$U:$U,9,LubesData!$N:$N,"&lt;&gt;")=0,"",SUMIFS(LubesData!$N:$N,LubesData!$V:$V,$R112,LubesData!$U:$U,9))</f>
        <v/>
      </c>
      <c r="AC112">
        <f>IF(COUNTIFS(LubesData!$V:$V,$R112,LubesData!$U:$U,10,LubesData!$N:$N,"&lt;&gt;")=0,"",SUMIFS(LubesData!$N:$N,LubesData!$V:$V,$R112,LubesData!$U:$U,10))</f>
        <v/>
      </c>
      <c r="AD112">
        <f>IF(COUNTIFS(LubesData!$V:$V,$R112,LubesData!$U:$U,11,LubesData!$N:$N,"&lt;&gt;")=0,"",SUMIFS(LubesData!$N:$N,LubesData!$V:$V,$R112,LubesData!$U:$U,11))</f>
        <v/>
      </c>
      <c r="AE112">
        <f>IF(COUNTIFS(LubesData!$V:$V,$R112,LubesData!$U:$U,12,LubesData!$N:$N,"&lt;&gt;")=0,"",SUMIFS(LubesData!$N:$N,LubesData!$V:$V,$R112,LubesData!$U:$U,12))</f>
        <v/>
      </c>
      <c r="AF112">
        <f>IF(COUNTIFS(LubesData!$V:$V,$R112,LubesData!$U:$U,13,LubesData!$N:$N,"&lt;&gt;")=0,"",SUMIFS(LubesData!$N:$N,LubesData!$V:$V,$R112,LubesData!$U:$U,13))</f>
        <v/>
      </c>
      <c r="AG112">
        <f>IF(COUNTIFS(LubesData!$V:$V,$R112,LubesData!$U:$U,14,LubesData!$N:$N,"&lt;&gt;")=0,"",SUMIFS(LubesData!$N:$N,LubesData!$V:$V,$R112,LubesData!$U:$U,14))</f>
        <v/>
      </c>
      <c r="AH112">
        <f>COUNTIFS(LubesData!$V:$V,$R112,LubesData!$U:$U,"&lt;="&amp;14,LubesData!$N:$N,"&lt;&gt;")</f>
        <v/>
      </c>
      <c r="AI112">
        <f>COUNTIFS(LubesData!$V:$V,$R112,LubesData!$U:$U,"&lt;="&amp;14,LubesData!$N:$N,0)</f>
        <v/>
      </c>
      <c r="AJ112">
        <f>IF(AH112=0,"",AH112-AI112)</f>
        <v/>
      </c>
      <c r="AK112">
        <f>IF(AH112=0,"",SUMIFS(LubesData!$N:$N,LubesData!$V:$V,$R112,LubesData!$U:$U,"&lt;="&amp;14))</f>
        <v/>
      </c>
      <c r="AL112">
        <f>IF(AH112=0,"",IF(ABS(MAX(T112:AG112))&gt;=ABS(MIN(T112:AG112)),MAX(T112:AG112),MIN(T112:AG112)))</f>
        <v/>
      </c>
      <c r="AM112">
        <f>IF(AH112=0,-1,AJ112*100000+MIN(ABS(AK112),99999))</f>
        <v/>
      </c>
      <c r="AN112">
        <f>IF($S112="","",1+COUNTIFS($AM$3:$AM$122,"&gt;"&amp;AM112)+COUNTIFS($AM$3:$AM$122,AM112,$R$3:$R$122,"&lt;"&amp;$R112))</f>
        <v/>
      </c>
    </row>
    <row r="113">
      <c r="R113" t="n">
        <v>111</v>
      </c>
      <c r="S113">
        <f>IFERROR(INDEX(LubesData!$G:$G,MATCH($R113,LubesData!$V:$V,0)),"")</f>
        <v/>
      </c>
      <c r="T113">
        <f>IF(COUNTIFS(LubesData!$V:$V,$R113,LubesData!$U:$U,1,LubesData!$N:$N,"&lt;&gt;")=0,"",SUMIFS(LubesData!$N:$N,LubesData!$V:$V,$R113,LubesData!$U:$U,1))</f>
        <v/>
      </c>
      <c r="U113">
        <f>IF(COUNTIFS(LubesData!$V:$V,$R113,LubesData!$U:$U,2,LubesData!$N:$N,"&lt;&gt;")=0,"",SUMIFS(LubesData!$N:$N,LubesData!$V:$V,$R113,LubesData!$U:$U,2))</f>
        <v/>
      </c>
      <c r="V113">
        <f>IF(COUNTIFS(LubesData!$V:$V,$R113,LubesData!$U:$U,3,LubesData!$N:$N,"&lt;&gt;")=0,"",SUMIFS(LubesData!$N:$N,LubesData!$V:$V,$R113,LubesData!$U:$U,3))</f>
        <v/>
      </c>
      <c r="W113">
        <f>IF(COUNTIFS(LubesData!$V:$V,$R113,LubesData!$U:$U,4,LubesData!$N:$N,"&lt;&gt;")=0,"",SUMIFS(LubesData!$N:$N,LubesData!$V:$V,$R113,LubesData!$U:$U,4))</f>
        <v/>
      </c>
      <c r="X113">
        <f>IF(COUNTIFS(LubesData!$V:$V,$R113,LubesData!$U:$U,5,LubesData!$N:$N,"&lt;&gt;")=0,"",SUMIFS(LubesData!$N:$N,LubesData!$V:$V,$R113,LubesData!$U:$U,5))</f>
        <v/>
      </c>
      <c r="Y113">
        <f>IF(COUNTIFS(LubesData!$V:$V,$R113,LubesData!$U:$U,6,LubesData!$N:$N,"&lt;&gt;")=0,"",SUMIFS(LubesData!$N:$N,LubesData!$V:$V,$R113,LubesData!$U:$U,6))</f>
        <v/>
      </c>
      <c r="Z113">
        <f>IF(COUNTIFS(LubesData!$V:$V,$R113,LubesData!$U:$U,7,LubesData!$N:$N,"&lt;&gt;")=0,"",SUMIFS(LubesData!$N:$N,LubesData!$V:$V,$R113,LubesData!$U:$U,7))</f>
        <v/>
      </c>
      <c r="AA113">
        <f>IF(COUNTIFS(LubesData!$V:$V,$R113,LubesData!$U:$U,8,LubesData!$N:$N,"&lt;&gt;")=0,"",SUMIFS(LubesData!$N:$N,LubesData!$V:$V,$R113,LubesData!$U:$U,8))</f>
        <v/>
      </c>
      <c r="AB113">
        <f>IF(COUNTIFS(LubesData!$V:$V,$R113,LubesData!$U:$U,9,LubesData!$N:$N,"&lt;&gt;")=0,"",SUMIFS(LubesData!$N:$N,LubesData!$V:$V,$R113,LubesData!$U:$U,9))</f>
        <v/>
      </c>
      <c r="AC113">
        <f>IF(COUNTIFS(LubesData!$V:$V,$R113,LubesData!$U:$U,10,LubesData!$N:$N,"&lt;&gt;")=0,"",SUMIFS(LubesData!$N:$N,LubesData!$V:$V,$R113,LubesData!$U:$U,10))</f>
        <v/>
      </c>
      <c r="AD113">
        <f>IF(COUNTIFS(LubesData!$V:$V,$R113,LubesData!$U:$U,11,LubesData!$N:$N,"&lt;&gt;")=0,"",SUMIFS(LubesData!$N:$N,LubesData!$V:$V,$R113,LubesData!$U:$U,11))</f>
        <v/>
      </c>
      <c r="AE113">
        <f>IF(COUNTIFS(LubesData!$V:$V,$R113,LubesData!$U:$U,12,LubesData!$N:$N,"&lt;&gt;")=0,"",SUMIFS(LubesData!$N:$N,LubesData!$V:$V,$R113,LubesData!$U:$U,12))</f>
        <v/>
      </c>
      <c r="AF113">
        <f>IF(COUNTIFS(LubesData!$V:$V,$R113,LubesData!$U:$U,13,LubesData!$N:$N,"&lt;&gt;")=0,"",SUMIFS(LubesData!$N:$N,LubesData!$V:$V,$R113,LubesData!$U:$U,13))</f>
        <v/>
      </c>
      <c r="AG113">
        <f>IF(COUNTIFS(LubesData!$V:$V,$R113,LubesData!$U:$U,14,LubesData!$N:$N,"&lt;&gt;")=0,"",SUMIFS(LubesData!$N:$N,LubesData!$V:$V,$R113,LubesData!$U:$U,14))</f>
        <v/>
      </c>
      <c r="AH113">
        <f>COUNTIFS(LubesData!$V:$V,$R113,LubesData!$U:$U,"&lt;="&amp;14,LubesData!$N:$N,"&lt;&gt;")</f>
        <v/>
      </c>
      <c r="AI113">
        <f>COUNTIFS(LubesData!$V:$V,$R113,LubesData!$U:$U,"&lt;="&amp;14,LubesData!$N:$N,0)</f>
        <v/>
      </c>
      <c r="AJ113">
        <f>IF(AH113=0,"",AH113-AI113)</f>
        <v/>
      </c>
      <c r="AK113">
        <f>IF(AH113=0,"",SUMIFS(LubesData!$N:$N,LubesData!$V:$V,$R113,LubesData!$U:$U,"&lt;="&amp;14))</f>
        <v/>
      </c>
      <c r="AL113">
        <f>IF(AH113=0,"",IF(ABS(MAX(T113:AG113))&gt;=ABS(MIN(T113:AG113)),MAX(T113:AG113),MIN(T113:AG113)))</f>
        <v/>
      </c>
      <c r="AM113">
        <f>IF(AH113=0,-1,AJ113*100000+MIN(ABS(AK113),99999))</f>
        <v/>
      </c>
      <c r="AN113">
        <f>IF($S113="","",1+COUNTIFS($AM$3:$AM$122,"&gt;"&amp;AM113)+COUNTIFS($AM$3:$AM$122,AM113,$R$3:$R$122,"&lt;"&amp;$R113))</f>
        <v/>
      </c>
    </row>
    <row r="114">
      <c r="R114" t="n">
        <v>112</v>
      </c>
      <c r="S114">
        <f>IFERROR(INDEX(LubesData!$G:$G,MATCH($R114,LubesData!$V:$V,0)),"")</f>
        <v/>
      </c>
      <c r="T114">
        <f>IF(COUNTIFS(LubesData!$V:$V,$R114,LubesData!$U:$U,1,LubesData!$N:$N,"&lt;&gt;")=0,"",SUMIFS(LubesData!$N:$N,LubesData!$V:$V,$R114,LubesData!$U:$U,1))</f>
        <v/>
      </c>
      <c r="U114">
        <f>IF(COUNTIFS(LubesData!$V:$V,$R114,LubesData!$U:$U,2,LubesData!$N:$N,"&lt;&gt;")=0,"",SUMIFS(LubesData!$N:$N,LubesData!$V:$V,$R114,LubesData!$U:$U,2))</f>
        <v/>
      </c>
      <c r="V114">
        <f>IF(COUNTIFS(LubesData!$V:$V,$R114,LubesData!$U:$U,3,LubesData!$N:$N,"&lt;&gt;")=0,"",SUMIFS(LubesData!$N:$N,LubesData!$V:$V,$R114,LubesData!$U:$U,3))</f>
        <v/>
      </c>
      <c r="W114">
        <f>IF(COUNTIFS(LubesData!$V:$V,$R114,LubesData!$U:$U,4,LubesData!$N:$N,"&lt;&gt;")=0,"",SUMIFS(LubesData!$N:$N,LubesData!$V:$V,$R114,LubesData!$U:$U,4))</f>
        <v/>
      </c>
      <c r="X114">
        <f>IF(COUNTIFS(LubesData!$V:$V,$R114,LubesData!$U:$U,5,LubesData!$N:$N,"&lt;&gt;")=0,"",SUMIFS(LubesData!$N:$N,LubesData!$V:$V,$R114,LubesData!$U:$U,5))</f>
        <v/>
      </c>
      <c r="Y114">
        <f>IF(COUNTIFS(LubesData!$V:$V,$R114,LubesData!$U:$U,6,LubesData!$N:$N,"&lt;&gt;")=0,"",SUMIFS(LubesData!$N:$N,LubesData!$V:$V,$R114,LubesData!$U:$U,6))</f>
        <v/>
      </c>
      <c r="Z114">
        <f>IF(COUNTIFS(LubesData!$V:$V,$R114,LubesData!$U:$U,7,LubesData!$N:$N,"&lt;&gt;")=0,"",SUMIFS(LubesData!$N:$N,LubesData!$V:$V,$R114,LubesData!$U:$U,7))</f>
        <v/>
      </c>
      <c r="AA114">
        <f>IF(COUNTIFS(LubesData!$V:$V,$R114,LubesData!$U:$U,8,LubesData!$N:$N,"&lt;&gt;")=0,"",SUMIFS(LubesData!$N:$N,LubesData!$V:$V,$R114,LubesData!$U:$U,8))</f>
        <v/>
      </c>
      <c r="AB114">
        <f>IF(COUNTIFS(LubesData!$V:$V,$R114,LubesData!$U:$U,9,LubesData!$N:$N,"&lt;&gt;")=0,"",SUMIFS(LubesData!$N:$N,LubesData!$V:$V,$R114,LubesData!$U:$U,9))</f>
        <v/>
      </c>
      <c r="AC114">
        <f>IF(COUNTIFS(LubesData!$V:$V,$R114,LubesData!$U:$U,10,LubesData!$N:$N,"&lt;&gt;")=0,"",SUMIFS(LubesData!$N:$N,LubesData!$V:$V,$R114,LubesData!$U:$U,10))</f>
        <v/>
      </c>
      <c r="AD114">
        <f>IF(COUNTIFS(LubesData!$V:$V,$R114,LubesData!$U:$U,11,LubesData!$N:$N,"&lt;&gt;")=0,"",SUMIFS(LubesData!$N:$N,LubesData!$V:$V,$R114,LubesData!$U:$U,11))</f>
        <v/>
      </c>
      <c r="AE114">
        <f>IF(COUNTIFS(LubesData!$V:$V,$R114,LubesData!$U:$U,12,LubesData!$N:$N,"&lt;&gt;")=0,"",SUMIFS(LubesData!$N:$N,LubesData!$V:$V,$R114,LubesData!$U:$U,12))</f>
        <v/>
      </c>
      <c r="AF114">
        <f>IF(COUNTIFS(LubesData!$V:$V,$R114,LubesData!$U:$U,13,LubesData!$N:$N,"&lt;&gt;")=0,"",SUMIFS(LubesData!$N:$N,LubesData!$V:$V,$R114,LubesData!$U:$U,13))</f>
        <v/>
      </c>
      <c r="AG114">
        <f>IF(COUNTIFS(LubesData!$V:$V,$R114,LubesData!$U:$U,14,LubesData!$N:$N,"&lt;&gt;")=0,"",SUMIFS(LubesData!$N:$N,LubesData!$V:$V,$R114,LubesData!$U:$U,14))</f>
        <v/>
      </c>
      <c r="AH114">
        <f>COUNTIFS(LubesData!$V:$V,$R114,LubesData!$U:$U,"&lt;="&amp;14,LubesData!$N:$N,"&lt;&gt;")</f>
        <v/>
      </c>
      <c r="AI114">
        <f>COUNTIFS(LubesData!$V:$V,$R114,LubesData!$U:$U,"&lt;="&amp;14,LubesData!$N:$N,0)</f>
        <v/>
      </c>
      <c r="AJ114">
        <f>IF(AH114=0,"",AH114-AI114)</f>
        <v/>
      </c>
      <c r="AK114">
        <f>IF(AH114=0,"",SUMIFS(LubesData!$N:$N,LubesData!$V:$V,$R114,LubesData!$U:$U,"&lt;="&amp;14))</f>
        <v/>
      </c>
      <c r="AL114">
        <f>IF(AH114=0,"",IF(ABS(MAX(T114:AG114))&gt;=ABS(MIN(T114:AG114)),MAX(T114:AG114),MIN(T114:AG114)))</f>
        <v/>
      </c>
      <c r="AM114">
        <f>IF(AH114=0,-1,AJ114*100000+MIN(ABS(AK114),99999))</f>
        <v/>
      </c>
      <c r="AN114">
        <f>IF($S114="","",1+COUNTIFS($AM$3:$AM$122,"&gt;"&amp;AM114)+COUNTIFS($AM$3:$AM$122,AM114,$R$3:$R$122,"&lt;"&amp;$R114))</f>
        <v/>
      </c>
    </row>
    <row r="115">
      <c r="R115" t="n">
        <v>113</v>
      </c>
      <c r="S115">
        <f>IFERROR(INDEX(LubesData!$G:$G,MATCH($R115,LubesData!$V:$V,0)),"")</f>
        <v/>
      </c>
      <c r="T115">
        <f>IF(COUNTIFS(LubesData!$V:$V,$R115,LubesData!$U:$U,1,LubesData!$N:$N,"&lt;&gt;")=0,"",SUMIFS(LubesData!$N:$N,LubesData!$V:$V,$R115,LubesData!$U:$U,1))</f>
        <v/>
      </c>
      <c r="U115">
        <f>IF(COUNTIFS(LubesData!$V:$V,$R115,LubesData!$U:$U,2,LubesData!$N:$N,"&lt;&gt;")=0,"",SUMIFS(LubesData!$N:$N,LubesData!$V:$V,$R115,LubesData!$U:$U,2))</f>
        <v/>
      </c>
      <c r="V115">
        <f>IF(COUNTIFS(LubesData!$V:$V,$R115,LubesData!$U:$U,3,LubesData!$N:$N,"&lt;&gt;")=0,"",SUMIFS(LubesData!$N:$N,LubesData!$V:$V,$R115,LubesData!$U:$U,3))</f>
        <v/>
      </c>
      <c r="W115">
        <f>IF(COUNTIFS(LubesData!$V:$V,$R115,LubesData!$U:$U,4,LubesData!$N:$N,"&lt;&gt;")=0,"",SUMIFS(LubesData!$N:$N,LubesData!$V:$V,$R115,LubesData!$U:$U,4))</f>
        <v/>
      </c>
      <c r="X115">
        <f>IF(COUNTIFS(LubesData!$V:$V,$R115,LubesData!$U:$U,5,LubesData!$N:$N,"&lt;&gt;")=0,"",SUMIFS(LubesData!$N:$N,LubesData!$V:$V,$R115,LubesData!$U:$U,5))</f>
        <v/>
      </c>
      <c r="Y115">
        <f>IF(COUNTIFS(LubesData!$V:$V,$R115,LubesData!$U:$U,6,LubesData!$N:$N,"&lt;&gt;")=0,"",SUMIFS(LubesData!$N:$N,LubesData!$V:$V,$R115,LubesData!$U:$U,6))</f>
        <v/>
      </c>
      <c r="Z115">
        <f>IF(COUNTIFS(LubesData!$V:$V,$R115,LubesData!$U:$U,7,LubesData!$N:$N,"&lt;&gt;")=0,"",SUMIFS(LubesData!$N:$N,LubesData!$V:$V,$R115,LubesData!$U:$U,7))</f>
        <v/>
      </c>
      <c r="AA115">
        <f>IF(COUNTIFS(LubesData!$V:$V,$R115,LubesData!$U:$U,8,LubesData!$N:$N,"&lt;&gt;")=0,"",SUMIFS(LubesData!$N:$N,LubesData!$V:$V,$R115,LubesData!$U:$U,8))</f>
        <v/>
      </c>
      <c r="AB115">
        <f>IF(COUNTIFS(LubesData!$V:$V,$R115,LubesData!$U:$U,9,LubesData!$N:$N,"&lt;&gt;")=0,"",SUMIFS(LubesData!$N:$N,LubesData!$V:$V,$R115,LubesData!$U:$U,9))</f>
        <v/>
      </c>
      <c r="AC115">
        <f>IF(COUNTIFS(LubesData!$V:$V,$R115,LubesData!$U:$U,10,LubesData!$N:$N,"&lt;&gt;")=0,"",SUMIFS(LubesData!$N:$N,LubesData!$V:$V,$R115,LubesData!$U:$U,10))</f>
        <v/>
      </c>
      <c r="AD115">
        <f>IF(COUNTIFS(LubesData!$V:$V,$R115,LubesData!$U:$U,11,LubesData!$N:$N,"&lt;&gt;")=0,"",SUMIFS(LubesData!$N:$N,LubesData!$V:$V,$R115,LubesData!$U:$U,11))</f>
        <v/>
      </c>
      <c r="AE115">
        <f>IF(COUNTIFS(LubesData!$V:$V,$R115,LubesData!$U:$U,12,LubesData!$N:$N,"&lt;&gt;")=0,"",SUMIFS(LubesData!$N:$N,LubesData!$V:$V,$R115,LubesData!$U:$U,12))</f>
        <v/>
      </c>
      <c r="AF115">
        <f>IF(COUNTIFS(LubesData!$V:$V,$R115,LubesData!$U:$U,13,LubesData!$N:$N,"&lt;&gt;")=0,"",SUMIFS(LubesData!$N:$N,LubesData!$V:$V,$R115,LubesData!$U:$U,13))</f>
        <v/>
      </c>
      <c r="AG115">
        <f>IF(COUNTIFS(LubesData!$V:$V,$R115,LubesData!$U:$U,14,LubesData!$N:$N,"&lt;&gt;")=0,"",SUMIFS(LubesData!$N:$N,LubesData!$V:$V,$R115,LubesData!$U:$U,14))</f>
        <v/>
      </c>
      <c r="AH115">
        <f>COUNTIFS(LubesData!$V:$V,$R115,LubesData!$U:$U,"&lt;="&amp;14,LubesData!$N:$N,"&lt;&gt;")</f>
        <v/>
      </c>
      <c r="AI115">
        <f>COUNTIFS(LubesData!$V:$V,$R115,LubesData!$U:$U,"&lt;="&amp;14,LubesData!$N:$N,0)</f>
        <v/>
      </c>
      <c r="AJ115">
        <f>IF(AH115=0,"",AH115-AI115)</f>
        <v/>
      </c>
      <c r="AK115">
        <f>IF(AH115=0,"",SUMIFS(LubesData!$N:$N,LubesData!$V:$V,$R115,LubesData!$U:$U,"&lt;="&amp;14))</f>
        <v/>
      </c>
      <c r="AL115">
        <f>IF(AH115=0,"",IF(ABS(MAX(T115:AG115))&gt;=ABS(MIN(T115:AG115)),MAX(T115:AG115),MIN(T115:AG115)))</f>
        <v/>
      </c>
      <c r="AM115">
        <f>IF(AH115=0,-1,AJ115*100000+MIN(ABS(AK115),99999))</f>
        <v/>
      </c>
      <c r="AN115">
        <f>IF($S115="","",1+COUNTIFS($AM$3:$AM$122,"&gt;"&amp;AM115)+COUNTIFS($AM$3:$AM$122,AM115,$R$3:$R$122,"&lt;"&amp;$R115))</f>
        <v/>
      </c>
    </row>
    <row r="116">
      <c r="R116" t="n">
        <v>114</v>
      </c>
      <c r="S116">
        <f>IFERROR(INDEX(LubesData!$G:$G,MATCH($R116,LubesData!$V:$V,0)),"")</f>
        <v/>
      </c>
      <c r="T116">
        <f>IF(COUNTIFS(LubesData!$V:$V,$R116,LubesData!$U:$U,1,LubesData!$N:$N,"&lt;&gt;")=0,"",SUMIFS(LubesData!$N:$N,LubesData!$V:$V,$R116,LubesData!$U:$U,1))</f>
        <v/>
      </c>
      <c r="U116">
        <f>IF(COUNTIFS(LubesData!$V:$V,$R116,LubesData!$U:$U,2,LubesData!$N:$N,"&lt;&gt;")=0,"",SUMIFS(LubesData!$N:$N,LubesData!$V:$V,$R116,LubesData!$U:$U,2))</f>
        <v/>
      </c>
      <c r="V116">
        <f>IF(COUNTIFS(LubesData!$V:$V,$R116,LubesData!$U:$U,3,LubesData!$N:$N,"&lt;&gt;")=0,"",SUMIFS(LubesData!$N:$N,LubesData!$V:$V,$R116,LubesData!$U:$U,3))</f>
        <v/>
      </c>
      <c r="W116">
        <f>IF(COUNTIFS(LubesData!$V:$V,$R116,LubesData!$U:$U,4,LubesData!$N:$N,"&lt;&gt;")=0,"",SUMIFS(LubesData!$N:$N,LubesData!$V:$V,$R116,LubesData!$U:$U,4))</f>
        <v/>
      </c>
      <c r="X116">
        <f>IF(COUNTIFS(LubesData!$V:$V,$R116,LubesData!$U:$U,5,LubesData!$N:$N,"&lt;&gt;")=0,"",SUMIFS(LubesData!$N:$N,LubesData!$V:$V,$R116,LubesData!$U:$U,5))</f>
        <v/>
      </c>
      <c r="Y116">
        <f>IF(COUNTIFS(LubesData!$V:$V,$R116,LubesData!$U:$U,6,LubesData!$N:$N,"&lt;&gt;")=0,"",SUMIFS(LubesData!$N:$N,LubesData!$V:$V,$R116,LubesData!$U:$U,6))</f>
        <v/>
      </c>
      <c r="Z116">
        <f>IF(COUNTIFS(LubesData!$V:$V,$R116,LubesData!$U:$U,7,LubesData!$N:$N,"&lt;&gt;")=0,"",SUMIFS(LubesData!$N:$N,LubesData!$V:$V,$R116,LubesData!$U:$U,7))</f>
        <v/>
      </c>
      <c r="AA116">
        <f>IF(COUNTIFS(LubesData!$V:$V,$R116,LubesData!$U:$U,8,LubesData!$N:$N,"&lt;&gt;")=0,"",SUMIFS(LubesData!$N:$N,LubesData!$V:$V,$R116,LubesData!$U:$U,8))</f>
        <v/>
      </c>
      <c r="AB116">
        <f>IF(COUNTIFS(LubesData!$V:$V,$R116,LubesData!$U:$U,9,LubesData!$N:$N,"&lt;&gt;")=0,"",SUMIFS(LubesData!$N:$N,LubesData!$V:$V,$R116,LubesData!$U:$U,9))</f>
        <v/>
      </c>
      <c r="AC116">
        <f>IF(COUNTIFS(LubesData!$V:$V,$R116,LubesData!$U:$U,10,LubesData!$N:$N,"&lt;&gt;")=0,"",SUMIFS(LubesData!$N:$N,LubesData!$V:$V,$R116,LubesData!$U:$U,10))</f>
        <v/>
      </c>
      <c r="AD116">
        <f>IF(COUNTIFS(LubesData!$V:$V,$R116,LubesData!$U:$U,11,LubesData!$N:$N,"&lt;&gt;")=0,"",SUMIFS(LubesData!$N:$N,LubesData!$V:$V,$R116,LubesData!$U:$U,11))</f>
        <v/>
      </c>
      <c r="AE116">
        <f>IF(COUNTIFS(LubesData!$V:$V,$R116,LubesData!$U:$U,12,LubesData!$N:$N,"&lt;&gt;")=0,"",SUMIFS(LubesData!$N:$N,LubesData!$V:$V,$R116,LubesData!$U:$U,12))</f>
        <v/>
      </c>
      <c r="AF116">
        <f>IF(COUNTIFS(LubesData!$V:$V,$R116,LubesData!$U:$U,13,LubesData!$N:$N,"&lt;&gt;")=0,"",SUMIFS(LubesData!$N:$N,LubesData!$V:$V,$R116,LubesData!$U:$U,13))</f>
        <v/>
      </c>
      <c r="AG116">
        <f>IF(COUNTIFS(LubesData!$V:$V,$R116,LubesData!$U:$U,14,LubesData!$N:$N,"&lt;&gt;")=0,"",SUMIFS(LubesData!$N:$N,LubesData!$V:$V,$R116,LubesData!$U:$U,14))</f>
        <v/>
      </c>
      <c r="AH116">
        <f>COUNTIFS(LubesData!$V:$V,$R116,LubesData!$U:$U,"&lt;="&amp;14,LubesData!$N:$N,"&lt;&gt;")</f>
        <v/>
      </c>
      <c r="AI116">
        <f>COUNTIFS(LubesData!$V:$V,$R116,LubesData!$U:$U,"&lt;="&amp;14,LubesData!$N:$N,0)</f>
        <v/>
      </c>
      <c r="AJ116">
        <f>IF(AH116=0,"",AH116-AI116)</f>
        <v/>
      </c>
      <c r="AK116">
        <f>IF(AH116=0,"",SUMIFS(LubesData!$N:$N,LubesData!$V:$V,$R116,LubesData!$U:$U,"&lt;="&amp;14))</f>
        <v/>
      </c>
      <c r="AL116">
        <f>IF(AH116=0,"",IF(ABS(MAX(T116:AG116))&gt;=ABS(MIN(T116:AG116)),MAX(T116:AG116),MIN(T116:AG116)))</f>
        <v/>
      </c>
      <c r="AM116">
        <f>IF(AH116=0,-1,AJ116*100000+MIN(ABS(AK116),99999))</f>
        <v/>
      </c>
      <c r="AN116">
        <f>IF($S116="","",1+COUNTIFS($AM$3:$AM$122,"&gt;"&amp;AM116)+COUNTIFS($AM$3:$AM$122,AM116,$R$3:$R$122,"&lt;"&amp;$R116))</f>
        <v/>
      </c>
    </row>
    <row r="117">
      <c r="R117" t="n">
        <v>115</v>
      </c>
      <c r="S117">
        <f>IFERROR(INDEX(LubesData!$G:$G,MATCH($R117,LubesData!$V:$V,0)),"")</f>
        <v/>
      </c>
      <c r="T117">
        <f>IF(COUNTIFS(LubesData!$V:$V,$R117,LubesData!$U:$U,1,LubesData!$N:$N,"&lt;&gt;")=0,"",SUMIFS(LubesData!$N:$N,LubesData!$V:$V,$R117,LubesData!$U:$U,1))</f>
        <v/>
      </c>
      <c r="U117">
        <f>IF(COUNTIFS(LubesData!$V:$V,$R117,LubesData!$U:$U,2,LubesData!$N:$N,"&lt;&gt;")=0,"",SUMIFS(LubesData!$N:$N,LubesData!$V:$V,$R117,LubesData!$U:$U,2))</f>
        <v/>
      </c>
      <c r="V117">
        <f>IF(COUNTIFS(LubesData!$V:$V,$R117,LubesData!$U:$U,3,LubesData!$N:$N,"&lt;&gt;")=0,"",SUMIFS(LubesData!$N:$N,LubesData!$V:$V,$R117,LubesData!$U:$U,3))</f>
        <v/>
      </c>
      <c r="W117">
        <f>IF(COUNTIFS(LubesData!$V:$V,$R117,LubesData!$U:$U,4,LubesData!$N:$N,"&lt;&gt;")=0,"",SUMIFS(LubesData!$N:$N,LubesData!$V:$V,$R117,LubesData!$U:$U,4))</f>
        <v/>
      </c>
      <c r="X117">
        <f>IF(COUNTIFS(LubesData!$V:$V,$R117,LubesData!$U:$U,5,LubesData!$N:$N,"&lt;&gt;")=0,"",SUMIFS(LubesData!$N:$N,LubesData!$V:$V,$R117,LubesData!$U:$U,5))</f>
        <v/>
      </c>
      <c r="Y117">
        <f>IF(COUNTIFS(LubesData!$V:$V,$R117,LubesData!$U:$U,6,LubesData!$N:$N,"&lt;&gt;")=0,"",SUMIFS(LubesData!$N:$N,LubesData!$V:$V,$R117,LubesData!$U:$U,6))</f>
        <v/>
      </c>
      <c r="Z117">
        <f>IF(COUNTIFS(LubesData!$V:$V,$R117,LubesData!$U:$U,7,LubesData!$N:$N,"&lt;&gt;")=0,"",SUMIFS(LubesData!$N:$N,LubesData!$V:$V,$R117,LubesData!$U:$U,7))</f>
        <v/>
      </c>
      <c r="AA117">
        <f>IF(COUNTIFS(LubesData!$V:$V,$R117,LubesData!$U:$U,8,LubesData!$N:$N,"&lt;&gt;")=0,"",SUMIFS(LubesData!$N:$N,LubesData!$V:$V,$R117,LubesData!$U:$U,8))</f>
        <v/>
      </c>
      <c r="AB117">
        <f>IF(COUNTIFS(LubesData!$V:$V,$R117,LubesData!$U:$U,9,LubesData!$N:$N,"&lt;&gt;")=0,"",SUMIFS(LubesData!$N:$N,LubesData!$V:$V,$R117,LubesData!$U:$U,9))</f>
        <v/>
      </c>
      <c r="AC117">
        <f>IF(COUNTIFS(LubesData!$V:$V,$R117,LubesData!$U:$U,10,LubesData!$N:$N,"&lt;&gt;")=0,"",SUMIFS(LubesData!$N:$N,LubesData!$V:$V,$R117,LubesData!$U:$U,10))</f>
        <v/>
      </c>
      <c r="AD117">
        <f>IF(COUNTIFS(LubesData!$V:$V,$R117,LubesData!$U:$U,11,LubesData!$N:$N,"&lt;&gt;")=0,"",SUMIFS(LubesData!$N:$N,LubesData!$V:$V,$R117,LubesData!$U:$U,11))</f>
        <v/>
      </c>
      <c r="AE117">
        <f>IF(COUNTIFS(LubesData!$V:$V,$R117,LubesData!$U:$U,12,LubesData!$N:$N,"&lt;&gt;")=0,"",SUMIFS(LubesData!$N:$N,LubesData!$V:$V,$R117,LubesData!$U:$U,12))</f>
        <v/>
      </c>
      <c r="AF117">
        <f>IF(COUNTIFS(LubesData!$V:$V,$R117,LubesData!$U:$U,13,LubesData!$N:$N,"&lt;&gt;")=0,"",SUMIFS(LubesData!$N:$N,LubesData!$V:$V,$R117,LubesData!$U:$U,13))</f>
        <v/>
      </c>
      <c r="AG117">
        <f>IF(COUNTIFS(LubesData!$V:$V,$R117,LubesData!$U:$U,14,LubesData!$N:$N,"&lt;&gt;")=0,"",SUMIFS(LubesData!$N:$N,LubesData!$V:$V,$R117,LubesData!$U:$U,14))</f>
        <v/>
      </c>
      <c r="AH117">
        <f>COUNTIFS(LubesData!$V:$V,$R117,LubesData!$U:$U,"&lt;="&amp;14,LubesData!$N:$N,"&lt;&gt;")</f>
        <v/>
      </c>
      <c r="AI117">
        <f>COUNTIFS(LubesData!$V:$V,$R117,LubesData!$U:$U,"&lt;="&amp;14,LubesData!$N:$N,0)</f>
        <v/>
      </c>
      <c r="AJ117">
        <f>IF(AH117=0,"",AH117-AI117)</f>
        <v/>
      </c>
      <c r="AK117">
        <f>IF(AH117=0,"",SUMIFS(LubesData!$N:$N,LubesData!$V:$V,$R117,LubesData!$U:$U,"&lt;="&amp;14))</f>
        <v/>
      </c>
      <c r="AL117">
        <f>IF(AH117=0,"",IF(ABS(MAX(T117:AG117))&gt;=ABS(MIN(T117:AG117)),MAX(T117:AG117),MIN(T117:AG117)))</f>
        <v/>
      </c>
      <c r="AM117">
        <f>IF(AH117=0,-1,AJ117*100000+MIN(ABS(AK117),99999))</f>
        <v/>
      </c>
      <c r="AN117">
        <f>IF($S117="","",1+COUNTIFS($AM$3:$AM$122,"&gt;"&amp;AM117)+COUNTIFS($AM$3:$AM$122,AM117,$R$3:$R$122,"&lt;"&amp;$R117))</f>
        <v/>
      </c>
    </row>
    <row r="118">
      <c r="R118" t="n">
        <v>116</v>
      </c>
      <c r="S118">
        <f>IFERROR(INDEX(LubesData!$G:$G,MATCH($R118,LubesData!$V:$V,0)),"")</f>
        <v/>
      </c>
      <c r="T118">
        <f>IF(COUNTIFS(LubesData!$V:$V,$R118,LubesData!$U:$U,1,LubesData!$N:$N,"&lt;&gt;")=0,"",SUMIFS(LubesData!$N:$N,LubesData!$V:$V,$R118,LubesData!$U:$U,1))</f>
        <v/>
      </c>
      <c r="U118">
        <f>IF(COUNTIFS(LubesData!$V:$V,$R118,LubesData!$U:$U,2,LubesData!$N:$N,"&lt;&gt;")=0,"",SUMIFS(LubesData!$N:$N,LubesData!$V:$V,$R118,LubesData!$U:$U,2))</f>
        <v/>
      </c>
      <c r="V118">
        <f>IF(COUNTIFS(LubesData!$V:$V,$R118,LubesData!$U:$U,3,LubesData!$N:$N,"&lt;&gt;")=0,"",SUMIFS(LubesData!$N:$N,LubesData!$V:$V,$R118,LubesData!$U:$U,3))</f>
        <v/>
      </c>
      <c r="W118">
        <f>IF(COUNTIFS(LubesData!$V:$V,$R118,LubesData!$U:$U,4,LubesData!$N:$N,"&lt;&gt;")=0,"",SUMIFS(LubesData!$N:$N,LubesData!$V:$V,$R118,LubesData!$U:$U,4))</f>
        <v/>
      </c>
      <c r="X118">
        <f>IF(COUNTIFS(LubesData!$V:$V,$R118,LubesData!$U:$U,5,LubesData!$N:$N,"&lt;&gt;")=0,"",SUMIFS(LubesData!$N:$N,LubesData!$V:$V,$R118,LubesData!$U:$U,5))</f>
        <v/>
      </c>
      <c r="Y118">
        <f>IF(COUNTIFS(LubesData!$V:$V,$R118,LubesData!$U:$U,6,LubesData!$N:$N,"&lt;&gt;")=0,"",SUMIFS(LubesData!$N:$N,LubesData!$V:$V,$R118,LubesData!$U:$U,6))</f>
        <v/>
      </c>
      <c r="Z118">
        <f>IF(COUNTIFS(LubesData!$V:$V,$R118,LubesData!$U:$U,7,LubesData!$N:$N,"&lt;&gt;")=0,"",SUMIFS(LubesData!$N:$N,LubesData!$V:$V,$R118,LubesData!$U:$U,7))</f>
        <v/>
      </c>
      <c r="AA118">
        <f>IF(COUNTIFS(LubesData!$V:$V,$R118,LubesData!$U:$U,8,LubesData!$N:$N,"&lt;&gt;")=0,"",SUMIFS(LubesData!$N:$N,LubesData!$V:$V,$R118,LubesData!$U:$U,8))</f>
        <v/>
      </c>
      <c r="AB118">
        <f>IF(COUNTIFS(LubesData!$V:$V,$R118,LubesData!$U:$U,9,LubesData!$N:$N,"&lt;&gt;")=0,"",SUMIFS(LubesData!$N:$N,LubesData!$V:$V,$R118,LubesData!$U:$U,9))</f>
        <v/>
      </c>
      <c r="AC118">
        <f>IF(COUNTIFS(LubesData!$V:$V,$R118,LubesData!$U:$U,10,LubesData!$N:$N,"&lt;&gt;")=0,"",SUMIFS(LubesData!$N:$N,LubesData!$V:$V,$R118,LubesData!$U:$U,10))</f>
        <v/>
      </c>
      <c r="AD118">
        <f>IF(COUNTIFS(LubesData!$V:$V,$R118,LubesData!$U:$U,11,LubesData!$N:$N,"&lt;&gt;")=0,"",SUMIFS(LubesData!$N:$N,LubesData!$V:$V,$R118,LubesData!$U:$U,11))</f>
        <v/>
      </c>
      <c r="AE118">
        <f>IF(COUNTIFS(LubesData!$V:$V,$R118,LubesData!$U:$U,12,LubesData!$N:$N,"&lt;&gt;")=0,"",SUMIFS(LubesData!$N:$N,LubesData!$V:$V,$R118,LubesData!$U:$U,12))</f>
        <v/>
      </c>
      <c r="AF118">
        <f>IF(COUNTIFS(LubesData!$V:$V,$R118,LubesData!$U:$U,13,LubesData!$N:$N,"&lt;&gt;")=0,"",SUMIFS(LubesData!$N:$N,LubesData!$V:$V,$R118,LubesData!$U:$U,13))</f>
        <v/>
      </c>
      <c r="AG118">
        <f>IF(COUNTIFS(LubesData!$V:$V,$R118,LubesData!$U:$U,14,LubesData!$N:$N,"&lt;&gt;")=0,"",SUMIFS(LubesData!$N:$N,LubesData!$V:$V,$R118,LubesData!$U:$U,14))</f>
        <v/>
      </c>
      <c r="AH118">
        <f>COUNTIFS(LubesData!$V:$V,$R118,LubesData!$U:$U,"&lt;="&amp;14,LubesData!$N:$N,"&lt;&gt;")</f>
        <v/>
      </c>
      <c r="AI118">
        <f>COUNTIFS(LubesData!$V:$V,$R118,LubesData!$U:$U,"&lt;="&amp;14,LubesData!$N:$N,0)</f>
        <v/>
      </c>
      <c r="AJ118">
        <f>IF(AH118=0,"",AH118-AI118)</f>
        <v/>
      </c>
      <c r="AK118">
        <f>IF(AH118=0,"",SUMIFS(LubesData!$N:$N,LubesData!$V:$V,$R118,LubesData!$U:$U,"&lt;="&amp;14))</f>
        <v/>
      </c>
      <c r="AL118">
        <f>IF(AH118=0,"",IF(ABS(MAX(T118:AG118))&gt;=ABS(MIN(T118:AG118)),MAX(T118:AG118),MIN(T118:AG118)))</f>
        <v/>
      </c>
      <c r="AM118">
        <f>IF(AH118=0,-1,AJ118*100000+MIN(ABS(AK118),99999))</f>
        <v/>
      </c>
      <c r="AN118">
        <f>IF($S118="","",1+COUNTIFS($AM$3:$AM$122,"&gt;"&amp;AM118)+COUNTIFS($AM$3:$AM$122,AM118,$R$3:$R$122,"&lt;"&amp;$R118))</f>
        <v/>
      </c>
    </row>
    <row r="119">
      <c r="R119" t="n">
        <v>117</v>
      </c>
      <c r="S119">
        <f>IFERROR(INDEX(LubesData!$G:$G,MATCH($R119,LubesData!$V:$V,0)),"")</f>
        <v/>
      </c>
      <c r="T119">
        <f>IF(COUNTIFS(LubesData!$V:$V,$R119,LubesData!$U:$U,1,LubesData!$N:$N,"&lt;&gt;")=0,"",SUMIFS(LubesData!$N:$N,LubesData!$V:$V,$R119,LubesData!$U:$U,1))</f>
        <v/>
      </c>
      <c r="U119">
        <f>IF(COUNTIFS(LubesData!$V:$V,$R119,LubesData!$U:$U,2,LubesData!$N:$N,"&lt;&gt;")=0,"",SUMIFS(LubesData!$N:$N,LubesData!$V:$V,$R119,LubesData!$U:$U,2))</f>
        <v/>
      </c>
      <c r="V119">
        <f>IF(COUNTIFS(LubesData!$V:$V,$R119,LubesData!$U:$U,3,LubesData!$N:$N,"&lt;&gt;")=0,"",SUMIFS(LubesData!$N:$N,LubesData!$V:$V,$R119,LubesData!$U:$U,3))</f>
        <v/>
      </c>
      <c r="W119">
        <f>IF(COUNTIFS(LubesData!$V:$V,$R119,LubesData!$U:$U,4,LubesData!$N:$N,"&lt;&gt;")=0,"",SUMIFS(LubesData!$N:$N,LubesData!$V:$V,$R119,LubesData!$U:$U,4))</f>
        <v/>
      </c>
      <c r="X119">
        <f>IF(COUNTIFS(LubesData!$V:$V,$R119,LubesData!$U:$U,5,LubesData!$N:$N,"&lt;&gt;")=0,"",SUMIFS(LubesData!$N:$N,LubesData!$V:$V,$R119,LubesData!$U:$U,5))</f>
        <v/>
      </c>
      <c r="Y119">
        <f>IF(COUNTIFS(LubesData!$V:$V,$R119,LubesData!$U:$U,6,LubesData!$N:$N,"&lt;&gt;")=0,"",SUMIFS(LubesData!$N:$N,LubesData!$V:$V,$R119,LubesData!$U:$U,6))</f>
        <v/>
      </c>
      <c r="Z119">
        <f>IF(COUNTIFS(LubesData!$V:$V,$R119,LubesData!$U:$U,7,LubesData!$N:$N,"&lt;&gt;")=0,"",SUMIFS(LubesData!$N:$N,LubesData!$V:$V,$R119,LubesData!$U:$U,7))</f>
        <v/>
      </c>
      <c r="AA119">
        <f>IF(COUNTIFS(LubesData!$V:$V,$R119,LubesData!$U:$U,8,LubesData!$N:$N,"&lt;&gt;")=0,"",SUMIFS(LubesData!$N:$N,LubesData!$V:$V,$R119,LubesData!$U:$U,8))</f>
        <v/>
      </c>
      <c r="AB119">
        <f>IF(COUNTIFS(LubesData!$V:$V,$R119,LubesData!$U:$U,9,LubesData!$N:$N,"&lt;&gt;")=0,"",SUMIFS(LubesData!$N:$N,LubesData!$V:$V,$R119,LubesData!$U:$U,9))</f>
        <v/>
      </c>
      <c r="AC119">
        <f>IF(COUNTIFS(LubesData!$V:$V,$R119,LubesData!$U:$U,10,LubesData!$N:$N,"&lt;&gt;")=0,"",SUMIFS(LubesData!$N:$N,LubesData!$V:$V,$R119,LubesData!$U:$U,10))</f>
        <v/>
      </c>
      <c r="AD119">
        <f>IF(COUNTIFS(LubesData!$V:$V,$R119,LubesData!$U:$U,11,LubesData!$N:$N,"&lt;&gt;")=0,"",SUMIFS(LubesData!$N:$N,LubesData!$V:$V,$R119,LubesData!$U:$U,11))</f>
        <v/>
      </c>
      <c r="AE119">
        <f>IF(COUNTIFS(LubesData!$V:$V,$R119,LubesData!$U:$U,12,LubesData!$N:$N,"&lt;&gt;")=0,"",SUMIFS(LubesData!$N:$N,LubesData!$V:$V,$R119,LubesData!$U:$U,12))</f>
        <v/>
      </c>
      <c r="AF119">
        <f>IF(COUNTIFS(LubesData!$V:$V,$R119,LubesData!$U:$U,13,LubesData!$N:$N,"&lt;&gt;")=0,"",SUMIFS(LubesData!$N:$N,LubesData!$V:$V,$R119,LubesData!$U:$U,13))</f>
        <v/>
      </c>
      <c r="AG119">
        <f>IF(COUNTIFS(LubesData!$V:$V,$R119,LubesData!$U:$U,14,LubesData!$N:$N,"&lt;&gt;")=0,"",SUMIFS(LubesData!$N:$N,LubesData!$V:$V,$R119,LubesData!$U:$U,14))</f>
        <v/>
      </c>
      <c r="AH119">
        <f>COUNTIFS(LubesData!$V:$V,$R119,LubesData!$U:$U,"&lt;="&amp;14,LubesData!$N:$N,"&lt;&gt;")</f>
        <v/>
      </c>
      <c r="AI119">
        <f>COUNTIFS(LubesData!$V:$V,$R119,LubesData!$U:$U,"&lt;="&amp;14,LubesData!$N:$N,0)</f>
        <v/>
      </c>
      <c r="AJ119">
        <f>IF(AH119=0,"",AH119-AI119)</f>
        <v/>
      </c>
      <c r="AK119">
        <f>IF(AH119=0,"",SUMIFS(LubesData!$N:$N,LubesData!$V:$V,$R119,LubesData!$U:$U,"&lt;="&amp;14))</f>
        <v/>
      </c>
      <c r="AL119">
        <f>IF(AH119=0,"",IF(ABS(MAX(T119:AG119))&gt;=ABS(MIN(T119:AG119)),MAX(T119:AG119),MIN(T119:AG119)))</f>
        <v/>
      </c>
      <c r="AM119">
        <f>IF(AH119=0,-1,AJ119*100000+MIN(ABS(AK119),99999))</f>
        <v/>
      </c>
      <c r="AN119">
        <f>IF($S119="","",1+COUNTIFS($AM$3:$AM$122,"&gt;"&amp;AM119)+COUNTIFS($AM$3:$AM$122,AM119,$R$3:$R$122,"&lt;"&amp;$R119))</f>
        <v/>
      </c>
    </row>
    <row r="120">
      <c r="R120" t="n">
        <v>118</v>
      </c>
      <c r="S120">
        <f>IFERROR(INDEX(LubesData!$G:$G,MATCH($R120,LubesData!$V:$V,0)),"")</f>
        <v/>
      </c>
      <c r="T120">
        <f>IF(COUNTIFS(LubesData!$V:$V,$R120,LubesData!$U:$U,1,LubesData!$N:$N,"&lt;&gt;")=0,"",SUMIFS(LubesData!$N:$N,LubesData!$V:$V,$R120,LubesData!$U:$U,1))</f>
        <v/>
      </c>
      <c r="U120">
        <f>IF(COUNTIFS(LubesData!$V:$V,$R120,LubesData!$U:$U,2,LubesData!$N:$N,"&lt;&gt;")=0,"",SUMIFS(LubesData!$N:$N,LubesData!$V:$V,$R120,LubesData!$U:$U,2))</f>
        <v/>
      </c>
      <c r="V120">
        <f>IF(COUNTIFS(LubesData!$V:$V,$R120,LubesData!$U:$U,3,LubesData!$N:$N,"&lt;&gt;")=0,"",SUMIFS(LubesData!$N:$N,LubesData!$V:$V,$R120,LubesData!$U:$U,3))</f>
        <v/>
      </c>
      <c r="W120">
        <f>IF(COUNTIFS(LubesData!$V:$V,$R120,LubesData!$U:$U,4,LubesData!$N:$N,"&lt;&gt;")=0,"",SUMIFS(LubesData!$N:$N,LubesData!$V:$V,$R120,LubesData!$U:$U,4))</f>
        <v/>
      </c>
      <c r="X120">
        <f>IF(COUNTIFS(LubesData!$V:$V,$R120,LubesData!$U:$U,5,LubesData!$N:$N,"&lt;&gt;")=0,"",SUMIFS(LubesData!$N:$N,LubesData!$V:$V,$R120,LubesData!$U:$U,5))</f>
        <v/>
      </c>
      <c r="Y120">
        <f>IF(COUNTIFS(LubesData!$V:$V,$R120,LubesData!$U:$U,6,LubesData!$N:$N,"&lt;&gt;")=0,"",SUMIFS(LubesData!$N:$N,LubesData!$V:$V,$R120,LubesData!$U:$U,6))</f>
        <v/>
      </c>
      <c r="Z120">
        <f>IF(COUNTIFS(LubesData!$V:$V,$R120,LubesData!$U:$U,7,LubesData!$N:$N,"&lt;&gt;")=0,"",SUMIFS(LubesData!$N:$N,LubesData!$V:$V,$R120,LubesData!$U:$U,7))</f>
        <v/>
      </c>
      <c r="AA120">
        <f>IF(COUNTIFS(LubesData!$V:$V,$R120,LubesData!$U:$U,8,LubesData!$N:$N,"&lt;&gt;")=0,"",SUMIFS(LubesData!$N:$N,LubesData!$V:$V,$R120,LubesData!$U:$U,8))</f>
        <v/>
      </c>
      <c r="AB120">
        <f>IF(COUNTIFS(LubesData!$V:$V,$R120,LubesData!$U:$U,9,LubesData!$N:$N,"&lt;&gt;")=0,"",SUMIFS(LubesData!$N:$N,LubesData!$V:$V,$R120,LubesData!$U:$U,9))</f>
        <v/>
      </c>
      <c r="AC120">
        <f>IF(COUNTIFS(LubesData!$V:$V,$R120,LubesData!$U:$U,10,LubesData!$N:$N,"&lt;&gt;")=0,"",SUMIFS(LubesData!$N:$N,LubesData!$V:$V,$R120,LubesData!$U:$U,10))</f>
        <v/>
      </c>
      <c r="AD120">
        <f>IF(COUNTIFS(LubesData!$V:$V,$R120,LubesData!$U:$U,11,LubesData!$N:$N,"&lt;&gt;")=0,"",SUMIFS(LubesData!$N:$N,LubesData!$V:$V,$R120,LubesData!$U:$U,11))</f>
        <v/>
      </c>
      <c r="AE120">
        <f>IF(COUNTIFS(LubesData!$V:$V,$R120,LubesData!$U:$U,12,LubesData!$N:$N,"&lt;&gt;")=0,"",SUMIFS(LubesData!$N:$N,LubesData!$V:$V,$R120,LubesData!$U:$U,12))</f>
        <v/>
      </c>
      <c r="AF120">
        <f>IF(COUNTIFS(LubesData!$V:$V,$R120,LubesData!$U:$U,13,LubesData!$N:$N,"&lt;&gt;")=0,"",SUMIFS(LubesData!$N:$N,LubesData!$V:$V,$R120,LubesData!$U:$U,13))</f>
        <v/>
      </c>
      <c r="AG120">
        <f>IF(COUNTIFS(LubesData!$V:$V,$R120,LubesData!$U:$U,14,LubesData!$N:$N,"&lt;&gt;")=0,"",SUMIFS(LubesData!$N:$N,LubesData!$V:$V,$R120,LubesData!$U:$U,14))</f>
        <v/>
      </c>
      <c r="AH120">
        <f>COUNTIFS(LubesData!$V:$V,$R120,LubesData!$U:$U,"&lt;="&amp;14,LubesData!$N:$N,"&lt;&gt;")</f>
        <v/>
      </c>
      <c r="AI120">
        <f>COUNTIFS(LubesData!$V:$V,$R120,LubesData!$U:$U,"&lt;="&amp;14,LubesData!$N:$N,0)</f>
        <v/>
      </c>
      <c r="AJ120">
        <f>IF(AH120=0,"",AH120-AI120)</f>
        <v/>
      </c>
      <c r="AK120">
        <f>IF(AH120=0,"",SUMIFS(LubesData!$N:$N,LubesData!$V:$V,$R120,LubesData!$U:$U,"&lt;="&amp;14))</f>
        <v/>
      </c>
      <c r="AL120">
        <f>IF(AH120=0,"",IF(ABS(MAX(T120:AG120))&gt;=ABS(MIN(T120:AG120)),MAX(T120:AG120),MIN(T120:AG120)))</f>
        <v/>
      </c>
      <c r="AM120">
        <f>IF(AH120=0,-1,AJ120*100000+MIN(ABS(AK120),99999))</f>
        <v/>
      </c>
      <c r="AN120">
        <f>IF($S120="","",1+COUNTIFS($AM$3:$AM$122,"&gt;"&amp;AM120)+COUNTIFS($AM$3:$AM$122,AM120,$R$3:$R$122,"&lt;"&amp;$R120))</f>
        <v/>
      </c>
    </row>
    <row r="121">
      <c r="R121" t="n">
        <v>119</v>
      </c>
      <c r="S121">
        <f>IFERROR(INDEX(LubesData!$G:$G,MATCH($R121,LubesData!$V:$V,0)),"")</f>
        <v/>
      </c>
      <c r="T121">
        <f>IF(COUNTIFS(LubesData!$V:$V,$R121,LubesData!$U:$U,1,LubesData!$N:$N,"&lt;&gt;")=0,"",SUMIFS(LubesData!$N:$N,LubesData!$V:$V,$R121,LubesData!$U:$U,1))</f>
        <v/>
      </c>
      <c r="U121">
        <f>IF(COUNTIFS(LubesData!$V:$V,$R121,LubesData!$U:$U,2,LubesData!$N:$N,"&lt;&gt;")=0,"",SUMIFS(LubesData!$N:$N,LubesData!$V:$V,$R121,LubesData!$U:$U,2))</f>
        <v/>
      </c>
      <c r="V121">
        <f>IF(COUNTIFS(LubesData!$V:$V,$R121,LubesData!$U:$U,3,LubesData!$N:$N,"&lt;&gt;")=0,"",SUMIFS(LubesData!$N:$N,LubesData!$V:$V,$R121,LubesData!$U:$U,3))</f>
        <v/>
      </c>
      <c r="W121">
        <f>IF(COUNTIFS(LubesData!$V:$V,$R121,LubesData!$U:$U,4,LubesData!$N:$N,"&lt;&gt;")=0,"",SUMIFS(LubesData!$N:$N,LubesData!$V:$V,$R121,LubesData!$U:$U,4))</f>
        <v/>
      </c>
      <c r="X121">
        <f>IF(COUNTIFS(LubesData!$V:$V,$R121,LubesData!$U:$U,5,LubesData!$N:$N,"&lt;&gt;")=0,"",SUMIFS(LubesData!$N:$N,LubesData!$V:$V,$R121,LubesData!$U:$U,5))</f>
        <v/>
      </c>
      <c r="Y121">
        <f>IF(COUNTIFS(LubesData!$V:$V,$R121,LubesData!$U:$U,6,LubesData!$N:$N,"&lt;&gt;")=0,"",SUMIFS(LubesData!$N:$N,LubesData!$V:$V,$R121,LubesData!$U:$U,6))</f>
        <v/>
      </c>
      <c r="Z121">
        <f>IF(COUNTIFS(LubesData!$V:$V,$R121,LubesData!$U:$U,7,LubesData!$N:$N,"&lt;&gt;")=0,"",SUMIFS(LubesData!$N:$N,LubesData!$V:$V,$R121,LubesData!$U:$U,7))</f>
        <v/>
      </c>
      <c r="AA121">
        <f>IF(COUNTIFS(LubesData!$V:$V,$R121,LubesData!$U:$U,8,LubesData!$N:$N,"&lt;&gt;")=0,"",SUMIFS(LubesData!$N:$N,LubesData!$V:$V,$R121,LubesData!$U:$U,8))</f>
        <v/>
      </c>
      <c r="AB121">
        <f>IF(COUNTIFS(LubesData!$V:$V,$R121,LubesData!$U:$U,9,LubesData!$N:$N,"&lt;&gt;")=0,"",SUMIFS(LubesData!$N:$N,LubesData!$V:$V,$R121,LubesData!$U:$U,9))</f>
        <v/>
      </c>
      <c r="AC121">
        <f>IF(COUNTIFS(LubesData!$V:$V,$R121,LubesData!$U:$U,10,LubesData!$N:$N,"&lt;&gt;")=0,"",SUMIFS(LubesData!$N:$N,LubesData!$V:$V,$R121,LubesData!$U:$U,10))</f>
        <v/>
      </c>
      <c r="AD121">
        <f>IF(COUNTIFS(LubesData!$V:$V,$R121,LubesData!$U:$U,11,LubesData!$N:$N,"&lt;&gt;")=0,"",SUMIFS(LubesData!$N:$N,LubesData!$V:$V,$R121,LubesData!$U:$U,11))</f>
        <v/>
      </c>
      <c r="AE121">
        <f>IF(COUNTIFS(LubesData!$V:$V,$R121,LubesData!$U:$U,12,LubesData!$N:$N,"&lt;&gt;")=0,"",SUMIFS(LubesData!$N:$N,LubesData!$V:$V,$R121,LubesData!$U:$U,12))</f>
        <v/>
      </c>
      <c r="AF121">
        <f>IF(COUNTIFS(LubesData!$V:$V,$R121,LubesData!$U:$U,13,LubesData!$N:$N,"&lt;&gt;")=0,"",SUMIFS(LubesData!$N:$N,LubesData!$V:$V,$R121,LubesData!$U:$U,13))</f>
        <v/>
      </c>
      <c r="AG121">
        <f>IF(COUNTIFS(LubesData!$V:$V,$R121,LubesData!$U:$U,14,LubesData!$N:$N,"&lt;&gt;")=0,"",SUMIFS(LubesData!$N:$N,LubesData!$V:$V,$R121,LubesData!$U:$U,14))</f>
        <v/>
      </c>
      <c r="AH121">
        <f>COUNTIFS(LubesData!$V:$V,$R121,LubesData!$U:$U,"&lt;="&amp;14,LubesData!$N:$N,"&lt;&gt;")</f>
        <v/>
      </c>
      <c r="AI121">
        <f>COUNTIFS(LubesData!$V:$V,$R121,LubesData!$U:$U,"&lt;="&amp;14,LubesData!$N:$N,0)</f>
        <v/>
      </c>
      <c r="AJ121">
        <f>IF(AH121=0,"",AH121-AI121)</f>
        <v/>
      </c>
      <c r="AK121">
        <f>IF(AH121=0,"",SUMIFS(LubesData!$N:$N,LubesData!$V:$V,$R121,LubesData!$U:$U,"&lt;="&amp;14))</f>
        <v/>
      </c>
      <c r="AL121">
        <f>IF(AH121=0,"",IF(ABS(MAX(T121:AG121))&gt;=ABS(MIN(T121:AG121)),MAX(T121:AG121),MIN(T121:AG121)))</f>
        <v/>
      </c>
      <c r="AM121">
        <f>IF(AH121=0,-1,AJ121*100000+MIN(ABS(AK121),99999))</f>
        <v/>
      </c>
      <c r="AN121">
        <f>IF($S121="","",1+COUNTIFS($AM$3:$AM$122,"&gt;"&amp;AM121)+COUNTIFS($AM$3:$AM$122,AM121,$R$3:$R$122,"&lt;"&amp;$R121))</f>
        <v/>
      </c>
    </row>
    <row r="122">
      <c r="R122" t="n">
        <v>120</v>
      </c>
      <c r="S122">
        <f>IFERROR(INDEX(LubesData!$G:$G,MATCH($R122,LubesData!$V:$V,0)),"")</f>
        <v/>
      </c>
      <c r="T122">
        <f>IF(COUNTIFS(LubesData!$V:$V,$R122,LubesData!$U:$U,1,LubesData!$N:$N,"&lt;&gt;")=0,"",SUMIFS(LubesData!$N:$N,LubesData!$V:$V,$R122,LubesData!$U:$U,1))</f>
        <v/>
      </c>
      <c r="U122">
        <f>IF(COUNTIFS(LubesData!$V:$V,$R122,LubesData!$U:$U,2,LubesData!$N:$N,"&lt;&gt;")=0,"",SUMIFS(LubesData!$N:$N,LubesData!$V:$V,$R122,LubesData!$U:$U,2))</f>
        <v/>
      </c>
      <c r="V122">
        <f>IF(COUNTIFS(LubesData!$V:$V,$R122,LubesData!$U:$U,3,LubesData!$N:$N,"&lt;&gt;")=0,"",SUMIFS(LubesData!$N:$N,LubesData!$V:$V,$R122,LubesData!$U:$U,3))</f>
        <v/>
      </c>
      <c r="W122">
        <f>IF(COUNTIFS(LubesData!$V:$V,$R122,LubesData!$U:$U,4,LubesData!$N:$N,"&lt;&gt;")=0,"",SUMIFS(LubesData!$N:$N,LubesData!$V:$V,$R122,LubesData!$U:$U,4))</f>
        <v/>
      </c>
      <c r="X122">
        <f>IF(COUNTIFS(LubesData!$V:$V,$R122,LubesData!$U:$U,5,LubesData!$N:$N,"&lt;&gt;")=0,"",SUMIFS(LubesData!$N:$N,LubesData!$V:$V,$R122,LubesData!$U:$U,5))</f>
        <v/>
      </c>
      <c r="Y122">
        <f>IF(COUNTIFS(LubesData!$V:$V,$R122,LubesData!$U:$U,6,LubesData!$N:$N,"&lt;&gt;")=0,"",SUMIFS(LubesData!$N:$N,LubesData!$V:$V,$R122,LubesData!$U:$U,6))</f>
        <v/>
      </c>
      <c r="Z122">
        <f>IF(COUNTIFS(LubesData!$V:$V,$R122,LubesData!$U:$U,7,LubesData!$N:$N,"&lt;&gt;")=0,"",SUMIFS(LubesData!$N:$N,LubesData!$V:$V,$R122,LubesData!$U:$U,7))</f>
        <v/>
      </c>
      <c r="AA122">
        <f>IF(COUNTIFS(LubesData!$V:$V,$R122,LubesData!$U:$U,8,LubesData!$N:$N,"&lt;&gt;")=0,"",SUMIFS(LubesData!$N:$N,LubesData!$V:$V,$R122,LubesData!$U:$U,8))</f>
        <v/>
      </c>
      <c r="AB122">
        <f>IF(COUNTIFS(LubesData!$V:$V,$R122,LubesData!$U:$U,9,LubesData!$N:$N,"&lt;&gt;")=0,"",SUMIFS(LubesData!$N:$N,LubesData!$V:$V,$R122,LubesData!$U:$U,9))</f>
        <v/>
      </c>
      <c r="AC122">
        <f>IF(COUNTIFS(LubesData!$V:$V,$R122,LubesData!$U:$U,10,LubesData!$N:$N,"&lt;&gt;")=0,"",SUMIFS(LubesData!$N:$N,LubesData!$V:$V,$R122,LubesData!$U:$U,10))</f>
        <v/>
      </c>
      <c r="AD122">
        <f>IF(COUNTIFS(LubesData!$V:$V,$R122,LubesData!$U:$U,11,LubesData!$N:$N,"&lt;&gt;")=0,"",SUMIFS(LubesData!$N:$N,LubesData!$V:$V,$R122,LubesData!$U:$U,11))</f>
        <v/>
      </c>
      <c r="AE122">
        <f>IF(COUNTIFS(LubesData!$V:$V,$R122,LubesData!$U:$U,12,LubesData!$N:$N,"&lt;&gt;")=0,"",SUMIFS(LubesData!$N:$N,LubesData!$V:$V,$R122,LubesData!$U:$U,12))</f>
        <v/>
      </c>
      <c r="AF122">
        <f>IF(COUNTIFS(LubesData!$V:$V,$R122,LubesData!$U:$U,13,LubesData!$N:$N,"&lt;&gt;")=0,"",SUMIFS(LubesData!$N:$N,LubesData!$V:$V,$R122,LubesData!$U:$U,13))</f>
        <v/>
      </c>
      <c r="AG122">
        <f>IF(COUNTIFS(LubesData!$V:$V,$R122,LubesData!$U:$U,14,LubesData!$N:$N,"&lt;&gt;")=0,"",SUMIFS(LubesData!$N:$N,LubesData!$V:$V,$R122,LubesData!$U:$U,14))</f>
        <v/>
      </c>
      <c r="AH122">
        <f>COUNTIFS(LubesData!$V:$V,$R122,LubesData!$U:$U,"&lt;="&amp;14,LubesData!$N:$N,"&lt;&gt;")</f>
        <v/>
      </c>
      <c r="AI122">
        <f>COUNTIFS(LubesData!$V:$V,$R122,LubesData!$U:$U,"&lt;="&amp;14,LubesData!$N:$N,0)</f>
        <v/>
      </c>
      <c r="AJ122">
        <f>IF(AH122=0,"",AH122-AI122)</f>
        <v/>
      </c>
      <c r="AK122">
        <f>IF(AH122=0,"",SUMIFS(LubesData!$N:$N,LubesData!$V:$V,$R122,LubesData!$U:$U,"&lt;="&amp;14))</f>
        <v/>
      </c>
      <c r="AL122">
        <f>IF(AH122=0,"",IF(ABS(MAX(T122:AG122))&gt;=ABS(MIN(T122:AG122)),MAX(T122:AG122),MIN(T122:AG122)))</f>
        <v/>
      </c>
      <c r="AM122">
        <f>IF(AH122=0,-1,AJ122*100000+MIN(ABS(AK122),99999))</f>
        <v/>
      </c>
      <c r="AN122">
        <f>IF($S122="","",1+COUNTIFS($AM$3:$AM$122,"&gt;"&amp;AM122)+COUNTIFS($AM$3:$AM$122,AM122,$R$3:$R$122,"&lt;"&amp;$R122))</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15"/>
  <sheetData>
    <row r="1">
      <c r="A1" s="32" t="inlineStr">
        <is>
          <t>branch_id</t>
        </is>
      </c>
      <c r="B1" s="32" t="inlineStr">
        <is>
          <t>count_date</t>
        </is>
      </c>
      <c r="C1" s="32" t="inlineStr">
        <is>
          <t>shift</t>
        </is>
      </c>
      <c r="D1" s="32" t="inlineStr">
        <is>
          <t>staff_name</t>
        </is>
      </c>
      <c r="E1" s="32" t="inlineStr">
        <is>
          <t>product_id</t>
        </is>
      </c>
      <c r="F1" s="32" t="inlineStr">
        <is>
          <t>plu</t>
        </is>
      </c>
      <c r="G1" s="32" t="inlineStr">
        <is>
          <t>short_name</t>
        </is>
      </c>
      <c r="H1" s="32" t="inlineStr">
        <is>
          <t>pos_description</t>
        </is>
      </c>
      <c r="I1" s="32" t="inlineStr">
        <is>
          <t>opening_packs</t>
        </is>
      </c>
      <c r="J1" s="32" t="inlineStr">
        <is>
          <t>add_in</t>
        </is>
      </c>
      <c r="K1" s="32" t="inlineStr">
        <is>
          <t>closing_packs</t>
        </is>
      </c>
      <c r="L1" s="32" t="inlineStr">
        <is>
          <t>sold_physical</t>
        </is>
      </c>
      <c r="M1" s="32" t="inlineStr">
        <is>
          <t>sold_pos</t>
        </is>
      </c>
      <c r="N1" s="32" t="inlineStr">
        <is>
          <t>variance_packs</t>
        </is>
      </c>
      <c r="O1" s="32" t="inlineStr">
        <is>
          <t>opening_date</t>
        </is>
      </c>
      <c r="P1" s="32" t="inlineStr">
        <is>
          <t>unit_price_used</t>
        </is>
      </c>
      <c r="Q1" s="32" t="inlineStr">
        <is>
          <t>variance_rm</t>
        </is>
      </c>
      <c r="R1" s="32" t="inlineStr">
        <is>
          <t>category</t>
        </is>
      </c>
      <c r="S1" s="32" t="inlineStr">
        <is>
          <t>abs_variance</t>
        </is>
      </c>
      <c r="T1" s="32" t="inlineStr">
        <is>
          <t>rank</t>
        </is>
      </c>
      <c r="U1" s="32" t="inlineStr">
        <is>
          <t>day_no</t>
        </is>
      </c>
      <c r="V1" s="32" t="inlineStr">
        <is>
          <t>prod_no</t>
        </is>
      </c>
      <c r="W1" s="32" t="inlineStr">
        <is>
          <t>row_key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122"/>
  <sheetViews>
    <sheetView workbookViewId="0">
      <selection activeCell="A1" sqref="A1"/>
    </sheetView>
  </sheetViews>
  <sheetFormatPr baseColWidth="8" defaultRowHeight="15"/>
  <sheetData>
    <row r="1">
      <c r="A1" s="29" t="inlineStr">
        <is>
          <t>per-day summary (day_no 1 = most recent counted day)</t>
        </is>
      </c>
      <c r="R1" s="29" t="inlineStr">
        <is>
          <t>per-product trends over the last 14 days</t>
        </is>
      </c>
    </row>
    <row r="2">
      <c r="A2" s="30" t="inlineStr">
        <is>
          <t>day_no</t>
        </is>
      </c>
      <c r="B2" s="30" t="inlineStr">
        <is>
          <t>date</t>
        </is>
      </c>
      <c r="C2" s="30" t="inlineStr">
        <is>
          <t>staff</t>
        </is>
      </c>
      <c r="D2" s="30" t="inlineStr">
        <is>
          <t>opening_date</t>
        </is>
      </c>
      <c r="E2" s="30" t="inlineStr">
        <is>
          <t>products</t>
        </is>
      </c>
      <c r="F2" s="30" t="inlineStr">
        <is>
          <t>known</t>
        </is>
      </c>
      <c r="G2" s="30" t="inlineStr">
        <is>
          <t>zeros</t>
        </is>
      </c>
      <c r="H2" s="30" t="inlineStr">
        <is>
          <t>with_variance</t>
        </is>
      </c>
      <c r="I2" s="30" t="inlineStr">
        <is>
          <t>total_packs</t>
        </is>
      </c>
      <c r="J2" s="30" t="inlineStr">
        <is>
          <t>priced</t>
        </is>
      </c>
      <c r="K2" s="30" t="inlineStr">
        <is>
          <t>total_rm</t>
        </is>
      </c>
      <c r="L2" s="30" t="inlineStr">
        <is>
          <t>pos_rows</t>
        </is>
      </c>
      <c r="M2" s="30" t="inlineStr">
        <is>
          <t>pos_state</t>
        </is>
      </c>
      <c r="N2" s="30" t="inlineStr">
        <is>
          <t>opening_known</t>
        </is>
      </c>
      <c r="O2" s="30" t="inlineStr">
        <is>
          <t>message</t>
        </is>
      </c>
      <c r="R2" s="30" t="inlineStr">
        <is>
          <t>prod_no</t>
        </is>
      </c>
      <c r="S2" s="30" t="inlineStr">
        <is>
          <t>product</t>
        </is>
      </c>
      <c r="T2" s="30" t="inlineStr">
        <is>
          <t>d1</t>
        </is>
      </c>
      <c r="U2" s="30" t="inlineStr">
        <is>
          <t>d2</t>
        </is>
      </c>
      <c r="V2" s="30" t="inlineStr">
        <is>
          <t>d3</t>
        </is>
      </c>
      <c r="W2" s="30" t="inlineStr">
        <is>
          <t>d4</t>
        </is>
      </c>
      <c r="X2" s="30" t="inlineStr">
        <is>
          <t>d5</t>
        </is>
      </c>
      <c r="Y2" s="30" t="inlineStr">
        <is>
          <t>d6</t>
        </is>
      </c>
      <c r="Z2" s="30" t="inlineStr">
        <is>
          <t>d7</t>
        </is>
      </c>
      <c r="AA2" s="30" t="inlineStr">
        <is>
          <t>d8</t>
        </is>
      </c>
      <c r="AB2" s="30" t="inlineStr">
        <is>
          <t>d9</t>
        </is>
      </c>
      <c r="AC2" s="30" t="inlineStr">
        <is>
          <t>d10</t>
        </is>
      </c>
      <c r="AD2" s="30" t="inlineStr">
        <is>
          <t>d11</t>
        </is>
      </c>
      <c r="AE2" s="30" t="inlineStr">
        <is>
          <t>d12</t>
        </is>
      </c>
      <c r="AF2" s="30" t="inlineStr">
        <is>
          <t>d13</t>
        </is>
      </c>
      <c r="AG2" s="30" t="inlineStr">
        <is>
          <t>d14</t>
        </is>
      </c>
      <c r="AH2" s="30" t="inlineStr">
        <is>
          <t>known</t>
        </is>
      </c>
      <c r="AI2" s="30" t="inlineStr">
        <is>
          <t>zeros</t>
        </is>
      </c>
      <c r="AJ2" s="30" t="inlineStr">
        <is>
          <t>days_off</t>
        </is>
      </c>
      <c r="AK2" s="30" t="inlineStr">
        <is>
          <t>total</t>
        </is>
      </c>
      <c r="AL2" s="30" t="inlineStr">
        <is>
          <t>worst</t>
        </is>
      </c>
      <c r="AM2" s="30" t="inlineStr">
        <is>
          <t>sortkey</t>
        </is>
      </c>
      <c r="AN2" s="30" t="inlineStr">
        <is>
          <t>rank</t>
        </is>
      </c>
    </row>
    <row r="3">
      <c r="A3" t="n">
        <v>1</v>
      </c>
      <c r="B3" s="31">
        <f>IFERROR(IF(INDEX(IlumaData!$B:$B,MATCH($A3,IlumaData!$U:$U,0))="","",INDEX(IlumaData!$B:$B,MATCH($A3,IlumaData!$U:$U,0))),"")</f>
        <v/>
      </c>
      <c r="C3">
        <f>IFERROR(IF(INDEX(IlumaData!$D:$D,MATCH($A3,IlumaData!$U:$U,0))="","",INDEX(IlumaData!$D:$D,MATCH($A3,IlumaData!$U:$U,0))),"")</f>
        <v/>
      </c>
      <c r="D3" s="31">
        <f>IFERROR(IF(INDEX(IlumaData!$O:$O,MATCH($A3,IlumaData!$U:$U,0))="","",INDEX(IlumaData!$O:$O,MATCH($A3,IlumaData!$U:$U,0))),"")</f>
        <v/>
      </c>
      <c r="E3">
        <f>COUNTIFS(IlumaData!$U:$U,$A3)</f>
        <v/>
      </c>
      <c r="F3">
        <f>COUNTIFS(IlumaData!$U:$U,$A3,IlumaData!$N:$N,"&lt;&gt;")</f>
        <v/>
      </c>
      <c r="G3">
        <f>COUNTIFS(IlumaData!$U:$U,$A3,IlumaData!$N:$N,0)</f>
        <v/>
      </c>
      <c r="H3">
        <f>IF($F3=0,"",$F3-$G3)</f>
        <v/>
      </c>
      <c r="I3">
        <f>IF($F3=0,"",SUMIFS(IlumaData!$N:$N,IlumaData!$U:$U,$A3))</f>
        <v/>
      </c>
      <c r="J3">
        <f>COUNTIFS(IlumaData!$U:$U,$A3,IlumaData!$Q:$Q,"&lt;&gt;")</f>
        <v/>
      </c>
      <c r="K3">
        <f>IF($J3=0,"",SUMIFS(IlumaData!$Q:$Q,IlumaData!$U:$U,$A3))</f>
        <v/>
      </c>
      <c r="L3">
        <f>COUNTIFS(IlumaData!$U:$U,$A3,IlumaData!$M:$M,"&lt;&gt;")</f>
        <v/>
      </c>
      <c r="M3">
        <f>IF($E3=0,"",IF($L3=0,"not loaded","loaded"))</f>
        <v/>
      </c>
      <c r="N3">
        <f>COUNTIFS(IlumaData!$U:$U,$A3,IlumaData!$I:$I,"&lt;&gt;")</f>
        <v/>
      </c>
      <c r="O3">
        <f>IF($E3=0,"",IF($L3=0,"No POS sales have been loaded for this date, so variance cannot be worked out. Import the sales report for this day and it fills in.",IF($N3=0,"This is the first count of these products, so there is no opening figure to sell down from. Variance starts from the next count.",IF($F3-$G3=0,"Physical and POS agree on every product.",($F3-$G3)&amp;" of "&amp;$F3&amp;" products disagree with the POS. Largest first below."))))</f>
        <v/>
      </c>
      <c r="R3" t="n">
        <v>1</v>
      </c>
      <c r="S3">
        <f>IFERROR(INDEX(IlumaData!$G:$G,MATCH($R3,IlumaData!$V:$V,0)),"")</f>
        <v/>
      </c>
      <c r="T3">
        <f>IF(COUNTIFS(IlumaData!$V:$V,$R3,IlumaData!$U:$U,1,IlumaData!$N:$N,"&lt;&gt;")=0,"",SUMIFS(IlumaData!$N:$N,IlumaData!$V:$V,$R3,IlumaData!$U:$U,1))</f>
        <v/>
      </c>
      <c r="U3">
        <f>IF(COUNTIFS(IlumaData!$V:$V,$R3,IlumaData!$U:$U,2,IlumaData!$N:$N,"&lt;&gt;")=0,"",SUMIFS(IlumaData!$N:$N,IlumaData!$V:$V,$R3,IlumaData!$U:$U,2))</f>
        <v/>
      </c>
      <c r="V3">
        <f>IF(COUNTIFS(IlumaData!$V:$V,$R3,IlumaData!$U:$U,3,IlumaData!$N:$N,"&lt;&gt;")=0,"",SUMIFS(IlumaData!$N:$N,IlumaData!$V:$V,$R3,IlumaData!$U:$U,3))</f>
        <v/>
      </c>
      <c r="W3">
        <f>IF(COUNTIFS(IlumaData!$V:$V,$R3,IlumaData!$U:$U,4,IlumaData!$N:$N,"&lt;&gt;")=0,"",SUMIFS(IlumaData!$N:$N,IlumaData!$V:$V,$R3,IlumaData!$U:$U,4))</f>
        <v/>
      </c>
      <c r="X3">
        <f>IF(COUNTIFS(IlumaData!$V:$V,$R3,IlumaData!$U:$U,5,IlumaData!$N:$N,"&lt;&gt;")=0,"",SUMIFS(IlumaData!$N:$N,IlumaData!$V:$V,$R3,IlumaData!$U:$U,5))</f>
        <v/>
      </c>
      <c r="Y3">
        <f>IF(COUNTIFS(IlumaData!$V:$V,$R3,IlumaData!$U:$U,6,IlumaData!$N:$N,"&lt;&gt;")=0,"",SUMIFS(IlumaData!$N:$N,IlumaData!$V:$V,$R3,IlumaData!$U:$U,6))</f>
        <v/>
      </c>
      <c r="Z3">
        <f>IF(COUNTIFS(IlumaData!$V:$V,$R3,IlumaData!$U:$U,7,IlumaData!$N:$N,"&lt;&gt;")=0,"",SUMIFS(IlumaData!$N:$N,IlumaData!$V:$V,$R3,IlumaData!$U:$U,7))</f>
        <v/>
      </c>
      <c r="AA3">
        <f>IF(COUNTIFS(IlumaData!$V:$V,$R3,IlumaData!$U:$U,8,IlumaData!$N:$N,"&lt;&gt;")=0,"",SUMIFS(IlumaData!$N:$N,IlumaData!$V:$V,$R3,IlumaData!$U:$U,8))</f>
        <v/>
      </c>
      <c r="AB3">
        <f>IF(COUNTIFS(IlumaData!$V:$V,$R3,IlumaData!$U:$U,9,IlumaData!$N:$N,"&lt;&gt;")=0,"",SUMIFS(IlumaData!$N:$N,IlumaData!$V:$V,$R3,IlumaData!$U:$U,9))</f>
        <v/>
      </c>
      <c r="AC3">
        <f>IF(COUNTIFS(IlumaData!$V:$V,$R3,IlumaData!$U:$U,10,IlumaData!$N:$N,"&lt;&gt;")=0,"",SUMIFS(IlumaData!$N:$N,IlumaData!$V:$V,$R3,IlumaData!$U:$U,10))</f>
        <v/>
      </c>
      <c r="AD3">
        <f>IF(COUNTIFS(IlumaData!$V:$V,$R3,IlumaData!$U:$U,11,IlumaData!$N:$N,"&lt;&gt;")=0,"",SUMIFS(IlumaData!$N:$N,IlumaData!$V:$V,$R3,IlumaData!$U:$U,11))</f>
        <v/>
      </c>
      <c r="AE3">
        <f>IF(COUNTIFS(IlumaData!$V:$V,$R3,IlumaData!$U:$U,12,IlumaData!$N:$N,"&lt;&gt;")=0,"",SUMIFS(IlumaData!$N:$N,IlumaData!$V:$V,$R3,IlumaData!$U:$U,12))</f>
        <v/>
      </c>
      <c r="AF3">
        <f>IF(COUNTIFS(IlumaData!$V:$V,$R3,IlumaData!$U:$U,13,IlumaData!$N:$N,"&lt;&gt;")=0,"",SUMIFS(IlumaData!$N:$N,IlumaData!$V:$V,$R3,IlumaData!$U:$U,13))</f>
        <v/>
      </c>
      <c r="AG3">
        <f>IF(COUNTIFS(IlumaData!$V:$V,$R3,IlumaData!$U:$U,14,IlumaData!$N:$N,"&lt;&gt;")=0,"",SUMIFS(IlumaData!$N:$N,IlumaData!$V:$V,$R3,IlumaData!$U:$U,14))</f>
        <v/>
      </c>
      <c r="AH3">
        <f>COUNTIFS(IlumaData!$V:$V,$R3,IlumaData!$U:$U,"&lt;="&amp;14,IlumaData!$N:$N,"&lt;&gt;")</f>
        <v/>
      </c>
      <c r="AI3">
        <f>COUNTIFS(IlumaData!$V:$V,$R3,IlumaData!$U:$U,"&lt;="&amp;14,IlumaData!$N:$N,0)</f>
        <v/>
      </c>
      <c r="AJ3">
        <f>IF(AH3=0,"",AH3-AI3)</f>
        <v/>
      </c>
      <c r="AK3">
        <f>IF(AH3=0,"",SUMIFS(IlumaData!$N:$N,IlumaData!$V:$V,$R3,IlumaData!$U:$U,"&lt;="&amp;14))</f>
        <v/>
      </c>
      <c r="AL3">
        <f>IF(AH3=0,"",IF(ABS(MAX(T3:AG3))&gt;=ABS(MIN(T3:AG3)),MAX(T3:AG3),MIN(T3:AG3)))</f>
        <v/>
      </c>
      <c r="AM3">
        <f>IF(AH3=0,-1,AJ3*100000+MIN(ABS(AK3),99999))</f>
        <v/>
      </c>
      <c r="AN3">
        <f>IF($S3="","",1+COUNTIFS($AM$3:$AM$122,"&gt;"&amp;AM3)+COUNTIFS($AM$3:$AM$122,AM3,$R$3:$R$122,"&lt;"&amp;$R3))</f>
        <v/>
      </c>
    </row>
    <row r="4">
      <c r="A4" t="n">
        <v>2</v>
      </c>
      <c r="B4" s="31">
        <f>IFERROR(IF(INDEX(IlumaData!$B:$B,MATCH($A4,IlumaData!$U:$U,0))="","",INDEX(IlumaData!$B:$B,MATCH($A4,IlumaData!$U:$U,0))),"")</f>
        <v/>
      </c>
      <c r="C4">
        <f>IFERROR(IF(INDEX(IlumaData!$D:$D,MATCH($A4,IlumaData!$U:$U,0))="","",INDEX(IlumaData!$D:$D,MATCH($A4,IlumaData!$U:$U,0))),"")</f>
        <v/>
      </c>
      <c r="D4" s="31">
        <f>IFERROR(IF(INDEX(IlumaData!$O:$O,MATCH($A4,IlumaData!$U:$U,0))="","",INDEX(IlumaData!$O:$O,MATCH($A4,IlumaData!$U:$U,0))),"")</f>
        <v/>
      </c>
      <c r="E4">
        <f>COUNTIFS(IlumaData!$U:$U,$A4)</f>
        <v/>
      </c>
      <c r="F4">
        <f>COUNTIFS(IlumaData!$U:$U,$A4,IlumaData!$N:$N,"&lt;&gt;")</f>
        <v/>
      </c>
      <c r="G4">
        <f>COUNTIFS(IlumaData!$U:$U,$A4,IlumaData!$N:$N,0)</f>
        <v/>
      </c>
      <c r="H4">
        <f>IF($F4=0,"",$F4-$G4)</f>
        <v/>
      </c>
      <c r="I4">
        <f>IF($F4=0,"",SUMIFS(IlumaData!$N:$N,IlumaData!$U:$U,$A4))</f>
        <v/>
      </c>
      <c r="J4">
        <f>COUNTIFS(IlumaData!$U:$U,$A4,IlumaData!$Q:$Q,"&lt;&gt;")</f>
        <v/>
      </c>
      <c r="K4">
        <f>IF($J4=0,"",SUMIFS(IlumaData!$Q:$Q,IlumaData!$U:$U,$A4))</f>
        <v/>
      </c>
      <c r="L4">
        <f>COUNTIFS(IlumaData!$U:$U,$A4,IlumaData!$M:$M,"&lt;&gt;")</f>
        <v/>
      </c>
      <c r="M4">
        <f>IF($E4=0,"",IF($L4=0,"not loaded","loaded"))</f>
        <v/>
      </c>
      <c r="N4">
        <f>COUNTIFS(IlumaData!$U:$U,$A4,IlumaData!$I:$I,"&lt;&gt;")</f>
        <v/>
      </c>
      <c r="O4">
        <f>IF($E4=0,"",IF($L4=0,"No POS sales have been loaded for this date, so variance cannot be worked out. Import the sales report for this day and it fills in.",IF($N4=0,"This is the first count of these products, so there is no opening figure to sell down from. Variance starts from the next count.",IF($F4-$G4=0,"Physical and POS agree on every product.",($F4-$G4)&amp;" of "&amp;$F4&amp;" products disagree with the POS. Largest first below."))))</f>
        <v/>
      </c>
      <c r="R4" t="n">
        <v>2</v>
      </c>
      <c r="S4">
        <f>IFERROR(INDEX(IlumaData!$G:$G,MATCH($R4,IlumaData!$V:$V,0)),"")</f>
        <v/>
      </c>
      <c r="T4">
        <f>IF(COUNTIFS(IlumaData!$V:$V,$R4,IlumaData!$U:$U,1,IlumaData!$N:$N,"&lt;&gt;")=0,"",SUMIFS(IlumaData!$N:$N,IlumaData!$V:$V,$R4,IlumaData!$U:$U,1))</f>
        <v/>
      </c>
      <c r="U4">
        <f>IF(COUNTIFS(IlumaData!$V:$V,$R4,IlumaData!$U:$U,2,IlumaData!$N:$N,"&lt;&gt;")=0,"",SUMIFS(IlumaData!$N:$N,IlumaData!$V:$V,$R4,IlumaData!$U:$U,2))</f>
        <v/>
      </c>
      <c r="V4">
        <f>IF(COUNTIFS(IlumaData!$V:$V,$R4,IlumaData!$U:$U,3,IlumaData!$N:$N,"&lt;&gt;")=0,"",SUMIFS(IlumaData!$N:$N,IlumaData!$V:$V,$R4,IlumaData!$U:$U,3))</f>
        <v/>
      </c>
      <c r="W4">
        <f>IF(COUNTIFS(IlumaData!$V:$V,$R4,IlumaData!$U:$U,4,IlumaData!$N:$N,"&lt;&gt;")=0,"",SUMIFS(IlumaData!$N:$N,IlumaData!$V:$V,$R4,IlumaData!$U:$U,4))</f>
        <v/>
      </c>
      <c r="X4">
        <f>IF(COUNTIFS(IlumaData!$V:$V,$R4,IlumaData!$U:$U,5,IlumaData!$N:$N,"&lt;&gt;")=0,"",SUMIFS(IlumaData!$N:$N,IlumaData!$V:$V,$R4,IlumaData!$U:$U,5))</f>
        <v/>
      </c>
      <c r="Y4">
        <f>IF(COUNTIFS(IlumaData!$V:$V,$R4,IlumaData!$U:$U,6,IlumaData!$N:$N,"&lt;&gt;")=0,"",SUMIFS(IlumaData!$N:$N,IlumaData!$V:$V,$R4,IlumaData!$U:$U,6))</f>
        <v/>
      </c>
      <c r="Z4">
        <f>IF(COUNTIFS(IlumaData!$V:$V,$R4,IlumaData!$U:$U,7,IlumaData!$N:$N,"&lt;&gt;")=0,"",SUMIFS(IlumaData!$N:$N,IlumaData!$V:$V,$R4,IlumaData!$U:$U,7))</f>
        <v/>
      </c>
      <c r="AA4">
        <f>IF(COUNTIFS(IlumaData!$V:$V,$R4,IlumaData!$U:$U,8,IlumaData!$N:$N,"&lt;&gt;")=0,"",SUMIFS(IlumaData!$N:$N,IlumaData!$V:$V,$R4,IlumaData!$U:$U,8))</f>
        <v/>
      </c>
      <c r="AB4">
        <f>IF(COUNTIFS(IlumaData!$V:$V,$R4,IlumaData!$U:$U,9,IlumaData!$N:$N,"&lt;&gt;")=0,"",SUMIFS(IlumaData!$N:$N,IlumaData!$V:$V,$R4,IlumaData!$U:$U,9))</f>
        <v/>
      </c>
      <c r="AC4">
        <f>IF(COUNTIFS(IlumaData!$V:$V,$R4,IlumaData!$U:$U,10,IlumaData!$N:$N,"&lt;&gt;")=0,"",SUMIFS(IlumaData!$N:$N,IlumaData!$V:$V,$R4,IlumaData!$U:$U,10))</f>
        <v/>
      </c>
      <c r="AD4">
        <f>IF(COUNTIFS(IlumaData!$V:$V,$R4,IlumaData!$U:$U,11,IlumaData!$N:$N,"&lt;&gt;")=0,"",SUMIFS(IlumaData!$N:$N,IlumaData!$V:$V,$R4,IlumaData!$U:$U,11))</f>
        <v/>
      </c>
      <c r="AE4">
        <f>IF(COUNTIFS(IlumaData!$V:$V,$R4,IlumaData!$U:$U,12,IlumaData!$N:$N,"&lt;&gt;")=0,"",SUMIFS(IlumaData!$N:$N,IlumaData!$V:$V,$R4,IlumaData!$U:$U,12))</f>
        <v/>
      </c>
      <c r="AF4">
        <f>IF(COUNTIFS(IlumaData!$V:$V,$R4,IlumaData!$U:$U,13,IlumaData!$N:$N,"&lt;&gt;")=0,"",SUMIFS(IlumaData!$N:$N,IlumaData!$V:$V,$R4,IlumaData!$U:$U,13))</f>
        <v/>
      </c>
      <c r="AG4">
        <f>IF(COUNTIFS(IlumaData!$V:$V,$R4,IlumaData!$U:$U,14,IlumaData!$N:$N,"&lt;&gt;")=0,"",SUMIFS(IlumaData!$N:$N,IlumaData!$V:$V,$R4,IlumaData!$U:$U,14))</f>
        <v/>
      </c>
      <c r="AH4">
        <f>COUNTIFS(IlumaData!$V:$V,$R4,IlumaData!$U:$U,"&lt;="&amp;14,IlumaData!$N:$N,"&lt;&gt;")</f>
        <v/>
      </c>
      <c r="AI4">
        <f>COUNTIFS(IlumaData!$V:$V,$R4,IlumaData!$U:$U,"&lt;="&amp;14,IlumaData!$N:$N,0)</f>
        <v/>
      </c>
      <c r="AJ4">
        <f>IF(AH4=0,"",AH4-AI4)</f>
        <v/>
      </c>
      <c r="AK4">
        <f>IF(AH4=0,"",SUMIFS(IlumaData!$N:$N,IlumaData!$V:$V,$R4,IlumaData!$U:$U,"&lt;="&amp;14))</f>
        <v/>
      </c>
      <c r="AL4">
        <f>IF(AH4=0,"",IF(ABS(MAX(T4:AG4))&gt;=ABS(MIN(T4:AG4)),MAX(T4:AG4),MIN(T4:AG4)))</f>
        <v/>
      </c>
      <c r="AM4">
        <f>IF(AH4=0,-1,AJ4*100000+MIN(ABS(AK4),99999))</f>
        <v/>
      </c>
      <c r="AN4">
        <f>IF($S4="","",1+COUNTIFS($AM$3:$AM$122,"&gt;"&amp;AM4)+COUNTIFS($AM$3:$AM$122,AM4,$R$3:$R$122,"&lt;"&amp;$R4))</f>
        <v/>
      </c>
    </row>
    <row r="5">
      <c r="A5" t="n">
        <v>3</v>
      </c>
      <c r="B5" s="31">
        <f>IFERROR(IF(INDEX(IlumaData!$B:$B,MATCH($A5,IlumaData!$U:$U,0))="","",INDEX(IlumaData!$B:$B,MATCH($A5,IlumaData!$U:$U,0))),"")</f>
        <v/>
      </c>
      <c r="C5">
        <f>IFERROR(IF(INDEX(IlumaData!$D:$D,MATCH($A5,IlumaData!$U:$U,0))="","",INDEX(IlumaData!$D:$D,MATCH($A5,IlumaData!$U:$U,0))),"")</f>
        <v/>
      </c>
      <c r="D5" s="31">
        <f>IFERROR(IF(INDEX(IlumaData!$O:$O,MATCH($A5,IlumaData!$U:$U,0))="","",INDEX(IlumaData!$O:$O,MATCH($A5,IlumaData!$U:$U,0))),"")</f>
        <v/>
      </c>
      <c r="E5">
        <f>COUNTIFS(IlumaData!$U:$U,$A5)</f>
        <v/>
      </c>
      <c r="F5">
        <f>COUNTIFS(IlumaData!$U:$U,$A5,IlumaData!$N:$N,"&lt;&gt;")</f>
        <v/>
      </c>
      <c r="G5">
        <f>COUNTIFS(IlumaData!$U:$U,$A5,IlumaData!$N:$N,0)</f>
        <v/>
      </c>
      <c r="H5">
        <f>IF($F5=0,"",$F5-$G5)</f>
        <v/>
      </c>
      <c r="I5">
        <f>IF($F5=0,"",SUMIFS(IlumaData!$N:$N,IlumaData!$U:$U,$A5))</f>
        <v/>
      </c>
      <c r="J5">
        <f>COUNTIFS(IlumaData!$U:$U,$A5,IlumaData!$Q:$Q,"&lt;&gt;")</f>
        <v/>
      </c>
      <c r="K5">
        <f>IF($J5=0,"",SUMIFS(IlumaData!$Q:$Q,IlumaData!$U:$U,$A5))</f>
        <v/>
      </c>
      <c r="L5">
        <f>COUNTIFS(IlumaData!$U:$U,$A5,IlumaData!$M:$M,"&lt;&gt;")</f>
        <v/>
      </c>
      <c r="M5">
        <f>IF($E5=0,"",IF($L5=0,"not loaded","loaded"))</f>
        <v/>
      </c>
      <c r="N5">
        <f>COUNTIFS(IlumaData!$U:$U,$A5,IlumaData!$I:$I,"&lt;&gt;")</f>
        <v/>
      </c>
      <c r="O5">
        <f>IF($E5=0,"",IF($L5=0,"No POS sales have been loaded for this date, so variance cannot be worked out. Import the sales report for this day and it fills in.",IF($N5=0,"This is the first count of these products, so there is no opening figure to sell down from. Variance starts from the next count.",IF($F5-$G5=0,"Physical and POS agree on every product.",($F5-$G5)&amp;" of "&amp;$F5&amp;" products disagree with the POS. Largest first below."))))</f>
        <v/>
      </c>
      <c r="R5" t="n">
        <v>3</v>
      </c>
      <c r="S5">
        <f>IFERROR(INDEX(IlumaData!$G:$G,MATCH($R5,IlumaData!$V:$V,0)),"")</f>
        <v/>
      </c>
      <c r="T5">
        <f>IF(COUNTIFS(IlumaData!$V:$V,$R5,IlumaData!$U:$U,1,IlumaData!$N:$N,"&lt;&gt;")=0,"",SUMIFS(IlumaData!$N:$N,IlumaData!$V:$V,$R5,IlumaData!$U:$U,1))</f>
        <v/>
      </c>
      <c r="U5">
        <f>IF(COUNTIFS(IlumaData!$V:$V,$R5,IlumaData!$U:$U,2,IlumaData!$N:$N,"&lt;&gt;")=0,"",SUMIFS(IlumaData!$N:$N,IlumaData!$V:$V,$R5,IlumaData!$U:$U,2))</f>
        <v/>
      </c>
      <c r="V5">
        <f>IF(COUNTIFS(IlumaData!$V:$V,$R5,IlumaData!$U:$U,3,IlumaData!$N:$N,"&lt;&gt;")=0,"",SUMIFS(IlumaData!$N:$N,IlumaData!$V:$V,$R5,IlumaData!$U:$U,3))</f>
        <v/>
      </c>
      <c r="W5">
        <f>IF(COUNTIFS(IlumaData!$V:$V,$R5,IlumaData!$U:$U,4,IlumaData!$N:$N,"&lt;&gt;")=0,"",SUMIFS(IlumaData!$N:$N,IlumaData!$V:$V,$R5,IlumaData!$U:$U,4))</f>
        <v/>
      </c>
      <c r="X5">
        <f>IF(COUNTIFS(IlumaData!$V:$V,$R5,IlumaData!$U:$U,5,IlumaData!$N:$N,"&lt;&gt;")=0,"",SUMIFS(IlumaData!$N:$N,IlumaData!$V:$V,$R5,IlumaData!$U:$U,5))</f>
        <v/>
      </c>
      <c r="Y5">
        <f>IF(COUNTIFS(IlumaData!$V:$V,$R5,IlumaData!$U:$U,6,IlumaData!$N:$N,"&lt;&gt;")=0,"",SUMIFS(IlumaData!$N:$N,IlumaData!$V:$V,$R5,IlumaData!$U:$U,6))</f>
        <v/>
      </c>
      <c r="Z5">
        <f>IF(COUNTIFS(IlumaData!$V:$V,$R5,IlumaData!$U:$U,7,IlumaData!$N:$N,"&lt;&gt;")=0,"",SUMIFS(IlumaData!$N:$N,IlumaData!$V:$V,$R5,IlumaData!$U:$U,7))</f>
        <v/>
      </c>
      <c r="AA5">
        <f>IF(COUNTIFS(IlumaData!$V:$V,$R5,IlumaData!$U:$U,8,IlumaData!$N:$N,"&lt;&gt;")=0,"",SUMIFS(IlumaData!$N:$N,IlumaData!$V:$V,$R5,IlumaData!$U:$U,8))</f>
        <v/>
      </c>
      <c r="AB5">
        <f>IF(COUNTIFS(IlumaData!$V:$V,$R5,IlumaData!$U:$U,9,IlumaData!$N:$N,"&lt;&gt;")=0,"",SUMIFS(IlumaData!$N:$N,IlumaData!$V:$V,$R5,IlumaData!$U:$U,9))</f>
        <v/>
      </c>
      <c r="AC5">
        <f>IF(COUNTIFS(IlumaData!$V:$V,$R5,IlumaData!$U:$U,10,IlumaData!$N:$N,"&lt;&gt;")=0,"",SUMIFS(IlumaData!$N:$N,IlumaData!$V:$V,$R5,IlumaData!$U:$U,10))</f>
        <v/>
      </c>
      <c r="AD5">
        <f>IF(COUNTIFS(IlumaData!$V:$V,$R5,IlumaData!$U:$U,11,IlumaData!$N:$N,"&lt;&gt;")=0,"",SUMIFS(IlumaData!$N:$N,IlumaData!$V:$V,$R5,IlumaData!$U:$U,11))</f>
        <v/>
      </c>
      <c r="AE5">
        <f>IF(COUNTIFS(IlumaData!$V:$V,$R5,IlumaData!$U:$U,12,IlumaData!$N:$N,"&lt;&gt;")=0,"",SUMIFS(IlumaData!$N:$N,IlumaData!$V:$V,$R5,IlumaData!$U:$U,12))</f>
        <v/>
      </c>
      <c r="AF5">
        <f>IF(COUNTIFS(IlumaData!$V:$V,$R5,IlumaData!$U:$U,13,IlumaData!$N:$N,"&lt;&gt;")=0,"",SUMIFS(IlumaData!$N:$N,IlumaData!$V:$V,$R5,IlumaData!$U:$U,13))</f>
        <v/>
      </c>
      <c r="AG5">
        <f>IF(COUNTIFS(IlumaData!$V:$V,$R5,IlumaData!$U:$U,14,IlumaData!$N:$N,"&lt;&gt;")=0,"",SUMIFS(IlumaData!$N:$N,IlumaData!$V:$V,$R5,IlumaData!$U:$U,14))</f>
        <v/>
      </c>
      <c r="AH5">
        <f>COUNTIFS(IlumaData!$V:$V,$R5,IlumaData!$U:$U,"&lt;="&amp;14,IlumaData!$N:$N,"&lt;&gt;")</f>
        <v/>
      </c>
      <c r="AI5">
        <f>COUNTIFS(IlumaData!$V:$V,$R5,IlumaData!$U:$U,"&lt;="&amp;14,IlumaData!$N:$N,0)</f>
        <v/>
      </c>
      <c r="AJ5">
        <f>IF(AH5=0,"",AH5-AI5)</f>
        <v/>
      </c>
      <c r="AK5">
        <f>IF(AH5=0,"",SUMIFS(IlumaData!$N:$N,IlumaData!$V:$V,$R5,IlumaData!$U:$U,"&lt;="&amp;14))</f>
        <v/>
      </c>
      <c r="AL5">
        <f>IF(AH5=0,"",IF(ABS(MAX(T5:AG5))&gt;=ABS(MIN(T5:AG5)),MAX(T5:AG5),MIN(T5:AG5)))</f>
        <v/>
      </c>
      <c r="AM5">
        <f>IF(AH5=0,-1,AJ5*100000+MIN(ABS(AK5),99999))</f>
        <v/>
      </c>
      <c r="AN5">
        <f>IF($S5="","",1+COUNTIFS($AM$3:$AM$122,"&gt;"&amp;AM5)+COUNTIFS($AM$3:$AM$122,AM5,$R$3:$R$122,"&lt;"&amp;$R5))</f>
        <v/>
      </c>
    </row>
    <row r="6">
      <c r="A6" t="n">
        <v>4</v>
      </c>
      <c r="B6" s="31">
        <f>IFERROR(IF(INDEX(IlumaData!$B:$B,MATCH($A6,IlumaData!$U:$U,0))="","",INDEX(IlumaData!$B:$B,MATCH($A6,IlumaData!$U:$U,0))),"")</f>
        <v/>
      </c>
      <c r="C6">
        <f>IFERROR(IF(INDEX(IlumaData!$D:$D,MATCH($A6,IlumaData!$U:$U,0))="","",INDEX(IlumaData!$D:$D,MATCH($A6,IlumaData!$U:$U,0))),"")</f>
        <v/>
      </c>
      <c r="D6" s="31">
        <f>IFERROR(IF(INDEX(IlumaData!$O:$O,MATCH($A6,IlumaData!$U:$U,0))="","",INDEX(IlumaData!$O:$O,MATCH($A6,IlumaData!$U:$U,0))),"")</f>
        <v/>
      </c>
      <c r="E6">
        <f>COUNTIFS(IlumaData!$U:$U,$A6)</f>
        <v/>
      </c>
      <c r="F6">
        <f>COUNTIFS(IlumaData!$U:$U,$A6,IlumaData!$N:$N,"&lt;&gt;")</f>
        <v/>
      </c>
      <c r="G6">
        <f>COUNTIFS(IlumaData!$U:$U,$A6,IlumaData!$N:$N,0)</f>
        <v/>
      </c>
      <c r="H6">
        <f>IF($F6=0,"",$F6-$G6)</f>
        <v/>
      </c>
      <c r="I6">
        <f>IF($F6=0,"",SUMIFS(IlumaData!$N:$N,IlumaData!$U:$U,$A6))</f>
        <v/>
      </c>
      <c r="J6">
        <f>COUNTIFS(IlumaData!$U:$U,$A6,IlumaData!$Q:$Q,"&lt;&gt;")</f>
        <v/>
      </c>
      <c r="K6">
        <f>IF($J6=0,"",SUMIFS(IlumaData!$Q:$Q,IlumaData!$U:$U,$A6))</f>
        <v/>
      </c>
      <c r="L6">
        <f>COUNTIFS(IlumaData!$U:$U,$A6,IlumaData!$M:$M,"&lt;&gt;")</f>
        <v/>
      </c>
      <c r="M6">
        <f>IF($E6=0,"",IF($L6=0,"not loaded","loaded"))</f>
        <v/>
      </c>
      <c r="N6">
        <f>COUNTIFS(IlumaData!$U:$U,$A6,IlumaData!$I:$I,"&lt;&gt;")</f>
        <v/>
      </c>
      <c r="O6">
        <f>IF($E6=0,"",IF($L6=0,"No POS sales have been loaded for this date, so variance cannot be worked out. Import the sales report for this day and it fills in.",IF($N6=0,"This is the first count of these products, so there is no opening figure to sell down from. Variance starts from the next count.",IF($F6-$G6=0,"Physical and POS agree on every product.",($F6-$G6)&amp;" of "&amp;$F6&amp;" products disagree with the POS. Largest first below."))))</f>
        <v/>
      </c>
      <c r="R6" t="n">
        <v>4</v>
      </c>
      <c r="S6">
        <f>IFERROR(INDEX(IlumaData!$G:$G,MATCH($R6,IlumaData!$V:$V,0)),"")</f>
        <v/>
      </c>
      <c r="T6">
        <f>IF(COUNTIFS(IlumaData!$V:$V,$R6,IlumaData!$U:$U,1,IlumaData!$N:$N,"&lt;&gt;")=0,"",SUMIFS(IlumaData!$N:$N,IlumaData!$V:$V,$R6,IlumaData!$U:$U,1))</f>
        <v/>
      </c>
      <c r="U6">
        <f>IF(COUNTIFS(IlumaData!$V:$V,$R6,IlumaData!$U:$U,2,IlumaData!$N:$N,"&lt;&gt;")=0,"",SUMIFS(IlumaData!$N:$N,IlumaData!$V:$V,$R6,IlumaData!$U:$U,2))</f>
        <v/>
      </c>
      <c r="V6">
        <f>IF(COUNTIFS(IlumaData!$V:$V,$R6,IlumaData!$U:$U,3,IlumaData!$N:$N,"&lt;&gt;")=0,"",SUMIFS(IlumaData!$N:$N,IlumaData!$V:$V,$R6,IlumaData!$U:$U,3))</f>
        <v/>
      </c>
      <c r="W6">
        <f>IF(COUNTIFS(IlumaData!$V:$V,$R6,IlumaData!$U:$U,4,IlumaData!$N:$N,"&lt;&gt;")=0,"",SUMIFS(IlumaData!$N:$N,IlumaData!$V:$V,$R6,IlumaData!$U:$U,4))</f>
        <v/>
      </c>
      <c r="X6">
        <f>IF(COUNTIFS(IlumaData!$V:$V,$R6,IlumaData!$U:$U,5,IlumaData!$N:$N,"&lt;&gt;")=0,"",SUMIFS(IlumaData!$N:$N,IlumaData!$V:$V,$R6,IlumaData!$U:$U,5))</f>
        <v/>
      </c>
      <c r="Y6">
        <f>IF(COUNTIFS(IlumaData!$V:$V,$R6,IlumaData!$U:$U,6,IlumaData!$N:$N,"&lt;&gt;")=0,"",SUMIFS(IlumaData!$N:$N,IlumaData!$V:$V,$R6,IlumaData!$U:$U,6))</f>
        <v/>
      </c>
      <c r="Z6">
        <f>IF(COUNTIFS(IlumaData!$V:$V,$R6,IlumaData!$U:$U,7,IlumaData!$N:$N,"&lt;&gt;")=0,"",SUMIFS(IlumaData!$N:$N,IlumaData!$V:$V,$R6,IlumaData!$U:$U,7))</f>
        <v/>
      </c>
      <c r="AA6">
        <f>IF(COUNTIFS(IlumaData!$V:$V,$R6,IlumaData!$U:$U,8,IlumaData!$N:$N,"&lt;&gt;")=0,"",SUMIFS(IlumaData!$N:$N,IlumaData!$V:$V,$R6,IlumaData!$U:$U,8))</f>
        <v/>
      </c>
      <c r="AB6">
        <f>IF(COUNTIFS(IlumaData!$V:$V,$R6,IlumaData!$U:$U,9,IlumaData!$N:$N,"&lt;&gt;")=0,"",SUMIFS(IlumaData!$N:$N,IlumaData!$V:$V,$R6,IlumaData!$U:$U,9))</f>
        <v/>
      </c>
      <c r="AC6">
        <f>IF(COUNTIFS(IlumaData!$V:$V,$R6,IlumaData!$U:$U,10,IlumaData!$N:$N,"&lt;&gt;")=0,"",SUMIFS(IlumaData!$N:$N,IlumaData!$V:$V,$R6,IlumaData!$U:$U,10))</f>
        <v/>
      </c>
      <c r="AD6">
        <f>IF(COUNTIFS(IlumaData!$V:$V,$R6,IlumaData!$U:$U,11,IlumaData!$N:$N,"&lt;&gt;")=0,"",SUMIFS(IlumaData!$N:$N,IlumaData!$V:$V,$R6,IlumaData!$U:$U,11))</f>
        <v/>
      </c>
      <c r="AE6">
        <f>IF(COUNTIFS(IlumaData!$V:$V,$R6,IlumaData!$U:$U,12,IlumaData!$N:$N,"&lt;&gt;")=0,"",SUMIFS(IlumaData!$N:$N,IlumaData!$V:$V,$R6,IlumaData!$U:$U,12))</f>
        <v/>
      </c>
      <c r="AF6">
        <f>IF(COUNTIFS(IlumaData!$V:$V,$R6,IlumaData!$U:$U,13,IlumaData!$N:$N,"&lt;&gt;")=0,"",SUMIFS(IlumaData!$N:$N,IlumaData!$V:$V,$R6,IlumaData!$U:$U,13))</f>
        <v/>
      </c>
      <c r="AG6">
        <f>IF(COUNTIFS(IlumaData!$V:$V,$R6,IlumaData!$U:$U,14,IlumaData!$N:$N,"&lt;&gt;")=0,"",SUMIFS(IlumaData!$N:$N,IlumaData!$V:$V,$R6,IlumaData!$U:$U,14))</f>
        <v/>
      </c>
      <c r="AH6">
        <f>COUNTIFS(IlumaData!$V:$V,$R6,IlumaData!$U:$U,"&lt;="&amp;14,IlumaData!$N:$N,"&lt;&gt;")</f>
        <v/>
      </c>
      <c r="AI6">
        <f>COUNTIFS(IlumaData!$V:$V,$R6,IlumaData!$U:$U,"&lt;="&amp;14,IlumaData!$N:$N,0)</f>
        <v/>
      </c>
      <c r="AJ6">
        <f>IF(AH6=0,"",AH6-AI6)</f>
        <v/>
      </c>
      <c r="AK6">
        <f>IF(AH6=0,"",SUMIFS(IlumaData!$N:$N,IlumaData!$V:$V,$R6,IlumaData!$U:$U,"&lt;="&amp;14))</f>
        <v/>
      </c>
      <c r="AL6">
        <f>IF(AH6=0,"",IF(ABS(MAX(T6:AG6))&gt;=ABS(MIN(T6:AG6)),MAX(T6:AG6),MIN(T6:AG6)))</f>
        <v/>
      </c>
      <c r="AM6">
        <f>IF(AH6=0,-1,AJ6*100000+MIN(ABS(AK6),99999))</f>
        <v/>
      </c>
      <c r="AN6">
        <f>IF($S6="","",1+COUNTIFS($AM$3:$AM$122,"&gt;"&amp;AM6)+COUNTIFS($AM$3:$AM$122,AM6,$R$3:$R$122,"&lt;"&amp;$R6))</f>
        <v/>
      </c>
    </row>
    <row r="7">
      <c r="A7" t="n">
        <v>5</v>
      </c>
      <c r="B7" s="31">
        <f>IFERROR(IF(INDEX(IlumaData!$B:$B,MATCH($A7,IlumaData!$U:$U,0))="","",INDEX(IlumaData!$B:$B,MATCH($A7,IlumaData!$U:$U,0))),"")</f>
        <v/>
      </c>
      <c r="C7">
        <f>IFERROR(IF(INDEX(IlumaData!$D:$D,MATCH($A7,IlumaData!$U:$U,0))="","",INDEX(IlumaData!$D:$D,MATCH($A7,IlumaData!$U:$U,0))),"")</f>
        <v/>
      </c>
      <c r="D7" s="31">
        <f>IFERROR(IF(INDEX(IlumaData!$O:$O,MATCH($A7,IlumaData!$U:$U,0))="","",INDEX(IlumaData!$O:$O,MATCH($A7,IlumaData!$U:$U,0))),"")</f>
        <v/>
      </c>
      <c r="E7">
        <f>COUNTIFS(IlumaData!$U:$U,$A7)</f>
        <v/>
      </c>
      <c r="F7">
        <f>COUNTIFS(IlumaData!$U:$U,$A7,IlumaData!$N:$N,"&lt;&gt;")</f>
        <v/>
      </c>
      <c r="G7">
        <f>COUNTIFS(IlumaData!$U:$U,$A7,IlumaData!$N:$N,0)</f>
        <v/>
      </c>
      <c r="H7">
        <f>IF($F7=0,"",$F7-$G7)</f>
        <v/>
      </c>
      <c r="I7">
        <f>IF($F7=0,"",SUMIFS(IlumaData!$N:$N,IlumaData!$U:$U,$A7))</f>
        <v/>
      </c>
      <c r="J7">
        <f>COUNTIFS(IlumaData!$U:$U,$A7,IlumaData!$Q:$Q,"&lt;&gt;")</f>
        <v/>
      </c>
      <c r="K7">
        <f>IF($J7=0,"",SUMIFS(IlumaData!$Q:$Q,IlumaData!$U:$U,$A7))</f>
        <v/>
      </c>
      <c r="L7">
        <f>COUNTIFS(IlumaData!$U:$U,$A7,IlumaData!$M:$M,"&lt;&gt;")</f>
        <v/>
      </c>
      <c r="M7">
        <f>IF($E7=0,"",IF($L7=0,"not loaded","loaded"))</f>
        <v/>
      </c>
      <c r="N7">
        <f>COUNTIFS(IlumaData!$U:$U,$A7,IlumaData!$I:$I,"&lt;&gt;")</f>
        <v/>
      </c>
      <c r="O7">
        <f>IF($E7=0,"",IF($L7=0,"No POS sales have been loaded for this date, so variance cannot be worked out. Import the sales report for this day and it fills in.",IF($N7=0,"This is the first count of these products, so there is no opening figure to sell down from. Variance starts from the next count.",IF($F7-$G7=0,"Physical and POS agree on every product.",($F7-$G7)&amp;" of "&amp;$F7&amp;" products disagree with the POS. Largest first below."))))</f>
        <v/>
      </c>
      <c r="R7" t="n">
        <v>5</v>
      </c>
      <c r="S7">
        <f>IFERROR(INDEX(IlumaData!$G:$G,MATCH($R7,IlumaData!$V:$V,0)),"")</f>
        <v/>
      </c>
      <c r="T7">
        <f>IF(COUNTIFS(IlumaData!$V:$V,$R7,IlumaData!$U:$U,1,IlumaData!$N:$N,"&lt;&gt;")=0,"",SUMIFS(IlumaData!$N:$N,IlumaData!$V:$V,$R7,IlumaData!$U:$U,1))</f>
        <v/>
      </c>
      <c r="U7">
        <f>IF(COUNTIFS(IlumaData!$V:$V,$R7,IlumaData!$U:$U,2,IlumaData!$N:$N,"&lt;&gt;")=0,"",SUMIFS(IlumaData!$N:$N,IlumaData!$V:$V,$R7,IlumaData!$U:$U,2))</f>
        <v/>
      </c>
      <c r="V7">
        <f>IF(COUNTIFS(IlumaData!$V:$V,$R7,IlumaData!$U:$U,3,IlumaData!$N:$N,"&lt;&gt;")=0,"",SUMIFS(IlumaData!$N:$N,IlumaData!$V:$V,$R7,IlumaData!$U:$U,3))</f>
        <v/>
      </c>
      <c r="W7">
        <f>IF(COUNTIFS(IlumaData!$V:$V,$R7,IlumaData!$U:$U,4,IlumaData!$N:$N,"&lt;&gt;")=0,"",SUMIFS(IlumaData!$N:$N,IlumaData!$V:$V,$R7,IlumaData!$U:$U,4))</f>
        <v/>
      </c>
      <c r="X7">
        <f>IF(COUNTIFS(IlumaData!$V:$V,$R7,IlumaData!$U:$U,5,IlumaData!$N:$N,"&lt;&gt;")=0,"",SUMIFS(IlumaData!$N:$N,IlumaData!$V:$V,$R7,IlumaData!$U:$U,5))</f>
        <v/>
      </c>
      <c r="Y7">
        <f>IF(COUNTIFS(IlumaData!$V:$V,$R7,IlumaData!$U:$U,6,IlumaData!$N:$N,"&lt;&gt;")=0,"",SUMIFS(IlumaData!$N:$N,IlumaData!$V:$V,$R7,IlumaData!$U:$U,6))</f>
        <v/>
      </c>
      <c r="Z7">
        <f>IF(COUNTIFS(IlumaData!$V:$V,$R7,IlumaData!$U:$U,7,IlumaData!$N:$N,"&lt;&gt;")=0,"",SUMIFS(IlumaData!$N:$N,IlumaData!$V:$V,$R7,IlumaData!$U:$U,7))</f>
        <v/>
      </c>
      <c r="AA7">
        <f>IF(COUNTIFS(IlumaData!$V:$V,$R7,IlumaData!$U:$U,8,IlumaData!$N:$N,"&lt;&gt;")=0,"",SUMIFS(IlumaData!$N:$N,IlumaData!$V:$V,$R7,IlumaData!$U:$U,8))</f>
        <v/>
      </c>
      <c r="AB7">
        <f>IF(COUNTIFS(IlumaData!$V:$V,$R7,IlumaData!$U:$U,9,IlumaData!$N:$N,"&lt;&gt;")=0,"",SUMIFS(IlumaData!$N:$N,IlumaData!$V:$V,$R7,IlumaData!$U:$U,9))</f>
        <v/>
      </c>
      <c r="AC7">
        <f>IF(COUNTIFS(IlumaData!$V:$V,$R7,IlumaData!$U:$U,10,IlumaData!$N:$N,"&lt;&gt;")=0,"",SUMIFS(IlumaData!$N:$N,IlumaData!$V:$V,$R7,IlumaData!$U:$U,10))</f>
        <v/>
      </c>
      <c r="AD7">
        <f>IF(COUNTIFS(IlumaData!$V:$V,$R7,IlumaData!$U:$U,11,IlumaData!$N:$N,"&lt;&gt;")=0,"",SUMIFS(IlumaData!$N:$N,IlumaData!$V:$V,$R7,IlumaData!$U:$U,11))</f>
        <v/>
      </c>
      <c r="AE7">
        <f>IF(COUNTIFS(IlumaData!$V:$V,$R7,IlumaData!$U:$U,12,IlumaData!$N:$N,"&lt;&gt;")=0,"",SUMIFS(IlumaData!$N:$N,IlumaData!$V:$V,$R7,IlumaData!$U:$U,12))</f>
        <v/>
      </c>
      <c r="AF7">
        <f>IF(COUNTIFS(IlumaData!$V:$V,$R7,IlumaData!$U:$U,13,IlumaData!$N:$N,"&lt;&gt;")=0,"",SUMIFS(IlumaData!$N:$N,IlumaData!$V:$V,$R7,IlumaData!$U:$U,13))</f>
        <v/>
      </c>
      <c r="AG7">
        <f>IF(COUNTIFS(IlumaData!$V:$V,$R7,IlumaData!$U:$U,14,IlumaData!$N:$N,"&lt;&gt;")=0,"",SUMIFS(IlumaData!$N:$N,IlumaData!$V:$V,$R7,IlumaData!$U:$U,14))</f>
        <v/>
      </c>
      <c r="AH7">
        <f>COUNTIFS(IlumaData!$V:$V,$R7,IlumaData!$U:$U,"&lt;="&amp;14,IlumaData!$N:$N,"&lt;&gt;")</f>
        <v/>
      </c>
      <c r="AI7">
        <f>COUNTIFS(IlumaData!$V:$V,$R7,IlumaData!$U:$U,"&lt;="&amp;14,IlumaData!$N:$N,0)</f>
        <v/>
      </c>
      <c r="AJ7">
        <f>IF(AH7=0,"",AH7-AI7)</f>
        <v/>
      </c>
      <c r="AK7">
        <f>IF(AH7=0,"",SUMIFS(IlumaData!$N:$N,IlumaData!$V:$V,$R7,IlumaData!$U:$U,"&lt;="&amp;14))</f>
        <v/>
      </c>
      <c r="AL7">
        <f>IF(AH7=0,"",IF(ABS(MAX(T7:AG7))&gt;=ABS(MIN(T7:AG7)),MAX(T7:AG7),MIN(T7:AG7)))</f>
        <v/>
      </c>
      <c r="AM7">
        <f>IF(AH7=0,-1,AJ7*100000+MIN(ABS(AK7),99999))</f>
        <v/>
      </c>
      <c r="AN7">
        <f>IF($S7="","",1+COUNTIFS($AM$3:$AM$122,"&gt;"&amp;AM7)+COUNTIFS($AM$3:$AM$122,AM7,$R$3:$R$122,"&lt;"&amp;$R7))</f>
        <v/>
      </c>
    </row>
    <row r="8">
      <c r="A8" t="n">
        <v>6</v>
      </c>
      <c r="B8" s="31">
        <f>IFERROR(IF(INDEX(IlumaData!$B:$B,MATCH($A8,IlumaData!$U:$U,0))="","",INDEX(IlumaData!$B:$B,MATCH($A8,IlumaData!$U:$U,0))),"")</f>
        <v/>
      </c>
      <c r="C8">
        <f>IFERROR(IF(INDEX(IlumaData!$D:$D,MATCH($A8,IlumaData!$U:$U,0))="","",INDEX(IlumaData!$D:$D,MATCH($A8,IlumaData!$U:$U,0))),"")</f>
        <v/>
      </c>
      <c r="D8" s="31">
        <f>IFERROR(IF(INDEX(IlumaData!$O:$O,MATCH($A8,IlumaData!$U:$U,0))="","",INDEX(IlumaData!$O:$O,MATCH($A8,IlumaData!$U:$U,0))),"")</f>
        <v/>
      </c>
      <c r="E8">
        <f>COUNTIFS(IlumaData!$U:$U,$A8)</f>
        <v/>
      </c>
      <c r="F8">
        <f>COUNTIFS(IlumaData!$U:$U,$A8,IlumaData!$N:$N,"&lt;&gt;")</f>
        <v/>
      </c>
      <c r="G8">
        <f>COUNTIFS(IlumaData!$U:$U,$A8,IlumaData!$N:$N,0)</f>
        <v/>
      </c>
      <c r="H8">
        <f>IF($F8=0,"",$F8-$G8)</f>
        <v/>
      </c>
      <c r="I8">
        <f>IF($F8=0,"",SUMIFS(IlumaData!$N:$N,IlumaData!$U:$U,$A8))</f>
        <v/>
      </c>
      <c r="J8">
        <f>COUNTIFS(IlumaData!$U:$U,$A8,IlumaData!$Q:$Q,"&lt;&gt;")</f>
        <v/>
      </c>
      <c r="K8">
        <f>IF($J8=0,"",SUMIFS(IlumaData!$Q:$Q,IlumaData!$U:$U,$A8))</f>
        <v/>
      </c>
      <c r="L8">
        <f>COUNTIFS(IlumaData!$U:$U,$A8,IlumaData!$M:$M,"&lt;&gt;")</f>
        <v/>
      </c>
      <c r="M8">
        <f>IF($E8=0,"",IF($L8=0,"not loaded","loaded"))</f>
        <v/>
      </c>
      <c r="N8">
        <f>COUNTIFS(IlumaData!$U:$U,$A8,IlumaData!$I:$I,"&lt;&gt;")</f>
        <v/>
      </c>
      <c r="O8">
        <f>IF($E8=0,"",IF($L8=0,"No POS sales have been loaded for this date, so variance cannot be worked out. Import the sales report for this day and it fills in.",IF($N8=0,"This is the first count of these products, so there is no opening figure to sell down from. Variance starts from the next count.",IF($F8-$G8=0,"Physical and POS agree on every product.",($F8-$G8)&amp;" of "&amp;$F8&amp;" products disagree with the POS. Largest first below."))))</f>
        <v/>
      </c>
      <c r="R8" t="n">
        <v>6</v>
      </c>
      <c r="S8">
        <f>IFERROR(INDEX(IlumaData!$G:$G,MATCH($R8,IlumaData!$V:$V,0)),"")</f>
        <v/>
      </c>
      <c r="T8">
        <f>IF(COUNTIFS(IlumaData!$V:$V,$R8,IlumaData!$U:$U,1,IlumaData!$N:$N,"&lt;&gt;")=0,"",SUMIFS(IlumaData!$N:$N,IlumaData!$V:$V,$R8,IlumaData!$U:$U,1))</f>
        <v/>
      </c>
      <c r="U8">
        <f>IF(COUNTIFS(IlumaData!$V:$V,$R8,IlumaData!$U:$U,2,IlumaData!$N:$N,"&lt;&gt;")=0,"",SUMIFS(IlumaData!$N:$N,IlumaData!$V:$V,$R8,IlumaData!$U:$U,2))</f>
        <v/>
      </c>
      <c r="V8">
        <f>IF(COUNTIFS(IlumaData!$V:$V,$R8,IlumaData!$U:$U,3,IlumaData!$N:$N,"&lt;&gt;")=0,"",SUMIFS(IlumaData!$N:$N,IlumaData!$V:$V,$R8,IlumaData!$U:$U,3))</f>
        <v/>
      </c>
      <c r="W8">
        <f>IF(COUNTIFS(IlumaData!$V:$V,$R8,IlumaData!$U:$U,4,IlumaData!$N:$N,"&lt;&gt;")=0,"",SUMIFS(IlumaData!$N:$N,IlumaData!$V:$V,$R8,IlumaData!$U:$U,4))</f>
        <v/>
      </c>
      <c r="X8">
        <f>IF(COUNTIFS(IlumaData!$V:$V,$R8,IlumaData!$U:$U,5,IlumaData!$N:$N,"&lt;&gt;")=0,"",SUMIFS(IlumaData!$N:$N,IlumaData!$V:$V,$R8,IlumaData!$U:$U,5))</f>
        <v/>
      </c>
      <c r="Y8">
        <f>IF(COUNTIFS(IlumaData!$V:$V,$R8,IlumaData!$U:$U,6,IlumaData!$N:$N,"&lt;&gt;")=0,"",SUMIFS(IlumaData!$N:$N,IlumaData!$V:$V,$R8,IlumaData!$U:$U,6))</f>
        <v/>
      </c>
      <c r="Z8">
        <f>IF(COUNTIFS(IlumaData!$V:$V,$R8,IlumaData!$U:$U,7,IlumaData!$N:$N,"&lt;&gt;")=0,"",SUMIFS(IlumaData!$N:$N,IlumaData!$V:$V,$R8,IlumaData!$U:$U,7))</f>
        <v/>
      </c>
      <c r="AA8">
        <f>IF(COUNTIFS(IlumaData!$V:$V,$R8,IlumaData!$U:$U,8,IlumaData!$N:$N,"&lt;&gt;")=0,"",SUMIFS(IlumaData!$N:$N,IlumaData!$V:$V,$R8,IlumaData!$U:$U,8))</f>
        <v/>
      </c>
      <c r="AB8">
        <f>IF(COUNTIFS(IlumaData!$V:$V,$R8,IlumaData!$U:$U,9,IlumaData!$N:$N,"&lt;&gt;")=0,"",SUMIFS(IlumaData!$N:$N,IlumaData!$V:$V,$R8,IlumaData!$U:$U,9))</f>
        <v/>
      </c>
      <c r="AC8">
        <f>IF(COUNTIFS(IlumaData!$V:$V,$R8,IlumaData!$U:$U,10,IlumaData!$N:$N,"&lt;&gt;")=0,"",SUMIFS(IlumaData!$N:$N,IlumaData!$V:$V,$R8,IlumaData!$U:$U,10))</f>
        <v/>
      </c>
      <c r="AD8">
        <f>IF(COUNTIFS(IlumaData!$V:$V,$R8,IlumaData!$U:$U,11,IlumaData!$N:$N,"&lt;&gt;")=0,"",SUMIFS(IlumaData!$N:$N,IlumaData!$V:$V,$R8,IlumaData!$U:$U,11))</f>
        <v/>
      </c>
      <c r="AE8">
        <f>IF(COUNTIFS(IlumaData!$V:$V,$R8,IlumaData!$U:$U,12,IlumaData!$N:$N,"&lt;&gt;")=0,"",SUMIFS(IlumaData!$N:$N,IlumaData!$V:$V,$R8,IlumaData!$U:$U,12))</f>
        <v/>
      </c>
      <c r="AF8">
        <f>IF(COUNTIFS(IlumaData!$V:$V,$R8,IlumaData!$U:$U,13,IlumaData!$N:$N,"&lt;&gt;")=0,"",SUMIFS(IlumaData!$N:$N,IlumaData!$V:$V,$R8,IlumaData!$U:$U,13))</f>
        <v/>
      </c>
      <c r="AG8">
        <f>IF(COUNTIFS(IlumaData!$V:$V,$R8,IlumaData!$U:$U,14,IlumaData!$N:$N,"&lt;&gt;")=0,"",SUMIFS(IlumaData!$N:$N,IlumaData!$V:$V,$R8,IlumaData!$U:$U,14))</f>
        <v/>
      </c>
      <c r="AH8">
        <f>COUNTIFS(IlumaData!$V:$V,$R8,IlumaData!$U:$U,"&lt;="&amp;14,IlumaData!$N:$N,"&lt;&gt;")</f>
        <v/>
      </c>
      <c r="AI8">
        <f>COUNTIFS(IlumaData!$V:$V,$R8,IlumaData!$U:$U,"&lt;="&amp;14,IlumaData!$N:$N,0)</f>
        <v/>
      </c>
      <c r="AJ8">
        <f>IF(AH8=0,"",AH8-AI8)</f>
        <v/>
      </c>
      <c r="AK8">
        <f>IF(AH8=0,"",SUMIFS(IlumaData!$N:$N,IlumaData!$V:$V,$R8,IlumaData!$U:$U,"&lt;="&amp;14))</f>
        <v/>
      </c>
      <c r="AL8">
        <f>IF(AH8=0,"",IF(ABS(MAX(T8:AG8))&gt;=ABS(MIN(T8:AG8)),MAX(T8:AG8),MIN(T8:AG8)))</f>
        <v/>
      </c>
      <c r="AM8">
        <f>IF(AH8=0,-1,AJ8*100000+MIN(ABS(AK8),99999))</f>
        <v/>
      </c>
      <c r="AN8">
        <f>IF($S8="","",1+COUNTIFS($AM$3:$AM$122,"&gt;"&amp;AM8)+COUNTIFS($AM$3:$AM$122,AM8,$R$3:$R$122,"&lt;"&amp;$R8))</f>
        <v/>
      </c>
    </row>
    <row r="9">
      <c r="A9" t="n">
        <v>7</v>
      </c>
      <c r="B9" s="31">
        <f>IFERROR(IF(INDEX(IlumaData!$B:$B,MATCH($A9,IlumaData!$U:$U,0))="","",INDEX(IlumaData!$B:$B,MATCH($A9,IlumaData!$U:$U,0))),"")</f>
        <v/>
      </c>
      <c r="C9">
        <f>IFERROR(IF(INDEX(IlumaData!$D:$D,MATCH($A9,IlumaData!$U:$U,0))="","",INDEX(IlumaData!$D:$D,MATCH($A9,IlumaData!$U:$U,0))),"")</f>
        <v/>
      </c>
      <c r="D9" s="31">
        <f>IFERROR(IF(INDEX(IlumaData!$O:$O,MATCH($A9,IlumaData!$U:$U,0))="","",INDEX(IlumaData!$O:$O,MATCH($A9,IlumaData!$U:$U,0))),"")</f>
        <v/>
      </c>
      <c r="E9">
        <f>COUNTIFS(IlumaData!$U:$U,$A9)</f>
        <v/>
      </c>
      <c r="F9">
        <f>COUNTIFS(IlumaData!$U:$U,$A9,IlumaData!$N:$N,"&lt;&gt;")</f>
        <v/>
      </c>
      <c r="G9">
        <f>COUNTIFS(IlumaData!$U:$U,$A9,IlumaData!$N:$N,0)</f>
        <v/>
      </c>
      <c r="H9">
        <f>IF($F9=0,"",$F9-$G9)</f>
        <v/>
      </c>
      <c r="I9">
        <f>IF($F9=0,"",SUMIFS(IlumaData!$N:$N,IlumaData!$U:$U,$A9))</f>
        <v/>
      </c>
      <c r="J9">
        <f>COUNTIFS(IlumaData!$U:$U,$A9,IlumaData!$Q:$Q,"&lt;&gt;")</f>
        <v/>
      </c>
      <c r="K9">
        <f>IF($J9=0,"",SUMIFS(IlumaData!$Q:$Q,IlumaData!$U:$U,$A9))</f>
        <v/>
      </c>
      <c r="L9">
        <f>COUNTIFS(IlumaData!$U:$U,$A9,IlumaData!$M:$M,"&lt;&gt;")</f>
        <v/>
      </c>
      <c r="M9">
        <f>IF($E9=0,"",IF($L9=0,"not loaded","loaded"))</f>
        <v/>
      </c>
      <c r="N9">
        <f>COUNTIFS(IlumaData!$U:$U,$A9,IlumaData!$I:$I,"&lt;&gt;")</f>
        <v/>
      </c>
      <c r="O9">
        <f>IF($E9=0,"",IF($L9=0,"No POS sales have been loaded for this date, so variance cannot be worked out. Import the sales report for this day and it fills in.",IF($N9=0,"This is the first count of these products, so there is no opening figure to sell down from. Variance starts from the next count.",IF($F9-$G9=0,"Physical and POS agree on every product.",($F9-$G9)&amp;" of "&amp;$F9&amp;" products disagree with the POS. Largest first below."))))</f>
        <v/>
      </c>
      <c r="R9" t="n">
        <v>7</v>
      </c>
      <c r="S9">
        <f>IFERROR(INDEX(IlumaData!$G:$G,MATCH($R9,IlumaData!$V:$V,0)),"")</f>
        <v/>
      </c>
      <c r="T9">
        <f>IF(COUNTIFS(IlumaData!$V:$V,$R9,IlumaData!$U:$U,1,IlumaData!$N:$N,"&lt;&gt;")=0,"",SUMIFS(IlumaData!$N:$N,IlumaData!$V:$V,$R9,IlumaData!$U:$U,1))</f>
        <v/>
      </c>
      <c r="U9">
        <f>IF(COUNTIFS(IlumaData!$V:$V,$R9,IlumaData!$U:$U,2,IlumaData!$N:$N,"&lt;&gt;")=0,"",SUMIFS(IlumaData!$N:$N,IlumaData!$V:$V,$R9,IlumaData!$U:$U,2))</f>
        <v/>
      </c>
      <c r="V9">
        <f>IF(COUNTIFS(IlumaData!$V:$V,$R9,IlumaData!$U:$U,3,IlumaData!$N:$N,"&lt;&gt;")=0,"",SUMIFS(IlumaData!$N:$N,IlumaData!$V:$V,$R9,IlumaData!$U:$U,3))</f>
        <v/>
      </c>
      <c r="W9">
        <f>IF(COUNTIFS(IlumaData!$V:$V,$R9,IlumaData!$U:$U,4,IlumaData!$N:$N,"&lt;&gt;")=0,"",SUMIFS(IlumaData!$N:$N,IlumaData!$V:$V,$R9,IlumaData!$U:$U,4))</f>
        <v/>
      </c>
      <c r="X9">
        <f>IF(COUNTIFS(IlumaData!$V:$V,$R9,IlumaData!$U:$U,5,IlumaData!$N:$N,"&lt;&gt;")=0,"",SUMIFS(IlumaData!$N:$N,IlumaData!$V:$V,$R9,IlumaData!$U:$U,5))</f>
        <v/>
      </c>
      <c r="Y9">
        <f>IF(COUNTIFS(IlumaData!$V:$V,$R9,IlumaData!$U:$U,6,IlumaData!$N:$N,"&lt;&gt;")=0,"",SUMIFS(IlumaData!$N:$N,IlumaData!$V:$V,$R9,IlumaData!$U:$U,6))</f>
        <v/>
      </c>
      <c r="Z9">
        <f>IF(COUNTIFS(IlumaData!$V:$V,$R9,IlumaData!$U:$U,7,IlumaData!$N:$N,"&lt;&gt;")=0,"",SUMIFS(IlumaData!$N:$N,IlumaData!$V:$V,$R9,IlumaData!$U:$U,7))</f>
        <v/>
      </c>
      <c r="AA9">
        <f>IF(COUNTIFS(IlumaData!$V:$V,$R9,IlumaData!$U:$U,8,IlumaData!$N:$N,"&lt;&gt;")=0,"",SUMIFS(IlumaData!$N:$N,IlumaData!$V:$V,$R9,IlumaData!$U:$U,8))</f>
        <v/>
      </c>
      <c r="AB9">
        <f>IF(COUNTIFS(IlumaData!$V:$V,$R9,IlumaData!$U:$U,9,IlumaData!$N:$N,"&lt;&gt;")=0,"",SUMIFS(IlumaData!$N:$N,IlumaData!$V:$V,$R9,IlumaData!$U:$U,9))</f>
        <v/>
      </c>
      <c r="AC9">
        <f>IF(COUNTIFS(IlumaData!$V:$V,$R9,IlumaData!$U:$U,10,IlumaData!$N:$N,"&lt;&gt;")=0,"",SUMIFS(IlumaData!$N:$N,IlumaData!$V:$V,$R9,IlumaData!$U:$U,10))</f>
        <v/>
      </c>
      <c r="AD9">
        <f>IF(COUNTIFS(IlumaData!$V:$V,$R9,IlumaData!$U:$U,11,IlumaData!$N:$N,"&lt;&gt;")=0,"",SUMIFS(IlumaData!$N:$N,IlumaData!$V:$V,$R9,IlumaData!$U:$U,11))</f>
        <v/>
      </c>
      <c r="AE9">
        <f>IF(COUNTIFS(IlumaData!$V:$V,$R9,IlumaData!$U:$U,12,IlumaData!$N:$N,"&lt;&gt;")=0,"",SUMIFS(IlumaData!$N:$N,IlumaData!$V:$V,$R9,IlumaData!$U:$U,12))</f>
        <v/>
      </c>
      <c r="AF9">
        <f>IF(COUNTIFS(IlumaData!$V:$V,$R9,IlumaData!$U:$U,13,IlumaData!$N:$N,"&lt;&gt;")=0,"",SUMIFS(IlumaData!$N:$N,IlumaData!$V:$V,$R9,IlumaData!$U:$U,13))</f>
        <v/>
      </c>
      <c r="AG9">
        <f>IF(COUNTIFS(IlumaData!$V:$V,$R9,IlumaData!$U:$U,14,IlumaData!$N:$N,"&lt;&gt;")=0,"",SUMIFS(IlumaData!$N:$N,IlumaData!$V:$V,$R9,IlumaData!$U:$U,14))</f>
        <v/>
      </c>
      <c r="AH9">
        <f>COUNTIFS(IlumaData!$V:$V,$R9,IlumaData!$U:$U,"&lt;="&amp;14,IlumaData!$N:$N,"&lt;&gt;")</f>
        <v/>
      </c>
      <c r="AI9">
        <f>COUNTIFS(IlumaData!$V:$V,$R9,IlumaData!$U:$U,"&lt;="&amp;14,IlumaData!$N:$N,0)</f>
        <v/>
      </c>
      <c r="AJ9">
        <f>IF(AH9=0,"",AH9-AI9)</f>
        <v/>
      </c>
      <c r="AK9">
        <f>IF(AH9=0,"",SUMIFS(IlumaData!$N:$N,IlumaData!$V:$V,$R9,IlumaData!$U:$U,"&lt;="&amp;14))</f>
        <v/>
      </c>
      <c r="AL9">
        <f>IF(AH9=0,"",IF(ABS(MAX(T9:AG9))&gt;=ABS(MIN(T9:AG9)),MAX(T9:AG9),MIN(T9:AG9)))</f>
        <v/>
      </c>
      <c r="AM9">
        <f>IF(AH9=0,-1,AJ9*100000+MIN(ABS(AK9),99999))</f>
        <v/>
      </c>
      <c r="AN9">
        <f>IF($S9="","",1+COUNTIFS($AM$3:$AM$122,"&gt;"&amp;AM9)+COUNTIFS($AM$3:$AM$122,AM9,$R$3:$R$122,"&lt;"&amp;$R9))</f>
        <v/>
      </c>
    </row>
    <row r="10">
      <c r="A10" t="n">
        <v>8</v>
      </c>
      <c r="B10" s="31">
        <f>IFERROR(IF(INDEX(IlumaData!$B:$B,MATCH($A10,IlumaData!$U:$U,0))="","",INDEX(IlumaData!$B:$B,MATCH($A10,IlumaData!$U:$U,0))),"")</f>
        <v/>
      </c>
      <c r="C10">
        <f>IFERROR(IF(INDEX(IlumaData!$D:$D,MATCH($A10,IlumaData!$U:$U,0))="","",INDEX(IlumaData!$D:$D,MATCH($A10,IlumaData!$U:$U,0))),"")</f>
        <v/>
      </c>
      <c r="D10" s="31">
        <f>IFERROR(IF(INDEX(IlumaData!$O:$O,MATCH($A10,IlumaData!$U:$U,0))="","",INDEX(IlumaData!$O:$O,MATCH($A10,IlumaData!$U:$U,0))),"")</f>
        <v/>
      </c>
      <c r="E10">
        <f>COUNTIFS(IlumaData!$U:$U,$A10)</f>
        <v/>
      </c>
      <c r="F10">
        <f>COUNTIFS(IlumaData!$U:$U,$A10,IlumaData!$N:$N,"&lt;&gt;")</f>
        <v/>
      </c>
      <c r="G10">
        <f>COUNTIFS(IlumaData!$U:$U,$A10,IlumaData!$N:$N,0)</f>
        <v/>
      </c>
      <c r="H10">
        <f>IF($F10=0,"",$F10-$G10)</f>
        <v/>
      </c>
      <c r="I10">
        <f>IF($F10=0,"",SUMIFS(IlumaData!$N:$N,IlumaData!$U:$U,$A10))</f>
        <v/>
      </c>
      <c r="J10">
        <f>COUNTIFS(IlumaData!$U:$U,$A10,IlumaData!$Q:$Q,"&lt;&gt;")</f>
        <v/>
      </c>
      <c r="K10">
        <f>IF($J10=0,"",SUMIFS(IlumaData!$Q:$Q,IlumaData!$U:$U,$A10))</f>
        <v/>
      </c>
      <c r="L10">
        <f>COUNTIFS(IlumaData!$U:$U,$A10,IlumaData!$M:$M,"&lt;&gt;")</f>
        <v/>
      </c>
      <c r="M10">
        <f>IF($E10=0,"",IF($L10=0,"not loaded","loaded"))</f>
        <v/>
      </c>
      <c r="N10">
        <f>COUNTIFS(IlumaData!$U:$U,$A10,IlumaData!$I:$I,"&lt;&gt;")</f>
        <v/>
      </c>
      <c r="O10">
        <f>IF($E10=0,"",IF($L10=0,"No POS sales have been loaded for this date, so variance cannot be worked out. Import the sales report for this day and it fills in.",IF($N10=0,"This is the first count of these products, so there is no opening figure to sell down from. Variance starts from the next count.",IF($F10-$G10=0,"Physical and POS agree on every product.",($F10-$G10)&amp;" of "&amp;$F10&amp;" products disagree with the POS. Largest first below."))))</f>
        <v/>
      </c>
      <c r="R10" t="n">
        <v>8</v>
      </c>
      <c r="S10">
        <f>IFERROR(INDEX(IlumaData!$G:$G,MATCH($R10,IlumaData!$V:$V,0)),"")</f>
        <v/>
      </c>
      <c r="T10">
        <f>IF(COUNTIFS(IlumaData!$V:$V,$R10,IlumaData!$U:$U,1,IlumaData!$N:$N,"&lt;&gt;")=0,"",SUMIFS(IlumaData!$N:$N,IlumaData!$V:$V,$R10,IlumaData!$U:$U,1))</f>
        <v/>
      </c>
      <c r="U10">
        <f>IF(COUNTIFS(IlumaData!$V:$V,$R10,IlumaData!$U:$U,2,IlumaData!$N:$N,"&lt;&gt;")=0,"",SUMIFS(IlumaData!$N:$N,IlumaData!$V:$V,$R10,IlumaData!$U:$U,2))</f>
        <v/>
      </c>
      <c r="V10">
        <f>IF(COUNTIFS(IlumaData!$V:$V,$R10,IlumaData!$U:$U,3,IlumaData!$N:$N,"&lt;&gt;")=0,"",SUMIFS(IlumaData!$N:$N,IlumaData!$V:$V,$R10,IlumaData!$U:$U,3))</f>
        <v/>
      </c>
      <c r="W10">
        <f>IF(COUNTIFS(IlumaData!$V:$V,$R10,IlumaData!$U:$U,4,IlumaData!$N:$N,"&lt;&gt;")=0,"",SUMIFS(IlumaData!$N:$N,IlumaData!$V:$V,$R10,IlumaData!$U:$U,4))</f>
        <v/>
      </c>
      <c r="X10">
        <f>IF(COUNTIFS(IlumaData!$V:$V,$R10,IlumaData!$U:$U,5,IlumaData!$N:$N,"&lt;&gt;")=0,"",SUMIFS(IlumaData!$N:$N,IlumaData!$V:$V,$R10,IlumaData!$U:$U,5))</f>
        <v/>
      </c>
      <c r="Y10">
        <f>IF(COUNTIFS(IlumaData!$V:$V,$R10,IlumaData!$U:$U,6,IlumaData!$N:$N,"&lt;&gt;")=0,"",SUMIFS(IlumaData!$N:$N,IlumaData!$V:$V,$R10,IlumaData!$U:$U,6))</f>
        <v/>
      </c>
      <c r="Z10">
        <f>IF(COUNTIFS(IlumaData!$V:$V,$R10,IlumaData!$U:$U,7,IlumaData!$N:$N,"&lt;&gt;")=0,"",SUMIFS(IlumaData!$N:$N,IlumaData!$V:$V,$R10,IlumaData!$U:$U,7))</f>
        <v/>
      </c>
      <c r="AA10">
        <f>IF(COUNTIFS(IlumaData!$V:$V,$R10,IlumaData!$U:$U,8,IlumaData!$N:$N,"&lt;&gt;")=0,"",SUMIFS(IlumaData!$N:$N,IlumaData!$V:$V,$R10,IlumaData!$U:$U,8))</f>
        <v/>
      </c>
      <c r="AB10">
        <f>IF(COUNTIFS(IlumaData!$V:$V,$R10,IlumaData!$U:$U,9,IlumaData!$N:$N,"&lt;&gt;")=0,"",SUMIFS(IlumaData!$N:$N,IlumaData!$V:$V,$R10,IlumaData!$U:$U,9))</f>
        <v/>
      </c>
      <c r="AC10">
        <f>IF(COUNTIFS(IlumaData!$V:$V,$R10,IlumaData!$U:$U,10,IlumaData!$N:$N,"&lt;&gt;")=0,"",SUMIFS(IlumaData!$N:$N,IlumaData!$V:$V,$R10,IlumaData!$U:$U,10))</f>
        <v/>
      </c>
      <c r="AD10">
        <f>IF(COUNTIFS(IlumaData!$V:$V,$R10,IlumaData!$U:$U,11,IlumaData!$N:$N,"&lt;&gt;")=0,"",SUMIFS(IlumaData!$N:$N,IlumaData!$V:$V,$R10,IlumaData!$U:$U,11))</f>
        <v/>
      </c>
      <c r="AE10">
        <f>IF(COUNTIFS(IlumaData!$V:$V,$R10,IlumaData!$U:$U,12,IlumaData!$N:$N,"&lt;&gt;")=0,"",SUMIFS(IlumaData!$N:$N,IlumaData!$V:$V,$R10,IlumaData!$U:$U,12))</f>
        <v/>
      </c>
      <c r="AF10">
        <f>IF(COUNTIFS(IlumaData!$V:$V,$R10,IlumaData!$U:$U,13,IlumaData!$N:$N,"&lt;&gt;")=0,"",SUMIFS(IlumaData!$N:$N,IlumaData!$V:$V,$R10,IlumaData!$U:$U,13))</f>
        <v/>
      </c>
      <c r="AG10">
        <f>IF(COUNTIFS(IlumaData!$V:$V,$R10,IlumaData!$U:$U,14,IlumaData!$N:$N,"&lt;&gt;")=0,"",SUMIFS(IlumaData!$N:$N,IlumaData!$V:$V,$R10,IlumaData!$U:$U,14))</f>
        <v/>
      </c>
      <c r="AH10">
        <f>COUNTIFS(IlumaData!$V:$V,$R10,IlumaData!$U:$U,"&lt;="&amp;14,IlumaData!$N:$N,"&lt;&gt;")</f>
        <v/>
      </c>
      <c r="AI10">
        <f>COUNTIFS(IlumaData!$V:$V,$R10,IlumaData!$U:$U,"&lt;="&amp;14,IlumaData!$N:$N,0)</f>
        <v/>
      </c>
      <c r="AJ10">
        <f>IF(AH10=0,"",AH10-AI10)</f>
        <v/>
      </c>
      <c r="AK10">
        <f>IF(AH10=0,"",SUMIFS(IlumaData!$N:$N,IlumaData!$V:$V,$R10,IlumaData!$U:$U,"&lt;="&amp;14))</f>
        <v/>
      </c>
      <c r="AL10">
        <f>IF(AH10=0,"",IF(ABS(MAX(T10:AG10))&gt;=ABS(MIN(T10:AG10)),MAX(T10:AG10),MIN(T10:AG10)))</f>
        <v/>
      </c>
      <c r="AM10">
        <f>IF(AH10=0,-1,AJ10*100000+MIN(ABS(AK10),99999))</f>
        <v/>
      </c>
      <c r="AN10">
        <f>IF($S10="","",1+COUNTIFS($AM$3:$AM$122,"&gt;"&amp;AM10)+COUNTIFS($AM$3:$AM$122,AM10,$R$3:$R$122,"&lt;"&amp;$R10))</f>
        <v/>
      </c>
    </row>
    <row r="11">
      <c r="A11" t="n">
        <v>9</v>
      </c>
      <c r="B11" s="31">
        <f>IFERROR(IF(INDEX(IlumaData!$B:$B,MATCH($A11,IlumaData!$U:$U,0))="","",INDEX(IlumaData!$B:$B,MATCH($A11,IlumaData!$U:$U,0))),"")</f>
        <v/>
      </c>
      <c r="C11">
        <f>IFERROR(IF(INDEX(IlumaData!$D:$D,MATCH($A11,IlumaData!$U:$U,0))="","",INDEX(IlumaData!$D:$D,MATCH($A11,IlumaData!$U:$U,0))),"")</f>
        <v/>
      </c>
      <c r="D11" s="31">
        <f>IFERROR(IF(INDEX(IlumaData!$O:$O,MATCH($A11,IlumaData!$U:$U,0))="","",INDEX(IlumaData!$O:$O,MATCH($A11,IlumaData!$U:$U,0))),"")</f>
        <v/>
      </c>
      <c r="E11">
        <f>COUNTIFS(IlumaData!$U:$U,$A11)</f>
        <v/>
      </c>
      <c r="F11">
        <f>COUNTIFS(IlumaData!$U:$U,$A11,IlumaData!$N:$N,"&lt;&gt;")</f>
        <v/>
      </c>
      <c r="G11">
        <f>COUNTIFS(IlumaData!$U:$U,$A11,IlumaData!$N:$N,0)</f>
        <v/>
      </c>
      <c r="H11">
        <f>IF($F11=0,"",$F11-$G11)</f>
        <v/>
      </c>
      <c r="I11">
        <f>IF($F11=0,"",SUMIFS(IlumaData!$N:$N,IlumaData!$U:$U,$A11))</f>
        <v/>
      </c>
      <c r="J11">
        <f>COUNTIFS(IlumaData!$U:$U,$A11,IlumaData!$Q:$Q,"&lt;&gt;")</f>
        <v/>
      </c>
      <c r="K11">
        <f>IF($J11=0,"",SUMIFS(IlumaData!$Q:$Q,IlumaData!$U:$U,$A11))</f>
        <v/>
      </c>
      <c r="L11">
        <f>COUNTIFS(IlumaData!$U:$U,$A11,IlumaData!$M:$M,"&lt;&gt;")</f>
        <v/>
      </c>
      <c r="M11">
        <f>IF($E11=0,"",IF($L11=0,"not loaded","loaded"))</f>
        <v/>
      </c>
      <c r="N11">
        <f>COUNTIFS(IlumaData!$U:$U,$A11,IlumaData!$I:$I,"&lt;&gt;")</f>
        <v/>
      </c>
      <c r="O11">
        <f>IF($E11=0,"",IF($L11=0,"No POS sales have been loaded for this date, so variance cannot be worked out. Import the sales report for this day and it fills in.",IF($N11=0,"This is the first count of these products, so there is no opening figure to sell down from. Variance starts from the next count.",IF($F11-$G11=0,"Physical and POS agree on every product.",($F11-$G11)&amp;" of "&amp;$F11&amp;" products disagree with the POS. Largest first below."))))</f>
        <v/>
      </c>
      <c r="R11" t="n">
        <v>9</v>
      </c>
      <c r="S11">
        <f>IFERROR(INDEX(IlumaData!$G:$G,MATCH($R11,IlumaData!$V:$V,0)),"")</f>
        <v/>
      </c>
      <c r="T11">
        <f>IF(COUNTIFS(IlumaData!$V:$V,$R11,IlumaData!$U:$U,1,IlumaData!$N:$N,"&lt;&gt;")=0,"",SUMIFS(IlumaData!$N:$N,IlumaData!$V:$V,$R11,IlumaData!$U:$U,1))</f>
        <v/>
      </c>
      <c r="U11">
        <f>IF(COUNTIFS(IlumaData!$V:$V,$R11,IlumaData!$U:$U,2,IlumaData!$N:$N,"&lt;&gt;")=0,"",SUMIFS(IlumaData!$N:$N,IlumaData!$V:$V,$R11,IlumaData!$U:$U,2))</f>
        <v/>
      </c>
      <c r="V11">
        <f>IF(COUNTIFS(IlumaData!$V:$V,$R11,IlumaData!$U:$U,3,IlumaData!$N:$N,"&lt;&gt;")=0,"",SUMIFS(IlumaData!$N:$N,IlumaData!$V:$V,$R11,IlumaData!$U:$U,3))</f>
        <v/>
      </c>
      <c r="W11">
        <f>IF(COUNTIFS(IlumaData!$V:$V,$R11,IlumaData!$U:$U,4,IlumaData!$N:$N,"&lt;&gt;")=0,"",SUMIFS(IlumaData!$N:$N,IlumaData!$V:$V,$R11,IlumaData!$U:$U,4))</f>
        <v/>
      </c>
      <c r="X11">
        <f>IF(COUNTIFS(IlumaData!$V:$V,$R11,IlumaData!$U:$U,5,IlumaData!$N:$N,"&lt;&gt;")=0,"",SUMIFS(IlumaData!$N:$N,IlumaData!$V:$V,$R11,IlumaData!$U:$U,5))</f>
        <v/>
      </c>
      <c r="Y11">
        <f>IF(COUNTIFS(IlumaData!$V:$V,$R11,IlumaData!$U:$U,6,IlumaData!$N:$N,"&lt;&gt;")=0,"",SUMIFS(IlumaData!$N:$N,IlumaData!$V:$V,$R11,IlumaData!$U:$U,6))</f>
        <v/>
      </c>
      <c r="Z11">
        <f>IF(COUNTIFS(IlumaData!$V:$V,$R11,IlumaData!$U:$U,7,IlumaData!$N:$N,"&lt;&gt;")=0,"",SUMIFS(IlumaData!$N:$N,IlumaData!$V:$V,$R11,IlumaData!$U:$U,7))</f>
        <v/>
      </c>
      <c r="AA11">
        <f>IF(COUNTIFS(IlumaData!$V:$V,$R11,IlumaData!$U:$U,8,IlumaData!$N:$N,"&lt;&gt;")=0,"",SUMIFS(IlumaData!$N:$N,IlumaData!$V:$V,$R11,IlumaData!$U:$U,8))</f>
        <v/>
      </c>
      <c r="AB11">
        <f>IF(COUNTIFS(IlumaData!$V:$V,$R11,IlumaData!$U:$U,9,IlumaData!$N:$N,"&lt;&gt;")=0,"",SUMIFS(IlumaData!$N:$N,IlumaData!$V:$V,$R11,IlumaData!$U:$U,9))</f>
        <v/>
      </c>
      <c r="AC11">
        <f>IF(COUNTIFS(IlumaData!$V:$V,$R11,IlumaData!$U:$U,10,IlumaData!$N:$N,"&lt;&gt;")=0,"",SUMIFS(IlumaData!$N:$N,IlumaData!$V:$V,$R11,IlumaData!$U:$U,10))</f>
        <v/>
      </c>
      <c r="AD11">
        <f>IF(COUNTIFS(IlumaData!$V:$V,$R11,IlumaData!$U:$U,11,IlumaData!$N:$N,"&lt;&gt;")=0,"",SUMIFS(IlumaData!$N:$N,IlumaData!$V:$V,$R11,IlumaData!$U:$U,11))</f>
        <v/>
      </c>
      <c r="AE11">
        <f>IF(COUNTIFS(IlumaData!$V:$V,$R11,IlumaData!$U:$U,12,IlumaData!$N:$N,"&lt;&gt;")=0,"",SUMIFS(IlumaData!$N:$N,IlumaData!$V:$V,$R11,IlumaData!$U:$U,12))</f>
        <v/>
      </c>
      <c r="AF11">
        <f>IF(COUNTIFS(IlumaData!$V:$V,$R11,IlumaData!$U:$U,13,IlumaData!$N:$N,"&lt;&gt;")=0,"",SUMIFS(IlumaData!$N:$N,IlumaData!$V:$V,$R11,IlumaData!$U:$U,13))</f>
        <v/>
      </c>
      <c r="AG11">
        <f>IF(COUNTIFS(IlumaData!$V:$V,$R11,IlumaData!$U:$U,14,IlumaData!$N:$N,"&lt;&gt;")=0,"",SUMIFS(IlumaData!$N:$N,IlumaData!$V:$V,$R11,IlumaData!$U:$U,14))</f>
        <v/>
      </c>
      <c r="AH11">
        <f>COUNTIFS(IlumaData!$V:$V,$R11,IlumaData!$U:$U,"&lt;="&amp;14,IlumaData!$N:$N,"&lt;&gt;")</f>
        <v/>
      </c>
      <c r="AI11">
        <f>COUNTIFS(IlumaData!$V:$V,$R11,IlumaData!$U:$U,"&lt;="&amp;14,IlumaData!$N:$N,0)</f>
        <v/>
      </c>
      <c r="AJ11">
        <f>IF(AH11=0,"",AH11-AI11)</f>
        <v/>
      </c>
      <c r="AK11">
        <f>IF(AH11=0,"",SUMIFS(IlumaData!$N:$N,IlumaData!$V:$V,$R11,IlumaData!$U:$U,"&lt;="&amp;14))</f>
        <v/>
      </c>
      <c r="AL11">
        <f>IF(AH11=0,"",IF(ABS(MAX(T11:AG11))&gt;=ABS(MIN(T11:AG11)),MAX(T11:AG11),MIN(T11:AG11)))</f>
        <v/>
      </c>
      <c r="AM11">
        <f>IF(AH11=0,-1,AJ11*100000+MIN(ABS(AK11),99999))</f>
        <v/>
      </c>
      <c r="AN11">
        <f>IF($S11="","",1+COUNTIFS($AM$3:$AM$122,"&gt;"&amp;AM11)+COUNTIFS($AM$3:$AM$122,AM11,$R$3:$R$122,"&lt;"&amp;$R11))</f>
        <v/>
      </c>
    </row>
    <row r="12">
      <c r="A12" t="n">
        <v>10</v>
      </c>
      <c r="B12" s="31">
        <f>IFERROR(IF(INDEX(IlumaData!$B:$B,MATCH($A12,IlumaData!$U:$U,0))="","",INDEX(IlumaData!$B:$B,MATCH($A12,IlumaData!$U:$U,0))),"")</f>
        <v/>
      </c>
      <c r="C12">
        <f>IFERROR(IF(INDEX(IlumaData!$D:$D,MATCH($A12,IlumaData!$U:$U,0))="","",INDEX(IlumaData!$D:$D,MATCH($A12,IlumaData!$U:$U,0))),"")</f>
        <v/>
      </c>
      <c r="D12" s="31">
        <f>IFERROR(IF(INDEX(IlumaData!$O:$O,MATCH($A12,IlumaData!$U:$U,0))="","",INDEX(IlumaData!$O:$O,MATCH($A12,IlumaData!$U:$U,0))),"")</f>
        <v/>
      </c>
      <c r="E12">
        <f>COUNTIFS(IlumaData!$U:$U,$A12)</f>
        <v/>
      </c>
      <c r="F12">
        <f>COUNTIFS(IlumaData!$U:$U,$A12,IlumaData!$N:$N,"&lt;&gt;")</f>
        <v/>
      </c>
      <c r="G12">
        <f>COUNTIFS(IlumaData!$U:$U,$A12,IlumaData!$N:$N,0)</f>
        <v/>
      </c>
      <c r="H12">
        <f>IF($F12=0,"",$F12-$G12)</f>
        <v/>
      </c>
      <c r="I12">
        <f>IF($F12=0,"",SUMIFS(IlumaData!$N:$N,IlumaData!$U:$U,$A12))</f>
        <v/>
      </c>
      <c r="J12">
        <f>COUNTIFS(IlumaData!$U:$U,$A12,IlumaData!$Q:$Q,"&lt;&gt;")</f>
        <v/>
      </c>
      <c r="K12">
        <f>IF($J12=0,"",SUMIFS(IlumaData!$Q:$Q,IlumaData!$U:$U,$A12))</f>
        <v/>
      </c>
      <c r="L12">
        <f>COUNTIFS(IlumaData!$U:$U,$A12,IlumaData!$M:$M,"&lt;&gt;")</f>
        <v/>
      </c>
      <c r="M12">
        <f>IF($E12=0,"",IF($L12=0,"not loaded","loaded"))</f>
        <v/>
      </c>
      <c r="N12">
        <f>COUNTIFS(IlumaData!$U:$U,$A12,IlumaData!$I:$I,"&lt;&gt;")</f>
        <v/>
      </c>
      <c r="O12">
        <f>IF($E12=0,"",IF($L12=0,"No POS sales have been loaded for this date, so variance cannot be worked out. Import the sales report for this day and it fills in.",IF($N12=0,"This is the first count of these products, so there is no opening figure to sell down from. Variance starts from the next count.",IF($F12-$G12=0,"Physical and POS agree on every product.",($F12-$G12)&amp;" of "&amp;$F12&amp;" products disagree with the POS. Largest first below."))))</f>
        <v/>
      </c>
      <c r="R12" t="n">
        <v>10</v>
      </c>
      <c r="S12">
        <f>IFERROR(INDEX(IlumaData!$G:$G,MATCH($R12,IlumaData!$V:$V,0)),"")</f>
        <v/>
      </c>
      <c r="T12">
        <f>IF(COUNTIFS(IlumaData!$V:$V,$R12,IlumaData!$U:$U,1,IlumaData!$N:$N,"&lt;&gt;")=0,"",SUMIFS(IlumaData!$N:$N,IlumaData!$V:$V,$R12,IlumaData!$U:$U,1))</f>
        <v/>
      </c>
      <c r="U12">
        <f>IF(COUNTIFS(IlumaData!$V:$V,$R12,IlumaData!$U:$U,2,IlumaData!$N:$N,"&lt;&gt;")=0,"",SUMIFS(IlumaData!$N:$N,IlumaData!$V:$V,$R12,IlumaData!$U:$U,2))</f>
        <v/>
      </c>
      <c r="V12">
        <f>IF(COUNTIFS(IlumaData!$V:$V,$R12,IlumaData!$U:$U,3,IlumaData!$N:$N,"&lt;&gt;")=0,"",SUMIFS(IlumaData!$N:$N,IlumaData!$V:$V,$R12,IlumaData!$U:$U,3))</f>
        <v/>
      </c>
      <c r="W12">
        <f>IF(COUNTIFS(IlumaData!$V:$V,$R12,IlumaData!$U:$U,4,IlumaData!$N:$N,"&lt;&gt;")=0,"",SUMIFS(IlumaData!$N:$N,IlumaData!$V:$V,$R12,IlumaData!$U:$U,4))</f>
        <v/>
      </c>
      <c r="X12">
        <f>IF(COUNTIFS(IlumaData!$V:$V,$R12,IlumaData!$U:$U,5,IlumaData!$N:$N,"&lt;&gt;")=0,"",SUMIFS(IlumaData!$N:$N,IlumaData!$V:$V,$R12,IlumaData!$U:$U,5))</f>
        <v/>
      </c>
      <c r="Y12">
        <f>IF(COUNTIFS(IlumaData!$V:$V,$R12,IlumaData!$U:$U,6,IlumaData!$N:$N,"&lt;&gt;")=0,"",SUMIFS(IlumaData!$N:$N,IlumaData!$V:$V,$R12,IlumaData!$U:$U,6))</f>
        <v/>
      </c>
      <c r="Z12">
        <f>IF(COUNTIFS(IlumaData!$V:$V,$R12,IlumaData!$U:$U,7,IlumaData!$N:$N,"&lt;&gt;")=0,"",SUMIFS(IlumaData!$N:$N,IlumaData!$V:$V,$R12,IlumaData!$U:$U,7))</f>
        <v/>
      </c>
      <c r="AA12">
        <f>IF(COUNTIFS(IlumaData!$V:$V,$R12,IlumaData!$U:$U,8,IlumaData!$N:$N,"&lt;&gt;")=0,"",SUMIFS(IlumaData!$N:$N,IlumaData!$V:$V,$R12,IlumaData!$U:$U,8))</f>
        <v/>
      </c>
      <c r="AB12">
        <f>IF(COUNTIFS(IlumaData!$V:$V,$R12,IlumaData!$U:$U,9,IlumaData!$N:$N,"&lt;&gt;")=0,"",SUMIFS(IlumaData!$N:$N,IlumaData!$V:$V,$R12,IlumaData!$U:$U,9))</f>
        <v/>
      </c>
      <c r="AC12">
        <f>IF(COUNTIFS(IlumaData!$V:$V,$R12,IlumaData!$U:$U,10,IlumaData!$N:$N,"&lt;&gt;")=0,"",SUMIFS(IlumaData!$N:$N,IlumaData!$V:$V,$R12,IlumaData!$U:$U,10))</f>
        <v/>
      </c>
      <c r="AD12">
        <f>IF(COUNTIFS(IlumaData!$V:$V,$R12,IlumaData!$U:$U,11,IlumaData!$N:$N,"&lt;&gt;")=0,"",SUMIFS(IlumaData!$N:$N,IlumaData!$V:$V,$R12,IlumaData!$U:$U,11))</f>
        <v/>
      </c>
      <c r="AE12">
        <f>IF(COUNTIFS(IlumaData!$V:$V,$R12,IlumaData!$U:$U,12,IlumaData!$N:$N,"&lt;&gt;")=0,"",SUMIFS(IlumaData!$N:$N,IlumaData!$V:$V,$R12,IlumaData!$U:$U,12))</f>
        <v/>
      </c>
      <c r="AF12">
        <f>IF(COUNTIFS(IlumaData!$V:$V,$R12,IlumaData!$U:$U,13,IlumaData!$N:$N,"&lt;&gt;")=0,"",SUMIFS(IlumaData!$N:$N,IlumaData!$V:$V,$R12,IlumaData!$U:$U,13))</f>
        <v/>
      </c>
      <c r="AG12">
        <f>IF(COUNTIFS(IlumaData!$V:$V,$R12,IlumaData!$U:$U,14,IlumaData!$N:$N,"&lt;&gt;")=0,"",SUMIFS(IlumaData!$N:$N,IlumaData!$V:$V,$R12,IlumaData!$U:$U,14))</f>
        <v/>
      </c>
      <c r="AH12">
        <f>COUNTIFS(IlumaData!$V:$V,$R12,IlumaData!$U:$U,"&lt;="&amp;14,IlumaData!$N:$N,"&lt;&gt;")</f>
        <v/>
      </c>
      <c r="AI12">
        <f>COUNTIFS(IlumaData!$V:$V,$R12,IlumaData!$U:$U,"&lt;="&amp;14,IlumaData!$N:$N,0)</f>
        <v/>
      </c>
      <c r="AJ12">
        <f>IF(AH12=0,"",AH12-AI12)</f>
        <v/>
      </c>
      <c r="AK12">
        <f>IF(AH12=0,"",SUMIFS(IlumaData!$N:$N,IlumaData!$V:$V,$R12,IlumaData!$U:$U,"&lt;="&amp;14))</f>
        <v/>
      </c>
      <c r="AL12">
        <f>IF(AH12=0,"",IF(ABS(MAX(T12:AG12))&gt;=ABS(MIN(T12:AG12)),MAX(T12:AG12),MIN(T12:AG12)))</f>
        <v/>
      </c>
      <c r="AM12">
        <f>IF(AH12=0,-1,AJ12*100000+MIN(ABS(AK12),99999))</f>
        <v/>
      </c>
      <c r="AN12">
        <f>IF($S12="","",1+COUNTIFS($AM$3:$AM$122,"&gt;"&amp;AM12)+COUNTIFS($AM$3:$AM$122,AM12,$R$3:$R$122,"&lt;"&amp;$R12))</f>
        <v/>
      </c>
    </row>
    <row r="13">
      <c r="A13" t="n">
        <v>11</v>
      </c>
      <c r="B13" s="31">
        <f>IFERROR(IF(INDEX(IlumaData!$B:$B,MATCH($A13,IlumaData!$U:$U,0))="","",INDEX(IlumaData!$B:$B,MATCH($A13,IlumaData!$U:$U,0))),"")</f>
        <v/>
      </c>
      <c r="C13">
        <f>IFERROR(IF(INDEX(IlumaData!$D:$D,MATCH($A13,IlumaData!$U:$U,0))="","",INDEX(IlumaData!$D:$D,MATCH($A13,IlumaData!$U:$U,0))),"")</f>
        <v/>
      </c>
      <c r="D13" s="31">
        <f>IFERROR(IF(INDEX(IlumaData!$O:$O,MATCH($A13,IlumaData!$U:$U,0))="","",INDEX(IlumaData!$O:$O,MATCH($A13,IlumaData!$U:$U,0))),"")</f>
        <v/>
      </c>
      <c r="E13">
        <f>COUNTIFS(IlumaData!$U:$U,$A13)</f>
        <v/>
      </c>
      <c r="F13">
        <f>COUNTIFS(IlumaData!$U:$U,$A13,IlumaData!$N:$N,"&lt;&gt;")</f>
        <v/>
      </c>
      <c r="G13">
        <f>COUNTIFS(IlumaData!$U:$U,$A13,IlumaData!$N:$N,0)</f>
        <v/>
      </c>
      <c r="H13">
        <f>IF($F13=0,"",$F13-$G13)</f>
        <v/>
      </c>
      <c r="I13">
        <f>IF($F13=0,"",SUMIFS(IlumaData!$N:$N,IlumaData!$U:$U,$A13))</f>
        <v/>
      </c>
      <c r="J13">
        <f>COUNTIFS(IlumaData!$U:$U,$A13,IlumaData!$Q:$Q,"&lt;&gt;")</f>
        <v/>
      </c>
      <c r="K13">
        <f>IF($J13=0,"",SUMIFS(IlumaData!$Q:$Q,IlumaData!$U:$U,$A13))</f>
        <v/>
      </c>
      <c r="L13">
        <f>COUNTIFS(IlumaData!$U:$U,$A13,IlumaData!$M:$M,"&lt;&gt;")</f>
        <v/>
      </c>
      <c r="M13">
        <f>IF($E13=0,"",IF($L13=0,"not loaded","loaded"))</f>
        <v/>
      </c>
      <c r="N13">
        <f>COUNTIFS(IlumaData!$U:$U,$A13,IlumaData!$I:$I,"&lt;&gt;")</f>
        <v/>
      </c>
      <c r="O13">
        <f>IF($E13=0,"",IF($L13=0,"No POS sales have been loaded for this date, so variance cannot be worked out. Import the sales report for this day and it fills in.",IF($N13=0,"This is the first count of these products, so there is no opening figure to sell down from. Variance starts from the next count.",IF($F13-$G13=0,"Physical and POS agree on every product.",($F13-$G13)&amp;" of "&amp;$F13&amp;" products disagree with the POS. Largest first below."))))</f>
        <v/>
      </c>
      <c r="R13" t="n">
        <v>11</v>
      </c>
      <c r="S13">
        <f>IFERROR(INDEX(IlumaData!$G:$G,MATCH($R13,IlumaData!$V:$V,0)),"")</f>
        <v/>
      </c>
      <c r="T13">
        <f>IF(COUNTIFS(IlumaData!$V:$V,$R13,IlumaData!$U:$U,1,IlumaData!$N:$N,"&lt;&gt;")=0,"",SUMIFS(IlumaData!$N:$N,IlumaData!$V:$V,$R13,IlumaData!$U:$U,1))</f>
        <v/>
      </c>
      <c r="U13">
        <f>IF(COUNTIFS(IlumaData!$V:$V,$R13,IlumaData!$U:$U,2,IlumaData!$N:$N,"&lt;&gt;")=0,"",SUMIFS(IlumaData!$N:$N,IlumaData!$V:$V,$R13,IlumaData!$U:$U,2))</f>
        <v/>
      </c>
      <c r="V13">
        <f>IF(COUNTIFS(IlumaData!$V:$V,$R13,IlumaData!$U:$U,3,IlumaData!$N:$N,"&lt;&gt;")=0,"",SUMIFS(IlumaData!$N:$N,IlumaData!$V:$V,$R13,IlumaData!$U:$U,3))</f>
        <v/>
      </c>
      <c r="W13">
        <f>IF(COUNTIFS(IlumaData!$V:$V,$R13,IlumaData!$U:$U,4,IlumaData!$N:$N,"&lt;&gt;")=0,"",SUMIFS(IlumaData!$N:$N,IlumaData!$V:$V,$R13,IlumaData!$U:$U,4))</f>
        <v/>
      </c>
      <c r="X13">
        <f>IF(COUNTIFS(IlumaData!$V:$V,$R13,IlumaData!$U:$U,5,IlumaData!$N:$N,"&lt;&gt;")=0,"",SUMIFS(IlumaData!$N:$N,IlumaData!$V:$V,$R13,IlumaData!$U:$U,5))</f>
        <v/>
      </c>
      <c r="Y13">
        <f>IF(COUNTIFS(IlumaData!$V:$V,$R13,IlumaData!$U:$U,6,IlumaData!$N:$N,"&lt;&gt;")=0,"",SUMIFS(IlumaData!$N:$N,IlumaData!$V:$V,$R13,IlumaData!$U:$U,6))</f>
        <v/>
      </c>
      <c r="Z13">
        <f>IF(COUNTIFS(IlumaData!$V:$V,$R13,IlumaData!$U:$U,7,IlumaData!$N:$N,"&lt;&gt;")=0,"",SUMIFS(IlumaData!$N:$N,IlumaData!$V:$V,$R13,IlumaData!$U:$U,7))</f>
        <v/>
      </c>
      <c r="AA13">
        <f>IF(COUNTIFS(IlumaData!$V:$V,$R13,IlumaData!$U:$U,8,IlumaData!$N:$N,"&lt;&gt;")=0,"",SUMIFS(IlumaData!$N:$N,IlumaData!$V:$V,$R13,IlumaData!$U:$U,8))</f>
        <v/>
      </c>
      <c r="AB13">
        <f>IF(COUNTIFS(IlumaData!$V:$V,$R13,IlumaData!$U:$U,9,IlumaData!$N:$N,"&lt;&gt;")=0,"",SUMIFS(IlumaData!$N:$N,IlumaData!$V:$V,$R13,IlumaData!$U:$U,9))</f>
        <v/>
      </c>
      <c r="AC13">
        <f>IF(COUNTIFS(IlumaData!$V:$V,$R13,IlumaData!$U:$U,10,IlumaData!$N:$N,"&lt;&gt;")=0,"",SUMIFS(IlumaData!$N:$N,IlumaData!$V:$V,$R13,IlumaData!$U:$U,10))</f>
        <v/>
      </c>
      <c r="AD13">
        <f>IF(COUNTIFS(IlumaData!$V:$V,$R13,IlumaData!$U:$U,11,IlumaData!$N:$N,"&lt;&gt;")=0,"",SUMIFS(IlumaData!$N:$N,IlumaData!$V:$V,$R13,IlumaData!$U:$U,11))</f>
        <v/>
      </c>
      <c r="AE13">
        <f>IF(COUNTIFS(IlumaData!$V:$V,$R13,IlumaData!$U:$U,12,IlumaData!$N:$N,"&lt;&gt;")=0,"",SUMIFS(IlumaData!$N:$N,IlumaData!$V:$V,$R13,IlumaData!$U:$U,12))</f>
        <v/>
      </c>
      <c r="AF13">
        <f>IF(COUNTIFS(IlumaData!$V:$V,$R13,IlumaData!$U:$U,13,IlumaData!$N:$N,"&lt;&gt;")=0,"",SUMIFS(IlumaData!$N:$N,IlumaData!$V:$V,$R13,IlumaData!$U:$U,13))</f>
        <v/>
      </c>
      <c r="AG13">
        <f>IF(COUNTIFS(IlumaData!$V:$V,$R13,IlumaData!$U:$U,14,IlumaData!$N:$N,"&lt;&gt;")=0,"",SUMIFS(IlumaData!$N:$N,IlumaData!$V:$V,$R13,IlumaData!$U:$U,14))</f>
        <v/>
      </c>
      <c r="AH13">
        <f>COUNTIFS(IlumaData!$V:$V,$R13,IlumaData!$U:$U,"&lt;="&amp;14,IlumaData!$N:$N,"&lt;&gt;")</f>
        <v/>
      </c>
      <c r="AI13">
        <f>COUNTIFS(IlumaData!$V:$V,$R13,IlumaData!$U:$U,"&lt;="&amp;14,IlumaData!$N:$N,0)</f>
        <v/>
      </c>
      <c r="AJ13">
        <f>IF(AH13=0,"",AH13-AI13)</f>
        <v/>
      </c>
      <c r="AK13">
        <f>IF(AH13=0,"",SUMIFS(IlumaData!$N:$N,IlumaData!$V:$V,$R13,IlumaData!$U:$U,"&lt;="&amp;14))</f>
        <v/>
      </c>
      <c r="AL13">
        <f>IF(AH13=0,"",IF(ABS(MAX(T13:AG13))&gt;=ABS(MIN(T13:AG13)),MAX(T13:AG13),MIN(T13:AG13)))</f>
        <v/>
      </c>
      <c r="AM13">
        <f>IF(AH13=0,-1,AJ13*100000+MIN(ABS(AK13),99999))</f>
        <v/>
      </c>
      <c r="AN13">
        <f>IF($S13="","",1+COUNTIFS($AM$3:$AM$122,"&gt;"&amp;AM13)+COUNTIFS($AM$3:$AM$122,AM13,$R$3:$R$122,"&lt;"&amp;$R13))</f>
        <v/>
      </c>
    </row>
    <row r="14">
      <c r="A14" t="n">
        <v>12</v>
      </c>
      <c r="B14" s="31">
        <f>IFERROR(IF(INDEX(IlumaData!$B:$B,MATCH($A14,IlumaData!$U:$U,0))="","",INDEX(IlumaData!$B:$B,MATCH($A14,IlumaData!$U:$U,0))),"")</f>
        <v/>
      </c>
      <c r="C14">
        <f>IFERROR(IF(INDEX(IlumaData!$D:$D,MATCH($A14,IlumaData!$U:$U,0))="","",INDEX(IlumaData!$D:$D,MATCH($A14,IlumaData!$U:$U,0))),"")</f>
        <v/>
      </c>
      <c r="D14" s="31">
        <f>IFERROR(IF(INDEX(IlumaData!$O:$O,MATCH($A14,IlumaData!$U:$U,0))="","",INDEX(IlumaData!$O:$O,MATCH($A14,IlumaData!$U:$U,0))),"")</f>
        <v/>
      </c>
      <c r="E14">
        <f>COUNTIFS(IlumaData!$U:$U,$A14)</f>
        <v/>
      </c>
      <c r="F14">
        <f>COUNTIFS(IlumaData!$U:$U,$A14,IlumaData!$N:$N,"&lt;&gt;")</f>
        <v/>
      </c>
      <c r="G14">
        <f>COUNTIFS(IlumaData!$U:$U,$A14,IlumaData!$N:$N,0)</f>
        <v/>
      </c>
      <c r="H14">
        <f>IF($F14=0,"",$F14-$G14)</f>
        <v/>
      </c>
      <c r="I14">
        <f>IF($F14=0,"",SUMIFS(IlumaData!$N:$N,IlumaData!$U:$U,$A14))</f>
        <v/>
      </c>
      <c r="J14">
        <f>COUNTIFS(IlumaData!$U:$U,$A14,IlumaData!$Q:$Q,"&lt;&gt;")</f>
        <v/>
      </c>
      <c r="K14">
        <f>IF($J14=0,"",SUMIFS(IlumaData!$Q:$Q,IlumaData!$U:$U,$A14))</f>
        <v/>
      </c>
      <c r="L14">
        <f>COUNTIFS(IlumaData!$U:$U,$A14,IlumaData!$M:$M,"&lt;&gt;")</f>
        <v/>
      </c>
      <c r="M14">
        <f>IF($E14=0,"",IF($L14=0,"not loaded","loaded"))</f>
        <v/>
      </c>
      <c r="N14">
        <f>COUNTIFS(IlumaData!$U:$U,$A14,IlumaData!$I:$I,"&lt;&gt;")</f>
        <v/>
      </c>
      <c r="O14">
        <f>IF($E14=0,"",IF($L14=0,"No POS sales have been loaded for this date, so variance cannot be worked out. Import the sales report for this day and it fills in.",IF($N14=0,"This is the first count of these products, so there is no opening figure to sell down from. Variance starts from the next count.",IF($F14-$G14=0,"Physical and POS agree on every product.",($F14-$G14)&amp;" of "&amp;$F14&amp;" products disagree with the POS. Largest first below."))))</f>
        <v/>
      </c>
      <c r="R14" t="n">
        <v>12</v>
      </c>
      <c r="S14">
        <f>IFERROR(INDEX(IlumaData!$G:$G,MATCH($R14,IlumaData!$V:$V,0)),"")</f>
        <v/>
      </c>
      <c r="T14">
        <f>IF(COUNTIFS(IlumaData!$V:$V,$R14,IlumaData!$U:$U,1,IlumaData!$N:$N,"&lt;&gt;")=0,"",SUMIFS(IlumaData!$N:$N,IlumaData!$V:$V,$R14,IlumaData!$U:$U,1))</f>
        <v/>
      </c>
      <c r="U14">
        <f>IF(COUNTIFS(IlumaData!$V:$V,$R14,IlumaData!$U:$U,2,IlumaData!$N:$N,"&lt;&gt;")=0,"",SUMIFS(IlumaData!$N:$N,IlumaData!$V:$V,$R14,IlumaData!$U:$U,2))</f>
        <v/>
      </c>
      <c r="V14">
        <f>IF(COUNTIFS(IlumaData!$V:$V,$R14,IlumaData!$U:$U,3,IlumaData!$N:$N,"&lt;&gt;")=0,"",SUMIFS(IlumaData!$N:$N,IlumaData!$V:$V,$R14,IlumaData!$U:$U,3))</f>
        <v/>
      </c>
      <c r="W14">
        <f>IF(COUNTIFS(IlumaData!$V:$V,$R14,IlumaData!$U:$U,4,IlumaData!$N:$N,"&lt;&gt;")=0,"",SUMIFS(IlumaData!$N:$N,IlumaData!$V:$V,$R14,IlumaData!$U:$U,4))</f>
        <v/>
      </c>
      <c r="X14">
        <f>IF(COUNTIFS(IlumaData!$V:$V,$R14,IlumaData!$U:$U,5,IlumaData!$N:$N,"&lt;&gt;")=0,"",SUMIFS(IlumaData!$N:$N,IlumaData!$V:$V,$R14,IlumaData!$U:$U,5))</f>
        <v/>
      </c>
      <c r="Y14">
        <f>IF(COUNTIFS(IlumaData!$V:$V,$R14,IlumaData!$U:$U,6,IlumaData!$N:$N,"&lt;&gt;")=0,"",SUMIFS(IlumaData!$N:$N,IlumaData!$V:$V,$R14,IlumaData!$U:$U,6))</f>
        <v/>
      </c>
      <c r="Z14">
        <f>IF(COUNTIFS(IlumaData!$V:$V,$R14,IlumaData!$U:$U,7,IlumaData!$N:$N,"&lt;&gt;")=0,"",SUMIFS(IlumaData!$N:$N,IlumaData!$V:$V,$R14,IlumaData!$U:$U,7))</f>
        <v/>
      </c>
      <c r="AA14">
        <f>IF(COUNTIFS(IlumaData!$V:$V,$R14,IlumaData!$U:$U,8,IlumaData!$N:$N,"&lt;&gt;")=0,"",SUMIFS(IlumaData!$N:$N,IlumaData!$V:$V,$R14,IlumaData!$U:$U,8))</f>
        <v/>
      </c>
      <c r="AB14">
        <f>IF(COUNTIFS(IlumaData!$V:$V,$R14,IlumaData!$U:$U,9,IlumaData!$N:$N,"&lt;&gt;")=0,"",SUMIFS(IlumaData!$N:$N,IlumaData!$V:$V,$R14,IlumaData!$U:$U,9))</f>
        <v/>
      </c>
      <c r="AC14">
        <f>IF(COUNTIFS(IlumaData!$V:$V,$R14,IlumaData!$U:$U,10,IlumaData!$N:$N,"&lt;&gt;")=0,"",SUMIFS(IlumaData!$N:$N,IlumaData!$V:$V,$R14,IlumaData!$U:$U,10))</f>
        <v/>
      </c>
      <c r="AD14">
        <f>IF(COUNTIFS(IlumaData!$V:$V,$R14,IlumaData!$U:$U,11,IlumaData!$N:$N,"&lt;&gt;")=0,"",SUMIFS(IlumaData!$N:$N,IlumaData!$V:$V,$R14,IlumaData!$U:$U,11))</f>
        <v/>
      </c>
      <c r="AE14">
        <f>IF(COUNTIFS(IlumaData!$V:$V,$R14,IlumaData!$U:$U,12,IlumaData!$N:$N,"&lt;&gt;")=0,"",SUMIFS(IlumaData!$N:$N,IlumaData!$V:$V,$R14,IlumaData!$U:$U,12))</f>
        <v/>
      </c>
      <c r="AF14">
        <f>IF(COUNTIFS(IlumaData!$V:$V,$R14,IlumaData!$U:$U,13,IlumaData!$N:$N,"&lt;&gt;")=0,"",SUMIFS(IlumaData!$N:$N,IlumaData!$V:$V,$R14,IlumaData!$U:$U,13))</f>
        <v/>
      </c>
      <c r="AG14">
        <f>IF(COUNTIFS(IlumaData!$V:$V,$R14,IlumaData!$U:$U,14,IlumaData!$N:$N,"&lt;&gt;")=0,"",SUMIFS(IlumaData!$N:$N,IlumaData!$V:$V,$R14,IlumaData!$U:$U,14))</f>
        <v/>
      </c>
      <c r="AH14">
        <f>COUNTIFS(IlumaData!$V:$V,$R14,IlumaData!$U:$U,"&lt;="&amp;14,IlumaData!$N:$N,"&lt;&gt;")</f>
        <v/>
      </c>
      <c r="AI14">
        <f>COUNTIFS(IlumaData!$V:$V,$R14,IlumaData!$U:$U,"&lt;="&amp;14,IlumaData!$N:$N,0)</f>
        <v/>
      </c>
      <c r="AJ14">
        <f>IF(AH14=0,"",AH14-AI14)</f>
        <v/>
      </c>
      <c r="AK14">
        <f>IF(AH14=0,"",SUMIFS(IlumaData!$N:$N,IlumaData!$V:$V,$R14,IlumaData!$U:$U,"&lt;="&amp;14))</f>
        <v/>
      </c>
      <c r="AL14">
        <f>IF(AH14=0,"",IF(ABS(MAX(T14:AG14))&gt;=ABS(MIN(T14:AG14)),MAX(T14:AG14),MIN(T14:AG14)))</f>
        <v/>
      </c>
      <c r="AM14">
        <f>IF(AH14=0,-1,AJ14*100000+MIN(ABS(AK14),99999))</f>
        <v/>
      </c>
      <c r="AN14">
        <f>IF($S14="","",1+COUNTIFS($AM$3:$AM$122,"&gt;"&amp;AM14)+COUNTIFS($AM$3:$AM$122,AM14,$R$3:$R$122,"&lt;"&amp;$R14))</f>
        <v/>
      </c>
    </row>
    <row r="15">
      <c r="A15" t="n">
        <v>13</v>
      </c>
      <c r="B15" s="31">
        <f>IFERROR(IF(INDEX(IlumaData!$B:$B,MATCH($A15,IlumaData!$U:$U,0))="","",INDEX(IlumaData!$B:$B,MATCH($A15,IlumaData!$U:$U,0))),"")</f>
        <v/>
      </c>
      <c r="C15">
        <f>IFERROR(IF(INDEX(IlumaData!$D:$D,MATCH($A15,IlumaData!$U:$U,0))="","",INDEX(IlumaData!$D:$D,MATCH($A15,IlumaData!$U:$U,0))),"")</f>
        <v/>
      </c>
      <c r="D15" s="31">
        <f>IFERROR(IF(INDEX(IlumaData!$O:$O,MATCH($A15,IlumaData!$U:$U,0))="","",INDEX(IlumaData!$O:$O,MATCH($A15,IlumaData!$U:$U,0))),"")</f>
        <v/>
      </c>
      <c r="E15">
        <f>COUNTIFS(IlumaData!$U:$U,$A15)</f>
        <v/>
      </c>
      <c r="F15">
        <f>COUNTIFS(IlumaData!$U:$U,$A15,IlumaData!$N:$N,"&lt;&gt;")</f>
        <v/>
      </c>
      <c r="G15">
        <f>COUNTIFS(IlumaData!$U:$U,$A15,IlumaData!$N:$N,0)</f>
        <v/>
      </c>
      <c r="H15">
        <f>IF($F15=0,"",$F15-$G15)</f>
        <v/>
      </c>
      <c r="I15">
        <f>IF($F15=0,"",SUMIFS(IlumaData!$N:$N,IlumaData!$U:$U,$A15))</f>
        <v/>
      </c>
      <c r="J15">
        <f>COUNTIFS(IlumaData!$U:$U,$A15,IlumaData!$Q:$Q,"&lt;&gt;")</f>
        <v/>
      </c>
      <c r="K15">
        <f>IF($J15=0,"",SUMIFS(IlumaData!$Q:$Q,IlumaData!$U:$U,$A15))</f>
        <v/>
      </c>
      <c r="L15">
        <f>COUNTIFS(IlumaData!$U:$U,$A15,IlumaData!$M:$M,"&lt;&gt;")</f>
        <v/>
      </c>
      <c r="M15">
        <f>IF($E15=0,"",IF($L15=0,"not loaded","loaded"))</f>
        <v/>
      </c>
      <c r="N15">
        <f>COUNTIFS(IlumaData!$U:$U,$A15,IlumaData!$I:$I,"&lt;&gt;")</f>
        <v/>
      </c>
      <c r="O15">
        <f>IF($E15=0,"",IF($L15=0,"No POS sales have been loaded for this date, so variance cannot be worked out. Import the sales report for this day and it fills in.",IF($N15=0,"This is the first count of these products, so there is no opening figure to sell down from. Variance starts from the next count.",IF($F15-$G15=0,"Physical and POS agree on every product.",($F15-$G15)&amp;" of "&amp;$F15&amp;" products disagree with the POS. Largest first below."))))</f>
        <v/>
      </c>
      <c r="R15" t="n">
        <v>13</v>
      </c>
      <c r="S15">
        <f>IFERROR(INDEX(IlumaData!$G:$G,MATCH($R15,IlumaData!$V:$V,0)),"")</f>
        <v/>
      </c>
      <c r="T15">
        <f>IF(COUNTIFS(IlumaData!$V:$V,$R15,IlumaData!$U:$U,1,IlumaData!$N:$N,"&lt;&gt;")=0,"",SUMIFS(IlumaData!$N:$N,IlumaData!$V:$V,$R15,IlumaData!$U:$U,1))</f>
        <v/>
      </c>
      <c r="U15">
        <f>IF(COUNTIFS(IlumaData!$V:$V,$R15,IlumaData!$U:$U,2,IlumaData!$N:$N,"&lt;&gt;")=0,"",SUMIFS(IlumaData!$N:$N,IlumaData!$V:$V,$R15,IlumaData!$U:$U,2))</f>
        <v/>
      </c>
      <c r="V15">
        <f>IF(COUNTIFS(IlumaData!$V:$V,$R15,IlumaData!$U:$U,3,IlumaData!$N:$N,"&lt;&gt;")=0,"",SUMIFS(IlumaData!$N:$N,IlumaData!$V:$V,$R15,IlumaData!$U:$U,3))</f>
        <v/>
      </c>
      <c r="W15">
        <f>IF(COUNTIFS(IlumaData!$V:$V,$R15,IlumaData!$U:$U,4,IlumaData!$N:$N,"&lt;&gt;")=0,"",SUMIFS(IlumaData!$N:$N,IlumaData!$V:$V,$R15,IlumaData!$U:$U,4))</f>
        <v/>
      </c>
      <c r="X15">
        <f>IF(COUNTIFS(IlumaData!$V:$V,$R15,IlumaData!$U:$U,5,IlumaData!$N:$N,"&lt;&gt;")=0,"",SUMIFS(IlumaData!$N:$N,IlumaData!$V:$V,$R15,IlumaData!$U:$U,5))</f>
        <v/>
      </c>
      <c r="Y15">
        <f>IF(COUNTIFS(IlumaData!$V:$V,$R15,IlumaData!$U:$U,6,IlumaData!$N:$N,"&lt;&gt;")=0,"",SUMIFS(IlumaData!$N:$N,IlumaData!$V:$V,$R15,IlumaData!$U:$U,6))</f>
        <v/>
      </c>
      <c r="Z15">
        <f>IF(COUNTIFS(IlumaData!$V:$V,$R15,IlumaData!$U:$U,7,IlumaData!$N:$N,"&lt;&gt;")=0,"",SUMIFS(IlumaData!$N:$N,IlumaData!$V:$V,$R15,IlumaData!$U:$U,7))</f>
        <v/>
      </c>
      <c r="AA15">
        <f>IF(COUNTIFS(IlumaData!$V:$V,$R15,IlumaData!$U:$U,8,IlumaData!$N:$N,"&lt;&gt;")=0,"",SUMIFS(IlumaData!$N:$N,IlumaData!$V:$V,$R15,IlumaData!$U:$U,8))</f>
        <v/>
      </c>
      <c r="AB15">
        <f>IF(COUNTIFS(IlumaData!$V:$V,$R15,IlumaData!$U:$U,9,IlumaData!$N:$N,"&lt;&gt;")=0,"",SUMIFS(IlumaData!$N:$N,IlumaData!$V:$V,$R15,IlumaData!$U:$U,9))</f>
        <v/>
      </c>
      <c r="AC15">
        <f>IF(COUNTIFS(IlumaData!$V:$V,$R15,IlumaData!$U:$U,10,IlumaData!$N:$N,"&lt;&gt;")=0,"",SUMIFS(IlumaData!$N:$N,IlumaData!$V:$V,$R15,IlumaData!$U:$U,10))</f>
        <v/>
      </c>
      <c r="AD15">
        <f>IF(COUNTIFS(IlumaData!$V:$V,$R15,IlumaData!$U:$U,11,IlumaData!$N:$N,"&lt;&gt;")=0,"",SUMIFS(IlumaData!$N:$N,IlumaData!$V:$V,$R15,IlumaData!$U:$U,11))</f>
        <v/>
      </c>
      <c r="AE15">
        <f>IF(COUNTIFS(IlumaData!$V:$V,$R15,IlumaData!$U:$U,12,IlumaData!$N:$N,"&lt;&gt;")=0,"",SUMIFS(IlumaData!$N:$N,IlumaData!$V:$V,$R15,IlumaData!$U:$U,12))</f>
        <v/>
      </c>
      <c r="AF15">
        <f>IF(COUNTIFS(IlumaData!$V:$V,$R15,IlumaData!$U:$U,13,IlumaData!$N:$N,"&lt;&gt;")=0,"",SUMIFS(IlumaData!$N:$N,IlumaData!$V:$V,$R15,IlumaData!$U:$U,13))</f>
        <v/>
      </c>
      <c r="AG15">
        <f>IF(COUNTIFS(IlumaData!$V:$V,$R15,IlumaData!$U:$U,14,IlumaData!$N:$N,"&lt;&gt;")=0,"",SUMIFS(IlumaData!$N:$N,IlumaData!$V:$V,$R15,IlumaData!$U:$U,14))</f>
        <v/>
      </c>
      <c r="AH15">
        <f>COUNTIFS(IlumaData!$V:$V,$R15,IlumaData!$U:$U,"&lt;="&amp;14,IlumaData!$N:$N,"&lt;&gt;")</f>
        <v/>
      </c>
      <c r="AI15">
        <f>COUNTIFS(IlumaData!$V:$V,$R15,IlumaData!$U:$U,"&lt;="&amp;14,IlumaData!$N:$N,0)</f>
        <v/>
      </c>
      <c r="AJ15">
        <f>IF(AH15=0,"",AH15-AI15)</f>
        <v/>
      </c>
      <c r="AK15">
        <f>IF(AH15=0,"",SUMIFS(IlumaData!$N:$N,IlumaData!$V:$V,$R15,IlumaData!$U:$U,"&lt;="&amp;14))</f>
        <v/>
      </c>
      <c r="AL15">
        <f>IF(AH15=0,"",IF(ABS(MAX(T15:AG15))&gt;=ABS(MIN(T15:AG15)),MAX(T15:AG15),MIN(T15:AG15)))</f>
        <v/>
      </c>
      <c r="AM15">
        <f>IF(AH15=0,-1,AJ15*100000+MIN(ABS(AK15),99999))</f>
        <v/>
      </c>
      <c r="AN15">
        <f>IF($S15="","",1+COUNTIFS($AM$3:$AM$122,"&gt;"&amp;AM15)+COUNTIFS($AM$3:$AM$122,AM15,$R$3:$R$122,"&lt;"&amp;$R15))</f>
        <v/>
      </c>
    </row>
    <row r="16">
      <c r="A16" t="n">
        <v>14</v>
      </c>
      <c r="B16" s="31">
        <f>IFERROR(IF(INDEX(IlumaData!$B:$B,MATCH($A16,IlumaData!$U:$U,0))="","",INDEX(IlumaData!$B:$B,MATCH($A16,IlumaData!$U:$U,0))),"")</f>
        <v/>
      </c>
      <c r="C16">
        <f>IFERROR(IF(INDEX(IlumaData!$D:$D,MATCH($A16,IlumaData!$U:$U,0))="","",INDEX(IlumaData!$D:$D,MATCH($A16,IlumaData!$U:$U,0))),"")</f>
        <v/>
      </c>
      <c r="D16" s="31">
        <f>IFERROR(IF(INDEX(IlumaData!$O:$O,MATCH($A16,IlumaData!$U:$U,0))="","",INDEX(IlumaData!$O:$O,MATCH($A16,IlumaData!$U:$U,0))),"")</f>
        <v/>
      </c>
      <c r="E16">
        <f>COUNTIFS(IlumaData!$U:$U,$A16)</f>
        <v/>
      </c>
      <c r="F16">
        <f>COUNTIFS(IlumaData!$U:$U,$A16,IlumaData!$N:$N,"&lt;&gt;")</f>
        <v/>
      </c>
      <c r="G16">
        <f>COUNTIFS(IlumaData!$U:$U,$A16,IlumaData!$N:$N,0)</f>
        <v/>
      </c>
      <c r="H16">
        <f>IF($F16=0,"",$F16-$G16)</f>
        <v/>
      </c>
      <c r="I16">
        <f>IF($F16=0,"",SUMIFS(IlumaData!$N:$N,IlumaData!$U:$U,$A16))</f>
        <v/>
      </c>
      <c r="J16">
        <f>COUNTIFS(IlumaData!$U:$U,$A16,IlumaData!$Q:$Q,"&lt;&gt;")</f>
        <v/>
      </c>
      <c r="K16">
        <f>IF($J16=0,"",SUMIFS(IlumaData!$Q:$Q,IlumaData!$U:$U,$A16))</f>
        <v/>
      </c>
      <c r="L16">
        <f>COUNTIFS(IlumaData!$U:$U,$A16,IlumaData!$M:$M,"&lt;&gt;")</f>
        <v/>
      </c>
      <c r="M16">
        <f>IF($E16=0,"",IF($L16=0,"not loaded","loaded"))</f>
        <v/>
      </c>
      <c r="N16">
        <f>COUNTIFS(IlumaData!$U:$U,$A16,IlumaData!$I:$I,"&lt;&gt;")</f>
        <v/>
      </c>
      <c r="O16">
        <f>IF($E16=0,"",IF($L16=0,"No POS sales have been loaded for this date, so variance cannot be worked out. Import the sales report for this day and it fills in.",IF($N16=0,"This is the first count of these products, so there is no opening figure to sell down from. Variance starts from the next count.",IF($F16-$G16=0,"Physical and POS agree on every product.",($F16-$G16)&amp;" of "&amp;$F16&amp;" products disagree with the POS. Largest first below."))))</f>
        <v/>
      </c>
      <c r="R16" t="n">
        <v>14</v>
      </c>
      <c r="S16">
        <f>IFERROR(INDEX(IlumaData!$G:$G,MATCH($R16,IlumaData!$V:$V,0)),"")</f>
        <v/>
      </c>
      <c r="T16">
        <f>IF(COUNTIFS(IlumaData!$V:$V,$R16,IlumaData!$U:$U,1,IlumaData!$N:$N,"&lt;&gt;")=0,"",SUMIFS(IlumaData!$N:$N,IlumaData!$V:$V,$R16,IlumaData!$U:$U,1))</f>
        <v/>
      </c>
      <c r="U16">
        <f>IF(COUNTIFS(IlumaData!$V:$V,$R16,IlumaData!$U:$U,2,IlumaData!$N:$N,"&lt;&gt;")=0,"",SUMIFS(IlumaData!$N:$N,IlumaData!$V:$V,$R16,IlumaData!$U:$U,2))</f>
        <v/>
      </c>
      <c r="V16">
        <f>IF(COUNTIFS(IlumaData!$V:$V,$R16,IlumaData!$U:$U,3,IlumaData!$N:$N,"&lt;&gt;")=0,"",SUMIFS(IlumaData!$N:$N,IlumaData!$V:$V,$R16,IlumaData!$U:$U,3))</f>
        <v/>
      </c>
      <c r="W16">
        <f>IF(COUNTIFS(IlumaData!$V:$V,$R16,IlumaData!$U:$U,4,IlumaData!$N:$N,"&lt;&gt;")=0,"",SUMIFS(IlumaData!$N:$N,IlumaData!$V:$V,$R16,IlumaData!$U:$U,4))</f>
        <v/>
      </c>
      <c r="X16">
        <f>IF(COUNTIFS(IlumaData!$V:$V,$R16,IlumaData!$U:$U,5,IlumaData!$N:$N,"&lt;&gt;")=0,"",SUMIFS(IlumaData!$N:$N,IlumaData!$V:$V,$R16,IlumaData!$U:$U,5))</f>
        <v/>
      </c>
      <c r="Y16">
        <f>IF(COUNTIFS(IlumaData!$V:$V,$R16,IlumaData!$U:$U,6,IlumaData!$N:$N,"&lt;&gt;")=0,"",SUMIFS(IlumaData!$N:$N,IlumaData!$V:$V,$R16,IlumaData!$U:$U,6))</f>
        <v/>
      </c>
      <c r="Z16">
        <f>IF(COUNTIFS(IlumaData!$V:$V,$R16,IlumaData!$U:$U,7,IlumaData!$N:$N,"&lt;&gt;")=0,"",SUMIFS(IlumaData!$N:$N,IlumaData!$V:$V,$R16,IlumaData!$U:$U,7))</f>
        <v/>
      </c>
      <c r="AA16">
        <f>IF(COUNTIFS(IlumaData!$V:$V,$R16,IlumaData!$U:$U,8,IlumaData!$N:$N,"&lt;&gt;")=0,"",SUMIFS(IlumaData!$N:$N,IlumaData!$V:$V,$R16,IlumaData!$U:$U,8))</f>
        <v/>
      </c>
      <c r="AB16">
        <f>IF(COUNTIFS(IlumaData!$V:$V,$R16,IlumaData!$U:$U,9,IlumaData!$N:$N,"&lt;&gt;")=0,"",SUMIFS(IlumaData!$N:$N,IlumaData!$V:$V,$R16,IlumaData!$U:$U,9))</f>
        <v/>
      </c>
      <c r="AC16">
        <f>IF(COUNTIFS(IlumaData!$V:$V,$R16,IlumaData!$U:$U,10,IlumaData!$N:$N,"&lt;&gt;")=0,"",SUMIFS(IlumaData!$N:$N,IlumaData!$V:$V,$R16,IlumaData!$U:$U,10))</f>
        <v/>
      </c>
      <c r="AD16">
        <f>IF(COUNTIFS(IlumaData!$V:$V,$R16,IlumaData!$U:$U,11,IlumaData!$N:$N,"&lt;&gt;")=0,"",SUMIFS(IlumaData!$N:$N,IlumaData!$V:$V,$R16,IlumaData!$U:$U,11))</f>
        <v/>
      </c>
      <c r="AE16">
        <f>IF(COUNTIFS(IlumaData!$V:$V,$R16,IlumaData!$U:$U,12,IlumaData!$N:$N,"&lt;&gt;")=0,"",SUMIFS(IlumaData!$N:$N,IlumaData!$V:$V,$R16,IlumaData!$U:$U,12))</f>
        <v/>
      </c>
      <c r="AF16">
        <f>IF(COUNTIFS(IlumaData!$V:$V,$R16,IlumaData!$U:$U,13,IlumaData!$N:$N,"&lt;&gt;")=0,"",SUMIFS(IlumaData!$N:$N,IlumaData!$V:$V,$R16,IlumaData!$U:$U,13))</f>
        <v/>
      </c>
      <c r="AG16">
        <f>IF(COUNTIFS(IlumaData!$V:$V,$R16,IlumaData!$U:$U,14,IlumaData!$N:$N,"&lt;&gt;")=0,"",SUMIFS(IlumaData!$N:$N,IlumaData!$V:$V,$R16,IlumaData!$U:$U,14))</f>
        <v/>
      </c>
      <c r="AH16">
        <f>COUNTIFS(IlumaData!$V:$V,$R16,IlumaData!$U:$U,"&lt;="&amp;14,IlumaData!$N:$N,"&lt;&gt;")</f>
        <v/>
      </c>
      <c r="AI16">
        <f>COUNTIFS(IlumaData!$V:$V,$R16,IlumaData!$U:$U,"&lt;="&amp;14,IlumaData!$N:$N,0)</f>
        <v/>
      </c>
      <c r="AJ16">
        <f>IF(AH16=0,"",AH16-AI16)</f>
        <v/>
      </c>
      <c r="AK16">
        <f>IF(AH16=0,"",SUMIFS(IlumaData!$N:$N,IlumaData!$V:$V,$R16,IlumaData!$U:$U,"&lt;="&amp;14))</f>
        <v/>
      </c>
      <c r="AL16">
        <f>IF(AH16=0,"",IF(ABS(MAX(T16:AG16))&gt;=ABS(MIN(T16:AG16)),MAX(T16:AG16),MIN(T16:AG16)))</f>
        <v/>
      </c>
      <c r="AM16">
        <f>IF(AH16=0,-1,AJ16*100000+MIN(ABS(AK16),99999))</f>
        <v/>
      </c>
      <c r="AN16">
        <f>IF($S16="","",1+COUNTIFS($AM$3:$AM$122,"&gt;"&amp;AM16)+COUNTIFS($AM$3:$AM$122,AM16,$R$3:$R$122,"&lt;"&amp;$R16))</f>
        <v/>
      </c>
    </row>
    <row r="17">
      <c r="A17" t="n">
        <v>15</v>
      </c>
      <c r="B17" s="31">
        <f>IFERROR(IF(INDEX(IlumaData!$B:$B,MATCH($A17,IlumaData!$U:$U,0))="","",INDEX(IlumaData!$B:$B,MATCH($A17,IlumaData!$U:$U,0))),"")</f>
        <v/>
      </c>
      <c r="C17">
        <f>IFERROR(IF(INDEX(IlumaData!$D:$D,MATCH($A17,IlumaData!$U:$U,0))="","",INDEX(IlumaData!$D:$D,MATCH($A17,IlumaData!$U:$U,0))),"")</f>
        <v/>
      </c>
      <c r="D17" s="31">
        <f>IFERROR(IF(INDEX(IlumaData!$O:$O,MATCH($A17,IlumaData!$U:$U,0))="","",INDEX(IlumaData!$O:$O,MATCH($A17,IlumaData!$U:$U,0))),"")</f>
        <v/>
      </c>
      <c r="E17">
        <f>COUNTIFS(IlumaData!$U:$U,$A17)</f>
        <v/>
      </c>
      <c r="F17">
        <f>COUNTIFS(IlumaData!$U:$U,$A17,IlumaData!$N:$N,"&lt;&gt;")</f>
        <v/>
      </c>
      <c r="G17">
        <f>COUNTIFS(IlumaData!$U:$U,$A17,IlumaData!$N:$N,0)</f>
        <v/>
      </c>
      <c r="H17">
        <f>IF($F17=0,"",$F17-$G17)</f>
        <v/>
      </c>
      <c r="I17">
        <f>IF($F17=0,"",SUMIFS(IlumaData!$N:$N,IlumaData!$U:$U,$A17))</f>
        <v/>
      </c>
      <c r="J17">
        <f>COUNTIFS(IlumaData!$U:$U,$A17,IlumaData!$Q:$Q,"&lt;&gt;")</f>
        <v/>
      </c>
      <c r="K17">
        <f>IF($J17=0,"",SUMIFS(IlumaData!$Q:$Q,IlumaData!$U:$U,$A17))</f>
        <v/>
      </c>
      <c r="L17">
        <f>COUNTIFS(IlumaData!$U:$U,$A17,IlumaData!$M:$M,"&lt;&gt;")</f>
        <v/>
      </c>
      <c r="M17">
        <f>IF($E17=0,"",IF($L17=0,"not loaded","loaded"))</f>
        <v/>
      </c>
      <c r="N17">
        <f>COUNTIFS(IlumaData!$U:$U,$A17,IlumaData!$I:$I,"&lt;&gt;")</f>
        <v/>
      </c>
      <c r="O17">
        <f>IF($E17=0,"",IF($L17=0,"No POS sales have been loaded for this date, so variance cannot be worked out. Import the sales report for this day and it fills in.",IF($N17=0,"This is the first count of these products, so there is no opening figure to sell down from. Variance starts from the next count.",IF($F17-$G17=0,"Physical and POS agree on every product.",($F17-$G17)&amp;" of "&amp;$F17&amp;" products disagree with the POS. Largest first below."))))</f>
        <v/>
      </c>
      <c r="R17" t="n">
        <v>15</v>
      </c>
      <c r="S17">
        <f>IFERROR(INDEX(IlumaData!$G:$G,MATCH($R17,IlumaData!$V:$V,0)),"")</f>
        <v/>
      </c>
      <c r="T17">
        <f>IF(COUNTIFS(IlumaData!$V:$V,$R17,IlumaData!$U:$U,1,IlumaData!$N:$N,"&lt;&gt;")=0,"",SUMIFS(IlumaData!$N:$N,IlumaData!$V:$V,$R17,IlumaData!$U:$U,1))</f>
        <v/>
      </c>
      <c r="U17">
        <f>IF(COUNTIFS(IlumaData!$V:$V,$R17,IlumaData!$U:$U,2,IlumaData!$N:$N,"&lt;&gt;")=0,"",SUMIFS(IlumaData!$N:$N,IlumaData!$V:$V,$R17,IlumaData!$U:$U,2))</f>
        <v/>
      </c>
      <c r="V17">
        <f>IF(COUNTIFS(IlumaData!$V:$V,$R17,IlumaData!$U:$U,3,IlumaData!$N:$N,"&lt;&gt;")=0,"",SUMIFS(IlumaData!$N:$N,IlumaData!$V:$V,$R17,IlumaData!$U:$U,3))</f>
        <v/>
      </c>
      <c r="W17">
        <f>IF(COUNTIFS(IlumaData!$V:$V,$R17,IlumaData!$U:$U,4,IlumaData!$N:$N,"&lt;&gt;")=0,"",SUMIFS(IlumaData!$N:$N,IlumaData!$V:$V,$R17,IlumaData!$U:$U,4))</f>
        <v/>
      </c>
      <c r="X17">
        <f>IF(COUNTIFS(IlumaData!$V:$V,$R17,IlumaData!$U:$U,5,IlumaData!$N:$N,"&lt;&gt;")=0,"",SUMIFS(IlumaData!$N:$N,IlumaData!$V:$V,$R17,IlumaData!$U:$U,5))</f>
        <v/>
      </c>
      <c r="Y17">
        <f>IF(COUNTIFS(IlumaData!$V:$V,$R17,IlumaData!$U:$U,6,IlumaData!$N:$N,"&lt;&gt;")=0,"",SUMIFS(IlumaData!$N:$N,IlumaData!$V:$V,$R17,IlumaData!$U:$U,6))</f>
        <v/>
      </c>
      <c r="Z17">
        <f>IF(COUNTIFS(IlumaData!$V:$V,$R17,IlumaData!$U:$U,7,IlumaData!$N:$N,"&lt;&gt;")=0,"",SUMIFS(IlumaData!$N:$N,IlumaData!$V:$V,$R17,IlumaData!$U:$U,7))</f>
        <v/>
      </c>
      <c r="AA17">
        <f>IF(COUNTIFS(IlumaData!$V:$V,$R17,IlumaData!$U:$U,8,IlumaData!$N:$N,"&lt;&gt;")=0,"",SUMIFS(IlumaData!$N:$N,IlumaData!$V:$V,$R17,IlumaData!$U:$U,8))</f>
        <v/>
      </c>
      <c r="AB17">
        <f>IF(COUNTIFS(IlumaData!$V:$V,$R17,IlumaData!$U:$U,9,IlumaData!$N:$N,"&lt;&gt;")=0,"",SUMIFS(IlumaData!$N:$N,IlumaData!$V:$V,$R17,IlumaData!$U:$U,9))</f>
        <v/>
      </c>
      <c r="AC17">
        <f>IF(COUNTIFS(IlumaData!$V:$V,$R17,IlumaData!$U:$U,10,IlumaData!$N:$N,"&lt;&gt;")=0,"",SUMIFS(IlumaData!$N:$N,IlumaData!$V:$V,$R17,IlumaData!$U:$U,10))</f>
        <v/>
      </c>
      <c r="AD17">
        <f>IF(COUNTIFS(IlumaData!$V:$V,$R17,IlumaData!$U:$U,11,IlumaData!$N:$N,"&lt;&gt;")=0,"",SUMIFS(IlumaData!$N:$N,IlumaData!$V:$V,$R17,IlumaData!$U:$U,11))</f>
        <v/>
      </c>
      <c r="AE17">
        <f>IF(COUNTIFS(IlumaData!$V:$V,$R17,IlumaData!$U:$U,12,IlumaData!$N:$N,"&lt;&gt;")=0,"",SUMIFS(IlumaData!$N:$N,IlumaData!$V:$V,$R17,IlumaData!$U:$U,12))</f>
        <v/>
      </c>
      <c r="AF17">
        <f>IF(COUNTIFS(IlumaData!$V:$V,$R17,IlumaData!$U:$U,13,IlumaData!$N:$N,"&lt;&gt;")=0,"",SUMIFS(IlumaData!$N:$N,IlumaData!$V:$V,$R17,IlumaData!$U:$U,13))</f>
        <v/>
      </c>
      <c r="AG17">
        <f>IF(COUNTIFS(IlumaData!$V:$V,$R17,IlumaData!$U:$U,14,IlumaData!$N:$N,"&lt;&gt;")=0,"",SUMIFS(IlumaData!$N:$N,IlumaData!$V:$V,$R17,IlumaData!$U:$U,14))</f>
        <v/>
      </c>
      <c r="AH17">
        <f>COUNTIFS(IlumaData!$V:$V,$R17,IlumaData!$U:$U,"&lt;="&amp;14,IlumaData!$N:$N,"&lt;&gt;")</f>
        <v/>
      </c>
      <c r="AI17">
        <f>COUNTIFS(IlumaData!$V:$V,$R17,IlumaData!$U:$U,"&lt;="&amp;14,IlumaData!$N:$N,0)</f>
        <v/>
      </c>
      <c r="AJ17">
        <f>IF(AH17=0,"",AH17-AI17)</f>
        <v/>
      </c>
      <c r="AK17">
        <f>IF(AH17=0,"",SUMIFS(IlumaData!$N:$N,IlumaData!$V:$V,$R17,IlumaData!$U:$U,"&lt;="&amp;14))</f>
        <v/>
      </c>
      <c r="AL17">
        <f>IF(AH17=0,"",IF(ABS(MAX(T17:AG17))&gt;=ABS(MIN(T17:AG17)),MAX(T17:AG17),MIN(T17:AG17)))</f>
        <v/>
      </c>
      <c r="AM17">
        <f>IF(AH17=0,-1,AJ17*100000+MIN(ABS(AK17),99999))</f>
        <v/>
      </c>
      <c r="AN17">
        <f>IF($S17="","",1+COUNTIFS($AM$3:$AM$122,"&gt;"&amp;AM17)+COUNTIFS($AM$3:$AM$122,AM17,$R$3:$R$122,"&lt;"&amp;$R17))</f>
        <v/>
      </c>
    </row>
    <row r="18">
      <c r="A18" t="n">
        <v>16</v>
      </c>
      <c r="B18" s="31">
        <f>IFERROR(IF(INDEX(IlumaData!$B:$B,MATCH($A18,IlumaData!$U:$U,0))="","",INDEX(IlumaData!$B:$B,MATCH($A18,IlumaData!$U:$U,0))),"")</f>
        <v/>
      </c>
      <c r="C18">
        <f>IFERROR(IF(INDEX(IlumaData!$D:$D,MATCH($A18,IlumaData!$U:$U,0))="","",INDEX(IlumaData!$D:$D,MATCH($A18,IlumaData!$U:$U,0))),"")</f>
        <v/>
      </c>
      <c r="D18" s="31">
        <f>IFERROR(IF(INDEX(IlumaData!$O:$O,MATCH($A18,IlumaData!$U:$U,0))="","",INDEX(IlumaData!$O:$O,MATCH($A18,IlumaData!$U:$U,0))),"")</f>
        <v/>
      </c>
      <c r="E18">
        <f>COUNTIFS(IlumaData!$U:$U,$A18)</f>
        <v/>
      </c>
      <c r="F18">
        <f>COUNTIFS(IlumaData!$U:$U,$A18,IlumaData!$N:$N,"&lt;&gt;")</f>
        <v/>
      </c>
      <c r="G18">
        <f>COUNTIFS(IlumaData!$U:$U,$A18,IlumaData!$N:$N,0)</f>
        <v/>
      </c>
      <c r="H18">
        <f>IF($F18=0,"",$F18-$G18)</f>
        <v/>
      </c>
      <c r="I18">
        <f>IF($F18=0,"",SUMIFS(IlumaData!$N:$N,IlumaData!$U:$U,$A18))</f>
        <v/>
      </c>
      <c r="J18">
        <f>COUNTIFS(IlumaData!$U:$U,$A18,IlumaData!$Q:$Q,"&lt;&gt;")</f>
        <v/>
      </c>
      <c r="K18">
        <f>IF($J18=0,"",SUMIFS(IlumaData!$Q:$Q,IlumaData!$U:$U,$A18))</f>
        <v/>
      </c>
      <c r="L18">
        <f>COUNTIFS(IlumaData!$U:$U,$A18,IlumaData!$M:$M,"&lt;&gt;")</f>
        <v/>
      </c>
      <c r="M18">
        <f>IF($E18=0,"",IF($L18=0,"not loaded","loaded"))</f>
        <v/>
      </c>
      <c r="N18">
        <f>COUNTIFS(IlumaData!$U:$U,$A18,IlumaData!$I:$I,"&lt;&gt;")</f>
        <v/>
      </c>
      <c r="O18">
        <f>IF($E18=0,"",IF($L18=0,"No POS sales have been loaded for this date, so variance cannot be worked out. Import the sales report for this day and it fills in.",IF($N18=0,"This is the first count of these products, so there is no opening figure to sell down from. Variance starts from the next count.",IF($F18-$G18=0,"Physical and POS agree on every product.",($F18-$G18)&amp;" of "&amp;$F18&amp;" products disagree with the POS. Largest first below."))))</f>
        <v/>
      </c>
      <c r="R18" t="n">
        <v>16</v>
      </c>
      <c r="S18">
        <f>IFERROR(INDEX(IlumaData!$G:$G,MATCH($R18,IlumaData!$V:$V,0)),"")</f>
        <v/>
      </c>
      <c r="T18">
        <f>IF(COUNTIFS(IlumaData!$V:$V,$R18,IlumaData!$U:$U,1,IlumaData!$N:$N,"&lt;&gt;")=0,"",SUMIFS(IlumaData!$N:$N,IlumaData!$V:$V,$R18,IlumaData!$U:$U,1))</f>
        <v/>
      </c>
      <c r="U18">
        <f>IF(COUNTIFS(IlumaData!$V:$V,$R18,IlumaData!$U:$U,2,IlumaData!$N:$N,"&lt;&gt;")=0,"",SUMIFS(IlumaData!$N:$N,IlumaData!$V:$V,$R18,IlumaData!$U:$U,2))</f>
        <v/>
      </c>
      <c r="V18">
        <f>IF(COUNTIFS(IlumaData!$V:$V,$R18,IlumaData!$U:$U,3,IlumaData!$N:$N,"&lt;&gt;")=0,"",SUMIFS(IlumaData!$N:$N,IlumaData!$V:$V,$R18,IlumaData!$U:$U,3))</f>
        <v/>
      </c>
      <c r="W18">
        <f>IF(COUNTIFS(IlumaData!$V:$V,$R18,IlumaData!$U:$U,4,IlumaData!$N:$N,"&lt;&gt;")=0,"",SUMIFS(IlumaData!$N:$N,IlumaData!$V:$V,$R18,IlumaData!$U:$U,4))</f>
        <v/>
      </c>
      <c r="X18">
        <f>IF(COUNTIFS(IlumaData!$V:$V,$R18,IlumaData!$U:$U,5,IlumaData!$N:$N,"&lt;&gt;")=0,"",SUMIFS(IlumaData!$N:$N,IlumaData!$V:$V,$R18,IlumaData!$U:$U,5))</f>
        <v/>
      </c>
      <c r="Y18">
        <f>IF(COUNTIFS(IlumaData!$V:$V,$R18,IlumaData!$U:$U,6,IlumaData!$N:$N,"&lt;&gt;")=0,"",SUMIFS(IlumaData!$N:$N,IlumaData!$V:$V,$R18,IlumaData!$U:$U,6))</f>
        <v/>
      </c>
      <c r="Z18">
        <f>IF(COUNTIFS(IlumaData!$V:$V,$R18,IlumaData!$U:$U,7,IlumaData!$N:$N,"&lt;&gt;")=0,"",SUMIFS(IlumaData!$N:$N,IlumaData!$V:$V,$R18,IlumaData!$U:$U,7))</f>
        <v/>
      </c>
      <c r="AA18">
        <f>IF(COUNTIFS(IlumaData!$V:$V,$R18,IlumaData!$U:$U,8,IlumaData!$N:$N,"&lt;&gt;")=0,"",SUMIFS(IlumaData!$N:$N,IlumaData!$V:$V,$R18,IlumaData!$U:$U,8))</f>
        <v/>
      </c>
      <c r="AB18">
        <f>IF(COUNTIFS(IlumaData!$V:$V,$R18,IlumaData!$U:$U,9,IlumaData!$N:$N,"&lt;&gt;")=0,"",SUMIFS(IlumaData!$N:$N,IlumaData!$V:$V,$R18,IlumaData!$U:$U,9))</f>
        <v/>
      </c>
      <c r="AC18">
        <f>IF(COUNTIFS(IlumaData!$V:$V,$R18,IlumaData!$U:$U,10,IlumaData!$N:$N,"&lt;&gt;")=0,"",SUMIFS(IlumaData!$N:$N,IlumaData!$V:$V,$R18,IlumaData!$U:$U,10))</f>
        <v/>
      </c>
      <c r="AD18">
        <f>IF(COUNTIFS(IlumaData!$V:$V,$R18,IlumaData!$U:$U,11,IlumaData!$N:$N,"&lt;&gt;")=0,"",SUMIFS(IlumaData!$N:$N,IlumaData!$V:$V,$R18,IlumaData!$U:$U,11))</f>
        <v/>
      </c>
      <c r="AE18">
        <f>IF(COUNTIFS(IlumaData!$V:$V,$R18,IlumaData!$U:$U,12,IlumaData!$N:$N,"&lt;&gt;")=0,"",SUMIFS(IlumaData!$N:$N,IlumaData!$V:$V,$R18,IlumaData!$U:$U,12))</f>
        <v/>
      </c>
      <c r="AF18">
        <f>IF(COUNTIFS(IlumaData!$V:$V,$R18,IlumaData!$U:$U,13,IlumaData!$N:$N,"&lt;&gt;")=0,"",SUMIFS(IlumaData!$N:$N,IlumaData!$V:$V,$R18,IlumaData!$U:$U,13))</f>
        <v/>
      </c>
      <c r="AG18">
        <f>IF(COUNTIFS(IlumaData!$V:$V,$R18,IlumaData!$U:$U,14,IlumaData!$N:$N,"&lt;&gt;")=0,"",SUMIFS(IlumaData!$N:$N,IlumaData!$V:$V,$R18,IlumaData!$U:$U,14))</f>
        <v/>
      </c>
      <c r="AH18">
        <f>COUNTIFS(IlumaData!$V:$V,$R18,IlumaData!$U:$U,"&lt;="&amp;14,IlumaData!$N:$N,"&lt;&gt;")</f>
        <v/>
      </c>
      <c r="AI18">
        <f>COUNTIFS(IlumaData!$V:$V,$R18,IlumaData!$U:$U,"&lt;="&amp;14,IlumaData!$N:$N,0)</f>
        <v/>
      </c>
      <c r="AJ18">
        <f>IF(AH18=0,"",AH18-AI18)</f>
        <v/>
      </c>
      <c r="AK18">
        <f>IF(AH18=0,"",SUMIFS(IlumaData!$N:$N,IlumaData!$V:$V,$R18,IlumaData!$U:$U,"&lt;="&amp;14))</f>
        <v/>
      </c>
      <c r="AL18">
        <f>IF(AH18=0,"",IF(ABS(MAX(T18:AG18))&gt;=ABS(MIN(T18:AG18)),MAX(T18:AG18),MIN(T18:AG18)))</f>
        <v/>
      </c>
      <c r="AM18">
        <f>IF(AH18=0,-1,AJ18*100000+MIN(ABS(AK18),99999))</f>
        <v/>
      </c>
      <c r="AN18">
        <f>IF($S18="","",1+COUNTIFS($AM$3:$AM$122,"&gt;"&amp;AM18)+COUNTIFS($AM$3:$AM$122,AM18,$R$3:$R$122,"&lt;"&amp;$R18))</f>
        <v/>
      </c>
    </row>
    <row r="19">
      <c r="A19" t="n">
        <v>17</v>
      </c>
      <c r="B19" s="31">
        <f>IFERROR(IF(INDEX(IlumaData!$B:$B,MATCH($A19,IlumaData!$U:$U,0))="","",INDEX(IlumaData!$B:$B,MATCH($A19,IlumaData!$U:$U,0))),"")</f>
        <v/>
      </c>
      <c r="C19">
        <f>IFERROR(IF(INDEX(IlumaData!$D:$D,MATCH($A19,IlumaData!$U:$U,0))="","",INDEX(IlumaData!$D:$D,MATCH($A19,IlumaData!$U:$U,0))),"")</f>
        <v/>
      </c>
      <c r="D19" s="31">
        <f>IFERROR(IF(INDEX(IlumaData!$O:$O,MATCH($A19,IlumaData!$U:$U,0))="","",INDEX(IlumaData!$O:$O,MATCH($A19,IlumaData!$U:$U,0))),"")</f>
        <v/>
      </c>
      <c r="E19">
        <f>COUNTIFS(IlumaData!$U:$U,$A19)</f>
        <v/>
      </c>
      <c r="F19">
        <f>COUNTIFS(IlumaData!$U:$U,$A19,IlumaData!$N:$N,"&lt;&gt;")</f>
        <v/>
      </c>
      <c r="G19">
        <f>COUNTIFS(IlumaData!$U:$U,$A19,IlumaData!$N:$N,0)</f>
        <v/>
      </c>
      <c r="H19">
        <f>IF($F19=0,"",$F19-$G19)</f>
        <v/>
      </c>
      <c r="I19">
        <f>IF($F19=0,"",SUMIFS(IlumaData!$N:$N,IlumaData!$U:$U,$A19))</f>
        <v/>
      </c>
      <c r="J19">
        <f>COUNTIFS(IlumaData!$U:$U,$A19,IlumaData!$Q:$Q,"&lt;&gt;")</f>
        <v/>
      </c>
      <c r="K19">
        <f>IF($J19=0,"",SUMIFS(IlumaData!$Q:$Q,IlumaData!$U:$U,$A19))</f>
        <v/>
      </c>
      <c r="L19">
        <f>COUNTIFS(IlumaData!$U:$U,$A19,IlumaData!$M:$M,"&lt;&gt;")</f>
        <v/>
      </c>
      <c r="M19">
        <f>IF($E19=0,"",IF($L19=0,"not loaded","loaded"))</f>
        <v/>
      </c>
      <c r="N19">
        <f>COUNTIFS(IlumaData!$U:$U,$A19,IlumaData!$I:$I,"&lt;&gt;")</f>
        <v/>
      </c>
      <c r="O19">
        <f>IF($E19=0,"",IF($L19=0,"No POS sales have been loaded for this date, so variance cannot be worked out. Import the sales report for this day and it fills in.",IF($N19=0,"This is the first count of these products, so there is no opening figure to sell down from. Variance starts from the next count.",IF($F19-$G19=0,"Physical and POS agree on every product.",($F19-$G19)&amp;" of "&amp;$F19&amp;" products disagree with the POS. Largest first below."))))</f>
        <v/>
      </c>
      <c r="R19" t="n">
        <v>17</v>
      </c>
      <c r="S19">
        <f>IFERROR(INDEX(IlumaData!$G:$G,MATCH($R19,IlumaData!$V:$V,0)),"")</f>
        <v/>
      </c>
      <c r="T19">
        <f>IF(COUNTIFS(IlumaData!$V:$V,$R19,IlumaData!$U:$U,1,IlumaData!$N:$N,"&lt;&gt;")=0,"",SUMIFS(IlumaData!$N:$N,IlumaData!$V:$V,$R19,IlumaData!$U:$U,1))</f>
        <v/>
      </c>
      <c r="U19">
        <f>IF(COUNTIFS(IlumaData!$V:$V,$R19,IlumaData!$U:$U,2,IlumaData!$N:$N,"&lt;&gt;")=0,"",SUMIFS(IlumaData!$N:$N,IlumaData!$V:$V,$R19,IlumaData!$U:$U,2))</f>
        <v/>
      </c>
      <c r="V19">
        <f>IF(COUNTIFS(IlumaData!$V:$V,$R19,IlumaData!$U:$U,3,IlumaData!$N:$N,"&lt;&gt;")=0,"",SUMIFS(IlumaData!$N:$N,IlumaData!$V:$V,$R19,IlumaData!$U:$U,3))</f>
        <v/>
      </c>
      <c r="W19">
        <f>IF(COUNTIFS(IlumaData!$V:$V,$R19,IlumaData!$U:$U,4,IlumaData!$N:$N,"&lt;&gt;")=0,"",SUMIFS(IlumaData!$N:$N,IlumaData!$V:$V,$R19,IlumaData!$U:$U,4))</f>
        <v/>
      </c>
      <c r="X19">
        <f>IF(COUNTIFS(IlumaData!$V:$V,$R19,IlumaData!$U:$U,5,IlumaData!$N:$N,"&lt;&gt;")=0,"",SUMIFS(IlumaData!$N:$N,IlumaData!$V:$V,$R19,IlumaData!$U:$U,5))</f>
        <v/>
      </c>
      <c r="Y19">
        <f>IF(COUNTIFS(IlumaData!$V:$V,$R19,IlumaData!$U:$U,6,IlumaData!$N:$N,"&lt;&gt;")=0,"",SUMIFS(IlumaData!$N:$N,IlumaData!$V:$V,$R19,IlumaData!$U:$U,6))</f>
        <v/>
      </c>
      <c r="Z19">
        <f>IF(COUNTIFS(IlumaData!$V:$V,$R19,IlumaData!$U:$U,7,IlumaData!$N:$N,"&lt;&gt;")=0,"",SUMIFS(IlumaData!$N:$N,IlumaData!$V:$V,$R19,IlumaData!$U:$U,7))</f>
        <v/>
      </c>
      <c r="AA19">
        <f>IF(COUNTIFS(IlumaData!$V:$V,$R19,IlumaData!$U:$U,8,IlumaData!$N:$N,"&lt;&gt;")=0,"",SUMIFS(IlumaData!$N:$N,IlumaData!$V:$V,$R19,IlumaData!$U:$U,8))</f>
        <v/>
      </c>
      <c r="AB19">
        <f>IF(COUNTIFS(IlumaData!$V:$V,$R19,IlumaData!$U:$U,9,IlumaData!$N:$N,"&lt;&gt;")=0,"",SUMIFS(IlumaData!$N:$N,IlumaData!$V:$V,$R19,IlumaData!$U:$U,9))</f>
        <v/>
      </c>
      <c r="AC19">
        <f>IF(COUNTIFS(IlumaData!$V:$V,$R19,IlumaData!$U:$U,10,IlumaData!$N:$N,"&lt;&gt;")=0,"",SUMIFS(IlumaData!$N:$N,IlumaData!$V:$V,$R19,IlumaData!$U:$U,10))</f>
        <v/>
      </c>
      <c r="AD19">
        <f>IF(COUNTIFS(IlumaData!$V:$V,$R19,IlumaData!$U:$U,11,IlumaData!$N:$N,"&lt;&gt;")=0,"",SUMIFS(IlumaData!$N:$N,IlumaData!$V:$V,$R19,IlumaData!$U:$U,11))</f>
        <v/>
      </c>
      <c r="AE19">
        <f>IF(COUNTIFS(IlumaData!$V:$V,$R19,IlumaData!$U:$U,12,IlumaData!$N:$N,"&lt;&gt;")=0,"",SUMIFS(IlumaData!$N:$N,IlumaData!$V:$V,$R19,IlumaData!$U:$U,12))</f>
        <v/>
      </c>
      <c r="AF19">
        <f>IF(COUNTIFS(IlumaData!$V:$V,$R19,IlumaData!$U:$U,13,IlumaData!$N:$N,"&lt;&gt;")=0,"",SUMIFS(IlumaData!$N:$N,IlumaData!$V:$V,$R19,IlumaData!$U:$U,13))</f>
        <v/>
      </c>
      <c r="AG19">
        <f>IF(COUNTIFS(IlumaData!$V:$V,$R19,IlumaData!$U:$U,14,IlumaData!$N:$N,"&lt;&gt;")=0,"",SUMIFS(IlumaData!$N:$N,IlumaData!$V:$V,$R19,IlumaData!$U:$U,14))</f>
        <v/>
      </c>
      <c r="AH19">
        <f>COUNTIFS(IlumaData!$V:$V,$R19,IlumaData!$U:$U,"&lt;="&amp;14,IlumaData!$N:$N,"&lt;&gt;")</f>
        <v/>
      </c>
      <c r="AI19">
        <f>COUNTIFS(IlumaData!$V:$V,$R19,IlumaData!$U:$U,"&lt;="&amp;14,IlumaData!$N:$N,0)</f>
        <v/>
      </c>
      <c r="AJ19">
        <f>IF(AH19=0,"",AH19-AI19)</f>
        <v/>
      </c>
      <c r="AK19">
        <f>IF(AH19=0,"",SUMIFS(IlumaData!$N:$N,IlumaData!$V:$V,$R19,IlumaData!$U:$U,"&lt;="&amp;14))</f>
        <v/>
      </c>
      <c r="AL19">
        <f>IF(AH19=0,"",IF(ABS(MAX(T19:AG19))&gt;=ABS(MIN(T19:AG19)),MAX(T19:AG19),MIN(T19:AG19)))</f>
        <v/>
      </c>
      <c r="AM19">
        <f>IF(AH19=0,-1,AJ19*100000+MIN(ABS(AK19),99999))</f>
        <v/>
      </c>
      <c r="AN19">
        <f>IF($S19="","",1+COUNTIFS($AM$3:$AM$122,"&gt;"&amp;AM19)+COUNTIFS($AM$3:$AM$122,AM19,$R$3:$R$122,"&lt;"&amp;$R19))</f>
        <v/>
      </c>
    </row>
    <row r="20">
      <c r="A20" t="n">
        <v>18</v>
      </c>
      <c r="B20" s="31">
        <f>IFERROR(IF(INDEX(IlumaData!$B:$B,MATCH($A20,IlumaData!$U:$U,0))="","",INDEX(IlumaData!$B:$B,MATCH($A20,IlumaData!$U:$U,0))),"")</f>
        <v/>
      </c>
      <c r="C20">
        <f>IFERROR(IF(INDEX(IlumaData!$D:$D,MATCH($A20,IlumaData!$U:$U,0))="","",INDEX(IlumaData!$D:$D,MATCH($A20,IlumaData!$U:$U,0))),"")</f>
        <v/>
      </c>
      <c r="D20" s="31">
        <f>IFERROR(IF(INDEX(IlumaData!$O:$O,MATCH($A20,IlumaData!$U:$U,0))="","",INDEX(IlumaData!$O:$O,MATCH($A20,IlumaData!$U:$U,0))),"")</f>
        <v/>
      </c>
      <c r="E20">
        <f>COUNTIFS(IlumaData!$U:$U,$A20)</f>
        <v/>
      </c>
      <c r="F20">
        <f>COUNTIFS(IlumaData!$U:$U,$A20,IlumaData!$N:$N,"&lt;&gt;")</f>
        <v/>
      </c>
      <c r="G20">
        <f>COUNTIFS(IlumaData!$U:$U,$A20,IlumaData!$N:$N,0)</f>
        <v/>
      </c>
      <c r="H20">
        <f>IF($F20=0,"",$F20-$G20)</f>
        <v/>
      </c>
      <c r="I20">
        <f>IF($F20=0,"",SUMIFS(IlumaData!$N:$N,IlumaData!$U:$U,$A20))</f>
        <v/>
      </c>
      <c r="J20">
        <f>COUNTIFS(IlumaData!$U:$U,$A20,IlumaData!$Q:$Q,"&lt;&gt;")</f>
        <v/>
      </c>
      <c r="K20">
        <f>IF($J20=0,"",SUMIFS(IlumaData!$Q:$Q,IlumaData!$U:$U,$A20))</f>
        <v/>
      </c>
      <c r="L20">
        <f>COUNTIFS(IlumaData!$U:$U,$A20,IlumaData!$M:$M,"&lt;&gt;")</f>
        <v/>
      </c>
      <c r="M20">
        <f>IF($E20=0,"",IF($L20=0,"not loaded","loaded"))</f>
        <v/>
      </c>
      <c r="N20">
        <f>COUNTIFS(IlumaData!$U:$U,$A20,IlumaData!$I:$I,"&lt;&gt;")</f>
        <v/>
      </c>
      <c r="O20">
        <f>IF($E20=0,"",IF($L20=0,"No POS sales have been loaded for this date, so variance cannot be worked out. Import the sales report for this day and it fills in.",IF($N20=0,"This is the first count of these products, so there is no opening figure to sell down from. Variance starts from the next count.",IF($F20-$G20=0,"Physical and POS agree on every product.",($F20-$G20)&amp;" of "&amp;$F20&amp;" products disagree with the POS. Largest first below."))))</f>
        <v/>
      </c>
      <c r="R20" t="n">
        <v>18</v>
      </c>
      <c r="S20">
        <f>IFERROR(INDEX(IlumaData!$G:$G,MATCH($R20,IlumaData!$V:$V,0)),"")</f>
        <v/>
      </c>
      <c r="T20">
        <f>IF(COUNTIFS(IlumaData!$V:$V,$R20,IlumaData!$U:$U,1,IlumaData!$N:$N,"&lt;&gt;")=0,"",SUMIFS(IlumaData!$N:$N,IlumaData!$V:$V,$R20,IlumaData!$U:$U,1))</f>
        <v/>
      </c>
      <c r="U20">
        <f>IF(COUNTIFS(IlumaData!$V:$V,$R20,IlumaData!$U:$U,2,IlumaData!$N:$N,"&lt;&gt;")=0,"",SUMIFS(IlumaData!$N:$N,IlumaData!$V:$V,$R20,IlumaData!$U:$U,2))</f>
        <v/>
      </c>
      <c r="V20">
        <f>IF(COUNTIFS(IlumaData!$V:$V,$R20,IlumaData!$U:$U,3,IlumaData!$N:$N,"&lt;&gt;")=0,"",SUMIFS(IlumaData!$N:$N,IlumaData!$V:$V,$R20,IlumaData!$U:$U,3))</f>
        <v/>
      </c>
      <c r="W20">
        <f>IF(COUNTIFS(IlumaData!$V:$V,$R20,IlumaData!$U:$U,4,IlumaData!$N:$N,"&lt;&gt;")=0,"",SUMIFS(IlumaData!$N:$N,IlumaData!$V:$V,$R20,IlumaData!$U:$U,4))</f>
        <v/>
      </c>
      <c r="X20">
        <f>IF(COUNTIFS(IlumaData!$V:$V,$R20,IlumaData!$U:$U,5,IlumaData!$N:$N,"&lt;&gt;")=0,"",SUMIFS(IlumaData!$N:$N,IlumaData!$V:$V,$R20,IlumaData!$U:$U,5))</f>
        <v/>
      </c>
      <c r="Y20">
        <f>IF(COUNTIFS(IlumaData!$V:$V,$R20,IlumaData!$U:$U,6,IlumaData!$N:$N,"&lt;&gt;")=0,"",SUMIFS(IlumaData!$N:$N,IlumaData!$V:$V,$R20,IlumaData!$U:$U,6))</f>
        <v/>
      </c>
      <c r="Z20">
        <f>IF(COUNTIFS(IlumaData!$V:$V,$R20,IlumaData!$U:$U,7,IlumaData!$N:$N,"&lt;&gt;")=0,"",SUMIFS(IlumaData!$N:$N,IlumaData!$V:$V,$R20,IlumaData!$U:$U,7))</f>
        <v/>
      </c>
      <c r="AA20">
        <f>IF(COUNTIFS(IlumaData!$V:$V,$R20,IlumaData!$U:$U,8,IlumaData!$N:$N,"&lt;&gt;")=0,"",SUMIFS(IlumaData!$N:$N,IlumaData!$V:$V,$R20,IlumaData!$U:$U,8))</f>
        <v/>
      </c>
      <c r="AB20">
        <f>IF(COUNTIFS(IlumaData!$V:$V,$R20,IlumaData!$U:$U,9,IlumaData!$N:$N,"&lt;&gt;")=0,"",SUMIFS(IlumaData!$N:$N,IlumaData!$V:$V,$R20,IlumaData!$U:$U,9))</f>
        <v/>
      </c>
      <c r="AC20">
        <f>IF(COUNTIFS(IlumaData!$V:$V,$R20,IlumaData!$U:$U,10,IlumaData!$N:$N,"&lt;&gt;")=0,"",SUMIFS(IlumaData!$N:$N,IlumaData!$V:$V,$R20,IlumaData!$U:$U,10))</f>
        <v/>
      </c>
      <c r="AD20">
        <f>IF(COUNTIFS(IlumaData!$V:$V,$R20,IlumaData!$U:$U,11,IlumaData!$N:$N,"&lt;&gt;")=0,"",SUMIFS(IlumaData!$N:$N,IlumaData!$V:$V,$R20,IlumaData!$U:$U,11))</f>
        <v/>
      </c>
      <c r="AE20">
        <f>IF(COUNTIFS(IlumaData!$V:$V,$R20,IlumaData!$U:$U,12,IlumaData!$N:$N,"&lt;&gt;")=0,"",SUMIFS(IlumaData!$N:$N,IlumaData!$V:$V,$R20,IlumaData!$U:$U,12))</f>
        <v/>
      </c>
      <c r="AF20">
        <f>IF(COUNTIFS(IlumaData!$V:$V,$R20,IlumaData!$U:$U,13,IlumaData!$N:$N,"&lt;&gt;")=0,"",SUMIFS(IlumaData!$N:$N,IlumaData!$V:$V,$R20,IlumaData!$U:$U,13))</f>
        <v/>
      </c>
      <c r="AG20">
        <f>IF(COUNTIFS(IlumaData!$V:$V,$R20,IlumaData!$U:$U,14,IlumaData!$N:$N,"&lt;&gt;")=0,"",SUMIFS(IlumaData!$N:$N,IlumaData!$V:$V,$R20,IlumaData!$U:$U,14))</f>
        <v/>
      </c>
      <c r="AH20">
        <f>COUNTIFS(IlumaData!$V:$V,$R20,IlumaData!$U:$U,"&lt;="&amp;14,IlumaData!$N:$N,"&lt;&gt;")</f>
        <v/>
      </c>
      <c r="AI20">
        <f>COUNTIFS(IlumaData!$V:$V,$R20,IlumaData!$U:$U,"&lt;="&amp;14,IlumaData!$N:$N,0)</f>
        <v/>
      </c>
      <c r="AJ20">
        <f>IF(AH20=0,"",AH20-AI20)</f>
        <v/>
      </c>
      <c r="AK20">
        <f>IF(AH20=0,"",SUMIFS(IlumaData!$N:$N,IlumaData!$V:$V,$R20,IlumaData!$U:$U,"&lt;="&amp;14))</f>
        <v/>
      </c>
      <c r="AL20">
        <f>IF(AH20=0,"",IF(ABS(MAX(T20:AG20))&gt;=ABS(MIN(T20:AG20)),MAX(T20:AG20),MIN(T20:AG20)))</f>
        <v/>
      </c>
      <c r="AM20">
        <f>IF(AH20=0,-1,AJ20*100000+MIN(ABS(AK20),99999))</f>
        <v/>
      </c>
      <c r="AN20">
        <f>IF($S20="","",1+COUNTIFS($AM$3:$AM$122,"&gt;"&amp;AM20)+COUNTIFS($AM$3:$AM$122,AM20,$R$3:$R$122,"&lt;"&amp;$R20))</f>
        <v/>
      </c>
    </row>
    <row r="21">
      <c r="A21" t="n">
        <v>19</v>
      </c>
      <c r="B21" s="31">
        <f>IFERROR(IF(INDEX(IlumaData!$B:$B,MATCH($A21,IlumaData!$U:$U,0))="","",INDEX(IlumaData!$B:$B,MATCH($A21,IlumaData!$U:$U,0))),"")</f>
        <v/>
      </c>
      <c r="C21">
        <f>IFERROR(IF(INDEX(IlumaData!$D:$D,MATCH($A21,IlumaData!$U:$U,0))="","",INDEX(IlumaData!$D:$D,MATCH($A21,IlumaData!$U:$U,0))),"")</f>
        <v/>
      </c>
      <c r="D21" s="31">
        <f>IFERROR(IF(INDEX(IlumaData!$O:$O,MATCH($A21,IlumaData!$U:$U,0))="","",INDEX(IlumaData!$O:$O,MATCH($A21,IlumaData!$U:$U,0))),"")</f>
        <v/>
      </c>
      <c r="E21">
        <f>COUNTIFS(IlumaData!$U:$U,$A21)</f>
        <v/>
      </c>
      <c r="F21">
        <f>COUNTIFS(IlumaData!$U:$U,$A21,IlumaData!$N:$N,"&lt;&gt;")</f>
        <v/>
      </c>
      <c r="G21">
        <f>COUNTIFS(IlumaData!$U:$U,$A21,IlumaData!$N:$N,0)</f>
        <v/>
      </c>
      <c r="H21">
        <f>IF($F21=0,"",$F21-$G21)</f>
        <v/>
      </c>
      <c r="I21">
        <f>IF($F21=0,"",SUMIFS(IlumaData!$N:$N,IlumaData!$U:$U,$A21))</f>
        <v/>
      </c>
      <c r="J21">
        <f>COUNTIFS(IlumaData!$U:$U,$A21,IlumaData!$Q:$Q,"&lt;&gt;")</f>
        <v/>
      </c>
      <c r="K21">
        <f>IF($J21=0,"",SUMIFS(IlumaData!$Q:$Q,IlumaData!$U:$U,$A21))</f>
        <v/>
      </c>
      <c r="L21">
        <f>COUNTIFS(IlumaData!$U:$U,$A21,IlumaData!$M:$M,"&lt;&gt;")</f>
        <v/>
      </c>
      <c r="M21">
        <f>IF($E21=0,"",IF($L21=0,"not loaded","loaded"))</f>
        <v/>
      </c>
      <c r="N21">
        <f>COUNTIFS(IlumaData!$U:$U,$A21,IlumaData!$I:$I,"&lt;&gt;")</f>
        <v/>
      </c>
      <c r="O21">
        <f>IF($E21=0,"",IF($L21=0,"No POS sales have been loaded for this date, so variance cannot be worked out. Import the sales report for this day and it fills in.",IF($N21=0,"This is the first count of these products, so there is no opening figure to sell down from. Variance starts from the next count.",IF($F21-$G21=0,"Physical and POS agree on every product.",($F21-$G21)&amp;" of "&amp;$F21&amp;" products disagree with the POS. Largest first below."))))</f>
        <v/>
      </c>
      <c r="R21" t="n">
        <v>19</v>
      </c>
      <c r="S21">
        <f>IFERROR(INDEX(IlumaData!$G:$G,MATCH($R21,IlumaData!$V:$V,0)),"")</f>
        <v/>
      </c>
      <c r="T21">
        <f>IF(COUNTIFS(IlumaData!$V:$V,$R21,IlumaData!$U:$U,1,IlumaData!$N:$N,"&lt;&gt;")=0,"",SUMIFS(IlumaData!$N:$N,IlumaData!$V:$V,$R21,IlumaData!$U:$U,1))</f>
        <v/>
      </c>
      <c r="U21">
        <f>IF(COUNTIFS(IlumaData!$V:$V,$R21,IlumaData!$U:$U,2,IlumaData!$N:$N,"&lt;&gt;")=0,"",SUMIFS(IlumaData!$N:$N,IlumaData!$V:$V,$R21,IlumaData!$U:$U,2))</f>
        <v/>
      </c>
      <c r="V21">
        <f>IF(COUNTIFS(IlumaData!$V:$V,$R21,IlumaData!$U:$U,3,IlumaData!$N:$N,"&lt;&gt;")=0,"",SUMIFS(IlumaData!$N:$N,IlumaData!$V:$V,$R21,IlumaData!$U:$U,3))</f>
        <v/>
      </c>
      <c r="W21">
        <f>IF(COUNTIFS(IlumaData!$V:$V,$R21,IlumaData!$U:$U,4,IlumaData!$N:$N,"&lt;&gt;")=0,"",SUMIFS(IlumaData!$N:$N,IlumaData!$V:$V,$R21,IlumaData!$U:$U,4))</f>
        <v/>
      </c>
      <c r="X21">
        <f>IF(COUNTIFS(IlumaData!$V:$V,$R21,IlumaData!$U:$U,5,IlumaData!$N:$N,"&lt;&gt;")=0,"",SUMIFS(IlumaData!$N:$N,IlumaData!$V:$V,$R21,IlumaData!$U:$U,5))</f>
        <v/>
      </c>
      <c r="Y21">
        <f>IF(COUNTIFS(IlumaData!$V:$V,$R21,IlumaData!$U:$U,6,IlumaData!$N:$N,"&lt;&gt;")=0,"",SUMIFS(IlumaData!$N:$N,IlumaData!$V:$V,$R21,IlumaData!$U:$U,6))</f>
        <v/>
      </c>
      <c r="Z21">
        <f>IF(COUNTIFS(IlumaData!$V:$V,$R21,IlumaData!$U:$U,7,IlumaData!$N:$N,"&lt;&gt;")=0,"",SUMIFS(IlumaData!$N:$N,IlumaData!$V:$V,$R21,IlumaData!$U:$U,7))</f>
        <v/>
      </c>
      <c r="AA21">
        <f>IF(COUNTIFS(IlumaData!$V:$V,$R21,IlumaData!$U:$U,8,IlumaData!$N:$N,"&lt;&gt;")=0,"",SUMIFS(IlumaData!$N:$N,IlumaData!$V:$V,$R21,IlumaData!$U:$U,8))</f>
        <v/>
      </c>
      <c r="AB21">
        <f>IF(COUNTIFS(IlumaData!$V:$V,$R21,IlumaData!$U:$U,9,IlumaData!$N:$N,"&lt;&gt;")=0,"",SUMIFS(IlumaData!$N:$N,IlumaData!$V:$V,$R21,IlumaData!$U:$U,9))</f>
        <v/>
      </c>
      <c r="AC21">
        <f>IF(COUNTIFS(IlumaData!$V:$V,$R21,IlumaData!$U:$U,10,IlumaData!$N:$N,"&lt;&gt;")=0,"",SUMIFS(IlumaData!$N:$N,IlumaData!$V:$V,$R21,IlumaData!$U:$U,10))</f>
        <v/>
      </c>
      <c r="AD21">
        <f>IF(COUNTIFS(IlumaData!$V:$V,$R21,IlumaData!$U:$U,11,IlumaData!$N:$N,"&lt;&gt;")=0,"",SUMIFS(IlumaData!$N:$N,IlumaData!$V:$V,$R21,IlumaData!$U:$U,11))</f>
        <v/>
      </c>
      <c r="AE21">
        <f>IF(COUNTIFS(IlumaData!$V:$V,$R21,IlumaData!$U:$U,12,IlumaData!$N:$N,"&lt;&gt;")=0,"",SUMIFS(IlumaData!$N:$N,IlumaData!$V:$V,$R21,IlumaData!$U:$U,12))</f>
        <v/>
      </c>
      <c r="AF21">
        <f>IF(COUNTIFS(IlumaData!$V:$V,$R21,IlumaData!$U:$U,13,IlumaData!$N:$N,"&lt;&gt;")=0,"",SUMIFS(IlumaData!$N:$N,IlumaData!$V:$V,$R21,IlumaData!$U:$U,13))</f>
        <v/>
      </c>
      <c r="AG21">
        <f>IF(COUNTIFS(IlumaData!$V:$V,$R21,IlumaData!$U:$U,14,IlumaData!$N:$N,"&lt;&gt;")=0,"",SUMIFS(IlumaData!$N:$N,IlumaData!$V:$V,$R21,IlumaData!$U:$U,14))</f>
        <v/>
      </c>
      <c r="AH21">
        <f>COUNTIFS(IlumaData!$V:$V,$R21,IlumaData!$U:$U,"&lt;="&amp;14,IlumaData!$N:$N,"&lt;&gt;")</f>
        <v/>
      </c>
      <c r="AI21">
        <f>COUNTIFS(IlumaData!$V:$V,$R21,IlumaData!$U:$U,"&lt;="&amp;14,IlumaData!$N:$N,0)</f>
        <v/>
      </c>
      <c r="AJ21">
        <f>IF(AH21=0,"",AH21-AI21)</f>
        <v/>
      </c>
      <c r="AK21">
        <f>IF(AH21=0,"",SUMIFS(IlumaData!$N:$N,IlumaData!$V:$V,$R21,IlumaData!$U:$U,"&lt;="&amp;14))</f>
        <v/>
      </c>
      <c r="AL21">
        <f>IF(AH21=0,"",IF(ABS(MAX(T21:AG21))&gt;=ABS(MIN(T21:AG21)),MAX(T21:AG21),MIN(T21:AG21)))</f>
        <v/>
      </c>
      <c r="AM21">
        <f>IF(AH21=0,-1,AJ21*100000+MIN(ABS(AK21),99999))</f>
        <v/>
      </c>
      <c r="AN21">
        <f>IF($S21="","",1+COUNTIFS($AM$3:$AM$122,"&gt;"&amp;AM21)+COUNTIFS($AM$3:$AM$122,AM21,$R$3:$R$122,"&lt;"&amp;$R21))</f>
        <v/>
      </c>
    </row>
    <row r="22">
      <c r="A22" t="n">
        <v>20</v>
      </c>
      <c r="B22" s="31">
        <f>IFERROR(IF(INDEX(IlumaData!$B:$B,MATCH($A22,IlumaData!$U:$U,0))="","",INDEX(IlumaData!$B:$B,MATCH($A22,IlumaData!$U:$U,0))),"")</f>
        <v/>
      </c>
      <c r="C22">
        <f>IFERROR(IF(INDEX(IlumaData!$D:$D,MATCH($A22,IlumaData!$U:$U,0))="","",INDEX(IlumaData!$D:$D,MATCH($A22,IlumaData!$U:$U,0))),"")</f>
        <v/>
      </c>
      <c r="D22" s="31">
        <f>IFERROR(IF(INDEX(IlumaData!$O:$O,MATCH($A22,IlumaData!$U:$U,0))="","",INDEX(IlumaData!$O:$O,MATCH($A22,IlumaData!$U:$U,0))),"")</f>
        <v/>
      </c>
      <c r="E22">
        <f>COUNTIFS(IlumaData!$U:$U,$A22)</f>
        <v/>
      </c>
      <c r="F22">
        <f>COUNTIFS(IlumaData!$U:$U,$A22,IlumaData!$N:$N,"&lt;&gt;")</f>
        <v/>
      </c>
      <c r="G22">
        <f>COUNTIFS(IlumaData!$U:$U,$A22,IlumaData!$N:$N,0)</f>
        <v/>
      </c>
      <c r="H22">
        <f>IF($F22=0,"",$F22-$G22)</f>
        <v/>
      </c>
      <c r="I22">
        <f>IF($F22=0,"",SUMIFS(IlumaData!$N:$N,IlumaData!$U:$U,$A22))</f>
        <v/>
      </c>
      <c r="J22">
        <f>COUNTIFS(IlumaData!$U:$U,$A22,IlumaData!$Q:$Q,"&lt;&gt;")</f>
        <v/>
      </c>
      <c r="K22">
        <f>IF($J22=0,"",SUMIFS(IlumaData!$Q:$Q,IlumaData!$U:$U,$A22))</f>
        <v/>
      </c>
      <c r="L22">
        <f>COUNTIFS(IlumaData!$U:$U,$A22,IlumaData!$M:$M,"&lt;&gt;")</f>
        <v/>
      </c>
      <c r="M22">
        <f>IF($E22=0,"",IF($L22=0,"not loaded","loaded"))</f>
        <v/>
      </c>
      <c r="N22">
        <f>COUNTIFS(IlumaData!$U:$U,$A22,IlumaData!$I:$I,"&lt;&gt;")</f>
        <v/>
      </c>
      <c r="O22">
        <f>IF($E22=0,"",IF($L22=0,"No POS sales have been loaded for this date, so variance cannot be worked out. Import the sales report for this day and it fills in.",IF($N22=0,"This is the first count of these products, so there is no opening figure to sell down from. Variance starts from the next count.",IF($F22-$G22=0,"Physical and POS agree on every product.",($F22-$G22)&amp;" of "&amp;$F22&amp;" products disagree with the POS. Largest first below."))))</f>
        <v/>
      </c>
      <c r="R22" t="n">
        <v>20</v>
      </c>
      <c r="S22">
        <f>IFERROR(INDEX(IlumaData!$G:$G,MATCH($R22,IlumaData!$V:$V,0)),"")</f>
        <v/>
      </c>
      <c r="T22">
        <f>IF(COUNTIFS(IlumaData!$V:$V,$R22,IlumaData!$U:$U,1,IlumaData!$N:$N,"&lt;&gt;")=0,"",SUMIFS(IlumaData!$N:$N,IlumaData!$V:$V,$R22,IlumaData!$U:$U,1))</f>
        <v/>
      </c>
      <c r="U22">
        <f>IF(COUNTIFS(IlumaData!$V:$V,$R22,IlumaData!$U:$U,2,IlumaData!$N:$N,"&lt;&gt;")=0,"",SUMIFS(IlumaData!$N:$N,IlumaData!$V:$V,$R22,IlumaData!$U:$U,2))</f>
        <v/>
      </c>
      <c r="V22">
        <f>IF(COUNTIFS(IlumaData!$V:$V,$R22,IlumaData!$U:$U,3,IlumaData!$N:$N,"&lt;&gt;")=0,"",SUMIFS(IlumaData!$N:$N,IlumaData!$V:$V,$R22,IlumaData!$U:$U,3))</f>
        <v/>
      </c>
      <c r="W22">
        <f>IF(COUNTIFS(IlumaData!$V:$V,$R22,IlumaData!$U:$U,4,IlumaData!$N:$N,"&lt;&gt;")=0,"",SUMIFS(IlumaData!$N:$N,IlumaData!$V:$V,$R22,IlumaData!$U:$U,4))</f>
        <v/>
      </c>
      <c r="X22">
        <f>IF(COUNTIFS(IlumaData!$V:$V,$R22,IlumaData!$U:$U,5,IlumaData!$N:$N,"&lt;&gt;")=0,"",SUMIFS(IlumaData!$N:$N,IlumaData!$V:$V,$R22,IlumaData!$U:$U,5))</f>
        <v/>
      </c>
      <c r="Y22">
        <f>IF(COUNTIFS(IlumaData!$V:$V,$R22,IlumaData!$U:$U,6,IlumaData!$N:$N,"&lt;&gt;")=0,"",SUMIFS(IlumaData!$N:$N,IlumaData!$V:$V,$R22,IlumaData!$U:$U,6))</f>
        <v/>
      </c>
      <c r="Z22">
        <f>IF(COUNTIFS(IlumaData!$V:$V,$R22,IlumaData!$U:$U,7,IlumaData!$N:$N,"&lt;&gt;")=0,"",SUMIFS(IlumaData!$N:$N,IlumaData!$V:$V,$R22,IlumaData!$U:$U,7))</f>
        <v/>
      </c>
      <c r="AA22">
        <f>IF(COUNTIFS(IlumaData!$V:$V,$R22,IlumaData!$U:$U,8,IlumaData!$N:$N,"&lt;&gt;")=0,"",SUMIFS(IlumaData!$N:$N,IlumaData!$V:$V,$R22,IlumaData!$U:$U,8))</f>
        <v/>
      </c>
      <c r="AB22">
        <f>IF(COUNTIFS(IlumaData!$V:$V,$R22,IlumaData!$U:$U,9,IlumaData!$N:$N,"&lt;&gt;")=0,"",SUMIFS(IlumaData!$N:$N,IlumaData!$V:$V,$R22,IlumaData!$U:$U,9))</f>
        <v/>
      </c>
      <c r="AC22">
        <f>IF(COUNTIFS(IlumaData!$V:$V,$R22,IlumaData!$U:$U,10,IlumaData!$N:$N,"&lt;&gt;")=0,"",SUMIFS(IlumaData!$N:$N,IlumaData!$V:$V,$R22,IlumaData!$U:$U,10))</f>
        <v/>
      </c>
      <c r="AD22">
        <f>IF(COUNTIFS(IlumaData!$V:$V,$R22,IlumaData!$U:$U,11,IlumaData!$N:$N,"&lt;&gt;")=0,"",SUMIFS(IlumaData!$N:$N,IlumaData!$V:$V,$R22,IlumaData!$U:$U,11))</f>
        <v/>
      </c>
      <c r="AE22">
        <f>IF(COUNTIFS(IlumaData!$V:$V,$R22,IlumaData!$U:$U,12,IlumaData!$N:$N,"&lt;&gt;")=0,"",SUMIFS(IlumaData!$N:$N,IlumaData!$V:$V,$R22,IlumaData!$U:$U,12))</f>
        <v/>
      </c>
      <c r="AF22">
        <f>IF(COUNTIFS(IlumaData!$V:$V,$R22,IlumaData!$U:$U,13,IlumaData!$N:$N,"&lt;&gt;")=0,"",SUMIFS(IlumaData!$N:$N,IlumaData!$V:$V,$R22,IlumaData!$U:$U,13))</f>
        <v/>
      </c>
      <c r="AG22">
        <f>IF(COUNTIFS(IlumaData!$V:$V,$R22,IlumaData!$U:$U,14,IlumaData!$N:$N,"&lt;&gt;")=0,"",SUMIFS(IlumaData!$N:$N,IlumaData!$V:$V,$R22,IlumaData!$U:$U,14))</f>
        <v/>
      </c>
      <c r="AH22">
        <f>COUNTIFS(IlumaData!$V:$V,$R22,IlumaData!$U:$U,"&lt;="&amp;14,IlumaData!$N:$N,"&lt;&gt;")</f>
        <v/>
      </c>
      <c r="AI22">
        <f>COUNTIFS(IlumaData!$V:$V,$R22,IlumaData!$U:$U,"&lt;="&amp;14,IlumaData!$N:$N,0)</f>
        <v/>
      </c>
      <c r="AJ22">
        <f>IF(AH22=0,"",AH22-AI22)</f>
        <v/>
      </c>
      <c r="AK22">
        <f>IF(AH22=0,"",SUMIFS(IlumaData!$N:$N,IlumaData!$V:$V,$R22,IlumaData!$U:$U,"&lt;="&amp;14))</f>
        <v/>
      </c>
      <c r="AL22">
        <f>IF(AH22=0,"",IF(ABS(MAX(T22:AG22))&gt;=ABS(MIN(T22:AG22)),MAX(T22:AG22),MIN(T22:AG22)))</f>
        <v/>
      </c>
      <c r="AM22">
        <f>IF(AH22=0,-1,AJ22*100000+MIN(ABS(AK22),99999))</f>
        <v/>
      </c>
      <c r="AN22">
        <f>IF($S22="","",1+COUNTIFS($AM$3:$AM$122,"&gt;"&amp;AM22)+COUNTIFS($AM$3:$AM$122,AM22,$R$3:$R$122,"&lt;"&amp;$R22))</f>
        <v/>
      </c>
    </row>
    <row r="23">
      <c r="A23" t="n">
        <v>21</v>
      </c>
      <c r="B23" s="31">
        <f>IFERROR(IF(INDEX(IlumaData!$B:$B,MATCH($A23,IlumaData!$U:$U,0))="","",INDEX(IlumaData!$B:$B,MATCH($A23,IlumaData!$U:$U,0))),"")</f>
        <v/>
      </c>
      <c r="C23">
        <f>IFERROR(IF(INDEX(IlumaData!$D:$D,MATCH($A23,IlumaData!$U:$U,0))="","",INDEX(IlumaData!$D:$D,MATCH($A23,IlumaData!$U:$U,0))),"")</f>
        <v/>
      </c>
      <c r="D23" s="31">
        <f>IFERROR(IF(INDEX(IlumaData!$O:$O,MATCH($A23,IlumaData!$U:$U,0))="","",INDEX(IlumaData!$O:$O,MATCH($A23,IlumaData!$U:$U,0))),"")</f>
        <v/>
      </c>
      <c r="E23">
        <f>COUNTIFS(IlumaData!$U:$U,$A23)</f>
        <v/>
      </c>
      <c r="F23">
        <f>COUNTIFS(IlumaData!$U:$U,$A23,IlumaData!$N:$N,"&lt;&gt;")</f>
        <v/>
      </c>
      <c r="G23">
        <f>COUNTIFS(IlumaData!$U:$U,$A23,IlumaData!$N:$N,0)</f>
        <v/>
      </c>
      <c r="H23">
        <f>IF($F23=0,"",$F23-$G23)</f>
        <v/>
      </c>
      <c r="I23">
        <f>IF($F23=0,"",SUMIFS(IlumaData!$N:$N,IlumaData!$U:$U,$A23))</f>
        <v/>
      </c>
      <c r="J23">
        <f>COUNTIFS(IlumaData!$U:$U,$A23,IlumaData!$Q:$Q,"&lt;&gt;")</f>
        <v/>
      </c>
      <c r="K23">
        <f>IF($J23=0,"",SUMIFS(IlumaData!$Q:$Q,IlumaData!$U:$U,$A23))</f>
        <v/>
      </c>
      <c r="L23">
        <f>COUNTIFS(IlumaData!$U:$U,$A23,IlumaData!$M:$M,"&lt;&gt;")</f>
        <v/>
      </c>
      <c r="M23">
        <f>IF($E23=0,"",IF($L23=0,"not loaded","loaded"))</f>
        <v/>
      </c>
      <c r="N23">
        <f>COUNTIFS(IlumaData!$U:$U,$A23,IlumaData!$I:$I,"&lt;&gt;")</f>
        <v/>
      </c>
      <c r="O23">
        <f>IF($E23=0,"",IF($L23=0,"No POS sales have been loaded for this date, so variance cannot be worked out. Import the sales report for this day and it fills in.",IF($N23=0,"This is the first count of these products, so there is no opening figure to sell down from. Variance starts from the next count.",IF($F23-$G23=0,"Physical and POS agree on every product.",($F23-$G23)&amp;" of "&amp;$F23&amp;" products disagree with the POS. Largest first below."))))</f>
        <v/>
      </c>
      <c r="R23" t="n">
        <v>21</v>
      </c>
      <c r="S23">
        <f>IFERROR(INDEX(IlumaData!$G:$G,MATCH($R23,IlumaData!$V:$V,0)),"")</f>
        <v/>
      </c>
      <c r="T23">
        <f>IF(COUNTIFS(IlumaData!$V:$V,$R23,IlumaData!$U:$U,1,IlumaData!$N:$N,"&lt;&gt;")=0,"",SUMIFS(IlumaData!$N:$N,IlumaData!$V:$V,$R23,IlumaData!$U:$U,1))</f>
        <v/>
      </c>
      <c r="U23">
        <f>IF(COUNTIFS(IlumaData!$V:$V,$R23,IlumaData!$U:$U,2,IlumaData!$N:$N,"&lt;&gt;")=0,"",SUMIFS(IlumaData!$N:$N,IlumaData!$V:$V,$R23,IlumaData!$U:$U,2))</f>
        <v/>
      </c>
      <c r="V23">
        <f>IF(COUNTIFS(IlumaData!$V:$V,$R23,IlumaData!$U:$U,3,IlumaData!$N:$N,"&lt;&gt;")=0,"",SUMIFS(IlumaData!$N:$N,IlumaData!$V:$V,$R23,IlumaData!$U:$U,3))</f>
        <v/>
      </c>
      <c r="W23">
        <f>IF(COUNTIFS(IlumaData!$V:$V,$R23,IlumaData!$U:$U,4,IlumaData!$N:$N,"&lt;&gt;")=0,"",SUMIFS(IlumaData!$N:$N,IlumaData!$V:$V,$R23,IlumaData!$U:$U,4))</f>
        <v/>
      </c>
      <c r="X23">
        <f>IF(COUNTIFS(IlumaData!$V:$V,$R23,IlumaData!$U:$U,5,IlumaData!$N:$N,"&lt;&gt;")=0,"",SUMIFS(IlumaData!$N:$N,IlumaData!$V:$V,$R23,IlumaData!$U:$U,5))</f>
        <v/>
      </c>
      <c r="Y23">
        <f>IF(COUNTIFS(IlumaData!$V:$V,$R23,IlumaData!$U:$U,6,IlumaData!$N:$N,"&lt;&gt;")=0,"",SUMIFS(IlumaData!$N:$N,IlumaData!$V:$V,$R23,IlumaData!$U:$U,6))</f>
        <v/>
      </c>
      <c r="Z23">
        <f>IF(COUNTIFS(IlumaData!$V:$V,$R23,IlumaData!$U:$U,7,IlumaData!$N:$N,"&lt;&gt;")=0,"",SUMIFS(IlumaData!$N:$N,IlumaData!$V:$V,$R23,IlumaData!$U:$U,7))</f>
        <v/>
      </c>
      <c r="AA23">
        <f>IF(COUNTIFS(IlumaData!$V:$V,$R23,IlumaData!$U:$U,8,IlumaData!$N:$N,"&lt;&gt;")=0,"",SUMIFS(IlumaData!$N:$N,IlumaData!$V:$V,$R23,IlumaData!$U:$U,8))</f>
        <v/>
      </c>
      <c r="AB23">
        <f>IF(COUNTIFS(IlumaData!$V:$V,$R23,IlumaData!$U:$U,9,IlumaData!$N:$N,"&lt;&gt;")=0,"",SUMIFS(IlumaData!$N:$N,IlumaData!$V:$V,$R23,IlumaData!$U:$U,9))</f>
        <v/>
      </c>
      <c r="AC23">
        <f>IF(COUNTIFS(IlumaData!$V:$V,$R23,IlumaData!$U:$U,10,IlumaData!$N:$N,"&lt;&gt;")=0,"",SUMIFS(IlumaData!$N:$N,IlumaData!$V:$V,$R23,IlumaData!$U:$U,10))</f>
        <v/>
      </c>
      <c r="AD23">
        <f>IF(COUNTIFS(IlumaData!$V:$V,$R23,IlumaData!$U:$U,11,IlumaData!$N:$N,"&lt;&gt;")=0,"",SUMIFS(IlumaData!$N:$N,IlumaData!$V:$V,$R23,IlumaData!$U:$U,11))</f>
        <v/>
      </c>
      <c r="AE23">
        <f>IF(COUNTIFS(IlumaData!$V:$V,$R23,IlumaData!$U:$U,12,IlumaData!$N:$N,"&lt;&gt;")=0,"",SUMIFS(IlumaData!$N:$N,IlumaData!$V:$V,$R23,IlumaData!$U:$U,12))</f>
        <v/>
      </c>
      <c r="AF23">
        <f>IF(COUNTIFS(IlumaData!$V:$V,$R23,IlumaData!$U:$U,13,IlumaData!$N:$N,"&lt;&gt;")=0,"",SUMIFS(IlumaData!$N:$N,IlumaData!$V:$V,$R23,IlumaData!$U:$U,13))</f>
        <v/>
      </c>
      <c r="AG23">
        <f>IF(COUNTIFS(IlumaData!$V:$V,$R23,IlumaData!$U:$U,14,IlumaData!$N:$N,"&lt;&gt;")=0,"",SUMIFS(IlumaData!$N:$N,IlumaData!$V:$V,$R23,IlumaData!$U:$U,14))</f>
        <v/>
      </c>
      <c r="AH23">
        <f>COUNTIFS(IlumaData!$V:$V,$R23,IlumaData!$U:$U,"&lt;="&amp;14,IlumaData!$N:$N,"&lt;&gt;")</f>
        <v/>
      </c>
      <c r="AI23">
        <f>COUNTIFS(IlumaData!$V:$V,$R23,IlumaData!$U:$U,"&lt;="&amp;14,IlumaData!$N:$N,0)</f>
        <v/>
      </c>
      <c r="AJ23">
        <f>IF(AH23=0,"",AH23-AI23)</f>
        <v/>
      </c>
      <c r="AK23">
        <f>IF(AH23=0,"",SUMIFS(IlumaData!$N:$N,IlumaData!$V:$V,$R23,IlumaData!$U:$U,"&lt;="&amp;14))</f>
        <v/>
      </c>
      <c r="AL23">
        <f>IF(AH23=0,"",IF(ABS(MAX(T23:AG23))&gt;=ABS(MIN(T23:AG23)),MAX(T23:AG23),MIN(T23:AG23)))</f>
        <v/>
      </c>
      <c r="AM23">
        <f>IF(AH23=0,-1,AJ23*100000+MIN(ABS(AK23),99999))</f>
        <v/>
      </c>
      <c r="AN23">
        <f>IF($S23="","",1+COUNTIFS($AM$3:$AM$122,"&gt;"&amp;AM23)+COUNTIFS($AM$3:$AM$122,AM23,$R$3:$R$122,"&lt;"&amp;$R23))</f>
        <v/>
      </c>
    </row>
    <row r="24">
      <c r="A24" t="n">
        <v>22</v>
      </c>
      <c r="B24" s="31">
        <f>IFERROR(IF(INDEX(IlumaData!$B:$B,MATCH($A24,IlumaData!$U:$U,0))="","",INDEX(IlumaData!$B:$B,MATCH($A24,IlumaData!$U:$U,0))),"")</f>
        <v/>
      </c>
      <c r="C24">
        <f>IFERROR(IF(INDEX(IlumaData!$D:$D,MATCH($A24,IlumaData!$U:$U,0))="","",INDEX(IlumaData!$D:$D,MATCH($A24,IlumaData!$U:$U,0))),"")</f>
        <v/>
      </c>
      <c r="D24" s="31">
        <f>IFERROR(IF(INDEX(IlumaData!$O:$O,MATCH($A24,IlumaData!$U:$U,0))="","",INDEX(IlumaData!$O:$O,MATCH($A24,IlumaData!$U:$U,0))),"")</f>
        <v/>
      </c>
      <c r="E24">
        <f>COUNTIFS(IlumaData!$U:$U,$A24)</f>
        <v/>
      </c>
      <c r="F24">
        <f>COUNTIFS(IlumaData!$U:$U,$A24,IlumaData!$N:$N,"&lt;&gt;")</f>
        <v/>
      </c>
      <c r="G24">
        <f>COUNTIFS(IlumaData!$U:$U,$A24,IlumaData!$N:$N,0)</f>
        <v/>
      </c>
      <c r="H24">
        <f>IF($F24=0,"",$F24-$G24)</f>
        <v/>
      </c>
      <c r="I24">
        <f>IF($F24=0,"",SUMIFS(IlumaData!$N:$N,IlumaData!$U:$U,$A24))</f>
        <v/>
      </c>
      <c r="J24">
        <f>COUNTIFS(IlumaData!$U:$U,$A24,IlumaData!$Q:$Q,"&lt;&gt;")</f>
        <v/>
      </c>
      <c r="K24">
        <f>IF($J24=0,"",SUMIFS(IlumaData!$Q:$Q,IlumaData!$U:$U,$A24))</f>
        <v/>
      </c>
      <c r="L24">
        <f>COUNTIFS(IlumaData!$U:$U,$A24,IlumaData!$M:$M,"&lt;&gt;")</f>
        <v/>
      </c>
      <c r="M24">
        <f>IF($E24=0,"",IF($L24=0,"not loaded","loaded"))</f>
        <v/>
      </c>
      <c r="N24">
        <f>COUNTIFS(IlumaData!$U:$U,$A24,IlumaData!$I:$I,"&lt;&gt;")</f>
        <v/>
      </c>
      <c r="O24">
        <f>IF($E24=0,"",IF($L24=0,"No POS sales have been loaded for this date, so variance cannot be worked out. Import the sales report for this day and it fills in.",IF($N24=0,"This is the first count of these products, so there is no opening figure to sell down from. Variance starts from the next count.",IF($F24-$G24=0,"Physical and POS agree on every product.",($F24-$G24)&amp;" of "&amp;$F24&amp;" products disagree with the POS. Largest first below."))))</f>
        <v/>
      </c>
      <c r="R24" t="n">
        <v>22</v>
      </c>
      <c r="S24">
        <f>IFERROR(INDEX(IlumaData!$G:$G,MATCH($R24,IlumaData!$V:$V,0)),"")</f>
        <v/>
      </c>
      <c r="T24">
        <f>IF(COUNTIFS(IlumaData!$V:$V,$R24,IlumaData!$U:$U,1,IlumaData!$N:$N,"&lt;&gt;")=0,"",SUMIFS(IlumaData!$N:$N,IlumaData!$V:$V,$R24,IlumaData!$U:$U,1))</f>
        <v/>
      </c>
      <c r="U24">
        <f>IF(COUNTIFS(IlumaData!$V:$V,$R24,IlumaData!$U:$U,2,IlumaData!$N:$N,"&lt;&gt;")=0,"",SUMIFS(IlumaData!$N:$N,IlumaData!$V:$V,$R24,IlumaData!$U:$U,2))</f>
        <v/>
      </c>
      <c r="V24">
        <f>IF(COUNTIFS(IlumaData!$V:$V,$R24,IlumaData!$U:$U,3,IlumaData!$N:$N,"&lt;&gt;")=0,"",SUMIFS(IlumaData!$N:$N,IlumaData!$V:$V,$R24,IlumaData!$U:$U,3))</f>
        <v/>
      </c>
      <c r="W24">
        <f>IF(COUNTIFS(IlumaData!$V:$V,$R24,IlumaData!$U:$U,4,IlumaData!$N:$N,"&lt;&gt;")=0,"",SUMIFS(IlumaData!$N:$N,IlumaData!$V:$V,$R24,IlumaData!$U:$U,4))</f>
        <v/>
      </c>
      <c r="X24">
        <f>IF(COUNTIFS(IlumaData!$V:$V,$R24,IlumaData!$U:$U,5,IlumaData!$N:$N,"&lt;&gt;")=0,"",SUMIFS(IlumaData!$N:$N,IlumaData!$V:$V,$R24,IlumaData!$U:$U,5))</f>
        <v/>
      </c>
      <c r="Y24">
        <f>IF(COUNTIFS(IlumaData!$V:$V,$R24,IlumaData!$U:$U,6,IlumaData!$N:$N,"&lt;&gt;")=0,"",SUMIFS(IlumaData!$N:$N,IlumaData!$V:$V,$R24,IlumaData!$U:$U,6))</f>
        <v/>
      </c>
      <c r="Z24">
        <f>IF(COUNTIFS(IlumaData!$V:$V,$R24,IlumaData!$U:$U,7,IlumaData!$N:$N,"&lt;&gt;")=0,"",SUMIFS(IlumaData!$N:$N,IlumaData!$V:$V,$R24,IlumaData!$U:$U,7))</f>
        <v/>
      </c>
      <c r="AA24">
        <f>IF(COUNTIFS(IlumaData!$V:$V,$R24,IlumaData!$U:$U,8,IlumaData!$N:$N,"&lt;&gt;")=0,"",SUMIFS(IlumaData!$N:$N,IlumaData!$V:$V,$R24,IlumaData!$U:$U,8))</f>
        <v/>
      </c>
      <c r="AB24">
        <f>IF(COUNTIFS(IlumaData!$V:$V,$R24,IlumaData!$U:$U,9,IlumaData!$N:$N,"&lt;&gt;")=0,"",SUMIFS(IlumaData!$N:$N,IlumaData!$V:$V,$R24,IlumaData!$U:$U,9))</f>
        <v/>
      </c>
      <c r="AC24">
        <f>IF(COUNTIFS(IlumaData!$V:$V,$R24,IlumaData!$U:$U,10,IlumaData!$N:$N,"&lt;&gt;")=0,"",SUMIFS(IlumaData!$N:$N,IlumaData!$V:$V,$R24,IlumaData!$U:$U,10))</f>
        <v/>
      </c>
      <c r="AD24">
        <f>IF(COUNTIFS(IlumaData!$V:$V,$R24,IlumaData!$U:$U,11,IlumaData!$N:$N,"&lt;&gt;")=0,"",SUMIFS(IlumaData!$N:$N,IlumaData!$V:$V,$R24,IlumaData!$U:$U,11))</f>
        <v/>
      </c>
      <c r="AE24">
        <f>IF(COUNTIFS(IlumaData!$V:$V,$R24,IlumaData!$U:$U,12,IlumaData!$N:$N,"&lt;&gt;")=0,"",SUMIFS(IlumaData!$N:$N,IlumaData!$V:$V,$R24,IlumaData!$U:$U,12))</f>
        <v/>
      </c>
      <c r="AF24">
        <f>IF(COUNTIFS(IlumaData!$V:$V,$R24,IlumaData!$U:$U,13,IlumaData!$N:$N,"&lt;&gt;")=0,"",SUMIFS(IlumaData!$N:$N,IlumaData!$V:$V,$R24,IlumaData!$U:$U,13))</f>
        <v/>
      </c>
      <c r="AG24">
        <f>IF(COUNTIFS(IlumaData!$V:$V,$R24,IlumaData!$U:$U,14,IlumaData!$N:$N,"&lt;&gt;")=0,"",SUMIFS(IlumaData!$N:$N,IlumaData!$V:$V,$R24,IlumaData!$U:$U,14))</f>
        <v/>
      </c>
      <c r="AH24">
        <f>COUNTIFS(IlumaData!$V:$V,$R24,IlumaData!$U:$U,"&lt;="&amp;14,IlumaData!$N:$N,"&lt;&gt;")</f>
        <v/>
      </c>
      <c r="AI24">
        <f>COUNTIFS(IlumaData!$V:$V,$R24,IlumaData!$U:$U,"&lt;="&amp;14,IlumaData!$N:$N,0)</f>
        <v/>
      </c>
      <c r="AJ24">
        <f>IF(AH24=0,"",AH24-AI24)</f>
        <v/>
      </c>
      <c r="AK24">
        <f>IF(AH24=0,"",SUMIFS(IlumaData!$N:$N,IlumaData!$V:$V,$R24,IlumaData!$U:$U,"&lt;="&amp;14))</f>
        <v/>
      </c>
      <c r="AL24">
        <f>IF(AH24=0,"",IF(ABS(MAX(T24:AG24))&gt;=ABS(MIN(T24:AG24)),MAX(T24:AG24),MIN(T24:AG24)))</f>
        <v/>
      </c>
      <c r="AM24">
        <f>IF(AH24=0,-1,AJ24*100000+MIN(ABS(AK24),99999))</f>
        <v/>
      </c>
      <c r="AN24">
        <f>IF($S24="","",1+COUNTIFS($AM$3:$AM$122,"&gt;"&amp;AM24)+COUNTIFS($AM$3:$AM$122,AM24,$R$3:$R$122,"&lt;"&amp;$R24))</f>
        <v/>
      </c>
    </row>
    <row r="25">
      <c r="A25" t="n">
        <v>23</v>
      </c>
      <c r="B25" s="31">
        <f>IFERROR(IF(INDEX(IlumaData!$B:$B,MATCH($A25,IlumaData!$U:$U,0))="","",INDEX(IlumaData!$B:$B,MATCH($A25,IlumaData!$U:$U,0))),"")</f>
        <v/>
      </c>
      <c r="C25">
        <f>IFERROR(IF(INDEX(IlumaData!$D:$D,MATCH($A25,IlumaData!$U:$U,0))="","",INDEX(IlumaData!$D:$D,MATCH($A25,IlumaData!$U:$U,0))),"")</f>
        <v/>
      </c>
      <c r="D25" s="31">
        <f>IFERROR(IF(INDEX(IlumaData!$O:$O,MATCH($A25,IlumaData!$U:$U,0))="","",INDEX(IlumaData!$O:$O,MATCH($A25,IlumaData!$U:$U,0))),"")</f>
        <v/>
      </c>
      <c r="E25">
        <f>COUNTIFS(IlumaData!$U:$U,$A25)</f>
        <v/>
      </c>
      <c r="F25">
        <f>COUNTIFS(IlumaData!$U:$U,$A25,IlumaData!$N:$N,"&lt;&gt;")</f>
        <v/>
      </c>
      <c r="G25">
        <f>COUNTIFS(IlumaData!$U:$U,$A25,IlumaData!$N:$N,0)</f>
        <v/>
      </c>
      <c r="H25">
        <f>IF($F25=0,"",$F25-$G25)</f>
        <v/>
      </c>
      <c r="I25">
        <f>IF($F25=0,"",SUMIFS(IlumaData!$N:$N,IlumaData!$U:$U,$A25))</f>
        <v/>
      </c>
      <c r="J25">
        <f>COUNTIFS(IlumaData!$U:$U,$A25,IlumaData!$Q:$Q,"&lt;&gt;")</f>
        <v/>
      </c>
      <c r="K25">
        <f>IF($J25=0,"",SUMIFS(IlumaData!$Q:$Q,IlumaData!$U:$U,$A25))</f>
        <v/>
      </c>
      <c r="L25">
        <f>COUNTIFS(IlumaData!$U:$U,$A25,IlumaData!$M:$M,"&lt;&gt;")</f>
        <v/>
      </c>
      <c r="M25">
        <f>IF($E25=0,"",IF($L25=0,"not loaded","loaded"))</f>
        <v/>
      </c>
      <c r="N25">
        <f>COUNTIFS(IlumaData!$U:$U,$A25,IlumaData!$I:$I,"&lt;&gt;")</f>
        <v/>
      </c>
      <c r="O25">
        <f>IF($E25=0,"",IF($L25=0,"No POS sales have been loaded for this date, so variance cannot be worked out. Import the sales report for this day and it fills in.",IF($N25=0,"This is the first count of these products, so there is no opening figure to sell down from. Variance starts from the next count.",IF($F25-$G25=0,"Physical and POS agree on every product.",($F25-$G25)&amp;" of "&amp;$F25&amp;" products disagree with the POS. Largest first below."))))</f>
        <v/>
      </c>
      <c r="R25" t="n">
        <v>23</v>
      </c>
      <c r="S25">
        <f>IFERROR(INDEX(IlumaData!$G:$G,MATCH($R25,IlumaData!$V:$V,0)),"")</f>
        <v/>
      </c>
      <c r="T25">
        <f>IF(COUNTIFS(IlumaData!$V:$V,$R25,IlumaData!$U:$U,1,IlumaData!$N:$N,"&lt;&gt;")=0,"",SUMIFS(IlumaData!$N:$N,IlumaData!$V:$V,$R25,IlumaData!$U:$U,1))</f>
        <v/>
      </c>
      <c r="U25">
        <f>IF(COUNTIFS(IlumaData!$V:$V,$R25,IlumaData!$U:$U,2,IlumaData!$N:$N,"&lt;&gt;")=0,"",SUMIFS(IlumaData!$N:$N,IlumaData!$V:$V,$R25,IlumaData!$U:$U,2))</f>
        <v/>
      </c>
      <c r="V25">
        <f>IF(COUNTIFS(IlumaData!$V:$V,$R25,IlumaData!$U:$U,3,IlumaData!$N:$N,"&lt;&gt;")=0,"",SUMIFS(IlumaData!$N:$N,IlumaData!$V:$V,$R25,IlumaData!$U:$U,3))</f>
        <v/>
      </c>
      <c r="W25">
        <f>IF(COUNTIFS(IlumaData!$V:$V,$R25,IlumaData!$U:$U,4,IlumaData!$N:$N,"&lt;&gt;")=0,"",SUMIFS(IlumaData!$N:$N,IlumaData!$V:$V,$R25,IlumaData!$U:$U,4))</f>
        <v/>
      </c>
      <c r="X25">
        <f>IF(COUNTIFS(IlumaData!$V:$V,$R25,IlumaData!$U:$U,5,IlumaData!$N:$N,"&lt;&gt;")=0,"",SUMIFS(IlumaData!$N:$N,IlumaData!$V:$V,$R25,IlumaData!$U:$U,5))</f>
        <v/>
      </c>
      <c r="Y25">
        <f>IF(COUNTIFS(IlumaData!$V:$V,$R25,IlumaData!$U:$U,6,IlumaData!$N:$N,"&lt;&gt;")=0,"",SUMIFS(IlumaData!$N:$N,IlumaData!$V:$V,$R25,IlumaData!$U:$U,6))</f>
        <v/>
      </c>
      <c r="Z25">
        <f>IF(COUNTIFS(IlumaData!$V:$V,$R25,IlumaData!$U:$U,7,IlumaData!$N:$N,"&lt;&gt;")=0,"",SUMIFS(IlumaData!$N:$N,IlumaData!$V:$V,$R25,IlumaData!$U:$U,7))</f>
        <v/>
      </c>
      <c r="AA25">
        <f>IF(COUNTIFS(IlumaData!$V:$V,$R25,IlumaData!$U:$U,8,IlumaData!$N:$N,"&lt;&gt;")=0,"",SUMIFS(IlumaData!$N:$N,IlumaData!$V:$V,$R25,IlumaData!$U:$U,8))</f>
        <v/>
      </c>
      <c r="AB25">
        <f>IF(COUNTIFS(IlumaData!$V:$V,$R25,IlumaData!$U:$U,9,IlumaData!$N:$N,"&lt;&gt;")=0,"",SUMIFS(IlumaData!$N:$N,IlumaData!$V:$V,$R25,IlumaData!$U:$U,9))</f>
        <v/>
      </c>
      <c r="AC25">
        <f>IF(COUNTIFS(IlumaData!$V:$V,$R25,IlumaData!$U:$U,10,IlumaData!$N:$N,"&lt;&gt;")=0,"",SUMIFS(IlumaData!$N:$N,IlumaData!$V:$V,$R25,IlumaData!$U:$U,10))</f>
        <v/>
      </c>
      <c r="AD25">
        <f>IF(COUNTIFS(IlumaData!$V:$V,$R25,IlumaData!$U:$U,11,IlumaData!$N:$N,"&lt;&gt;")=0,"",SUMIFS(IlumaData!$N:$N,IlumaData!$V:$V,$R25,IlumaData!$U:$U,11))</f>
        <v/>
      </c>
      <c r="AE25">
        <f>IF(COUNTIFS(IlumaData!$V:$V,$R25,IlumaData!$U:$U,12,IlumaData!$N:$N,"&lt;&gt;")=0,"",SUMIFS(IlumaData!$N:$N,IlumaData!$V:$V,$R25,IlumaData!$U:$U,12))</f>
        <v/>
      </c>
      <c r="AF25">
        <f>IF(COUNTIFS(IlumaData!$V:$V,$R25,IlumaData!$U:$U,13,IlumaData!$N:$N,"&lt;&gt;")=0,"",SUMIFS(IlumaData!$N:$N,IlumaData!$V:$V,$R25,IlumaData!$U:$U,13))</f>
        <v/>
      </c>
      <c r="AG25">
        <f>IF(COUNTIFS(IlumaData!$V:$V,$R25,IlumaData!$U:$U,14,IlumaData!$N:$N,"&lt;&gt;")=0,"",SUMIFS(IlumaData!$N:$N,IlumaData!$V:$V,$R25,IlumaData!$U:$U,14))</f>
        <v/>
      </c>
      <c r="AH25">
        <f>COUNTIFS(IlumaData!$V:$V,$R25,IlumaData!$U:$U,"&lt;="&amp;14,IlumaData!$N:$N,"&lt;&gt;")</f>
        <v/>
      </c>
      <c r="AI25">
        <f>COUNTIFS(IlumaData!$V:$V,$R25,IlumaData!$U:$U,"&lt;="&amp;14,IlumaData!$N:$N,0)</f>
        <v/>
      </c>
      <c r="AJ25">
        <f>IF(AH25=0,"",AH25-AI25)</f>
        <v/>
      </c>
      <c r="AK25">
        <f>IF(AH25=0,"",SUMIFS(IlumaData!$N:$N,IlumaData!$V:$V,$R25,IlumaData!$U:$U,"&lt;="&amp;14))</f>
        <v/>
      </c>
      <c r="AL25">
        <f>IF(AH25=0,"",IF(ABS(MAX(T25:AG25))&gt;=ABS(MIN(T25:AG25)),MAX(T25:AG25),MIN(T25:AG25)))</f>
        <v/>
      </c>
      <c r="AM25">
        <f>IF(AH25=0,-1,AJ25*100000+MIN(ABS(AK25),99999))</f>
        <v/>
      </c>
      <c r="AN25">
        <f>IF($S25="","",1+COUNTIFS($AM$3:$AM$122,"&gt;"&amp;AM25)+COUNTIFS($AM$3:$AM$122,AM25,$R$3:$R$122,"&lt;"&amp;$R25))</f>
        <v/>
      </c>
    </row>
    <row r="26">
      <c r="A26" t="n">
        <v>24</v>
      </c>
      <c r="B26" s="31">
        <f>IFERROR(IF(INDEX(IlumaData!$B:$B,MATCH($A26,IlumaData!$U:$U,0))="","",INDEX(IlumaData!$B:$B,MATCH($A26,IlumaData!$U:$U,0))),"")</f>
        <v/>
      </c>
      <c r="C26">
        <f>IFERROR(IF(INDEX(IlumaData!$D:$D,MATCH($A26,IlumaData!$U:$U,0))="","",INDEX(IlumaData!$D:$D,MATCH($A26,IlumaData!$U:$U,0))),"")</f>
        <v/>
      </c>
      <c r="D26" s="31">
        <f>IFERROR(IF(INDEX(IlumaData!$O:$O,MATCH($A26,IlumaData!$U:$U,0))="","",INDEX(IlumaData!$O:$O,MATCH($A26,IlumaData!$U:$U,0))),"")</f>
        <v/>
      </c>
      <c r="E26">
        <f>COUNTIFS(IlumaData!$U:$U,$A26)</f>
        <v/>
      </c>
      <c r="F26">
        <f>COUNTIFS(IlumaData!$U:$U,$A26,IlumaData!$N:$N,"&lt;&gt;")</f>
        <v/>
      </c>
      <c r="G26">
        <f>COUNTIFS(IlumaData!$U:$U,$A26,IlumaData!$N:$N,0)</f>
        <v/>
      </c>
      <c r="H26">
        <f>IF($F26=0,"",$F26-$G26)</f>
        <v/>
      </c>
      <c r="I26">
        <f>IF($F26=0,"",SUMIFS(IlumaData!$N:$N,IlumaData!$U:$U,$A26))</f>
        <v/>
      </c>
      <c r="J26">
        <f>COUNTIFS(IlumaData!$U:$U,$A26,IlumaData!$Q:$Q,"&lt;&gt;")</f>
        <v/>
      </c>
      <c r="K26">
        <f>IF($J26=0,"",SUMIFS(IlumaData!$Q:$Q,IlumaData!$U:$U,$A26))</f>
        <v/>
      </c>
      <c r="L26">
        <f>COUNTIFS(IlumaData!$U:$U,$A26,IlumaData!$M:$M,"&lt;&gt;")</f>
        <v/>
      </c>
      <c r="M26">
        <f>IF($E26=0,"",IF($L26=0,"not loaded","loaded"))</f>
        <v/>
      </c>
      <c r="N26">
        <f>COUNTIFS(IlumaData!$U:$U,$A26,IlumaData!$I:$I,"&lt;&gt;")</f>
        <v/>
      </c>
      <c r="O26">
        <f>IF($E26=0,"",IF($L26=0,"No POS sales have been loaded for this date, so variance cannot be worked out. Import the sales report for this day and it fills in.",IF($N26=0,"This is the first count of these products, so there is no opening figure to sell down from. Variance starts from the next count.",IF($F26-$G26=0,"Physical and POS agree on every product.",($F26-$G26)&amp;" of "&amp;$F26&amp;" products disagree with the POS. Largest first below."))))</f>
        <v/>
      </c>
      <c r="R26" t="n">
        <v>24</v>
      </c>
      <c r="S26">
        <f>IFERROR(INDEX(IlumaData!$G:$G,MATCH($R26,IlumaData!$V:$V,0)),"")</f>
        <v/>
      </c>
      <c r="T26">
        <f>IF(COUNTIFS(IlumaData!$V:$V,$R26,IlumaData!$U:$U,1,IlumaData!$N:$N,"&lt;&gt;")=0,"",SUMIFS(IlumaData!$N:$N,IlumaData!$V:$V,$R26,IlumaData!$U:$U,1))</f>
        <v/>
      </c>
      <c r="U26">
        <f>IF(COUNTIFS(IlumaData!$V:$V,$R26,IlumaData!$U:$U,2,IlumaData!$N:$N,"&lt;&gt;")=0,"",SUMIFS(IlumaData!$N:$N,IlumaData!$V:$V,$R26,IlumaData!$U:$U,2))</f>
        <v/>
      </c>
      <c r="V26">
        <f>IF(COUNTIFS(IlumaData!$V:$V,$R26,IlumaData!$U:$U,3,IlumaData!$N:$N,"&lt;&gt;")=0,"",SUMIFS(IlumaData!$N:$N,IlumaData!$V:$V,$R26,IlumaData!$U:$U,3))</f>
        <v/>
      </c>
      <c r="W26">
        <f>IF(COUNTIFS(IlumaData!$V:$V,$R26,IlumaData!$U:$U,4,IlumaData!$N:$N,"&lt;&gt;")=0,"",SUMIFS(IlumaData!$N:$N,IlumaData!$V:$V,$R26,IlumaData!$U:$U,4))</f>
        <v/>
      </c>
      <c r="X26">
        <f>IF(COUNTIFS(IlumaData!$V:$V,$R26,IlumaData!$U:$U,5,IlumaData!$N:$N,"&lt;&gt;")=0,"",SUMIFS(IlumaData!$N:$N,IlumaData!$V:$V,$R26,IlumaData!$U:$U,5))</f>
        <v/>
      </c>
      <c r="Y26">
        <f>IF(COUNTIFS(IlumaData!$V:$V,$R26,IlumaData!$U:$U,6,IlumaData!$N:$N,"&lt;&gt;")=0,"",SUMIFS(IlumaData!$N:$N,IlumaData!$V:$V,$R26,IlumaData!$U:$U,6))</f>
        <v/>
      </c>
      <c r="Z26">
        <f>IF(COUNTIFS(IlumaData!$V:$V,$R26,IlumaData!$U:$U,7,IlumaData!$N:$N,"&lt;&gt;")=0,"",SUMIFS(IlumaData!$N:$N,IlumaData!$V:$V,$R26,IlumaData!$U:$U,7))</f>
        <v/>
      </c>
      <c r="AA26">
        <f>IF(COUNTIFS(IlumaData!$V:$V,$R26,IlumaData!$U:$U,8,IlumaData!$N:$N,"&lt;&gt;")=0,"",SUMIFS(IlumaData!$N:$N,IlumaData!$V:$V,$R26,IlumaData!$U:$U,8))</f>
        <v/>
      </c>
      <c r="AB26">
        <f>IF(COUNTIFS(IlumaData!$V:$V,$R26,IlumaData!$U:$U,9,IlumaData!$N:$N,"&lt;&gt;")=0,"",SUMIFS(IlumaData!$N:$N,IlumaData!$V:$V,$R26,IlumaData!$U:$U,9))</f>
        <v/>
      </c>
      <c r="AC26">
        <f>IF(COUNTIFS(IlumaData!$V:$V,$R26,IlumaData!$U:$U,10,IlumaData!$N:$N,"&lt;&gt;")=0,"",SUMIFS(IlumaData!$N:$N,IlumaData!$V:$V,$R26,IlumaData!$U:$U,10))</f>
        <v/>
      </c>
      <c r="AD26">
        <f>IF(COUNTIFS(IlumaData!$V:$V,$R26,IlumaData!$U:$U,11,IlumaData!$N:$N,"&lt;&gt;")=0,"",SUMIFS(IlumaData!$N:$N,IlumaData!$V:$V,$R26,IlumaData!$U:$U,11))</f>
        <v/>
      </c>
      <c r="AE26">
        <f>IF(COUNTIFS(IlumaData!$V:$V,$R26,IlumaData!$U:$U,12,IlumaData!$N:$N,"&lt;&gt;")=0,"",SUMIFS(IlumaData!$N:$N,IlumaData!$V:$V,$R26,IlumaData!$U:$U,12))</f>
        <v/>
      </c>
      <c r="AF26">
        <f>IF(COUNTIFS(IlumaData!$V:$V,$R26,IlumaData!$U:$U,13,IlumaData!$N:$N,"&lt;&gt;")=0,"",SUMIFS(IlumaData!$N:$N,IlumaData!$V:$V,$R26,IlumaData!$U:$U,13))</f>
        <v/>
      </c>
      <c r="AG26">
        <f>IF(COUNTIFS(IlumaData!$V:$V,$R26,IlumaData!$U:$U,14,IlumaData!$N:$N,"&lt;&gt;")=0,"",SUMIFS(IlumaData!$N:$N,IlumaData!$V:$V,$R26,IlumaData!$U:$U,14))</f>
        <v/>
      </c>
      <c r="AH26">
        <f>COUNTIFS(IlumaData!$V:$V,$R26,IlumaData!$U:$U,"&lt;="&amp;14,IlumaData!$N:$N,"&lt;&gt;")</f>
        <v/>
      </c>
      <c r="AI26">
        <f>COUNTIFS(IlumaData!$V:$V,$R26,IlumaData!$U:$U,"&lt;="&amp;14,IlumaData!$N:$N,0)</f>
        <v/>
      </c>
      <c r="AJ26">
        <f>IF(AH26=0,"",AH26-AI26)</f>
        <v/>
      </c>
      <c r="AK26">
        <f>IF(AH26=0,"",SUMIFS(IlumaData!$N:$N,IlumaData!$V:$V,$R26,IlumaData!$U:$U,"&lt;="&amp;14))</f>
        <v/>
      </c>
      <c r="AL26">
        <f>IF(AH26=0,"",IF(ABS(MAX(T26:AG26))&gt;=ABS(MIN(T26:AG26)),MAX(T26:AG26),MIN(T26:AG26)))</f>
        <v/>
      </c>
      <c r="AM26">
        <f>IF(AH26=0,-1,AJ26*100000+MIN(ABS(AK26),99999))</f>
        <v/>
      </c>
      <c r="AN26">
        <f>IF($S26="","",1+COUNTIFS($AM$3:$AM$122,"&gt;"&amp;AM26)+COUNTIFS($AM$3:$AM$122,AM26,$R$3:$R$122,"&lt;"&amp;$R26))</f>
        <v/>
      </c>
    </row>
    <row r="27">
      <c r="A27" t="n">
        <v>25</v>
      </c>
      <c r="B27" s="31">
        <f>IFERROR(IF(INDEX(IlumaData!$B:$B,MATCH($A27,IlumaData!$U:$U,0))="","",INDEX(IlumaData!$B:$B,MATCH($A27,IlumaData!$U:$U,0))),"")</f>
        <v/>
      </c>
      <c r="C27">
        <f>IFERROR(IF(INDEX(IlumaData!$D:$D,MATCH($A27,IlumaData!$U:$U,0))="","",INDEX(IlumaData!$D:$D,MATCH($A27,IlumaData!$U:$U,0))),"")</f>
        <v/>
      </c>
      <c r="D27" s="31">
        <f>IFERROR(IF(INDEX(IlumaData!$O:$O,MATCH($A27,IlumaData!$U:$U,0))="","",INDEX(IlumaData!$O:$O,MATCH($A27,IlumaData!$U:$U,0))),"")</f>
        <v/>
      </c>
      <c r="E27">
        <f>COUNTIFS(IlumaData!$U:$U,$A27)</f>
        <v/>
      </c>
      <c r="F27">
        <f>COUNTIFS(IlumaData!$U:$U,$A27,IlumaData!$N:$N,"&lt;&gt;")</f>
        <v/>
      </c>
      <c r="G27">
        <f>COUNTIFS(IlumaData!$U:$U,$A27,IlumaData!$N:$N,0)</f>
        <v/>
      </c>
      <c r="H27">
        <f>IF($F27=0,"",$F27-$G27)</f>
        <v/>
      </c>
      <c r="I27">
        <f>IF($F27=0,"",SUMIFS(IlumaData!$N:$N,IlumaData!$U:$U,$A27))</f>
        <v/>
      </c>
      <c r="J27">
        <f>COUNTIFS(IlumaData!$U:$U,$A27,IlumaData!$Q:$Q,"&lt;&gt;")</f>
        <v/>
      </c>
      <c r="K27">
        <f>IF($J27=0,"",SUMIFS(IlumaData!$Q:$Q,IlumaData!$U:$U,$A27))</f>
        <v/>
      </c>
      <c r="L27">
        <f>COUNTIFS(IlumaData!$U:$U,$A27,IlumaData!$M:$M,"&lt;&gt;")</f>
        <v/>
      </c>
      <c r="M27">
        <f>IF($E27=0,"",IF($L27=0,"not loaded","loaded"))</f>
        <v/>
      </c>
      <c r="N27">
        <f>COUNTIFS(IlumaData!$U:$U,$A27,IlumaData!$I:$I,"&lt;&gt;")</f>
        <v/>
      </c>
      <c r="O27">
        <f>IF($E27=0,"",IF($L27=0,"No POS sales have been loaded for this date, so variance cannot be worked out. Import the sales report for this day and it fills in.",IF($N27=0,"This is the first count of these products, so there is no opening figure to sell down from. Variance starts from the next count.",IF($F27-$G27=0,"Physical and POS agree on every product.",($F27-$G27)&amp;" of "&amp;$F27&amp;" products disagree with the POS. Largest first below."))))</f>
        <v/>
      </c>
      <c r="R27" t="n">
        <v>25</v>
      </c>
      <c r="S27">
        <f>IFERROR(INDEX(IlumaData!$G:$G,MATCH($R27,IlumaData!$V:$V,0)),"")</f>
        <v/>
      </c>
      <c r="T27">
        <f>IF(COUNTIFS(IlumaData!$V:$V,$R27,IlumaData!$U:$U,1,IlumaData!$N:$N,"&lt;&gt;")=0,"",SUMIFS(IlumaData!$N:$N,IlumaData!$V:$V,$R27,IlumaData!$U:$U,1))</f>
        <v/>
      </c>
      <c r="U27">
        <f>IF(COUNTIFS(IlumaData!$V:$V,$R27,IlumaData!$U:$U,2,IlumaData!$N:$N,"&lt;&gt;")=0,"",SUMIFS(IlumaData!$N:$N,IlumaData!$V:$V,$R27,IlumaData!$U:$U,2))</f>
        <v/>
      </c>
      <c r="V27">
        <f>IF(COUNTIFS(IlumaData!$V:$V,$R27,IlumaData!$U:$U,3,IlumaData!$N:$N,"&lt;&gt;")=0,"",SUMIFS(IlumaData!$N:$N,IlumaData!$V:$V,$R27,IlumaData!$U:$U,3))</f>
        <v/>
      </c>
      <c r="W27">
        <f>IF(COUNTIFS(IlumaData!$V:$V,$R27,IlumaData!$U:$U,4,IlumaData!$N:$N,"&lt;&gt;")=0,"",SUMIFS(IlumaData!$N:$N,IlumaData!$V:$V,$R27,IlumaData!$U:$U,4))</f>
        <v/>
      </c>
      <c r="X27">
        <f>IF(COUNTIFS(IlumaData!$V:$V,$R27,IlumaData!$U:$U,5,IlumaData!$N:$N,"&lt;&gt;")=0,"",SUMIFS(IlumaData!$N:$N,IlumaData!$V:$V,$R27,IlumaData!$U:$U,5))</f>
        <v/>
      </c>
      <c r="Y27">
        <f>IF(COUNTIFS(IlumaData!$V:$V,$R27,IlumaData!$U:$U,6,IlumaData!$N:$N,"&lt;&gt;")=0,"",SUMIFS(IlumaData!$N:$N,IlumaData!$V:$V,$R27,IlumaData!$U:$U,6))</f>
        <v/>
      </c>
      <c r="Z27">
        <f>IF(COUNTIFS(IlumaData!$V:$V,$R27,IlumaData!$U:$U,7,IlumaData!$N:$N,"&lt;&gt;")=0,"",SUMIFS(IlumaData!$N:$N,IlumaData!$V:$V,$R27,IlumaData!$U:$U,7))</f>
        <v/>
      </c>
      <c r="AA27">
        <f>IF(COUNTIFS(IlumaData!$V:$V,$R27,IlumaData!$U:$U,8,IlumaData!$N:$N,"&lt;&gt;")=0,"",SUMIFS(IlumaData!$N:$N,IlumaData!$V:$V,$R27,IlumaData!$U:$U,8))</f>
        <v/>
      </c>
      <c r="AB27">
        <f>IF(COUNTIFS(IlumaData!$V:$V,$R27,IlumaData!$U:$U,9,IlumaData!$N:$N,"&lt;&gt;")=0,"",SUMIFS(IlumaData!$N:$N,IlumaData!$V:$V,$R27,IlumaData!$U:$U,9))</f>
        <v/>
      </c>
      <c r="AC27">
        <f>IF(COUNTIFS(IlumaData!$V:$V,$R27,IlumaData!$U:$U,10,IlumaData!$N:$N,"&lt;&gt;")=0,"",SUMIFS(IlumaData!$N:$N,IlumaData!$V:$V,$R27,IlumaData!$U:$U,10))</f>
        <v/>
      </c>
      <c r="AD27">
        <f>IF(COUNTIFS(IlumaData!$V:$V,$R27,IlumaData!$U:$U,11,IlumaData!$N:$N,"&lt;&gt;")=0,"",SUMIFS(IlumaData!$N:$N,IlumaData!$V:$V,$R27,IlumaData!$U:$U,11))</f>
        <v/>
      </c>
      <c r="AE27">
        <f>IF(COUNTIFS(IlumaData!$V:$V,$R27,IlumaData!$U:$U,12,IlumaData!$N:$N,"&lt;&gt;")=0,"",SUMIFS(IlumaData!$N:$N,IlumaData!$V:$V,$R27,IlumaData!$U:$U,12))</f>
        <v/>
      </c>
      <c r="AF27">
        <f>IF(COUNTIFS(IlumaData!$V:$V,$R27,IlumaData!$U:$U,13,IlumaData!$N:$N,"&lt;&gt;")=0,"",SUMIFS(IlumaData!$N:$N,IlumaData!$V:$V,$R27,IlumaData!$U:$U,13))</f>
        <v/>
      </c>
      <c r="AG27">
        <f>IF(COUNTIFS(IlumaData!$V:$V,$R27,IlumaData!$U:$U,14,IlumaData!$N:$N,"&lt;&gt;")=0,"",SUMIFS(IlumaData!$N:$N,IlumaData!$V:$V,$R27,IlumaData!$U:$U,14))</f>
        <v/>
      </c>
      <c r="AH27">
        <f>COUNTIFS(IlumaData!$V:$V,$R27,IlumaData!$U:$U,"&lt;="&amp;14,IlumaData!$N:$N,"&lt;&gt;")</f>
        <v/>
      </c>
      <c r="AI27">
        <f>COUNTIFS(IlumaData!$V:$V,$R27,IlumaData!$U:$U,"&lt;="&amp;14,IlumaData!$N:$N,0)</f>
        <v/>
      </c>
      <c r="AJ27">
        <f>IF(AH27=0,"",AH27-AI27)</f>
        <v/>
      </c>
      <c r="AK27">
        <f>IF(AH27=0,"",SUMIFS(IlumaData!$N:$N,IlumaData!$V:$V,$R27,IlumaData!$U:$U,"&lt;="&amp;14))</f>
        <v/>
      </c>
      <c r="AL27">
        <f>IF(AH27=0,"",IF(ABS(MAX(T27:AG27))&gt;=ABS(MIN(T27:AG27)),MAX(T27:AG27),MIN(T27:AG27)))</f>
        <v/>
      </c>
      <c r="AM27">
        <f>IF(AH27=0,-1,AJ27*100000+MIN(ABS(AK27),99999))</f>
        <v/>
      </c>
      <c r="AN27">
        <f>IF($S27="","",1+COUNTIFS($AM$3:$AM$122,"&gt;"&amp;AM27)+COUNTIFS($AM$3:$AM$122,AM27,$R$3:$R$122,"&lt;"&amp;$R27))</f>
        <v/>
      </c>
    </row>
    <row r="28">
      <c r="A28" t="n">
        <v>26</v>
      </c>
      <c r="B28" s="31">
        <f>IFERROR(IF(INDEX(IlumaData!$B:$B,MATCH($A28,IlumaData!$U:$U,0))="","",INDEX(IlumaData!$B:$B,MATCH($A28,IlumaData!$U:$U,0))),"")</f>
        <v/>
      </c>
      <c r="C28">
        <f>IFERROR(IF(INDEX(IlumaData!$D:$D,MATCH($A28,IlumaData!$U:$U,0))="","",INDEX(IlumaData!$D:$D,MATCH($A28,IlumaData!$U:$U,0))),"")</f>
        <v/>
      </c>
      <c r="D28" s="31">
        <f>IFERROR(IF(INDEX(IlumaData!$O:$O,MATCH($A28,IlumaData!$U:$U,0))="","",INDEX(IlumaData!$O:$O,MATCH($A28,IlumaData!$U:$U,0))),"")</f>
        <v/>
      </c>
      <c r="E28">
        <f>COUNTIFS(IlumaData!$U:$U,$A28)</f>
        <v/>
      </c>
      <c r="F28">
        <f>COUNTIFS(IlumaData!$U:$U,$A28,IlumaData!$N:$N,"&lt;&gt;")</f>
        <v/>
      </c>
      <c r="G28">
        <f>COUNTIFS(IlumaData!$U:$U,$A28,IlumaData!$N:$N,0)</f>
        <v/>
      </c>
      <c r="H28">
        <f>IF($F28=0,"",$F28-$G28)</f>
        <v/>
      </c>
      <c r="I28">
        <f>IF($F28=0,"",SUMIFS(IlumaData!$N:$N,IlumaData!$U:$U,$A28))</f>
        <v/>
      </c>
      <c r="J28">
        <f>COUNTIFS(IlumaData!$U:$U,$A28,IlumaData!$Q:$Q,"&lt;&gt;")</f>
        <v/>
      </c>
      <c r="K28">
        <f>IF($J28=0,"",SUMIFS(IlumaData!$Q:$Q,IlumaData!$U:$U,$A28))</f>
        <v/>
      </c>
      <c r="L28">
        <f>COUNTIFS(IlumaData!$U:$U,$A28,IlumaData!$M:$M,"&lt;&gt;")</f>
        <v/>
      </c>
      <c r="M28">
        <f>IF($E28=0,"",IF($L28=0,"not loaded","loaded"))</f>
        <v/>
      </c>
      <c r="N28">
        <f>COUNTIFS(IlumaData!$U:$U,$A28,IlumaData!$I:$I,"&lt;&gt;")</f>
        <v/>
      </c>
      <c r="O28">
        <f>IF($E28=0,"",IF($L28=0,"No POS sales have been loaded for this date, so variance cannot be worked out. Import the sales report for this day and it fills in.",IF($N28=0,"This is the first count of these products, so there is no opening figure to sell down from. Variance starts from the next count.",IF($F28-$G28=0,"Physical and POS agree on every product.",($F28-$G28)&amp;" of "&amp;$F28&amp;" products disagree with the POS. Largest first below."))))</f>
        <v/>
      </c>
      <c r="R28" t="n">
        <v>26</v>
      </c>
      <c r="S28">
        <f>IFERROR(INDEX(IlumaData!$G:$G,MATCH($R28,IlumaData!$V:$V,0)),"")</f>
        <v/>
      </c>
      <c r="T28">
        <f>IF(COUNTIFS(IlumaData!$V:$V,$R28,IlumaData!$U:$U,1,IlumaData!$N:$N,"&lt;&gt;")=0,"",SUMIFS(IlumaData!$N:$N,IlumaData!$V:$V,$R28,IlumaData!$U:$U,1))</f>
        <v/>
      </c>
      <c r="U28">
        <f>IF(COUNTIFS(IlumaData!$V:$V,$R28,IlumaData!$U:$U,2,IlumaData!$N:$N,"&lt;&gt;")=0,"",SUMIFS(IlumaData!$N:$N,IlumaData!$V:$V,$R28,IlumaData!$U:$U,2))</f>
        <v/>
      </c>
      <c r="V28">
        <f>IF(COUNTIFS(IlumaData!$V:$V,$R28,IlumaData!$U:$U,3,IlumaData!$N:$N,"&lt;&gt;")=0,"",SUMIFS(IlumaData!$N:$N,IlumaData!$V:$V,$R28,IlumaData!$U:$U,3))</f>
        <v/>
      </c>
      <c r="W28">
        <f>IF(COUNTIFS(IlumaData!$V:$V,$R28,IlumaData!$U:$U,4,IlumaData!$N:$N,"&lt;&gt;")=0,"",SUMIFS(IlumaData!$N:$N,IlumaData!$V:$V,$R28,IlumaData!$U:$U,4))</f>
        <v/>
      </c>
      <c r="X28">
        <f>IF(COUNTIFS(IlumaData!$V:$V,$R28,IlumaData!$U:$U,5,IlumaData!$N:$N,"&lt;&gt;")=0,"",SUMIFS(IlumaData!$N:$N,IlumaData!$V:$V,$R28,IlumaData!$U:$U,5))</f>
        <v/>
      </c>
      <c r="Y28">
        <f>IF(COUNTIFS(IlumaData!$V:$V,$R28,IlumaData!$U:$U,6,IlumaData!$N:$N,"&lt;&gt;")=0,"",SUMIFS(IlumaData!$N:$N,IlumaData!$V:$V,$R28,IlumaData!$U:$U,6))</f>
        <v/>
      </c>
      <c r="Z28">
        <f>IF(COUNTIFS(IlumaData!$V:$V,$R28,IlumaData!$U:$U,7,IlumaData!$N:$N,"&lt;&gt;")=0,"",SUMIFS(IlumaData!$N:$N,IlumaData!$V:$V,$R28,IlumaData!$U:$U,7))</f>
        <v/>
      </c>
      <c r="AA28">
        <f>IF(COUNTIFS(IlumaData!$V:$V,$R28,IlumaData!$U:$U,8,IlumaData!$N:$N,"&lt;&gt;")=0,"",SUMIFS(IlumaData!$N:$N,IlumaData!$V:$V,$R28,IlumaData!$U:$U,8))</f>
        <v/>
      </c>
      <c r="AB28">
        <f>IF(COUNTIFS(IlumaData!$V:$V,$R28,IlumaData!$U:$U,9,IlumaData!$N:$N,"&lt;&gt;")=0,"",SUMIFS(IlumaData!$N:$N,IlumaData!$V:$V,$R28,IlumaData!$U:$U,9))</f>
        <v/>
      </c>
      <c r="AC28">
        <f>IF(COUNTIFS(IlumaData!$V:$V,$R28,IlumaData!$U:$U,10,IlumaData!$N:$N,"&lt;&gt;")=0,"",SUMIFS(IlumaData!$N:$N,IlumaData!$V:$V,$R28,IlumaData!$U:$U,10))</f>
        <v/>
      </c>
      <c r="AD28">
        <f>IF(COUNTIFS(IlumaData!$V:$V,$R28,IlumaData!$U:$U,11,IlumaData!$N:$N,"&lt;&gt;")=0,"",SUMIFS(IlumaData!$N:$N,IlumaData!$V:$V,$R28,IlumaData!$U:$U,11))</f>
        <v/>
      </c>
      <c r="AE28">
        <f>IF(COUNTIFS(IlumaData!$V:$V,$R28,IlumaData!$U:$U,12,IlumaData!$N:$N,"&lt;&gt;")=0,"",SUMIFS(IlumaData!$N:$N,IlumaData!$V:$V,$R28,IlumaData!$U:$U,12))</f>
        <v/>
      </c>
      <c r="AF28">
        <f>IF(COUNTIFS(IlumaData!$V:$V,$R28,IlumaData!$U:$U,13,IlumaData!$N:$N,"&lt;&gt;")=0,"",SUMIFS(IlumaData!$N:$N,IlumaData!$V:$V,$R28,IlumaData!$U:$U,13))</f>
        <v/>
      </c>
      <c r="AG28">
        <f>IF(COUNTIFS(IlumaData!$V:$V,$R28,IlumaData!$U:$U,14,IlumaData!$N:$N,"&lt;&gt;")=0,"",SUMIFS(IlumaData!$N:$N,IlumaData!$V:$V,$R28,IlumaData!$U:$U,14))</f>
        <v/>
      </c>
      <c r="AH28">
        <f>COUNTIFS(IlumaData!$V:$V,$R28,IlumaData!$U:$U,"&lt;="&amp;14,IlumaData!$N:$N,"&lt;&gt;")</f>
        <v/>
      </c>
      <c r="AI28">
        <f>COUNTIFS(IlumaData!$V:$V,$R28,IlumaData!$U:$U,"&lt;="&amp;14,IlumaData!$N:$N,0)</f>
        <v/>
      </c>
      <c r="AJ28">
        <f>IF(AH28=0,"",AH28-AI28)</f>
        <v/>
      </c>
      <c r="AK28">
        <f>IF(AH28=0,"",SUMIFS(IlumaData!$N:$N,IlumaData!$V:$V,$R28,IlumaData!$U:$U,"&lt;="&amp;14))</f>
        <v/>
      </c>
      <c r="AL28">
        <f>IF(AH28=0,"",IF(ABS(MAX(T28:AG28))&gt;=ABS(MIN(T28:AG28)),MAX(T28:AG28),MIN(T28:AG28)))</f>
        <v/>
      </c>
      <c r="AM28">
        <f>IF(AH28=0,-1,AJ28*100000+MIN(ABS(AK28),99999))</f>
        <v/>
      </c>
      <c r="AN28">
        <f>IF($S28="","",1+COUNTIFS($AM$3:$AM$122,"&gt;"&amp;AM28)+COUNTIFS($AM$3:$AM$122,AM28,$R$3:$R$122,"&lt;"&amp;$R28))</f>
        <v/>
      </c>
    </row>
    <row r="29">
      <c r="A29" t="n">
        <v>27</v>
      </c>
      <c r="B29" s="31">
        <f>IFERROR(IF(INDEX(IlumaData!$B:$B,MATCH($A29,IlumaData!$U:$U,0))="","",INDEX(IlumaData!$B:$B,MATCH($A29,IlumaData!$U:$U,0))),"")</f>
        <v/>
      </c>
      <c r="C29">
        <f>IFERROR(IF(INDEX(IlumaData!$D:$D,MATCH($A29,IlumaData!$U:$U,0))="","",INDEX(IlumaData!$D:$D,MATCH($A29,IlumaData!$U:$U,0))),"")</f>
        <v/>
      </c>
      <c r="D29" s="31">
        <f>IFERROR(IF(INDEX(IlumaData!$O:$O,MATCH($A29,IlumaData!$U:$U,0))="","",INDEX(IlumaData!$O:$O,MATCH($A29,IlumaData!$U:$U,0))),"")</f>
        <v/>
      </c>
      <c r="E29">
        <f>COUNTIFS(IlumaData!$U:$U,$A29)</f>
        <v/>
      </c>
      <c r="F29">
        <f>COUNTIFS(IlumaData!$U:$U,$A29,IlumaData!$N:$N,"&lt;&gt;")</f>
        <v/>
      </c>
      <c r="G29">
        <f>COUNTIFS(IlumaData!$U:$U,$A29,IlumaData!$N:$N,0)</f>
        <v/>
      </c>
      <c r="H29">
        <f>IF($F29=0,"",$F29-$G29)</f>
        <v/>
      </c>
      <c r="I29">
        <f>IF($F29=0,"",SUMIFS(IlumaData!$N:$N,IlumaData!$U:$U,$A29))</f>
        <v/>
      </c>
      <c r="J29">
        <f>COUNTIFS(IlumaData!$U:$U,$A29,IlumaData!$Q:$Q,"&lt;&gt;")</f>
        <v/>
      </c>
      <c r="K29">
        <f>IF($J29=0,"",SUMIFS(IlumaData!$Q:$Q,IlumaData!$U:$U,$A29))</f>
        <v/>
      </c>
      <c r="L29">
        <f>COUNTIFS(IlumaData!$U:$U,$A29,IlumaData!$M:$M,"&lt;&gt;")</f>
        <v/>
      </c>
      <c r="M29">
        <f>IF($E29=0,"",IF($L29=0,"not loaded","loaded"))</f>
        <v/>
      </c>
      <c r="N29">
        <f>COUNTIFS(IlumaData!$U:$U,$A29,IlumaData!$I:$I,"&lt;&gt;")</f>
        <v/>
      </c>
      <c r="O29">
        <f>IF($E29=0,"",IF($L29=0,"No POS sales have been loaded for this date, so variance cannot be worked out. Import the sales report for this day and it fills in.",IF($N29=0,"This is the first count of these products, so there is no opening figure to sell down from. Variance starts from the next count.",IF($F29-$G29=0,"Physical and POS agree on every product.",($F29-$G29)&amp;" of "&amp;$F29&amp;" products disagree with the POS. Largest first below."))))</f>
        <v/>
      </c>
      <c r="R29" t="n">
        <v>27</v>
      </c>
      <c r="S29">
        <f>IFERROR(INDEX(IlumaData!$G:$G,MATCH($R29,IlumaData!$V:$V,0)),"")</f>
        <v/>
      </c>
      <c r="T29">
        <f>IF(COUNTIFS(IlumaData!$V:$V,$R29,IlumaData!$U:$U,1,IlumaData!$N:$N,"&lt;&gt;")=0,"",SUMIFS(IlumaData!$N:$N,IlumaData!$V:$V,$R29,IlumaData!$U:$U,1))</f>
        <v/>
      </c>
      <c r="U29">
        <f>IF(COUNTIFS(IlumaData!$V:$V,$R29,IlumaData!$U:$U,2,IlumaData!$N:$N,"&lt;&gt;")=0,"",SUMIFS(IlumaData!$N:$N,IlumaData!$V:$V,$R29,IlumaData!$U:$U,2))</f>
        <v/>
      </c>
      <c r="V29">
        <f>IF(COUNTIFS(IlumaData!$V:$V,$R29,IlumaData!$U:$U,3,IlumaData!$N:$N,"&lt;&gt;")=0,"",SUMIFS(IlumaData!$N:$N,IlumaData!$V:$V,$R29,IlumaData!$U:$U,3))</f>
        <v/>
      </c>
      <c r="W29">
        <f>IF(COUNTIFS(IlumaData!$V:$V,$R29,IlumaData!$U:$U,4,IlumaData!$N:$N,"&lt;&gt;")=0,"",SUMIFS(IlumaData!$N:$N,IlumaData!$V:$V,$R29,IlumaData!$U:$U,4))</f>
        <v/>
      </c>
      <c r="X29">
        <f>IF(COUNTIFS(IlumaData!$V:$V,$R29,IlumaData!$U:$U,5,IlumaData!$N:$N,"&lt;&gt;")=0,"",SUMIFS(IlumaData!$N:$N,IlumaData!$V:$V,$R29,IlumaData!$U:$U,5))</f>
        <v/>
      </c>
      <c r="Y29">
        <f>IF(COUNTIFS(IlumaData!$V:$V,$R29,IlumaData!$U:$U,6,IlumaData!$N:$N,"&lt;&gt;")=0,"",SUMIFS(IlumaData!$N:$N,IlumaData!$V:$V,$R29,IlumaData!$U:$U,6))</f>
        <v/>
      </c>
      <c r="Z29">
        <f>IF(COUNTIFS(IlumaData!$V:$V,$R29,IlumaData!$U:$U,7,IlumaData!$N:$N,"&lt;&gt;")=0,"",SUMIFS(IlumaData!$N:$N,IlumaData!$V:$V,$R29,IlumaData!$U:$U,7))</f>
        <v/>
      </c>
      <c r="AA29">
        <f>IF(COUNTIFS(IlumaData!$V:$V,$R29,IlumaData!$U:$U,8,IlumaData!$N:$N,"&lt;&gt;")=0,"",SUMIFS(IlumaData!$N:$N,IlumaData!$V:$V,$R29,IlumaData!$U:$U,8))</f>
        <v/>
      </c>
      <c r="AB29">
        <f>IF(COUNTIFS(IlumaData!$V:$V,$R29,IlumaData!$U:$U,9,IlumaData!$N:$N,"&lt;&gt;")=0,"",SUMIFS(IlumaData!$N:$N,IlumaData!$V:$V,$R29,IlumaData!$U:$U,9))</f>
        <v/>
      </c>
      <c r="AC29">
        <f>IF(COUNTIFS(IlumaData!$V:$V,$R29,IlumaData!$U:$U,10,IlumaData!$N:$N,"&lt;&gt;")=0,"",SUMIFS(IlumaData!$N:$N,IlumaData!$V:$V,$R29,IlumaData!$U:$U,10))</f>
        <v/>
      </c>
      <c r="AD29">
        <f>IF(COUNTIFS(IlumaData!$V:$V,$R29,IlumaData!$U:$U,11,IlumaData!$N:$N,"&lt;&gt;")=0,"",SUMIFS(IlumaData!$N:$N,IlumaData!$V:$V,$R29,IlumaData!$U:$U,11))</f>
        <v/>
      </c>
      <c r="AE29">
        <f>IF(COUNTIFS(IlumaData!$V:$V,$R29,IlumaData!$U:$U,12,IlumaData!$N:$N,"&lt;&gt;")=0,"",SUMIFS(IlumaData!$N:$N,IlumaData!$V:$V,$R29,IlumaData!$U:$U,12))</f>
        <v/>
      </c>
      <c r="AF29">
        <f>IF(COUNTIFS(IlumaData!$V:$V,$R29,IlumaData!$U:$U,13,IlumaData!$N:$N,"&lt;&gt;")=0,"",SUMIFS(IlumaData!$N:$N,IlumaData!$V:$V,$R29,IlumaData!$U:$U,13))</f>
        <v/>
      </c>
      <c r="AG29">
        <f>IF(COUNTIFS(IlumaData!$V:$V,$R29,IlumaData!$U:$U,14,IlumaData!$N:$N,"&lt;&gt;")=0,"",SUMIFS(IlumaData!$N:$N,IlumaData!$V:$V,$R29,IlumaData!$U:$U,14))</f>
        <v/>
      </c>
      <c r="AH29">
        <f>COUNTIFS(IlumaData!$V:$V,$R29,IlumaData!$U:$U,"&lt;="&amp;14,IlumaData!$N:$N,"&lt;&gt;")</f>
        <v/>
      </c>
      <c r="AI29">
        <f>COUNTIFS(IlumaData!$V:$V,$R29,IlumaData!$U:$U,"&lt;="&amp;14,IlumaData!$N:$N,0)</f>
        <v/>
      </c>
      <c r="AJ29">
        <f>IF(AH29=0,"",AH29-AI29)</f>
        <v/>
      </c>
      <c r="AK29">
        <f>IF(AH29=0,"",SUMIFS(IlumaData!$N:$N,IlumaData!$V:$V,$R29,IlumaData!$U:$U,"&lt;="&amp;14))</f>
        <v/>
      </c>
      <c r="AL29">
        <f>IF(AH29=0,"",IF(ABS(MAX(T29:AG29))&gt;=ABS(MIN(T29:AG29)),MAX(T29:AG29),MIN(T29:AG29)))</f>
        <v/>
      </c>
      <c r="AM29">
        <f>IF(AH29=0,-1,AJ29*100000+MIN(ABS(AK29),99999))</f>
        <v/>
      </c>
      <c r="AN29">
        <f>IF($S29="","",1+COUNTIFS($AM$3:$AM$122,"&gt;"&amp;AM29)+COUNTIFS($AM$3:$AM$122,AM29,$R$3:$R$122,"&lt;"&amp;$R29))</f>
        <v/>
      </c>
    </row>
    <row r="30">
      <c r="A30" t="n">
        <v>28</v>
      </c>
      <c r="B30" s="31">
        <f>IFERROR(IF(INDEX(IlumaData!$B:$B,MATCH($A30,IlumaData!$U:$U,0))="","",INDEX(IlumaData!$B:$B,MATCH($A30,IlumaData!$U:$U,0))),"")</f>
        <v/>
      </c>
      <c r="C30">
        <f>IFERROR(IF(INDEX(IlumaData!$D:$D,MATCH($A30,IlumaData!$U:$U,0))="","",INDEX(IlumaData!$D:$D,MATCH($A30,IlumaData!$U:$U,0))),"")</f>
        <v/>
      </c>
      <c r="D30" s="31">
        <f>IFERROR(IF(INDEX(IlumaData!$O:$O,MATCH($A30,IlumaData!$U:$U,0))="","",INDEX(IlumaData!$O:$O,MATCH($A30,IlumaData!$U:$U,0))),"")</f>
        <v/>
      </c>
      <c r="E30">
        <f>COUNTIFS(IlumaData!$U:$U,$A30)</f>
        <v/>
      </c>
      <c r="F30">
        <f>COUNTIFS(IlumaData!$U:$U,$A30,IlumaData!$N:$N,"&lt;&gt;")</f>
        <v/>
      </c>
      <c r="G30">
        <f>COUNTIFS(IlumaData!$U:$U,$A30,IlumaData!$N:$N,0)</f>
        <v/>
      </c>
      <c r="H30">
        <f>IF($F30=0,"",$F30-$G30)</f>
        <v/>
      </c>
      <c r="I30">
        <f>IF($F30=0,"",SUMIFS(IlumaData!$N:$N,IlumaData!$U:$U,$A30))</f>
        <v/>
      </c>
      <c r="J30">
        <f>COUNTIFS(IlumaData!$U:$U,$A30,IlumaData!$Q:$Q,"&lt;&gt;")</f>
        <v/>
      </c>
      <c r="K30">
        <f>IF($J30=0,"",SUMIFS(IlumaData!$Q:$Q,IlumaData!$U:$U,$A30))</f>
        <v/>
      </c>
      <c r="L30">
        <f>COUNTIFS(IlumaData!$U:$U,$A30,IlumaData!$M:$M,"&lt;&gt;")</f>
        <v/>
      </c>
      <c r="M30">
        <f>IF($E30=0,"",IF($L30=0,"not loaded","loaded"))</f>
        <v/>
      </c>
      <c r="N30">
        <f>COUNTIFS(IlumaData!$U:$U,$A30,IlumaData!$I:$I,"&lt;&gt;")</f>
        <v/>
      </c>
      <c r="O30">
        <f>IF($E30=0,"",IF($L30=0,"No POS sales have been loaded for this date, so variance cannot be worked out. Import the sales report for this day and it fills in.",IF($N30=0,"This is the first count of these products, so there is no opening figure to sell down from. Variance starts from the next count.",IF($F30-$G30=0,"Physical and POS agree on every product.",($F30-$G30)&amp;" of "&amp;$F30&amp;" products disagree with the POS. Largest first below."))))</f>
        <v/>
      </c>
      <c r="R30" t="n">
        <v>28</v>
      </c>
      <c r="S30">
        <f>IFERROR(INDEX(IlumaData!$G:$G,MATCH($R30,IlumaData!$V:$V,0)),"")</f>
        <v/>
      </c>
      <c r="T30">
        <f>IF(COUNTIFS(IlumaData!$V:$V,$R30,IlumaData!$U:$U,1,IlumaData!$N:$N,"&lt;&gt;")=0,"",SUMIFS(IlumaData!$N:$N,IlumaData!$V:$V,$R30,IlumaData!$U:$U,1))</f>
        <v/>
      </c>
      <c r="U30">
        <f>IF(COUNTIFS(IlumaData!$V:$V,$R30,IlumaData!$U:$U,2,IlumaData!$N:$N,"&lt;&gt;")=0,"",SUMIFS(IlumaData!$N:$N,IlumaData!$V:$V,$R30,IlumaData!$U:$U,2))</f>
        <v/>
      </c>
      <c r="V30">
        <f>IF(COUNTIFS(IlumaData!$V:$V,$R30,IlumaData!$U:$U,3,IlumaData!$N:$N,"&lt;&gt;")=0,"",SUMIFS(IlumaData!$N:$N,IlumaData!$V:$V,$R30,IlumaData!$U:$U,3))</f>
        <v/>
      </c>
      <c r="W30">
        <f>IF(COUNTIFS(IlumaData!$V:$V,$R30,IlumaData!$U:$U,4,IlumaData!$N:$N,"&lt;&gt;")=0,"",SUMIFS(IlumaData!$N:$N,IlumaData!$V:$V,$R30,IlumaData!$U:$U,4))</f>
        <v/>
      </c>
      <c r="X30">
        <f>IF(COUNTIFS(IlumaData!$V:$V,$R30,IlumaData!$U:$U,5,IlumaData!$N:$N,"&lt;&gt;")=0,"",SUMIFS(IlumaData!$N:$N,IlumaData!$V:$V,$R30,IlumaData!$U:$U,5))</f>
        <v/>
      </c>
      <c r="Y30">
        <f>IF(COUNTIFS(IlumaData!$V:$V,$R30,IlumaData!$U:$U,6,IlumaData!$N:$N,"&lt;&gt;")=0,"",SUMIFS(IlumaData!$N:$N,IlumaData!$V:$V,$R30,IlumaData!$U:$U,6))</f>
        <v/>
      </c>
      <c r="Z30">
        <f>IF(COUNTIFS(IlumaData!$V:$V,$R30,IlumaData!$U:$U,7,IlumaData!$N:$N,"&lt;&gt;")=0,"",SUMIFS(IlumaData!$N:$N,IlumaData!$V:$V,$R30,IlumaData!$U:$U,7))</f>
        <v/>
      </c>
      <c r="AA30">
        <f>IF(COUNTIFS(IlumaData!$V:$V,$R30,IlumaData!$U:$U,8,IlumaData!$N:$N,"&lt;&gt;")=0,"",SUMIFS(IlumaData!$N:$N,IlumaData!$V:$V,$R30,IlumaData!$U:$U,8))</f>
        <v/>
      </c>
      <c r="AB30">
        <f>IF(COUNTIFS(IlumaData!$V:$V,$R30,IlumaData!$U:$U,9,IlumaData!$N:$N,"&lt;&gt;")=0,"",SUMIFS(IlumaData!$N:$N,IlumaData!$V:$V,$R30,IlumaData!$U:$U,9))</f>
        <v/>
      </c>
      <c r="AC30">
        <f>IF(COUNTIFS(IlumaData!$V:$V,$R30,IlumaData!$U:$U,10,IlumaData!$N:$N,"&lt;&gt;")=0,"",SUMIFS(IlumaData!$N:$N,IlumaData!$V:$V,$R30,IlumaData!$U:$U,10))</f>
        <v/>
      </c>
      <c r="AD30">
        <f>IF(COUNTIFS(IlumaData!$V:$V,$R30,IlumaData!$U:$U,11,IlumaData!$N:$N,"&lt;&gt;")=0,"",SUMIFS(IlumaData!$N:$N,IlumaData!$V:$V,$R30,IlumaData!$U:$U,11))</f>
        <v/>
      </c>
      <c r="AE30">
        <f>IF(COUNTIFS(IlumaData!$V:$V,$R30,IlumaData!$U:$U,12,IlumaData!$N:$N,"&lt;&gt;")=0,"",SUMIFS(IlumaData!$N:$N,IlumaData!$V:$V,$R30,IlumaData!$U:$U,12))</f>
        <v/>
      </c>
      <c r="AF30">
        <f>IF(COUNTIFS(IlumaData!$V:$V,$R30,IlumaData!$U:$U,13,IlumaData!$N:$N,"&lt;&gt;")=0,"",SUMIFS(IlumaData!$N:$N,IlumaData!$V:$V,$R30,IlumaData!$U:$U,13))</f>
        <v/>
      </c>
      <c r="AG30">
        <f>IF(COUNTIFS(IlumaData!$V:$V,$R30,IlumaData!$U:$U,14,IlumaData!$N:$N,"&lt;&gt;")=0,"",SUMIFS(IlumaData!$N:$N,IlumaData!$V:$V,$R30,IlumaData!$U:$U,14))</f>
        <v/>
      </c>
      <c r="AH30">
        <f>COUNTIFS(IlumaData!$V:$V,$R30,IlumaData!$U:$U,"&lt;="&amp;14,IlumaData!$N:$N,"&lt;&gt;")</f>
        <v/>
      </c>
      <c r="AI30">
        <f>COUNTIFS(IlumaData!$V:$V,$R30,IlumaData!$U:$U,"&lt;="&amp;14,IlumaData!$N:$N,0)</f>
        <v/>
      </c>
      <c r="AJ30">
        <f>IF(AH30=0,"",AH30-AI30)</f>
        <v/>
      </c>
      <c r="AK30">
        <f>IF(AH30=0,"",SUMIFS(IlumaData!$N:$N,IlumaData!$V:$V,$R30,IlumaData!$U:$U,"&lt;="&amp;14))</f>
        <v/>
      </c>
      <c r="AL30">
        <f>IF(AH30=0,"",IF(ABS(MAX(T30:AG30))&gt;=ABS(MIN(T30:AG30)),MAX(T30:AG30),MIN(T30:AG30)))</f>
        <v/>
      </c>
      <c r="AM30">
        <f>IF(AH30=0,-1,AJ30*100000+MIN(ABS(AK30),99999))</f>
        <v/>
      </c>
      <c r="AN30">
        <f>IF($S30="","",1+COUNTIFS($AM$3:$AM$122,"&gt;"&amp;AM30)+COUNTIFS($AM$3:$AM$122,AM30,$R$3:$R$122,"&lt;"&amp;$R30))</f>
        <v/>
      </c>
    </row>
    <row r="31">
      <c r="A31" t="n">
        <v>29</v>
      </c>
      <c r="B31" s="31">
        <f>IFERROR(IF(INDEX(IlumaData!$B:$B,MATCH($A31,IlumaData!$U:$U,0))="","",INDEX(IlumaData!$B:$B,MATCH($A31,IlumaData!$U:$U,0))),"")</f>
        <v/>
      </c>
      <c r="C31">
        <f>IFERROR(IF(INDEX(IlumaData!$D:$D,MATCH($A31,IlumaData!$U:$U,0))="","",INDEX(IlumaData!$D:$D,MATCH($A31,IlumaData!$U:$U,0))),"")</f>
        <v/>
      </c>
      <c r="D31" s="31">
        <f>IFERROR(IF(INDEX(IlumaData!$O:$O,MATCH($A31,IlumaData!$U:$U,0))="","",INDEX(IlumaData!$O:$O,MATCH($A31,IlumaData!$U:$U,0))),"")</f>
        <v/>
      </c>
      <c r="E31">
        <f>COUNTIFS(IlumaData!$U:$U,$A31)</f>
        <v/>
      </c>
      <c r="F31">
        <f>COUNTIFS(IlumaData!$U:$U,$A31,IlumaData!$N:$N,"&lt;&gt;")</f>
        <v/>
      </c>
      <c r="G31">
        <f>COUNTIFS(IlumaData!$U:$U,$A31,IlumaData!$N:$N,0)</f>
        <v/>
      </c>
      <c r="H31">
        <f>IF($F31=0,"",$F31-$G31)</f>
        <v/>
      </c>
      <c r="I31">
        <f>IF($F31=0,"",SUMIFS(IlumaData!$N:$N,IlumaData!$U:$U,$A31))</f>
        <v/>
      </c>
      <c r="J31">
        <f>COUNTIFS(IlumaData!$U:$U,$A31,IlumaData!$Q:$Q,"&lt;&gt;")</f>
        <v/>
      </c>
      <c r="K31">
        <f>IF($J31=0,"",SUMIFS(IlumaData!$Q:$Q,IlumaData!$U:$U,$A31))</f>
        <v/>
      </c>
      <c r="L31">
        <f>COUNTIFS(IlumaData!$U:$U,$A31,IlumaData!$M:$M,"&lt;&gt;")</f>
        <v/>
      </c>
      <c r="M31">
        <f>IF($E31=0,"",IF($L31=0,"not loaded","loaded"))</f>
        <v/>
      </c>
      <c r="N31">
        <f>COUNTIFS(IlumaData!$U:$U,$A31,IlumaData!$I:$I,"&lt;&gt;")</f>
        <v/>
      </c>
      <c r="O31">
        <f>IF($E31=0,"",IF($L31=0,"No POS sales have been loaded for this date, so variance cannot be worked out. Import the sales report for this day and it fills in.",IF($N31=0,"This is the first count of these products, so there is no opening figure to sell down from. Variance starts from the next count.",IF($F31-$G31=0,"Physical and POS agree on every product.",($F31-$G31)&amp;" of "&amp;$F31&amp;" products disagree with the POS. Largest first below."))))</f>
        <v/>
      </c>
      <c r="R31" t="n">
        <v>29</v>
      </c>
      <c r="S31">
        <f>IFERROR(INDEX(IlumaData!$G:$G,MATCH($R31,IlumaData!$V:$V,0)),"")</f>
        <v/>
      </c>
      <c r="T31">
        <f>IF(COUNTIFS(IlumaData!$V:$V,$R31,IlumaData!$U:$U,1,IlumaData!$N:$N,"&lt;&gt;")=0,"",SUMIFS(IlumaData!$N:$N,IlumaData!$V:$V,$R31,IlumaData!$U:$U,1))</f>
        <v/>
      </c>
      <c r="U31">
        <f>IF(COUNTIFS(IlumaData!$V:$V,$R31,IlumaData!$U:$U,2,IlumaData!$N:$N,"&lt;&gt;")=0,"",SUMIFS(IlumaData!$N:$N,IlumaData!$V:$V,$R31,IlumaData!$U:$U,2))</f>
        <v/>
      </c>
      <c r="V31">
        <f>IF(COUNTIFS(IlumaData!$V:$V,$R31,IlumaData!$U:$U,3,IlumaData!$N:$N,"&lt;&gt;")=0,"",SUMIFS(IlumaData!$N:$N,IlumaData!$V:$V,$R31,IlumaData!$U:$U,3))</f>
        <v/>
      </c>
      <c r="W31">
        <f>IF(COUNTIFS(IlumaData!$V:$V,$R31,IlumaData!$U:$U,4,IlumaData!$N:$N,"&lt;&gt;")=0,"",SUMIFS(IlumaData!$N:$N,IlumaData!$V:$V,$R31,IlumaData!$U:$U,4))</f>
        <v/>
      </c>
      <c r="X31">
        <f>IF(COUNTIFS(IlumaData!$V:$V,$R31,IlumaData!$U:$U,5,IlumaData!$N:$N,"&lt;&gt;")=0,"",SUMIFS(IlumaData!$N:$N,IlumaData!$V:$V,$R31,IlumaData!$U:$U,5))</f>
        <v/>
      </c>
      <c r="Y31">
        <f>IF(COUNTIFS(IlumaData!$V:$V,$R31,IlumaData!$U:$U,6,IlumaData!$N:$N,"&lt;&gt;")=0,"",SUMIFS(IlumaData!$N:$N,IlumaData!$V:$V,$R31,IlumaData!$U:$U,6))</f>
        <v/>
      </c>
      <c r="Z31">
        <f>IF(COUNTIFS(IlumaData!$V:$V,$R31,IlumaData!$U:$U,7,IlumaData!$N:$N,"&lt;&gt;")=0,"",SUMIFS(IlumaData!$N:$N,IlumaData!$V:$V,$R31,IlumaData!$U:$U,7))</f>
        <v/>
      </c>
      <c r="AA31">
        <f>IF(COUNTIFS(IlumaData!$V:$V,$R31,IlumaData!$U:$U,8,IlumaData!$N:$N,"&lt;&gt;")=0,"",SUMIFS(IlumaData!$N:$N,IlumaData!$V:$V,$R31,IlumaData!$U:$U,8))</f>
        <v/>
      </c>
      <c r="AB31">
        <f>IF(COUNTIFS(IlumaData!$V:$V,$R31,IlumaData!$U:$U,9,IlumaData!$N:$N,"&lt;&gt;")=0,"",SUMIFS(IlumaData!$N:$N,IlumaData!$V:$V,$R31,IlumaData!$U:$U,9))</f>
        <v/>
      </c>
      <c r="AC31">
        <f>IF(COUNTIFS(IlumaData!$V:$V,$R31,IlumaData!$U:$U,10,IlumaData!$N:$N,"&lt;&gt;")=0,"",SUMIFS(IlumaData!$N:$N,IlumaData!$V:$V,$R31,IlumaData!$U:$U,10))</f>
        <v/>
      </c>
      <c r="AD31">
        <f>IF(COUNTIFS(IlumaData!$V:$V,$R31,IlumaData!$U:$U,11,IlumaData!$N:$N,"&lt;&gt;")=0,"",SUMIFS(IlumaData!$N:$N,IlumaData!$V:$V,$R31,IlumaData!$U:$U,11))</f>
        <v/>
      </c>
      <c r="AE31">
        <f>IF(COUNTIFS(IlumaData!$V:$V,$R31,IlumaData!$U:$U,12,IlumaData!$N:$N,"&lt;&gt;")=0,"",SUMIFS(IlumaData!$N:$N,IlumaData!$V:$V,$R31,IlumaData!$U:$U,12))</f>
        <v/>
      </c>
      <c r="AF31">
        <f>IF(COUNTIFS(IlumaData!$V:$V,$R31,IlumaData!$U:$U,13,IlumaData!$N:$N,"&lt;&gt;")=0,"",SUMIFS(IlumaData!$N:$N,IlumaData!$V:$V,$R31,IlumaData!$U:$U,13))</f>
        <v/>
      </c>
      <c r="AG31">
        <f>IF(COUNTIFS(IlumaData!$V:$V,$R31,IlumaData!$U:$U,14,IlumaData!$N:$N,"&lt;&gt;")=0,"",SUMIFS(IlumaData!$N:$N,IlumaData!$V:$V,$R31,IlumaData!$U:$U,14))</f>
        <v/>
      </c>
      <c r="AH31">
        <f>COUNTIFS(IlumaData!$V:$V,$R31,IlumaData!$U:$U,"&lt;="&amp;14,IlumaData!$N:$N,"&lt;&gt;")</f>
        <v/>
      </c>
      <c r="AI31">
        <f>COUNTIFS(IlumaData!$V:$V,$R31,IlumaData!$U:$U,"&lt;="&amp;14,IlumaData!$N:$N,0)</f>
        <v/>
      </c>
      <c r="AJ31">
        <f>IF(AH31=0,"",AH31-AI31)</f>
        <v/>
      </c>
      <c r="AK31">
        <f>IF(AH31=0,"",SUMIFS(IlumaData!$N:$N,IlumaData!$V:$V,$R31,IlumaData!$U:$U,"&lt;="&amp;14))</f>
        <v/>
      </c>
      <c r="AL31">
        <f>IF(AH31=0,"",IF(ABS(MAX(T31:AG31))&gt;=ABS(MIN(T31:AG31)),MAX(T31:AG31),MIN(T31:AG31)))</f>
        <v/>
      </c>
      <c r="AM31">
        <f>IF(AH31=0,-1,AJ31*100000+MIN(ABS(AK31),99999))</f>
        <v/>
      </c>
      <c r="AN31">
        <f>IF($S31="","",1+COUNTIFS($AM$3:$AM$122,"&gt;"&amp;AM31)+COUNTIFS($AM$3:$AM$122,AM31,$R$3:$R$122,"&lt;"&amp;$R31))</f>
        <v/>
      </c>
    </row>
    <row r="32">
      <c r="A32" t="n">
        <v>30</v>
      </c>
      <c r="B32" s="31">
        <f>IFERROR(IF(INDEX(IlumaData!$B:$B,MATCH($A32,IlumaData!$U:$U,0))="","",INDEX(IlumaData!$B:$B,MATCH($A32,IlumaData!$U:$U,0))),"")</f>
        <v/>
      </c>
      <c r="C32">
        <f>IFERROR(IF(INDEX(IlumaData!$D:$D,MATCH($A32,IlumaData!$U:$U,0))="","",INDEX(IlumaData!$D:$D,MATCH($A32,IlumaData!$U:$U,0))),"")</f>
        <v/>
      </c>
      <c r="D32" s="31">
        <f>IFERROR(IF(INDEX(IlumaData!$O:$O,MATCH($A32,IlumaData!$U:$U,0))="","",INDEX(IlumaData!$O:$O,MATCH($A32,IlumaData!$U:$U,0))),"")</f>
        <v/>
      </c>
      <c r="E32">
        <f>COUNTIFS(IlumaData!$U:$U,$A32)</f>
        <v/>
      </c>
      <c r="F32">
        <f>COUNTIFS(IlumaData!$U:$U,$A32,IlumaData!$N:$N,"&lt;&gt;")</f>
        <v/>
      </c>
      <c r="G32">
        <f>COUNTIFS(IlumaData!$U:$U,$A32,IlumaData!$N:$N,0)</f>
        <v/>
      </c>
      <c r="H32">
        <f>IF($F32=0,"",$F32-$G32)</f>
        <v/>
      </c>
      <c r="I32">
        <f>IF($F32=0,"",SUMIFS(IlumaData!$N:$N,IlumaData!$U:$U,$A32))</f>
        <v/>
      </c>
      <c r="J32">
        <f>COUNTIFS(IlumaData!$U:$U,$A32,IlumaData!$Q:$Q,"&lt;&gt;")</f>
        <v/>
      </c>
      <c r="K32">
        <f>IF($J32=0,"",SUMIFS(IlumaData!$Q:$Q,IlumaData!$U:$U,$A32))</f>
        <v/>
      </c>
      <c r="L32">
        <f>COUNTIFS(IlumaData!$U:$U,$A32,IlumaData!$M:$M,"&lt;&gt;")</f>
        <v/>
      </c>
      <c r="M32">
        <f>IF($E32=0,"",IF($L32=0,"not loaded","loaded"))</f>
        <v/>
      </c>
      <c r="N32">
        <f>COUNTIFS(IlumaData!$U:$U,$A32,IlumaData!$I:$I,"&lt;&gt;")</f>
        <v/>
      </c>
      <c r="O32">
        <f>IF($E32=0,"",IF($L32=0,"No POS sales have been loaded for this date, so variance cannot be worked out. Import the sales report for this day and it fills in.",IF($N32=0,"This is the first count of these products, so there is no opening figure to sell down from. Variance starts from the next count.",IF($F32-$G32=0,"Physical and POS agree on every product.",($F32-$G32)&amp;" of "&amp;$F32&amp;" products disagree with the POS. Largest first below."))))</f>
        <v/>
      </c>
      <c r="R32" t="n">
        <v>30</v>
      </c>
      <c r="S32">
        <f>IFERROR(INDEX(IlumaData!$G:$G,MATCH($R32,IlumaData!$V:$V,0)),"")</f>
        <v/>
      </c>
      <c r="T32">
        <f>IF(COUNTIFS(IlumaData!$V:$V,$R32,IlumaData!$U:$U,1,IlumaData!$N:$N,"&lt;&gt;")=0,"",SUMIFS(IlumaData!$N:$N,IlumaData!$V:$V,$R32,IlumaData!$U:$U,1))</f>
        <v/>
      </c>
      <c r="U32">
        <f>IF(COUNTIFS(IlumaData!$V:$V,$R32,IlumaData!$U:$U,2,IlumaData!$N:$N,"&lt;&gt;")=0,"",SUMIFS(IlumaData!$N:$N,IlumaData!$V:$V,$R32,IlumaData!$U:$U,2))</f>
        <v/>
      </c>
      <c r="V32">
        <f>IF(COUNTIFS(IlumaData!$V:$V,$R32,IlumaData!$U:$U,3,IlumaData!$N:$N,"&lt;&gt;")=0,"",SUMIFS(IlumaData!$N:$N,IlumaData!$V:$V,$R32,IlumaData!$U:$U,3))</f>
        <v/>
      </c>
      <c r="W32">
        <f>IF(COUNTIFS(IlumaData!$V:$V,$R32,IlumaData!$U:$U,4,IlumaData!$N:$N,"&lt;&gt;")=0,"",SUMIFS(IlumaData!$N:$N,IlumaData!$V:$V,$R32,IlumaData!$U:$U,4))</f>
        <v/>
      </c>
      <c r="X32">
        <f>IF(COUNTIFS(IlumaData!$V:$V,$R32,IlumaData!$U:$U,5,IlumaData!$N:$N,"&lt;&gt;")=0,"",SUMIFS(IlumaData!$N:$N,IlumaData!$V:$V,$R32,IlumaData!$U:$U,5))</f>
        <v/>
      </c>
      <c r="Y32">
        <f>IF(COUNTIFS(IlumaData!$V:$V,$R32,IlumaData!$U:$U,6,IlumaData!$N:$N,"&lt;&gt;")=0,"",SUMIFS(IlumaData!$N:$N,IlumaData!$V:$V,$R32,IlumaData!$U:$U,6))</f>
        <v/>
      </c>
      <c r="Z32">
        <f>IF(COUNTIFS(IlumaData!$V:$V,$R32,IlumaData!$U:$U,7,IlumaData!$N:$N,"&lt;&gt;")=0,"",SUMIFS(IlumaData!$N:$N,IlumaData!$V:$V,$R32,IlumaData!$U:$U,7))</f>
        <v/>
      </c>
      <c r="AA32">
        <f>IF(COUNTIFS(IlumaData!$V:$V,$R32,IlumaData!$U:$U,8,IlumaData!$N:$N,"&lt;&gt;")=0,"",SUMIFS(IlumaData!$N:$N,IlumaData!$V:$V,$R32,IlumaData!$U:$U,8))</f>
        <v/>
      </c>
      <c r="AB32">
        <f>IF(COUNTIFS(IlumaData!$V:$V,$R32,IlumaData!$U:$U,9,IlumaData!$N:$N,"&lt;&gt;")=0,"",SUMIFS(IlumaData!$N:$N,IlumaData!$V:$V,$R32,IlumaData!$U:$U,9))</f>
        <v/>
      </c>
      <c r="AC32">
        <f>IF(COUNTIFS(IlumaData!$V:$V,$R32,IlumaData!$U:$U,10,IlumaData!$N:$N,"&lt;&gt;")=0,"",SUMIFS(IlumaData!$N:$N,IlumaData!$V:$V,$R32,IlumaData!$U:$U,10))</f>
        <v/>
      </c>
      <c r="AD32">
        <f>IF(COUNTIFS(IlumaData!$V:$V,$R32,IlumaData!$U:$U,11,IlumaData!$N:$N,"&lt;&gt;")=0,"",SUMIFS(IlumaData!$N:$N,IlumaData!$V:$V,$R32,IlumaData!$U:$U,11))</f>
        <v/>
      </c>
      <c r="AE32">
        <f>IF(COUNTIFS(IlumaData!$V:$V,$R32,IlumaData!$U:$U,12,IlumaData!$N:$N,"&lt;&gt;")=0,"",SUMIFS(IlumaData!$N:$N,IlumaData!$V:$V,$R32,IlumaData!$U:$U,12))</f>
        <v/>
      </c>
      <c r="AF32">
        <f>IF(COUNTIFS(IlumaData!$V:$V,$R32,IlumaData!$U:$U,13,IlumaData!$N:$N,"&lt;&gt;")=0,"",SUMIFS(IlumaData!$N:$N,IlumaData!$V:$V,$R32,IlumaData!$U:$U,13))</f>
        <v/>
      </c>
      <c r="AG32">
        <f>IF(COUNTIFS(IlumaData!$V:$V,$R32,IlumaData!$U:$U,14,IlumaData!$N:$N,"&lt;&gt;")=0,"",SUMIFS(IlumaData!$N:$N,IlumaData!$V:$V,$R32,IlumaData!$U:$U,14))</f>
        <v/>
      </c>
      <c r="AH32">
        <f>COUNTIFS(IlumaData!$V:$V,$R32,IlumaData!$U:$U,"&lt;="&amp;14,IlumaData!$N:$N,"&lt;&gt;")</f>
        <v/>
      </c>
      <c r="AI32">
        <f>COUNTIFS(IlumaData!$V:$V,$R32,IlumaData!$U:$U,"&lt;="&amp;14,IlumaData!$N:$N,0)</f>
        <v/>
      </c>
      <c r="AJ32">
        <f>IF(AH32=0,"",AH32-AI32)</f>
        <v/>
      </c>
      <c r="AK32">
        <f>IF(AH32=0,"",SUMIFS(IlumaData!$N:$N,IlumaData!$V:$V,$R32,IlumaData!$U:$U,"&lt;="&amp;14))</f>
        <v/>
      </c>
      <c r="AL32">
        <f>IF(AH32=0,"",IF(ABS(MAX(T32:AG32))&gt;=ABS(MIN(T32:AG32)),MAX(T32:AG32),MIN(T32:AG32)))</f>
        <v/>
      </c>
      <c r="AM32">
        <f>IF(AH32=0,-1,AJ32*100000+MIN(ABS(AK32),99999))</f>
        <v/>
      </c>
      <c r="AN32">
        <f>IF($S32="","",1+COUNTIFS($AM$3:$AM$122,"&gt;"&amp;AM32)+COUNTIFS($AM$3:$AM$122,AM32,$R$3:$R$122,"&lt;"&amp;$R32))</f>
        <v/>
      </c>
    </row>
    <row r="33">
      <c r="A33" t="n">
        <v>31</v>
      </c>
      <c r="B33" s="31">
        <f>IFERROR(IF(INDEX(IlumaData!$B:$B,MATCH($A33,IlumaData!$U:$U,0))="","",INDEX(IlumaData!$B:$B,MATCH($A33,IlumaData!$U:$U,0))),"")</f>
        <v/>
      </c>
      <c r="C33">
        <f>IFERROR(IF(INDEX(IlumaData!$D:$D,MATCH($A33,IlumaData!$U:$U,0))="","",INDEX(IlumaData!$D:$D,MATCH($A33,IlumaData!$U:$U,0))),"")</f>
        <v/>
      </c>
      <c r="D33" s="31">
        <f>IFERROR(IF(INDEX(IlumaData!$O:$O,MATCH($A33,IlumaData!$U:$U,0))="","",INDEX(IlumaData!$O:$O,MATCH($A33,IlumaData!$U:$U,0))),"")</f>
        <v/>
      </c>
      <c r="E33">
        <f>COUNTIFS(IlumaData!$U:$U,$A33)</f>
        <v/>
      </c>
      <c r="F33">
        <f>COUNTIFS(IlumaData!$U:$U,$A33,IlumaData!$N:$N,"&lt;&gt;")</f>
        <v/>
      </c>
      <c r="G33">
        <f>COUNTIFS(IlumaData!$U:$U,$A33,IlumaData!$N:$N,0)</f>
        <v/>
      </c>
      <c r="H33">
        <f>IF($F33=0,"",$F33-$G33)</f>
        <v/>
      </c>
      <c r="I33">
        <f>IF($F33=0,"",SUMIFS(IlumaData!$N:$N,IlumaData!$U:$U,$A33))</f>
        <v/>
      </c>
      <c r="J33">
        <f>COUNTIFS(IlumaData!$U:$U,$A33,IlumaData!$Q:$Q,"&lt;&gt;")</f>
        <v/>
      </c>
      <c r="K33">
        <f>IF($J33=0,"",SUMIFS(IlumaData!$Q:$Q,IlumaData!$U:$U,$A33))</f>
        <v/>
      </c>
      <c r="L33">
        <f>COUNTIFS(IlumaData!$U:$U,$A33,IlumaData!$M:$M,"&lt;&gt;")</f>
        <v/>
      </c>
      <c r="M33">
        <f>IF($E33=0,"",IF($L33=0,"not loaded","loaded"))</f>
        <v/>
      </c>
      <c r="N33">
        <f>COUNTIFS(IlumaData!$U:$U,$A33,IlumaData!$I:$I,"&lt;&gt;")</f>
        <v/>
      </c>
      <c r="O33">
        <f>IF($E33=0,"",IF($L33=0,"No POS sales have been loaded for this date, so variance cannot be worked out. Import the sales report for this day and it fills in.",IF($N33=0,"This is the first count of these products, so there is no opening figure to sell down from. Variance starts from the next count.",IF($F33-$G33=0,"Physical and POS agree on every product.",($F33-$G33)&amp;" of "&amp;$F33&amp;" products disagree with the POS. Largest first below."))))</f>
        <v/>
      </c>
      <c r="R33" t="n">
        <v>31</v>
      </c>
      <c r="S33">
        <f>IFERROR(INDEX(IlumaData!$G:$G,MATCH($R33,IlumaData!$V:$V,0)),"")</f>
        <v/>
      </c>
      <c r="T33">
        <f>IF(COUNTIFS(IlumaData!$V:$V,$R33,IlumaData!$U:$U,1,IlumaData!$N:$N,"&lt;&gt;")=0,"",SUMIFS(IlumaData!$N:$N,IlumaData!$V:$V,$R33,IlumaData!$U:$U,1))</f>
        <v/>
      </c>
      <c r="U33">
        <f>IF(COUNTIFS(IlumaData!$V:$V,$R33,IlumaData!$U:$U,2,IlumaData!$N:$N,"&lt;&gt;")=0,"",SUMIFS(IlumaData!$N:$N,IlumaData!$V:$V,$R33,IlumaData!$U:$U,2))</f>
        <v/>
      </c>
      <c r="V33">
        <f>IF(COUNTIFS(IlumaData!$V:$V,$R33,IlumaData!$U:$U,3,IlumaData!$N:$N,"&lt;&gt;")=0,"",SUMIFS(IlumaData!$N:$N,IlumaData!$V:$V,$R33,IlumaData!$U:$U,3))</f>
        <v/>
      </c>
      <c r="W33">
        <f>IF(COUNTIFS(IlumaData!$V:$V,$R33,IlumaData!$U:$U,4,IlumaData!$N:$N,"&lt;&gt;")=0,"",SUMIFS(IlumaData!$N:$N,IlumaData!$V:$V,$R33,IlumaData!$U:$U,4))</f>
        <v/>
      </c>
      <c r="X33">
        <f>IF(COUNTIFS(IlumaData!$V:$V,$R33,IlumaData!$U:$U,5,IlumaData!$N:$N,"&lt;&gt;")=0,"",SUMIFS(IlumaData!$N:$N,IlumaData!$V:$V,$R33,IlumaData!$U:$U,5))</f>
        <v/>
      </c>
      <c r="Y33">
        <f>IF(COUNTIFS(IlumaData!$V:$V,$R33,IlumaData!$U:$U,6,IlumaData!$N:$N,"&lt;&gt;")=0,"",SUMIFS(IlumaData!$N:$N,IlumaData!$V:$V,$R33,IlumaData!$U:$U,6))</f>
        <v/>
      </c>
      <c r="Z33">
        <f>IF(COUNTIFS(IlumaData!$V:$V,$R33,IlumaData!$U:$U,7,IlumaData!$N:$N,"&lt;&gt;")=0,"",SUMIFS(IlumaData!$N:$N,IlumaData!$V:$V,$R33,IlumaData!$U:$U,7))</f>
        <v/>
      </c>
      <c r="AA33">
        <f>IF(COUNTIFS(IlumaData!$V:$V,$R33,IlumaData!$U:$U,8,IlumaData!$N:$N,"&lt;&gt;")=0,"",SUMIFS(IlumaData!$N:$N,IlumaData!$V:$V,$R33,IlumaData!$U:$U,8))</f>
        <v/>
      </c>
      <c r="AB33">
        <f>IF(COUNTIFS(IlumaData!$V:$V,$R33,IlumaData!$U:$U,9,IlumaData!$N:$N,"&lt;&gt;")=0,"",SUMIFS(IlumaData!$N:$N,IlumaData!$V:$V,$R33,IlumaData!$U:$U,9))</f>
        <v/>
      </c>
      <c r="AC33">
        <f>IF(COUNTIFS(IlumaData!$V:$V,$R33,IlumaData!$U:$U,10,IlumaData!$N:$N,"&lt;&gt;")=0,"",SUMIFS(IlumaData!$N:$N,IlumaData!$V:$V,$R33,IlumaData!$U:$U,10))</f>
        <v/>
      </c>
      <c r="AD33">
        <f>IF(COUNTIFS(IlumaData!$V:$V,$R33,IlumaData!$U:$U,11,IlumaData!$N:$N,"&lt;&gt;")=0,"",SUMIFS(IlumaData!$N:$N,IlumaData!$V:$V,$R33,IlumaData!$U:$U,11))</f>
        <v/>
      </c>
      <c r="AE33">
        <f>IF(COUNTIFS(IlumaData!$V:$V,$R33,IlumaData!$U:$U,12,IlumaData!$N:$N,"&lt;&gt;")=0,"",SUMIFS(IlumaData!$N:$N,IlumaData!$V:$V,$R33,IlumaData!$U:$U,12))</f>
        <v/>
      </c>
      <c r="AF33">
        <f>IF(COUNTIFS(IlumaData!$V:$V,$R33,IlumaData!$U:$U,13,IlumaData!$N:$N,"&lt;&gt;")=0,"",SUMIFS(IlumaData!$N:$N,IlumaData!$V:$V,$R33,IlumaData!$U:$U,13))</f>
        <v/>
      </c>
      <c r="AG33">
        <f>IF(COUNTIFS(IlumaData!$V:$V,$R33,IlumaData!$U:$U,14,IlumaData!$N:$N,"&lt;&gt;")=0,"",SUMIFS(IlumaData!$N:$N,IlumaData!$V:$V,$R33,IlumaData!$U:$U,14))</f>
        <v/>
      </c>
      <c r="AH33">
        <f>COUNTIFS(IlumaData!$V:$V,$R33,IlumaData!$U:$U,"&lt;="&amp;14,IlumaData!$N:$N,"&lt;&gt;")</f>
        <v/>
      </c>
      <c r="AI33">
        <f>COUNTIFS(IlumaData!$V:$V,$R33,IlumaData!$U:$U,"&lt;="&amp;14,IlumaData!$N:$N,0)</f>
        <v/>
      </c>
      <c r="AJ33">
        <f>IF(AH33=0,"",AH33-AI33)</f>
        <v/>
      </c>
      <c r="AK33">
        <f>IF(AH33=0,"",SUMIFS(IlumaData!$N:$N,IlumaData!$V:$V,$R33,IlumaData!$U:$U,"&lt;="&amp;14))</f>
        <v/>
      </c>
      <c r="AL33">
        <f>IF(AH33=0,"",IF(ABS(MAX(T33:AG33))&gt;=ABS(MIN(T33:AG33)),MAX(T33:AG33),MIN(T33:AG33)))</f>
        <v/>
      </c>
      <c r="AM33">
        <f>IF(AH33=0,-1,AJ33*100000+MIN(ABS(AK33),99999))</f>
        <v/>
      </c>
      <c r="AN33">
        <f>IF($S33="","",1+COUNTIFS($AM$3:$AM$122,"&gt;"&amp;AM33)+COUNTIFS($AM$3:$AM$122,AM33,$R$3:$R$122,"&lt;"&amp;$R33))</f>
        <v/>
      </c>
    </row>
    <row r="34">
      <c r="A34" t="n">
        <v>32</v>
      </c>
      <c r="B34" s="31">
        <f>IFERROR(IF(INDEX(IlumaData!$B:$B,MATCH($A34,IlumaData!$U:$U,0))="","",INDEX(IlumaData!$B:$B,MATCH($A34,IlumaData!$U:$U,0))),"")</f>
        <v/>
      </c>
      <c r="C34">
        <f>IFERROR(IF(INDEX(IlumaData!$D:$D,MATCH($A34,IlumaData!$U:$U,0))="","",INDEX(IlumaData!$D:$D,MATCH($A34,IlumaData!$U:$U,0))),"")</f>
        <v/>
      </c>
      <c r="D34" s="31">
        <f>IFERROR(IF(INDEX(IlumaData!$O:$O,MATCH($A34,IlumaData!$U:$U,0))="","",INDEX(IlumaData!$O:$O,MATCH($A34,IlumaData!$U:$U,0))),"")</f>
        <v/>
      </c>
      <c r="E34">
        <f>COUNTIFS(IlumaData!$U:$U,$A34)</f>
        <v/>
      </c>
      <c r="F34">
        <f>COUNTIFS(IlumaData!$U:$U,$A34,IlumaData!$N:$N,"&lt;&gt;")</f>
        <v/>
      </c>
      <c r="G34">
        <f>COUNTIFS(IlumaData!$U:$U,$A34,IlumaData!$N:$N,0)</f>
        <v/>
      </c>
      <c r="H34">
        <f>IF($F34=0,"",$F34-$G34)</f>
        <v/>
      </c>
      <c r="I34">
        <f>IF($F34=0,"",SUMIFS(IlumaData!$N:$N,IlumaData!$U:$U,$A34))</f>
        <v/>
      </c>
      <c r="J34">
        <f>COUNTIFS(IlumaData!$U:$U,$A34,IlumaData!$Q:$Q,"&lt;&gt;")</f>
        <v/>
      </c>
      <c r="K34">
        <f>IF($J34=0,"",SUMIFS(IlumaData!$Q:$Q,IlumaData!$U:$U,$A34))</f>
        <v/>
      </c>
      <c r="L34">
        <f>COUNTIFS(IlumaData!$U:$U,$A34,IlumaData!$M:$M,"&lt;&gt;")</f>
        <v/>
      </c>
      <c r="M34">
        <f>IF($E34=0,"",IF($L34=0,"not loaded","loaded"))</f>
        <v/>
      </c>
      <c r="N34">
        <f>COUNTIFS(IlumaData!$U:$U,$A34,IlumaData!$I:$I,"&lt;&gt;")</f>
        <v/>
      </c>
      <c r="O34">
        <f>IF($E34=0,"",IF($L34=0,"No POS sales have been loaded for this date, so variance cannot be worked out. Import the sales report for this day and it fills in.",IF($N34=0,"This is the first count of these products, so there is no opening figure to sell down from. Variance starts from the next count.",IF($F34-$G34=0,"Physical and POS agree on every product.",($F34-$G34)&amp;" of "&amp;$F34&amp;" products disagree with the POS. Largest first below."))))</f>
        <v/>
      </c>
      <c r="R34" t="n">
        <v>32</v>
      </c>
      <c r="S34">
        <f>IFERROR(INDEX(IlumaData!$G:$G,MATCH($R34,IlumaData!$V:$V,0)),"")</f>
        <v/>
      </c>
      <c r="T34">
        <f>IF(COUNTIFS(IlumaData!$V:$V,$R34,IlumaData!$U:$U,1,IlumaData!$N:$N,"&lt;&gt;")=0,"",SUMIFS(IlumaData!$N:$N,IlumaData!$V:$V,$R34,IlumaData!$U:$U,1))</f>
        <v/>
      </c>
      <c r="U34">
        <f>IF(COUNTIFS(IlumaData!$V:$V,$R34,IlumaData!$U:$U,2,IlumaData!$N:$N,"&lt;&gt;")=0,"",SUMIFS(IlumaData!$N:$N,IlumaData!$V:$V,$R34,IlumaData!$U:$U,2))</f>
        <v/>
      </c>
      <c r="V34">
        <f>IF(COUNTIFS(IlumaData!$V:$V,$R34,IlumaData!$U:$U,3,IlumaData!$N:$N,"&lt;&gt;")=0,"",SUMIFS(IlumaData!$N:$N,IlumaData!$V:$V,$R34,IlumaData!$U:$U,3))</f>
        <v/>
      </c>
      <c r="W34">
        <f>IF(COUNTIFS(IlumaData!$V:$V,$R34,IlumaData!$U:$U,4,IlumaData!$N:$N,"&lt;&gt;")=0,"",SUMIFS(IlumaData!$N:$N,IlumaData!$V:$V,$R34,IlumaData!$U:$U,4))</f>
        <v/>
      </c>
      <c r="X34">
        <f>IF(COUNTIFS(IlumaData!$V:$V,$R34,IlumaData!$U:$U,5,IlumaData!$N:$N,"&lt;&gt;")=0,"",SUMIFS(IlumaData!$N:$N,IlumaData!$V:$V,$R34,IlumaData!$U:$U,5))</f>
        <v/>
      </c>
      <c r="Y34">
        <f>IF(COUNTIFS(IlumaData!$V:$V,$R34,IlumaData!$U:$U,6,IlumaData!$N:$N,"&lt;&gt;")=0,"",SUMIFS(IlumaData!$N:$N,IlumaData!$V:$V,$R34,IlumaData!$U:$U,6))</f>
        <v/>
      </c>
      <c r="Z34">
        <f>IF(COUNTIFS(IlumaData!$V:$V,$R34,IlumaData!$U:$U,7,IlumaData!$N:$N,"&lt;&gt;")=0,"",SUMIFS(IlumaData!$N:$N,IlumaData!$V:$V,$R34,IlumaData!$U:$U,7))</f>
        <v/>
      </c>
      <c r="AA34">
        <f>IF(COUNTIFS(IlumaData!$V:$V,$R34,IlumaData!$U:$U,8,IlumaData!$N:$N,"&lt;&gt;")=0,"",SUMIFS(IlumaData!$N:$N,IlumaData!$V:$V,$R34,IlumaData!$U:$U,8))</f>
        <v/>
      </c>
      <c r="AB34">
        <f>IF(COUNTIFS(IlumaData!$V:$V,$R34,IlumaData!$U:$U,9,IlumaData!$N:$N,"&lt;&gt;")=0,"",SUMIFS(IlumaData!$N:$N,IlumaData!$V:$V,$R34,IlumaData!$U:$U,9))</f>
        <v/>
      </c>
      <c r="AC34">
        <f>IF(COUNTIFS(IlumaData!$V:$V,$R34,IlumaData!$U:$U,10,IlumaData!$N:$N,"&lt;&gt;")=0,"",SUMIFS(IlumaData!$N:$N,IlumaData!$V:$V,$R34,IlumaData!$U:$U,10))</f>
        <v/>
      </c>
      <c r="AD34">
        <f>IF(COUNTIFS(IlumaData!$V:$V,$R34,IlumaData!$U:$U,11,IlumaData!$N:$N,"&lt;&gt;")=0,"",SUMIFS(IlumaData!$N:$N,IlumaData!$V:$V,$R34,IlumaData!$U:$U,11))</f>
        <v/>
      </c>
      <c r="AE34">
        <f>IF(COUNTIFS(IlumaData!$V:$V,$R34,IlumaData!$U:$U,12,IlumaData!$N:$N,"&lt;&gt;")=0,"",SUMIFS(IlumaData!$N:$N,IlumaData!$V:$V,$R34,IlumaData!$U:$U,12))</f>
        <v/>
      </c>
      <c r="AF34">
        <f>IF(COUNTIFS(IlumaData!$V:$V,$R34,IlumaData!$U:$U,13,IlumaData!$N:$N,"&lt;&gt;")=0,"",SUMIFS(IlumaData!$N:$N,IlumaData!$V:$V,$R34,IlumaData!$U:$U,13))</f>
        <v/>
      </c>
      <c r="AG34">
        <f>IF(COUNTIFS(IlumaData!$V:$V,$R34,IlumaData!$U:$U,14,IlumaData!$N:$N,"&lt;&gt;")=0,"",SUMIFS(IlumaData!$N:$N,IlumaData!$V:$V,$R34,IlumaData!$U:$U,14))</f>
        <v/>
      </c>
      <c r="AH34">
        <f>COUNTIFS(IlumaData!$V:$V,$R34,IlumaData!$U:$U,"&lt;="&amp;14,IlumaData!$N:$N,"&lt;&gt;")</f>
        <v/>
      </c>
      <c r="AI34">
        <f>COUNTIFS(IlumaData!$V:$V,$R34,IlumaData!$U:$U,"&lt;="&amp;14,IlumaData!$N:$N,0)</f>
        <v/>
      </c>
      <c r="AJ34">
        <f>IF(AH34=0,"",AH34-AI34)</f>
        <v/>
      </c>
      <c r="AK34">
        <f>IF(AH34=0,"",SUMIFS(IlumaData!$N:$N,IlumaData!$V:$V,$R34,IlumaData!$U:$U,"&lt;="&amp;14))</f>
        <v/>
      </c>
      <c r="AL34">
        <f>IF(AH34=0,"",IF(ABS(MAX(T34:AG34))&gt;=ABS(MIN(T34:AG34)),MAX(T34:AG34),MIN(T34:AG34)))</f>
        <v/>
      </c>
      <c r="AM34">
        <f>IF(AH34=0,-1,AJ34*100000+MIN(ABS(AK34),99999))</f>
        <v/>
      </c>
      <c r="AN34">
        <f>IF($S34="","",1+COUNTIFS($AM$3:$AM$122,"&gt;"&amp;AM34)+COUNTIFS($AM$3:$AM$122,AM34,$R$3:$R$122,"&lt;"&amp;$R34))</f>
        <v/>
      </c>
    </row>
    <row r="35">
      <c r="A35" t="n">
        <v>33</v>
      </c>
      <c r="B35" s="31">
        <f>IFERROR(IF(INDEX(IlumaData!$B:$B,MATCH($A35,IlumaData!$U:$U,0))="","",INDEX(IlumaData!$B:$B,MATCH($A35,IlumaData!$U:$U,0))),"")</f>
        <v/>
      </c>
      <c r="C35">
        <f>IFERROR(IF(INDEX(IlumaData!$D:$D,MATCH($A35,IlumaData!$U:$U,0))="","",INDEX(IlumaData!$D:$D,MATCH($A35,IlumaData!$U:$U,0))),"")</f>
        <v/>
      </c>
      <c r="D35" s="31">
        <f>IFERROR(IF(INDEX(IlumaData!$O:$O,MATCH($A35,IlumaData!$U:$U,0))="","",INDEX(IlumaData!$O:$O,MATCH($A35,IlumaData!$U:$U,0))),"")</f>
        <v/>
      </c>
      <c r="E35">
        <f>COUNTIFS(IlumaData!$U:$U,$A35)</f>
        <v/>
      </c>
      <c r="F35">
        <f>COUNTIFS(IlumaData!$U:$U,$A35,IlumaData!$N:$N,"&lt;&gt;")</f>
        <v/>
      </c>
      <c r="G35">
        <f>COUNTIFS(IlumaData!$U:$U,$A35,IlumaData!$N:$N,0)</f>
        <v/>
      </c>
      <c r="H35">
        <f>IF($F35=0,"",$F35-$G35)</f>
        <v/>
      </c>
      <c r="I35">
        <f>IF($F35=0,"",SUMIFS(IlumaData!$N:$N,IlumaData!$U:$U,$A35))</f>
        <v/>
      </c>
      <c r="J35">
        <f>COUNTIFS(IlumaData!$U:$U,$A35,IlumaData!$Q:$Q,"&lt;&gt;")</f>
        <v/>
      </c>
      <c r="K35">
        <f>IF($J35=0,"",SUMIFS(IlumaData!$Q:$Q,IlumaData!$U:$U,$A35))</f>
        <v/>
      </c>
      <c r="L35">
        <f>COUNTIFS(IlumaData!$U:$U,$A35,IlumaData!$M:$M,"&lt;&gt;")</f>
        <v/>
      </c>
      <c r="M35">
        <f>IF($E35=0,"",IF($L35=0,"not loaded","loaded"))</f>
        <v/>
      </c>
      <c r="N35">
        <f>COUNTIFS(IlumaData!$U:$U,$A35,IlumaData!$I:$I,"&lt;&gt;")</f>
        <v/>
      </c>
      <c r="O35">
        <f>IF($E35=0,"",IF($L35=0,"No POS sales have been loaded for this date, so variance cannot be worked out. Import the sales report for this day and it fills in.",IF($N35=0,"This is the first count of these products, so there is no opening figure to sell down from. Variance starts from the next count.",IF($F35-$G35=0,"Physical and POS agree on every product.",($F35-$G35)&amp;" of "&amp;$F35&amp;" products disagree with the POS. Largest first below."))))</f>
        <v/>
      </c>
      <c r="R35" t="n">
        <v>33</v>
      </c>
      <c r="S35">
        <f>IFERROR(INDEX(IlumaData!$G:$G,MATCH($R35,IlumaData!$V:$V,0)),"")</f>
        <v/>
      </c>
      <c r="T35">
        <f>IF(COUNTIFS(IlumaData!$V:$V,$R35,IlumaData!$U:$U,1,IlumaData!$N:$N,"&lt;&gt;")=0,"",SUMIFS(IlumaData!$N:$N,IlumaData!$V:$V,$R35,IlumaData!$U:$U,1))</f>
        <v/>
      </c>
      <c r="U35">
        <f>IF(COUNTIFS(IlumaData!$V:$V,$R35,IlumaData!$U:$U,2,IlumaData!$N:$N,"&lt;&gt;")=0,"",SUMIFS(IlumaData!$N:$N,IlumaData!$V:$V,$R35,IlumaData!$U:$U,2))</f>
        <v/>
      </c>
      <c r="V35">
        <f>IF(COUNTIFS(IlumaData!$V:$V,$R35,IlumaData!$U:$U,3,IlumaData!$N:$N,"&lt;&gt;")=0,"",SUMIFS(IlumaData!$N:$N,IlumaData!$V:$V,$R35,IlumaData!$U:$U,3))</f>
        <v/>
      </c>
      <c r="W35">
        <f>IF(COUNTIFS(IlumaData!$V:$V,$R35,IlumaData!$U:$U,4,IlumaData!$N:$N,"&lt;&gt;")=0,"",SUMIFS(IlumaData!$N:$N,IlumaData!$V:$V,$R35,IlumaData!$U:$U,4))</f>
        <v/>
      </c>
      <c r="X35">
        <f>IF(COUNTIFS(IlumaData!$V:$V,$R35,IlumaData!$U:$U,5,IlumaData!$N:$N,"&lt;&gt;")=0,"",SUMIFS(IlumaData!$N:$N,IlumaData!$V:$V,$R35,IlumaData!$U:$U,5))</f>
        <v/>
      </c>
      <c r="Y35">
        <f>IF(COUNTIFS(IlumaData!$V:$V,$R35,IlumaData!$U:$U,6,IlumaData!$N:$N,"&lt;&gt;")=0,"",SUMIFS(IlumaData!$N:$N,IlumaData!$V:$V,$R35,IlumaData!$U:$U,6))</f>
        <v/>
      </c>
      <c r="Z35">
        <f>IF(COUNTIFS(IlumaData!$V:$V,$R35,IlumaData!$U:$U,7,IlumaData!$N:$N,"&lt;&gt;")=0,"",SUMIFS(IlumaData!$N:$N,IlumaData!$V:$V,$R35,IlumaData!$U:$U,7))</f>
        <v/>
      </c>
      <c r="AA35">
        <f>IF(COUNTIFS(IlumaData!$V:$V,$R35,IlumaData!$U:$U,8,IlumaData!$N:$N,"&lt;&gt;")=0,"",SUMIFS(IlumaData!$N:$N,IlumaData!$V:$V,$R35,IlumaData!$U:$U,8))</f>
        <v/>
      </c>
      <c r="AB35">
        <f>IF(COUNTIFS(IlumaData!$V:$V,$R35,IlumaData!$U:$U,9,IlumaData!$N:$N,"&lt;&gt;")=0,"",SUMIFS(IlumaData!$N:$N,IlumaData!$V:$V,$R35,IlumaData!$U:$U,9))</f>
        <v/>
      </c>
      <c r="AC35">
        <f>IF(COUNTIFS(IlumaData!$V:$V,$R35,IlumaData!$U:$U,10,IlumaData!$N:$N,"&lt;&gt;")=0,"",SUMIFS(IlumaData!$N:$N,IlumaData!$V:$V,$R35,IlumaData!$U:$U,10))</f>
        <v/>
      </c>
      <c r="AD35">
        <f>IF(COUNTIFS(IlumaData!$V:$V,$R35,IlumaData!$U:$U,11,IlumaData!$N:$N,"&lt;&gt;")=0,"",SUMIFS(IlumaData!$N:$N,IlumaData!$V:$V,$R35,IlumaData!$U:$U,11))</f>
        <v/>
      </c>
      <c r="AE35">
        <f>IF(COUNTIFS(IlumaData!$V:$V,$R35,IlumaData!$U:$U,12,IlumaData!$N:$N,"&lt;&gt;")=0,"",SUMIFS(IlumaData!$N:$N,IlumaData!$V:$V,$R35,IlumaData!$U:$U,12))</f>
        <v/>
      </c>
      <c r="AF35">
        <f>IF(COUNTIFS(IlumaData!$V:$V,$R35,IlumaData!$U:$U,13,IlumaData!$N:$N,"&lt;&gt;")=0,"",SUMIFS(IlumaData!$N:$N,IlumaData!$V:$V,$R35,IlumaData!$U:$U,13))</f>
        <v/>
      </c>
      <c r="AG35">
        <f>IF(COUNTIFS(IlumaData!$V:$V,$R35,IlumaData!$U:$U,14,IlumaData!$N:$N,"&lt;&gt;")=0,"",SUMIFS(IlumaData!$N:$N,IlumaData!$V:$V,$R35,IlumaData!$U:$U,14))</f>
        <v/>
      </c>
      <c r="AH35">
        <f>COUNTIFS(IlumaData!$V:$V,$R35,IlumaData!$U:$U,"&lt;="&amp;14,IlumaData!$N:$N,"&lt;&gt;")</f>
        <v/>
      </c>
      <c r="AI35">
        <f>COUNTIFS(IlumaData!$V:$V,$R35,IlumaData!$U:$U,"&lt;="&amp;14,IlumaData!$N:$N,0)</f>
        <v/>
      </c>
      <c r="AJ35">
        <f>IF(AH35=0,"",AH35-AI35)</f>
        <v/>
      </c>
      <c r="AK35">
        <f>IF(AH35=0,"",SUMIFS(IlumaData!$N:$N,IlumaData!$V:$V,$R35,IlumaData!$U:$U,"&lt;="&amp;14))</f>
        <v/>
      </c>
      <c r="AL35">
        <f>IF(AH35=0,"",IF(ABS(MAX(T35:AG35))&gt;=ABS(MIN(T35:AG35)),MAX(T35:AG35),MIN(T35:AG35)))</f>
        <v/>
      </c>
      <c r="AM35">
        <f>IF(AH35=0,-1,AJ35*100000+MIN(ABS(AK35),99999))</f>
        <v/>
      </c>
      <c r="AN35">
        <f>IF($S35="","",1+COUNTIFS($AM$3:$AM$122,"&gt;"&amp;AM35)+COUNTIFS($AM$3:$AM$122,AM35,$R$3:$R$122,"&lt;"&amp;$R35))</f>
        <v/>
      </c>
    </row>
    <row r="36">
      <c r="A36" t="n">
        <v>34</v>
      </c>
      <c r="B36" s="31">
        <f>IFERROR(IF(INDEX(IlumaData!$B:$B,MATCH($A36,IlumaData!$U:$U,0))="","",INDEX(IlumaData!$B:$B,MATCH($A36,IlumaData!$U:$U,0))),"")</f>
        <v/>
      </c>
      <c r="C36">
        <f>IFERROR(IF(INDEX(IlumaData!$D:$D,MATCH($A36,IlumaData!$U:$U,0))="","",INDEX(IlumaData!$D:$D,MATCH($A36,IlumaData!$U:$U,0))),"")</f>
        <v/>
      </c>
      <c r="D36" s="31">
        <f>IFERROR(IF(INDEX(IlumaData!$O:$O,MATCH($A36,IlumaData!$U:$U,0))="","",INDEX(IlumaData!$O:$O,MATCH($A36,IlumaData!$U:$U,0))),"")</f>
        <v/>
      </c>
      <c r="E36">
        <f>COUNTIFS(IlumaData!$U:$U,$A36)</f>
        <v/>
      </c>
      <c r="F36">
        <f>COUNTIFS(IlumaData!$U:$U,$A36,IlumaData!$N:$N,"&lt;&gt;")</f>
        <v/>
      </c>
      <c r="G36">
        <f>COUNTIFS(IlumaData!$U:$U,$A36,IlumaData!$N:$N,0)</f>
        <v/>
      </c>
      <c r="H36">
        <f>IF($F36=0,"",$F36-$G36)</f>
        <v/>
      </c>
      <c r="I36">
        <f>IF($F36=0,"",SUMIFS(IlumaData!$N:$N,IlumaData!$U:$U,$A36))</f>
        <v/>
      </c>
      <c r="J36">
        <f>COUNTIFS(IlumaData!$U:$U,$A36,IlumaData!$Q:$Q,"&lt;&gt;")</f>
        <v/>
      </c>
      <c r="K36">
        <f>IF($J36=0,"",SUMIFS(IlumaData!$Q:$Q,IlumaData!$U:$U,$A36))</f>
        <v/>
      </c>
      <c r="L36">
        <f>COUNTIFS(IlumaData!$U:$U,$A36,IlumaData!$M:$M,"&lt;&gt;")</f>
        <v/>
      </c>
      <c r="M36">
        <f>IF($E36=0,"",IF($L36=0,"not loaded","loaded"))</f>
        <v/>
      </c>
      <c r="N36">
        <f>COUNTIFS(IlumaData!$U:$U,$A36,IlumaData!$I:$I,"&lt;&gt;")</f>
        <v/>
      </c>
      <c r="O36">
        <f>IF($E36=0,"",IF($L36=0,"No POS sales have been loaded for this date, so variance cannot be worked out. Import the sales report for this day and it fills in.",IF($N36=0,"This is the first count of these products, so there is no opening figure to sell down from. Variance starts from the next count.",IF($F36-$G36=0,"Physical and POS agree on every product.",($F36-$G36)&amp;" of "&amp;$F36&amp;" products disagree with the POS. Largest first below."))))</f>
        <v/>
      </c>
      <c r="R36" t="n">
        <v>34</v>
      </c>
      <c r="S36">
        <f>IFERROR(INDEX(IlumaData!$G:$G,MATCH($R36,IlumaData!$V:$V,0)),"")</f>
        <v/>
      </c>
      <c r="T36">
        <f>IF(COUNTIFS(IlumaData!$V:$V,$R36,IlumaData!$U:$U,1,IlumaData!$N:$N,"&lt;&gt;")=0,"",SUMIFS(IlumaData!$N:$N,IlumaData!$V:$V,$R36,IlumaData!$U:$U,1))</f>
        <v/>
      </c>
      <c r="U36">
        <f>IF(COUNTIFS(IlumaData!$V:$V,$R36,IlumaData!$U:$U,2,IlumaData!$N:$N,"&lt;&gt;")=0,"",SUMIFS(IlumaData!$N:$N,IlumaData!$V:$V,$R36,IlumaData!$U:$U,2))</f>
        <v/>
      </c>
      <c r="V36">
        <f>IF(COUNTIFS(IlumaData!$V:$V,$R36,IlumaData!$U:$U,3,IlumaData!$N:$N,"&lt;&gt;")=0,"",SUMIFS(IlumaData!$N:$N,IlumaData!$V:$V,$R36,IlumaData!$U:$U,3))</f>
        <v/>
      </c>
      <c r="W36">
        <f>IF(COUNTIFS(IlumaData!$V:$V,$R36,IlumaData!$U:$U,4,IlumaData!$N:$N,"&lt;&gt;")=0,"",SUMIFS(IlumaData!$N:$N,IlumaData!$V:$V,$R36,IlumaData!$U:$U,4))</f>
        <v/>
      </c>
      <c r="X36">
        <f>IF(COUNTIFS(IlumaData!$V:$V,$R36,IlumaData!$U:$U,5,IlumaData!$N:$N,"&lt;&gt;")=0,"",SUMIFS(IlumaData!$N:$N,IlumaData!$V:$V,$R36,IlumaData!$U:$U,5))</f>
        <v/>
      </c>
      <c r="Y36">
        <f>IF(COUNTIFS(IlumaData!$V:$V,$R36,IlumaData!$U:$U,6,IlumaData!$N:$N,"&lt;&gt;")=0,"",SUMIFS(IlumaData!$N:$N,IlumaData!$V:$V,$R36,IlumaData!$U:$U,6))</f>
        <v/>
      </c>
      <c r="Z36">
        <f>IF(COUNTIFS(IlumaData!$V:$V,$R36,IlumaData!$U:$U,7,IlumaData!$N:$N,"&lt;&gt;")=0,"",SUMIFS(IlumaData!$N:$N,IlumaData!$V:$V,$R36,IlumaData!$U:$U,7))</f>
        <v/>
      </c>
      <c r="AA36">
        <f>IF(COUNTIFS(IlumaData!$V:$V,$R36,IlumaData!$U:$U,8,IlumaData!$N:$N,"&lt;&gt;")=0,"",SUMIFS(IlumaData!$N:$N,IlumaData!$V:$V,$R36,IlumaData!$U:$U,8))</f>
        <v/>
      </c>
      <c r="AB36">
        <f>IF(COUNTIFS(IlumaData!$V:$V,$R36,IlumaData!$U:$U,9,IlumaData!$N:$N,"&lt;&gt;")=0,"",SUMIFS(IlumaData!$N:$N,IlumaData!$V:$V,$R36,IlumaData!$U:$U,9))</f>
        <v/>
      </c>
      <c r="AC36">
        <f>IF(COUNTIFS(IlumaData!$V:$V,$R36,IlumaData!$U:$U,10,IlumaData!$N:$N,"&lt;&gt;")=0,"",SUMIFS(IlumaData!$N:$N,IlumaData!$V:$V,$R36,IlumaData!$U:$U,10))</f>
        <v/>
      </c>
      <c r="AD36">
        <f>IF(COUNTIFS(IlumaData!$V:$V,$R36,IlumaData!$U:$U,11,IlumaData!$N:$N,"&lt;&gt;")=0,"",SUMIFS(IlumaData!$N:$N,IlumaData!$V:$V,$R36,IlumaData!$U:$U,11))</f>
        <v/>
      </c>
      <c r="AE36">
        <f>IF(COUNTIFS(IlumaData!$V:$V,$R36,IlumaData!$U:$U,12,IlumaData!$N:$N,"&lt;&gt;")=0,"",SUMIFS(IlumaData!$N:$N,IlumaData!$V:$V,$R36,IlumaData!$U:$U,12))</f>
        <v/>
      </c>
      <c r="AF36">
        <f>IF(COUNTIFS(IlumaData!$V:$V,$R36,IlumaData!$U:$U,13,IlumaData!$N:$N,"&lt;&gt;")=0,"",SUMIFS(IlumaData!$N:$N,IlumaData!$V:$V,$R36,IlumaData!$U:$U,13))</f>
        <v/>
      </c>
      <c r="AG36">
        <f>IF(COUNTIFS(IlumaData!$V:$V,$R36,IlumaData!$U:$U,14,IlumaData!$N:$N,"&lt;&gt;")=0,"",SUMIFS(IlumaData!$N:$N,IlumaData!$V:$V,$R36,IlumaData!$U:$U,14))</f>
        <v/>
      </c>
      <c r="AH36">
        <f>COUNTIFS(IlumaData!$V:$V,$R36,IlumaData!$U:$U,"&lt;="&amp;14,IlumaData!$N:$N,"&lt;&gt;")</f>
        <v/>
      </c>
      <c r="AI36">
        <f>COUNTIFS(IlumaData!$V:$V,$R36,IlumaData!$U:$U,"&lt;="&amp;14,IlumaData!$N:$N,0)</f>
        <v/>
      </c>
      <c r="AJ36">
        <f>IF(AH36=0,"",AH36-AI36)</f>
        <v/>
      </c>
      <c r="AK36">
        <f>IF(AH36=0,"",SUMIFS(IlumaData!$N:$N,IlumaData!$V:$V,$R36,IlumaData!$U:$U,"&lt;="&amp;14))</f>
        <v/>
      </c>
      <c r="AL36">
        <f>IF(AH36=0,"",IF(ABS(MAX(T36:AG36))&gt;=ABS(MIN(T36:AG36)),MAX(T36:AG36),MIN(T36:AG36)))</f>
        <v/>
      </c>
      <c r="AM36">
        <f>IF(AH36=0,-1,AJ36*100000+MIN(ABS(AK36),99999))</f>
        <v/>
      </c>
      <c r="AN36">
        <f>IF($S36="","",1+COUNTIFS($AM$3:$AM$122,"&gt;"&amp;AM36)+COUNTIFS($AM$3:$AM$122,AM36,$R$3:$R$122,"&lt;"&amp;$R36))</f>
        <v/>
      </c>
    </row>
    <row r="37">
      <c r="A37" t="n">
        <v>35</v>
      </c>
      <c r="B37" s="31">
        <f>IFERROR(IF(INDEX(IlumaData!$B:$B,MATCH($A37,IlumaData!$U:$U,0))="","",INDEX(IlumaData!$B:$B,MATCH($A37,IlumaData!$U:$U,0))),"")</f>
        <v/>
      </c>
      <c r="C37">
        <f>IFERROR(IF(INDEX(IlumaData!$D:$D,MATCH($A37,IlumaData!$U:$U,0))="","",INDEX(IlumaData!$D:$D,MATCH($A37,IlumaData!$U:$U,0))),"")</f>
        <v/>
      </c>
      <c r="D37" s="31">
        <f>IFERROR(IF(INDEX(IlumaData!$O:$O,MATCH($A37,IlumaData!$U:$U,0))="","",INDEX(IlumaData!$O:$O,MATCH($A37,IlumaData!$U:$U,0))),"")</f>
        <v/>
      </c>
      <c r="E37">
        <f>COUNTIFS(IlumaData!$U:$U,$A37)</f>
        <v/>
      </c>
      <c r="F37">
        <f>COUNTIFS(IlumaData!$U:$U,$A37,IlumaData!$N:$N,"&lt;&gt;")</f>
        <v/>
      </c>
      <c r="G37">
        <f>COUNTIFS(IlumaData!$U:$U,$A37,IlumaData!$N:$N,0)</f>
        <v/>
      </c>
      <c r="H37">
        <f>IF($F37=0,"",$F37-$G37)</f>
        <v/>
      </c>
      <c r="I37">
        <f>IF($F37=0,"",SUMIFS(IlumaData!$N:$N,IlumaData!$U:$U,$A37))</f>
        <v/>
      </c>
      <c r="J37">
        <f>COUNTIFS(IlumaData!$U:$U,$A37,IlumaData!$Q:$Q,"&lt;&gt;")</f>
        <v/>
      </c>
      <c r="K37">
        <f>IF($J37=0,"",SUMIFS(IlumaData!$Q:$Q,IlumaData!$U:$U,$A37))</f>
        <v/>
      </c>
      <c r="L37">
        <f>COUNTIFS(IlumaData!$U:$U,$A37,IlumaData!$M:$M,"&lt;&gt;")</f>
        <v/>
      </c>
      <c r="M37">
        <f>IF($E37=0,"",IF($L37=0,"not loaded","loaded"))</f>
        <v/>
      </c>
      <c r="N37">
        <f>COUNTIFS(IlumaData!$U:$U,$A37,IlumaData!$I:$I,"&lt;&gt;")</f>
        <v/>
      </c>
      <c r="O37">
        <f>IF($E37=0,"",IF($L37=0,"No POS sales have been loaded for this date, so variance cannot be worked out. Import the sales report for this day and it fills in.",IF($N37=0,"This is the first count of these products, so there is no opening figure to sell down from. Variance starts from the next count.",IF($F37-$G37=0,"Physical and POS agree on every product.",($F37-$G37)&amp;" of "&amp;$F37&amp;" products disagree with the POS. Largest first below."))))</f>
        <v/>
      </c>
      <c r="R37" t="n">
        <v>35</v>
      </c>
      <c r="S37">
        <f>IFERROR(INDEX(IlumaData!$G:$G,MATCH($R37,IlumaData!$V:$V,0)),"")</f>
        <v/>
      </c>
      <c r="T37">
        <f>IF(COUNTIFS(IlumaData!$V:$V,$R37,IlumaData!$U:$U,1,IlumaData!$N:$N,"&lt;&gt;")=0,"",SUMIFS(IlumaData!$N:$N,IlumaData!$V:$V,$R37,IlumaData!$U:$U,1))</f>
        <v/>
      </c>
      <c r="U37">
        <f>IF(COUNTIFS(IlumaData!$V:$V,$R37,IlumaData!$U:$U,2,IlumaData!$N:$N,"&lt;&gt;")=0,"",SUMIFS(IlumaData!$N:$N,IlumaData!$V:$V,$R37,IlumaData!$U:$U,2))</f>
        <v/>
      </c>
      <c r="V37">
        <f>IF(COUNTIFS(IlumaData!$V:$V,$R37,IlumaData!$U:$U,3,IlumaData!$N:$N,"&lt;&gt;")=0,"",SUMIFS(IlumaData!$N:$N,IlumaData!$V:$V,$R37,IlumaData!$U:$U,3))</f>
        <v/>
      </c>
      <c r="W37">
        <f>IF(COUNTIFS(IlumaData!$V:$V,$R37,IlumaData!$U:$U,4,IlumaData!$N:$N,"&lt;&gt;")=0,"",SUMIFS(IlumaData!$N:$N,IlumaData!$V:$V,$R37,IlumaData!$U:$U,4))</f>
        <v/>
      </c>
      <c r="X37">
        <f>IF(COUNTIFS(IlumaData!$V:$V,$R37,IlumaData!$U:$U,5,IlumaData!$N:$N,"&lt;&gt;")=0,"",SUMIFS(IlumaData!$N:$N,IlumaData!$V:$V,$R37,IlumaData!$U:$U,5))</f>
        <v/>
      </c>
      <c r="Y37">
        <f>IF(COUNTIFS(IlumaData!$V:$V,$R37,IlumaData!$U:$U,6,IlumaData!$N:$N,"&lt;&gt;")=0,"",SUMIFS(IlumaData!$N:$N,IlumaData!$V:$V,$R37,IlumaData!$U:$U,6))</f>
        <v/>
      </c>
      <c r="Z37">
        <f>IF(COUNTIFS(IlumaData!$V:$V,$R37,IlumaData!$U:$U,7,IlumaData!$N:$N,"&lt;&gt;")=0,"",SUMIFS(IlumaData!$N:$N,IlumaData!$V:$V,$R37,IlumaData!$U:$U,7))</f>
        <v/>
      </c>
      <c r="AA37">
        <f>IF(COUNTIFS(IlumaData!$V:$V,$R37,IlumaData!$U:$U,8,IlumaData!$N:$N,"&lt;&gt;")=0,"",SUMIFS(IlumaData!$N:$N,IlumaData!$V:$V,$R37,IlumaData!$U:$U,8))</f>
        <v/>
      </c>
      <c r="AB37">
        <f>IF(COUNTIFS(IlumaData!$V:$V,$R37,IlumaData!$U:$U,9,IlumaData!$N:$N,"&lt;&gt;")=0,"",SUMIFS(IlumaData!$N:$N,IlumaData!$V:$V,$R37,IlumaData!$U:$U,9))</f>
        <v/>
      </c>
      <c r="AC37">
        <f>IF(COUNTIFS(IlumaData!$V:$V,$R37,IlumaData!$U:$U,10,IlumaData!$N:$N,"&lt;&gt;")=0,"",SUMIFS(IlumaData!$N:$N,IlumaData!$V:$V,$R37,IlumaData!$U:$U,10))</f>
        <v/>
      </c>
      <c r="AD37">
        <f>IF(COUNTIFS(IlumaData!$V:$V,$R37,IlumaData!$U:$U,11,IlumaData!$N:$N,"&lt;&gt;")=0,"",SUMIFS(IlumaData!$N:$N,IlumaData!$V:$V,$R37,IlumaData!$U:$U,11))</f>
        <v/>
      </c>
      <c r="AE37">
        <f>IF(COUNTIFS(IlumaData!$V:$V,$R37,IlumaData!$U:$U,12,IlumaData!$N:$N,"&lt;&gt;")=0,"",SUMIFS(IlumaData!$N:$N,IlumaData!$V:$V,$R37,IlumaData!$U:$U,12))</f>
        <v/>
      </c>
      <c r="AF37">
        <f>IF(COUNTIFS(IlumaData!$V:$V,$R37,IlumaData!$U:$U,13,IlumaData!$N:$N,"&lt;&gt;")=0,"",SUMIFS(IlumaData!$N:$N,IlumaData!$V:$V,$R37,IlumaData!$U:$U,13))</f>
        <v/>
      </c>
      <c r="AG37">
        <f>IF(COUNTIFS(IlumaData!$V:$V,$R37,IlumaData!$U:$U,14,IlumaData!$N:$N,"&lt;&gt;")=0,"",SUMIFS(IlumaData!$N:$N,IlumaData!$V:$V,$R37,IlumaData!$U:$U,14))</f>
        <v/>
      </c>
      <c r="AH37">
        <f>COUNTIFS(IlumaData!$V:$V,$R37,IlumaData!$U:$U,"&lt;="&amp;14,IlumaData!$N:$N,"&lt;&gt;")</f>
        <v/>
      </c>
      <c r="AI37">
        <f>COUNTIFS(IlumaData!$V:$V,$R37,IlumaData!$U:$U,"&lt;="&amp;14,IlumaData!$N:$N,0)</f>
        <v/>
      </c>
      <c r="AJ37">
        <f>IF(AH37=0,"",AH37-AI37)</f>
        <v/>
      </c>
      <c r="AK37">
        <f>IF(AH37=0,"",SUMIFS(IlumaData!$N:$N,IlumaData!$V:$V,$R37,IlumaData!$U:$U,"&lt;="&amp;14))</f>
        <v/>
      </c>
      <c r="AL37">
        <f>IF(AH37=0,"",IF(ABS(MAX(T37:AG37))&gt;=ABS(MIN(T37:AG37)),MAX(T37:AG37),MIN(T37:AG37)))</f>
        <v/>
      </c>
      <c r="AM37">
        <f>IF(AH37=0,-1,AJ37*100000+MIN(ABS(AK37),99999))</f>
        <v/>
      </c>
      <c r="AN37">
        <f>IF($S37="","",1+COUNTIFS($AM$3:$AM$122,"&gt;"&amp;AM37)+COUNTIFS($AM$3:$AM$122,AM37,$R$3:$R$122,"&lt;"&amp;$R37))</f>
        <v/>
      </c>
    </row>
    <row r="38">
      <c r="A38" t="n">
        <v>36</v>
      </c>
      <c r="B38" s="31">
        <f>IFERROR(IF(INDEX(IlumaData!$B:$B,MATCH($A38,IlumaData!$U:$U,0))="","",INDEX(IlumaData!$B:$B,MATCH($A38,IlumaData!$U:$U,0))),"")</f>
        <v/>
      </c>
      <c r="C38">
        <f>IFERROR(IF(INDEX(IlumaData!$D:$D,MATCH($A38,IlumaData!$U:$U,0))="","",INDEX(IlumaData!$D:$D,MATCH($A38,IlumaData!$U:$U,0))),"")</f>
        <v/>
      </c>
      <c r="D38" s="31">
        <f>IFERROR(IF(INDEX(IlumaData!$O:$O,MATCH($A38,IlumaData!$U:$U,0))="","",INDEX(IlumaData!$O:$O,MATCH($A38,IlumaData!$U:$U,0))),"")</f>
        <v/>
      </c>
      <c r="E38">
        <f>COUNTIFS(IlumaData!$U:$U,$A38)</f>
        <v/>
      </c>
      <c r="F38">
        <f>COUNTIFS(IlumaData!$U:$U,$A38,IlumaData!$N:$N,"&lt;&gt;")</f>
        <v/>
      </c>
      <c r="G38">
        <f>COUNTIFS(IlumaData!$U:$U,$A38,IlumaData!$N:$N,0)</f>
        <v/>
      </c>
      <c r="H38">
        <f>IF($F38=0,"",$F38-$G38)</f>
        <v/>
      </c>
      <c r="I38">
        <f>IF($F38=0,"",SUMIFS(IlumaData!$N:$N,IlumaData!$U:$U,$A38))</f>
        <v/>
      </c>
      <c r="J38">
        <f>COUNTIFS(IlumaData!$U:$U,$A38,IlumaData!$Q:$Q,"&lt;&gt;")</f>
        <v/>
      </c>
      <c r="K38">
        <f>IF($J38=0,"",SUMIFS(IlumaData!$Q:$Q,IlumaData!$U:$U,$A38))</f>
        <v/>
      </c>
      <c r="L38">
        <f>COUNTIFS(IlumaData!$U:$U,$A38,IlumaData!$M:$M,"&lt;&gt;")</f>
        <v/>
      </c>
      <c r="M38">
        <f>IF($E38=0,"",IF($L38=0,"not loaded","loaded"))</f>
        <v/>
      </c>
      <c r="N38">
        <f>COUNTIFS(IlumaData!$U:$U,$A38,IlumaData!$I:$I,"&lt;&gt;")</f>
        <v/>
      </c>
      <c r="O38">
        <f>IF($E38=0,"",IF($L38=0,"No POS sales have been loaded for this date, so variance cannot be worked out. Import the sales report for this day and it fills in.",IF($N38=0,"This is the first count of these products, so there is no opening figure to sell down from. Variance starts from the next count.",IF($F38-$G38=0,"Physical and POS agree on every product.",($F38-$G38)&amp;" of "&amp;$F38&amp;" products disagree with the POS. Largest first below."))))</f>
        <v/>
      </c>
      <c r="R38" t="n">
        <v>36</v>
      </c>
      <c r="S38">
        <f>IFERROR(INDEX(IlumaData!$G:$G,MATCH($R38,IlumaData!$V:$V,0)),"")</f>
        <v/>
      </c>
      <c r="T38">
        <f>IF(COUNTIFS(IlumaData!$V:$V,$R38,IlumaData!$U:$U,1,IlumaData!$N:$N,"&lt;&gt;")=0,"",SUMIFS(IlumaData!$N:$N,IlumaData!$V:$V,$R38,IlumaData!$U:$U,1))</f>
        <v/>
      </c>
      <c r="U38">
        <f>IF(COUNTIFS(IlumaData!$V:$V,$R38,IlumaData!$U:$U,2,IlumaData!$N:$N,"&lt;&gt;")=0,"",SUMIFS(IlumaData!$N:$N,IlumaData!$V:$V,$R38,IlumaData!$U:$U,2))</f>
        <v/>
      </c>
      <c r="V38">
        <f>IF(COUNTIFS(IlumaData!$V:$V,$R38,IlumaData!$U:$U,3,IlumaData!$N:$N,"&lt;&gt;")=0,"",SUMIFS(IlumaData!$N:$N,IlumaData!$V:$V,$R38,IlumaData!$U:$U,3))</f>
        <v/>
      </c>
      <c r="W38">
        <f>IF(COUNTIFS(IlumaData!$V:$V,$R38,IlumaData!$U:$U,4,IlumaData!$N:$N,"&lt;&gt;")=0,"",SUMIFS(IlumaData!$N:$N,IlumaData!$V:$V,$R38,IlumaData!$U:$U,4))</f>
        <v/>
      </c>
      <c r="X38">
        <f>IF(COUNTIFS(IlumaData!$V:$V,$R38,IlumaData!$U:$U,5,IlumaData!$N:$N,"&lt;&gt;")=0,"",SUMIFS(IlumaData!$N:$N,IlumaData!$V:$V,$R38,IlumaData!$U:$U,5))</f>
        <v/>
      </c>
      <c r="Y38">
        <f>IF(COUNTIFS(IlumaData!$V:$V,$R38,IlumaData!$U:$U,6,IlumaData!$N:$N,"&lt;&gt;")=0,"",SUMIFS(IlumaData!$N:$N,IlumaData!$V:$V,$R38,IlumaData!$U:$U,6))</f>
        <v/>
      </c>
      <c r="Z38">
        <f>IF(COUNTIFS(IlumaData!$V:$V,$R38,IlumaData!$U:$U,7,IlumaData!$N:$N,"&lt;&gt;")=0,"",SUMIFS(IlumaData!$N:$N,IlumaData!$V:$V,$R38,IlumaData!$U:$U,7))</f>
        <v/>
      </c>
      <c r="AA38">
        <f>IF(COUNTIFS(IlumaData!$V:$V,$R38,IlumaData!$U:$U,8,IlumaData!$N:$N,"&lt;&gt;")=0,"",SUMIFS(IlumaData!$N:$N,IlumaData!$V:$V,$R38,IlumaData!$U:$U,8))</f>
        <v/>
      </c>
      <c r="AB38">
        <f>IF(COUNTIFS(IlumaData!$V:$V,$R38,IlumaData!$U:$U,9,IlumaData!$N:$N,"&lt;&gt;")=0,"",SUMIFS(IlumaData!$N:$N,IlumaData!$V:$V,$R38,IlumaData!$U:$U,9))</f>
        <v/>
      </c>
      <c r="AC38">
        <f>IF(COUNTIFS(IlumaData!$V:$V,$R38,IlumaData!$U:$U,10,IlumaData!$N:$N,"&lt;&gt;")=0,"",SUMIFS(IlumaData!$N:$N,IlumaData!$V:$V,$R38,IlumaData!$U:$U,10))</f>
        <v/>
      </c>
      <c r="AD38">
        <f>IF(COUNTIFS(IlumaData!$V:$V,$R38,IlumaData!$U:$U,11,IlumaData!$N:$N,"&lt;&gt;")=0,"",SUMIFS(IlumaData!$N:$N,IlumaData!$V:$V,$R38,IlumaData!$U:$U,11))</f>
        <v/>
      </c>
      <c r="AE38">
        <f>IF(COUNTIFS(IlumaData!$V:$V,$R38,IlumaData!$U:$U,12,IlumaData!$N:$N,"&lt;&gt;")=0,"",SUMIFS(IlumaData!$N:$N,IlumaData!$V:$V,$R38,IlumaData!$U:$U,12))</f>
        <v/>
      </c>
      <c r="AF38">
        <f>IF(COUNTIFS(IlumaData!$V:$V,$R38,IlumaData!$U:$U,13,IlumaData!$N:$N,"&lt;&gt;")=0,"",SUMIFS(IlumaData!$N:$N,IlumaData!$V:$V,$R38,IlumaData!$U:$U,13))</f>
        <v/>
      </c>
      <c r="AG38">
        <f>IF(COUNTIFS(IlumaData!$V:$V,$R38,IlumaData!$U:$U,14,IlumaData!$N:$N,"&lt;&gt;")=0,"",SUMIFS(IlumaData!$N:$N,IlumaData!$V:$V,$R38,IlumaData!$U:$U,14))</f>
        <v/>
      </c>
      <c r="AH38">
        <f>COUNTIFS(IlumaData!$V:$V,$R38,IlumaData!$U:$U,"&lt;="&amp;14,IlumaData!$N:$N,"&lt;&gt;")</f>
        <v/>
      </c>
      <c r="AI38">
        <f>COUNTIFS(IlumaData!$V:$V,$R38,IlumaData!$U:$U,"&lt;="&amp;14,IlumaData!$N:$N,0)</f>
        <v/>
      </c>
      <c r="AJ38">
        <f>IF(AH38=0,"",AH38-AI38)</f>
        <v/>
      </c>
      <c r="AK38">
        <f>IF(AH38=0,"",SUMIFS(IlumaData!$N:$N,IlumaData!$V:$V,$R38,IlumaData!$U:$U,"&lt;="&amp;14))</f>
        <v/>
      </c>
      <c r="AL38">
        <f>IF(AH38=0,"",IF(ABS(MAX(T38:AG38))&gt;=ABS(MIN(T38:AG38)),MAX(T38:AG38),MIN(T38:AG38)))</f>
        <v/>
      </c>
      <c r="AM38">
        <f>IF(AH38=0,-1,AJ38*100000+MIN(ABS(AK38),99999))</f>
        <v/>
      </c>
      <c r="AN38">
        <f>IF($S38="","",1+COUNTIFS($AM$3:$AM$122,"&gt;"&amp;AM38)+COUNTIFS($AM$3:$AM$122,AM38,$R$3:$R$122,"&lt;"&amp;$R38))</f>
        <v/>
      </c>
    </row>
    <row r="39">
      <c r="A39" t="n">
        <v>37</v>
      </c>
      <c r="B39" s="31">
        <f>IFERROR(IF(INDEX(IlumaData!$B:$B,MATCH($A39,IlumaData!$U:$U,0))="","",INDEX(IlumaData!$B:$B,MATCH($A39,IlumaData!$U:$U,0))),"")</f>
        <v/>
      </c>
      <c r="C39">
        <f>IFERROR(IF(INDEX(IlumaData!$D:$D,MATCH($A39,IlumaData!$U:$U,0))="","",INDEX(IlumaData!$D:$D,MATCH($A39,IlumaData!$U:$U,0))),"")</f>
        <v/>
      </c>
      <c r="D39" s="31">
        <f>IFERROR(IF(INDEX(IlumaData!$O:$O,MATCH($A39,IlumaData!$U:$U,0))="","",INDEX(IlumaData!$O:$O,MATCH($A39,IlumaData!$U:$U,0))),"")</f>
        <v/>
      </c>
      <c r="E39">
        <f>COUNTIFS(IlumaData!$U:$U,$A39)</f>
        <v/>
      </c>
      <c r="F39">
        <f>COUNTIFS(IlumaData!$U:$U,$A39,IlumaData!$N:$N,"&lt;&gt;")</f>
        <v/>
      </c>
      <c r="G39">
        <f>COUNTIFS(IlumaData!$U:$U,$A39,IlumaData!$N:$N,0)</f>
        <v/>
      </c>
      <c r="H39">
        <f>IF($F39=0,"",$F39-$G39)</f>
        <v/>
      </c>
      <c r="I39">
        <f>IF($F39=0,"",SUMIFS(IlumaData!$N:$N,IlumaData!$U:$U,$A39))</f>
        <v/>
      </c>
      <c r="J39">
        <f>COUNTIFS(IlumaData!$U:$U,$A39,IlumaData!$Q:$Q,"&lt;&gt;")</f>
        <v/>
      </c>
      <c r="K39">
        <f>IF($J39=0,"",SUMIFS(IlumaData!$Q:$Q,IlumaData!$U:$U,$A39))</f>
        <v/>
      </c>
      <c r="L39">
        <f>COUNTIFS(IlumaData!$U:$U,$A39,IlumaData!$M:$M,"&lt;&gt;")</f>
        <v/>
      </c>
      <c r="M39">
        <f>IF($E39=0,"",IF($L39=0,"not loaded","loaded"))</f>
        <v/>
      </c>
      <c r="N39">
        <f>COUNTIFS(IlumaData!$U:$U,$A39,IlumaData!$I:$I,"&lt;&gt;")</f>
        <v/>
      </c>
      <c r="O39">
        <f>IF($E39=0,"",IF($L39=0,"No POS sales have been loaded for this date, so variance cannot be worked out. Import the sales report for this day and it fills in.",IF($N39=0,"This is the first count of these products, so there is no opening figure to sell down from. Variance starts from the next count.",IF($F39-$G39=0,"Physical and POS agree on every product.",($F39-$G39)&amp;" of "&amp;$F39&amp;" products disagree with the POS. Largest first below."))))</f>
        <v/>
      </c>
      <c r="R39" t="n">
        <v>37</v>
      </c>
      <c r="S39">
        <f>IFERROR(INDEX(IlumaData!$G:$G,MATCH($R39,IlumaData!$V:$V,0)),"")</f>
        <v/>
      </c>
      <c r="T39">
        <f>IF(COUNTIFS(IlumaData!$V:$V,$R39,IlumaData!$U:$U,1,IlumaData!$N:$N,"&lt;&gt;")=0,"",SUMIFS(IlumaData!$N:$N,IlumaData!$V:$V,$R39,IlumaData!$U:$U,1))</f>
        <v/>
      </c>
      <c r="U39">
        <f>IF(COUNTIFS(IlumaData!$V:$V,$R39,IlumaData!$U:$U,2,IlumaData!$N:$N,"&lt;&gt;")=0,"",SUMIFS(IlumaData!$N:$N,IlumaData!$V:$V,$R39,IlumaData!$U:$U,2))</f>
        <v/>
      </c>
      <c r="V39">
        <f>IF(COUNTIFS(IlumaData!$V:$V,$R39,IlumaData!$U:$U,3,IlumaData!$N:$N,"&lt;&gt;")=0,"",SUMIFS(IlumaData!$N:$N,IlumaData!$V:$V,$R39,IlumaData!$U:$U,3))</f>
        <v/>
      </c>
      <c r="W39">
        <f>IF(COUNTIFS(IlumaData!$V:$V,$R39,IlumaData!$U:$U,4,IlumaData!$N:$N,"&lt;&gt;")=0,"",SUMIFS(IlumaData!$N:$N,IlumaData!$V:$V,$R39,IlumaData!$U:$U,4))</f>
        <v/>
      </c>
      <c r="X39">
        <f>IF(COUNTIFS(IlumaData!$V:$V,$R39,IlumaData!$U:$U,5,IlumaData!$N:$N,"&lt;&gt;")=0,"",SUMIFS(IlumaData!$N:$N,IlumaData!$V:$V,$R39,IlumaData!$U:$U,5))</f>
        <v/>
      </c>
      <c r="Y39">
        <f>IF(COUNTIFS(IlumaData!$V:$V,$R39,IlumaData!$U:$U,6,IlumaData!$N:$N,"&lt;&gt;")=0,"",SUMIFS(IlumaData!$N:$N,IlumaData!$V:$V,$R39,IlumaData!$U:$U,6))</f>
        <v/>
      </c>
      <c r="Z39">
        <f>IF(COUNTIFS(IlumaData!$V:$V,$R39,IlumaData!$U:$U,7,IlumaData!$N:$N,"&lt;&gt;")=0,"",SUMIFS(IlumaData!$N:$N,IlumaData!$V:$V,$R39,IlumaData!$U:$U,7))</f>
        <v/>
      </c>
      <c r="AA39">
        <f>IF(COUNTIFS(IlumaData!$V:$V,$R39,IlumaData!$U:$U,8,IlumaData!$N:$N,"&lt;&gt;")=0,"",SUMIFS(IlumaData!$N:$N,IlumaData!$V:$V,$R39,IlumaData!$U:$U,8))</f>
        <v/>
      </c>
      <c r="AB39">
        <f>IF(COUNTIFS(IlumaData!$V:$V,$R39,IlumaData!$U:$U,9,IlumaData!$N:$N,"&lt;&gt;")=0,"",SUMIFS(IlumaData!$N:$N,IlumaData!$V:$V,$R39,IlumaData!$U:$U,9))</f>
        <v/>
      </c>
      <c r="AC39">
        <f>IF(COUNTIFS(IlumaData!$V:$V,$R39,IlumaData!$U:$U,10,IlumaData!$N:$N,"&lt;&gt;")=0,"",SUMIFS(IlumaData!$N:$N,IlumaData!$V:$V,$R39,IlumaData!$U:$U,10))</f>
        <v/>
      </c>
      <c r="AD39">
        <f>IF(COUNTIFS(IlumaData!$V:$V,$R39,IlumaData!$U:$U,11,IlumaData!$N:$N,"&lt;&gt;")=0,"",SUMIFS(IlumaData!$N:$N,IlumaData!$V:$V,$R39,IlumaData!$U:$U,11))</f>
        <v/>
      </c>
      <c r="AE39">
        <f>IF(COUNTIFS(IlumaData!$V:$V,$R39,IlumaData!$U:$U,12,IlumaData!$N:$N,"&lt;&gt;")=0,"",SUMIFS(IlumaData!$N:$N,IlumaData!$V:$V,$R39,IlumaData!$U:$U,12))</f>
        <v/>
      </c>
      <c r="AF39">
        <f>IF(COUNTIFS(IlumaData!$V:$V,$R39,IlumaData!$U:$U,13,IlumaData!$N:$N,"&lt;&gt;")=0,"",SUMIFS(IlumaData!$N:$N,IlumaData!$V:$V,$R39,IlumaData!$U:$U,13))</f>
        <v/>
      </c>
      <c r="AG39">
        <f>IF(COUNTIFS(IlumaData!$V:$V,$R39,IlumaData!$U:$U,14,IlumaData!$N:$N,"&lt;&gt;")=0,"",SUMIFS(IlumaData!$N:$N,IlumaData!$V:$V,$R39,IlumaData!$U:$U,14))</f>
        <v/>
      </c>
      <c r="AH39">
        <f>COUNTIFS(IlumaData!$V:$V,$R39,IlumaData!$U:$U,"&lt;="&amp;14,IlumaData!$N:$N,"&lt;&gt;")</f>
        <v/>
      </c>
      <c r="AI39">
        <f>COUNTIFS(IlumaData!$V:$V,$R39,IlumaData!$U:$U,"&lt;="&amp;14,IlumaData!$N:$N,0)</f>
        <v/>
      </c>
      <c r="AJ39">
        <f>IF(AH39=0,"",AH39-AI39)</f>
        <v/>
      </c>
      <c r="AK39">
        <f>IF(AH39=0,"",SUMIFS(IlumaData!$N:$N,IlumaData!$V:$V,$R39,IlumaData!$U:$U,"&lt;="&amp;14))</f>
        <v/>
      </c>
      <c r="AL39">
        <f>IF(AH39=0,"",IF(ABS(MAX(T39:AG39))&gt;=ABS(MIN(T39:AG39)),MAX(T39:AG39),MIN(T39:AG39)))</f>
        <v/>
      </c>
      <c r="AM39">
        <f>IF(AH39=0,-1,AJ39*100000+MIN(ABS(AK39),99999))</f>
        <v/>
      </c>
      <c r="AN39">
        <f>IF($S39="","",1+COUNTIFS($AM$3:$AM$122,"&gt;"&amp;AM39)+COUNTIFS($AM$3:$AM$122,AM39,$R$3:$R$122,"&lt;"&amp;$R39))</f>
        <v/>
      </c>
    </row>
    <row r="40">
      <c r="A40" t="n">
        <v>38</v>
      </c>
      <c r="B40" s="31">
        <f>IFERROR(IF(INDEX(IlumaData!$B:$B,MATCH($A40,IlumaData!$U:$U,0))="","",INDEX(IlumaData!$B:$B,MATCH($A40,IlumaData!$U:$U,0))),"")</f>
        <v/>
      </c>
      <c r="C40">
        <f>IFERROR(IF(INDEX(IlumaData!$D:$D,MATCH($A40,IlumaData!$U:$U,0))="","",INDEX(IlumaData!$D:$D,MATCH($A40,IlumaData!$U:$U,0))),"")</f>
        <v/>
      </c>
      <c r="D40" s="31">
        <f>IFERROR(IF(INDEX(IlumaData!$O:$O,MATCH($A40,IlumaData!$U:$U,0))="","",INDEX(IlumaData!$O:$O,MATCH($A40,IlumaData!$U:$U,0))),"")</f>
        <v/>
      </c>
      <c r="E40">
        <f>COUNTIFS(IlumaData!$U:$U,$A40)</f>
        <v/>
      </c>
      <c r="F40">
        <f>COUNTIFS(IlumaData!$U:$U,$A40,IlumaData!$N:$N,"&lt;&gt;")</f>
        <v/>
      </c>
      <c r="G40">
        <f>COUNTIFS(IlumaData!$U:$U,$A40,IlumaData!$N:$N,0)</f>
        <v/>
      </c>
      <c r="H40">
        <f>IF($F40=0,"",$F40-$G40)</f>
        <v/>
      </c>
      <c r="I40">
        <f>IF($F40=0,"",SUMIFS(IlumaData!$N:$N,IlumaData!$U:$U,$A40))</f>
        <v/>
      </c>
      <c r="J40">
        <f>COUNTIFS(IlumaData!$U:$U,$A40,IlumaData!$Q:$Q,"&lt;&gt;")</f>
        <v/>
      </c>
      <c r="K40">
        <f>IF($J40=0,"",SUMIFS(IlumaData!$Q:$Q,IlumaData!$U:$U,$A40))</f>
        <v/>
      </c>
      <c r="L40">
        <f>COUNTIFS(IlumaData!$U:$U,$A40,IlumaData!$M:$M,"&lt;&gt;")</f>
        <v/>
      </c>
      <c r="M40">
        <f>IF($E40=0,"",IF($L40=0,"not loaded","loaded"))</f>
        <v/>
      </c>
      <c r="N40">
        <f>COUNTIFS(IlumaData!$U:$U,$A40,IlumaData!$I:$I,"&lt;&gt;")</f>
        <v/>
      </c>
      <c r="O40">
        <f>IF($E40=0,"",IF($L40=0,"No POS sales have been loaded for this date, so variance cannot be worked out. Import the sales report for this day and it fills in.",IF($N40=0,"This is the first count of these products, so there is no opening figure to sell down from. Variance starts from the next count.",IF($F40-$G40=0,"Physical and POS agree on every product.",($F40-$G40)&amp;" of "&amp;$F40&amp;" products disagree with the POS. Largest first below."))))</f>
        <v/>
      </c>
      <c r="R40" t="n">
        <v>38</v>
      </c>
      <c r="S40">
        <f>IFERROR(INDEX(IlumaData!$G:$G,MATCH($R40,IlumaData!$V:$V,0)),"")</f>
        <v/>
      </c>
      <c r="T40">
        <f>IF(COUNTIFS(IlumaData!$V:$V,$R40,IlumaData!$U:$U,1,IlumaData!$N:$N,"&lt;&gt;")=0,"",SUMIFS(IlumaData!$N:$N,IlumaData!$V:$V,$R40,IlumaData!$U:$U,1))</f>
        <v/>
      </c>
      <c r="U40">
        <f>IF(COUNTIFS(IlumaData!$V:$V,$R40,IlumaData!$U:$U,2,IlumaData!$N:$N,"&lt;&gt;")=0,"",SUMIFS(IlumaData!$N:$N,IlumaData!$V:$V,$R40,IlumaData!$U:$U,2))</f>
        <v/>
      </c>
      <c r="V40">
        <f>IF(COUNTIFS(IlumaData!$V:$V,$R40,IlumaData!$U:$U,3,IlumaData!$N:$N,"&lt;&gt;")=0,"",SUMIFS(IlumaData!$N:$N,IlumaData!$V:$V,$R40,IlumaData!$U:$U,3))</f>
        <v/>
      </c>
      <c r="W40">
        <f>IF(COUNTIFS(IlumaData!$V:$V,$R40,IlumaData!$U:$U,4,IlumaData!$N:$N,"&lt;&gt;")=0,"",SUMIFS(IlumaData!$N:$N,IlumaData!$V:$V,$R40,IlumaData!$U:$U,4))</f>
        <v/>
      </c>
      <c r="X40">
        <f>IF(COUNTIFS(IlumaData!$V:$V,$R40,IlumaData!$U:$U,5,IlumaData!$N:$N,"&lt;&gt;")=0,"",SUMIFS(IlumaData!$N:$N,IlumaData!$V:$V,$R40,IlumaData!$U:$U,5))</f>
        <v/>
      </c>
      <c r="Y40">
        <f>IF(COUNTIFS(IlumaData!$V:$V,$R40,IlumaData!$U:$U,6,IlumaData!$N:$N,"&lt;&gt;")=0,"",SUMIFS(IlumaData!$N:$N,IlumaData!$V:$V,$R40,IlumaData!$U:$U,6))</f>
        <v/>
      </c>
      <c r="Z40">
        <f>IF(COUNTIFS(IlumaData!$V:$V,$R40,IlumaData!$U:$U,7,IlumaData!$N:$N,"&lt;&gt;")=0,"",SUMIFS(IlumaData!$N:$N,IlumaData!$V:$V,$R40,IlumaData!$U:$U,7))</f>
        <v/>
      </c>
      <c r="AA40">
        <f>IF(COUNTIFS(IlumaData!$V:$V,$R40,IlumaData!$U:$U,8,IlumaData!$N:$N,"&lt;&gt;")=0,"",SUMIFS(IlumaData!$N:$N,IlumaData!$V:$V,$R40,IlumaData!$U:$U,8))</f>
        <v/>
      </c>
      <c r="AB40">
        <f>IF(COUNTIFS(IlumaData!$V:$V,$R40,IlumaData!$U:$U,9,IlumaData!$N:$N,"&lt;&gt;")=0,"",SUMIFS(IlumaData!$N:$N,IlumaData!$V:$V,$R40,IlumaData!$U:$U,9))</f>
        <v/>
      </c>
      <c r="AC40">
        <f>IF(COUNTIFS(IlumaData!$V:$V,$R40,IlumaData!$U:$U,10,IlumaData!$N:$N,"&lt;&gt;")=0,"",SUMIFS(IlumaData!$N:$N,IlumaData!$V:$V,$R40,IlumaData!$U:$U,10))</f>
        <v/>
      </c>
      <c r="AD40">
        <f>IF(COUNTIFS(IlumaData!$V:$V,$R40,IlumaData!$U:$U,11,IlumaData!$N:$N,"&lt;&gt;")=0,"",SUMIFS(IlumaData!$N:$N,IlumaData!$V:$V,$R40,IlumaData!$U:$U,11))</f>
        <v/>
      </c>
      <c r="AE40">
        <f>IF(COUNTIFS(IlumaData!$V:$V,$R40,IlumaData!$U:$U,12,IlumaData!$N:$N,"&lt;&gt;")=0,"",SUMIFS(IlumaData!$N:$N,IlumaData!$V:$V,$R40,IlumaData!$U:$U,12))</f>
        <v/>
      </c>
      <c r="AF40">
        <f>IF(COUNTIFS(IlumaData!$V:$V,$R40,IlumaData!$U:$U,13,IlumaData!$N:$N,"&lt;&gt;")=0,"",SUMIFS(IlumaData!$N:$N,IlumaData!$V:$V,$R40,IlumaData!$U:$U,13))</f>
        <v/>
      </c>
      <c r="AG40">
        <f>IF(COUNTIFS(IlumaData!$V:$V,$R40,IlumaData!$U:$U,14,IlumaData!$N:$N,"&lt;&gt;")=0,"",SUMIFS(IlumaData!$N:$N,IlumaData!$V:$V,$R40,IlumaData!$U:$U,14))</f>
        <v/>
      </c>
      <c r="AH40">
        <f>COUNTIFS(IlumaData!$V:$V,$R40,IlumaData!$U:$U,"&lt;="&amp;14,IlumaData!$N:$N,"&lt;&gt;")</f>
        <v/>
      </c>
      <c r="AI40">
        <f>COUNTIFS(IlumaData!$V:$V,$R40,IlumaData!$U:$U,"&lt;="&amp;14,IlumaData!$N:$N,0)</f>
        <v/>
      </c>
      <c r="AJ40">
        <f>IF(AH40=0,"",AH40-AI40)</f>
        <v/>
      </c>
      <c r="AK40">
        <f>IF(AH40=0,"",SUMIFS(IlumaData!$N:$N,IlumaData!$V:$V,$R40,IlumaData!$U:$U,"&lt;="&amp;14))</f>
        <v/>
      </c>
      <c r="AL40">
        <f>IF(AH40=0,"",IF(ABS(MAX(T40:AG40))&gt;=ABS(MIN(T40:AG40)),MAX(T40:AG40),MIN(T40:AG40)))</f>
        <v/>
      </c>
      <c r="AM40">
        <f>IF(AH40=0,-1,AJ40*100000+MIN(ABS(AK40),99999))</f>
        <v/>
      </c>
      <c r="AN40">
        <f>IF($S40="","",1+COUNTIFS($AM$3:$AM$122,"&gt;"&amp;AM40)+COUNTIFS($AM$3:$AM$122,AM40,$R$3:$R$122,"&lt;"&amp;$R40))</f>
        <v/>
      </c>
    </row>
    <row r="41">
      <c r="A41" t="n">
        <v>39</v>
      </c>
      <c r="B41" s="31">
        <f>IFERROR(IF(INDEX(IlumaData!$B:$B,MATCH($A41,IlumaData!$U:$U,0))="","",INDEX(IlumaData!$B:$B,MATCH($A41,IlumaData!$U:$U,0))),"")</f>
        <v/>
      </c>
      <c r="C41">
        <f>IFERROR(IF(INDEX(IlumaData!$D:$D,MATCH($A41,IlumaData!$U:$U,0))="","",INDEX(IlumaData!$D:$D,MATCH($A41,IlumaData!$U:$U,0))),"")</f>
        <v/>
      </c>
      <c r="D41" s="31">
        <f>IFERROR(IF(INDEX(IlumaData!$O:$O,MATCH($A41,IlumaData!$U:$U,0))="","",INDEX(IlumaData!$O:$O,MATCH($A41,IlumaData!$U:$U,0))),"")</f>
        <v/>
      </c>
      <c r="E41">
        <f>COUNTIFS(IlumaData!$U:$U,$A41)</f>
        <v/>
      </c>
      <c r="F41">
        <f>COUNTIFS(IlumaData!$U:$U,$A41,IlumaData!$N:$N,"&lt;&gt;")</f>
        <v/>
      </c>
      <c r="G41">
        <f>COUNTIFS(IlumaData!$U:$U,$A41,IlumaData!$N:$N,0)</f>
        <v/>
      </c>
      <c r="H41">
        <f>IF($F41=0,"",$F41-$G41)</f>
        <v/>
      </c>
      <c r="I41">
        <f>IF($F41=0,"",SUMIFS(IlumaData!$N:$N,IlumaData!$U:$U,$A41))</f>
        <v/>
      </c>
      <c r="J41">
        <f>COUNTIFS(IlumaData!$U:$U,$A41,IlumaData!$Q:$Q,"&lt;&gt;")</f>
        <v/>
      </c>
      <c r="K41">
        <f>IF($J41=0,"",SUMIFS(IlumaData!$Q:$Q,IlumaData!$U:$U,$A41))</f>
        <v/>
      </c>
      <c r="L41">
        <f>COUNTIFS(IlumaData!$U:$U,$A41,IlumaData!$M:$M,"&lt;&gt;")</f>
        <v/>
      </c>
      <c r="M41">
        <f>IF($E41=0,"",IF($L41=0,"not loaded","loaded"))</f>
        <v/>
      </c>
      <c r="N41">
        <f>COUNTIFS(IlumaData!$U:$U,$A41,IlumaData!$I:$I,"&lt;&gt;")</f>
        <v/>
      </c>
      <c r="O41">
        <f>IF($E41=0,"",IF($L41=0,"No POS sales have been loaded for this date, so variance cannot be worked out. Import the sales report for this day and it fills in.",IF($N41=0,"This is the first count of these products, so there is no opening figure to sell down from. Variance starts from the next count.",IF($F41-$G41=0,"Physical and POS agree on every product.",($F41-$G41)&amp;" of "&amp;$F41&amp;" products disagree with the POS. Largest first below."))))</f>
        <v/>
      </c>
      <c r="R41" t="n">
        <v>39</v>
      </c>
      <c r="S41">
        <f>IFERROR(INDEX(IlumaData!$G:$G,MATCH($R41,IlumaData!$V:$V,0)),"")</f>
        <v/>
      </c>
      <c r="T41">
        <f>IF(COUNTIFS(IlumaData!$V:$V,$R41,IlumaData!$U:$U,1,IlumaData!$N:$N,"&lt;&gt;")=0,"",SUMIFS(IlumaData!$N:$N,IlumaData!$V:$V,$R41,IlumaData!$U:$U,1))</f>
        <v/>
      </c>
      <c r="U41">
        <f>IF(COUNTIFS(IlumaData!$V:$V,$R41,IlumaData!$U:$U,2,IlumaData!$N:$N,"&lt;&gt;")=0,"",SUMIFS(IlumaData!$N:$N,IlumaData!$V:$V,$R41,IlumaData!$U:$U,2))</f>
        <v/>
      </c>
      <c r="V41">
        <f>IF(COUNTIFS(IlumaData!$V:$V,$R41,IlumaData!$U:$U,3,IlumaData!$N:$N,"&lt;&gt;")=0,"",SUMIFS(IlumaData!$N:$N,IlumaData!$V:$V,$R41,IlumaData!$U:$U,3))</f>
        <v/>
      </c>
      <c r="W41">
        <f>IF(COUNTIFS(IlumaData!$V:$V,$R41,IlumaData!$U:$U,4,IlumaData!$N:$N,"&lt;&gt;")=0,"",SUMIFS(IlumaData!$N:$N,IlumaData!$V:$V,$R41,IlumaData!$U:$U,4))</f>
        <v/>
      </c>
      <c r="X41">
        <f>IF(COUNTIFS(IlumaData!$V:$V,$R41,IlumaData!$U:$U,5,IlumaData!$N:$N,"&lt;&gt;")=0,"",SUMIFS(IlumaData!$N:$N,IlumaData!$V:$V,$R41,IlumaData!$U:$U,5))</f>
        <v/>
      </c>
      <c r="Y41">
        <f>IF(COUNTIFS(IlumaData!$V:$V,$R41,IlumaData!$U:$U,6,IlumaData!$N:$N,"&lt;&gt;")=0,"",SUMIFS(IlumaData!$N:$N,IlumaData!$V:$V,$R41,IlumaData!$U:$U,6))</f>
        <v/>
      </c>
      <c r="Z41">
        <f>IF(COUNTIFS(IlumaData!$V:$V,$R41,IlumaData!$U:$U,7,IlumaData!$N:$N,"&lt;&gt;")=0,"",SUMIFS(IlumaData!$N:$N,IlumaData!$V:$V,$R41,IlumaData!$U:$U,7))</f>
        <v/>
      </c>
      <c r="AA41">
        <f>IF(COUNTIFS(IlumaData!$V:$V,$R41,IlumaData!$U:$U,8,IlumaData!$N:$N,"&lt;&gt;")=0,"",SUMIFS(IlumaData!$N:$N,IlumaData!$V:$V,$R41,IlumaData!$U:$U,8))</f>
        <v/>
      </c>
      <c r="AB41">
        <f>IF(COUNTIFS(IlumaData!$V:$V,$R41,IlumaData!$U:$U,9,IlumaData!$N:$N,"&lt;&gt;")=0,"",SUMIFS(IlumaData!$N:$N,IlumaData!$V:$V,$R41,IlumaData!$U:$U,9))</f>
        <v/>
      </c>
      <c r="AC41">
        <f>IF(COUNTIFS(IlumaData!$V:$V,$R41,IlumaData!$U:$U,10,IlumaData!$N:$N,"&lt;&gt;")=0,"",SUMIFS(IlumaData!$N:$N,IlumaData!$V:$V,$R41,IlumaData!$U:$U,10))</f>
        <v/>
      </c>
      <c r="AD41">
        <f>IF(COUNTIFS(IlumaData!$V:$V,$R41,IlumaData!$U:$U,11,IlumaData!$N:$N,"&lt;&gt;")=0,"",SUMIFS(IlumaData!$N:$N,IlumaData!$V:$V,$R41,IlumaData!$U:$U,11))</f>
        <v/>
      </c>
      <c r="AE41">
        <f>IF(COUNTIFS(IlumaData!$V:$V,$R41,IlumaData!$U:$U,12,IlumaData!$N:$N,"&lt;&gt;")=0,"",SUMIFS(IlumaData!$N:$N,IlumaData!$V:$V,$R41,IlumaData!$U:$U,12))</f>
        <v/>
      </c>
      <c r="AF41">
        <f>IF(COUNTIFS(IlumaData!$V:$V,$R41,IlumaData!$U:$U,13,IlumaData!$N:$N,"&lt;&gt;")=0,"",SUMIFS(IlumaData!$N:$N,IlumaData!$V:$V,$R41,IlumaData!$U:$U,13))</f>
        <v/>
      </c>
      <c r="AG41">
        <f>IF(COUNTIFS(IlumaData!$V:$V,$R41,IlumaData!$U:$U,14,IlumaData!$N:$N,"&lt;&gt;")=0,"",SUMIFS(IlumaData!$N:$N,IlumaData!$V:$V,$R41,IlumaData!$U:$U,14))</f>
        <v/>
      </c>
      <c r="AH41">
        <f>COUNTIFS(IlumaData!$V:$V,$R41,IlumaData!$U:$U,"&lt;="&amp;14,IlumaData!$N:$N,"&lt;&gt;")</f>
        <v/>
      </c>
      <c r="AI41">
        <f>COUNTIFS(IlumaData!$V:$V,$R41,IlumaData!$U:$U,"&lt;="&amp;14,IlumaData!$N:$N,0)</f>
        <v/>
      </c>
      <c r="AJ41">
        <f>IF(AH41=0,"",AH41-AI41)</f>
        <v/>
      </c>
      <c r="AK41">
        <f>IF(AH41=0,"",SUMIFS(IlumaData!$N:$N,IlumaData!$V:$V,$R41,IlumaData!$U:$U,"&lt;="&amp;14))</f>
        <v/>
      </c>
      <c r="AL41">
        <f>IF(AH41=0,"",IF(ABS(MAX(T41:AG41))&gt;=ABS(MIN(T41:AG41)),MAX(T41:AG41),MIN(T41:AG41)))</f>
        <v/>
      </c>
      <c r="AM41">
        <f>IF(AH41=0,-1,AJ41*100000+MIN(ABS(AK41),99999))</f>
        <v/>
      </c>
      <c r="AN41">
        <f>IF($S41="","",1+COUNTIFS($AM$3:$AM$122,"&gt;"&amp;AM41)+COUNTIFS($AM$3:$AM$122,AM41,$R$3:$R$122,"&lt;"&amp;$R41))</f>
        <v/>
      </c>
    </row>
    <row r="42">
      <c r="A42" t="n">
        <v>40</v>
      </c>
      <c r="B42" s="31">
        <f>IFERROR(IF(INDEX(IlumaData!$B:$B,MATCH($A42,IlumaData!$U:$U,0))="","",INDEX(IlumaData!$B:$B,MATCH($A42,IlumaData!$U:$U,0))),"")</f>
        <v/>
      </c>
      <c r="C42">
        <f>IFERROR(IF(INDEX(IlumaData!$D:$D,MATCH($A42,IlumaData!$U:$U,0))="","",INDEX(IlumaData!$D:$D,MATCH($A42,IlumaData!$U:$U,0))),"")</f>
        <v/>
      </c>
      <c r="D42" s="31">
        <f>IFERROR(IF(INDEX(IlumaData!$O:$O,MATCH($A42,IlumaData!$U:$U,0))="","",INDEX(IlumaData!$O:$O,MATCH($A42,IlumaData!$U:$U,0))),"")</f>
        <v/>
      </c>
      <c r="E42">
        <f>COUNTIFS(IlumaData!$U:$U,$A42)</f>
        <v/>
      </c>
      <c r="F42">
        <f>COUNTIFS(IlumaData!$U:$U,$A42,IlumaData!$N:$N,"&lt;&gt;")</f>
        <v/>
      </c>
      <c r="G42">
        <f>COUNTIFS(IlumaData!$U:$U,$A42,IlumaData!$N:$N,0)</f>
        <v/>
      </c>
      <c r="H42">
        <f>IF($F42=0,"",$F42-$G42)</f>
        <v/>
      </c>
      <c r="I42">
        <f>IF($F42=0,"",SUMIFS(IlumaData!$N:$N,IlumaData!$U:$U,$A42))</f>
        <v/>
      </c>
      <c r="J42">
        <f>COUNTIFS(IlumaData!$U:$U,$A42,IlumaData!$Q:$Q,"&lt;&gt;")</f>
        <v/>
      </c>
      <c r="K42">
        <f>IF($J42=0,"",SUMIFS(IlumaData!$Q:$Q,IlumaData!$U:$U,$A42))</f>
        <v/>
      </c>
      <c r="L42">
        <f>COUNTIFS(IlumaData!$U:$U,$A42,IlumaData!$M:$M,"&lt;&gt;")</f>
        <v/>
      </c>
      <c r="M42">
        <f>IF($E42=0,"",IF($L42=0,"not loaded","loaded"))</f>
        <v/>
      </c>
      <c r="N42">
        <f>COUNTIFS(IlumaData!$U:$U,$A42,IlumaData!$I:$I,"&lt;&gt;")</f>
        <v/>
      </c>
      <c r="O42">
        <f>IF($E42=0,"",IF($L42=0,"No POS sales have been loaded for this date, so variance cannot be worked out. Import the sales report for this day and it fills in.",IF($N42=0,"This is the first count of these products, so there is no opening figure to sell down from. Variance starts from the next count.",IF($F42-$G42=0,"Physical and POS agree on every product.",($F42-$G42)&amp;" of "&amp;$F42&amp;" products disagree with the POS. Largest first below."))))</f>
        <v/>
      </c>
      <c r="R42" t="n">
        <v>40</v>
      </c>
      <c r="S42">
        <f>IFERROR(INDEX(IlumaData!$G:$G,MATCH($R42,IlumaData!$V:$V,0)),"")</f>
        <v/>
      </c>
      <c r="T42">
        <f>IF(COUNTIFS(IlumaData!$V:$V,$R42,IlumaData!$U:$U,1,IlumaData!$N:$N,"&lt;&gt;")=0,"",SUMIFS(IlumaData!$N:$N,IlumaData!$V:$V,$R42,IlumaData!$U:$U,1))</f>
        <v/>
      </c>
      <c r="U42">
        <f>IF(COUNTIFS(IlumaData!$V:$V,$R42,IlumaData!$U:$U,2,IlumaData!$N:$N,"&lt;&gt;")=0,"",SUMIFS(IlumaData!$N:$N,IlumaData!$V:$V,$R42,IlumaData!$U:$U,2))</f>
        <v/>
      </c>
      <c r="V42">
        <f>IF(COUNTIFS(IlumaData!$V:$V,$R42,IlumaData!$U:$U,3,IlumaData!$N:$N,"&lt;&gt;")=0,"",SUMIFS(IlumaData!$N:$N,IlumaData!$V:$V,$R42,IlumaData!$U:$U,3))</f>
        <v/>
      </c>
      <c r="W42">
        <f>IF(COUNTIFS(IlumaData!$V:$V,$R42,IlumaData!$U:$U,4,IlumaData!$N:$N,"&lt;&gt;")=0,"",SUMIFS(IlumaData!$N:$N,IlumaData!$V:$V,$R42,IlumaData!$U:$U,4))</f>
        <v/>
      </c>
      <c r="X42">
        <f>IF(COUNTIFS(IlumaData!$V:$V,$R42,IlumaData!$U:$U,5,IlumaData!$N:$N,"&lt;&gt;")=0,"",SUMIFS(IlumaData!$N:$N,IlumaData!$V:$V,$R42,IlumaData!$U:$U,5))</f>
        <v/>
      </c>
      <c r="Y42">
        <f>IF(COUNTIFS(IlumaData!$V:$V,$R42,IlumaData!$U:$U,6,IlumaData!$N:$N,"&lt;&gt;")=0,"",SUMIFS(IlumaData!$N:$N,IlumaData!$V:$V,$R42,IlumaData!$U:$U,6))</f>
        <v/>
      </c>
      <c r="Z42">
        <f>IF(COUNTIFS(IlumaData!$V:$V,$R42,IlumaData!$U:$U,7,IlumaData!$N:$N,"&lt;&gt;")=0,"",SUMIFS(IlumaData!$N:$N,IlumaData!$V:$V,$R42,IlumaData!$U:$U,7))</f>
        <v/>
      </c>
      <c r="AA42">
        <f>IF(COUNTIFS(IlumaData!$V:$V,$R42,IlumaData!$U:$U,8,IlumaData!$N:$N,"&lt;&gt;")=0,"",SUMIFS(IlumaData!$N:$N,IlumaData!$V:$V,$R42,IlumaData!$U:$U,8))</f>
        <v/>
      </c>
      <c r="AB42">
        <f>IF(COUNTIFS(IlumaData!$V:$V,$R42,IlumaData!$U:$U,9,IlumaData!$N:$N,"&lt;&gt;")=0,"",SUMIFS(IlumaData!$N:$N,IlumaData!$V:$V,$R42,IlumaData!$U:$U,9))</f>
        <v/>
      </c>
      <c r="AC42">
        <f>IF(COUNTIFS(IlumaData!$V:$V,$R42,IlumaData!$U:$U,10,IlumaData!$N:$N,"&lt;&gt;")=0,"",SUMIFS(IlumaData!$N:$N,IlumaData!$V:$V,$R42,IlumaData!$U:$U,10))</f>
        <v/>
      </c>
      <c r="AD42">
        <f>IF(COUNTIFS(IlumaData!$V:$V,$R42,IlumaData!$U:$U,11,IlumaData!$N:$N,"&lt;&gt;")=0,"",SUMIFS(IlumaData!$N:$N,IlumaData!$V:$V,$R42,IlumaData!$U:$U,11))</f>
        <v/>
      </c>
      <c r="AE42">
        <f>IF(COUNTIFS(IlumaData!$V:$V,$R42,IlumaData!$U:$U,12,IlumaData!$N:$N,"&lt;&gt;")=0,"",SUMIFS(IlumaData!$N:$N,IlumaData!$V:$V,$R42,IlumaData!$U:$U,12))</f>
        <v/>
      </c>
      <c r="AF42">
        <f>IF(COUNTIFS(IlumaData!$V:$V,$R42,IlumaData!$U:$U,13,IlumaData!$N:$N,"&lt;&gt;")=0,"",SUMIFS(IlumaData!$N:$N,IlumaData!$V:$V,$R42,IlumaData!$U:$U,13))</f>
        <v/>
      </c>
      <c r="AG42">
        <f>IF(COUNTIFS(IlumaData!$V:$V,$R42,IlumaData!$U:$U,14,IlumaData!$N:$N,"&lt;&gt;")=0,"",SUMIFS(IlumaData!$N:$N,IlumaData!$V:$V,$R42,IlumaData!$U:$U,14))</f>
        <v/>
      </c>
      <c r="AH42">
        <f>COUNTIFS(IlumaData!$V:$V,$R42,IlumaData!$U:$U,"&lt;="&amp;14,IlumaData!$N:$N,"&lt;&gt;")</f>
        <v/>
      </c>
      <c r="AI42">
        <f>COUNTIFS(IlumaData!$V:$V,$R42,IlumaData!$U:$U,"&lt;="&amp;14,IlumaData!$N:$N,0)</f>
        <v/>
      </c>
      <c r="AJ42">
        <f>IF(AH42=0,"",AH42-AI42)</f>
        <v/>
      </c>
      <c r="AK42">
        <f>IF(AH42=0,"",SUMIFS(IlumaData!$N:$N,IlumaData!$V:$V,$R42,IlumaData!$U:$U,"&lt;="&amp;14))</f>
        <v/>
      </c>
      <c r="AL42">
        <f>IF(AH42=0,"",IF(ABS(MAX(T42:AG42))&gt;=ABS(MIN(T42:AG42)),MAX(T42:AG42),MIN(T42:AG42)))</f>
        <v/>
      </c>
      <c r="AM42">
        <f>IF(AH42=0,-1,AJ42*100000+MIN(ABS(AK42),99999))</f>
        <v/>
      </c>
      <c r="AN42">
        <f>IF($S42="","",1+COUNTIFS($AM$3:$AM$122,"&gt;"&amp;AM42)+COUNTIFS($AM$3:$AM$122,AM42,$R$3:$R$122,"&lt;"&amp;$R42))</f>
        <v/>
      </c>
    </row>
    <row r="43">
      <c r="A43" t="n">
        <v>41</v>
      </c>
      <c r="B43" s="31">
        <f>IFERROR(IF(INDEX(IlumaData!$B:$B,MATCH($A43,IlumaData!$U:$U,0))="","",INDEX(IlumaData!$B:$B,MATCH($A43,IlumaData!$U:$U,0))),"")</f>
        <v/>
      </c>
      <c r="C43">
        <f>IFERROR(IF(INDEX(IlumaData!$D:$D,MATCH($A43,IlumaData!$U:$U,0))="","",INDEX(IlumaData!$D:$D,MATCH($A43,IlumaData!$U:$U,0))),"")</f>
        <v/>
      </c>
      <c r="D43" s="31">
        <f>IFERROR(IF(INDEX(IlumaData!$O:$O,MATCH($A43,IlumaData!$U:$U,0))="","",INDEX(IlumaData!$O:$O,MATCH($A43,IlumaData!$U:$U,0))),"")</f>
        <v/>
      </c>
      <c r="E43">
        <f>COUNTIFS(IlumaData!$U:$U,$A43)</f>
        <v/>
      </c>
      <c r="F43">
        <f>COUNTIFS(IlumaData!$U:$U,$A43,IlumaData!$N:$N,"&lt;&gt;")</f>
        <v/>
      </c>
      <c r="G43">
        <f>COUNTIFS(IlumaData!$U:$U,$A43,IlumaData!$N:$N,0)</f>
        <v/>
      </c>
      <c r="H43">
        <f>IF($F43=0,"",$F43-$G43)</f>
        <v/>
      </c>
      <c r="I43">
        <f>IF($F43=0,"",SUMIFS(IlumaData!$N:$N,IlumaData!$U:$U,$A43))</f>
        <v/>
      </c>
      <c r="J43">
        <f>COUNTIFS(IlumaData!$U:$U,$A43,IlumaData!$Q:$Q,"&lt;&gt;")</f>
        <v/>
      </c>
      <c r="K43">
        <f>IF($J43=0,"",SUMIFS(IlumaData!$Q:$Q,IlumaData!$U:$U,$A43))</f>
        <v/>
      </c>
      <c r="L43">
        <f>COUNTIFS(IlumaData!$U:$U,$A43,IlumaData!$M:$M,"&lt;&gt;")</f>
        <v/>
      </c>
      <c r="M43">
        <f>IF($E43=0,"",IF($L43=0,"not loaded","loaded"))</f>
        <v/>
      </c>
      <c r="N43">
        <f>COUNTIFS(IlumaData!$U:$U,$A43,IlumaData!$I:$I,"&lt;&gt;")</f>
        <v/>
      </c>
      <c r="O43">
        <f>IF($E43=0,"",IF($L43=0,"No POS sales have been loaded for this date, so variance cannot be worked out. Import the sales report for this day and it fills in.",IF($N43=0,"This is the first count of these products, so there is no opening figure to sell down from. Variance starts from the next count.",IF($F43-$G43=0,"Physical and POS agree on every product.",($F43-$G43)&amp;" of "&amp;$F43&amp;" products disagree with the POS. Largest first below."))))</f>
        <v/>
      </c>
      <c r="R43" t="n">
        <v>41</v>
      </c>
      <c r="S43">
        <f>IFERROR(INDEX(IlumaData!$G:$G,MATCH($R43,IlumaData!$V:$V,0)),"")</f>
        <v/>
      </c>
      <c r="T43">
        <f>IF(COUNTIFS(IlumaData!$V:$V,$R43,IlumaData!$U:$U,1,IlumaData!$N:$N,"&lt;&gt;")=0,"",SUMIFS(IlumaData!$N:$N,IlumaData!$V:$V,$R43,IlumaData!$U:$U,1))</f>
        <v/>
      </c>
      <c r="U43">
        <f>IF(COUNTIFS(IlumaData!$V:$V,$R43,IlumaData!$U:$U,2,IlumaData!$N:$N,"&lt;&gt;")=0,"",SUMIFS(IlumaData!$N:$N,IlumaData!$V:$V,$R43,IlumaData!$U:$U,2))</f>
        <v/>
      </c>
      <c r="V43">
        <f>IF(COUNTIFS(IlumaData!$V:$V,$R43,IlumaData!$U:$U,3,IlumaData!$N:$N,"&lt;&gt;")=0,"",SUMIFS(IlumaData!$N:$N,IlumaData!$V:$V,$R43,IlumaData!$U:$U,3))</f>
        <v/>
      </c>
      <c r="W43">
        <f>IF(COUNTIFS(IlumaData!$V:$V,$R43,IlumaData!$U:$U,4,IlumaData!$N:$N,"&lt;&gt;")=0,"",SUMIFS(IlumaData!$N:$N,IlumaData!$V:$V,$R43,IlumaData!$U:$U,4))</f>
        <v/>
      </c>
      <c r="X43">
        <f>IF(COUNTIFS(IlumaData!$V:$V,$R43,IlumaData!$U:$U,5,IlumaData!$N:$N,"&lt;&gt;")=0,"",SUMIFS(IlumaData!$N:$N,IlumaData!$V:$V,$R43,IlumaData!$U:$U,5))</f>
        <v/>
      </c>
      <c r="Y43">
        <f>IF(COUNTIFS(IlumaData!$V:$V,$R43,IlumaData!$U:$U,6,IlumaData!$N:$N,"&lt;&gt;")=0,"",SUMIFS(IlumaData!$N:$N,IlumaData!$V:$V,$R43,IlumaData!$U:$U,6))</f>
        <v/>
      </c>
      <c r="Z43">
        <f>IF(COUNTIFS(IlumaData!$V:$V,$R43,IlumaData!$U:$U,7,IlumaData!$N:$N,"&lt;&gt;")=0,"",SUMIFS(IlumaData!$N:$N,IlumaData!$V:$V,$R43,IlumaData!$U:$U,7))</f>
        <v/>
      </c>
      <c r="AA43">
        <f>IF(COUNTIFS(IlumaData!$V:$V,$R43,IlumaData!$U:$U,8,IlumaData!$N:$N,"&lt;&gt;")=0,"",SUMIFS(IlumaData!$N:$N,IlumaData!$V:$V,$R43,IlumaData!$U:$U,8))</f>
        <v/>
      </c>
      <c r="AB43">
        <f>IF(COUNTIFS(IlumaData!$V:$V,$R43,IlumaData!$U:$U,9,IlumaData!$N:$N,"&lt;&gt;")=0,"",SUMIFS(IlumaData!$N:$N,IlumaData!$V:$V,$R43,IlumaData!$U:$U,9))</f>
        <v/>
      </c>
      <c r="AC43">
        <f>IF(COUNTIFS(IlumaData!$V:$V,$R43,IlumaData!$U:$U,10,IlumaData!$N:$N,"&lt;&gt;")=0,"",SUMIFS(IlumaData!$N:$N,IlumaData!$V:$V,$R43,IlumaData!$U:$U,10))</f>
        <v/>
      </c>
      <c r="AD43">
        <f>IF(COUNTIFS(IlumaData!$V:$V,$R43,IlumaData!$U:$U,11,IlumaData!$N:$N,"&lt;&gt;")=0,"",SUMIFS(IlumaData!$N:$N,IlumaData!$V:$V,$R43,IlumaData!$U:$U,11))</f>
        <v/>
      </c>
      <c r="AE43">
        <f>IF(COUNTIFS(IlumaData!$V:$V,$R43,IlumaData!$U:$U,12,IlumaData!$N:$N,"&lt;&gt;")=0,"",SUMIFS(IlumaData!$N:$N,IlumaData!$V:$V,$R43,IlumaData!$U:$U,12))</f>
        <v/>
      </c>
      <c r="AF43">
        <f>IF(COUNTIFS(IlumaData!$V:$V,$R43,IlumaData!$U:$U,13,IlumaData!$N:$N,"&lt;&gt;")=0,"",SUMIFS(IlumaData!$N:$N,IlumaData!$V:$V,$R43,IlumaData!$U:$U,13))</f>
        <v/>
      </c>
      <c r="AG43">
        <f>IF(COUNTIFS(IlumaData!$V:$V,$R43,IlumaData!$U:$U,14,IlumaData!$N:$N,"&lt;&gt;")=0,"",SUMIFS(IlumaData!$N:$N,IlumaData!$V:$V,$R43,IlumaData!$U:$U,14))</f>
        <v/>
      </c>
      <c r="AH43">
        <f>COUNTIFS(IlumaData!$V:$V,$R43,IlumaData!$U:$U,"&lt;="&amp;14,IlumaData!$N:$N,"&lt;&gt;")</f>
        <v/>
      </c>
      <c r="AI43">
        <f>COUNTIFS(IlumaData!$V:$V,$R43,IlumaData!$U:$U,"&lt;="&amp;14,IlumaData!$N:$N,0)</f>
        <v/>
      </c>
      <c r="AJ43">
        <f>IF(AH43=0,"",AH43-AI43)</f>
        <v/>
      </c>
      <c r="AK43">
        <f>IF(AH43=0,"",SUMIFS(IlumaData!$N:$N,IlumaData!$V:$V,$R43,IlumaData!$U:$U,"&lt;="&amp;14))</f>
        <v/>
      </c>
      <c r="AL43">
        <f>IF(AH43=0,"",IF(ABS(MAX(T43:AG43))&gt;=ABS(MIN(T43:AG43)),MAX(T43:AG43),MIN(T43:AG43)))</f>
        <v/>
      </c>
      <c r="AM43">
        <f>IF(AH43=0,-1,AJ43*100000+MIN(ABS(AK43),99999))</f>
        <v/>
      </c>
      <c r="AN43">
        <f>IF($S43="","",1+COUNTIFS($AM$3:$AM$122,"&gt;"&amp;AM43)+COUNTIFS($AM$3:$AM$122,AM43,$R$3:$R$122,"&lt;"&amp;$R43))</f>
        <v/>
      </c>
    </row>
    <row r="44">
      <c r="A44" t="n">
        <v>42</v>
      </c>
      <c r="B44" s="31">
        <f>IFERROR(IF(INDEX(IlumaData!$B:$B,MATCH($A44,IlumaData!$U:$U,0))="","",INDEX(IlumaData!$B:$B,MATCH($A44,IlumaData!$U:$U,0))),"")</f>
        <v/>
      </c>
      <c r="C44">
        <f>IFERROR(IF(INDEX(IlumaData!$D:$D,MATCH($A44,IlumaData!$U:$U,0))="","",INDEX(IlumaData!$D:$D,MATCH($A44,IlumaData!$U:$U,0))),"")</f>
        <v/>
      </c>
      <c r="D44" s="31">
        <f>IFERROR(IF(INDEX(IlumaData!$O:$O,MATCH($A44,IlumaData!$U:$U,0))="","",INDEX(IlumaData!$O:$O,MATCH($A44,IlumaData!$U:$U,0))),"")</f>
        <v/>
      </c>
      <c r="E44">
        <f>COUNTIFS(IlumaData!$U:$U,$A44)</f>
        <v/>
      </c>
      <c r="F44">
        <f>COUNTIFS(IlumaData!$U:$U,$A44,IlumaData!$N:$N,"&lt;&gt;")</f>
        <v/>
      </c>
      <c r="G44">
        <f>COUNTIFS(IlumaData!$U:$U,$A44,IlumaData!$N:$N,0)</f>
        <v/>
      </c>
      <c r="H44">
        <f>IF($F44=0,"",$F44-$G44)</f>
        <v/>
      </c>
      <c r="I44">
        <f>IF($F44=0,"",SUMIFS(IlumaData!$N:$N,IlumaData!$U:$U,$A44))</f>
        <v/>
      </c>
      <c r="J44">
        <f>COUNTIFS(IlumaData!$U:$U,$A44,IlumaData!$Q:$Q,"&lt;&gt;")</f>
        <v/>
      </c>
      <c r="K44">
        <f>IF($J44=0,"",SUMIFS(IlumaData!$Q:$Q,IlumaData!$U:$U,$A44))</f>
        <v/>
      </c>
      <c r="L44">
        <f>COUNTIFS(IlumaData!$U:$U,$A44,IlumaData!$M:$M,"&lt;&gt;")</f>
        <v/>
      </c>
      <c r="M44">
        <f>IF($E44=0,"",IF($L44=0,"not loaded","loaded"))</f>
        <v/>
      </c>
      <c r="N44">
        <f>COUNTIFS(IlumaData!$U:$U,$A44,IlumaData!$I:$I,"&lt;&gt;")</f>
        <v/>
      </c>
      <c r="O44">
        <f>IF($E44=0,"",IF($L44=0,"No POS sales have been loaded for this date, so variance cannot be worked out. Import the sales report for this day and it fills in.",IF($N44=0,"This is the first count of these products, so there is no opening figure to sell down from. Variance starts from the next count.",IF($F44-$G44=0,"Physical and POS agree on every product.",($F44-$G44)&amp;" of "&amp;$F44&amp;" products disagree with the POS. Largest first below."))))</f>
        <v/>
      </c>
      <c r="R44" t="n">
        <v>42</v>
      </c>
      <c r="S44">
        <f>IFERROR(INDEX(IlumaData!$G:$G,MATCH($R44,IlumaData!$V:$V,0)),"")</f>
        <v/>
      </c>
      <c r="T44">
        <f>IF(COUNTIFS(IlumaData!$V:$V,$R44,IlumaData!$U:$U,1,IlumaData!$N:$N,"&lt;&gt;")=0,"",SUMIFS(IlumaData!$N:$N,IlumaData!$V:$V,$R44,IlumaData!$U:$U,1))</f>
        <v/>
      </c>
      <c r="U44">
        <f>IF(COUNTIFS(IlumaData!$V:$V,$R44,IlumaData!$U:$U,2,IlumaData!$N:$N,"&lt;&gt;")=0,"",SUMIFS(IlumaData!$N:$N,IlumaData!$V:$V,$R44,IlumaData!$U:$U,2))</f>
        <v/>
      </c>
      <c r="V44">
        <f>IF(COUNTIFS(IlumaData!$V:$V,$R44,IlumaData!$U:$U,3,IlumaData!$N:$N,"&lt;&gt;")=0,"",SUMIFS(IlumaData!$N:$N,IlumaData!$V:$V,$R44,IlumaData!$U:$U,3))</f>
        <v/>
      </c>
      <c r="W44">
        <f>IF(COUNTIFS(IlumaData!$V:$V,$R44,IlumaData!$U:$U,4,IlumaData!$N:$N,"&lt;&gt;")=0,"",SUMIFS(IlumaData!$N:$N,IlumaData!$V:$V,$R44,IlumaData!$U:$U,4))</f>
        <v/>
      </c>
      <c r="X44">
        <f>IF(COUNTIFS(IlumaData!$V:$V,$R44,IlumaData!$U:$U,5,IlumaData!$N:$N,"&lt;&gt;")=0,"",SUMIFS(IlumaData!$N:$N,IlumaData!$V:$V,$R44,IlumaData!$U:$U,5))</f>
        <v/>
      </c>
      <c r="Y44">
        <f>IF(COUNTIFS(IlumaData!$V:$V,$R44,IlumaData!$U:$U,6,IlumaData!$N:$N,"&lt;&gt;")=0,"",SUMIFS(IlumaData!$N:$N,IlumaData!$V:$V,$R44,IlumaData!$U:$U,6))</f>
        <v/>
      </c>
      <c r="Z44">
        <f>IF(COUNTIFS(IlumaData!$V:$V,$R44,IlumaData!$U:$U,7,IlumaData!$N:$N,"&lt;&gt;")=0,"",SUMIFS(IlumaData!$N:$N,IlumaData!$V:$V,$R44,IlumaData!$U:$U,7))</f>
        <v/>
      </c>
      <c r="AA44">
        <f>IF(COUNTIFS(IlumaData!$V:$V,$R44,IlumaData!$U:$U,8,IlumaData!$N:$N,"&lt;&gt;")=0,"",SUMIFS(IlumaData!$N:$N,IlumaData!$V:$V,$R44,IlumaData!$U:$U,8))</f>
        <v/>
      </c>
      <c r="AB44">
        <f>IF(COUNTIFS(IlumaData!$V:$V,$R44,IlumaData!$U:$U,9,IlumaData!$N:$N,"&lt;&gt;")=0,"",SUMIFS(IlumaData!$N:$N,IlumaData!$V:$V,$R44,IlumaData!$U:$U,9))</f>
        <v/>
      </c>
      <c r="AC44">
        <f>IF(COUNTIFS(IlumaData!$V:$V,$R44,IlumaData!$U:$U,10,IlumaData!$N:$N,"&lt;&gt;")=0,"",SUMIFS(IlumaData!$N:$N,IlumaData!$V:$V,$R44,IlumaData!$U:$U,10))</f>
        <v/>
      </c>
      <c r="AD44">
        <f>IF(COUNTIFS(IlumaData!$V:$V,$R44,IlumaData!$U:$U,11,IlumaData!$N:$N,"&lt;&gt;")=0,"",SUMIFS(IlumaData!$N:$N,IlumaData!$V:$V,$R44,IlumaData!$U:$U,11))</f>
        <v/>
      </c>
      <c r="AE44">
        <f>IF(COUNTIFS(IlumaData!$V:$V,$R44,IlumaData!$U:$U,12,IlumaData!$N:$N,"&lt;&gt;")=0,"",SUMIFS(IlumaData!$N:$N,IlumaData!$V:$V,$R44,IlumaData!$U:$U,12))</f>
        <v/>
      </c>
      <c r="AF44">
        <f>IF(COUNTIFS(IlumaData!$V:$V,$R44,IlumaData!$U:$U,13,IlumaData!$N:$N,"&lt;&gt;")=0,"",SUMIFS(IlumaData!$N:$N,IlumaData!$V:$V,$R44,IlumaData!$U:$U,13))</f>
        <v/>
      </c>
      <c r="AG44">
        <f>IF(COUNTIFS(IlumaData!$V:$V,$R44,IlumaData!$U:$U,14,IlumaData!$N:$N,"&lt;&gt;")=0,"",SUMIFS(IlumaData!$N:$N,IlumaData!$V:$V,$R44,IlumaData!$U:$U,14))</f>
        <v/>
      </c>
      <c r="AH44">
        <f>COUNTIFS(IlumaData!$V:$V,$R44,IlumaData!$U:$U,"&lt;="&amp;14,IlumaData!$N:$N,"&lt;&gt;")</f>
        <v/>
      </c>
      <c r="AI44">
        <f>COUNTIFS(IlumaData!$V:$V,$R44,IlumaData!$U:$U,"&lt;="&amp;14,IlumaData!$N:$N,0)</f>
        <v/>
      </c>
      <c r="AJ44">
        <f>IF(AH44=0,"",AH44-AI44)</f>
        <v/>
      </c>
      <c r="AK44">
        <f>IF(AH44=0,"",SUMIFS(IlumaData!$N:$N,IlumaData!$V:$V,$R44,IlumaData!$U:$U,"&lt;="&amp;14))</f>
        <v/>
      </c>
      <c r="AL44">
        <f>IF(AH44=0,"",IF(ABS(MAX(T44:AG44))&gt;=ABS(MIN(T44:AG44)),MAX(T44:AG44),MIN(T44:AG44)))</f>
        <v/>
      </c>
      <c r="AM44">
        <f>IF(AH44=0,-1,AJ44*100000+MIN(ABS(AK44),99999))</f>
        <v/>
      </c>
      <c r="AN44">
        <f>IF($S44="","",1+COUNTIFS($AM$3:$AM$122,"&gt;"&amp;AM44)+COUNTIFS($AM$3:$AM$122,AM44,$R$3:$R$122,"&lt;"&amp;$R44))</f>
        <v/>
      </c>
    </row>
    <row r="45">
      <c r="A45" t="n">
        <v>43</v>
      </c>
      <c r="B45" s="31">
        <f>IFERROR(IF(INDEX(IlumaData!$B:$B,MATCH($A45,IlumaData!$U:$U,0))="","",INDEX(IlumaData!$B:$B,MATCH($A45,IlumaData!$U:$U,0))),"")</f>
        <v/>
      </c>
      <c r="C45">
        <f>IFERROR(IF(INDEX(IlumaData!$D:$D,MATCH($A45,IlumaData!$U:$U,0))="","",INDEX(IlumaData!$D:$D,MATCH($A45,IlumaData!$U:$U,0))),"")</f>
        <v/>
      </c>
      <c r="D45" s="31">
        <f>IFERROR(IF(INDEX(IlumaData!$O:$O,MATCH($A45,IlumaData!$U:$U,0))="","",INDEX(IlumaData!$O:$O,MATCH($A45,IlumaData!$U:$U,0))),"")</f>
        <v/>
      </c>
      <c r="E45">
        <f>COUNTIFS(IlumaData!$U:$U,$A45)</f>
        <v/>
      </c>
      <c r="F45">
        <f>COUNTIFS(IlumaData!$U:$U,$A45,IlumaData!$N:$N,"&lt;&gt;")</f>
        <v/>
      </c>
      <c r="G45">
        <f>COUNTIFS(IlumaData!$U:$U,$A45,IlumaData!$N:$N,0)</f>
        <v/>
      </c>
      <c r="H45">
        <f>IF($F45=0,"",$F45-$G45)</f>
        <v/>
      </c>
      <c r="I45">
        <f>IF($F45=0,"",SUMIFS(IlumaData!$N:$N,IlumaData!$U:$U,$A45))</f>
        <v/>
      </c>
      <c r="J45">
        <f>COUNTIFS(IlumaData!$U:$U,$A45,IlumaData!$Q:$Q,"&lt;&gt;")</f>
        <v/>
      </c>
      <c r="K45">
        <f>IF($J45=0,"",SUMIFS(IlumaData!$Q:$Q,IlumaData!$U:$U,$A45))</f>
        <v/>
      </c>
      <c r="L45">
        <f>COUNTIFS(IlumaData!$U:$U,$A45,IlumaData!$M:$M,"&lt;&gt;")</f>
        <v/>
      </c>
      <c r="M45">
        <f>IF($E45=0,"",IF($L45=0,"not loaded","loaded"))</f>
        <v/>
      </c>
      <c r="N45">
        <f>COUNTIFS(IlumaData!$U:$U,$A45,IlumaData!$I:$I,"&lt;&gt;")</f>
        <v/>
      </c>
      <c r="O45">
        <f>IF($E45=0,"",IF($L45=0,"No POS sales have been loaded for this date, so variance cannot be worked out. Import the sales report for this day and it fills in.",IF($N45=0,"This is the first count of these products, so there is no opening figure to sell down from. Variance starts from the next count.",IF($F45-$G45=0,"Physical and POS agree on every product.",($F45-$G45)&amp;" of "&amp;$F45&amp;" products disagree with the POS. Largest first below."))))</f>
        <v/>
      </c>
      <c r="R45" t="n">
        <v>43</v>
      </c>
      <c r="S45">
        <f>IFERROR(INDEX(IlumaData!$G:$G,MATCH($R45,IlumaData!$V:$V,0)),"")</f>
        <v/>
      </c>
      <c r="T45">
        <f>IF(COUNTIFS(IlumaData!$V:$V,$R45,IlumaData!$U:$U,1,IlumaData!$N:$N,"&lt;&gt;")=0,"",SUMIFS(IlumaData!$N:$N,IlumaData!$V:$V,$R45,IlumaData!$U:$U,1))</f>
        <v/>
      </c>
      <c r="U45">
        <f>IF(COUNTIFS(IlumaData!$V:$V,$R45,IlumaData!$U:$U,2,IlumaData!$N:$N,"&lt;&gt;")=0,"",SUMIFS(IlumaData!$N:$N,IlumaData!$V:$V,$R45,IlumaData!$U:$U,2))</f>
        <v/>
      </c>
      <c r="V45">
        <f>IF(COUNTIFS(IlumaData!$V:$V,$R45,IlumaData!$U:$U,3,IlumaData!$N:$N,"&lt;&gt;")=0,"",SUMIFS(IlumaData!$N:$N,IlumaData!$V:$V,$R45,IlumaData!$U:$U,3))</f>
        <v/>
      </c>
      <c r="W45">
        <f>IF(COUNTIFS(IlumaData!$V:$V,$R45,IlumaData!$U:$U,4,IlumaData!$N:$N,"&lt;&gt;")=0,"",SUMIFS(IlumaData!$N:$N,IlumaData!$V:$V,$R45,IlumaData!$U:$U,4))</f>
        <v/>
      </c>
      <c r="X45">
        <f>IF(COUNTIFS(IlumaData!$V:$V,$R45,IlumaData!$U:$U,5,IlumaData!$N:$N,"&lt;&gt;")=0,"",SUMIFS(IlumaData!$N:$N,IlumaData!$V:$V,$R45,IlumaData!$U:$U,5))</f>
        <v/>
      </c>
      <c r="Y45">
        <f>IF(COUNTIFS(IlumaData!$V:$V,$R45,IlumaData!$U:$U,6,IlumaData!$N:$N,"&lt;&gt;")=0,"",SUMIFS(IlumaData!$N:$N,IlumaData!$V:$V,$R45,IlumaData!$U:$U,6))</f>
        <v/>
      </c>
      <c r="Z45">
        <f>IF(COUNTIFS(IlumaData!$V:$V,$R45,IlumaData!$U:$U,7,IlumaData!$N:$N,"&lt;&gt;")=0,"",SUMIFS(IlumaData!$N:$N,IlumaData!$V:$V,$R45,IlumaData!$U:$U,7))</f>
        <v/>
      </c>
      <c r="AA45">
        <f>IF(COUNTIFS(IlumaData!$V:$V,$R45,IlumaData!$U:$U,8,IlumaData!$N:$N,"&lt;&gt;")=0,"",SUMIFS(IlumaData!$N:$N,IlumaData!$V:$V,$R45,IlumaData!$U:$U,8))</f>
        <v/>
      </c>
      <c r="AB45">
        <f>IF(COUNTIFS(IlumaData!$V:$V,$R45,IlumaData!$U:$U,9,IlumaData!$N:$N,"&lt;&gt;")=0,"",SUMIFS(IlumaData!$N:$N,IlumaData!$V:$V,$R45,IlumaData!$U:$U,9))</f>
        <v/>
      </c>
      <c r="AC45">
        <f>IF(COUNTIFS(IlumaData!$V:$V,$R45,IlumaData!$U:$U,10,IlumaData!$N:$N,"&lt;&gt;")=0,"",SUMIFS(IlumaData!$N:$N,IlumaData!$V:$V,$R45,IlumaData!$U:$U,10))</f>
        <v/>
      </c>
      <c r="AD45">
        <f>IF(COUNTIFS(IlumaData!$V:$V,$R45,IlumaData!$U:$U,11,IlumaData!$N:$N,"&lt;&gt;")=0,"",SUMIFS(IlumaData!$N:$N,IlumaData!$V:$V,$R45,IlumaData!$U:$U,11))</f>
        <v/>
      </c>
      <c r="AE45">
        <f>IF(COUNTIFS(IlumaData!$V:$V,$R45,IlumaData!$U:$U,12,IlumaData!$N:$N,"&lt;&gt;")=0,"",SUMIFS(IlumaData!$N:$N,IlumaData!$V:$V,$R45,IlumaData!$U:$U,12))</f>
        <v/>
      </c>
      <c r="AF45">
        <f>IF(COUNTIFS(IlumaData!$V:$V,$R45,IlumaData!$U:$U,13,IlumaData!$N:$N,"&lt;&gt;")=0,"",SUMIFS(IlumaData!$N:$N,IlumaData!$V:$V,$R45,IlumaData!$U:$U,13))</f>
        <v/>
      </c>
      <c r="AG45">
        <f>IF(COUNTIFS(IlumaData!$V:$V,$R45,IlumaData!$U:$U,14,IlumaData!$N:$N,"&lt;&gt;")=0,"",SUMIFS(IlumaData!$N:$N,IlumaData!$V:$V,$R45,IlumaData!$U:$U,14))</f>
        <v/>
      </c>
      <c r="AH45">
        <f>COUNTIFS(IlumaData!$V:$V,$R45,IlumaData!$U:$U,"&lt;="&amp;14,IlumaData!$N:$N,"&lt;&gt;")</f>
        <v/>
      </c>
      <c r="AI45">
        <f>COUNTIFS(IlumaData!$V:$V,$R45,IlumaData!$U:$U,"&lt;="&amp;14,IlumaData!$N:$N,0)</f>
        <v/>
      </c>
      <c r="AJ45">
        <f>IF(AH45=0,"",AH45-AI45)</f>
        <v/>
      </c>
      <c r="AK45">
        <f>IF(AH45=0,"",SUMIFS(IlumaData!$N:$N,IlumaData!$V:$V,$R45,IlumaData!$U:$U,"&lt;="&amp;14))</f>
        <v/>
      </c>
      <c r="AL45">
        <f>IF(AH45=0,"",IF(ABS(MAX(T45:AG45))&gt;=ABS(MIN(T45:AG45)),MAX(T45:AG45),MIN(T45:AG45)))</f>
        <v/>
      </c>
      <c r="AM45">
        <f>IF(AH45=0,-1,AJ45*100000+MIN(ABS(AK45),99999))</f>
        <v/>
      </c>
      <c r="AN45">
        <f>IF($S45="","",1+COUNTIFS($AM$3:$AM$122,"&gt;"&amp;AM45)+COUNTIFS($AM$3:$AM$122,AM45,$R$3:$R$122,"&lt;"&amp;$R45))</f>
        <v/>
      </c>
    </row>
    <row r="46">
      <c r="A46" t="n">
        <v>44</v>
      </c>
      <c r="B46" s="31">
        <f>IFERROR(IF(INDEX(IlumaData!$B:$B,MATCH($A46,IlumaData!$U:$U,0))="","",INDEX(IlumaData!$B:$B,MATCH($A46,IlumaData!$U:$U,0))),"")</f>
        <v/>
      </c>
      <c r="C46">
        <f>IFERROR(IF(INDEX(IlumaData!$D:$D,MATCH($A46,IlumaData!$U:$U,0))="","",INDEX(IlumaData!$D:$D,MATCH($A46,IlumaData!$U:$U,0))),"")</f>
        <v/>
      </c>
      <c r="D46" s="31">
        <f>IFERROR(IF(INDEX(IlumaData!$O:$O,MATCH($A46,IlumaData!$U:$U,0))="","",INDEX(IlumaData!$O:$O,MATCH($A46,IlumaData!$U:$U,0))),"")</f>
        <v/>
      </c>
      <c r="E46">
        <f>COUNTIFS(IlumaData!$U:$U,$A46)</f>
        <v/>
      </c>
      <c r="F46">
        <f>COUNTIFS(IlumaData!$U:$U,$A46,IlumaData!$N:$N,"&lt;&gt;")</f>
        <v/>
      </c>
      <c r="G46">
        <f>COUNTIFS(IlumaData!$U:$U,$A46,IlumaData!$N:$N,0)</f>
        <v/>
      </c>
      <c r="H46">
        <f>IF($F46=0,"",$F46-$G46)</f>
        <v/>
      </c>
      <c r="I46">
        <f>IF($F46=0,"",SUMIFS(IlumaData!$N:$N,IlumaData!$U:$U,$A46))</f>
        <v/>
      </c>
      <c r="J46">
        <f>COUNTIFS(IlumaData!$U:$U,$A46,IlumaData!$Q:$Q,"&lt;&gt;")</f>
        <v/>
      </c>
      <c r="K46">
        <f>IF($J46=0,"",SUMIFS(IlumaData!$Q:$Q,IlumaData!$U:$U,$A46))</f>
        <v/>
      </c>
      <c r="L46">
        <f>COUNTIFS(IlumaData!$U:$U,$A46,IlumaData!$M:$M,"&lt;&gt;")</f>
        <v/>
      </c>
      <c r="M46">
        <f>IF($E46=0,"",IF($L46=0,"not loaded","loaded"))</f>
        <v/>
      </c>
      <c r="N46">
        <f>COUNTIFS(IlumaData!$U:$U,$A46,IlumaData!$I:$I,"&lt;&gt;")</f>
        <v/>
      </c>
      <c r="O46">
        <f>IF($E46=0,"",IF($L46=0,"No POS sales have been loaded for this date, so variance cannot be worked out. Import the sales report for this day and it fills in.",IF($N46=0,"This is the first count of these products, so there is no opening figure to sell down from. Variance starts from the next count.",IF($F46-$G46=0,"Physical and POS agree on every product.",($F46-$G46)&amp;" of "&amp;$F46&amp;" products disagree with the POS. Largest first below."))))</f>
        <v/>
      </c>
      <c r="R46" t="n">
        <v>44</v>
      </c>
      <c r="S46">
        <f>IFERROR(INDEX(IlumaData!$G:$G,MATCH($R46,IlumaData!$V:$V,0)),"")</f>
        <v/>
      </c>
      <c r="T46">
        <f>IF(COUNTIFS(IlumaData!$V:$V,$R46,IlumaData!$U:$U,1,IlumaData!$N:$N,"&lt;&gt;")=0,"",SUMIFS(IlumaData!$N:$N,IlumaData!$V:$V,$R46,IlumaData!$U:$U,1))</f>
        <v/>
      </c>
      <c r="U46">
        <f>IF(COUNTIFS(IlumaData!$V:$V,$R46,IlumaData!$U:$U,2,IlumaData!$N:$N,"&lt;&gt;")=0,"",SUMIFS(IlumaData!$N:$N,IlumaData!$V:$V,$R46,IlumaData!$U:$U,2))</f>
        <v/>
      </c>
      <c r="V46">
        <f>IF(COUNTIFS(IlumaData!$V:$V,$R46,IlumaData!$U:$U,3,IlumaData!$N:$N,"&lt;&gt;")=0,"",SUMIFS(IlumaData!$N:$N,IlumaData!$V:$V,$R46,IlumaData!$U:$U,3))</f>
        <v/>
      </c>
      <c r="W46">
        <f>IF(COUNTIFS(IlumaData!$V:$V,$R46,IlumaData!$U:$U,4,IlumaData!$N:$N,"&lt;&gt;")=0,"",SUMIFS(IlumaData!$N:$N,IlumaData!$V:$V,$R46,IlumaData!$U:$U,4))</f>
        <v/>
      </c>
      <c r="X46">
        <f>IF(COUNTIFS(IlumaData!$V:$V,$R46,IlumaData!$U:$U,5,IlumaData!$N:$N,"&lt;&gt;")=0,"",SUMIFS(IlumaData!$N:$N,IlumaData!$V:$V,$R46,IlumaData!$U:$U,5))</f>
        <v/>
      </c>
      <c r="Y46">
        <f>IF(COUNTIFS(IlumaData!$V:$V,$R46,IlumaData!$U:$U,6,IlumaData!$N:$N,"&lt;&gt;")=0,"",SUMIFS(IlumaData!$N:$N,IlumaData!$V:$V,$R46,IlumaData!$U:$U,6))</f>
        <v/>
      </c>
      <c r="Z46">
        <f>IF(COUNTIFS(IlumaData!$V:$V,$R46,IlumaData!$U:$U,7,IlumaData!$N:$N,"&lt;&gt;")=0,"",SUMIFS(IlumaData!$N:$N,IlumaData!$V:$V,$R46,IlumaData!$U:$U,7))</f>
        <v/>
      </c>
      <c r="AA46">
        <f>IF(COUNTIFS(IlumaData!$V:$V,$R46,IlumaData!$U:$U,8,IlumaData!$N:$N,"&lt;&gt;")=0,"",SUMIFS(IlumaData!$N:$N,IlumaData!$V:$V,$R46,IlumaData!$U:$U,8))</f>
        <v/>
      </c>
      <c r="AB46">
        <f>IF(COUNTIFS(IlumaData!$V:$V,$R46,IlumaData!$U:$U,9,IlumaData!$N:$N,"&lt;&gt;")=0,"",SUMIFS(IlumaData!$N:$N,IlumaData!$V:$V,$R46,IlumaData!$U:$U,9))</f>
        <v/>
      </c>
      <c r="AC46">
        <f>IF(COUNTIFS(IlumaData!$V:$V,$R46,IlumaData!$U:$U,10,IlumaData!$N:$N,"&lt;&gt;")=0,"",SUMIFS(IlumaData!$N:$N,IlumaData!$V:$V,$R46,IlumaData!$U:$U,10))</f>
        <v/>
      </c>
      <c r="AD46">
        <f>IF(COUNTIFS(IlumaData!$V:$V,$R46,IlumaData!$U:$U,11,IlumaData!$N:$N,"&lt;&gt;")=0,"",SUMIFS(IlumaData!$N:$N,IlumaData!$V:$V,$R46,IlumaData!$U:$U,11))</f>
        <v/>
      </c>
      <c r="AE46">
        <f>IF(COUNTIFS(IlumaData!$V:$V,$R46,IlumaData!$U:$U,12,IlumaData!$N:$N,"&lt;&gt;")=0,"",SUMIFS(IlumaData!$N:$N,IlumaData!$V:$V,$R46,IlumaData!$U:$U,12))</f>
        <v/>
      </c>
      <c r="AF46">
        <f>IF(COUNTIFS(IlumaData!$V:$V,$R46,IlumaData!$U:$U,13,IlumaData!$N:$N,"&lt;&gt;")=0,"",SUMIFS(IlumaData!$N:$N,IlumaData!$V:$V,$R46,IlumaData!$U:$U,13))</f>
        <v/>
      </c>
      <c r="AG46">
        <f>IF(COUNTIFS(IlumaData!$V:$V,$R46,IlumaData!$U:$U,14,IlumaData!$N:$N,"&lt;&gt;")=0,"",SUMIFS(IlumaData!$N:$N,IlumaData!$V:$V,$R46,IlumaData!$U:$U,14))</f>
        <v/>
      </c>
      <c r="AH46">
        <f>COUNTIFS(IlumaData!$V:$V,$R46,IlumaData!$U:$U,"&lt;="&amp;14,IlumaData!$N:$N,"&lt;&gt;")</f>
        <v/>
      </c>
      <c r="AI46">
        <f>COUNTIFS(IlumaData!$V:$V,$R46,IlumaData!$U:$U,"&lt;="&amp;14,IlumaData!$N:$N,0)</f>
        <v/>
      </c>
      <c r="AJ46">
        <f>IF(AH46=0,"",AH46-AI46)</f>
        <v/>
      </c>
      <c r="AK46">
        <f>IF(AH46=0,"",SUMIFS(IlumaData!$N:$N,IlumaData!$V:$V,$R46,IlumaData!$U:$U,"&lt;="&amp;14))</f>
        <v/>
      </c>
      <c r="AL46">
        <f>IF(AH46=0,"",IF(ABS(MAX(T46:AG46))&gt;=ABS(MIN(T46:AG46)),MAX(T46:AG46),MIN(T46:AG46)))</f>
        <v/>
      </c>
      <c r="AM46">
        <f>IF(AH46=0,-1,AJ46*100000+MIN(ABS(AK46),99999))</f>
        <v/>
      </c>
      <c r="AN46">
        <f>IF($S46="","",1+COUNTIFS($AM$3:$AM$122,"&gt;"&amp;AM46)+COUNTIFS($AM$3:$AM$122,AM46,$R$3:$R$122,"&lt;"&amp;$R46))</f>
        <v/>
      </c>
    </row>
    <row r="47">
      <c r="A47" t="n">
        <v>45</v>
      </c>
      <c r="B47" s="31">
        <f>IFERROR(IF(INDEX(IlumaData!$B:$B,MATCH($A47,IlumaData!$U:$U,0))="","",INDEX(IlumaData!$B:$B,MATCH($A47,IlumaData!$U:$U,0))),"")</f>
        <v/>
      </c>
      <c r="C47">
        <f>IFERROR(IF(INDEX(IlumaData!$D:$D,MATCH($A47,IlumaData!$U:$U,0))="","",INDEX(IlumaData!$D:$D,MATCH($A47,IlumaData!$U:$U,0))),"")</f>
        <v/>
      </c>
      <c r="D47" s="31">
        <f>IFERROR(IF(INDEX(IlumaData!$O:$O,MATCH($A47,IlumaData!$U:$U,0))="","",INDEX(IlumaData!$O:$O,MATCH($A47,IlumaData!$U:$U,0))),"")</f>
        <v/>
      </c>
      <c r="E47">
        <f>COUNTIFS(IlumaData!$U:$U,$A47)</f>
        <v/>
      </c>
      <c r="F47">
        <f>COUNTIFS(IlumaData!$U:$U,$A47,IlumaData!$N:$N,"&lt;&gt;")</f>
        <v/>
      </c>
      <c r="G47">
        <f>COUNTIFS(IlumaData!$U:$U,$A47,IlumaData!$N:$N,0)</f>
        <v/>
      </c>
      <c r="H47">
        <f>IF($F47=0,"",$F47-$G47)</f>
        <v/>
      </c>
      <c r="I47">
        <f>IF($F47=0,"",SUMIFS(IlumaData!$N:$N,IlumaData!$U:$U,$A47))</f>
        <v/>
      </c>
      <c r="J47">
        <f>COUNTIFS(IlumaData!$U:$U,$A47,IlumaData!$Q:$Q,"&lt;&gt;")</f>
        <v/>
      </c>
      <c r="K47">
        <f>IF($J47=0,"",SUMIFS(IlumaData!$Q:$Q,IlumaData!$U:$U,$A47))</f>
        <v/>
      </c>
      <c r="L47">
        <f>COUNTIFS(IlumaData!$U:$U,$A47,IlumaData!$M:$M,"&lt;&gt;")</f>
        <v/>
      </c>
      <c r="M47">
        <f>IF($E47=0,"",IF($L47=0,"not loaded","loaded"))</f>
        <v/>
      </c>
      <c r="N47">
        <f>COUNTIFS(IlumaData!$U:$U,$A47,IlumaData!$I:$I,"&lt;&gt;")</f>
        <v/>
      </c>
      <c r="O47">
        <f>IF($E47=0,"",IF($L47=0,"No POS sales have been loaded for this date, so variance cannot be worked out. Import the sales report for this day and it fills in.",IF($N47=0,"This is the first count of these products, so there is no opening figure to sell down from. Variance starts from the next count.",IF($F47-$G47=0,"Physical and POS agree on every product.",($F47-$G47)&amp;" of "&amp;$F47&amp;" products disagree with the POS. Largest first below."))))</f>
        <v/>
      </c>
      <c r="R47" t="n">
        <v>45</v>
      </c>
      <c r="S47">
        <f>IFERROR(INDEX(IlumaData!$G:$G,MATCH($R47,IlumaData!$V:$V,0)),"")</f>
        <v/>
      </c>
      <c r="T47">
        <f>IF(COUNTIFS(IlumaData!$V:$V,$R47,IlumaData!$U:$U,1,IlumaData!$N:$N,"&lt;&gt;")=0,"",SUMIFS(IlumaData!$N:$N,IlumaData!$V:$V,$R47,IlumaData!$U:$U,1))</f>
        <v/>
      </c>
      <c r="U47">
        <f>IF(COUNTIFS(IlumaData!$V:$V,$R47,IlumaData!$U:$U,2,IlumaData!$N:$N,"&lt;&gt;")=0,"",SUMIFS(IlumaData!$N:$N,IlumaData!$V:$V,$R47,IlumaData!$U:$U,2))</f>
        <v/>
      </c>
      <c r="V47">
        <f>IF(COUNTIFS(IlumaData!$V:$V,$R47,IlumaData!$U:$U,3,IlumaData!$N:$N,"&lt;&gt;")=0,"",SUMIFS(IlumaData!$N:$N,IlumaData!$V:$V,$R47,IlumaData!$U:$U,3))</f>
        <v/>
      </c>
      <c r="W47">
        <f>IF(COUNTIFS(IlumaData!$V:$V,$R47,IlumaData!$U:$U,4,IlumaData!$N:$N,"&lt;&gt;")=0,"",SUMIFS(IlumaData!$N:$N,IlumaData!$V:$V,$R47,IlumaData!$U:$U,4))</f>
        <v/>
      </c>
      <c r="X47">
        <f>IF(COUNTIFS(IlumaData!$V:$V,$R47,IlumaData!$U:$U,5,IlumaData!$N:$N,"&lt;&gt;")=0,"",SUMIFS(IlumaData!$N:$N,IlumaData!$V:$V,$R47,IlumaData!$U:$U,5))</f>
        <v/>
      </c>
      <c r="Y47">
        <f>IF(COUNTIFS(IlumaData!$V:$V,$R47,IlumaData!$U:$U,6,IlumaData!$N:$N,"&lt;&gt;")=0,"",SUMIFS(IlumaData!$N:$N,IlumaData!$V:$V,$R47,IlumaData!$U:$U,6))</f>
        <v/>
      </c>
      <c r="Z47">
        <f>IF(COUNTIFS(IlumaData!$V:$V,$R47,IlumaData!$U:$U,7,IlumaData!$N:$N,"&lt;&gt;")=0,"",SUMIFS(IlumaData!$N:$N,IlumaData!$V:$V,$R47,IlumaData!$U:$U,7))</f>
        <v/>
      </c>
      <c r="AA47">
        <f>IF(COUNTIFS(IlumaData!$V:$V,$R47,IlumaData!$U:$U,8,IlumaData!$N:$N,"&lt;&gt;")=0,"",SUMIFS(IlumaData!$N:$N,IlumaData!$V:$V,$R47,IlumaData!$U:$U,8))</f>
        <v/>
      </c>
      <c r="AB47">
        <f>IF(COUNTIFS(IlumaData!$V:$V,$R47,IlumaData!$U:$U,9,IlumaData!$N:$N,"&lt;&gt;")=0,"",SUMIFS(IlumaData!$N:$N,IlumaData!$V:$V,$R47,IlumaData!$U:$U,9))</f>
        <v/>
      </c>
      <c r="AC47">
        <f>IF(COUNTIFS(IlumaData!$V:$V,$R47,IlumaData!$U:$U,10,IlumaData!$N:$N,"&lt;&gt;")=0,"",SUMIFS(IlumaData!$N:$N,IlumaData!$V:$V,$R47,IlumaData!$U:$U,10))</f>
        <v/>
      </c>
      <c r="AD47">
        <f>IF(COUNTIFS(IlumaData!$V:$V,$R47,IlumaData!$U:$U,11,IlumaData!$N:$N,"&lt;&gt;")=0,"",SUMIFS(IlumaData!$N:$N,IlumaData!$V:$V,$R47,IlumaData!$U:$U,11))</f>
        <v/>
      </c>
      <c r="AE47">
        <f>IF(COUNTIFS(IlumaData!$V:$V,$R47,IlumaData!$U:$U,12,IlumaData!$N:$N,"&lt;&gt;")=0,"",SUMIFS(IlumaData!$N:$N,IlumaData!$V:$V,$R47,IlumaData!$U:$U,12))</f>
        <v/>
      </c>
      <c r="AF47">
        <f>IF(COUNTIFS(IlumaData!$V:$V,$R47,IlumaData!$U:$U,13,IlumaData!$N:$N,"&lt;&gt;")=0,"",SUMIFS(IlumaData!$N:$N,IlumaData!$V:$V,$R47,IlumaData!$U:$U,13))</f>
        <v/>
      </c>
      <c r="AG47">
        <f>IF(COUNTIFS(IlumaData!$V:$V,$R47,IlumaData!$U:$U,14,IlumaData!$N:$N,"&lt;&gt;")=0,"",SUMIFS(IlumaData!$N:$N,IlumaData!$V:$V,$R47,IlumaData!$U:$U,14))</f>
        <v/>
      </c>
      <c r="AH47">
        <f>COUNTIFS(IlumaData!$V:$V,$R47,IlumaData!$U:$U,"&lt;="&amp;14,IlumaData!$N:$N,"&lt;&gt;")</f>
        <v/>
      </c>
      <c r="AI47">
        <f>COUNTIFS(IlumaData!$V:$V,$R47,IlumaData!$U:$U,"&lt;="&amp;14,IlumaData!$N:$N,0)</f>
        <v/>
      </c>
      <c r="AJ47">
        <f>IF(AH47=0,"",AH47-AI47)</f>
        <v/>
      </c>
      <c r="AK47">
        <f>IF(AH47=0,"",SUMIFS(IlumaData!$N:$N,IlumaData!$V:$V,$R47,IlumaData!$U:$U,"&lt;="&amp;14))</f>
        <v/>
      </c>
      <c r="AL47">
        <f>IF(AH47=0,"",IF(ABS(MAX(T47:AG47))&gt;=ABS(MIN(T47:AG47)),MAX(T47:AG47),MIN(T47:AG47)))</f>
        <v/>
      </c>
      <c r="AM47">
        <f>IF(AH47=0,-1,AJ47*100000+MIN(ABS(AK47),99999))</f>
        <v/>
      </c>
      <c r="AN47">
        <f>IF($S47="","",1+COUNTIFS($AM$3:$AM$122,"&gt;"&amp;AM47)+COUNTIFS($AM$3:$AM$122,AM47,$R$3:$R$122,"&lt;"&amp;$R47))</f>
        <v/>
      </c>
    </row>
    <row r="48">
      <c r="A48" t="n">
        <v>46</v>
      </c>
      <c r="B48" s="31">
        <f>IFERROR(IF(INDEX(IlumaData!$B:$B,MATCH($A48,IlumaData!$U:$U,0))="","",INDEX(IlumaData!$B:$B,MATCH($A48,IlumaData!$U:$U,0))),"")</f>
        <v/>
      </c>
      <c r="C48">
        <f>IFERROR(IF(INDEX(IlumaData!$D:$D,MATCH($A48,IlumaData!$U:$U,0))="","",INDEX(IlumaData!$D:$D,MATCH($A48,IlumaData!$U:$U,0))),"")</f>
        <v/>
      </c>
      <c r="D48" s="31">
        <f>IFERROR(IF(INDEX(IlumaData!$O:$O,MATCH($A48,IlumaData!$U:$U,0))="","",INDEX(IlumaData!$O:$O,MATCH($A48,IlumaData!$U:$U,0))),"")</f>
        <v/>
      </c>
      <c r="E48">
        <f>COUNTIFS(IlumaData!$U:$U,$A48)</f>
        <v/>
      </c>
      <c r="F48">
        <f>COUNTIFS(IlumaData!$U:$U,$A48,IlumaData!$N:$N,"&lt;&gt;")</f>
        <v/>
      </c>
      <c r="G48">
        <f>COUNTIFS(IlumaData!$U:$U,$A48,IlumaData!$N:$N,0)</f>
        <v/>
      </c>
      <c r="H48">
        <f>IF($F48=0,"",$F48-$G48)</f>
        <v/>
      </c>
      <c r="I48">
        <f>IF($F48=0,"",SUMIFS(IlumaData!$N:$N,IlumaData!$U:$U,$A48))</f>
        <v/>
      </c>
      <c r="J48">
        <f>COUNTIFS(IlumaData!$U:$U,$A48,IlumaData!$Q:$Q,"&lt;&gt;")</f>
        <v/>
      </c>
      <c r="K48">
        <f>IF($J48=0,"",SUMIFS(IlumaData!$Q:$Q,IlumaData!$U:$U,$A48))</f>
        <v/>
      </c>
      <c r="L48">
        <f>COUNTIFS(IlumaData!$U:$U,$A48,IlumaData!$M:$M,"&lt;&gt;")</f>
        <v/>
      </c>
      <c r="M48">
        <f>IF($E48=0,"",IF($L48=0,"not loaded","loaded"))</f>
        <v/>
      </c>
      <c r="N48">
        <f>COUNTIFS(IlumaData!$U:$U,$A48,IlumaData!$I:$I,"&lt;&gt;")</f>
        <v/>
      </c>
      <c r="O48">
        <f>IF($E48=0,"",IF($L48=0,"No POS sales have been loaded for this date, so variance cannot be worked out. Import the sales report for this day and it fills in.",IF($N48=0,"This is the first count of these products, so there is no opening figure to sell down from. Variance starts from the next count.",IF($F48-$G48=0,"Physical and POS agree on every product.",($F48-$G48)&amp;" of "&amp;$F48&amp;" products disagree with the POS. Largest first below."))))</f>
        <v/>
      </c>
      <c r="R48" t="n">
        <v>46</v>
      </c>
      <c r="S48">
        <f>IFERROR(INDEX(IlumaData!$G:$G,MATCH($R48,IlumaData!$V:$V,0)),"")</f>
        <v/>
      </c>
      <c r="T48">
        <f>IF(COUNTIFS(IlumaData!$V:$V,$R48,IlumaData!$U:$U,1,IlumaData!$N:$N,"&lt;&gt;")=0,"",SUMIFS(IlumaData!$N:$N,IlumaData!$V:$V,$R48,IlumaData!$U:$U,1))</f>
        <v/>
      </c>
      <c r="U48">
        <f>IF(COUNTIFS(IlumaData!$V:$V,$R48,IlumaData!$U:$U,2,IlumaData!$N:$N,"&lt;&gt;")=0,"",SUMIFS(IlumaData!$N:$N,IlumaData!$V:$V,$R48,IlumaData!$U:$U,2))</f>
        <v/>
      </c>
      <c r="V48">
        <f>IF(COUNTIFS(IlumaData!$V:$V,$R48,IlumaData!$U:$U,3,IlumaData!$N:$N,"&lt;&gt;")=0,"",SUMIFS(IlumaData!$N:$N,IlumaData!$V:$V,$R48,IlumaData!$U:$U,3))</f>
        <v/>
      </c>
      <c r="W48">
        <f>IF(COUNTIFS(IlumaData!$V:$V,$R48,IlumaData!$U:$U,4,IlumaData!$N:$N,"&lt;&gt;")=0,"",SUMIFS(IlumaData!$N:$N,IlumaData!$V:$V,$R48,IlumaData!$U:$U,4))</f>
        <v/>
      </c>
      <c r="X48">
        <f>IF(COUNTIFS(IlumaData!$V:$V,$R48,IlumaData!$U:$U,5,IlumaData!$N:$N,"&lt;&gt;")=0,"",SUMIFS(IlumaData!$N:$N,IlumaData!$V:$V,$R48,IlumaData!$U:$U,5))</f>
        <v/>
      </c>
      <c r="Y48">
        <f>IF(COUNTIFS(IlumaData!$V:$V,$R48,IlumaData!$U:$U,6,IlumaData!$N:$N,"&lt;&gt;")=0,"",SUMIFS(IlumaData!$N:$N,IlumaData!$V:$V,$R48,IlumaData!$U:$U,6))</f>
        <v/>
      </c>
      <c r="Z48">
        <f>IF(COUNTIFS(IlumaData!$V:$V,$R48,IlumaData!$U:$U,7,IlumaData!$N:$N,"&lt;&gt;")=0,"",SUMIFS(IlumaData!$N:$N,IlumaData!$V:$V,$R48,IlumaData!$U:$U,7))</f>
        <v/>
      </c>
      <c r="AA48">
        <f>IF(COUNTIFS(IlumaData!$V:$V,$R48,IlumaData!$U:$U,8,IlumaData!$N:$N,"&lt;&gt;")=0,"",SUMIFS(IlumaData!$N:$N,IlumaData!$V:$V,$R48,IlumaData!$U:$U,8))</f>
        <v/>
      </c>
      <c r="AB48">
        <f>IF(COUNTIFS(IlumaData!$V:$V,$R48,IlumaData!$U:$U,9,IlumaData!$N:$N,"&lt;&gt;")=0,"",SUMIFS(IlumaData!$N:$N,IlumaData!$V:$V,$R48,IlumaData!$U:$U,9))</f>
        <v/>
      </c>
      <c r="AC48">
        <f>IF(COUNTIFS(IlumaData!$V:$V,$R48,IlumaData!$U:$U,10,IlumaData!$N:$N,"&lt;&gt;")=0,"",SUMIFS(IlumaData!$N:$N,IlumaData!$V:$V,$R48,IlumaData!$U:$U,10))</f>
        <v/>
      </c>
      <c r="AD48">
        <f>IF(COUNTIFS(IlumaData!$V:$V,$R48,IlumaData!$U:$U,11,IlumaData!$N:$N,"&lt;&gt;")=0,"",SUMIFS(IlumaData!$N:$N,IlumaData!$V:$V,$R48,IlumaData!$U:$U,11))</f>
        <v/>
      </c>
      <c r="AE48">
        <f>IF(COUNTIFS(IlumaData!$V:$V,$R48,IlumaData!$U:$U,12,IlumaData!$N:$N,"&lt;&gt;")=0,"",SUMIFS(IlumaData!$N:$N,IlumaData!$V:$V,$R48,IlumaData!$U:$U,12))</f>
        <v/>
      </c>
      <c r="AF48">
        <f>IF(COUNTIFS(IlumaData!$V:$V,$R48,IlumaData!$U:$U,13,IlumaData!$N:$N,"&lt;&gt;")=0,"",SUMIFS(IlumaData!$N:$N,IlumaData!$V:$V,$R48,IlumaData!$U:$U,13))</f>
        <v/>
      </c>
      <c r="AG48">
        <f>IF(COUNTIFS(IlumaData!$V:$V,$R48,IlumaData!$U:$U,14,IlumaData!$N:$N,"&lt;&gt;")=0,"",SUMIFS(IlumaData!$N:$N,IlumaData!$V:$V,$R48,IlumaData!$U:$U,14))</f>
        <v/>
      </c>
      <c r="AH48">
        <f>COUNTIFS(IlumaData!$V:$V,$R48,IlumaData!$U:$U,"&lt;="&amp;14,IlumaData!$N:$N,"&lt;&gt;")</f>
        <v/>
      </c>
      <c r="AI48">
        <f>COUNTIFS(IlumaData!$V:$V,$R48,IlumaData!$U:$U,"&lt;="&amp;14,IlumaData!$N:$N,0)</f>
        <v/>
      </c>
      <c r="AJ48">
        <f>IF(AH48=0,"",AH48-AI48)</f>
        <v/>
      </c>
      <c r="AK48">
        <f>IF(AH48=0,"",SUMIFS(IlumaData!$N:$N,IlumaData!$V:$V,$R48,IlumaData!$U:$U,"&lt;="&amp;14))</f>
        <v/>
      </c>
      <c r="AL48">
        <f>IF(AH48=0,"",IF(ABS(MAX(T48:AG48))&gt;=ABS(MIN(T48:AG48)),MAX(T48:AG48),MIN(T48:AG48)))</f>
        <v/>
      </c>
      <c r="AM48">
        <f>IF(AH48=0,-1,AJ48*100000+MIN(ABS(AK48),99999))</f>
        <v/>
      </c>
      <c r="AN48">
        <f>IF($S48="","",1+COUNTIFS($AM$3:$AM$122,"&gt;"&amp;AM48)+COUNTIFS($AM$3:$AM$122,AM48,$R$3:$R$122,"&lt;"&amp;$R48))</f>
        <v/>
      </c>
    </row>
    <row r="49">
      <c r="A49" t="n">
        <v>47</v>
      </c>
      <c r="B49" s="31">
        <f>IFERROR(IF(INDEX(IlumaData!$B:$B,MATCH($A49,IlumaData!$U:$U,0))="","",INDEX(IlumaData!$B:$B,MATCH($A49,IlumaData!$U:$U,0))),"")</f>
        <v/>
      </c>
      <c r="C49">
        <f>IFERROR(IF(INDEX(IlumaData!$D:$D,MATCH($A49,IlumaData!$U:$U,0))="","",INDEX(IlumaData!$D:$D,MATCH($A49,IlumaData!$U:$U,0))),"")</f>
        <v/>
      </c>
      <c r="D49" s="31">
        <f>IFERROR(IF(INDEX(IlumaData!$O:$O,MATCH($A49,IlumaData!$U:$U,0))="","",INDEX(IlumaData!$O:$O,MATCH($A49,IlumaData!$U:$U,0))),"")</f>
        <v/>
      </c>
      <c r="E49">
        <f>COUNTIFS(IlumaData!$U:$U,$A49)</f>
        <v/>
      </c>
      <c r="F49">
        <f>COUNTIFS(IlumaData!$U:$U,$A49,IlumaData!$N:$N,"&lt;&gt;")</f>
        <v/>
      </c>
      <c r="G49">
        <f>COUNTIFS(IlumaData!$U:$U,$A49,IlumaData!$N:$N,0)</f>
        <v/>
      </c>
      <c r="H49">
        <f>IF($F49=0,"",$F49-$G49)</f>
        <v/>
      </c>
      <c r="I49">
        <f>IF($F49=0,"",SUMIFS(IlumaData!$N:$N,IlumaData!$U:$U,$A49))</f>
        <v/>
      </c>
      <c r="J49">
        <f>COUNTIFS(IlumaData!$U:$U,$A49,IlumaData!$Q:$Q,"&lt;&gt;")</f>
        <v/>
      </c>
      <c r="K49">
        <f>IF($J49=0,"",SUMIFS(IlumaData!$Q:$Q,IlumaData!$U:$U,$A49))</f>
        <v/>
      </c>
      <c r="L49">
        <f>COUNTIFS(IlumaData!$U:$U,$A49,IlumaData!$M:$M,"&lt;&gt;")</f>
        <v/>
      </c>
      <c r="M49">
        <f>IF($E49=0,"",IF($L49=0,"not loaded","loaded"))</f>
        <v/>
      </c>
      <c r="N49">
        <f>COUNTIFS(IlumaData!$U:$U,$A49,IlumaData!$I:$I,"&lt;&gt;")</f>
        <v/>
      </c>
      <c r="O49">
        <f>IF($E49=0,"",IF($L49=0,"No POS sales have been loaded for this date, so variance cannot be worked out. Import the sales report for this day and it fills in.",IF($N49=0,"This is the first count of these products, so there is no opening figure to sell down from. Variance starts from the next count.",IF($F49-$G49=0,"Physical and POS agree on every product.",($F49-$G49)&amp;" of "&amp;$F49&amp;" products disagree with the POS. Largest first below."))))</f>
        <v/>
      </c>
      <c r="R49" t="n">
        <v>47</v>
      </c>
      <c r="S49">
        <f>IFERROR(INDEX(IlumaData!$G:$G,MATCH($R49,IlumaData!$V:$V,0)),"")</f>
        <v/>
      </c>
      <c r="T49">
        <f>IF(COUNTIFS(IlumaData!$V:$V,$R49,IlumaData!$U:$U,1,IlumaData!$N:$N,"&lt;&gt;")=0,"",SUMIFS(IlumaData!$N:$N,IlumaData!$V:$V,$R49,IlumaData!$U:$U,1))</f>
        <v/>
      </c>
      <c r="U49">
        <f>IF(COUNTIFS(IlumaData!$V:$V,$R49,IlumaData!$U:$U,2,IlumaData!$N:$N,"&lt;&gt;")=0,"",SUMIFS(IlumaData!$N:$N,IlumaData!$V:$V,$R49,IlumaData!$U:$U,2))</f>
        <v/>
      </c>
      <c r="V49">
        <f>IF(COUNTIFS(IlumaData!$V:$V,$R49,IlumaData!$U:$U,3,IlumaData!$N:$N,"&lt;&gt;")=0,"",SUMIFS(IlumaData!$N:$N,IlumaData!$V:$V,$R49,IlumaData!$U:$U,3))</f>
        <v/>
      </c>
      <c r="W49">
        <f>IF(COUNTIFS(IlumaData!$V:$V,$R49,IlumaData!$U:$U,4,IlumaData!$N:$N,"&lt;&gt;")=0,"",SUMIFS(IlumaData!$N:$N,IlumaData!$V:$V,$R49,IlumaData!$U:$U,4))</f>
        <v/>
      </c>
      <c r="X49">
        <f>IF(COUNTIFS(IlumaData!$V:$V,$R49,IlumaData!$U:$U,5,IlumaData!$N:$N,"&lt;&gt;")=0,"",SUMIFS(IlumaData!$N:$N,IlumaData!$V:$V,$R49,IlumaData!$U:$U,5))</f>
        <v/>
      </c>
      <c r="Y49">
        <f>IF(COUNTIFS(IlumaData!$V:$V,$R49,IlumaData!$U:$U,6,IlumaData!$N:$N,"&lt;&gt;")=0,"",SUMIFS(IlumaData!$N:$N,IlumaData!$V:$V,$R49,IlumaData!$U:$U,6))</f>
        <v/>
      </c>
      <c r="Z49">
        <f>IF(COUNTIFS(IlumaData!$V:$V,$R49,IlumaData!$U:$U,7,IlumaData!$N:$N,"&lt;&gt;")=0,"",SUMIFS(IlumaData!$N:$N,IlumaData!$V:$V,$R49,IlumaData!$U:$U,7))</f>
        <v/>
      </c>
      <c r="AA49">
        <f>IF(COUNTIFS(IlumaData!$V:$V,$R49,IlumaData!$U:$U,8,IlumaData!$N:$N,"&lt;&gt;")=0,"",SUMIFS(IlumaData!$N:$N,IlumaData!$V:$V,$R49,IlumaData!$U:$U,8))</f>
        <v/>
      </c>
      <c r="AB49">
        <f>IF(COUNTIFS(IlumaData!$V:$V,$R49,IlumaData!$U:$U,9,IlumaData!$N:$N,"&lt;&gt;")=0,"",SUMIFS(IlumaData!$N:$N,IlumaData!$V:$V,$R49,IlumaData!$U:$U,9))</f>
        <v/>
      </c>
      <c r="AC49">
        <f>IF(COUNTIFS(IlumaData!$V:$V,$R49,IlumaData!$U:$U,10,IlumaData!$N:$N,"&lt;&gt;")=0,"",SUMIFS(IlumaData!$N:$N,IlumaData!$V:$V,$R49,IlumaData!$U:$U,10))</f>
        <v/>
      </c>
      <c r="AD49">
        <f>IF(COUNTIFS(IlumaData!$V:$V,$R49,IlumaData!$U:$U,11,IlumaData!$N:$N,"&lt;&gt;")=0,"",SUMIFS(IlumaData!$N:$N,IlumaData!$V:$V,$R49,IlumaData!$U:$U,11))</f>
        <v/>
      </c>
      <c r="AE49">
        <f>IF(COUNTIFS(IlumaData!$V:$V,$R49,IlumaData!$U:$U,12,IlumaData!$N:$N,"&lt;&gt;")=0,"",SUMIFS(IlumaData!$N:$N,IlumaData!$V:$V,$R49,IlumaData!$U:$U,12))</f>
        <v/>
      </c>
      <c r="AF49">
        <f>IF(COUNTIFS(IlumaData!$V:$V,$R49,IlumaData!$U:$U,13,IlumaData!$N:$N,"&lt;&gt;")=0,"",SUMIFS(IlumaData!$N:$N,IlumaData!$V:$V,$R49,IlumaData!$U:$U,13))</f>
        <v/>
      </c>
      <c r="AG49">
        <f>IF(COUNTIFS(IlumaData!$V:$V,$R49,IlumaData!$U:$U,14,IlumaData!$N:$N,"&lt;&gt;")=0,"",SUMIFS(IlumaData!$N:$N,IlumaData!$V:$V,$R49,IlumaData!$U:$U,14))</f>
        <v/>
      </c>
      <c r="AH49">
        <f>COUNTIFS(IlumaData!$V:$V,$R49,IlumaData!$U:$U,"&lt;="&amp;14,IlumaData!$N:$N,"&lt;&gt;")</f>
        <v/>
      </c>
      <c r="AI49">
        <f>COUNTIFS(IlumaData!$V:$V,$R49,IlumaData!$U:$U,"&lt;="&amp;14,IlumaData!$N:$N,0)</f>
        <v/>
      </c>
      <c r="AJ49">
        <f>IF(AH49=0,"",AH49-AI49)</f>
        <v/>
      </c>
      <c r="AK49">
        <f>IF(AH49=0,"",SUMIFS(IlumaData!$N:$N,IlumaData!$V:$V,$R49,IlumaData!$U:$U,"&lt;="&amp;14))</f>
        <v/>
      </c>
      <c r="AL49">
        <f>IF(AH49=0,"",IF(ABS(MAX(T49:AG49))&gt;=ABS(MIN(T49:AG49)),MAX(T49:AG49),MIN(T49:AG49)))</f>
        <v/>
      </c>
      <c r="AM49">
        <f>IF(AH49=0,-1,AJ49*100000+MIN(ABS(AK49),99999))</f>
        <v/>
      </c>
      <c r="AN49">
        <f>IF($S49="","",1+COUNTIFS($AM$3:$AM$122,"&gt;"&amp;AM49)+COUNTIFS($AM$3:$AM$122,AM49,$R$3:$R$122,"&lt;"&amp;$R49))</f>
        <v/>
      </c>
    </row>
    <row r="50">
      <c r="A50" t="n">
        <v>48</v>
      </c>
      <c r="B50" s="31">
        <f>IFERROR(IF(INDEX(IlumaData!$B:$B,MATCH($A50,IlumaData!$U:$U,0))="","",INDEX(IlumaData!$B:$B,MATCH($A50,IlumaData!$U:$U,0))),"")</f>
        <v/>
      </c>
      <c r="C50">
        <f>IFERROR(IF(INDEX(IlumaData!$D:$D,MATCH($A50,IlumaData!$U:$U,0))="","",INDEX(IlumaData!$D:$D,MATCH($A50,IlumaData!$U:$U,0))),"")</f>
        <v/>
      </c>
      <c r="D50" s="31">
        <f>IFERROR(IF(INDEX(IlumaData!$O:$O,MATCH($A50,IlumaData!$U:$U,0))="","",INDEX(IlumaData!$O:$O,MATCH($A50,IlumaData!$U:$U,0))),"")</f>
        <v/>
      </c>
      <c r="E50">
        <f>COUNTIFS(IlumaData!$U:$U,$A50)</f>
        <v/>
      </c>
      <c r="F50">
        <f>COUNTIFS(IlumaData!$U:$U,$A50,IlumaData!$N:$N,"&lt;&gt;")</f>
        <v/>
      </c>
      <c r="G50">
        <f>COUNTIFS(IlumaData!$U:$U,$A50,IlumaData!$N:$N,0)</f>
        <v/>
      </c>
      <c r="H50">
        <f>IF($F50=0,"",$F50-$G50)</f>
        <v/>
      </c>
      <c r="I50">
        <f>IF($F50=0,"",SUMIFS(IlumaData!$N:$N,IlumaData!$U:$U,$A50))</f>
        <v/>
      </c>
      <c r="J50">
        <f>COUNTIFS(IlumaData!$U:$U,$A50,IlumaData!$Q:$Q,"&lt;&gt;")</f>
        <v/>
      </c>
      <c r="K50">
        <f>IF($J50=0,"",SUMIFS(IlumaData!$Q:$Q,IlumaData!$U:$U,$A50))</f>
        <v/>
      </c>
      <c r="L50">
        <f>COUNTIFS(IlumaData!$U:$U,$A50,IlumaData!$M:$M,"&lt;&gt;")</f>
        <v/>
      </c>
      <c r="M50">
        <f>IF($E50=0,"",IF($L50=0,"not loaded","loaded"))</f>
        <v/>
      </c>
      <c r="N50">
        <f>COUNTIFS(IlumaData!$U:$U,$A50,IlumaData!$I:$I,"&lt;&gt;")</f>
        <v/>
      </c>
      <c r="O50">
        <f>IF($E50=0,"",IF($L50=0,"No POS sales have been loaded for this date, so variance cannot be worked out. Import the sales report for this day and it fills in.",IF($N50=0,"This is the first count of these products, so there is no opening figure to sell down from. Variance starts from the next count.",IF($F50-$G50=0,"Physical and POS agree on every product.",($F50-$G50)&amp;" of "&amp;$F50&amp;" products disagree with the POS. Largest first below."))))</f>
        <v/>
      </c>
      <c r="R50" t="n">
        <v>48</v>
      </c>
      <c r="S50">
        <f>IFERROR(INDEX(IlumaData!$G:$G,MATCH($R50,IlumaData!$V:$V,0)),"")</f>
        <v/>
      </c>
      <c r="T50">
        <f>IF(COUNTIFS(IlumaData!$V:$V,$R50,IlumaData!$U:$U,1,IlumaData!$N:$N,"&lt;&gt;")=0,"",SUMIFS(IlumaData!$N:$N,IlumaData!$V:$V,$R50,IlumaData!$U:$U,1))</f>
        <v/>
      </c>
      <c r="U50">
        <f>IF(COUNTIFS(IlumaData!$V:$V,$R50,IlumaData!$U:$U,2,IlumaData!$N:$N,"&lt;&gt;")=0,"",SUMIFS(IlumaData!$N:$N,IlumaData!$V:$V,$R50,IlumaData!$U:$U,2))</f>
        <v/>
      </c>
      <c r="V50">
        <f>IF(COUNTIFS(IlumaData!$V:$V,$R50,IlumaData!$U:$U,3,IlumaData!$N:$N,"&lt;&gt;")=0,"",SUMIFS(IlumaData!$N:$N,IlumaData!$V:$V,$R50,IlumaData!$U:$U,3))</f>
        <v/>
      </c>
      <c r="W50">
        <f>IF(COUNTIFS(IlumaData!$V:$V,$R50,IlumaData!$U:$U,4,IlumaData!$N:$N,"&lt;&gt;")=0,"",SUMIFS(IlumaData!$N:$N,IlumaData!$V:$V,$R50,IlumaData!$U:$U,4))</f>
        <v/>
      </c>
      <c r="X50">
        <f>IF(COUNTIFS(IlumaData!$V:$V,$R50,IlumaData!$U:$U,5,IlumaData!$N:$N,"&lt;&gt;")=0,"",SUMIFS(IlumaData!$N:$N,IlumaData!$V:$V,$R50,IlumaData!$U:$U,5))</f>
        <v/>
      </c>
      <c r="Y50">
        <f>IF(COUNTIFS(IlumaData!$V:$V,$R50,IlumaData!$U:$U,6,IlumaData!$N:$N,"&lt;&gt;")=0,"",SUMIFS(IlumaData!$N:$N,IlumaData!$V:$V,$R50,IlumaData!$U:$U,6))</f>
        <v/>
      </c>
      <c r="Z50">
        <f>IF(COUNTIFS(IlumaData!$V:$V,$R50,IlumaData!$U:$U,7,IlumaData!$N:$N,"&lt;&gt;")=0,"",SUMIFS(IlumaData!$N:$N,IlumaData!$V:$V,$R50,IlumaData!$U:$U,7))</f>
        <v/>
      </c>
      <c r="AA50">
        <f>IF(COUNTIFS(IlumaData!$V:$V,$R50,IlumaData!$U:$U,8,IlumaData!$N:$N,"&lt;&gt;")=0,"",SUMIFS(IlumaData!$N:$N,IlumaData!$V:$V,$R50,IlumaData!$U:$U,8))</f>
        <v/>
      </c>
      <c r="AB50">
        <f>IF(COUNTIFS(IlumaData!$V:$V,$R50,IlumaData!$U:$U,9,IlumaData!$N:$N,"&lt;&gt;")=0,"",SUMIFS(IlumaData!$N:$N,IlumaData!$V:$V,$R50,IlumaData!$U:$U,9))</f>
        <v/>
      </c>
      <c r="AC50">
        <f>IF(COUNTIFS(IlumaData!$V:$V,$R50,IlumaData!$U:$U,10,IlumaData!$N:$N,"&lt;&gt;")=0,"",SUMIFS(IlumaData!$N:$N,IlumaData!$V:$V,$R50,IlumaData!$U:$U,10))</f>
        <v/>
      </c>
      <c r="AD50">
        <f>IF(COUNTIFS(IlumaData!$V:$V,$R50,IlumaData!$U:$U,11,IlumaData!$N:$N,"&lt;&gt;")=0,"",SUMIFS(IlumaData!$N:$N,IlumaData!$V:$V,$R50,IlumaData!$U:$U,11))</f>
        <v/>
      </c>
      <c r="AE50">
        <f>IF(COUNTIFS(IlumaData!$V:$V,$R50,IlumaData!$U:$U,12,IlumaData!$N:$N,"&lt;&gt;")=0,"",SUMIFS(IlumaData!$N:$N,IlumaData!$V:$V,$R50,IlumaData!$U:$U,12))</f>
        <v/>
      </c>
      <c r="AF50">
        <f>IF(COUNTIFS(IlumaData!$V:$V,$R50,IlumaData!$U:$U,13,IlumaData!$N:$N,"&lt;&gt;")=0,"",SUMIFS(IlumaData!$N:$N,IlumaData!$V:$V,$R50,IlumaData!$U:$U,13))</f>
        <v/>
      </c>
      <c r="AG50">
        <f>IF(COUNTIFS(IlumaData!$V:$V,$R50,IlumaData!$U:$U,14,IlumaData!$N:$N,"&lt;&gt;")=0,"",SUMIFS(IlumaData!$N:$N,IlumaData!$V:$V,$R50,IlumaData!$U:$U,14))</f>
        <v/>
      </c>
      <c r="AH50">
        <f>COUNTIFS(IlumaData!$V:$V,$R50,IlumaData!$U:$U,"&lt;="&amp;14,IlumaData!$N:$N,"&lt;&gt;")</f>
        <v/>
      </c>
      <c r="AI50">
        <f>COUNTIFS(IlumaData!$V:$V,$R50,IlumaData!$U:$U,"&lt;="&amp;14,IlumaData!$N:$N,0)</f>
        <v/>
      </c>
      <c r="AJ50">
        <f>IF(AH50=0,"",AH50-AI50)</f>
        <v/>
      </c>
      <c r="AK50">
        <f>IF(AH50=0,"",SUMIFS(IlumaData!$N:$N,IlumaData!$V:$V,$R50,IlumaData!$U:$U,"&lt;="&amp;14))</f>
        <v/>
      </c>
      <c r="AL50">
        <f>IF(AH50=0,"",IF(ABS(MAX(T50:AG50))&gt;=ABS(MIN(T50:AG50)),MAX(T50:AG50),MIN(T50:AG50)))</f>
        <v/>
      </c>
      <c r="AM50">
        <f>IF(AH50=0,-1,AJ50*100000+MIN(ABS(AK50),99999))</f>
        <v/>
      </c>
      <c r="AN50">
        <f>IF($S50="","",1+COUNTIFS($AM$3:$AM$122,"&gt;"&amp;AM50)+COUNTIFS($AM$3:$AM$122,AM50,$R$3:$R$122,"&lt;"&amp;$R50))</f>
        <v/>
      </c>
    </row>
    <row r="51">
      <c r="A51" t="n">
        <v>49</v>
      </c>
      <c r="B51" s="31">
        <f>IFERROR(IF(INDEX(IlumaData!$B:$B,MATCH($A51,IlumaData!$U:$U,0))="","",INDEX(IlumaData!$B:$B,MATCH($A51,IlumaData!$U:$U,0))),"")</f>
        <v/>
      </c>
      <c r="C51">
        <f>IFERROR(IF(INDEX(IlumaData!$D:$D,MATCH($A51,IlumaData!$U:$U,0))="","",INDEX(IlumaData!$D:$D,MATCH($A51,IlumaData!$U:$U,0))),"")</f>
        <v/>
      </c>
      <c r="D51" s="31">
        <f>IFERROR(IF(INDEX(IlumaData!$O:$O,MATCH($A51,IlumaData!$U:$U,0))="","",INDEX(IlumaData!$O:$O,MATCH($A51,IlumaData!$U:$U,0))),"")</f>
        <v/>
      </c>
      <c r="E51">
        <f>COUNTIFS(IlumaData!$U:$U,$A51)</f>
        <v/>
      </c>
      <c r="F51">
        <f>COUNTIFS(IlumaData!$U:$U,$A51,IlumaData!$N:$N,"&lt;&gt;")</f>
        <v/>
      </c>
      <c r="G51">
        <f>COUNTIFS(IlumaData!$U:$U,$A51,IlumaData!$N:$N,0)</f>
        <v/>
      </c>
      <c r="H51">
        <f>IF($F51=0,"",$F51-$G51)</f>
        <v/>
      </c>
      <c r="I51">
        <f>IF($F51=0,"",SUMIFS(IlumaData!$N:$N,IlumaData!$U:$U,$A51))</f>
        <v/>
      </c>
      <c r="J51">
        <f>COUNTIFS(IlumaData!$U:$U,$A51,IlumaData!$Q:$Q,"&lt;&gt;")</f>
        <v/>
      </c>
      <c r="K51">
        <f>IF($J51=0,"",SUMIFS(IlumaData!$Q:$Q,IlumaData!$U:$U,$A51))</f>
        <v/>
      </c>
      <c r="L51">
        <f>COUNTIFS(IlumaData!$U:$U,$A51,IlumaData!$M:$M,"&lt;&gt;")</f>
        <v/>
      </c>
      <c r="M51">
        <f>IF($E51=0,"",IF($L51=0,"not loaded","loaded"))</f>
        <v/>
      </c>
      <c r="N51">
        <f>COUNTIFS(IlumaData!$U:$U,$A51,IlumaData!$I:$I,"&lt;&gt;")</f>
        <v/>
      </c>
      <c r="O51">
        <f>IF($E51=0,"",IF($L51=0,"No POS sales have been loaded for this date, so variance cannot be worked out. Import the sales report for this day and it fills in.",IF($N51=0,"This is the first count of these products, so there is no opening figure to sell down from. Variance starts from the next count.",IF($F51-$G51=0,"Physical and POS agree on every product.",($F51-$G51)&amp;" of "&amp;$F51&amp;" products disagree with the POS. Largest first below."))))</f>
        <v/>
      </c>
      <c r="R51" t="n">
        <v>49</v>
      </c>
      <c r="S51">
        <f>IFERROR(INDEX(IlumaData!$G:$G,MATCH($R51,IlumaData!$V:$V,0)),"")</f>
        <v/>
      </c>
      <c r="T51">
        <f>IF(COUNTIFS(IlumaData!$V:$V,$R51,IlumaData!$U:$U,1,IlumaData!$N:$N,"&lt;&gt;")=0,"",SUMIFS(IlumaData!$N:$N,IlumaData!$V:$V,$R51,IlumaData!$U:$U,1))</f>
        <v/>
      </c>
      <c r="U51">
        <f>IF(COUNTIFS(IlumaData!$V:$V,$R51,IlumaData!$U:$U,2,IlumaData!$N:$N,"&lt;&gt;")=0,"",SUMIFS(IlumaData!$N:$N,IlumaData!$V:$V,$R51,IlumaData!$U:$U,2))</f>
        <v/>
      </c>
      <c r="V51">
        <f>IF(COUNTIFS(IlumaData!$V:$V,$R51,IlumaData!$U:$U,3,IlumaData!$N:$N,"&lt;&gt;")=0,"",SUMIFS(IlumaData!$N:$N,IlumaData!$V:$V,$R51,IlumaData!$U:$U,3))</f>
        <v/>
      </c>
      <c r="W51">
        <f>IF(COUNTIFS(IlumaData!$V:$V,$R51,IlumaData!$U:$U,4,IlumaData!$N:$N,"&lt;&gt;")=0,"",SUMIFS(IlumaData!$N:$N,IlumaData!$V:$V,$R51,IlumaData!$U:$U,4))</f>
        <v/>
      </c>
      <c r="X51">
        <f>IF(COUNTIFS(IlumaData!$V:$V,$R51,IlumaData!$U:$U,5,IlumaData!$N:$N,"&lt;&gt;")=0,"",SUMIFS(IlumaData!$N:$N,IlumaData!$V:$V,$R51,IlumaData!$U:$U,5))</f>
        <v/>
      </c>
      <c r="Y51">
        <f>IF(COUNTIFS(IlumaData!$V:$V,$R51,IlumaData!$U:$U,6,IlumaData!$N:$N,"&lt;&gt;")=0,"",SUMIFS(IlumaData!$N:$N,IlumaData!$V:$V,$R51,IlumaData!$U:$U,6))</f>
        <v/>
      </c>
      <c r="Z51">
        <f>IF(COUNTIFS(IlumaData!$V:$V,$R51,IlumaData!$U:$U,7,IlumaData!$N:$N,"&lt;&gt;")=0,"",SUMIFS(IlumaData!$N:$N,IlumaData!$V:$V,$R51,IlumaData!$U:$U,7))</f>
        <v/>
      </c>
      <c r="AA51">
        <f>IF(COUNTIFS(IlumaData!$V:$V,$R51,IlumaData!$U:$U,8,IlumaData!$N:$N,"&lt;&gt;")=0,"",SUMIFS(IlumaData!$N:$N,IlumaData!$V:$V,$R51,IlumaData!$U:$U,8))</f>
        <v/>
      </c>
      <c r="AB51">
        <f>IF(COUNTIFS(IlumaData!$V:$V,$R51,IlumaData!$U:$U,9,IlumaData!$N:$N,"&lt;&gt;")=0,"",SUMIFS(IlumaData!$N:$N,IlumaData!$V:$V,$R51,IlumaData!$U:$U,9))</f>
        <v/>
      </c>
      <c r="AC51">
        <f>IF(COUNTIFS(IlumaData!$V:$V,$R51,IlumaData!$U:$U,10,IlumaData!$N:$N,"&lt;&gt;")=0,"",SUMIFS(IlumaData!$N:$N,IlumaData!$V:$V,$R51,IlumaData!$U:$U,10))</f>
        <v/>
      </c>
      <c r="AD51">
        <f>IF(COUNTIFS(IlumaData!$V:$V,$R51,IlumaData!$U:$U,11,IlumaData!$N:$N,"&lt;&gt;")=0,"",SUMIFS(IlumaData!$N:$N,IlumaData!$V:$V,$R51,IlumaData!$U:$U,11))</f>
        <v/>
      </c>
      <c r="AE51">
        <f>IF(COUNTIFS(IlumaData!$V:$V,$R51,IlumaData!$U:$U,12,IlumaData!$N:$N,"&lt;&gt;")=0,"",SUMIFS(IlumaData!$N:$N,IlumaData!$V:$V,$R51,IlumaData!$U:$U,12))</f>
        <v/>
      </c>
      <c r="AF51">
        <f>IF(COUNTIFS(IlumaData!$V:$V,$R51,IlumaData!$U:$U,13,IlumaData!$N:$N,"&lt;&gt;")=0,"",SUMIFS(IlumaData!$N:$N,IlumaData!$V:$V,$R51,IlumaData!$U:$U,13))</f>
        <v/>
      </c>
      <c r="AG51">
        <f>IF(COUNTIFS(IlumaData!$V:$V,$R51,IlumaData!$U:$U,14,IlumaData!$N:$N,"&lt;&gt;")=0,"",SUMIFS(IlumaData!$N:$N,IlumaData!$V:$V,$R51,IlumaData!$U:$U,14))</f>
        <v/>
      </c>
      <c r="AH51">
        <f>COUNTIFS(IlumaData!$V:$V,$R51,IlumaData!$U:$U,"&lt;="&amp;14,IlumaData!$N:$N,"&lt;&gt;")</f>
        <v/>
      </c>
      <c r="AI51">
        <f>COUNTIFS(IlumaData!$V:$V,$R51,IlumaData!$U:$U,"&lt;="&amp;14,IlumaData!$N:$N,0)</f>
        <v/>
      </c>
      <c r="AJ51">
        <f>IF(AH51=0,"",AH51-AI51)</f>
        <v/>
      </c>
      <c r="AK51">
        <f>IF(AH51=0,"",SUMIFS(IlumaData!$N:$N,IlumaData!$V:$V,$R51,IlumaData!$U:$U,"&lt;="&amp;14))</f>
        <v/>
      </c>
      <c r="AL51">
        <f>IF(AH51=0,"",IF(ABS(MAX(T51:AG51))&gt;=ABS(MIN(T51:AG51)),MAX(T51:AG51),MIN(T51:AG51)))</f>
        <v/>
      </c>
      <c r="AM51">
        <f>IF(AH51=0,-1,AJ51*100000+MIN(ABS(AK51),99999))</f>
        <v/>
      </c>
      <c r="AN51">
        <f>IF($S51="","",1+COUNTIFS($AM$3:$AM$122,"&gt;"&amp;AM51)+COUNTIFS($AM$3:$AM$122,AM51,$R$3:$R$122,"&lt;"&amp;$R51))</f>
        <v/>
      </c>
    </row>
    <row r="52">
      <c r="A52" t="n">
        <v>50</v>
      </c>
      <c r="B52" s="31">
        <f>IFERROR(IF(INDEX(IlumaData!$B:$B,MATCH($A52,IlumaData!$U:$U,0))="","",INDEX(IlumaData!$B:$B,MATCH($A52,IlumaData!$U:$U,0))),"")</f>
        <v/>
      </c>
      <c r="C52">
        <f>IFERROR(IF(INDEX(IlumaData!$D:$D,MATCH($A52,IlumaData!$U:$U,0))="","",INDEX(IlumaData!$D:$D,MATCH($A52,IlumaData!$U:$U,0))),"")</f>
        <v/>
      </c>
      <c r="D52" s="31">
        <f>IFERROR(IF(INDEX(IlumaData!$O:$O,MATCH($A52,IlumaData!$U:$U,0))="","",INDEX(IlumaData!$O:$O,MATCH($A52,IlumaData!$U:$U,0))),"")</f>
        <v/>
      </c>
      <c r="E52">
        <f>COUNTIFS(IlumaData!$U:$U,$A52)</f>
        <v/>
      </c>
      <c r="F52">
        <f>COUNTIFS(IlumaData!$U:$U,$A52,IlumaData!$N:$N,"&lt;&gt;")</f>
        <v/>
      </c>
      <c r="G52">
        <f>COUNTIFS(IlumaData!$U:$U,$A52,IlumaData!$N:$N,0)</f>
        <v/>
      </c>
      <c r="H52">
        <f>IF($F52=0,"",$F52-$G52)</f>
        <v/>
      </c>
      <c r="I52">
        <f>IF($F52=0,"",SUMIFS(IlumaData!$N:$N,IlumaData!$U:$U,$A52))</f>
        <v/>
      </c>
      <c r="J52">
        <f>COUNTIFS(IlumaData!$U:$U,$A52,IlumaData!$Q:$Q,"&lt;&gt;")</f>
        <v/>
      </c>
      <c r="K52">
        <f>IF($J52=0,"",SUMIFS(IlumaData!$Q:$Q,IlumaData!$U:$U,$A52))</f>
        <v/>
      </c>
      <c r="L52">
        <f>COUNTIFS(IlumaData!$U:$U,$A52,IlumaData!$M:$M,"&lt;&gt;")</f>
        <v/>
      </c>
      <c r="M52">
        <f>IF($E52=0,"",IF($L52=0,"not loaded","loaded"))</f>
        <v/>
      </c>
      <c r="N52">
        <f>COUNTIFS(IlumaData!$U:$U,$A52,IlumaData!$I:$I,"&lt;&gt;")</f>
        <v/>
      </c>
      <c r="O52">
        <f>IF($E52=0,"",IF($L52=0,"No POS sales have been loaded for this date, so variance cannot be worked out. Import the sales report for this day and it fills in.",IF($N52=0,"This is the first count of these products, so there is no opening figure to sell down from. Variance starts from the next count.",IF($F52-$G52=0,"Physical and POS agree on every product.",($F52-$G52)&amp;" of "&amp;$F52&amp;" products disagree with the POS. Largest first below."))))</f>
        <v/>
      </c>
      <c r="R52" t="n">
        <v>50</v>
      </c>
      <c r="S52">
        <f>IFERROR(INDEX(IlumaData!$G:$G,MATCH($R52,IlumaData!$V:$V,0)),"")</f>
        <v/>
      </c>
      <c r="T52">
        <f>IF(COUNTIFS(IlumaData!$V:$V,$R52,IlumaData!$U:$U,1,IlumaData!$N:$N,"&lt;&gt;")=0,"",SUMIFS(IlumaData!$N:$N,IlumaData!$V:$V,$R52,IlumaData!$U:$U,1))</f>
        <v/>
      </c>
      <c r="U52">
        <f>IF(COUNTIFS(IlumaData!$V:$V,$R52,IlumaData!$U:$U,2,IlumaData!$N:$N,"&lt;&gt;")=0,"",SUMIFS(IlumaData!$N:$N,IlumaData!$V:$V,$R52,IlumaData!$U:$U,2))</f>
        <v/>
      </c>
      <c r="V52">
        <f>IF(COUNTIFS(IlumaData!$V:$V,$R52,IlumaData!$U:$U,3,IlumaData!$N:$N,"&lt;&gt;")=0,"",SUMIFS(IlumaData!$N:$N,IlumaData!$V:$V,$R52,IlumaData!$U:$U,3))</f>
        <v/>
      </c>
      <c r="W52">
        <f>IF(COUNTIFS(IlumaData!$V:$V,$R52,IlumaData!$U:$U,4,IlumaData!$N:$N,"&lt;&gt;")=0,"",SUMIFS(IlumaData!$N:$N,IlumaData!$V:$V,$R52,IlumaData!$U:$U,4))</f>
        <v/>
      </c>
      <c r="X52">
        <f>IF(COUNTIFS(IlumaData!$V:$V,$R52,IlumaData!$U:$U,5,IlumaData!$N:$N,"&lt;&gt;")=0,"",SUMIFS(IlumaData!$N:$N,IlumaData!$V:$V,$R52,IlumaData!$U:$U,5))</f>
        <v/>
      </c>
      <c r="Y52">
        <f>IF(COUNTIFS(IlumaData!$V:$V,$R52,IlumaData!$U:$U,6,IlumaData!$N:$N,"&lt;&gt;")=0,"",SUMIFS(IlumaData!$N:$N,IlumaData!$V:$V,$R52,IlumaData!$U:$U,6))</f>
        <v/>
      </c>
      <c r="Z52">
        <f>IF(COUNTIFS(IlumaData!$V:$V,$R52,IlumaData!$U:$U,7,IlumaData!$N:$N,"&lt;&gt;")=0,"",SUMIFS(IlumaData!$N:$N,IlumaData!$V:$V,$R52,IlumaData!$U:$U,7))</f>
        <v/>
      </c>
      <c r="AA52">
        <f>IF(COUNTIFS(IlumaData!$V:$V,$R52,IlumaData!$U:$U,8,IlumaData!$N:$N,"&lt;&gt;")=0,"",SUMIFS(IlumaData!$N:$N,IlumaData!$V:$V,$R52,IlumaData!$U:$U,8))</f>
        <v/>
      </c>
      <c r="AB52">
        <f>IF(COUNTIFS(IlumaData!$V:$V,$R52,IlumaData!$U:$U,9,IlumaData!$N:$N,"&lt;&gt;")=0,"",SUMIFS(IlumaData!$N:$N,IlumaData!$V:$V,$R52,IlumaData!$U:$U,9))</f>
        <v/>
      </c>
      <c r="AC52">
        <f>IF(COUNTIFS(IlumaData!$V:$V,$R52,IlumaData!$U:$U,10,IlumaData!$N:$N,"&lt;&gt;")=0,"",SUMIFS(IlumaData!$N:$N,IlumaData!$V:$V,$R52,IlumaData!$U:$U,10))</f>
        <v/>
      </c>
      <c r="AD52">
        <f>IF(COUNTIFS(IlumaData!$V:$V,$R52,IlumaData!$U:$U,11,IlumaData!$N:$N,"&lt;&gt;")=0,"",SUMIFS(IlumaData!$N:$N,IlumaData!$V:$V,$R52,IlumaData!$U:$U,11))</f>
        <v/>
      </c>
      <c r="AE52">
        <f>IF(COUNTIFS(IlumaData!$V:$V,$R52,IlumaData!$U:$U,12,IlumaData!$N:$N,"&lt;&gt;")=0,"",SUMIFS(IlumaData!$N:$N,IlumaData!$V:$V,$R52,IlumaData!$U:$U,12))</f>
        <v/>
      </c>
      <c r="AF52">
        <f>IF(COUNTIFS(IlumaData!$V:$V,$R52,IlumaData!$U:$U,13,IlumaData!$N:$N,"&lt;&gt;")=0,"",SUMIFS(IlumaData!$N:$N,IlumaData!$V:$V,$R52,IlumaData!$U:$U,13))</f>
        <v/>
      </c>
      <c r="AG52">
        <f>IF(COUNTIFS(IlumaData!$V:$V,$R52,IlumaData!$U:$U,14,IlumaData!$N:$N,"&lt;&gt;")=0,"",SUMIFS(IlumaData!$N:$N,IlumaData!$V:$V,$R52,IlumaData!$U:$U,14))</f>
        <v/>
      </c>
      <c r="AH52">
        <f>COUNTIFS(IlumaData!$V:$V,$R52,IlumaData!$U:$U,"&lt;="&amp;14,IlumaData!$N:$N,"&lt;&gt;")</f>
        <v/>
      </c>
      <c r="AI52">
        <f>COUNTIFS(IlumaData!$V:$V,$R52,IlumaData!$U:$U,"&lt;="&amp;14,IlumaData!$N:$N,0)</f>
        <v/>
      </c>
      <c r="AJ52">
        <f>IF(AH52=0,"",AH52-AI52)</f>
        <v/>
      </c>
      <c r="AK52">
        <f>IF(AH52=0,"",SUMIFS(IlumaData!$N:$N,IlumaData!$V:$V,$R52,IlumaData!$U:$U,"&lt;="&amp;14))</f>
        <v/>
      </c>
      <c r="AL52">
        <f>IF(AH52=0,"",IF(ABS(MAX(T52:AG52))&gt;=ABS(MIN(T52:AG52)),MAX(T52:AG52),MIN(T52:AG52)))</f>
        <v/>
      </c>
      <c r="AM52">
        <f>IF(AH52=0,-1,AJ52*100000+MIN(ABS(AK52),99999))</f>
        <v/>
      </c>
      <c r="AN52">
        <f>IF($S52="","",1+COUNTIFS($AM$3:$AM$122,"&gt;"&amp;AM52)+COUNTIFS($AM$3:$AM$122,AM52,$R$3:$R$122,"&lt;"&amp;$R52))</f>
        <v/>
      </c>
    </row>
    <row r="53">
      <c r="A53" t="n">
        <v>51</v>
      </c>
      <c r="B53" s="31">
        <f>IFERROR(IF(INDEX(IlumaData!$B:$B,MATCH($A53,IlumaData!$U:$U,0))="","",INDEX(IlumaData!$B:$B,MATCH($A53,IlumaData!$U:$U,0))),"")</f>
        <v/>
      </c>
      <c r="C53">
        <f>IFERROR(IF(INDEX(IlumaData!$D:$D,MATCH($A53,IlumaData!$U:$U,0))="","",INDEX(IlumaData!$D:$D,MATCH($A53,IlumaData!$U:$U,0))),"")</f>
        <v/>
      </c>
      <c r="D53" s="31">
        <f>IFERROR(IF(INDEX(IlumaData!$O:$O,MATCH($A53,IlumaData!$U:$U,0))="","",INDEX(IlumaData!$O:$O,MATCH($A53,IlumaData!$U:$U,0))),"")</f>
        <v/>
      </c>
      <c r="E53">
        <f>COUNTIFS(IlumaData!$U:$U,$A53)</f>
        <v/>
      </c>
      <c r="F53">
        <f>COUNTIFS(IlumaData!$U:$U,$A53,IlumaData!$N:$N,"&lt;&gt;")</f>
        <v/>
      </c>
      <c r="G53">
        <f>COUNTIFS(IlumaData!$U:$U,$A53,IlumaData!$N:$N,0)</f>
        <v/>
      </c>
      <c r="H53">
        <f>IF($F53=0,"",$F53-$G53)</f>
        <v/>
      </c>
      <c r="I53">
        <f>IF($F53=0,"",SUMIFS(IlumaData!$N:$N,IlumaData!$U:$U,$A53))</f>
        <v/>
      </c>
      <c r="J53">
        <f>COUNTIFS(IlumaData!$U:$U,$A53,IlumaData!$Q:$Q,"&lt;&gt;")</f>
        <v/>
      </c>
      <c r="K53">
        <f>IF($J53=0,"",SUMIFS(IlumaData!$Q:$Q,IlumaData!$U:$U,$A53))</f>
        <v/>
      </c>
      <c r="L53">
        <f>COUNTIFS(IlumaData!$U:$U,$A53,IlumaData!$M:$M,"&lt;&gt;")</f>
        <v/>
      </c>
      <c r="M53">
        <f>IF($E53=0,"",IF($L53=0,"not loaded","loaded"))</f>
        <v/>
      </c>
      <c r="N53">
        <f>COUNTIFS(IlumaData!$U:$U,$A53,IlumaData!$I:$I,"&lt;&gt;")</f>
        <v/>
      </c>
      <c r="O53">
        <f>IF($E53=0,"",IF($L53=0,"No POS sales have been loaded for this date, so variance cannot be worked out. Import the sales report for this day and it fills in.",IF($N53=0,"This is the first count of these products, so there is no opening figure to sell down from. Variance starts from the next count.",IF($F53-$G53=0,"Physical and POS agree on every product.",($F53-$G53)&amp;" of "&amp;$F53&amp;" products disagree with the POS. Largest first below."))))</f>
        <v/>
      </c>
      <c r="R53" t="n">
        <v>51</v>
      </c>
      <c r="S53">
        <f>IFERROR(INDEX(IlumaData!$G:$G,MATCH($R53,IlumaData!$V:$V,0)),"")</f>
        <v/>
      </c>
      <c r="T53">
        <f>IF(COUNTIFS(IlumaData!$V:$V,$R53,IlumaData!$U:$U,1,IlumaData!$N:$N,"&lt;&gt;")=0,"",SUMIFS(IlumaData!$N:$N,IlumaData!$V:$V,$R53,IlumaData!$U:$U,1))</f>
        <v/>
      </c>
      <c r="U53">
        <f>IF(COUNTIFS(IlumaData!$V:$V,$R53,IlumaData!$U:$U,2,IlumaData!$N:$N,"&lt;&gt;")=0,"",SUMIFS(IlumaData!$N:$N,IlumaData!$V:$V,$R53,IlumaData!$U:$U,2))</f>
        <v/>
      </c>
      <c r="V53">
        <f>IF(COUNTIFS(IlumaData!$V:$V,$R53,IlumaData!$U:$U,3,IlumaData!$N:$N,"&lt;&gt;")=0,"",SUMIFS(IlumaData!$N:$N,IlumaData!$V:$V,$R53,IlumaData!$U:$U,3))</f>
        <v/>
      </c>
      <c r="W53">
        <f>IF(COUNTIFS(IlumaData!$V:$V,$R53,IlumaData!$U:$U,4,IlumaData!$N:$N,"&lt;&gt;")=0,"",SUMIFS(IlumaData!$N:$N,IlumaData!$V:$V,$R53,IlumaData!$U:$U,4))</f>
        <v/>
      </c>
      <c r="X53">
        <f>IF(COUNTIFS(IlumaData!$V:$V,$R53,IlumaData!$U:$U,5,IlumaData!$N:$N,"&lt;&gt;")=0,"",SUMIFS(IlumaData!$N:$N,IlumaData!$V:$V,$R53,IlumaData!$U:$U,5))</f>
        <v/>
      </c>
      <c r="Y53">
        <f>IF(COUNTIFS(IlumaData!$V:$V,$R53,IlumaData!$U:$U,6,IlumaData!$N:$N,"&lt;&gt;")=0,"",SUMIFS(IlumaData!$N:$N,IlumaData!$V:$V,$R53,IlumaData!$U:$U,6))</f>
        <v/>
      </c>
      <c r="Z53">
        <f>IF(COUNTIFS(IlumaData!$V:$V,$R53,IlumaData!$U:$U,7,IlumaData!$N:$N,"&lt;&gt;")=0,"",SUMIFS(IlumaData!$N:$N,IlumaData!$V:$V,$R53,IlumaData!$U:$U,7))</f>
        <v/>
      </c>
      <c r="AA53">
        <f>IF(COUNTIFS(IlumaData!$V:$V,$R53,IlumaData!$U:$U,8,IlumaData!$N:$N,"&lt;&gt;")=0,"",SUMIFS(IlumaData!$N:$N,IlumaData!$V:$V,$R53,IlumaData!$U:$U,8))</f>
        <v/>
      </c>
      <c r="AB53">
        <f>IF(COUNTIFS(IlumaData!$V:$V,$R53,IlumaData!$U:$U,9,IlumaData!$N:$N,"&lt;&gt;")=0,"",SUMIFS(IlumaData!$N:$N,IlumaData!$V:$V,$R53,IlumaData!$U:$U,9))</f>
        <v/>
      </c>
      <c r="AC53">
        <f>IF(COUNTIFS(IlumaData!$V:$V,$R53,IlumaData!$U:$U,10,IlumaData!$N:$N,"&lt;&gt;")=0,"",SUMIFS(IlumaData!$N:$N,IlumaData!$V:$V,$R53,IlumaData!$U:$U,10))</f>
        <v/>
      </c>
      <c r="AD53">
        <f>IF(COUNTIFS(IlumaData!$V:$V,$R53,IlumaData!$U:$U,11,IlumaData!$N:$N,"&lt;&gt;")=0,"",SUMIFS(IlumaData!$N:$N,IlumaData!$V:$V,$R53,IlumaData!$U:$U,11))</f>
        <v/>
      </c>
      <c r="AE53">
        <f>IF(COUNTIFS(IlumaData!$V:$V,$R53,IlumaData!$U:$U,12,IlumaData!$N:$N,"&lt;&gt;")=0,"",SUMIFS(IlumaData!$N:$N,IlumaData!$V:$V,$R53,IlumaData!$U:$U,12))</f>
        <v/>
      </c>
      <c r="AF53">
        <f>IF(COUNTIFS(IlumaData!$V:$V,$R53,IlumaData!$U:$U,13,IlumaData!$N:$N,"&lt;&gt;")=0,"",SUMIFS(IlumaData!$N:$N,IlumaData!$V:$V,$R53,IlumaData!$U:$U,13))</f>
        <v/>
      </c>
      <c r="AG53">
        <f>IF(COUNTIFS(IlumaData!$V:$V,$R53,IlumaData!$U:$U,14,IlumaData!$N:$N,"&lt;&gt;")=0,"",SUMIFS(IlumaData!$N:$N,IlumaData!$V:$V,$R53,IlumaData!$U:$U,14))</f>
        <v/>
      </c>
      <c r="AH53">
        <f>COUNTIFS(IlumaData!$V:$V,$R53,IlumaData!$U:$U,"&lt;="&amp;14,IlumaData!$N:$N,"&lt;&gt;")</f>
        <v/>
      </c>
      <c r="AI53">
        <f>COUNTIFS(IlumaData!$V:$V,$R53,IlumaData!$U:$U,"&lt;="&amp;14,IlumaData!$N:$N,0)</f>
        <v/>
      </c>
      <c r="AJ53">
        <f>IF(AH53=0,"",AH53-AI53)</f>
        <v/>
      </c>
      <c r="AK53">
        <f>IF(AH53=0,"",SUMIFS(IlumaData!$N:$N,IlumaData!$V:$V,$R53,IlumaData!$U:$U,"&lt;="&amp;14))</f>
        <v/>
      </c>
      <c r="AL53">
        <f>IF(AH53=0,"",IF(ABS(MAX(T53:AG53))&gt;=ABS(MIN(T53:AG53)),MAX(T53:AG53),MIN(T53:AG53)))</f>
        <v/>
      </c>
      <c r="AM53">
        <f>IF(AH53=0,-1,AJ53*100000+MIN(ABS(AK53),99999))</f>
        <v/>
      </c>
      <c r="AN53">
        <f>IF($S53="","",1+COUNTIFS($AM$3:$AM$122,"&gt;"&amp;AM53)+COUNTIFS($AM$3:$AM$122,AM53,$R$3:$R$122,"&lt;"&amp;$R53))</f>
        <v/>
      </c>
    </row>
    <row r="54">
      <c r="A54" t="n">
        <v>52</v>
      </c>
      <c r="B54" s="31">
        <f>IFERROR(IF(INDEX(IlumaData!$B:$B,MATCH($A54,IlumaData!$U:$U,0))="","",INDEX(IlumaData!$B:$B,MATCH($A54,IlumaData!$U:$U,0))),"")</f>
        <v/>
      </c>
      <c r="C54">
        <f>IFERROR(IF(INDEX(IlumaData!$D:$D,MATCH($A54,IlumaData!$U:$U,0))="","",INDEX(IlumaData!$D:$D,MATCH($A54,IlumaData!$U:$U,0))),"")</f>
        <v/>
      </c>
      <c r="D54" s="31">
        <f>IFERROR(IF(INDEX(IlumaData!$O:$O,MATCH($A54,IlumaData!$U:$U,0))="","",INDEX(IlumaData!$O:$O,MATCH($A54,IlumaData!$U:$U,0))),"")</f>
        <v/>
      </c>
      <c r="E54">
        <f>COUNTIFS(IlumaData!$U:$U,$A54)</f>
        <v/>
      </c>
      <c r="F54">
        <f>COUNTIFS(IlumaData!$U:$U,$A54,IlumaData!$N:$N,"&lt;&gt;")</f>
        <v/>
      </c>
      <c r="G54">
        <f>COUNTIFS(IlumaData!$U:$U,$A54,IlumaData!$N:$N,0)</f>
        <v/>
      </c>
      <c r="H54">
        <f>IF($F54=0,"",$F54-$G54)</f>
        <v/>
      </c>
      <c r="I54">
        <f>IF($F54=0,"",SUMIFS(IlumaData!$N:$N,IlumaData!$U:$U,$A54))</f>
        <v/>
      </c>
      <c r="J54">
        <f>COUNTIFS(IlumaData!$U:$U,$A54,IlumaData!$Q:$Q,"&lt;&gt;")</f>
        <v/>
      </c>
      <c r="K54">
        <f>IF($J54=0,"",SUMIFS(IlumaData!$Q:$Q,IlumaData!$U:$U,$A54))</f>
        <v/>
      </c>
      <c r="L54">
        <f>COUNTIFS(IlumaData!$U:$U,$A54,IlumaData!$M:$M,"&lt;&gt;")</f>
        <v/>
      </c>
      <c r="M54">
        <f>IF($E54=0,"",IF($L54=0,"not loaded","loaded"))</f>
        <v/>
      </c>
      <c r="N54">
        <f>COUNTIFS(IlumaData!$U:$U,$A54,IlumaData!$I:$I,"&lt;&gt;")</f>
        <v/>
      </c>
      <c r="O54">
        <f>IF($E54=0,"",IF($L54=0,"No POS sales have been loaded for this date, so variance cannot be worked out. Import the sales report for this day and it fills in.",IF($N54=0,"This is the first count of these products, so there is no opening figure to sell down from. Variance starts from the next count.",IF($F54-$G54=0,"Physical and POS agree on every product.",($F54-$G54)&amp;" of "&amp;$F54&amp;" products disagree with the POS. Largest first below."))))</f>
        <v/>
      </c>
      <c r="R54" t="n">
        <v>52</v>
      </c>
      <c r="S54">
        <f>IFERROR(INDEX(IlumaData!$G:$G,MATCH($R54,IlumaData!$V:$V,0)),"")</f>
        <v/>
      </c>
      <c r="T54">
        <f>IF(COUNTIFS(IlumaData!$V:$V,$R54,IlumaData!$U:$U,1,IlumaData!$N:$N,"&lt;&gt;")=0,"",SUMIFS(IlumaData!$N:$N,IlumaData!$V:$V,$R54,IlumaData!$U:$U,1))</f>
        <v/>
      </c>
      <c r="U54">
        <f>IF(COUNTIFS(IlumaData!$V:$V,$R54,IlumaData!$U:$U,2,IlumaData!$N:$N,"&lt;&gt;")=0,"",SUMIFS(IlumaData!$N:$N,IlumaData!$V:$V,$R54,IlumaData!$U:$U,2))</f>
        <v/>
      </c>
      <c r="V54">
        <f>IF(COUNTIFS(IlumaData!$V:$V,$R54,IlumaData!$U:$U,3,IlumaData!$N:$N,"&lt;&gt;")=0,"",SUMIFS(IlumaData!$N:$N,IlumaData!$V:$V,$R54,IlumaData!$U:$U,3))</f>
        <v/>
      </c>
      <c r="W54">
        <f>IF(COUNTIFS(IlumaData!$V:$V,$R54,IlumaData!$U:$U,4,IlumaData!$N:$N,"&lt;&gt;")=0,"",SUMIFS(IlumaData!$N:$N,IlumaData!$V:$V,$R54,IlumaData!$U:$U,4))</f>
        <v/>
      </c>
      <c r="X54">
        <f>IF(COUNTIFS(IlumaData!$V:$V,$R54,IlumaData!$U:$U,5,IlumaData!$N:$N,"&lt;&gt;")=0,"",SUMIFS(IlumaData!$N:$N,IlumaData!$V:$V,$R54,IlumaData!$U:$U,5))</f>
        <v/>
      </c>
      <c r="Y54">
        <f>IF(COUNTIFS(IlumaData!$V:$V,$R54,IlumaData!$U:$U,6,IlumaData!$N:$N,"&lt;&gt;")=0,"",SUMIFS(IlumaData!$N:$N,IlumaData!$V:$V,$R54,IlumaData!$U:$U,6))</f>
        <v/>
      </c>
      <c r="Z54">
        <f>IF(COUNTIFS(IlumaData!$V:$V,$R54,IlumaData!$U:$U,7,IlumaData!$N:$N,"&lt;&gt;")=0,"",SUMIFS(IlumaData!$N:$N,IlumaData!$V:$V,$R54,IlumaData!$U:$U,7))</f>
        <v/>
      </c>
      <c r="AA54">
        <f>IF(COUNTIFS(IlumaData!$V:$V,$R54,IlumaData!$U:$U,8,IlumaData!$N:$N,"&lt;&gt;")=0,"",SUMIFS(IlumaData!$N:$N,IlumaData!$V:$V,$R54,IlumaData!$U:$U,8))</f>
        <v/>
      </c>
      <c r="AB54">
        <f>IF(COUNTIFS(IlumaData!$V:$V,$R54,IlumaData!$U:$U,9,IlumaData!$N:$N,"&lt;&gt;")=0,"",SUMIFS(IlumaData!$N:$N,IlumaData!$V:$V,$R54,IlumaData!$U:$U,9))</f>
        <v/>
      </c>
      <c r="AC54">
        <f>IF(COUNTIFS(IlumaData!$V:$V,$R54,IlumaData!$U:$U,10,IlumaData!$N:$N,"&lt;&gt;")=0,"",SUMIFS(IlumaData!$N:$N,IlumaData!$V:$V,$R54,IlumaData!$U:$U,10))</f>
        <v/>
      </c>
      <c r="AD54">
        <f>IF(COUNTIFS(IlumaData!$V:$V,$R54,IlumaData!$U:$U,11,IlumaData!$N:$N,"&lt;&gt;")=0,"",SUMIFS(IlumaData!$N:$N,IlumaData!$V:$V,$R54,IlumaData!$U:$U,11))</f>
        <v/>
      </c>
      <c r="AE54">
        <f>IF(COUNTIFS(IlumaData!$V:$V,$R54,IlumaData!$U:$U,12,IlumaData!$N:$N,"&lt;&gt;")=0,"",SUMIFS(IlumaData!$N:$N,IlumaData!$V:$V,$R54,IlumaData!$U:$U,12))</f>
        <v/>
      </c>
      <c r="AF54">
        <f>IF(COUNTIFS(IlumaData!$V:$V,$R54,IlumaData!$U:$U,13,IlumaData!$N:$N,"&lt;&gt;")=0,"",SUMIFS(IlumaData!$N:$N,IlumaData!$V:$V,$R54,IlumaData!$U:$U,13))</f>
        <v/>
      </c>
      <c r="AG54">
        <f>IF(COUNTIFS(IlumaData!$V:$V,$R54,IlumaData!$U:$U,14,IlumaData!$N:$N,"&lt;&gt;")=0,"",SUMIFS(IlumaData!$N:$N,IlumaData!$V:$V,$R54,IlumaData!$U:$U,14))</f>
        <v/>
      </c>
      <c r="AH54">
        <f>COUNTIFS(IlumaData!$V:$V,$R54,IlumaData!$U:$U,"&lt;="&amp;14,IlumaData!$N:$N,"&lt;&gt;")</f>
        <v/>
      </c>
      <c r="AI54">
        <f>COUNTIFS(IlumaData!$V:$V,$R54,IlumaData!$U:$U,"&lt;="&amp;14,IlumaData!$N:$N,0)</f>
        <v/>
      </c>
      <c r="AJ54">
        <f>IF(AH54=0,"",AH54-AI54)</f>
        <v/>
      </c>
      <c r="AK54">
        <f>IF(AH54=0,"",SUMIFS(IlumaData!$N:$N,IlumaData!$V:$V,$R54,IlumaData!$U:$U,"&lt;="&amp;14))</f>
        <v/>
      </c>
      <c r="AL54">
        <f>IF(AH54=0,"",IF(ABS(MAX(T54:AG54))&gt;=ABS(MIN(T54:AG54)),MAX(T54:AG54),MIN(T54:AG54)))</f>
        <v/>
      </c>
      <c r="AM54">
        <f>IF(AH54=0,-1,AJ54*100000+MIN(ABS(AK54),99999))</f>
        <v/>
      </c>
      <c r="AN54">
        <f>IF($S54="","",1+COUNTIFS($AM$3:$AM$122,"&gt;"&amp;AM54)+COUNTIFS($AM$3:$AM$122,AM54,$R$3:$R$122,"&lt;"&amp;$R54))</f>
        <v/>
      </c>
    </row>
    <row r="55">
      <c r="A55" t="n">
        <v>53</v>
      </c>
      <c r="B55" s="31">
        <f>IFERROR(IF(INDEX(IlumaData!$B:$B,MATCH($A55,IlumaData!$U:$U,0))="","",INDEX(IlumaData!$B:$B,MATCH($A55,IlumaData!$U:$U,0))),"")</f>
        <v/>
      </c>
      <c r="C55">
        <f>IFERROR(IF(INDEX(IlumaData!$D:$D,MATCH($A55,IlumaData!$U:$U,0))="","",INDEX(IlumaData!$D:$D,MATCH($A55,IlumaData!$U:$U,0))),"")</f>
        <v/>
      </c>
      <c r="D55" s="31">
        <f>IFERROR(IF(INDEX(IlumaData!$O:$O,MATCH($A55,IlumaData!$U:$U,0))="","",INDEX(IlumaData!$O:$O,MATCH($A55,IlumaData!$U:$U,0))),"")</f>
        <v/>
      </c>
      <c r="E55">
        <f>COUNTIFS(IlumaData!$U:$U,$A55)</f>
        <v/>
      </c>
      <c r="F55">
        <f>COUNTIFS(IlumaData!$U:$U,$A55,IlumaData!$N:$N,"&lt;&gt;")</f>
        <v/>
      </c>
      <c r="G55">
        <f>COUNTIFS(IlumaData!$U:$U,$A55,IlumaData!$N:$N,0)</f>
        <v/>
      </c>
      <c r="H55">
        <f>IF($F55=0,"",$F55-$G55)</f>
        <v/>
      </c>
      <c r="I55">
        <f>IF($F55=0,"",SUMIFS(IlumaData!$N:$N,IlumaData!$U:$U,$A55))</f>
        <v/>
      </c>
      <c r="J55">
        <f>COUNTIFS(IlumaData!$U:$U,$A55,IlumaData!$Q:$Q,"&lt;&gt;")</f>
        <v/>
      </c>
      <c r="K55">
        <f>IF($J55=0,"",SUMIFS(IlumaData!$Q:$Q,IlumaData!$U:$U,$A55))</f>
        <v/>
      </c>
      <c r="L55">
        <f>COUNTIFS(IlumaData!$U:$U,$A55,IlumaData!$M:$M,"&lt;&gt;")</f>
        <v/>
      </c>
      <c r="M55">
        <f>IF($E55=0,"",IF($L55=0,"not loaded","loaded"))</f>
        <v/>
      </c>
      <c r="N55">
        <f>COUNTIFS(IlumaData!$U:$U,$A55,IlumaData!$I:$I,"&lt;&gt;")</f>
        <v/>
      </c>
      <c r="O55">
        <f>IF($E55=0,"",IF($L55=0,"No POS sales have been loaded for this date, so variance cannot be worked out. Import the sales report for this day and it fills in.",IF($N55=0,"This is the first count of these products, so there is no opening figure to sell down from. Variance starts from the next count.",IF($F55-$G55=0,"Physical and POS agree on every product.",($F55-$G55)&amp;" of "&amp;$F55&amp;" products disagree with the POS. Largest first below."))))</f>
        <v/>
      </c>
      <c r="R55" t="n">
        <v>53</v>
      </c>
      <c r="S55">
        <f>IFERROR(INDEX(IlumaData!$G:$G,MATCH($R55,IlumaData!$V:$V,0)),"")</f>
        <v/>
      </c>
      <c r="T55">
        <f>IF(COUNTIFS(IlumaData!$V:$V,$R55,IlumaData!$U:$U,1,IlumaData!$N:$N,"&lt;&gt;")=0,"",SUMIFS(IlumaData!$N:$N,IlumaData!$V:$V,$R55,IlumaData!$U:$U,1))</f>
        <v/>
      </c>
      <c r="U55">
        <f>IF(COUNTIFS(IlumaData!$V:$V,$R55,IlumaData!$U:$U,2,IlumaData!$N:$N,"&lt;&gt;")=0,"",SUMIFS(IlumaData!$N:$N,IlumaData!$V:$V,$R55,IlumaData!$U:$U,2))</f>
        <v/>
      </c>
      <c r="V55">
        <f>IF(COUNTIFS(IlumaData!$V:$V,$R55,IlumaData!$U:$U,3,IlumaData!$N:$N,"&lt;&gt;")=0,"",SUMIFS(IlumaData!$N:$N,IlumaData!$V:$V,$R55,IlumaData!$U:$U,3))</f>
        <v/>
      </c>
      <c r="W55">
        <f>IF(COUNTIFS(IlumaData!$V:$V,$R55,IlumaData!$U:$U,4,IlumaData!$N:$N,"&lt;&gt;")=0,"",SUMIFS(IlumaData!$N:$N,IlumaData!$V:$V,$R55,IlumaData!$U:$U,4))</f>
        <v/>
      </c>
      <c r="X55">
        <f>IF(COUNTIFS(IlumaData!$V:$V,$R55,IlumaData!$U:$U,5,IlumaData!$N:$N,"&lt;&gt;")=0,"",SUMIFS(IlumaData!$N:$N,IlumaData!$V:$V,$R55,IlumaData!$U:$U,5))</f>
        <v/>
      </c>
      <c r="Y55">
        <f>IF(COUNTIFS(IlumaData!$V:$V,$R55,IlumaData!$U:$U,6,IlumaData!$N:$N,"&lt;&gt;")=0,"",SUMIFS(IlumaData!$N:$N,IlumaData!$V:$V,$R55,IlumaData!$U:$U,6))</f>
        <v/>
      </c>
      <c r="Z55">
        <f>IF(COUNTIFS(IlumaData!$V:$V,$R55,IlumaData!$U:$U,7,IlumaData!$N:$N,"&lt;&gt;")=0,"",SUMIFS(IlumaData!$N:$N,IlumaData!$V:$V,$R55,IlumaData!$U:$U,7))</f>
        <v/>
      </c>
      <c r="AA55">
        <f>IF(COUNTIFS(IlumaData!$V:$V,$R55,IlumaData!$U:$U,8,IlumaData!$N:$N,"&lt;&gt;")=0,"",SUMIFS(IlumaData!$N:$N,IlumaData!$V:$V,$R55,IlumaData!$U:$U,8))</f>
        <v/>
      </c>
      <c r="AB55">
        <f>IF(COUNTIFS(IlumaData!$V:$V,$R55,IlumaData!$U:$U,9,IlumaData!$N:$N,"&lt;&gt;")=0,"",SUMIFS(IlumaData!$N:$N,IlumaData!$V:$V,$R55,IlumaData!$U:$U,9))</f>
        <v/>
      </c>
      <c r="AC55">
        <f>IF(COUNTIFS(IlumaData!$V:$V,$R55,IlumaData!$U:$U,10,IlumaData!$N:$N,"&lt;&gt;")=0,"",SUMIFS(IlumaData!$N:$N,IlumaData!$V:$V,$R55,IlumaData!$U:$U,10))</f>
        <v/>
      </c>
      <c r="AD55">
        <f>IF(COUNTIFS(IlumaData!$V:$V,$R55,IlumaData!$U:$U,11,IlumaData!$N:$N,"&lt;&gt;")=0,"",SUMIFS(IlumaData!$N:$N,IlumaData!$V:$V,$R55,IlumaData!$U:$U,11))</f>
        <v/>
      </c>
      <c r="AE55">
        <f>IF(COUNTIFS(IlumaData!$V:$V,$R55,IlumaData!$U:$U,12,IlumaData!$N:$N,"&lt;&gt;")=0,"",SUMIFS(IlumaData!$N:$N,IlumaData!$V:$V,$R55,IlumaData!$U:$U,12))</f>
        <v/>
      </c>
      <c r="AF55">
        <f>IF(COUNTIFS(IlumaData!$V:$V,$R55,IlumaData!$U:$U,13,IlumaData!$N:$N,"&lt;&gt;")=0,"",SUMIFS(IlumaData!$N:$N,IlumaData!$V:$V,$R55,IlumaData!$U:$U,13))</f>
        <v/>
      </c>
      <c r="AG55">
        <f>IF(COUNTIFS(IlumaData!$V:$V,$R55,IlumaData!$U:$U,14,IlumaData!$N:$N,"&lt;&gt;")=0,"",SUMIFS(IlumaData!$N:$N,IlumaData!$V:$V,$R55,IlumaData!$U:$U,14))</f>
        <v/>
      </c>
      <c r="AH55">
        <f>COUNTIFS(IlumaData!$V:$V,$R55,IlumaData!$U:$U,"&lt;="&amp;14,IlumaData!$N:$N,"&lt;&gt;")</f>
        <v/>
      </c>
      <c r="AI55">
        <f>COUNTIFS(IlumaData!$V:$V,$R55,IlumaData!$U:$U,"&lt;="&amp;14,IlumaData!$N:$N,0)</f>
        <v/>
      </c>
      <c r="AJ55">
        <f>IF(AH55=0,"",AH55-AI55)</f>
        <v/>
      </c>
      <c r="AK55">
        <f>IF(AH55=0,"",SUMIFS(IlumaData!$N:$N,IlumaData!$V:$V,$R55,IlumaData!$U:$U,"&lt;="&amp;14))</f>
        <v/>
      </c>
      <c r="AL55">
        <f>IF(AH55=0,"",IF(ABS(MAX(T55:AG55))&gt;=ABS(MIN(T55:AG55)),MAX(T55:AG55),MIN(T55:AG55)))</f>
        <v/>
      </c>
      <c r="AM55">
        <f>IF(AH55=0,-1,AJ55*100000+MIN(ABS(AK55),99999))</f>
        <v/>
      </c>
      <c r="AN55">
        <f>IF($S55="","",1+COUNTIFS($AM$3:$AM$122,"&gt;"&amp;AM55)+COUNTIFS($AM$3:$AM$122,AM55,$R$3:$R$122,"&lt;"&amp;$R55))</f>
        <v/>
      </c>
    </row>
    <row r="56">
      <c r="A56" t="n">
        <v>54</v>
      </c>
      <c r="B56" s="31">
        <f>IFERROR(IF(INDEX(IlumaData!$B:$B,MATCH($A56,IlumaData!$U:$U,0))="","",INDEX(IlumaData!$B:$B,MATCH($A56,IlumaData!$U:$U,0))),"")</f>
        <v/>
      </c>
      <c r="C56">
        <f>IFERROR(IF(INDEX(IlumaData!$D:$D,MATCH($A56,IlumaData!$U:$U,0))="","",INDEX(IlumaData!$D:$D,MATCH($A56,IlumaData!$U:$U,0))),"")</f>
        <v/>
      </c>
      <c r="D56" s="31">
        <f>IFERROR(IF(INDEX(IlumaData!$O:$O,MATCH($A56,IlumaData!$U:$U,0))="","",INDEX(IlumaData!$O:$O,MATCH($A56,IlumaData!$U:$U,0))),"")</f>
        <v/>
      </c>
      <c r="E56">
        <f>COUNTIFS(IlumaData!$U:$U,$A56)</f>
        <v/>
      </c>
      <c r="F56">
        <f>COUNTIFS(IlumaData!$U:$U,$A56,IlumaData!$N:$N,"&lt;&gt;")</f>
        <v/>
      </c>
      <c r="G56">
        <f>COUNTIFS(IlumaData!$U:$U,$A56,IlumaData!$N:$N,0)</f>
        <v/>
      </c>
      <c r="H56">
        <f>IF($F56=0,"",$F56-$G56)</f>
        <v/>
      </c>
      <c r="I56">
        <f>IF($F56=0,"",SUMIFS(IlumaData!$N:$N,IlumaData!$U:$U,$A56))</f>
        <v/>
      </c>
      <c r="J56">
        <f>COUNTIFS(IlumaData!$U:$U,$A56,IlumaData!$Q:$Q,"&lt;&gt;")</f>
        <v/>
      </c>
      <c r="K56">
        <f>IF($J56=0,"",SUMIFS(IlumaData!$Q:$Q,IlumaData!$U:$U,$A56))</f>
        <v/>
      </c>
      <c r="L56">
        <f>COUNTIFS(IlumaData!$U:$U,$A56,IlumaData!$M:$M,"&lt;&gt;")</f>
        <v/>
      </c>
      <c r="M56">
        <f>IF($E56=0,"",IF($L56=0,"not loaded","loaded"))</f>
        <v/>
      </c>
      <c r="N56">
        <f>COUNTIFS(IlumaData!$U:$U,$A56,IlumaData!$I:$I,"&lt;&gt;")</f>
        <v/>
      </c>
      <c r="O56">
        <f>IF($E56=0,"",IF($L56=0,"No POS sales have been loaded for this date, so variance cannot be worked out. Import the sales report for this day and it fills in.",IF($N56=0,"This is the first count of these products, so there is no opening figure to sell down from. Variance starts from the next count.",IF($F56-$G56=0,"Physical and POS agree on every product.",($F56-$G56)&amp;" of "&amp;$F56&amp;" products disagree with the POS. Largest first below."))))</f>
        <v/>
      </c>
      <c r="R56" t="n">
        <v>54</v>
      </c>
      <c r="S56">
        <f>IFERROR(INDEX(IlumaData!$G:$G,MATCH($R56,IlumaData!$V:$V,0)),"")</f>
        <v/>
      </c>
      <c r="T56">
        <f>IF(COUNTIFS(IlumaData!$V:$V,$R56,IlumaData!$U:$U,1,IlumaData!$N:$N,"&lt;&gt;")=0,"",SUMIFS(IlumaData!$N:$N,IlumaData!$V:$V,$R56,IlumaData!$U:$U,1))</f>
        <v/>
      </c>
      <c r="U56">
        <f>IF(COUNTIFS(IlumaData!$V:$V,$R56,IlumaData!$U:$U,2,IlumaData!$N:$N,"&lt;&gt;")=0,"",SUMIFS(IlumaData!$N:$N,IlumaData!$V:$V,$R56,IlumaData!$U:$U,2))</f>
        <v/>
      </c>
      <c r="V56">
        <f>IF(COUNTIFS(IlumaData!$V:$V,$R56,IlumaData!$U:$U,3,IlumaData!$N:$N,"&lt;&gt;")=0,"",SUMIFS(IlumaData!$N:$N,IlumaData!$V:$V,$R56,IlumaData!$U:$U,3))</f>
        <v/>
      </c>
      <c r="W56">
        <f>IF(COUNTIFS(IlumaData!$V:$V,$R56,IlumaData!$U:$U,4,IlumaData!$N:$N,"&lt;&gt;")=0,"",SUMIFS(IlumaData!$N:$N,IlumaData!$V:$V,$R56,IlumaData!$U:$U,4))</f>
        <v/>
      </c>
      <c r="X56">
        <f>IF(COUNTIFS(IlumaData!$V:$V,$R56,IlumaData!$U:$U,5,IlumaData!$N:$N,"&lt;&gt;")=0,"",SUMIFS(IlumaData!$N:$N,IlumaData!$V:$V,$R56,IlumaData!$U:$U,5))</f>
        <v/>
      </c>
      <c r="Y56">
        <f>IF(COUNTIFS(IlumaData!$V:$V,$R56,IlumaData!$U:$U,6,IlumaData!$N:$N,"&lt;&gt;")=0,"",SUMIFS(IlumaData!$N:$N,IlumaData!$V:$V,$R56,IlumaData!$U:$U,6))</f>
        <v/>
      </c>
      <c r="Z56">
        <f>IF(COUNTIFS(IlumaData!$V:$V,$R56,IlumaData!$U:$U,7,IlumaData!$N:$N,"&lt;&gt;")=0,"",SUMIFS(IlumaData!$N:$N,IlumaData!$V:$V,$R56,IlumaData!$U:$U,7))</f>
        <v/>
      </c>
      <c r="AA56">
        <f>IF(COUNTIFS(IlumaData!$V:$V,$R56,IlumaData!$U:$U,8,IlumaData!$N:$N,"&lt;&gt;")=0,"",SUMIFS(IlumaData!$N:$N,IlumaData!$V:$V,$R56,IlumaData!$U:$U,8))</f>
        <v/>
      </c>
      <c r="AB56">
        <f>IF(COUNTIFS(IlumaData!$V:$V,$R56,IlumaData!$U:$U,9,IlumaData!$N:$N,"&lt;&gt;")=0,"",SUMIFS(IlumaData!$N:$N,IlumaData!$V:$V,$R56,IlumaData!$U:$U,9))</f>
        <v/>
      </c>
      <c r="AC56">
        <f>IF(COUNTIFS(IlumaData!$V:$V,$R56,IlumaData!$U:$U,10,IlumaData!$N:$N,"&lt;&gt;")=0,"",SUMIFS(IlumaData!$N:$N,IlumaData!$V:$V,$R56,IlumaData!$U:$U,10))</f>
        <v/>
      </c>
      <c r="AD56">
        <f>IF(COUNTIFS(IlumaData!$V:$V,$R56,IlumaData!$U:$U,11,IlumaData!$N:$N,"&lt;&gt;")=0,"",SUMIFS(IlumaData!$N:$N,IlumaData!$V:$V,$R56,IlumaData!$U:$U,11))</f>
        <v/>
      </c>
      <c r="AE56">
        <f>IF(COUNTIFS(IlumaData!$V:$V,$R56,IlumaData!$U:$U,12,IlumaData!$N:$N,"&lt;&gt;")=0,"",SUMIFS(IlumaData!$N:$N,IlumaData!$V:$V,$R56,IlumaData!$U:$U,12))</f>
        <v/>
      </c>
      <c r="AF56">
        <f>IF(COUNTIFS(IlumaData!$V:$V,$R56,IlumaData!$U:$U,13,IlumaData!$N:$N,"&lt;&gt;")=0,"",SUMIFS(IlumaData!$N:$N,IlumaData!$V:$V,$R56,IlumaData!$U:$U,13))</f>
        <v/>
      </c>
      <c r="AG56">
        <f>IF(COUNTIFS(IlumaData!$V:$V,$R56,IlumaData!$U:$U,14,IlumaData!$N:$N,"&lt;&gt;")=0,"",SUMIFS(IlumaData!$N:$N,IlumaData!$V:$V,$R56,IlumaData!$U:$U,14))</f>
        <v/>
      </c>
      <c r="AH56">
        <f>COUNTIFS(IlumaData!$V:$V,$R56,IlumaData!$U:$U,"&lt;="&amp;14,IlumaData!$N:$N,"&lt;&gt;")</f>
        <v/>
      </c>
      <c r="AI56">
        <f>COUNTIFS(IlumaData!$V:$V,$R56,IlumaData!$U:$U,"&lt;="&amp;14,IlumaData!$N:$N,0)</f>
        <v/>
      </c>
      <c r="AJ56">
        <f>IF(AH56=0,"",AH56-AI56)</f>
        <v/>
      </c>
      <c r="AK56">
        <f>IF(AH56=0,"",SUMIFS(IlumaData!$N:$N,IlumaData!$V:$V,$R56,IlumaData!$U:$U,"&lt;="&amp;14))</f>
        <v/>
      </c>
      <c r="AL56">
        <f>IF(AH56=0,"",IF(ABS(MAX(T56:AG56))&gt;=ABS(MIN(T56:AG56)),MAX(T56:AG56),MIN(T56:AG56)))</f>
        <v/>
      </c>
      <c r="AM56">
        <f>IF(AH56=0,-1,AJ56*100000+MIN(ABS(AK56),99999))</f>
        <v/>
      </c>
      <c r="AN56">
        <f>IF($S56="","",1+COUNTIFS($AM$3:$AM$122,"&gt;"&amp;AM56)+COUNTIFS($AM$3:$AM$122,AM56,$R$3:$R$122,"&lt;"&amp;$R56))</f>
        <v/>
      </c>
    </row>
    <row r="57">
      <c r="A57" t="n">
        <v>55</v>
      </c>
      <c r="B57" s="31">
        <f>IFERROR(IF(INDEX(IlumaData!$B:$B,MATCH($A57,IlumaData!$U:$U,0))="","",INDEX(IlumaData!$B:$B,MATCH($A57,IlumaData!$U:$U,0))),"")</f>
        <v/>
      </c>
      <c r="C57">
        <f>IFERROR(IF(INDEX(IlumaData!$D:$D,MATCH($A57,IlumaData!$U:$U,0))="","",INDEX(IlumaData!$D:$D,MATCH($A57,IlumaData!$U:$U,0))),"")</f>
        <v/>
      </c>
      <c r="D57" s="31">
        <f>IFERROR(IF(INDEX(IlumaData!$O:$O,MATCH($A57,IlumaData!$U:$U,0))="","",INDEX(IlumaData!$O:$O,MATCH($A57,IlumaData!$U:$U,0))),"")</f>
        <v/>
      </c>
      <c r="E57">
        <f>COUNTIFS(IlumaData!$U:$U,$A57)</f>
        <v/>
      </c>
      <c r="F57">
        <f>COUNTIFS(IlumaData!$U:$U,$A57,IlumaData!$N:$N,"&lt;&gt;")</f>
        <v/>
      </c>
      <c r="G57">
        <f>COUNTIFS(IlumaData!$U:$U,$A57,IlumaData!$N:$N,0)</f>
        <v/>
      </c>
      <c r="H57">
        <f>IF($F57=0,"",$F57-$G57)</f>
        <v/>
      </c>
      <c r="I57">
        <f>IF($F57=0,"",SUMIFS(IlumaData!$N:$N,IlumaData!$U:$U,$A57))</f>
        <v/>
      </c>
      <c r="J57">
        <f>COUNTIFS(IlumaData!$U:$U,$A57,IlumaData!$Q:$Q,"&lt;&gt;")</f>
        <v/>
      </c>
      <c r="K57">
        <f>IF($J57=0,"",SUMIFS(IlumaData!$Q:$Q,IlumaData!$U:$U,$A57))</f>
        <v/>
      </c>
      <c r="L57">
        <f>COUNTIFS(IlumaData!$U:$U,$A57,IlumaData!$M:$M,"&lt;&gt;")</f>
        <v/>
      </c>
      <c r="M57">
        <f>IF($E57=0,"",IF($L57=0,"not loaded","loaded"))</f>
        <v/>
      </c>
      <c r="N57">
        <f>COUNTIFS(IlumaData!$U:$U,$A57,IlumaData!$I:$I,"&lt;&gt;")</f>
        <v/>
      </c>
      <c r="O57">
        <f>IF($E57=0,"",IF($L57=0,"No POS sales have been loaded for this date, so variance cannot be worked out. Import the sales report for this day and it fills in.",IF($N57=0,"This is the first count of these products, so there is no opening figure to sell down from. Variance starts from the next count.",IF($F57-$G57=0,"Physical and POS agree on every product.",($F57-$G57)&amp;" of "&amp;$F57&amp;" products disagree with the POS. Largest first below."))))</f>
        <v/>
      </c>
      <c r="R57" t="n">
        <v>55</v>
      </c>
      <c r="S57">
        <f>IFERROR(INDEX(IlumaData!$G:$G,MATCH($R57,IlumaData!$V:$V,0)),"")</f>
        <v/>
      </c>
      <c r="T57">
        <f>IF(COUNTIFS(IlumaData!$V:$V,$R57,IlumaData!$U:$U,1,IlumaData!$N:$N,"&lt;&gt;")=0,"",SUMIFS(IlumaData!$N:$N,IlumaData!$V:$V,$R57,IlumaData!$U:$U,1))</f>
        <v/>
      </c>
      <c r="U57">
        <f>IF(COUNTIFS(IlumaData!$V:$V,$R57,IlumaData!$U:$U,2,IlumaData!$N:$N,"&lt;&gt;")=0,"",SUMIFS(IlumaData!$N:$N,IlumaData!$V:$V,$R57,IlumaData!$U:$U,2))</f>
        <v/>
      </c>
      <c r="V57">
        <f>IF(COUNTIFS(IlumaData!$V:$V,$R57,IlumaData!$U:$U,3,IlumaData!$N:$N,"&lt;&gt;")=0,"",SUMIFS(IlumaData!$N:$N,IlumaData!$V:$V,$R57,IlumaData!$U:$U,3))</f>
        <v/>
      </c>
      <c r="W57">
        <f>IF(COUNTIFS(IlumaData!$V:$V,$R57,IlumaData!$U:$U,4,IlumaData!$N:$N,"&lt;&gt;")=0,"",SUMIFS(IlumaData!$N:$N,IlumaData!$V:$V,$R57,IlumaData!$U:$U,4))</f>
        <v/>
      </c>
      <c r="X57">
        <f>IF(COUNTIFS(IlumaData!$V:$V,$R57,IlumaData!$U:$U,5,IlumaData!$N:$N,"&lt;&gt;")=0,"",SUMIFS(IlumaData!$N:$N,IlumaData!$V:$V,$R57,IlumaData!$U:$U,5))</f>
        <v/>
      </c>
      <c r="Y57">
        <f>IF(COUNTIFS(IlumaData!$V:$V,$R57,IlumaData!$U:$U,6,IlumaData!$N:$N,"&lt;&gt;")=0,"",SUMIFS(IlumaData!$N:$N,IlumaData!$V:$V,$R57,IlumaData!$U:$U,6))</f>
        <v/>
      </c>
      <c r="Z57">
        <f>IF(COUNTIFS(IlumaData!$V:$V,$R57,IlumaData!$U:$U,7,IlumaData!$N:$N,"&lt;&gt;")=0,"",SUMIFS(IlumaData!$N:$N,IlumaData!$V:$V,$R57,IlumaData!$U:$U,7))</f>
        <v/>
      </c>
      <c r="AA57">
        <f>IF(COUNTIFS(IlumaData!$V:$V,$R57,IlumaData!$U:$U,8,IlumaData!$N:$N,"&lt;&gt;")=0,"",SUMIFS(IlumaData!$N:$N,IlumaData!$V:$V,$R57,IlumaData!$U:$U,8))</f>
        <v/>
      </c>
      <c r="AB57">
        <f>IF(COUNTIFS(IlumaData!$V:$V,$R57,IlumaData!$U:$U,9,IlumaData!$N:$N,"&lt;&gt;")=0,"",SUMIFS(IlumaData!$N:$N,IlumaData!$V:$V,$R57,IlumaData!$U:$U,9))</f>
        <v/>
      </c>
      <c r="AC57">
        <f>IF(COUNTIFS(IlumaData!$V:$V,$R57,IlumaData!$U:$U,10,IlumaData!$N:$N,"&lt;&gt;")=0,"",SUMIFS(IlumaData!$N:$N,IlumaData!$V:$V,$R57,IlumaData!$U:$U,10))</f>
        <v/>
      </c>
      <c r="AD57">
        <f>IF(COUNTIFS(IlumaData!$V:$V,$R57,IlumaData!$U:$U,11,IlumaData!$N:$N,"&lt;&gt;")=0,"",SUMIFS(IlumaData!$N:$N,IlumaData!$V:$V,$R57,IlumaData!$U:$U,11))</f>
        <v/>
      </c>
      <c r="AE57">
        <f>IF(COUNTIFS(IlumaData!$V:$V,$R57,IlumaData!$U:$U,12,IlumaData!$N:$N,"&lt;&gt;")=0,"",SUMIFS(IlumaData!$N:$N,IlumaData!$V:$V,$R57,IlumaData!$U:$U,12))</f>
        <v/>
      </c>
      <c r="AF57">
        <f>IF(COUNTIFS(IlumaData!$V:$V,$R57,IlumaData!$U:$U,13,IlumaData!$N:$N,"&lt;&gt;")=0,"",SUMIFS(IlumaData!$N:$N,IlumaData!$V:$V,$R57,IlumaData!$U:$U,13))</f>
        <v/>
      </c>
      <c r="AG57">
        <f>IF(COUNTIFS(IlumaData!$V:$V,$R57,IlumaData!$U:$U,14,IlumaData!$N:$N,"&lt;&gt;")=0,"",SUMIFS(IlumaData!$N:$N,IlumaData!$V:$V,$R57,IlumaData!$U:$U,14))</f>
        <v/>
      </c>
      <c r="AH57">
        <f>COUNTIFS(IlumaData!$V:$V,$R57,IlumaData!$U:$U,"&lt;="&amp;14,IlumaData!$N:$N,"&lt;&gt;")</f>
        <v/>
      </c>
      <c r="AI57">
        <f>COUNTIFS(IlumaData!$V:$V,$R57,IlumaData!$U:$U,"&lt;="&amp;14,IlumaData!$N:$N,0)</f>
        <v/>
      </c>
      <c r="AJ57">
        <f>IF(AH57=0,"",AH57-AI57)</f>
        <v/>
      </c>
      <c r="AK57">
        <f>IF(AH57=0,"",SUMIFS(IlumaData!$N:$N,IlumaData!$V:$V,$R57,IlumaData!$U:$U,"&lt;="&amp;14))</f>
        <v/>
      </c>
      <c r="AL57">
        <f>IF(AH57=0,"",IF(ABS(MAX(T57:AG57))&gt;=ABS(MIN(T57:AG57)),MAX(T57:AG57),MIN(T57:AG57)))</f>
        <v/>
      </c>
      <c r="AM57">
        <f>IF(AH57=0,-1,AJ57*100000+MIN(ABS(AK57),99999))</f>
        <v/>
      </c>
      <c r="AN57">
        <f>IF($S57="","",1+COUNTIFS($AM$3:$AM$122,"&gt;"&amp;AM57)+COUNTIFS($AM$3:$AM$122,AM57,$R$3:$R$122,"&lt;"&amp;$R57))</f>
        <v/>
      </c>
    </row>
    <row r="58">
      <c r="A58" t="n">
        <v>56</v>
      </c>
      <c r="B58" s="31">
        <f>IFERROR(IF(INDEX(IlumaData!$B:$B,MATCH($A58,IlumaData!$U:$U,0))="","",INDEX(IlumaData!$B:$B,MATCH($A58,IlumaData!$U:$U,0))),"")</f>
        <v/>
      </c>
      <c r="C58">
        <f>IFERROR(IF(INDEX(IlumaData!$D:$D,MATCH($A58,IlumaData!$U:$U,0))="","",INDEX(IlumaData!$D:$D,MATCH($A58,IlumaData!$U:$U,0))),"")</f>
        <v/>
      </c>
      <c r="D58" s="31">
        <f>IFERROR(IF(INDEX(IlumaData!$O:$O,MATCH($A58,IlumaData!$U:$U,0))="","",INDEX(IlumaData!$O:$O,MATCH($A58,IlumaData!$U:$U,0))),"")</f>
        <v/>
      </c>
      <c r="E58">
        <f>COUNTIFS(IlumaData!$U:$U,$A58)</f>
        <v/>
      </c>
      <c r="F58">
        <f>COUNTIFS(IlumaData!$U:$U,$A58,IlumaData!$N:$N,"&lt;&gt;")</f>
        <v/>
      </c>
      <c r="G58">
        <f>COUNTIFS(IlumaData!$U:$U,$A58,IlumaData!$N:$N,0)</f>
        <v/>
      </c>
      <c r="H58">
        <f>IF($F58=0,"",$F58-$G58)</f>
        <v/>
      </c>
      <c r="I58">
        <f>IF($F58=0,"",SUMIFS(IlumaData!$N:$N,IlumaData!$U:$U,$A58))</f>
        <v/>
      </c>
      <c r="J58">
        <f>COUNTIFS(IlumaData!$U:$U,$A58,IlumaData!$Q:$Q,"&lt;&gt;")</f>
        <v/>
      </c>
      <c r="K58">
        <f>IF($J58=0,"",SUMIFS(IlumaData!$Q:$Q,IlumaData!$U:$U,$A58))</f>
        <v/>
      </c>
      <c r="L58">
        <f>COUNTIFS(IlumaData!$U:$U,$A58,IlumaData!$M:$M,"&lt;&gt;")</f>
        <v/>
      </c>
      <c r="M58">
        <f>IF($E58=0,"",IF($L58=0,"not loaded","loaded"))</f>
        <v/>
      </c>
      <c r="N58">
        <f>COUNTIFS(IlumaData!$U:$U,$A58,IlumaData!$I:$I,"&lt;&gt;")</f>
        <v/>
      </c>
      <c r="O58">
        <f>IF($E58=0,"",IF($L58=0,"No POS sales have been loaded for this date, so variance cannot be worked out. Import the sales report for this day and it fills in.",IF($N58=0,"This is the first count of these products, so there is no opening figure to sell down from. Variance starts from the next count.",IF($F58-$G58=0,"Physical and POS agree on every product.",($F58-$G58)&amp;" of "&amp;$F58&amp;" products disagree with the POS. Largest first below."))))</f>
        <v/>
      </c>
      <c r="R58" t="n">
        <v>56</v>
      </c>
      <c r="S58">
        <f>IFERROR(INDEX(IlumaData!$G:$G,MATCH($R58,IlumaData!$V:$V,0)),"")</f>
        <v/>
      </c>
      <c r="T58">
        <f>IF(COUNTIFS(IlumaData!$V:$V,$R58,IlumaData!$U:$U,1,IlumaData!$N:$N,"&lt;&gt;")=0,"",SUMIFS(IlumaData!$N:$N,IlumaData!$V:$V,$R58,IlumaData!$U:$U,1))</f>
        <v/>
      </c>
      <c r="U58">
        <f>IF(COUNTIFS(IlumaData!$V:$V,$R58,IlumaData!$U:$U,2,IlumaData!$N:$N,"&lt;&gt;")=0,"",SUMIFS(IlumaData!$N:$N,IlumaData!$V:$V,$R58,IlumaData!$U:$U,2))</f>
        <v/>
      </c>
      <c r="V58">
        <f>IF(COUNTIFS(IlumaData!$V:$V,$R58,IlumaData!$U:$U,3,IlumaData!$N:$N,"&lt;&gt;")=0,"",SUMIFS(IlumaData!$N:$N,IlumaData!$V:$V,$R58,IlumaData!$U:$U,3))</f>
        <v/>
      </c>
      <c r="W58">
        <f>IF(COUNTIFS(IlumaData!$V:$V,$R58,IlumaData!$U:$U,4,IlumaData!$N:$N,"&lt;&gt;")=0,"",SUMIFS(IlumaData!$N:$N,IlumaData!$V:$V,$R58,IlumaData!$U:$U,4))</f>
        <v/>
      </c>
      <c r="X58">
        <f>IF(COUNTIFS(IlumaData!$V:$V,$R58,IlumaData!$U:$U,5,IlumaData!$N:$N,"&lt;&gt;")=0,"",SUMIFS(IlumaData!$N:$N,IlumaData!$V:$V,$R58,IlumaData!$U:$U,5))</f>
        <v/>
      </c>
      <c r="Y58">
        <f>IF(COUNTIFS(IlumaData!$V:$V,$R58,IlumaData!$U:$U,6,IlumaData!$N:$N,"&lt;&gt;")=0,"",SUMIFS(IlumaData!$N:$N,IlumaData!$V:$V,$R58,IlumaData!$U:$U,6))</f>
        <v/>
      </c>
      <c r="Z58">
        <f>IF(COUNTIFS(IlumaData!$V:$V,$R58,IlumaData!$U:$U,7,IlumaData!$N:$N,"&lt;&gt;")=0,"",SUMIFS(IlumaData!$N:$N,IlumaData!$V:$V,$R58,IlumaData!$U:$U,7))</f>
        <v/>
      </c>
      <c r="AA58">
        <f>IF(COUNTIFS(IlumaData!$V:$V,$R58,IlumaData!$U:$U,8,IlumaData!$N:$N,"&lt;&gt;")=0,"",SUMIFS(IlumaData!$N:$N,IlumaData!$V:$V,$R58,IlumaData!$U:$U,8))</f>
        <v/>
      </c>
      <c r="AB58">
        <f>IF(COUNTIFS(IlumaData!$V:$V,$R58,IlumaData!$U:$U,9,IlumaData!$N:$N,"&lt;&gt;")=0,"",SUMIFS(IlumaData!$N:$N,IlumaData!$V:$V,$R58,IlumaData!$U:$U,9))</f>
        <v/>
      </c>
      <c r="AC58">
        <f>IF(COUNTIFS(IlumaData!$V:$V,$R58,IlumaData!$U:$U,10,IlumaData!$N:$N,"&lt;&gt;")=0,"",SUMIFS(IlumaData!$N:$N,IlumaData!$V:$V,$R58,IlumaData!$U:$U,10))</f>
        <v/>
      </c>
      <c r="AD58">
        <f>IF(COUNTIFS(IlumaData!$V:$V,$R58,IlumaData!$U:$U,11,IlumaData!$N:$N,"&lt;&gt;")=0,"",SUMIFS(IlumaData!$N:$N,IlumaData!$V:$V,$R58,IlumaData!$U:$U,11))</f>
        <v/>
      </c>
      <c r="AE58">
        <f>IF(COUNTIFS(IlumaData!$V:$V,$R58,IlumaData!$U:$U,12,IlumaData!$N:$N,"&lt;&gt;")=0,"",SUMIFS(IlumaData!$N:$N,IlumaData!$V:$V,$R58,IlumaData!$U:$U,12))</f>
        <v/>
      </c>
      <c r="AF58">
        <f>IF(COUNTIFS(IlumaData!$V:$V,$R58,IlumaData!$U:$U,13,IlumaData!$N:$N,"&lt;&gt;")=0,"",SUMIFS(IlumaData!$N:$N,IlumaData!$V:$V,$R58,IlumaData!$U:$U,13))</f>
        <v/>
      </c>
      <c r="AG58">
        <f>IF(COUNTIFS(IlumaData!$V:$V,$R58,IlumaData!$U:$U,14,IlumaData!$N:$N,"&lt;&gt;")=0,"",SUMIFS(IlumaData!$N:$N,IlumaData!$V:$V,$R58,IlumaData!$U:$U,14))</f>
        <v/>
      </c>
      <c r="AH58">
        <f>COUNTIFS(IlumaData!$V:$V,$R58,IlumaData!$U:$U,"&lt;="&amp;14,IlumaData!$N:$N,"&lt;&gt;")</f>
        <v/>
      </c>
      <c r="AI58">
        <f>COUNTIFS(IlumaData!$V:$V,$R58,IlumaData!$U:$U,"&lt;="&amp;14,IlumaData!$N:$N,0)</f>
        <v/>
      </c>
      <c r="AJ58">
        <f>IF(AH58=0,"",AH58-AI58)</f>
        <v/>
      </c>
      <c r="AK58">
        <f>IF(AH58=0,"",SUMIFS(IlumaData!$N:$N,IlumaData!$V:$V,$R58,IlumaData!$U:$U,"&lt;="&amp;14))</f>
        <v/>
      </c>
      <c r="AL58">
        <f>IF(AH58=0,"",IF(ABS(MAX(T58:AG58))&gt;=ABS(MIN(T58:AG58)),MAX(T58:AG58),MIN(T58:AG58)))</f>
        <v/>
      </c>
      <c r="AM58">
        <f>IF(AH58=0,-1,AJ58*100000+MIN(ABS(AK58),99999))</f>
        <v/>
      </c>
      <c r="AN58">
        <f>IF($S58="","",1+COUNTIFS($AM$3:$AM$122,"&gt;"&amp;AM58)+COUNTIFS($AM$3:$AM$122,AM58,$R$3:$R$122,"&lt;"&amp;$R58))</f>
        <v/>
      </c>
    </row>
    <row r="59">
      <c r="A59" t="n">
        <v>57</v>
      </c>
      <c r="B59" s="31">
        <f>IFERROR(IF(INDEX(IlumaData!$B:$B,MATCH($A59,IlumaData!$U:$U,0))="","",INDEX(IlumaData!$B:$B,MATCH($A59,IlumaData!$U:$U,0))),"")</f>
        <v/>
      </c>
      <c r="C59">
        <f>IFERROR(IF(INDEX(IlumaData!$D:$D,MATCH($A59,IlumaData!$U:$U,0))="","",INDEX(IlumaData!$D:$D,MATCH($A59,IlumaData!$U:$U,0))),"")</f>
        <v/>
      </c>
      <c r="D59" s="31">
        <f>IFERROR(IF(INDEX(IlumaData!$O:$O,MATCH($A59,IlumaData!$U:$U,0))="","",INDEX(IlumaData!$O:$O,MATCH($A59,IlumaData!$U:$U,0))),"")</f>
        <v/>
      </c>
      <c r="E59">
        <f>COUNTIFS(IlumaData!$U:$U,$A59)</f>
        <v/>
      </c>
      <c r="F59">
        <f>COUNTIFS(IlumaData!$U:$U,$A59,IlumaData!$N:$N,"&lt;&gt;")</f>
        <v/>
      </c>
      <c r="G59">
        <f>COUNTIFS(IlumaData!$U:$U,$A59,IlumaData!$N:$N,0)</f>
        <v/>
      </c>
      <c r="H59">
        <f>IF($F59=0,"",$F59-$G59)</f>
        <v/>
      </c>
      <c r="I59">
        <f>IF($F59=0,"",SUMIFS(IlumaData!$N:$N,IlumaData!$U:$U,$A59))</f>
        <v/>
      </c>
      <c r="J59">
        <f>COUNTIFS(IlumaData!$U:$U,$A59,IlumaData!$Q:$Q,"&lt;&gt;")</f>
        <v/>
      </c>
      <c r="K59">
        <f>IF($J59=0,"",SUMIFS(IlumaData!$Q:$Q,IlumaData!$U:$U,$A59))</f>
        <v/>
      </c>
      <c r="L59">
        <f>COUNTIFS(IlumaData!$U:$U,$A59,IlumaData!$M:$M,"&lt;&gt;")</f>
        <v/>
      </c>
      <c r="M59">
        <f>IF($E59=0,"",IF($L59=0,"not loaded","loaded"))</f>
        <v/>
      </c>
      <c r="N59">
        <f>COUNTIFS(IlumaData!$U:$U,$A59,IlumaData!$I:$I,"&lt;&gt;")</f>
        <v/>
      </c>
      <c r="O59">
        <f>IF($E59=0,"",IF($L59=0,"No POS sales have been loaded for this date, so variance cannot be worked out. Import the sales report for this day and it fills in.",IF($N59=0,"This is the first count of these products, so there is no opening figure to sell down from. Variance starts from the next count.",IF($F59-$G59=0,"Physical and POS agree on every product.",($F59-$G59)&amp;" of "&amp;$F59&amp;" products disagree with the POS. Largest first below."))))</f>
        <v/>
      </c>
      <c r="R59" t="n">
        <v>57</v>
      </c>
      <c r="S59">
        <f>IFERROR(INDEX(IlumaData!$G:$G,MATCH($R59,IlumaData!$V:$V,0)),"")</f>
        <v/>
      </c>
      <c r="T59">
        <f>IF(COUNTIFS(IlumaData!$V:$V,$R59,IlumaData!$U:$U,1,IlumaData!$N:$N,"&lt;&gt;")=0,"",SUMIFS(IlumaData!$N:$N,IlumaData!$V:$V,$R59,IlumaData!$U:$U,1))</f>
        <v/>
      </c>
      <c r="U59">
        <f>IF(COUNTIFS(IlumaData!$V:$V,$R59,IlumaData!$U:$U,2,IlumaData!$N:$N,"&lt;&gt;")=0,"",SUMIFS(IlumaData!$N:$N,IlumaData!$V:$V,$R59,IlumaData!$U:$U,2))</f>
        <v/>
      </c>
      <c r="V59">
        <f>IF(COUNTIFS(IlumaData!$V:$V,$R59,IlumaData!$U:$U,3,IlumaData!$N:$N,"&lt;&gt;")=0,"",SUMIFS(IlumaData!$N:$N,IlumaData!$V:$V,$R59,IlumaData!$U:$U,3))</f>
        <v/>
      </c>
      <c r="W59">
        <f>IF(COUNTIFS(IlumaData!$V:$V,$R59,IlumaData!$U:$U,4,IlumaData!$N:$N,"&lt;&gt;")=0,"",SUMIFS(IlumaData!$N:$N,IlumaData!$V:$V,$R59,IlumaData!$U:$U,4))</f>
        <v/>
      </c>
      <c r="X59">
        <f>IF(COUNTIFS(IlumaData!$V:$V,$R59,IlumaData!$U:$U,5,IlumaData!$N:$N,"&lt;&gt;")=0,"",SUMIFS(IlumaData!$N:$N,IlumaData!$V:$V,$R59,IlumaData!$U:$U,5))</f>
        <v/>
      </c>
      <c r="Y59">
        <f>IF(COUNTIFS(IlumaData!$V:$V,$R59,IlumaData!$U:$U,6,IlumaData!$N:$N,"&lt;&gt;")=0,"",SUMIFS(IlumaData!$N:$N,IlumaData!$V:$V,$R59,IlumaData!$U:$U,6))</f>
        <v/>
      </c>
      <c r="Z59">
        <f>IF(COUNTIFS(IlumaData!$V:$V,$R59,IlumaData!$U:$U,7,IlumaData!$N:$N,"&lt;&gt;")=0,"",SUMIFS(IlumaData!$N:$N,IlumaData!$V:$V,$R59,IlumaData!$U:$U,7))</f>
        <v/>
      </c>
      <c r="AA59">
        <f>IF(COUNTIFS(IlumaData!$V:$V,$R59,IlumaData!$U:$U,8,IlumaData!$N:$N,"&lt;&gt;")=0,"",SUMIFS(IlumaData!$N:$N,IlumaData!$V:$V,$R59,IlumaData!$U:$U,8))</f>
        <v/>
      </c>
      <c r="AB59">
        <f>IF(COUNTIFS(IlumaData!$V:$V,$R59,IlumaData!$U:$U,9,IlumaData!$N:$N,"&lt;&gt;")=0,"",SUMIFS(IlumaData!$N:$N,IlumaData!$V:$V,$R59,IlumaData!$U:$U,9))</f>
        <v/>
      </c>
      <c r="AC59">
        <f>IF(COUNTIFS(IlumaData!$V:$V,$R59,IlumaData!$U:$U,10,IlumaData!$N:$N,"&lt;&gt;")=0,"",SUMIFS(IlumaData!$N:$N,IlumaData!$V:$V,$R59,IlumaData!$U:$U,10))</f>
        <v/>
      </c>
      <c r="AD59">
        <f>IF(COUNTIFS(IlumaData!$V:$V,$R59,IlumaData!$U:$U,11,IlumaData!$N:$N,"&lt;&gt;")=0,"",SUMIFS(IlumaData!$N:$N,IlumaData!$V:$V,$R59,IlumaData!$U:$U,11))</f>
        <v/>
      </c>
      <c r="AE59">
        <f>IF(COUNTIFS(IlumaData!$V:$V,$R59,IlumaData!$U:$U,12,IlumaData!$N:$N,"&lt;&gt;")=0,"",SUMIFS(IlumaData!$N:$N,IlumaData!$V:$V,$R59,IlumaData!$U:$U,12))</f>
        <v/>
      </c>
      <c r="AF59">
        <f>IF(COUNTIFS(IlumaData!$V:$V,$R59,IlumaData!$U:$U,13,IlumaData!$N:$N,"&lt;&gt;")=0,"",SUMIFS(IlumaData!$N:$N,IlumaData!$V:$V,$R59,IlumaData!$U:$U,13))</f>
        <v/>
      </c>
      <c r="AG59">
        <f>IF(COUNTIFS(IlumaData!$V:$V,$R59,IlumaData!$U:$U,14,IlumaData!$N:$N,"&lt;&gt;")=0,"",SUMIFS(IlumaData!$N:$N,IlumaData!$V:$V,$R59,IlumaData!$U:$U,14))</f>
        <v/>
      </c>
      <c r="AH59">
        <f>COUNTIFS(IlumaData!$V:$V,$R59,IlumaData!$U:$U,"&lt;="&amp;14,IlumaData!$N:$N,"&lt;&gt;")</f>
        <v/>
      </c>
      <c r="AI59">
        <f>COUNTIFS(IlumaData!$V:$V,$R59,IlumaData!$U:$U,"&lt;="&amp;14,IlumaData!$N:$N,0)</f>
        <v/>
      </c>
      <c r="AJ59">
        <f>IF(AH59=0,"",AH59-AI59)</f>
        <v/>
      </c>
      <c r="AK59">
        <f>IF(AH59=0,"",SUMIFS(IlumaData!$N:$N,IlumaData!$V:$V,$R59,IlumaData!$U:$U,"&lt;="&amp;14))</f>
        <v/>
      </c>
      <c r="AL59">
        <f>IF(AH59=0,"",IF(ABS(MAX(T59:AG59))&gt;=ABS(MIN(T59:AG59)),MAX(T59:AG59),MIN(T59:AG59)))</f>
        <v/>
      </c>
      <c r="AM59">
        <f>IF(AH59=0,-1,AJ59*100000+MIN(ABS(AK59),99999))</f>
        <v/>
      </c>
      <c r="AN59">
        <f>IF($S59="","",1+COUNTIFS($AM$3:$AM$122,"&gt;"&amp;AM59)+COUNTIFS($AM$3:$AM$122,AM59,$R$3:$R$122,"&lt;"&amp;$R59))</f>
        <v/>
      </c>
    </row>
    <row r="60">
      <c r="A60" t="n">
        <v>58</v>
      </c>
      <c r="B60" s="31">
        <f>IFERROR(IF(INDEX(IlumaData!$B:$B,MATCH($A60,IlumaData!$U:$U,0))="","",INDEX(IlumaData!$B:$B,MATCH($A60,IlumaData!$U:$U,0))),"")</f>
        <v/>
      </c>
      <c r="C60">
        <f>IFERROR(IF(INDEX(IlumaData!$D:$D,MATCH($A60,IlumaData!$U:$U,0))="","",INDEX(IlumaData!$D:$D,MATCH($A60,IlumaData!$U:$U,0))),"")</f>
        <v/>
      </c>
      <c r="D60" s="31">
        <f>IFERROR(IF(INDEX(IlumaData!$O:$O,MATCH($A60,IlumaData!$U:$U,0))="","",INDEX(IlumaData!$O:$O,MATCH($A60,IlumaData!$U:$U,0))),"")</f>
        <v/>
      </c>
      <c r="E60">
        <f>COUNTIFS(IlumaData!$U:$U,$A60)</f>
        <v/>
      </c>
      <c r="F60">
        <f>COUNTIFS(IlumaData!$U:$U,$A60,IlumaData!$N:$N,"&lt;&gt;")</f>
        <v/>
      </c>
      <c r="G60">
        <f>COUNTIFS(IlumaData!$U:$U,$A60,IlumaData!$N:$N,0)</f>
        <v/>
      </c>
      <c r="H60">
        <f>IF($F60=0,"",$F60-$G60)</f>
        <v/>
      </c>
      <c r="I60">
        <f>IF($F60=0,"",SUMIFS(IlumaData!$N:$N,IlumaData!$U:$U,$A60))</f>
        <v/>
      </c>
      <c r="J60">
        <f>COUNTIFS(IlumaData!$U:$U,$A60,IlumaData!$Q:$Q,"&lt;&gt;")</f>
        <v/>
      </c>
      <c r="K60">
        <f>IF($J60=0,"",SUMIFS(IlumaData!$Q:$Q,IlumaData!$U:$U,$A60))</f>
        <v/>
      </c>
      <c r="L60">
        <f>COUNTIFS(IlumaData!$U:$U,$A60,IlumaData!$M:$M,"&lt;&gt;")</f>
        <v/>
      </c>
      <c r="M60">
        <f>IF($E60=0,"",IF($L60=0,"not loaded","loaded"))</f>
        <v/>
      </c>
      <c r="N60">
        <f>COUNTIFS(IlumaData!$U:$U,$A60,IlumaData!$I:$I,"&lt;&gt;")</f>
        <v/>
      </c>
      <c r="O60">
        <f>IF($E60=0,"",IF($L60=0,"No POS sales have been loaded for this date, so variance cannot be worked out. Import the sales report for this day and it fills in.",IF($N60=0,"This is the first count of these products, so there is no opening figure to sell down from. Variance starts from the next count.",IF($F60-$G60=0,"Physical and POS agree on every product.",($F60-$G60)&amp;" of "&amp;$F60&amp;" products disagree with the POS. Largest first below."))))</f>
        <v/>
      </c>
      <c r="R60" t="n">
        <v>58</v>
      </c>
      <c r="S60">
        <f>IFERROR(INDEX(IlumaData!$G:$G,MATCH($R60,IlumaData!$V:$V,0)),"")</f>
        <v/>
      </c>
      <c r="T60">
        <f>IF(COUNTIFS(IlumaData!$V:$V,$R60,IlumaData!$U:$U,1,IlumaData!$N:$N,"&lt;&gt;")=0,"",SUMIFS(IlumaData!$N:$N,IlumaData!$V:$V,$R60,IlumaData!$U:$U,1))</f>
        <v/>
      </c>
      <c r="U60">
        <f>IF(COUNTIFS(IlumaData!$V:$V,$R60,IlumaData!$U:$U,2,IlumaData!$N:$N,"&lt;&gt;")=0,"",SUMIFS(IlumaData!$N:$N,IlumaData!$V:$V,$R60,IlumaData!$U:$U,2))</f>
        <v/>
      </c>
      <c r="V60">
        <f>IF(COUNTIFS(IlumaData!$V:$V,$R60,IlumaData!$U:$U,3,IlumaData!$N:$N,"&lt;&gt;")=0,"",SUMIFS(IlumaData!$N:$N,IlumaData!$V:$V,$R60,IlumaData!$U:$U,3))</f>
        <v/>
      </c>
      <c r="W60">
        <f>IF(COUNTIFS(IlumaData!$V:$V,$R60,IlumaData!$U:$U,4,IlumaData!$N:$N,"&lt;&gt;")=0,"",SUMIFS(IlumaData!$N:$N,IlumaData!$V:$V,$R60,IlumaData!$U:$U,4))</f>
        <v/>
      </c>
      <c r="X60">
        <f>IF(COUNTIFS(IlumaData!$V:$V,$R60,IlumaData!$U:$U,5,IlumaData!$N:$N,"&lt;&gt;")=0,"",SUMIFS(IlumaData!$N:$N,IlumaData!$V:$V,$R60,IlumaData!$U:$U,5))</f>
        <v/>
      </c>
      <c r="Y60">
        <f>IF(COUNTIFS(IlumaData!$V:$V,$R60,IlumaData!$U:$U,6,IlumaData!$N:$N,"&lt;&gt;")=0,"",SUMIFS(IlumaData!$N:$N,IlumaData!$V:$V,$R60,IlumaData!$U:$U,6))</f>
        <v/>
      </c>
      <c r="Z60">
        <f>IF(COUNTIFS(IlumaData!$V:$V,$R60,IlumaData!$U:$U,7,IlumaData!$N:$N,"&lt;&gt;")=0,"",SUMIFS(IlumaData!$N:$N,IlumaData!$V:$V,$R60,IlumaData!$U:$U,7))</f>
        <v/>
      </c>
      <c r="AA60">
        <f>IF(COUNTIFS(IlumaData!$V:$V,$R60,IlumaData!$U:$U,8,IlumaData!$N:$N,"&lt;&gt;")=0,"",SUMIFS(IlumaData!$N:$N,IlumaData!$V:$V,$R60,IlumaData!$U:$U,8))</f>
        <v/>
      </c>
      <c r="AB60">
        <f>IF(COUNTIFS(IlumaData!$V:$V,$R60,IlumaData!$U:$U,9,IlumaData!$N:$N,"&lt;&gt;")=0,"",SUMIFS(IlumaData!$N:$N,IlumaData!$V:$V,$R60,IlumaData!$U:$U,9))</f>
        <v/>
      </c>
      <c r="AC60">
        <f>IF(COUNTIFS(IlumaData!$V:$V,$R60,IlumaData!$U:$U,10,IlumaData!$N:$N,"&lt;&gt;")=0,"",SUMIFS(IlumaData!$N:$N,IlumaData!$V:$V,$R60,IlumaData!$U:$U,10))</f>
        <v/>
      </c>
      <c r="AD60">
        <f>IF(COUNTIFS(IlumaData!$V:$V,$R60,IlumaData!$U:$U,11,IlumaData!$N:$N,"&lt;&gt;")=0,"",SUMIFS(IlumaData!$N:$N,IlumaData!$V:$V,$R60,IlumaData!$U:$U,11))</f>
        <v/>
      </c>
      <c r="AE60">
        <f>IF(COUNTIFS(IlumaData!$V:$V,$R60,IlumaData!$U:$U,12,IlumaData!$N:$N,"&lt;&gt;")=0,"",SUMIFS(IlumaData!$N:$N,IlumaData!$V:$V,$R60,IlumaData!$U:$U,12))</f>
        <v/>
      </c>
      <c r="AF60">
        <f>IF(COUNTIFS(IlumaData!$V:$V,$R60,IlumaData!$U:$U,13,IlumaData!$N:$N,"&lt;&gt;")=0,"",SUMIFS(IlumaData!$N:$N,IlumaData!$V:$V,$R60,IlumaData!$U:$U,13))</f>
        <v/>
      </c>
      <c r="AG60">
        <f>IF(COUNTIFS(IlumaData!$V:$V,$R60,IlumaData!$U:$U,14,IlumaData!$N:$N,"&lt;&gt;")=0,"",SUMIFS(IlumaData!$N:$N,IlumaData!$V:$V,$R60,IlumaData!$U:$U,14))</f>
        <v/>
      </c>
      <c r="AH60">
        <f>COUNTIFS(IlumaData!$V:$V,$R60,IlumaData!$U:$U,"&lt;="&amp;14,IlumaData!$N:$N,"&lt;&gt;")</f>
        <v/>
      </c>
      <c r="AI60">
        <f>COUNTIFS(IlumaData!$V:$V,$R60,IlumaData!$U:$U,"&lt;="&amp;14,IlumaData!$N:$N,0)</f>
        <v/>
      </c>
      <c r="AJ60">
        <f>IF(AH60=0,"",AH60-AI60)</f>
        <v/>
      </c>
      <c r="AK60">
        <f>IF(AH60=0,"",SUMIFS(IlumaData!$N:$N,IlumaData!$V:$V,$R60,IlumaData!$U:$U,"&lt;="&amp;14))</f>
        <v/>
      </c>
      <c r="AL60">
        <f>IF(AH60=0,"",IF(ABS(MAX(T60:AG60))&gt;=ABS(MIN(T60:AG60)),MAX(T60:AG60),MIN(T60:AG60)))</f>
        <v/>
      </c>
      <c r="AM60">
        <f>IF(AH60=0,-1,AJ60*100000+MIN(ABS(AK60),99999))</f>
        <v/>
      </c>
      <c r="AN60">
        <f>IF($S60="","",1+COUNTIFS($AM$3:$AM$122,"&gt;"&amp;AM60)+COUNTIFS($AM$3:$AM$122,AM60,$R$3:$R$122,"&lt;"&amp;$R60))</f>
        <v/>
      </c>
    </row>
    <row r="61">
      <c r="A61" t="n">
        <v>59</v>
      </c>
      <c r="B61" s="31">
        <f>IFERROR(IF(INDEX(IlumaData!$B:$B,MATCH($A61,IlumaData!$U:$U,0))="","",INDEX(IlumaData!$B:$B,MATCH($A61,IlumaData!$U:$U,0))),"")</f>
        <v/>
      </c>
      <c r="C61">
        <f>IFERROR(IF(INDEX(IlumaData!$D:$D,MATCH($A61,IlumaData!$U:$U,0))="","",INDEX(IlumaData!$D:$D,MATCH($A61,IlumaData!$U:$U,0))),"")</f>
        <v/>
      </c>
      <c r="D61" s="31">
        <f>IFERROR(IF(INDEX(IlumaData!$O:$O,MATCH($A61,IlumaData!$U:$U,0))="","",INDEX(IlumaData!$O:$O,MATCH($A61,IlumaData!$U:$U,0))),"")</f>
        <v/>
      </c>
      <c r="E61">
        <f>COUNTIFS(IlumaData!$U:$U,$A61)</f>
        <v/>
      </c>
      <c r="F61">
        <f>COUNTIFS(IlumaData!$U:$U,$A61,IlumaData!$N:$N,"&lt;&gt;")</f>
        <v/>
      </c>
      <c r="G61">
        <f>COUNTIFS(IlumaData!$U:$U,$A61,IlumaData!$N:$N,0)</f>
        <v/>
      </c>
      <c r="H61">
        <f>IF($F61=0,"",$F61-$G61)</f>
        <v/>
      </c>
      <c r="I61">
        <f>IF($F61=0,"",SUMIFS(IlumaData!$N:$N,IlumaData!$U:$U,$A61))</f>
        <v/>
      </c>
      <c r="J61">
        <f>COUNTIFS(IlumaData!$U:$U,$A61,IlumaData!$Q:$Q,"&lt;&gt;")</f>
        <v/>
      </c>
      <c r="K61">
        <f>IF($J61=0,"",SUMIFS(IlumaData!$Q:$Q,IlumaData!$U:$U,$A61))</f>
        <v/>
      </c>
      <c r="L61">
        <f>COUNTIFS(IlumaData!$U:$U,$A61,IlumaData!$M:$M,"&lt;&gt;")</f>
        <v/>
      </c>
      <c r="M61">
        <f>IF($E61=0,"",IF($L61=0,"not loaded","loaded"))</f>
        <v/>
      </c>
      <c r="N61">
        <f>COUNTIFS(IlumaData!$U:$U,$A61,IlumaData!$I:$I,"&lt;&gt;")</f>
        <v/>
      </c>
      <c r="O61">
        <f>IF($E61=0,"",IF($L61=0,"No POS sales have been loaded for this date, so variance cannot be worked out. Import the sales report for this day and it fills in.",IF($N61=0,"This is the first count of these products, so there is no opening figure to sell down from. Variance starts from the next count.",IF($F61-$G61=0,"Physical and POS agree on every product.",($F61-$G61)&amp;" of "&amp;$F61&amp;" products disagree with the POS. Largest first below."))))</f>
        <v/>
      </c>
      <c r="R61" t="n">
        <v>59</v>
      </c>
      <c r="S61">
        <f>IFERROR(INDEX(IlumaData!$G:$G,MATCH($R61,IlumaData!$V:$V,0)),"")</f>
        <v/>
      </c>
      <c r="T61">
        <f>IF(COUNTIFS(IlumaData!$V:$V,$R61,IlumaData!$U:$U,1,IlumaData!$N:$N,"&lt;&gt;")=0,"",SUMIFS(IlumaData!$N:$N,IlumaData!$V:$V,$R61,IlumaData!$U:$U,1))</f>
        <v/>
      </c>
      <c r="U61">
        <f>IF(COUNTIFS(IlumaData!$V:$V,$R61,IlumaData!$U:$U,2,IlumaData!$N:$N,"&lt;&gt;")=0,"",SUMIFS(IlumaData!$N:$N,IlumaData!$V:$V,$R61,IlumaData!$U:$U,2))</f>
        <v/>
      </c>
      <c r="V61">
        <f>IF(COUNTIFS(IlumaData!$V:$V,$R61,IlumaData!$U:$U,3,IlumaData!$N:$N,"&lt;&gt;")=0,"",SUMIFS(IlumaData!$N:$N,IlumaData!$V:$V,$R61,IlumaData!$U:$U,3))</f>
        <v/>
      </c>
      <c r="W61">
        <f>IF(COUNTIFS(IlumaData!$V:$V,$R61,IlumaData!$U:$U,4,IlumaData!$N:$N,"&lt;&gt;")=0,"",SUMIFS(IlumaData!$N:$N,IlumaData!$V:$V,$R61,IlumaData!$U:$U,4))</f>
        <v/>
      </c>
      <c r="X61">
        <f>IF(COUNTIFS(IlumaData!$V:$V,$R61,IlumaData!$U:$U,5,IlumaData!$N:$N,"&lt;&gt;")=0,"",SUMIFS(IlumaData!$N:$N,IlumaData!$V:$V,$R61,IlumaData!$U:$U,5))</f>
        <v/>
      </c>
      <c r="Y61">
        <f>IF(COUNTIFS(IlumaData!$V:$V,$R61,IlumaData!$U:$U,6,IlumaData!$N:$N,"&lt;&gt;")=0,"",SUMIFS(IlumaData!$N:$N,IlumaData!$V:$V,$R61,IlumaData!$U:$U,6))</f>
        <v/>
      </c>
      <c r="Z61">
        <f>IF(COUNTIFS(IlumaData!$V:$V,$R61,IlumaData!$U:$U,7,IlumaData!$N:$N,"&lt;&gt;")=0,"",SUMIFS(IlumaData!$N:$N,IlumaData!$V:$V,$R61,IlumaData!$U:$U,7))</f>
        <v/>
      </c>
      <c r="AA61">
        <f>IF(COUNTIFS(IlumaData!$V:$V,$R61,IlumaData!$U:$U,8,IlumaData!$N:$N,"&lt;&gt;")=0,"",SUMIFS(IlumaData!$N:$N,IlumaData!$V:$V,$R61,IlumaData!$U:$U,8))</f>
        <v/>
      </c>
      <c r="AB61">
        <f>IF(COUNTIFS(IlumaData!$V:$V,$R61,IlumaData!$U:$U,9,IlumaData!$N:$N,"&lt;&gt;")=0,"",SUMIFS(IlumaData!$N:$N,IlumaData!$V:$V,$R61,IlumaData!$U:$U,9))</f>
        <v/>
      </c>
      <c r="AC61">
        <f>IF(COUNTIFS(IlumaData!$V:$V,$R61,IlumaData!$U:$U,10,IlumaData!$N:$N,"&lt;&gt;")=0,"",SUMIFS(IlumaData!$N:$N,IlumaData!$V:$V,$R61,IlumaData!$U:$U,10))</f>
        <v/>
      </c>
      <c r="AD61">
        <f>IF(COUNTIFS(IlumaData!$V:$V,$R61,IlumaData!$U:$U,11,IlumaData!$N:$N,"&lt;&gt;")=0,"",SUMIFS(IlumaData!$N:$N,IlumaData!$V:$V,$R61,IlumaData!$U:$U,11))</f>
        <v/>
      </c>
      <c r="AE61">
        <f>IF(COUNTIFS(IlumaData!$V:$V,$R61,IlumaData!$U:$U,12,IlumaData!$N:$N,"&lt;&gt;")=0,"",SUMIFS(IlumaData!$N:$N,IlumaData!$V:$V,$R61,IlumaData!$U:$U,12))</f>
        <v/>
      </c>
      <c r="AF61">
        <f>IF(COUNTIFS(IlumaData!$V:$V,$R61,IlumaData!$U:$U,13,IlumaData!$N:$N,"&lt;&gt;")=0,"",SUMIFS(IlumaData!$N:$N,IlumaData!$V:$V,$R61,IlumaData!$U:$U,13))</f>
        <v/>
      </c>
      <c r="AG61">
        <f>IF(COUNTIFS(IlumaData!$V:$V,$R61,IlumaData!$U:$U,14,IlumaData!$N:$N,"&lt;&gt;")=0,"",SUMIFS(IlumaData!$N:$N,IlumaData!$V:$V,$R61,IlumaData!$U:$U,14))</f>
        <v/>
      </c>
      <c r="AH61">
        <f>COUNTIFS(IlumaData!$V:$V,$R61,IlumaData!$U:$U,"&lt;="&amp;14,IlumaData!$N:$N,"&lt;&gt;")</f>
        <v/>
      </c>
      <c r="AI61">
        <f>COUNTIFS(IlumaData!$V:$V,$R61,IlumaData!$U:$U,"&lt;="&amp;14,IlumaData!$N:$N,0)</f>
        <v/>
      </c>
      <c r="AJ61">
        <f>IF(AH61=0,"",AH61-AI61)</f>
        <v/>
      </c>
      <c r="AK61">
        <f>IF(AH61=0,"",SUMIFS(IlumaData!$N:$N,IlumaData!$V:$V,$R61,IlumaData!$U:$U,"&lt;="&amp;14))</f>
        <v/>
      </c>
      <c r="AL61">
        <f>IF(AH61=0,"",IF(ABS(MAX(T61:AG61))&gt;=ABS(MIN(T61:AG61)),MAX(T61:AG61),MIN(T61:AG61)))</f>
        <v/>
      </c>
      <c r="AM61">
        <f>IF(AH61=0,-1,AJ61*100000+MIN(ABS(AK61),99999))</f>
        <v/>
      </c>
      <c r="AN61">
        <f>IF($S61="","",1+COUNTIFS($AM$3:$AM$122,"&gt;"&amp;AM61)+COUNTIFS($AM$3:$AM$122,AM61,$R$3:$R$122,"&lt;"&amp;$R61))</f>
        <v/>
      </c>
    </row>
    <row r="62">
      <c r="A62" t="n">
        <v>60</v>
      </c>
      <c r="B62" s="31">
        <f>IFERROR(IF(INDEX(IlumaData!$B:$B,MATCH($A62,IlumaData!$U:$U,0))="","",INDEX(IlumaData!$B:$B,MATCH($A62,IlumaData!$U:$U,0))),"")</f>
        <v/>
      </c>
      <c r="C62">
        <f>IFERROR(IF(INDEX(IlumaData!$D:$D,MATCH($A62,IlumaData!$U:$U,0))="","",INDEX(IlumaData!$D:$D,MATCH($A62,IlumaData!$U:$U,0))),"")</f>
        <v/>
      </c>
      <c r="D62" s="31">
        <f>IFERROR(IF(INDEX(IlumaData!$O:$O,MATCH($A62,IlumaData!$U:$U,0))="","",INDEX(IlumaData!$O:$O,MATCH($A62,IlumaData!$U:$U,0))),"")</f>
        <v/>
      </c>
      <c r="E62">
        <f>COUNTIFS(IlumaData!$U:$U,$A62)</f>
        <v/>
      </c>
      <c r="F62">
        <f>COUNTIFS(IlumaData!$U:$U,$A62,IlumaData!$N:$N,"&lt;&gt;")</f>
        <v/>
      </c>
      <c r="G62">
        <f>COUNTIFS(IlumaData!$U:$U,$A62,IlumaData!$N:$N,0)</f>
        <v/>
      </c>
      <c r="H62">
        <f>IF($F62=0,"",$F62-$G62)</f>
        <v/>
      </c>
      <c r="I62">
        <f>IF($F62=0,"",SUMIFS(IlumaData!$N:$N,IlumaData!$U:$U,$A62))</f>
        <v/>
      </c>
      <c r="J62">
        <f>COUNTIFS(IlumaData!$U:$U,$A62,IlumaData!$Q:$Q,"&lt;&gt;")</f>
        <v/>
      </c>
      <c r="K62">
        <f>IF($J62=0,"",SUMIFS(IlumaData!$Q:$Q,IlumaData!$U:$U,$A62))</f>
        <v/>
      </c>
      <c r="L62">
        <f>COUNTIFS(IlumaData!$U:$U,$A62,IlumaData!$M:$M,"&lt;&gt;")</f>
        <v/>
      </c>
      <c r="M62">
        <f>IF($E62=0,"",IF($L62=0,"not loaded","loaded"))</f>
        <v/>
      </c>
      <c r="N62">
        <f>COUNTIFS(IlumaData!$U:$U,$A62,IlumaData!$I:$I,"&lt;&gt;")</f>
        <v/>
      </c>
      <c r="O62">
        <f>IF($E62=0,"",IF($L62=0,"No POS sales have been loaded for this date, so variance cannot be worked out. Import the sales report for this day and it fills in.",IF($N62=0,"This is the first count of these products, so there is no opening figure to sell down from. Variance starts from the next count.",IF($F62-$G62=0,"Physical and POS agree on every product.",($F62-$G62)&amp;" of "&amp;$F62&amp;" products disagree with the POS. Largest first below."))))</f>
        <v/>
      </c>
      <c r="R62" t="n">
        <v>60</v>
      </c>
      <c r="S62">
        <f>IFERROR(INDEX(IlumaData!$G:$G,MATCH($R62,IlumaData!$V:$V,0)),"")</f>
        <v/>
      </c>
      <c r="T62">
        <f>IF(COUNTIFS(IlumaData!$V:$V,$R62,IlumaData!$U:$U,1,IlumaData!$N:$N,"&lt;&gt;")=0,"",SUMIFS(IlumaData!$N:$N,IlumaData!$V:$V,$R62,IlumaData!$U:$U,1))</f>
        <v/>
      </c>
      <c r="U62">
        <f>IF(COUNTIFS(IlumaData!$V:$V,$R62,IlumaData!$U:$U,2,IlumaData!$N:$N,"&lt;&gt;")=0,"",SUMIFS(IlumaData!$N:$N,IlumaData!$V:$V,$R62,IlumaData!$U:$U,2))</f>
        <v/>
      </c>
      <c r="V62">
        <f>IF(COUNTIFS(IlumaData!$V:$V,$R62,IlumaData!$U:$U,3,IlumaData!$N:$N,"&lt;&gt;")=0,"",SUMIFS(IlumaData!$N:$N,IlumaData!$V:$V,$R62,IlumaData!$U:$U,3))</f>
        <v/>
      </c>
      <c r="W62">
        <f>IF(COUNTIFS(IlumaData!$V:$V,$R62,IlumaData!$U:$U,4,IlumaData!$N:$N,"&lt;&gt;")=0,"",SUMIFS(IlumaData!$N:$N,IlumaData!$V:$V,$R62,IlumaData!$U:$U,4))</f>
        <v/>
      </c>
      <c r="X62">
        <f>IF(COUNTIFS(IlumaData!$V:$V,$R62,IlumaData!$U:$U,5,IlumaData!$N:$N,"&lt;&gt;")=0,"",SUMIFS(IlumaData!$N:$N,IlumaData!$V:$V,$R62,IlumaData!$U:$U,5))</f>
        <v/>
      </c>
      <c r="Y62">
        <f>IF(COUNTIFS(IlumaData!$V:$V,$R62,IlumaData!$U:$U,6,IlumaData!$N:$N,"&lt;&gt;")=0,"",SUMIFS(IlumaData!$N:$N,IlumaData!$V:$V,$R62,IlumaData!$U:$U,6))</f>
        <v/>
      </c>
      <c r="Z62">
        <f>IF(COUNTIFS(IlumaData!$V:$V,$R62,IlumaData!$U:$U,7,IlumaData!$N:$N,"&lt;&gt;")=0,"",SUMIFS(IlumaData!$N:$N,IlumaData!$V:$V,$R62,IlumaData!$U:$U,7))</f>
        <v/>
      </c>
      <c r="AA62">
        <f>IF(COUNTIFS(IlumaData!$V:$V,$R62,IlumaData!$U:$U,8,IlumaData!$N:$N,"&lt;&gt;")=0,"",SUMIFS(IlumaData!$N:$N,IlumaData!$V:$V,$R62,IlumaData!$U:$U,8))</f>
        <v/>
      </c>
      <c r="AB62">
        <f>IF(COUNTIFS(IlumaData!$V:$V,$R62,IlumaData!$U:$U,9,IlumaData!$N:$N,"&lt;&gt;")=0,"",SUMIFS(IlumaData!$N:$N,IlumaData!$V:$V,$R62,IlumaData!$U:$U,9))</f>
        <v/>
      </c>
      <c r="AC62">
        <f>IF(COUNTIFS(IlumaData!$V:$V,$R62,IlumaData!$U:$U,10,IlumaData!$N:$N,"&lt;&gt;")=0,"",SUMIFS(IlumaData!$N:$N,IlumaData!$V:$V,$R62,IlumaData!$U:$U,10))</f>
        <v/>
      </c>
      <c r="AD62">
        <f>IF(COUNTIFS(IlumaData!$V:$V,$R62,IlumaData!$U:$U,11,IlumaData!$N:$N,"&lt;&gt;")=0,"",SUMIFS(IlumaData!$N:$N,IlumaData!$V:$V,$R62,IlumaData!$U:$U,11))</f>
        <v/>
      </c>
      <c r="AE62">
        <f>IF(COUNTIFS(IlumaData!$V:$V,$R62,IlumaData!$U:$U,12,IlumaData!$N:$N,"&lt;&gt;")=0,"",SUMIFS(IlumaData!$N:$N,IlumaData!$V:$V,$R62,IlumaData!$U:$U,12))</f>
        <v/>
      </c>
      <c r="AF62">
        <f>IF(COUNTIFS(IlumaData!$V:$V,$R62,IlumaData!$U:$U,13,IlumaData!$N:$N,"&lt;&gt;")=0,"",SUMIFS(IlumaData!$N:$N,IlumaData!$V:$V,$R62,IlumaData!$U:$U,13))</f>
        <v/>
      </c>
      <c r="AG62">
        <f>IF(COUNTIFS(IlumaData!$V:$V,$R62,IlumaData!$U:$U,14,IlumaData!$N:$N,"&lt;&gt;")=0,"",SUMIFS(IlumaData!$N:$N,IlumaData!$V:$V,$R62,IlumaData!$U:$U,14))</f>
        <v/>
      </c>
      <c r="AH62">
        <f>COUNTIFS(IlumaData!$V:$V,$R62,IlumaData!$U:$U,"&lt;="&amp;14,IlumaData!$N:$N,"&lt;&gt;")</f>
        <v/>
      </c>
      <c r="AI62">
        <f>COUNTIFS(IlumaData!$V:$V,$R62,IlumaData!$U:$U,"&lt;="&amp;14,IlumaData!$N:$N,0)</f>
        <v/>
      </c>
      <c r="AJ62">
        <f>IF(AH62=0,"",AH62-AI62)</f>
        <v/>
      </c>
      <c r="AK62">
        <f>IF(AH62=0,"",SUMIFS(IlumaData!$N:$N,IlumaData!$V:$V,$R62,IlumaData!$U:$U,"&lt;="&amp;14))</f>
        <v/>
      </c>
      <c r="AL62">
        <f>IF(AH62=0,"",IF(ABS(MAX(T62:AG62))&gt;=ABS(MIN(T62:AG62)),MAX(T62:AG62),MIN(T62:AG62)))</f>
        <v/>
      </c>
      <c r="AM62">
        <f>IF(AH62=0,-1,AJ62*100000+MIN(ABS(AK62),99999))</f>
        <v/>
      </c>
      <c r="AN62">
        <f>IF($S62="","",1+COUNTIFS($AM$3:$AM$122,"&gt;"&amp;AM62)+COUNTIFS($AM$3:$AM$122,AM62,$R$3:$R$122,"&lt;"&amp;$R62))</f>
        <v/>
      </c>
    </row>
    <row r="63">
      <c r="R63" t="n">
        <v>61</v>
      </c>
      <c r="S63">
        <f>IFERROR(INDEX(IlumaData!$G:$G,MATCH($R63,IlumaData!$V:$V,0)),"")</f>
        <v/>
      </c>
      <c r="T63">
        <f>IF(COUNTIFS(IlumaData!$V:$V,$R63,IlumaData!$U:$U,1,IlumaData!$N:$N,"&lt;&gt;")=0,"",SUMIFS(IlumaData!$N:$N,IlumaData!$V:$V,$R63,IlumaData!$U:$U,1))</f>
        <v/>
      </c>
      <c r="U63">
        <f>IF(COUNTIFS(IlumaData!$V:$V,$R63,IlumaData!$U:$U,2,IlumaData!$N:$N,"&lt;&gt;")=0,"",SUMIFS(IlumaData!$N:$N,IlumaData!$V:$V,$R63,IlumaData!$U:$U,2))</f>
        <v/>
      </c>
      <c r="V63">
        <f>IF(COUNTIFS(IlumaData!$V:$V,$R63,IlumaData!$U:$U,3,IlumaData!$N:$N,"&lt;&gt;")=0,"",SUMIFS(IlumaData!$N:$N,IlumaData!$V:$V,$R63,IlumaData!$U:$U,3))</f>
        <v/>
      </c>
      <c r="W63">
        <f>IF(COUNTIFS(IlumaData!$V:$V,$R63,IlumaData!$U:$U,4,IlumaData!$N:$N,"&lt;&gt;")=0,"",SUMIFS(IlumaData!$N:$N,IlumaData!$V:$V,$R63,IlumaData!$U:$U,4))</f>
        <v/>
      </c>
      <c r="X63">
        <f>IF(COUNTIFS(IlumaData!$V:$V,$R63,IlumaData!$U:$U,5,IlumaData!$N:$N,"&lt;&gt;")=0,"",SUMIFS(IlumaData!$N:$N,IlumaData!$V:$V,$R63,IlumaData!$U:$U,5))</f>
        <v/>
      </c>
      <c r="Y63">
        <f>IF(COUNTIFS(IlumaData!$V:$V,$R63,IlumaData!$U:$U,6,IlumaData!$N:$N,"&lt;&gt;")=0,"",SUMIFS(IlumaData!$N:$N,IlumaData!$V:$V,$R63,IlumaData!$U:$U,6))</f>
        <v/>
      </c>
      <c r="Z63">
        <f>IF(COUNTIFS(IlumaData!$V:$V,$R63,IlumaData!$U:$U,7,IlumaData!$N:$N,"&lt;&gt;")=0,"",SUMIFS(IlumaData!$N:$N,IlumaData!$V:$V,$R63,IlumaData!$U:$U,7))</f>
        <v/>
      </c>
      <c r="AA63">
        <f>IF(COUNTIFS(IlumaData!$V:$V,$R63,IlumaData!$U:$U,8,IlumaData!$N:$N,"&lt;&gt;")=0,"",SUMIFS(IlumaData!$N:$N,IlumaData!$V:$V,$R63,IlumaData!$U:$U,8))</f>
        <v/>
      </c>
      <c r="AB63">
        <f>IF(COUNTIFS(IlumaData!$V:$V,$R63,IlumaData!$U:$U,9,IlumaData!$N:$N,"&lt;&gt;")=0,"",SUMIFS(IlumaData!$N:$N,IlumaData!$V:$V,$R63,IlumaData!$U:$U,9))</f>
        <v/>
      </c>
      <c r="AC63">
        <f>IF(COUNTIFS(IlumaData!$V:$V,$R63,IlumaData!$U:$U,10,IlumaData!$N:$N,"&lt;&gt;")=0,"",SUMIFS(IlumaData!$N:$N,IlumaData!$V:$V,$R63,IlumaData!$U:$U,10))</f>
        <v/>
      </c>
      <c r="AD63">
        <f>IF(COUNTIFS(IlumaData!$V:$V,$R63,IlumaData!$U:$U,11,IlumaData!$N:$N,"&lt;&gt;")=0,"",SUMIFS(IlumaData!$N:$N,IlumaData!$V:$V,$R63,IlumaData!$U:$U,11))</f>
        <v/>
      </c>
      <c r="AE63">
        <f>IF(COUNTIFS(IlumaData!$V:$V,$R63,IlumaData!$U:$U,12,IlumaData!$N:$N,"&lt;&gt;")=0,"",SUMIFS(IlumaData!$N:$N,IlumaData!$V:$V,$R63,IlumaData!$U:$U,12))</f>
        <v/>
      </c>
      <c r="AF63">
        <f>IF(COUNTIFS(IlumaData!$V:$V,$R63,IlumaData!$U:$U,13,IlumaData!$N:$N,"&lt;&gt;")=0,"",SUMIFS(IlumaData!$N:$N,IlumaData!$V:$V,$R63,IlumaData!$U:$U,13))</f>
        <v/>
      </c>
      <c r="AG63">
        <f>IF(COUNTIFS(IlumaData!$V:$V,$R63,IlumaData!$U:$U,14,IlumaData!$N:$N,"&lt;&gt;")=0,"",SUMIFS(IlumaData!$N:$N,IlumaData!$V:$V,$R63,IlumaData!$U:$U,14))</f>
        <v/>
      </c>
      <c r="AH63">
        <f>COUNTIFS(IlumaData!$V:$V,$R63,IlumaData!$U:$U,"&lt;="&amp;14,IlumaData!$N:$N,"&lt;&gt;")</f>
        <v/>
      </c>
      <c r="AI63">
        <f>COUNTIFS(IlumaData!$V:$V,$R63,IlumaData!$U:$U,"&lt;="&amp;14,IlumaData!$N:$N,0)</f>
        <v/>
      </c>
      <c r="AJ63">
        <f>IF(AH63=0,"",AH63-AI63)</f>
        <v/>
      </c>
      <c r="AK63">
        <f>IF(AH63=0,"",SUMIFS(IlumaData!$N:$N,IlumaData!$V:$V,$R63,IlumaData!$U:$U,"&lt;="&amp;14))</f>
        <v/>
      </c>
      <c r="AL63">
        <f>IF(AH63=0,"",IF(ABS(MAX(T63:AG63))&gt;=ABS(MIN(T63:AG63)),MAX(T63:AG63),MIN(T63:AG63)))</f>
        <v/>
      </c>
      <c r="AM63">
        <f>IF(AH63=0,-1,AJ63*100000+MIN(ABS(AK63),99999))</f>
        <v/>
      </c>
      <c r="AN63">
        <f>IF($S63="","",1+COUNTIFS($AM$3:$AM$122,"&gt;"&amp;AM63)+COUNTIFS($AM$3:$AM$122,AM63,$R$3:$R$122,"&lt;"&amp;$R63))</f>
        <v/>
      </c>
    </row>
    <row r="64">
      <c r="R64" t="n">
        <v>62</v>
      </c>
      <c r="S64">
        <f>IFERROR(INDEX(IlumaData!$G:$G,MATCH($R64,IlumaData!$V:$V,0)),"")</f>
        <v/>
      </c>
      <c r="T64">
        <f>IF(COUNTIFS(IlumaData!$V:$V,$R64,IlumaData!$U:$U,1,IlumaData!$N:$N,"&lt;&gt;")=0,"",SUMIFS(IlumaData!$N:$N,IlumaData!$V:$V,$R64,IlumaData!$U:$U,1))</f>
        <v/>
      </c>
      <c r="U64">
        <f>IF(COUNTIFS(IlumaData!$V:$V,$R64,IlumaData!$U:$U,2,IlumaData!$N:$N,"&lt;&gt;")=0,"",SUMIFS(IlumaData!$N:$N,IlumaData!$V:$V,$R64,IlumaData!$U:$U,2))</f>
        <v/>
      </c>
      <c r="V64">
        <f>IF(COUNTIFS(IlumaData!$V:$V,$R64,IlumaData!$U:$U,3,IlumaData!$N:$N,"&lt;&gt;")=0,"",SUMIFS(IlumaData!$N:$N,IlumaData!$V:$V,$R64,IlumaData!$U:$U,3))</f>
        <v/>
      </c>
      <c r="W64">
        <f>IF(COUNTIFS(IlumaData!$V:$V,$R64,IlumaData!$U:$U,4,IlumaData!$N:$N,"&lt;&gt;")=0,"",SUMIFS(IlumaData!$N:$N,IlumaData!$V:$V,$R64,IlumaData!$U:$U,4))</f>
        <v/>
      </c>
      <c r="X64">
        <f>IF(COUNTIFS(IlumaData!$V:$V,$R64,IlumaData!$U:$U,5,IlumaData!$N:$N,"&lt;&gt;")=0,"",SUMIFS(IlumaData!$N:$N,IlumaData!$V:$V,$R64,IlumaData!$U:$U,5))</f>
        <v/>
      </c>
      <c r="Y64">
        <f>IF(COUNTIFS(IlumaData!$V:$V,$R64,IlumaData!$U:$U,6,IlumaData!$N:$N,"&lt;&gt;")=0,"",SUMIFS(IlumaData!$N:$N,IlumaData!$V:$V,$R64,IlumaData!$U:$U,6))</f>
        <v/>
      </c>
      <c r="Z64">
        <f>IF(COUNTIFS(IlumaData!$V:$V,$R64,IlumaData!$U:$U,7,IlumaData!$N:$N,"&lt;&gt;")=0,"",SUMIFS(IlumaData!$N:$N,IlumaData!$V:$V,$R64,IlumaData!$U:$U,7))</f>
        <v/>
      </c>
      <c r="AA64">
        <f>IF(COUNTIFS(IlumaData!$V:$V,$R64,IlumaData!$U:$U,8,IlumaData!$N:$N,"&lt;&gt;")=0,"",SUMIFS(IlumaData!$N:$N,IlumaData!$V:$V,$R64,IlumaData!$U:$U,8))</f>
        <v/>
      </c>
      <c r="AB64">
        <f>IF(COUNTIFS(IlumaData!$V:$V,$R64,IlumaData!$U:$U,9,IlumaData!$N:$N,"&lt;&gt;")=0,"",SUMIFS(IlumaData!$N:$N,IlumaData!$V:$V,$R64,IlumaData!$U:$U,9))</f>
        <v/>
      </c>
      <c r="AC64">
        <f>IF(COUNTIFS(IlumaData!$V:$V,$R64,IlumaData!$U:$U,10,IlumaData!$N:$N,"&lt;&gt;")=0,"",SUMIFS(IlumaData!$N:$N,IlumaData!$V:$V,$R64,IlumaData!$U:$U,10))</f>
        <v/>
      </c>
      <c r="AD64">
        <f>IF(COUNTIFS(IlumaData!$V:$V,$R64,IlumaData!$U:$U,11,IlumaData!$N:$N,"&lt;&gt;")=0,"",SUMIFS(IlumaData!$N:$N,IlumaData!$V:$V,$R64,IlumaData!$U:$U,11))</f>
        <v/>
      </c>
      <c r="AE64">
        <f>IF(COUNTIFS(IlumaData!$V:$V,$R64,IlumaData!$U:$U,12,IlumaData!$N:$N,"&lt;&gt;")=0,"",SUMIFS(IlumaData!$N:$N,IlumaData!$V:$V,$R64,IlumaData!$U:$U,12))</f>
        <v/>
      </c>
      <c r="AF64">
        <f>IF(COUNTIFS(IlumaData!$V:$V,$R64,IlumaData!$U:$U,13,IlumaData!$N:$N,"&lt;&gt;")=0,"",SUMIFS(IlumaData!$N:$N,IlumaData!$V:$V,$R64,IlumaData!$U:$U,13))</f>
        <v/>
      </c>
      <c r="AG64">
        <f>IF(COUNTIFS(IlumaData!$V:$V,$R64,IlumaData!$U:$U,14,IlumaData!$N:$N,"&lt;&gt;")=0,"",SUMIFS(IlumaData!$N:$N,IlumaData!$V:$V,$R64,IlumaData!$U:$U,14))</f>
        <v/>
      </c>
      <c r="AH64">
        <f>COUNTIFS(IlumaData!$V:$V,$R64,IlumaData!$U:$U,"&lt;="&amp;14,IlumaData!$N:$N,"&lt;&gt;")</f>
        <v/>
      </c>
      <c r="AI64">
        <f>COUNTIFS(IlumaData!$V:$V,$R64,IlumaData!$U:$U,"&lt;="&amp;14,IlumaData!$N:$N,0)</f>
        <v/>
      </c>
      <c r="AJ64">
        <f>IF(AH64=0,"",AH64-AI64)</f>
        <v/>
      </c>
      <c r="AK64">
        <f>IF(AH64=0,"",SUMIFS(IlumaData!$N:$N,IlumaData!$V:$V,$R64,IlumaData!$U:$U,"&lt;="&amp;14))</f>
        <v/>
      </c>
      <c r="AL64">
        <f>IF(AH64=0,"",IF(ABS(MAX(T64:AG64))&gt;=ABS(MIN(T64:AG64)),MAX(T64:AG64),MIN(T64:AG64)))</f>
        <v/>
      </c>
      <c r="AM64">
        <f>IF(AH64=0,-1,AJ64*100000+MIN(ABS(AK64),99999))</f>
        <v/>
      </c>
      <c r="AN64">
        <f>IF($S64="","",1+COUNTIFS($AM$3:$AM$122,"&gt;"&amp;AM64)+COUNTIFS($AM$3:$AM$122,AM64,$R$3:$R$122,"&lt;"&amp;$R64))</f>
        <v/>
      </c>
    </row>
    <row r="65">
      <c r="R65" t="n">
        <v>63</v>
      </c>
      <c r="S65">
        <f>IFERROR(INDEX(IlumaData!$G:$G,MATCH($R65,IlumaData!$V:$V,0)),"")</f>
        <v/>
      </c>
      <c r="T65">
        <f>IF(COUNTIFS(IlumaData!$V:$V,$R65,IlumaData!$U:$U,1,IlumaData!$N:$N,"&lt;&gt;")=0,"",SUMIFS(IlumaData!$N:$N,IlumaData!$V:$V,$R65,IlumaData!$U:$U,1))</f>
        <v/>
      </c>
      <c r="U65">
        <f>IF(COUNTIFS(IlumaData!$V:$V,$R65,IlumaData!$U:$U,2,IlumaData!$N:$N,"&lt;&gt;")=0,"",SUMIFS(IlumaData!$N:$N,IlumaData!$V:$V,$R65,IlumaData!$U:$U,2))</f>
        <v/>
      </c>
      <c r="V65">
        <f>IF(COUNTIFS(IlumaData!$V:$V,$R65,IlumaData!$U:$U,3,IlumaData!$N:$N,"&lt;&gt;")=0,"",SUMIFS(IlumaData!$N:$N,IlumaData!$V:$V,$R65,IlumaData!$U:$U,3))</f>
        <v/>
      </c>
      <c r="W65">
        <f>IF(COUNTIFS(IlumaData!$V:$V,$R65,IlumaData!$U:$U,4,IlumaData!$N:$N,"&lt;&gt;")=0,"",SUMIFS(IlumaData!$N:$N,IlumaData!$V:$V,$R65,IlumaData!$U:$U,4))</f>
        <v/>
      </c>
      <c r="X65">
        <f>IF(COUNTIFS(IlumaData!$V:$V,$R65,IlumaData!$U:$U,5,IlumaData!$N:$N,"&lt;&gt;")=0,"",SUMIFS(IlumaData!$N:$N,IlumaData!$V:$V,$R65,IlumaData!$U:$U,5))</f>
        <v/>
      </c>
      <c r="Y65">
        <f>IF(COUNTIFS(IlumaData!$V:$V,$R65,IlumaData!$U:$U,6,IlumaData!$N:$N,"&lt;&gt;")=0,"",SUMIFS(IlumaData!$N:$N,IlumaData!$V:$V,$R65,IlumaData!$U:$U,6))</f>
        <v/>
      </c>
      <c r="Z65">
        <f>IF(COUNTIFS(IlumaData!$V:$V,$R65,IlumaData!$U:$U,7,IlumaData!$N:$N,"&lt;&gt;")=0,"",SUMIFS(IlumaData!$N:$N,IlumaData!$V:$V,$R65,IlumaData!$U:$U,7))</f>
        <v/>
      </c>
      <c r="AA65">
        <f>IF(COUNTIFS(IlumaData!$V:$V,$R65,IlumaData!$U:$U,8,IlumaData!$N:$N,"&lt;&gt;")=0,"",SUMIFS(IlumaData!$N:$N,IlumaData!$V:$V,$R65,IlumaData!$U:$U,8))</f>
        <v/>
      </c>
      <c r="AB65">
        <f>IF(COUNTIFS(IlumaData!$V:$V,$R65,IlumaData!$U:$U,9,IlumaData!$N:$N,"&lt;&gt;")=0,"",SUMIFS(IlumaData!$N:$N,IlumaData!$V:$V,$R65,IlumaData!$U:$U,9))</f>
        <v/>
      </c>
      <c r="AC65">
        <f>IF(COUNTIFS(IlumaData!$V:$V,$R65,IlumaData!$U:$U,10,IlumaData!$N:$N,"&lt;&gt;")=0,"",SUMIFS(IlumaData!$N:$N,IlumaData!$V:$V,$R65,IlumaData!$U:$U,10))</f>
        <v/>
      </c>
      <c r="AD65">
        <f>IF(COUNTIFS(IlumaData!$V:$V,$R65,IlumaData!$U:$U,11,IlumaData!$N:$N,"&lt;&gt;")=0,"",SUMIFS(IlumaData!$N:$N,IlumaData!$V:$V,$R65,IlumaData!$U:$U,11))</f>
        <v/>
      </c>
      <c r="AE65">
        <f>IF(COUNTIFS(IlumaData!$V:$V,$R65,IlumaData!$U:$U,12,IlumaData!$N:$N,"&lt;&gt;")=0,"",SUMIFS(IlumaData!$N:$N,IlumaData!$V:$V,$R65,IlumaData!$U:$U,12))</f>
        <v/>
      </c>
      <c r="AF65">
        <f>IF(COUNTIFS(IlumaData!$V:$V,$R65,IlumaData!$U:$U,13,IlumaData!$N:$N,"&lt;&gt;")=0,"",SUMIFS(IlumaData!$N:$N,IlumaData!$V:$V,$R65,IlumaData!$U:$U,13))</f>
        <v/>
      </c>
      <c r="AG65">
        <f>IF(COUNTIFS(IlumaData!$V:$V,$R65,IlumaData!$U:$U,14,IlumaData!$N:$N,"&lt;&gt;")=0,"",SUMIFS(IlumaData!$N:$N,IlumaData!$V:$V,$R65,IlumaData!$U:$U,14))</f>
        <v/>
      </c>
      <c r="AH65">
        <f>COUNTIFS(IlumaData!$V:$V,$R65,IlumaData!$U:$U,"&lt;="&amp;14,IlumaData!$N:$N,"&lt;&gt;")</f>
        <v/>
      </c>
      <c r="AI65">
        <f>COUNTIFS(IlumaData!$V:$V,$R65,IlumaData!$U:$U,"&lt;="&amp;14,IlumaData!$N:$N,0)</f>
        <v/>
      </c>
      <c r="AJ65">
        <f>IF(AH65=0,"",AH65-AI65)</f>
        <v/>
      </c>
      <c r="AK65">
        <f>IF(AH65=0,"",SUMIFS(IlumaData!$N:$N,IlumaData!$V:$V,$R65,IlumaData!$U:$U,"&lt;="&amp;14))</f>
        <v/>
      </c>
      <c r="AL65">
        <f>IF(AH65=0,"",IF(ABS(MAX(T65:AG65))&gt;=ABS(MIN(T65:AG65)),MAX(T65:AG65),MIN(T65:AG65)))</f>
        <v/>
      </c>
      <c r="AM65">
        <f>IF(AH65=0,-1,AJ65*100000+MIN(ABS(AK65),99999))</f>
        <v/>
      </c>
      <c r="AN65">
        <f>IF($S65="","",1+COUNTIFS($AM$3:$AM$122,"&gt;"&amp;AM65)+COUNTIFS($AM$3:$AM$122,AM65,$R$3:$R$122,"&lt;"&amp;$R65))</f>
        <v/>
      </c>
    </row>
    <row r="66">
      <c r="R66" t="n">
        <v>64</v>
      </c>
      <c r="S66">
        <f>IFERROR(INDEX(IlumaData!$G:$G,MATCH($R66,IlumaData!$V:$V,0)),"")</f>
        <v/>
      </c>
      <c r="T66">
        <f>IF(COUNTIFS(IlumaData!$V:$V,$R66,IlumaData!$U:$U,1,IlumaData!$N:$N,"&lt;&gt;")=0,"",SUMIFS(IlumaData!$N:$N,IlumaData!$V:$V,$R66,IlumaData!$U:$U,1))</f>
        <v/>
      </c>
      <c r="U66">
        <f>IF(COUNTIFS(IlumaData!$V:$V,$R66,IlumaData!$U:$U,2,IlumaData!$N:$N,"&lt;&gt;")=0,"",SUMIFS(IlumaData!$N:$N,IlumaData!$V:$V,$R66,IlumaData!$U:$U,2))</f>
        <v/>
      </c>
      <c r="V66">
        <f>IF(COUNTIFS(IlumaData!$V:$V,$R66,IlumaData!$U:$U,3,IlumaData!$N:$N,"&lt;&gt;")=0,"",SUMIFS(IlumaData!$N:$N,IlumaData!$V:$V,$R66,IlumaData!$U:$U,3))</f>
        <v/>
      </c>
      <c r="W66">
        <f>IF(COUNTIFS(IlumaData!$V:$V,$R66,IlumaData!$U:$U,4,IlumaData!$N:$N,"&lt;&gt;")=0,"",SUMIFS(IlumaData!$N:$N,IlumaData!$V:$V,$R66,IlumaData!$U:$U,4))</f>
        <v/>
      </c>
      <c r="X66">
        <f>IF(COUNTIFS(IlumaData!$V:$V,$R66,IlumaData!$U:$U,5,IlumaData!$N:$N,"&lt;&gt;")=0,"",SUMIFS(IlumaData!$N:$N,IlumaData!$V:$V,$R66,IlumaData!$U:$U,5))</f>
        <v/>
      </c>
      <c r="Y66">
        <f>IF(COUNTIFS(IlumaData!$V:$V,$R66,IlumaData!$U:$U,6,IlumaData!$N:$N,"&lt;&gt;")=0,"",SUMIFS(IlumaData!$N:$N,IlumaData!$V:$V,$R66,IlumaData!$U:$U,6))</f>
        <v/>
      </c>
      <c r="Z66">
        <f>IF(COUNTIFS(IlumaData!$V:$V,$R66,IlumaData!$U:$U,7,IlumaData!$N:$N,"&lt;&gt;")=0,"",SUMIFS(IlumaData!$N:$N,IlumaData!$V:$V,$R66,IlumaData!$U:$U,7))</f>
        <v/>
      </c>
      <c r="AA66">
        <f>IF(COUNTIFS(IlumaData!$V:$V,$R66,IlumaData!$U:$U,8,IlumaData!$N:$N,"&lt;&gt;")=0,"",SUMIFS(IlumaData!$N:$N,IlumaData!$V:$V,$R66,IlumaData!$U:$U,8))</f>
        <v/>
      </c>
      <c r="AB66">
        <f>IF(COUNTIFS(IlumaData!$V:$V,$R66,IlumaData!$U:$U,9,IlumaData!$N:$N,"&lt;&gt;")=0,"",SUMIFS(IlumaData!$N:$N,IlumaData!$V:$V,$R66,IlumaData!$U:$U,9))</f>
        <v/>
      </c>
      <c r="AC66">
        <f>IF(COUNTIFS(IlumaData!$V:$V,$R66,IlumaData!$U:$U,10,IlumaData!$N:$N,"&lt;&gt;")=0,"",SUMIFS(IlumaData!$N:$N,IlumaData!$V:$V,$R66,IlumaData!$U:$U,10))</f>
        <v/>
      </c>
      <c r="AD66">
        <f>IF(COUNTIFS(IlumaData!$V:$V,$R66,IlumaData!$U:$U,11,IlumaData!$N:$N,"&lt;&gt;")=0,"",SUMIFS(IlumaData!$N:$N,IlumaData!$V:$V,$R66,IlumaData!$U:$U,11))</f>
        <v/>
      </c>
      <c r="AE66">
        <f>IF(COUNTIFS(IlumaData!$V:$V,$R66,IlumaData!$U:$U,12,IlumaData!$N:$N,"&lt;&gt;")=0,"",SUMIFS(IlumaData!$N:$N,IlumaData!$V:$V,$R66,IlumaData!$U:$U,12))</f>
        <v/>
      </c>
      <c r="AF66">
        <f>IF(COUNTIFS(IlumaData!$V:$V,$R66,IlumaData!$U:$U,13,IlumaData!$N:$N,"&lt;&gt;")=0,"",SUMIFS(IlumaData!$N:$N,IlumaData!$V:$V,$R66,IlumaData!$U:$U,13))</f>
        <v/>
      </c>
      <c r="AG66">
        <f>IF(COUNTIFS(IlumaData!$V:$V,$R66,IlumaData!$U:$U,14,IlumaData!$N:$N,"&lt;&gt;")=0,"",SUMIFS(IlumaData!$N:$N,IlumaData!$V:$V,$R66,IlumaData!$U:$U,14))</f>
        <v/>
      </c>
      <c r="AH66">
        <f>COUNTIFS(IlumaData!$V:$V,$R66,IlumaData!$U:$U,"&lt;="&amp;14,IlumaData!$N:$N,"&lt;&gt;")</f>
        <v/>
      </c>
      <c r="AI66">
        <f>COUNTIFS(IlumaData!$V:$V,$R66,IlumaData!$U:$U,"&lt;="&amp;14,IlumaData!$N:$N,0)</f>
        <v/>
      </c>
      <c r="AJ66">
        <f>IF(AH66=0,"",AH66-AI66)</f>
        <v/>
      </c>
      <c r="AK66">
        <f>IF(AH66=0,"",SUMIFS(IlumaData!$N:$N,IlumaData!$V:$V,$R66,IlumaData!$U:$U,"&lt;="&amp;14))</f>
        <v/>
      </c>
      <c r="AL66">
        <f>IF(AH66=0,"",IF(ABS(MAX(T66:AG66))&gt;=ABS(MIN(T66:AG66)),MAX(T66:AG66),MIN(T66:AG66)))</f>
        <v/>
      </c>
      <c r="AM66">
        <f>IF(AH66=0,-1,AJ66*100000+MIN(ABS(AK66),99999))</f>
        <v/>
      </c>
      <c r="AN66">
        <f>IF($S66="","",1+COUNTIFS($AM$3:$AM$122,"&gt;"&amp;AM66)+COUNTIFS($AM$3:$AM$122,AM66,$R$3:$R$122,"&lt;"&amp;$R66))</f>
        <v/>
      </c>
    </row>
    <row r="67">
      <c r="R67" t="n">
        <v>65</v>
      </c>
      <c r="S67">
        <f>IFERROR(INDEX(IlumaData!$G:$G,MATCH($R67,IlumaData!$V:$V,0)),"")</f>
        <v/>
      </c>
      <c r="T67">
        <f>IF(COUNTIFS(IlumaData!$V:$V,$R67,IlumaData!$U:$U,1,IlumaData!$N:$N,"&lt;&gt;")=0,"",SUMIFS(IlumaData!$N:$N,IlumaData!$V:$V,$R67,IlumaData!$U:$U,1))</f>
        <v/>
      </c>
      <c r="U67">
        <f>IF(COUNTIFS(IlumaData!$V:$V,$R67,IlumaData!$U:$U,2,IlumaData!$N:$N,"&lt;&gt;")=0,"",SUMIFS(IlumaData!$N:$N,IlumaData!$V:$V,$R67,IlumaData!$U:$U,2))</f>
        <v/>
      </c>
      <c r="V67">
        <f>IF(COUNTIFS(IlumaData!$V:$V,$R67,IlumaData!$U:$U,3,IlumaData!$N:$N,"&lt;&gt;")=0,"",SUMIFS(IlumaData!$N:$N,IlumaData!$V:$V,$R67,IlumaData!$U:$U,3))</f>
        <v/>
      </c>
      <c r="W67">
        <f>IF(COUNTIFS(IlumaData!$V:$V,$R67,IlumaData!$U:$U,4,IlumaData!$N:$N,"&lt;&gt;")=0,"",SUMIFS(IlumaData!$N:$N,IlumaData!$V:$V,$R67,IlumaData!$U:$U,4))</f>
        <v/>
      </c>
      <c r="X67">
        <f>IF(COUNTIFS(IlumaData!$V:$V,$R67,IlumaData!$U:$U,5,IlumaData!$N:$N,"&lt;&gt;")=0,"",SUMIFS(IlumaData!$N:$N,IlumaData!$V:$V,$R67,IlumaData!$U:$U,5))</f>
        <v/>
      </c>
      <c r="Y67">
        <f>IF(COUNTIFS(IlumaData!$V:$V,$R67,IlumaData!$U:$U,6,IlumaData!$N:$N,"&lt;&gt;")=0,"",SUMIFS(IlumaData!$N:$N,IlumaData!$V:$V,$R67,IlumaData!$U:$U,6))</f>
        <v/>
      </c>
      <c r="Z67">
        <f>IF(COUNTIFS(IlumaData!$V:$V,$R67,IlumaData!$U:$U,7,IlumaData!$N:$N,"&lt;&gt;")=0,"",SUMIFS(IlumaData!$N:$N,IlumaData!$V:$V,$R67,IlumaData!$U:$U,7))</f>
        <v/>
      </c>
      <c r="AA67">
        <f>IF(COUNTIFS(IlumaData!$V:$V,$R67,IlumaData!$U:$U,8,IlumaData!$N:$N,"&lt;&gt;")=0,"",SUMIFS(IlumaData!$N:$N,IlumaData!$V:$V,$R67,IlumaData!$U:$U,8))</f>
        <v/>
      </c>
      <c r="AB67">
        <f>IF(COUNTIFS(IlumaData!$V:$V,$R67,IlumaData!$U:$U,9,IlumaData!$N:$N,"&lt;&gt;")=0,"",SUMIFS(IlumaData!$N:$N,IlumaData!$V:$V,$R67,IlumaData!$U:$U,9))</f>
        <v/>
      </c>
      <c r="AC67">
        <f>IF(COUNTIFS(IlumaData!$V:$V,$R67,IlumaData!$U:$U,10,IlumaData!$N:$N,"&lt;&gt;")=0,"",SUMIFS(IlumaData!$N:$N,IlumaData!$V:$V,$R67,IlumaData!$U:$U,10))</f>
        <v/>
      </c>
      <c r="AD67">
        <f>IF(COUNTIFS(IlumaData!$V:$V,$R67,IlumaData!$U:$U,11,IlumaData!$N:$N,"&lt;&gt;")=0,"",SUMIFS(IlumaData!$N:$N,IlumaData!$V:$V,$R67,IlumaData!$U:$U,11))</f>
        <v/>
      </c>
      <c r="AE67">
        <f>IF(COUNTIFS(IlumaData!$V:$V,$R67,IlumaData!$U:$U,12,IlumaData!$N:$N,"&lt;&gt;")=0,"",SUMIFS(IlumaData!$N:$N,IlumaData!$V:$V,$R67,IlumaData!$U:$U,12))</f>
        <v/>
      </c>
      <c r="AF67">
        <f>IF(COUNTIFS(IlumaData!$V:$V,$R67,IlumaData!$U:$U,13,IlumaData!$N:$N,"&lt;&gt;")=0,"",SUMIFS(IlumaData!$N:$N,IlumaData!$V:$V,$R67,IlumaData!$U:$U,13))</f>
        <v/>
      </c>
      <c r="AG67">
        <f>IF(COUNTIFS(IlumaData!$V:$V,$R67,IlumaData!$U:$U,14,IlumaData!$N:$N,"&lt;&gt;")=0,"",SUMIFS(IlumaData!$N:$N,IlumaData!$V:$V,$R67,IlumaData!$U:$U,14))</f>
        <v/>
      </c>
      <c r="AH67">
        <f>COUNTIFS(IlumaData!$V:$V,$R67,IlumaData!$U:$U,"&lt;="&amp;14,IlumaData!$N:$N,"&lt;&gt;")</f>
        <v/>
      </c>
      <c r="AI67">
        <f>COUNTIFS(IlumaData!$V:$V,$R67,IlumaData!$U:$U,"&lt;="&amp;14,IlumaData!$N:$N,0)</f>
        <v/>
      </c>
      <c r="AJ67">
        <f>IF(AH67=0,"",AH67-AI67)</f>
        <v/>
      </c>
      <c r="AK67">
        <f>IF(AH67=0,"",SUMIFS(IlumaData!$N:$N,IlumaData!$V:$V,$R67,IlumaData!$U:$U,"&lt;="&amp;14))</f>
        <v/>
      </c>
      <c r="AL67">
        <f>IF(AH67=0,"",IF(ABS(MAX(T67:AG67))&gt;=ABS(MIN(T67:AG67)),MAX(T67:AG67),MIN(T67:AG67)))</f>
        <v/>
      </c>
      <c r="AM67">
        <f>IF(AH67=0,-1,AJ67*100000+MIN(ABS(AK67),99999))</f>
        <v/>
      </c>
      <c r="AN67">
        <f>IF($S67="","",1+COUNTIFS($AM$3:$AM$122,"&gt;"&amp;AM67)+COUNTIFS($AM$3:$AM$122,AM67,$R$3:$R$122,"&lt;"&amp;$R67))</f>
        <v/>
      </c>
    </row>
    <row r="68">
      <c r="R68" t="n">
        <v>66</v>
      </c>
      <c r="S68">
        <f>IFERROR(INDEX(IlumaData!$G:$G,MATCH($R68,IlumaData!$V:$V,0)),"")</f>
        <v/>
      </c>
      <c r="T68">
        <f>IF(COUNTIFS(IlumaData!$V:$V,$R68,IlumaData!$U:$U,1,IlumaData!$N:$N,"&lt;&gt;")=0,"",SUMIFS(IlumaData!$N:$N,IlumaData!$V:$V,$R68,IlumaData!$U:$U,1))</f>
        <v/>
      </c>
      <c r="U68">
        <f>IF(COUNTIFS(IlumaData!$V:$V,$R68,IlumaData!$U:$U,2,IlumaData!$N:$N,"&lt;&gt;")=0,"",SUMIFS(IlumaData!$N:$N,IlumaData!$V:$V,$R68,IlumaData!$U:$U,2))</f>
        <v/>
      </c>
      <c r="V68">
        <f>IF(COUNTIFS(IlumaData!$V:$V,$R68,IlumaData!$U:$U,3,IlumaData!$N:$N,"&lt;&gt;")=0,"",SUMIFS(IlumaData!$N:$N,IlumaData!$V:$V,$R68,IlumaData!$U:$U,3))</f>
        <v/>
      </c>
      <c r="W68">
        <f>IF(COUNTIFS(IlumaData!$V:$V,$R68,IlumaData!$U:$U,4,IlumaData!$N:$N,"&lt;&gt;")=0,"",SUMIFS(IlumaData!$N:$N,IlumaData!$V:$V,$R68,IlumaData!$U:$U,4))</f>
        <v/>
      </c>
      <c r="X68">
        <f>IF(COUNTIFS(IlumaData!$V:$V,$R68,IlumaData!$U:$U,5,IlumaData!$N:$N,"&lt;&gt;")=0,"",SUMIFS(IlumaData!$N:$N,IlumaData!$V:$V,$R68,IlumaData!$U:$U,5))</f>
        <v/>
      </c>
      <c r="Y68">
        <f>IF(COUNTIFS(IlumaData!$V:$V,$R68,IlumaData!$U:$U,6,IlumaData!$N:$N,"&lt;&gt;")=0,"",SUMIFS(IlumaData!$N:$N,IlumaData!$V:$V,$R68,IlumaData!$U:$U,6))</f>
        <v/>
      </c>
      <c r="Z68">
        <f>IF(COUNTIFS(IlumaData!$V:$V,$R68,IlumaData!$U:$U,7,IlumaData!$N:$N,"&lt;&gt;")=0,"",SUMIFS(IlumaData!$N:$N,IlumaData!$V:$V,$R68,IlumaData!$U:$U,7))</f>
        <v/>
      </c>
      <c r="AA68">
        <f>IF(COUNTIFS(IlumaData!$V:$V,$R68,IlumaData!$U:$U,8,IlumaData!$N:$N,"&lt;&gt;")=0,"",SUMIFS(IlumaData!$N:$N,IlumaData!$V:$V,$R68,IlumaData!$U:$U,8))</f>
        <v/>
      </c>
      <c r="AB68">
        <f>IF(COUNTIFS(IlumaData!$V:$V,$R68,IlumaData!$U:$U,9,IlumaData!$N:$N,"&lt;&gt;")=0,"",SUMIFS(IlumaData!$N:$N,IlumaData!$V:$V,$R68,IlumaData!$U:$U,9))</f>
        <v/>
      </c>
      <c r="AC68">
        <f>IF(COUNTIFS(IlumaData!$V:$V,$R68,IlumaData!$U:$U,10,IlumaData!$N:$N,"&lt;&gt;")=0,"",SUMIFS(IlumaData!$N:$N,IlumaData!$V:$V,$R68,IlumaData!$U:$U,10))</f>
        <v/>
      </c>
      <c r="AD68">
        <f>IF(COUNTIFS(IlumaData!$V:$V,$R68,IlumaData!$U:$U,11,IlumaData!$N:$N,"&lt;&gt;")=0,"",SUMIFS(IlumaData!$N:$N,IlumaData!$V:$V,$R68,IlumaData!$U:$U,11))</f>
        <v/>
      </c>
      <c r="AE68">
        <f>IF(COUNTIFS(IlumaData!$V:$V,$R68,IlumaData!$U:$U,12,IlumaData!$N:$N,"&lt;&gt;")=0,"",SUMIFS(IlumaData!$N:$N,IlumaData!$V:$V,$R68,IlumaData!$U:$U,12))</f>
        <v/>
      </c>
      <c r="AF68">
        <f>IF(COUNTIFS(IlumaData!$V:$V,$R68,IlumaData!$U:$U,13,IlumaData!$N:$N,"&lt;&gt;")=0,"",SUMIFS(IlumaData!$N:$N,IlumaData!$V:$V,$R68,IlumaData!$U:$U,13))</f>
        <v/>
      </c>
      <c r="AG68">
        <f>IF(COUNTIFS(IlumaData!$V:$V,$R68,IlumaData!$U:$U,14,IlumaData!$N:$N,"&lt;&gt;")=0,"",SUMIFS(IlumaData!$N:$N,IlumaData!$V:$V,$R68,IlumaData!$U:$U,14))</f>
        <v/>
      </c>
      <c r="AH68">
        <f>COUNTIFS(IlumaData!$V:$V,$R68,IlumaData!$U:$U,"&lt;="&amp;14,IlumaData!$N:$N,"&lt;&gt;")</f>
        <v/>
      </c>
      <c r="AI68">
        <f>COUNTIFS(IlumaData!$V:$V,$R68,IlumaData!$U:$U,"&lt;="&amp;14,IlumaData!$N:$N,0)</f>
        <v/>
      </c>
      <c r="AJ68">
        <f>IF(AH68=0,"",AH68-AI68)</f>
        <v/>
      </c>
      <c r="AK68">
        <f>IF(AH68=0,"",SUMIFS(IlumaData!$N:$N,IlumaData!$V:$V,$R68,IlumaData!$U:$U,"&lt;="&amp;14))</f>
        <v/>
      </c>
      <c r="AL68">
        <f>IF(AH68=0,"",IF(ABS(MAX(T68:AG68))&gt;=ABS(MIN(T68:AG68)),MAX(T68:AG68),MIN(T68:AG68)))</f>
        <v/>
      </c>
      <c r="AM68">
        <f>IF(AH68=0,-1,AJ68*100000+MIN(ABS(AK68),99999))</f>
        <v/>
      </c>
      <c r="AN68">
        <f>IF($S68="","",1+COUNTIFS($AM$3:$AM$122,"&gt;"&amp;AM68)+COUNTIFS($AM$3:$AM$122,AM68,$R$3:$R$122,"&lt;"&amp;$R68))</f>
        <v/>
      </c>
    </row>
    <row r="69">
      <c r="R69" t="n">
        <v>67</v>
      </c>
      <c r="S69">
        <f>IFERROR(INDEX(IlumaData!$G:$G,MATCH($R69,IlumaData!$V:$V,0)),"")</f>
        <v/>
      </c>
      <c r="T69">
        <f>IF(COUNTIFS(IlumaData!$V:$V,$R69,IlumaData!$U:$U,1,IlumaData!$N:$N,"&lt;&gt;")=0,"",SUMIFS(IlumaData!$N:$N,IlumaData!$V:$V,$R69,IlumaData!$U:$U,1))</f>
        <v/>
      </c>
      <c r="U69">
        <f>IF(COUNTIFS(IlumaData!$V:$V,$R69,IlumaData!$U:$U,2,IlumaData!$N:$N,"&lt;&gt;")=0,"",SUMIFS(IlumaData!$N:$N,IlumaData!$V:$V,$R69,IlumaData!$U:$U,2))</f>
        <v/>
      </c>
      <c r="V69">
        <f>IF(COUNTIFS(IlumaData!$V:$V,$R69,IlumaData!$U:$U,3,IlumaData!$N:$N,"&lt;&gt;")=0,"",SUMIFS(IlumaData!$N:$N,IlumaData!$V:$V,$R69,IlumaData!$U:$U,3))</f>
        <v/>
      </c>
      <c r="W69">
        <f>IF(COUNTIFS(IlumaData!$V:$V,$R69,IlumaData!$U:$U,4,IlumaData!$N:$N,"&lt;&gt;")=0,"",SUMIFS(IlumaData!$N:$N,IlumaData!$V:$V,$R69,IlumaData!$U:$U,4))</f>
        <v/>
      </c>
      <c r="X69">
        <f>IF(COUNTIFS(IlumaData!$V:$V,$R69,IlumaData!$U:$U,5,IlumaData!$N:$N,"&lt;&gt;")=0,"",SUMIFS(IlumaData!$N:$N,IlumaData!$V:$V,$R69,IlumaData!$U:$U,5))</f>
        <v/>
      </c>
      <c r="Y69">
        <f>IF(COUNTIFS(IlumaData!$V:$V,$R69,IlumaData!$U:$U,6,IlumaData!$N:$N,"&lt;&gt;")=0,"",SUMIFS(IlumaData!$N:$N,IlumaData!$V:$V,$R69,IlumaData!$U:$U,6))</f>
        <v/>
      </c>
      <c r="Z69">
        <f>IF(COUNTIFS(IlumaData!$V:$V,$R69,IlumaData!$U:$U,7,IlumaData!$N:$N,"&lt;&gt;")=0,"",SUMIFS(IlumaData!$N:$N,IlumaData!$V:$V,$R69,IlumaData!$U:$U,7))</f>
        <v/>
      </c>
      <c r="AA69">
        <f>IF(COUNTIFS(IlumaData!$V:$V,$R69,IlumaData!$U:$U,8,IlumaData!$N:$N,"&lt;&gt;")=0,"",SUMIFS(IlumaData!$N:$N,IlumaData!$V:$V,$R69,IlumaData!$U:$U,8))</f>
        <v/>
      </c>
      <c r="AB69">
        <f>IF(COUNTIFS(IlumaData!$V:$V,$R69,IlumaData!$U:$U,9,IlumaData!$N:$N,"&lt;&gt;")=0,"",SUMIFS(IlumaData!$N:$N,IlumaData!$V:$V,$R69,IlumaData!$U:$U,9))</f>
        <v/>
      </c>
      <c r="AC69">
        <f>IF(COUNTIFS(IlumaData!$V:$V,$R69,IlumaData!$U:$U,10,IlumaData!$N:$N,"&lt;&gt;")=0,"",SUMIFS(IlumaData!$N:$N,IlumaData!$V:$V,$R69,IlumaData!$U:$U,10))</f>
        <v/>
      </c>
      <c r="AD69">
        <f>IF(COUNTIFS(IlumaData!$V:$V,$R69,IlumaData!$U:$U,11,IlumaData!$N:$N,"&lt;&gt;")=0,"",SUMIFS(IlumaData!$N:$N,IlumaData!$V:$V,$R69,IlumaData!$U:$U,11))</f>
        <v/>
      </c>
      <c r="AE69">
        <f>IF(COUNTIFS(IlumaData!$V:$V,$R69,IlumaData!$U:$U,12,IlumaData!$N:$N,"&lt;&gt;")=0,"",SUMIFS(IlumaData!$N:$N,IlumaData!$V:$V,$R69,IlumaData!$U:$U,12))</f>
        <v/>
      </c>
      <c r="AF69">
        <f>IF(COUNTIFS(IlumaData!$V:$V,$R69,IlumaData!$U:$U,13,IlumaData!$N:$N,"&lt;&gt;")=0,"",SUMIFS(IlumaData!$N:$N,IlumaData!$V:$V,$R69,IlumaData!$U:$U,13))</f>
        <v/>
      </c>
      <c r="AG69">
        <f>IF(COUNTIFS(IlumaData!$V:$V,$R69,IlumaData!$U:$U,14,IlumaData!$N:$N,"&lt;&gt;")=0,"",SUMIFS(IlumaData!$N:$N,IlumaData!$V:$V,$R69,IlumaData!$U:$U,14))</f>
        <v/>
      </c>
      <c r="AH69">
        <f>COUNTIFS(IlumaData!$V:$V,$R69,IlumaData!$U:$U,"&lt;="&amp;14,IlumaData!$N:$N,"&lt;&gt;")</f>
        <v/>
      </c>
      <c r="AI69">
        <f>COUNTIFS(IlumaData!$V:$V,$R69,IlumaData!$U:$U,"&lt;="&amp;14,IlumaData!$N:$N,0)</f>
        <v/>
      </c>
      <c r="AJ69">
        <f>IF(AH69=0,"",AH69-AI69)</f>
        <v/>
      </c>
      <c r="AK69">
        <f>IF(AH69=0,"",SUMIFS(IlumaData!$N:$N,IlumaData!$V:$V,$R69,IlumaData!$U:$U,"&lt;="&amp;14))</f>
        <v/>
      </c>
      <c r="AL69">
        <f>IF(AH69=0,"",IF(ABS(MAX(T69:AG69))&gt;=ABS(MIN(T69:AG69)),MAX(T69:AG69),MIN(T69:AG69)))</f>
        <v/>
      </c>
      <c r="AM69">
        <f>IF(AH69=0,-1,AJ69*100000+MIN(ABS(AK69),99999))</f>
        <v/>
      </c>
      <c r="AN69">
        <f>IF($S69="","",1+COUNTIFS($AM$3:$AM$122,"&gt;"&amp;AM69)+COUNTIFS($AM$3:$AM$122,AM69,$R$3:$R$122,"&lt;"&amp;$R69))</f>
        <v/>
      </c>
    </row>
    <row r="70">
      <c r="R70" t="n">
        <v>68</v>
      </c>
      <c r="S70">
        <f>IFERROR(INDEX(IlumaData!$G:$G,MATCH($R70,IlumaData!$V:$V,0)),"")</f>
        <v/>
      </c>
      <c r="T70">
        <f>IF(COUNTIFS(IlumaData!$V:$V,$R70,IlumaData!$U:$U,1,IlumaData!$N:$N,"&lt;&gt;")=0,"",SUMIFS(IlumaData!$N:$N,IlumaData!$V:$V,$R70,IlumaData!$U:$U,1))</f>
        <v/>
      </c>
      <c r="U70">
        <f>IF(COUNTIFS(IlumaData!$V:$V,$R70,IlumaData!$U:$U,2,IlumaData!$N:$N,"&lt;&gt;")=0,"",SUMIFS(IlumaData!$N:$N,IlumaData!$V:$V,$R70,IlumaData!$U:$U,2))</f>
        <v/>
      </c>
      <c r="V70">
        <f>IF(COUNTIFS(IlumaData!$V:$V,$R70,IlumaData!$U:$U,3,IlumaData!$N:$N,"&lt;&gt;")=0,"",SUMIFS(IlumaData!$N:$N,IlumaData!$V:$V,$R70,IlumaData!$U:$U,3))</f>
        <v/>
      </c>
      <c r="W70">
        <f>IF(COUNTIFS(IlumaData!$V:$V,$R70,IlumaData!$U:$U,4,IlumaData!$N:$N,"&lt;&gt;")=0,"",SUMIFS(IlumaData!$N:$N,IlumaData!$V:$V,$R70,IlumaData!$U:$U,4))</f>
        <v/>
      </c>
      <c r="X70">
        <f>IF(COUNTIFS(IlumaData!$V:$V,$R70,IlumaData!$U:$U,5,IlumaData!$N:$N,"&lt;&gt;")=0,"",SUMIFS(IlumaData!$N:$N,IlumaData!$V:$V,$R70,IlumaData!$U:$U,5))</f>
        <v/>
      </c>
      <c r="Y70">
        <f>IF(COUNTIFS(IlumaData!$V:$V,$R70,IlumaData!$U:$U,6,IlumaData!$N:$N,"&lt;&gt;")=0,"",SUMIFS(IlumaData!$N:$N,IlumaData!$V:$V,$R70,IlumaData!$U:$U,6))</f>
        <v/>
      </c>
      <c r="Z70">
        <f>IF(COUNTIFS(IlumaData!$V:$V,$R70,IlumaData!$U:$U,7,IlumaData!$N:$N,"&lt;&gt;")=0,"",SUMIFS(IlumaData!$N:$N,IlumaData!$V:$V,$R70,IlumaData!$U:$U,7))</f>
        <v/>
      </c>
      <c r="AA70">
        <f>IF(COUNTIFS(IlumaData!$V:$V,$R70,IlumaData!$U:$U,8,IlumaData!$N:$N,"&lt;&gt;")=0,"",SUMIFS(IlumaData!$N:$N,IlumaData!$V:$V,$R70,IlumaData!$U:$U,8))</f>
        <v/>
      </c>
      <c r="AB70">
        <f>IF(COUNTIFS(IlumaData!$V:$V,$R70,IlumaData!$U:$U,9,IlumaData!$N:$N,"&lt;&gt;")=0,"",SUMIFS(IlumaData!$N:$N,IlumaData!$V:$V,$R70,IlumaData!$U:$U,9))</f>
        <v/>
      </c>
      <c r="AC70">
        <f>IF(COUNTIFS(IlumaData!$V:$V,$R70,IlumaData!$U:$U,10,IlumaData!$N:$N,"&lt;&gt;")=0,"",SUMIFS(IlumaData!$N:$N,IlumaData!$V:$V,$R70,IlumaData!$U:$U,10))</f>
        <v/>
      </c>
      <c r="AD70">
        <f>IF(COUNTIFS(IlumaData!$V:$V,$R70,IlumaData!$U:$U,11,IlumaData!$N:$N,"&lt;&gt;")=0,"",SUMIFS(IlumaData!$N:$N,IlumaData!$V:$V,$R70,IlumaData!$U:$U,11))</f>
        <v/>
      </c>
      <c r="AE70">
        <f>IF(COUNTIFS(IlumaData!$V:$V,$R70,IlumaData!$U:$U,12,IlumaData!$N:$N,"&lt;&gt;")=0,"",SUMIFS(IlumaData!$N:$N,IlumaData!$V:$V,$R70,IlumaData!$U:$U,12))</f>
        <v/>
      </c>
      <c r="AF70">
        <f>IF(COUNTIFS(IlumaData!$V:$V,$R70,IlumaData!$U:$U,13,IlumaData!$N:$N,"&lt;&gt;")=0,"",SUMIFS(IlumaData!$N:$N,IlumaData!$V:$V,$R70,IlumaData!$U:$U,13))</f>
        <v/>
      </c>
      <c r="AG70">
        <f>IF(COUNTIFS(IlumaData!$V:$V,$R70,IlumaData!$U:$U,14,IlumaData!$N:$N,"&lt;&gt;")=0,"",SUMIFS(IlumaData!$N:$N,IlumaData!$V:$V,$R70,IlumaData!$U:$U,14))</f>
        <v/>
      </c>
      <c r="AH70">
        <f>COUNTIFS(IlumaData!$V:$V,$R70,IlumaData!$U:$U,"&lt;="&amp;14,IlumaData!$N:$N,"&lt;&gt;")</f>
        <v/>
      </c>
      <c r="AI70">
        <f>COUNTIFS(IlumaData!$V:$V,$R70,IlumaData!$U:$U,"&lt;="&amp;14,IlumaData!$N:$N,0)</f>
        <v/>
      </c>
      <c r="AJ70">
        <f>IF(AH70=0,"",AH70-AI70)</f>
        <v/>
      </c>
      <c r="AK70">
        <f>IF(AH70=0,"",SUMIFS(IlumaData!$N:$N,IlumaData!$V:$V,$R70,IlumaData!$U:$U,"&lt;="&amp;14))</f>
        <v/>
      </c>
      <c r="AL70">
        <f>IF(AH70=0,"",IF(ABS(MAX(T70:AG70))&gt;=ABS(MIN(T70:AG70)),MAX(T70:AG70),MIN(T70:AG70)))</f>
        <v/>
      </c>
      <c r="AM70">
        <f>IF(AH70=0,-1,AJ70*100000+MIN(ABS(AK70),99999))</f>
        <v/>
      </c>
      <c r="AN70">
        <f>IF($S70="","",1+COUNTIFS($AM$3:$AM$122,"&gt;"&amp;AM70)+COUNTIFS($AM$3:$AM$122,AM70,$R$3:$R$122,"&lt;"&amp;$R70))</f>
        <v/>
      </c>
    </row>
    <row r="71">
      <c r="R71" t="n">
        <v>69</v>
      </c>
      <c r="S71">
        <f>IFERROR(INDEX(IlumaData!$G:$G,MATCH($R71,IlumaData!$V:$V,0)),"")</f>
        <v/>
      </c>
      <c r="T71">
        <f>IF(COUNTIFS(IlumaData!$V:$V,$R71,IlumaData!$U:$U,1,IlumaData!$N:$N,"&lt;&gt;")=0,"",SUMIFS(IlumaData!$N:$N,IlumaData!$V:$V,$R71,IlumaData!$U:$U,1))</f>
        <v/>
      </c>
      <c r="U71">
        <f>IF(COUNTIFS(IlumaData!$V:$V,$R71,IlumaData!$U:$U,2,IlumaData!$N:$N,"&lt;&gt;")=0,"",SUMIFS(IlumaData!$N:$N,IlumaData!$V:$V,$R71,IlumaData!$U:$U,2))</f>
        <v/>
      </c>
      <c r="V71">
        <f>IF(COUNTIFS(IlumaData!$V:$V,$R71,IlumaData!$U:$U,3,IlumaData!$N:$N,"&lt;&gt;")=0,"",SUMIFS(IlumaData!$N:$N,IlumaData!$V:$V,$R71,IlumaData!$U:$U,3))</f>
        <v/>
      </c>
      <c r="W71">
        <f>IF(COUNTIFS(IlumaData!$V:$V,$R71,IlumaData!$U:$U,4,IlumaData!$N:$N,"&lt;&gt;")=0,"",SUMIFS(IlumaData!$N:$N,IlumaData!$V:$V,$R71,IlumaData!$U:$U,4))</f>
        <v/>
      </c>
      <c r="X71">
        <f>IF(COUNTIFS(IlumaData!$V:$V,$R71,IlumaData!$U:$U,5,IlumaData!$N:$N,"&lt;&gt;")=0,"",SUMIFS(IlumaData!$N:$N,IlumaData!$V:$V,$R71,IlumaData!$U:$U,5))</f>
        <v/>
      </c>
      <c r="Y71">
        <f>IF(COUNTIFS(IlumaData!$V:$V,$R71,IlumaData!$U:$U,6,IlumaData!$N:$N,"&lt;&gt;")=0,"",SUMIFS(IlumaData!$N:$N,IlumaData!$V:$V,$R71,IlumaData!$U:$U,6))</f>
        <v/>
      </c>
      <c r="Z71">
        <f>IF(COUNTIFS(IlumaData!$V:$V,$R71,IlumaData!$U:$U,7,IlumaData!$N:$N,"&lt;&gt;")=0,"",SUMIFS(IlumaData!$N:$N,IlumaData!$V:$V,$R71,IlumaData!$U:$U,7))</f>
        <v/>
      </c>
      <c r="AA71">
        <f>IF(COUNTIFS(IlumaData!$V:$V,$R71,IlumaData!$U:$U,8,IlumaData!$N:$N,"&lt;&gt;")=0,"",SUMIFS(IlumaData!$N:$N,IlumaData!$V:$V,$R71,IlumaData!$U:$U,8))</f>
        <v/>
      </c>
      <c r="AB71">
        <f>IF(COUNTIFS(IlumaData!$V:$V,$R71,IlumaData!$U:$U,9,IlumaData!$N:$N,"&lt;&gt;")=0,"",SUMIFS(IlumaData!$N:$N,IlumaData!$V:$V,$R71,IlumaData!$U:$U,9))</f>
        <v/>
      </c>
      <c r="AC71">
        <f>IF(COUNTIFS(IlumaData!$V:$V,$R71,IlumaData!$U:$U,10,IlumaData!$N:$N,"&lt;&gt;")=0,"",SUMIFS(IlumaData!$N:$N,IlumaData!$V:$V,$R71,IlumaData!$U:$U,10))</f>
        <v/>
      </c>
      <c r="AD71">
        <f>IF(COUNTIFS(IlumaData!$V:$V,$R71,IlumaData!$U:$U,11,IlumaData!$N:$N,"&lt;&gt;")=0,"",SUMIFS(IlumaData!$N:$N,IlumaData!$V:$V,$R71,IlumaData!$U:$U,11))</f>
        <v/>
      </c>
      <c r="AE71">
        <f>IF(COUNTIFS(IlumaData!$V:$V,$R71,IlumaData!$U:$U,12,IlumaData!$N:$N,"&lt;&gt;")=0,"",SUMIFS(IlumaData!$N:$N,IlumaData!$V:$V,$R71,IlumaData!$U:$U,12))</f>
        <v/>
      </c>
      <c r="AF71">
        <f>IF(COUNTIFS(IlumaData!$V:$V,$R71,IlumaData!$U:$U,13,IlumaData!$N:$N,"&lt;&gt;")=0,"",SUMIFS(IlumaData!$N:$N,IlumaData!$V:$V,$R71,IlumaData!$U:$U,13))</f>
        <v/>
      </c>
      <c r="AG71">
        <f>IF(COUNTIFS(IlumaData!$V:$V,$R71,IlumaData!$U:$U,14,IlumaData!$N:$N,"&lt;&gt;")=0,"",SUMIFS(IlumaData!$N:$N,IlumaData!$V:$V,$R71,IlumaData!$U:$U,14))</f>
        <v/>
      </c>
      <c r="AH71">
        <f>COUNTIFS(IlumaData!$V:$V,$R71,IlumaData!$U:$U,"&lt;="&amp;14,IlumaData!$N:$N,"&lt;&gt;")</f>
        <v/>
      </c>
      <c r="AI71">
        <f>COUNTIFS(IlumaData!$V:$V,$R71,IlumaData!$U:$U,"&lt;="&amp;14,IlumaData!$N:$N,0)</f>
        <v/>
      </c>
      <c r="AJ71">
        <f>IF(AH71=0,"",AH71-AI71)</f>
        <v/>
      </c>
      <c r="AK71">
        <f>IF(AH71=0,"",SUMIFS(IlumaData!$N:$N,IlumaData!$V:$V,$R71,IlumaData!$U:$U,"&lt;="&amp;14))</f>
        <v/>
      </c>
      <c r="AL71">
        <f>IF(AH71=0,"",IF(ABS(MAX(T71:AG71))&gt;=ABS(MIN(T71:AG71)),MAX(T71:AG71),MIN(T71:AG71)))</f>
        <v/>
      </c>
      <c r="AM71">
        <f>IF(AH71=0,-1,AJ71*100000+MIN(ABS(AK71),99999))</f>
        <v/>
      </c>
      <c r="AN71">
        <f>IF($S71="","",1+COUNTIFS($AM$3:$AM$122,"&gt;"&amp;AM71)+COUNTIFS($AM$3:$AM$122,AM71,$R$3:$R$122,"&lt;"&amp;$R71))</f>
        <v/>
      </c>
    </row>
    <row r="72">
      <c r="R72" t="n">
        <v>70</v>
      </c>
      <c r="S72">
        <f>IFERROR(INDEX(IlumaData!$G:$G,MATCH($R72,IlumaData!$V:$V,0)),"")</f>
        <v/>
      </c>
      <c r="T72">
        <f>IF(COUNTIFS(IlumaData!$V:$V,$R72,IlumaData!$U:$U,1,IlumaData!$N:$N,"&lt;&gt;")=0,"",SUMIFS(IlumaData!$N:$N,IlumaData!$V:$V,$R72,IlumaData!$U:$U,1))</f>
        <v/>
      </c>
      <c r="U72">
        <f>IF(COUNTIFS(IlumaData!$V:$V,$R72,IlumaData!$U:$U,2,IlumaData!$N:$N,"&lt;&gt;")=0,"",SUMIFS(IlumaData!$N:$N,IlumaData!$V:$V,$R72,IlumaData!$U:$U,2))</f>
        <v/>
      </c>
      <c r="V72">
        <f>IF(COUNTIFS(IlumaData!$V:$V,$R72,IlumaData!$U:$U,3,IlumaData!$N:$N,"&lt;&gt;")=0,"",SUMIFS(IlumaData!$N:$N,IlumaData!$V:$V,$R72,IlumaData!$U:$U,3))</f>
        <v/>
      </c>
      <c r="W72">
        <f>IF(COUNTIFS(IlumaData!$V:$V,$R72,IlumaData!$U:$U,4,IlumaData!$N:$N,"&lt;&gt;")=0,"",SUMIFS(IlumaData!$N:$N,IlumaData!$V:$V,$R72,IlumaData!$U:$U,4))</f>
        <v/>
      </c>
      <c r="X72">
        <f>IF(COUNTIFS(IlumaData!$V:$V,$R72,IlumaData!$U:$U,5,IlumaData!$N:$N,"&lt;&gt;")=0,"",SUMIFS(IlumaData!$N:$N,IlumaData!$V:$V,$R72,IlumaData!$U:$U,5))</f>
        <v/>
      </c>
      <c r="Y72">
        <f>IF(COUNTIFS(IlumaData!$V:$V,$R72,IlumaData!$U:$U,6,IlumaData!$N:$N,"&lt;&gt;")=0,"",SUMIFS(IlumaData!$N:$N,IlumaData!$V:$V,$R72,IlumaData!$U:$U,6))</f>
        <v/>
      </c>
      <c r="Z72">
        <f>IF(COUNTIFS(IlumaData!$V:$V,$R72,IlumaData!$U:$U,7,IlumaData!$N:$N,"&lt;&gt;")=0,"",SUMIFS(IlumaData!$N:$N,IlumaData!$V:$V,$R72,IlumaData!$U:$U,7))</f>
        <v/>
      </c>
      <c r="AA72">
        <f>IF(COUNTIFS(IlumaData!$V:$V,$R72,IlumaData!$U:$U,8,IlumaData!$N:$N,"&lt;&gt;")=0,"",SUMIFS(IlumaData!$N:$N,IlumaData!$V:$V,$R72,IlumaData!$U:$U,8))</f>
        <v/>
      </c>
      <c r="AB72">
        <f>IF(COUNTIFS(IlumaData!$V:$V,$R72,IlumaData!$U:$U,9,IlumaData!$N:$N,"&lt;&gt;")=0,"",SUMIFS(IlumaData!$N:$N,IlumaData!$V:$V,$R72,IlumaData!$U:$U,9))</f>
        <v/>
      </c>
      <c r="AC72">
        <f>IF(COUNTIFS(IlumaData!$V:$V,$R72,IlumaData!$U:$U,10,IlumaData!$N:$N,"&lt;&gt;")=0,"",SUMIFS(IlumaData!$N:$N,IlumaData!$V:$V,$R72,IlumaData!$U:$U,10))</f>
        <v/>
      </c>
      <c r="AD72">
        <f>IF(COUNTIFS(IlumaData!$V:$V,$R72,IlumaData!$U:$U,11,IlumaData!$N:$N,"&lt;&gt;")=0,"",SUMIFS(IlumaData!$N:$N,IlumaData!$V:$V,$R72,IlumaData!$U:$U,11))</f>
        <v/>
      </c>
      <c r="AE72">
        <f>IF(COUNTIFS(IlumaData!$V:$V,$R72,IlumaData!$U:$U,12,IlumaData!$N:$N,"&lt;&gt;")=0,"",SUMIFS(IlumaData!$N:$N,IlumaData!$V:$V,$R72,IlumaData!$U:$U,12))</f>
        <v/>
      </c>
      <c r="AF72">
        <f>IF(COUNTIFS(IlumaData!$V:$V,$R72,IlumaData!$U:$U,13,IlumaData!$N:$N,"&lt;&gt;")=0,"",SUMIFS(IlumaData!$N:$N,IlumaData!$V:$V,$R72,IlumaData!$U:$U,13))</f>
        <v/>
      </c>
      <c r="AG72">
        <f>IF(COUNTIFS(IlumaData!$V:$V,$R72,IlumaData!$U:$U,14,IlumaData!$N:$N,"&lt;&gt;")=0,"",SUMIFS(IlumaData!$N:$N,IlumaData!$V:$V,$R72,IlumaData!$U:$U,14))</f>
        <v/>
      </c>
      <c r="AH72">
        <f>COUNTIFS(IlumaData!$V:$V,$R72,IlumaData!$U:$U,"&lt;="&amp;14,IlumaData!$N:$N,"&lt;&gt;")</f>
        <v/>
      </c>
      <c r="AI72">
        <f>COUNTIFS(IlumaData!$V:$V,$R72,IlumaData!$U:$U,"&lt;="&amp;14,IlumaData!$N:$N,0)</f>
        <v/>
      </c>
      <c r="AJ72">
        <f>IF(AH72=0,"",AH72-AI72)</f>
        <v/>
      </c>
      <c r="AK72">
        <f>IF(AH72=0,"",SUMIFS(IlumaData!$N:$N,IlumaData!$V:$V,$R72,IlumaData!$U:$U,"&lt;="&amp;14))</f>
        <v/>
      </c>
      <c r="AL72">
        <f>IF(AH72=0,"",IF(ABS(MAX(T72:AG72))&gt;=ABS(MIN(T72:AG72)),MAX(T72:AG72),MIN(T72:AG72)))</f>
        <v/>
      </c>
      <c r="AM72">
        <f>IF(AH72=0,-1,AJ72*100000+MIN(ABS(AK72),99999))</f>
        <v/>
      </c>
      <c r="AN72">
        <f>IF($S72="","",1+COUNTIFS($AM$3:$AM$122,"&gt;"&amp;AM72)+COUNTIFS($AM$3:$AM$122,AM72,$R$3:$R$122,"&lt;"&amp;$R72))</f>
        <v/>
      </c>
    </row>
    <row r="73">
      <c r="R73" t="n">
        <v>71</v>
      </c>
      <c r="S73">
        <f>IFERROR(INDEX(IlumaData!$G:$G,MATCH($R73,IlumaData!$V:$V,0)),"")</f>
        <v/>
      </c>
      <c r="T73">
        <f>IF(COUNTIFS(IlumaData!$V:$V,$R73,IlumaData!$U:$U,1,IlumaData!$N:$N,"&lt;&gt;")=0,"",SUMIFS(IlumaData!$N:$N,IlumaData!$V:$V,$R73,IlumaData!$U:$U,1))</f>
        <v/>
      </c>
      <c r="U73">
        <f>IF(COUNTIFS(IlumaData!$V:$V,$R73,IlumaData!$U:$U,2,IlumaData!$N:$N,"&lt;&gt;")=0,"",SUMIFS(IlumaData!$N:$N,IlumaData!$V:$V,$R73,IlumaData!$U:$U,2))</f>
        <v/>
      </c>
      <c r="V73">
        <f>IF(COUNTIFS(IlumaData!$V:$V,$R73,IlumaData!$U:$U,3,IlumaData!$N:$N,"&lt;&gt;")=0,"",SUMIFS(IlumaData!$N:$N,IlumaData!$V:$V,$R73,IlumaData!$U:$U,3))</f>
        <v/>
      </c>
      <c r="W73">
        <f>IF(COUNTIFS(IlumaData!$V:$V,$R73,IlumaData!$U:$U,4,IlumaData!$N:$N,"&lt;&gt;")=0,"",SUMIFS(IlumaData!$N:$N,IlumaData!$V:$V,$R73,IlumaData!$U:$U,4))</f>
        <v/>
      </c>
      <c r="X73">
        <f>IF(COUNTIFS(IlumaData!$V:$V,$R73,IlumaData!$U:$U,5,IlumaData!$N:$N,"&lt;&gt;")=0,"",SUMIFS(IlumaData!$N:$N,IlumaData!$V:$V,$R73,IlumaData!$U:$U,5))</f>
        <v/>
      </c>
      <c r="Y73">
        <f>IF(COUNTIFS(IlumaData!$V:$V,$R73,IlumaData!$U:$U,6,IlumaData!$N:$N,"&lt;&gt;")=0,"",SUMIFS(IlumaData!$N:$N,IlumaData!$V:$V,$R73,IlumaData!$U:$U,6))</f>
        <v/>
      </c>
      <c r="Z73">
        <f>IF(COUNTIFS(IlumaData!$V:$V,$R73,IlumaData!$U:$U,7,IlumaData!$N:$N,"&lt;&gt;")=0,"",SUMIFS(IlumaData!$N:$N,IlumaData!$V:$V,$R73,IlumaData!$U:$U,7))</f>
        <v/>
      </c>
      <c r="AA73">
        <f>IF(COUNTIFS(IlumaData!$V:$V,$R73,IlumaData!$U:$U,8,IlumaData!$N:$N,"&lt;&gt;")=0,"",SUMIFS(IlumaData!$N:$N,IlumaData!$V:$V,$R73,IlumaData!$U:$U,8))</f>
        <v/>
      </c>
      <c r="AB73">
        <f>IF(COUNTIFS(IlumaData!$V:$V,$R73,IlumaData!$U:$U,9,IlumaData!$N:$N,"&lt;&gt;")=0,"",SUMIFS(IlumaData!$N:$N,IlumaData!$V:$V,$R73,IlumaData!$U:$U,9))</f>
        <v/>
      </c>
      <c r="AC73">
        <f>IF(COUNTIFS(IlumaData!$V:$V,$R73,IlumaData!$U:$U,10,IlumaData!$N:$N,"&lt;&gt;")=0,"",SUMIFS(IlumaData!$N:$N,IlumaData!$V:$V,$R73,IlumaData!$U:$U,10))</f>
        <v/>
      </c>
      <c r="AD73">
        <f>IF(COUNTIFS(IlumaData!$V:$V,$R73,IlumaData!$U:$U,11,IlumaData!$N:$N,"&lt;&gt;")=0,"",SUMIFS(IlumaData!$N:$N,IlumaData!$V:$V,$R73,IlumaData!$U:$U,11))</f>
        <v/>
      </c>
      <c r="AE73">
        <f>IF(COUNTIFS(IlumaData!$V:$V,$R73,IlumaData!$U:$U,12,IlumaData!$N:$N,"&lt;&gt;")=0,"",SUMIFS(IlumaData!$N:$N,IlumaData!$V:$V,$R73,IlumaData!$U:$U,12))</f>
        <v/>
      </c>
      <c r="AF73">
        <f>IF(COUNTIFS(IlumaData!$V:$V,$R73,IlumaData!$U:$U,13,IlumaData!$N:$N,"&lt;&gt;")=0,"",SUMIFS(IlumaData!$N:$N,IlumaData!$V:$V,$R73,IlumaData!$U:$U,13))</f>
        <v/>
      </c>
      <c r="AG73">
        <f>IF(COUNTIFS(IlumaData!$V:$V,$R73,IlumaData!$U:$U,14,IlumaData!$N:$N,"&lt;&gt;")=0,"",SUMIFS(IlumaData!$N:$N,IlumaData!$V:$V,$R73,IlumaData!$U:$U,14))</f>
        <v/>
      </c>
      <c r="AH73">
        <f>COUNTIFS(IlumaData!$V:$V,$R73,IlumaData!$U:$U,"&lt;="&amp;14,IlumaData!$N:$N,"&lt;&gt;")</f>
        <v/>
      </c>
      <c r="AI73">
        <f>COUNTIFS(IlumaData!$V:$V,$R73,IlumaData!$U:$U,"&lt;="&amp;14,IlumaData!$N:$N,0)</f>
        <v/>
      </c>
      <c r="AJ73">
        <f>IF(AH73=0,"",AH73-AI73)</f>
        <v/>
      </c>
      <c r="AK73">
        <f>IF(AH73=0,"",SUMIFS(IlumaData!$N:$N,IlumaData!$V:$V,$R73,IlumaData!$U:$U,"&lt;="&amp;14))</f>
        <v/>
      </c>
      <c r="AL73">
        <f>IF(AH73=0,"",IF(ABS(MAX(T73:AG73))&gt;=ABS(MIN(T73:AG73)),MAX(T73:AG73),MIN(T73:AG73)))</f>
        <v/>
      </c>
      <c r="AM73">
        <f>IF(AH73=0,-1,AJ73*100000+MIN(ABS(AK73),99999))</f>
        <v/>
      </c>
      <c r="AN73">
        <f>IF($S73="","",1+COUNTIFS($AM$3:$AM$122,"&gt;"&amp;AM73)+COUNTIFS($AM$3:$AM$122,AM73,$R$3:$R$122,"&lt;"&amp;$R73))</f>
        <v/>
      </c>
    </row>
    <row r="74">
      <c r="R74" t="n">
        <v>72</v>
      </c>
      <c r="S74">
        <f>IFERROR(INDEX(IlumaData!$G:$G,MATCH($R74,IlumaData!$V:$V,0)),"")</f>
        <v/>
      </c>
      <c r="T74">
        <f>IF(COUNTIFS(IlumaData!$V:$V,$R74,IlumaData!$U:$U,1,IlumaData!$N:$N,"&lt;&gt;")=0,"",SUMIFS(IlumaData!$N:$N,IlumaData!$V:$V,$R74,IlumaData!$U:$U,1))</f>
        <v/>
      </c>
      <c r="U74">
        <f>IF(COUNTIFS(IlumaData!$V:$V,$R74,IlumaData!$U:$U,2,IlumaData!$N:$N,"&lt;&gt;")=0,"",SUMIFS(IlumaData!$N:$N,IlumaData!$V:$V,$R74,IlumaData!$U:$U,2))</f>
        <v/>
      </c>
      <c r="V74">
        <f>IF(COUNTIFS(IlumaData!$V:$V,$R74,IlumaData!$U:$U,3,IlumaData!$N:$N,"&lt;&gt;")=0,"",SUMIFS(IlumaData!$N:$N,IlumaData!$V:$V,$R74,IlumaData!$U:$U,3))</f>
        <v/>
      </c>
      <c r="W74">
        <f>IF(COUNTIFS(IlumaData!$V:$V,$R74,IlumaData!$U:$U,4,IlumaData!$N:$N,"&lt;&gt;")=0,"",SUMIFS(IlumaData!$N:$N,IlumaData!$V:$V,$R74,IlumaData!$U:$U,4))</f>
        <v/>
      </c>
      <c r="X74">
        <f>IF(COUNTIFS(IlumaData!$V:$V,$R74,IlumaData!$U:$U,5,IlumaData!$N:$N,"&lt;&gt;")=0,"",SUMIFS(IlumaData!$N:$N,IlumaData!$V:$V,$R74,IlumaData!$U:$U,5))</f>
        <v/>
      </c>
      <c r="Y74">
        <f>IF(COUNTIFS(IlumaData!$V:$V,$R74,IlumaData!$U:$U,6,IlumaData!$N:$N,"&lt;&gt;")=0,"",SUMIFS(IlumaData!$N:$N,IlumaData!$V:$V,$R74,IlumaData!$U:$U,6))</f>
        <v/>
      </c>
      <c r="Z74">
        <f>IF(COUNTIFS(IlumaData!$V:$V,$R74,IlumaData!$U:$U,7,IlumaData!$N:$N,"&lt;&gt;")=0,"",SUMIFS(IlumaData!$N:$N,IlumaData!$V:$V,$R74,IlumaData!$U:$U,7))</f>
        <v/>
      </c>
      <c r="AA74">
        <f>IF(COUNTIFS(IlumaData!$V:$V,$R74,IlumaData!$U:$U,8,IlumaData!$N:$N,"&lt;&gt;")=0,"",SUMIFS(IlumaData!$N:$N,IlumaData!$V:$V,$R74,IlumaData!$U:$U,8))</f>
        <v/>
      </c>
      <c r="AB74">
        <f>IF(COUNTIFS(IlumaData!$V:$V,$R74,IlumaData!$U:$U,9,IlumaData!$N:$N,"&lt;&gt;")=0,"",SUMIFS(IlumaData!$N:$N,IlumaData!$V:$V,$R74,IlumaData!$U:$U,9))</f>
        <v/>
      </c>
      <c r="AC74">
        <f>IF(COUNTIFS(IlumaData!$V:$V,$R74,IlumaData!$U:$U,10,IlumaData!$N:$N,"&lt;&gt;")=0,"",SUMIFS(IlumaData!$N:$N,IlumaData!$V:$V,$R74,IlumaData!$U:$U,10))</f>
        <v/>
      </c>
      <c r="AD74">
        <f>IF(COUNTIFS(IlumaData!$V:$V,$R74,IlumaData!$U:$U,11,IlumaData!$N:$N,"&lt;&gt;")=0,"",SUMIFS(IlumaData!$N:$N,IlumaData!$V:$V,$R74,IlumaData!$U:$U,11))</f>
        <v/>
      </c>
      <c r="AE74">
        <f>IF(COUNTIFS(IlumaData!$V:$V,$R74,IlumaData!$U:$U,12,IlumaData!$N:$N,"&lt;&gt;")=0,"",SUMIFS(IlumaData!$N:$N,IlumaData!$V:$V,$R74,IlumaData!$U:$U,12))</f>
        <v/>
      </c>
      <c r="AF74">
        <f>IF(COUNTIFS(IlumaData!$V:$V,$R74,IlumaData!$U:$U,13,IlumaData!$N:$N,"&lt;&gt;")=0,"",SUMIFS(IlumaData!$N:$N,IlumaData!$V:$V,$R74,IlumaData!$U:$U,13))</f>
        <v/>
      </c>
      <c r="AG74">
        <f>IF(COUNTIFS(IlumaData!$V:$V,$R74,IlumaData!$U:$U,14,IlumaData!$N:$N,"&lt;&gt;")=0,"",SUMIFS(IlumaData!$N:$N,IlumaData!$V:$V,$R74,IlumaData!$U:$U,14))</f>
        <v/>
      </c>
      <c r="AH74">
        <f>COUNTIFS(IlumaData!$V:$V,$R74,IlumaData!$U:$U,"&lt;="&amp;14,IlumaData!$N:$N,"&lt;&gt;")</f>
        <v/>
      </c>
      <c r="AI74">
        <f>COUNTIFS(IlumaData!$V:$V,$R74,IlumaData!$U:$U,"&lt;="&amp;14,IlumaData!$N:$N,0)</f>
        <v/>
      </c>
      <c r="AJ74">
        <f>IF(AH74=0,"",AH74-AI74)</f>
        <v/>
      </c>
      <c r="AK74">
        <f>IF(AH74=0,"",SUMIFS(IlumaData!$N:$N,IlumaData!$V:$V,$R74,IlumaData!$U:$U,"&lt;="&amp;14))</f>
        <v/>
      </c>
      <c r="AL74">
        <f>IF(AH74=0,"",IF(ABS(MAX(T74:AG74))&gt;=ABS(MIN(T74:AG74)),MAX(T74:AG74),MIN(T74:AG74)))</f>
        <v/>
      </c>
      <c r="AM74">
        <f>IF(AH74=0,-1,AJ74*100000+MIN(ABS(AK74),99999))</f>
        <v/>
      </c>
      <c r="AN74">
        <f>IF($S74="","",1+COUNTIFS($AM$3:$AM$122,"&gt;"&amp;AM74)+COUNTIFS($AM$3:$AM$122,AM74,$R$3:$R$122,"&lt;"&amp;$R74))</f>
        <v/>
      </c>
    </row>
    <row r="75">
      <c r="R75" t="n">
        <v>73</v>
      </c>
      <c r="S75">
        <f>IFERROR(INDEX(IlumaData!$G:$G,MATCH($R75,IlumaData!$V:$V,0)),"")</f>
        <v/>
      </c>
      <c r="T75">
        <f>IF(COUNTIFS(IlumaData!$V:$V,$R75,IlumaData!$U:$U,1,IlumaData!$N:$N,"&lt;&gt;")=0,"",SUMIFS(IlumaData!$N:$N,IlumaData!$V:$V,$R75,IlumaData!$U:$U,1))</f>
        <v/>
      </c>
      <c r="U75">
        <f>IF(COUNTIFS(IlumaData!$V:$V,$R75,IlumaData!$U:$U,2,IlumaData!$N:$N,"&lt;&gt;")=0,"",SUMIFS(IlumaData!$N:$N,IlumaData!$V:$V,$R75,IlumaData!$U:$U,2))</f>
        <v/>
      </c>
      <c r="V75">
        <f>IF(COUNTIFS(IlumaData!$V:$V,$R75,IlumaData!$U:$U,3,IlumaData!$N:$N,"&lt;&gt;")=0,"",SUMIFS(IlumaData!$N:$N,IlumaData!$V:$V,$R75,IlumaData!$U:$U,3))</f>
        <v/>
      </c>
      <c r="W75">
        <f>IF(COUNTIFS(IlumaData!$V:$V,$R75,IlumaData!$U:$U,4,IlumaData!$N:$N,"&lt;&gt;")=0,"",SUMIFS(IlumaData!$N:$N,IlumaData!$V:$V,$R75,IlumaData!$U:$U,4))</f>
        <v/>
      </c>
      <c r="X75">
        <f>IF(COUNTIFS(IlumaData!$V:$V,$R75,IlumaData!$U:$U,5,IlumaData!$N:$N,"&lt;&gt;")=0,"",SUMIFS(IlumaData!$N:$N,IlumaData!$V:$V,$R75,IlumaData!$U:$U,5))</f>
        <v/>
      </c>
      <c r="Y75">
        <f>IF(COUNTIFS(IlumaData!$V:$V,$R75,IlumaData!$U:$U,6,IlumaData!$N:$N,"&lt;&gt;")=0,"",SUMIFS(IlumaData!$N:$N,IlumaData!$V:$V,$R75,IlumaData!$U:$U,6))</f>
        <v/>
      </c>
      <c r="Z75">
        <f>IF(COUNTIFS(IlumaData!$V:$V,$R75,IlumaData!$U:$U,7,IlumaData!$N:$N,"&lt;&gt;")=0,"",SUMIFS(IlumaData!$N:$N,IlumaData!$V:$V,$R75,IlumaData!$U:$U,7))</f>
        <v/>
      </c>
      <c r="AA75">
        <f>IF(COUNTIFS(IlumaData!$V:$V,$R75,IlumaData!$U:$U,8,IlumaData!$N:$N,"&lt;&gt;")=0,"",SUMIFS(IlumaData!$N:$N,IlumaData!$V:$V,$R75,IlumaData!$U:$U,8))</f>
        <v/>
      </c>
      <c r="AB75">
        <f>IF(COUNTIFS(IlumaData!$V:$V,$R75,IlumaData!$U:$U,9,IlumaData!$N:$N,"&lt;&gt;")=0,"",SUMIFS(IlumaData!$N:$N,IlumaData!$V:$V,$R75,IlumaData!$U:$U,9))</f>
        <v/>
      </c>
      <c r="AC75">
        <f>IF(COUNTIFS(IlumaData!$V:$V,$R75,IlumaData!$U:$U,10,IlumaData!$N:$N,"&lt;&gt;")=0,"",SUMIFS(IlumaData!$N:$N,IlumaData!$V:$V,$R75,IlumaData!$U:$U,10))</f>
        <v/>
      </c>
      <c r="AD75">
        <f>IF(COUNTIFS(IlumaData!$V:$V,$R75,IlumaData!$U:$U,11,IlumaData!$N:$N,"&lt;&gt;")=0,"",SUMIFS(IlumaData!$N:$N,IlumaData!$V:$V,$R75,IlumaData!$U:$U,11))</f>
        <v/>
      </c>
      <c r="AE75">
        <f>IF(COUNTIFS(IlumaData!$V:$V,$R75,IlumaData!$U:$U,12,IlumaData!$N:$N,"&lt;&gt;")=0,"",SUMIFS(IlumaData!$N:$N,IlumaData!$V:$V,$R75,IlumaData!$U:$U,12))</f>
        <v/>
      </c>
      <c r="AF75">
        <f>IF(COUNTIFS(IlumaData!$V:$V,$R75,IlumaData!$U:$U,13,IlumaData!$N:$N,"&lt;&gt;")=0,"",SUMIFS(IlumaData!$N:$N,IlumaData!$V:$V,$R75,IlumaData!$U:$U,13))</f>
        <v/>
      </c>
      <c r="AG75">
        <f>IF(COUNTIFS(IlumaData!$V:$V,$R75,IlumaData!$U:$U,14,IlumaData!$N:$N,"&lt;&gt;")=0,"",SUMIFS(IlumaData!$N:$N,IlumaData!$V:$V,$R75,IlumaData!$U:$U,14))</f>
        <v/>
      </c>
      <c r="AH75">
        <f>COUNTIFS(IlumaData!$V:$V,$R75,IlumaData!$U:$U,"&lt;="&amp;14,IlumaData!$N:$N,"&lt;&gt;")</f>
        <v/>
      </c>
      <c r="AI75">
        <f>COUNTIFS(IlumaData!$V:$V,$R75,IlumaData!$U:$U,"&lt;="&amp;14,IlumaData!$N:$N,0)</f>
        <v/>
      </c>
      <c r="AJ75">
        <f>IF(AH75=0,"",AH75-AI75)</f>
        <v/>
      </c>
      <c r="AK75">
        <f>IF(AH75=0,"",SUMIFS(IlumaData!$N:$N,IlumaData!$V:$V,$R75,IlumaData!$U:$U,"&lt;="&amp;14))</f>
        <v/>
      </c>
      <c r="AL75">
        <f>IF(AH75=0,"",IF(ABS(MAX(T75:AG75))&gt;=ABS(MIN(T75:AG75)),MAX(T75:AG75),MIN(T75:AG75)))</f>
        <v/>
      </c>
      <c r="AM75">
        <f>IF(AH75=0,-1,AJ75*100000+MIN(ABS(AK75),99999))</f>
        <v/>
      </c>
      <c r="AN75">
        <f>IF($S75="","",1+COUNTIFS($AM$3:$AM$122,"&gt;"&amp;AM75)+COUNTIFS($AM$3:$AM$122,AM75,$R$3:$R$122,"&lt;"&amp;$R75))</f>
        <v/>
      </c>
    </row>
    <row r="76">
      <c r="R76" t="n">
        <v>74</v>
      </c>
      <c r="S76">
        <f>IFERROR(INDEX(IlumaData!$G:$G,MATCH($R76,IlumaData!$V:$V,0)),"")</f>
        <v/>
      </c>
      <c r="T76">
        <f>IF(COUNTIFS(IlumaData!$V:$V,$R76,IlumaData!$U:$U,1,IlumaData!$N:$N,"&lt;&gt;")=0,"",SUMIFS(IlumaData!$N:$N,IlumaData!$V:$V,$R76,IlumaData!$U:$U,1))</f>
        <v/>
      </c>
      <c r="U76">
        <f>IF(COUNTIFS(IlumaData!$V:$V,$R76,IlumaData!$U:$U,2,IlumaData!$N:$N,"&lt;&gt;")=0,"",SUMIFS(IlumaData!$N:$N,IlumaData!$V:$V,$R76,IlumaData!$U:$U,2))</f>
        <v/>
      </c>
      <c r="V76">
        <f>IF(COUNTIFS(IlumaData!$V:$V,$R76,IlumaData!$U:$U,3,IlumaData!$N:$N,"&lt;&gt;")=0,"",SUMIFS(IlumaData!$N:$N,IlumaData!$V:$V,$R76,IlumaData!$U:$U,3))</f>
        <v/>
      </c>
      <c r="W76">
        <f>IF(COUNTIFS(IlumaData!$V:$V,$R76,IlumaData!$U:$U,4,IlumaData!$N:$N,"&lt;&gt;")=0,"",SUMIFS(IlumaData!$N:$N,IlumaData!$V:$V,$R76,IlumaData!$U:$U,4))</f>
        <v/>
      </c>
      <c r="X76">
        <f>IF(COUNTIFS(IlumaData!$V:$V,$R76,IlumaData!$U:$U,5,IlumaData!$N:$N,"&lt;&gt;")=0,"",SUMIFS(IlumaData!$N:$N,IlumaData!$V:$V,$R76,IlumaData!$U:$U,5))</f>
        <v/>
      </c>
      <c r="Y76">
        <f>IF(COUNTIFS(IlumaData!$V:$V,$R76,IlumaData!$U:$U,6,IlumaData!$N:$N,"&lt;&gt;")=0,"",SUMIFS(IlumaData!$N:$N,IlumaData!$V:$V,$R76,IlumaData!$U:$U,6))</f>
        <v/>
      </c>
      <c r="Z76">
        <f>IF(COUNTIFS(IlumaData!$V:$V,$R76,IlumaData!$U:$U,7,IlumaData!$N:$N,"&lt;&gt;")=0,"",SUMIFS(IlumaData!$N:$N,IlumaData!$V:$V,$R76,IlumaData!$U:$U,7))</f>
        <v/>
      </c>
      <c r="AA76">
        <f>IF(COUNTIFS(IlumaData!$V:$V,$R76,IlumaData!$U:$U,8,IlumaData!$N:$N,"&lt;&gt;")=0,"",SUMIFS(IlumaData!$N:$N,IlumaData!$V:$V,$R76,IlumaData!$U:$U,8))</f>
        <v/>
      </c>
      <c r="AB76">
        <f>IF(COUNTIFS(IlumaData!$V:$V,$R76,IlumaData!$U:$U,9,IlumaData!$N:$N,"&lt;&gt;")=0,"",SUMIFS(IlumaData!$N:$N,IlumaData!$V:$V,$R76,IlumaData!$U:$U,9))</f>
        <v/>
      </c>
      <c r="AC76">
        <f>IF(COUNTIFS(IlumaData!$V:$V,$R76,IlumaData!$U:$U,10,IlumaData!$N:$N,"&lt;&gt;")=0,"",SUMIFS(IlumaData!$N:$N,IlumaData!$V:$V,$R76,IlumaData!$U:$U,10))</f>
        <v/>
      </c>
      <c r="AD76">
        <f>IF(COUNTIFS(IlumaData!$V:$V,$R76,IlumaData!$U:$U,11,IlumaData!$N:$N,"&lt;&gt;")=0,"",SUMIFS(IlumaData!$N:$N,IlumaData!$V:$V,$R76,IlumaData!$U:$U,11))</f>
        <v/>
      </c>
      <c r="AE76">
        <f>IF(COUNTIFS(IlumaData!$V:$V,$R76,IlumaData!$U:$U,12,IlumaData!$N:$N,"&lt;&gt;")=0,"",SUMIFS(IlumaData!$N:$N,IlumaData!$V:$V,$R76,IlumaData!$U:$U,12))</f>
        <v/>
      </c>
      <c r="AF76">
        <f>IF(COUNTIFS(IlumaData!$V:$V,$R76,IlumaData!$U:$U,13,IlumaData!$N:$N,"&lt;&gt;")=0,"",SUMIFS(IlumaData!$N:$N,IlumaData!$V:$V,$R76,IlumaData!$U:$U,13))</f>
        <v/>
      </c>
      <c r="AG76">
        <f>IF(COUNTIFS(IlumaData!$V:$V,$R76,IlumaData!$U:$U,14,IlumaData!$N:$N,"&lt;&gt;")=0,"",SUMIFS(IlumaData!$N:$N,IlumaData!$V:$V,$R76,IlumaData!$U:$U,14))</f>
        <v/>
      </c>
      <c r="AH76">
        <f>COUNTIFS(IlumaData!$V:$V,$R76,IlumaData!$U:$U,"&lt;="&amp;14,IlumaData!$N:$N,"&lt;&gt;")</f>
        <v/>
      </c>
      <c r="AI76">
        <f>COUNTIFS(IlumaData!$V:$V,$R76,IlumaData!$U:$U,"&lt;="&amp;14,IlumaData!$N:$N,0)</f>
        <v/>
      </c>
      <c r="AJ76">
        <f>IF(AH76=0,"",AH76-AI76)</f>
        <v/>
      </c>
      <c r="AK76">
        <f>IF(AH76=0,"",SUMIFS(IlumaData!$N:$N,IlumaData!$V:$V,$R76,IlumaData!$U:$U,"&lt;="&amp;14))</f>
        <v/>
      </c>
      <c r="AL76">
        <f>IF(AH76=0,"",IF(ABS(MAX(T76:AG76))&gt;=ABS(MIN(T76:AG76)),MAX(T76:AG76),MIN(T76:AG76)))</f>
        <v/>
      </c>
      <c r="AM76">
        <f>IF(AH76=0,-1,AJ76*100000+MIN(ABS(AK76),99999))</f>
        <v/>
      </c>
      <c r="AN76">
        <f>IF($S76="","",1+COUNTIFS($AM$3:$AM$122,"&gt;"&amp;AM76)+COUNTIFS($AM$3:$AM$122,AM76,$R$3:$R$122,"&lt;"&amp;$R76))</f>
        <v/>
      </c>
    </row>
    <row r="77">
      <c r="R77" t="n">
        <v>75</v>
      </c>
      <c r="S77">
        <f>IFERROR(INDEX(IlumaData!$G:$G,MATCH($R77,IlumaData!$V:$V,0)),"")</f>
        <v/>
      </c>
      <c r="T77">
        <f>IF(COUNTIFS(IlumaData!$V:$V,$R77,IlumaData!$U:$U,1,IlumaData!$N:$N,"&lt;&gt;")=0,"",SUMIFS(IlumaData!$N:$N,IlumaData!$V:$V,$R77,IlumaData!$U:$U,1))</f>
        <v/>
      </c>
      <c r="U77">
        <f>IF(COUNTIFS(IlumaData!$V:$V,$R77,IlumaData!$U:$U,2,IlumaData!$N:$N,"&lt;&gt;")=0,"",SUMIFS(IlumaData!$N:$N,IlumaData!$V:$V,$R77,IlumaData!$U:$U,2))</f>
        <v/>
      </c>
      <c r="V77">
        <f>IF(COUNTIFS(IlumaData!$V:$V,$R77,IlumaData!$U:$U,3,IlumaData!$N:$N,"&lt;&gt;")=0,"",SUMIFS(IlumaData!$N:$N,IlumaData!$V:$V,$R77,IlumaData!$U:$U,3))</f>
        <v/>
      </c>
      <c r="W77">
        <f>IF(COUNTIFS(IlumaData!$V:$V,$R77,IlumaData!$U:$U,4,IlumaData!$N:$N,"&lt;&gt;")=0,"",SUMIFS(IlumaData!$N:$N,IlumaData!$V:$V,$R77,IlumaData!$U:$U,4))</f>
        <v/>
      </c>
      <c r="X77">
        <f>IF(COUNTIFS(IlumaData!$V:$V,$R77,IlumaData!$U:$U,5,IlumaData!$N:$N,"&lt;&gt;")=0,"",SUMIFS(IlumaData!$N:$N,IlumaData!$V:$V,$R77,IlumaData!$U:$U,5))</f>
        <v/>
      </c>
      <c r="Y77">
        <f>IF(COUNTIFS(IlumaData!$V:$V,$R77,IlumaData!$U:$U,6,IlumaData!$N:$N,"&lt;&gt;")=0,"",SUMIFS(IlumaData!$N:$N,IlumaData!$V:$V,$R77,IlumaData!$U:$U,6))</f>
        <v/>
      </c>
      <c r="Z77">
        <f>IF(COUNTIFS(IlumaData!$V:$V,$R77,IlumaData!$U:$U,7,IlumaData!$N:$N,"&lt;&gt;")=0,"",SUMIFS(IlumaData!$N:$N,IlumaData!$V:$V,$R77,IlumaData!$U:$U,7))</f>
        <v/>
      </c>
      <c r="AA77">
        <f>IF(COUNTIFS(IlumaData!$V:$V,$R77,IlumaData!$U:$U,8,IlumaData!$N:$N,"&lt;&gt;")=0,"",SUMIFS(IlumaData!$N:$N,IlumaData!$V:$V,$R77,IlumaData!$U:$U,8))</f>
        <v/>
      </c>
      <c r="AB77">
        <f>IF(COUNTIFS(IlumaData!$V:$V,$R77,IlumaData!$U:$U,9,IlumaData!$N:$N,"&lt;&gt;")=0,"",SUMIFS(IlumaData!$N:$N,IlumaData!$V:$V,$R77,IlumaData!$U:$U,9))</f>
        <v/>
      </c>
      <c r="AC77">
        <f>IF(COUNTIFS(IlumaData!$V:$V,$R77,IlumaData!$U:$U,10,IlumaData!$N:$N,"&lt;&gt;")=0,"",SUMIFS(IlumaData!$N:$N,IlumaData!$V:$V,$R77,IlumaData!$U:$U,10))</f>
        <v/>
      </c>
      <c r="AD77">
        <f>IF(COUNTIFS(IlumaData!$V:$V,$R77,IlumaData!$U:$U,11,IlumaData!$N:$N,"&lt;&gt;")=0,"",SUMIFS(IlumaData!$N:$N,IlumaData!$V:$V,$R77,IlumaData!$U:$U,11))</f>
        <v/>
      </c>
      <c r="AE77">
        <f>IF(COUNTIFS(IlumaData!$V:$V,$R77,IlumaData!$U:$U,12,IlumaData!$N:$N,"&lt;&gt;")=0,"",SUMIFS(IlumaData!$N:$N,IlumaData!$V:$V,$R77,IlumaData!$U:$U,12))</f>
        <v/>
      </c>
      <c r="AF77">
        <f>IF(COUNTIFS(IlumaData!$V:$V,$R77,IlumaData!$U:$U,13,IlumaData!$N:$N,"&lt;&gt;")=0,"",SUMIFS(IlumaData!$N:$N,IlumaData!$V:$V,$R77,IlumaData!$U:$U,13))</f>
        <v/>
      </c>
      <c r="AG77">
        <f>IF(COUNTIFS(IlumaData!$V:$V,$R77,IlumaData!$U:$U,14,IlumaData!$N:$N,"&lt;&gt;")=0,"",SUMIFS(IlumaData!$N:$N,IlumaData!$V:$V,$R77,IlumaData!$U:$U,14))</f>
        <v/>
      </c>
      <c r="AH77">
        <f>COUNTIFS(IlumaData!$V:$V,$R77,IlumaData!$U:$U,"&lt;="&amp;14,IlumaData!$N:$N,"&lt;&gt;")</f>
        <v/>
      </c>
      <c r="AI77">
        <f>COUNTIFS(IlumaData!$V:$V,$R77,IlumaData!$U:$U,"&lt;="&amp;14,IlumaData!$N:$N,0)</f>
        <v/>
      </c>
      <c r="AJ77">
        <f>IF(AH77=0,"",AH77-AI77)</f>
        <v/>
      </c>
      <c r="AK77">
        <f>IF(AH77=0,"",SUMIFS(IlumaData!$N:$N,IlumaData!$V:$V,$R77,IlumaData!$U:$U,"&lt;="&amp;14))</f>
        <v/>
      </c>
      <c r="AL77">
        <f>IF(AH77=0,"",IF(ABS(MAX(T77:AG77))&gt;=ABS(MIN(T77:AG77)),MAX(T77:AG77),MIN(T77:AG77)))</f>
        <v/>
      </c>
      <c r="AM77">
        <f>IF(AH77=0,-1,AJ77*100000+MIN(ABS(AK77),99999))</f>
        <v/>
      </c>
      <c r="AN77">
        <f>IF($S77="","",1+COUNTIFS($AM$3:$AM$122,"&gt;"&amp;AM77)+COUNTIFS($AM$3:$AM$122,AM77,$R$3:$R$122,"&lt;"&amp;$R77))</f>
        <v/>
      </c>
    </row>
    <row r="78">
      <c r="R78" t="n">
        <v>76</v>
      </c>
      <c r="S78">
        <f>IFERROR(INDEX(IlumaData!$G:$G,MATCH($R78,IlumaData!$V:$V,0)),"")</f>
        <v/>
      </c>
      <c r="T78">
        <f>IF(COUNTIFS(IlumaData!$V:$V,$R78,IlumaData!$U:$U,1,IlumaData!$N:$N,"&lt;&gt;")=0,"",SUMIFS(IlumaData!$N:$N,IlumaData!$V:$V,$R78,IlumaData!$U:$U,1))</f>
        <v/>
      </c>
      <c r="U78">
        <f>IF(COUNTIFS(IlumaData!$V:$V,$R78,IlumaData!$U:$U,2,IlumaData!$N:$N,"&lt;&gt;")=0,"",SUMIFS(IlumaData!$N:$N,IlumaData!$V:$V,$R78,IlumaData!$U:$U,2))</f>
        <v/>
      </c>
      <c r="V78">
        <f>IF(COUNTIFS(IlumaData!$V:$V,$R78,IlumaData!$U:$U,3,IlumaData!$N:$N,"&lt;&gt;")=0,"",SUMIFS(IlumaData!$N:$N,IlumaData!$V:$V,$R78,IlumaData!$U:$U,3))</f>
        <v/>
      </c>
      <c r="W78">
        <f>IF(COUNTIFS(IlumaData!$V:$V,$R78,IlumaData!$U:$U,4,IlumaData!$N:$N,"&lt;&gt;")=0,"",SUMIFS(IlumaData!$N:$N,IlumaData!$V:$V,$R78,IlumaData!$U:$U,4))</f>
        <v/>
      </c>
      <c r="X78">
        <f>IF(COUNTIFS(IlumaData!$V:$V,$R78,IlumaData!$U:$U,5,IlumaData!$N:$N,"&lt;&gt;")=0,"",SUMIFS(IlumaData!$N:$N,IlumaData!$V:$V,$R78,IlumaData!$U:$U,5))</f>
        <v/>
      </c>
      <c r="Y78">
        <f>IF(COUNTIFS(IlumaData!$V:$V,$R78,IlumaData!$U:$U,6,IlumaData!$N:$N,"&lt;&gt;")=0,"",SUMIFS(IlumaData!$N:$N,IlumaData!$V:$V,$R78,IlumaData!$U:$U,6))</f>
        <v/>
      </c>
      <c r="Z78">
        <f>IF(COUNTIFS(IlumaData!$V:$V,$R78,IlumaData!$U:$U,7,IlumaData!$N:$N,"&lt;&gt;")=0,"",SUMIFS(IlumaData!$N:$N,IlumaData!$V:$V,$R78,IlumaData!$U:$U,7))</f>
        <v/>
      </c>
      <c r="AA78">
        <f>IF(COUNTIFS(IlumaData!$V:$V,$R78,IlumaData!$U:$U,8,IlumaData!$N:$N,"&lt;&gt;")=0,"",SUMIFS(IlumaData!$N:$N,IlumaData!$V:$V,$R78,IlumaData!$U:$U,8))</f>
        <v/>
      </c>
      <c r="AB78">
        <f>IF(COUNTIFS(IlumaData!$V:$V,$R78,IlumaData!$U:$U,9,IlumaData!$N:$N,"&lt;&gt;")=0,"",SUMIFS(IlumaData!$N:$N,IlumaData!$V:$V,$R78,IlumaData!$U:$U,9))</f>
        <v/>
      </c>
      <c r="AC78">
        <f>IF(COUNTIFS(IlumaData!$V:$V,$R78,IlumaData!$U:$U,10,IlumaData!$N:$N,"&lt;&gt;")=0,"",SUMIFS(IlumaData!$N:$N,IlumaData!$V:$V,$R78,IlumaData!$U:$U,10))</f>
        <v/>
      </c>
      <c r="AD78">
        <f>IF(COUNTIFS(IlumaData!$V:$V,$R78,IlumaData!$U:$U,11,IlumaData!$N:$N,"&lt;&gt;")=0,"",SUMIFS(IlumaData!$N:$N,IlumaData!$V:$V,$R78,IlumaData!$U:$U,11))</f>
        <v/>
      </c>
      <c r="AE78">
        <f>IF(COUNTIFS(IlumaData!$V:$V,$R78,IlumaData!$U:$U,12,IlumaData!$N:$N,"&lt;&gt;")=0,"",SUMIFS(IlumaData!$N:$N,IlumaData!$V:$V,$R78,IlumaData!$U:$U,12))</f>
        <v/>
      </c>
      <c r="AF78">
        <f>IF(COUNTIFS(IlumaData!$V:$V,$R78,IlumaData!$U:$U,13,IlumaData!$N:$N,"&lt;&gt;")=0,"",SUMIFS(IlumaData!$N:$N,IlumaData!$V:$V,$R78,IlumaData!$U:$U,13))</f>
        <v/>
      </c>
      <c r="AG78">
        <f>IF(COUNTIFS(IlumaData!$V:$V,$R78,IlumaData!$U:$U,14,IlumaData!$N:$N,"&lt;&gt;")=0,"",SUMIFS(IlumaData!$N:$N,IlumaData!$V:$V,$R78,IlumaData!$U:$U,14))</f>
        <v/>
      </c>
      <c r="AH78">
        <f>COUNTIFS(IlumaData!$V:$V,$R78,IlumaData!$U:$U,"&lt;="&amp;14,IlumaData!$N:$N,"&lt;&gt;")</f>
        <v/>
      </c>
      <c r="AI78">
        <f>COUNTIFS(IlumaData!$V:$V,$R78,IlumaData!$U:$U,"&lt;="&amp;14,IlumaData!$N:$N,0)</f>
        <v/>
      </c>
      <c r="AJ78">
        <f>IF(AH78=0,"",AH78-AI78)</f>
        <v/>
      </c>
      <c r="AK78">
        <f>IF(AH78=0,"",SUMIFS(IlumaData!$N:$N,IlumaData!$V:$V,$R78,IlumaData!$U:$U,"&lt;="&amp;14))</f>
        <v/>
      </c>
      <c r="AL78">
        <f>IF(AH78=0,"",IF(ABS(MAX(T78:AG78))&gt;=ABS(MIN(T78:AG78)),MAX(T78:AG78),MIN(T78:AG78)))</f>
        <v/>
      </c>
      <c r="AM78">
        <f>IF(AH78=0,-1,AJ78*100000+MIN(ABS(AK78),99999))</f>
        <v/>
      </c>
      <c r="AN78">
        <f>IF($S78="","",1+COUNTIFS($AM$3:$AM$122,"&gt;"&amp;AM78)+COUNTIFS($AM$3:$AM$122,AM78,$R$3:$R$122,"&lt;"&amp;$R78))</f>
        <v/>
      </c>
    </row>
    <row r="79">
      <c r="R79" t="n">
        <v>77</v>
      </c>
      <c r="S79">
        <f>IFERROR(INDEX(IlumaData!$G:$G,MATCH($R79,IlumaData!$V:$V,0)),"")</f>
        <v/>
      </c>
      <c r="T79">
        <f>IF(COUNTIFS(IlumaData!$V:$V,$R79,IlumaData!$U:$U,1,IlumaData!$N:$N,"&lt;&gt;")=0,"",SUMIFS(IlumaData!$N:$N,IlumaData!$V:$V,$R79,IlumaData!$U:$U,1))</f>
        <v/>
      </c>
      <c r="U79">
        <f>IF(COUNTIFS(IlumaData!$V:$V,$R79,IlumaData!$U:$U,2,IlumaData!$N:$N,"&lt;&gt;")=0,"",SUMIFS(IlumaData!$N:$N,IlumaData!$V:$V,$R79,IlumaData!$U:$U,2))</f>
        <v/>
      </c>
      <c r="V79">
        <f>IF(COUNTIFS(IlumaData!$V:$V,$R79,IlumaData!$U:$U,3,IlumaData!$N:$N,"&lt;&gt;")=0,"",SUMIFS(IlumaData!$N:$N,IlumaData!$V:$V,$R79,IlumaData!$U:$U,3))</f>
        <v/>
      </c>
      <c r="W79">
        <f>IF(COUNTIFS(IlumaData!$V:$V,$R79,IlumaData!$U:$U,4,IlumaData!$N:$N,"&lt;&gt;")=0,"",SUMIFS(IlumaData!$N:$N,IlumaData!$V:$V,$R79,IlumaData!$U:$U,4))</f>
        <v/>
      </c>
      <c r="X79">
        <f>IF(COUNTIFS(IlumaData!$V:$V,$R79,IlumaData!$U:$U,5,IlumaData!$N:$N,"&lt;&gt;")=0,"",SUMIFS(IlumaData!$N:$N,IlumaData!$V:$V,$R79,IlumaData!$U:$U,5))</f>
        <v/>
      </c>
      <c r="Y79">
        <f>IF(COUNTIFS(IlumaData!$V:$V,$R79,IlumaData!$U:$U,6,IlumaData!$N:$N,"&lt;&gt;")=0,"",SUMIFS(IlumaData!$N:$N,IlumaData!$V:$V,$R79,IlumaData!$U:$U,6))</f>
        <v/>
      </c>
      <c r="Z79">
        <f>IF(COUNTIFS(IlumaData!$V:$V,$R79,IlumaData!$U:$U,7,IlumaData!$N:$N,"&lt;&gt;")=0,"",SUMIFS(IlumaData!$N:$N,IlumaData!$V:$V,$R79,IlumaData!$U:$U,7))</f>
        <v/>
      </c>
      <c r="AA79">
        <f>IF(COUNTIFS(IlumaData!$V:$V,$R79,IlumaData!$U:$U,8,IlumaData!$N:$N,"&lt;&gt;")=0,"",SUMIFS(IlumaData!$N:$N,IlumaData!$V:$V,$R79,IlumaData!$U:$U,8))</f>
        <v/>
      </c>
      <c r="AB79">
        <f>IF(COUNTIFS(IlumaData!$V:$V,$R79,IlumaData!$U:$U,9,IlumaData!$N:$N,"&lt;&gt;")=0,"",SUMIFS(IlumaData!$N:$N,IlumaData!$V:$V,$R79,IlumaData!$U:$U,9))</f>
        <v/>
      </c>
      <c r="AC79">
        <f>IF(COUNTIFS(IlumaData!$V:$V,$R79,IlumaData!$U:$U,10,IlumaData!$N:$N,"&lt;&gt;")=0,"",SUMIFS(IlumaData!$N:$N,IlumaData!$V:$V,$R79,IlumaData!$U:$U,10))</f>
        <v/>
      </c>
      <c r="AD79">
        <f>IF(COUNTIFS(IlumaData!$V:$V,$R79,IlumaData!$U:$U,11,IlumaData!$N:$N,"&lt;&gt;")=0,"",SUMIFS(IlumaData!$N:$N,IlumaData!$V:$V,$R79,IlumaData!$U:$U,11))</f>
        <v/>
      </c>
      <c r="AE79">
        <f>IF(COUNTIFS(IlumaData!$V:$V,$R79,IlumaData!$U:$U,12,IlumaData!$N:$N,"&lt;&gt;")=0,"",SUMIFS(IlumaData!$N:$N,IlumaData!$V:$V,$R79,IlumaData!$U:$U,12))</f>
        <v/>
      </c>
      <c r="AF79">
        <f>IF(COUNTIFS(IlumaData!$V:$V,$R79,IlumaData!$U:$U,13,IlumaData!$N:$N,"&lt;&gt;")=0,"",SUMIFS(IlumaData!$N:$N,IlumaData!$V:$V,$R79,IlumaData!$U:$U,13))</f>
        <v/>
      </c>
      <c r="AG79">
        <f>IF(COUNTIFS(IlumaData!$V:$V,$R79,IlumaData!$U:$U,14,IlumaData!$N:$N,"&lt;&gt;")=0,"",SUMIFS(IlumaData!$N:$N,IlumaData!$V:$V,$R79,IlumaData!$U:$U,14))</f>
        <v/>
      </c>
      <c r="AH79">
        <f>COUNTIFS(IlumaData!$V:$V,$R79,IlumaData!$U:$U,"&lt;="&amp;14,IlumaData!$N:$N,"&lt;&gt;")</f>
        <v/>
      </c>
      <c r="AI79">
        <f>COUNTIFS(IlumaData!$V:$V,$R79,IlumaData!$U:$U,"&lt;="&amp;14,IlumaData!$N:$N,0)</f>
        <v/>
      </c>
      <c r="AJ79">
        <f>IF(AH79=0,"",AH79-AI79)</f>
        <v/>
      </c>
      <c r="AK79">
        <f>IF(AH79=0,"",SUMIFS(IlumaData!$N:$N,IlumaData!$V:$V,$R79,IlumaData!$U:$U,"&lt;="&amp;14))</f>
        <v/>
      </c>
      <c r="AL79">
        <f>IF(AH79=0,"",IF(ABS(MAX(T79:AG79))&gt;=ABS(MIN(T79:AG79)),MAX(T79:AG79),MIN(T79:AG79)))</f>
        <v/>
      </c>
      <c r="AM79">
        <f>IF(AH79=0,-1,AJ79*100000+MIN(ABS(AK79),99999))</f>
        <v/>
      </c>
      <c r="AN79">
        <f>IF($S79="","",1+COUNTIFS($AM$3:$AM$122,"&gt;"&amp;AM79)+COUNTIFS($AM$3:$AM$122,AM79,$R$3:$R$122,"&lt;"&amp;$R79))</f>
        <v/>
      </c>
    </row>
    <row r="80">
      <c r="R80" t="n">
        <v>78</v>
      </c>
      <c r="S80">
        <f>IFERROR(INDEX(IlumaData!$G:$G,MATCH($R80,IlumaData!$V:$V,0)),"")</f>
        <v/>
      </c>
      <c r="T80">
        <f>IF(COUNTIFS(IlumaData!$V:$V,$R80,IlumaData!$U:$U,1,IlumaData!$N:$N,"&lt;&gt;")=0,"",SUMIFS(IlumaData!$N:$N,IlumaData!$V:$V,$R80,IlumaData!$U:$U,1))</f>
        <v/>
      </c>
      <c r="U80">
        <f>IF(COUNTIFS(IlumaData!$V:$V,$R80,IlumaData!$U:$U,2,IlumaData!$N:$N,"&lt;&gt;")=0,"",SUMIFS(IlumaData!$N:$N,IlumaData!$V:$V,$R80,IlumaData!$U:$U,2))</f>
        <v/>
      </c>
      <c r="V80">
        <f>IF(COUNTIFS(IlumaData!$V:$V,$R80,IlumaData!$U:$U,3,IlumaData!$N:$N,"&lt;&gt;")=0,"",SUMIFS(IlumaData!$N:$N,IlumaData!$V:$V,$R80,IlumaData!$U:$U,3))</f>
        <v/>
      </c>
      <c r="W80">
        <f>IF(COUNTIFS(IlumaData!$V:$V,$R80,IlumaData!$U:$U,4,IlumaData!$N:$N,"&lt;&gt;")=0,"",SUMIFS(IlumaData!$N:$N,IlumaData!$V:$V,$R80,IlumaData!$U:$U,4))</f>
        <v/>
      </c>
      <c r="X80">
        <f>IF(COUNTIFS(IlumaData!$V:$V,$R80,IlumaData!$U:$U,5,IlumaData!$N:$N,"&lt;&gt;")=0,"",SUMIFS(IlumaData!$N:$N,IlumaData!$V:$V,$R80,IlumaData!$U:$U,5))</f>
        <v/>
      </c>
      <c r="Y80">
        <f>IF(COUNTIFS(IlumaData!$V:$V,$R80,IlumaData!$U:$U,6,IlumaData!$N:$N,"&lt;&gt;")=0,"",SUMIFS(IlumaData!$N:$N,IlumaData!$V:$V,$R80,IlumaData!$U:$U,6))</f>
        <v/>
      </c>
      <c r="Z80">
        <f>IF(COUNTIFS(IlumaData!$V:$V,$R80,IlumaData!$U:$U,7,IlumaData!$N:$N,"&lt;&gt;")=0,"",SUMIFS(IlumaData!$N:$N,IlumaData!$V:$V,$R80,IlumaData!$U:$U,7))</f>
        <v/>
      </c>
      <c r="AA80">
        <f>IF(COUNTIFS(IlumaData!$V:$V,$R80,IlumaData!$U:$U,8,IlumaData!$N:$N,"&lt;&gt;")=0,"",SUMIFS(IlumaData!$N:$N,IlumaData!$V:$V,$R80,IlumaData!$U:$U,8))</f>
        <v/>
      </c>
      <c r="AB80">
        <f>IF(COUNTIFS(IlumaData!$V:$V,$R80,IlumaData!$U:$U,9,IlumaData!$N:$N,"&lt;&gt;")=0,"",SUMIFS(IlumaData!$N:$N,IlumaData!$V:$V,$R80,IlumaData!$U:$U,9))</f>
        <v/>
      </c>
      <c r="AC80">
        <f>IF(COUNTIFS(IlumaData!$V:$V,$R80,IlumaData!$U:$U,10,IlumaData!$N:$N,"&lt;&gt;")=0,"",SUMIFS(IlumaData!$N:$N,IlumaData!$V:$V,$R80,IlumaData!$U:$U,10))</f>
        <v/>
      </c>
      <c r="AD80">
        <f>IF(COUNTIFS(IlumaData!$V:$V,$R80,IlumaData!$U:$U,11,IlumaData!$N:$N,"&lt;&gt;")=0,"",SUMIFS(IlumaData!$N:$N,IlumaData!$V:$V,$R80,IlumaData!$U:$U,11))</f>
        <v/>
      </c>
      <c r="AE80">
        <f>IF(COUNTIFS(IlumaData!$V:$V,$R80,IlumaData!$U:$U,12,IlumaData!$N:$N,"&lt;&gt;")=0,"",SUMIFS(IlumaData!$N:$N,IlumaData!$V:$V,$R80,IlumaData!$U:$U,12))</f>
        <v/>
      </c>
      <c r="AF80">
        <f>IF(COUNTIFS(IlumaData!$V:$V,$R80,IlumaData!$U:$U,13,IlumaData!$N:$N,"&lt;&gt;")=0,"",SUMIFS(IlumaData!$N:$N,IlumaData!$V:$V,$R80,IlumaData!$U:$U,13))</f>
        <v/>
      </c>
      <c r="AG80">
        <f>IF(COUNTIFS(IlumaData!$V:$V,$R80,IlumaData!$U:$U,14,IlumaData!$N:$N,"&lt;&gt;")=0,"",SUMIFS(IlumaData!$N:$N,IlumaData!$V:$V,$R80,IlumaData!$U:$U,14))</f>
        <v/>
      </c>
      <c r="AH80">
        <f>COUNTIFS(IlumaData!$V:$V,$R80,IlumaData!$U:$U,"&lt;="&amp;14,IlumaData!$N:$N,"&lt;&gt;")</f>
        <v/>
      </c>
      <c r="AI80">
        <f>COUNTIFS(IlumaData!$V:$V,$R80,IlumaData!$U:$U,"&lt;="&amp;14,IlumaData!$N:$N,0)</f>
        <v/>
      </c>
      <c r="AJ80">
        <f>IF(AH80=0,"",AH80-AI80)</f>
        <v/>
      </c>
      <c r="AK80">
        <f>IF(AH80=0,"",SUMIFS(IlumaData!$N:$N,IlumaData!$V:$V,$R80,IlumaData!$U:$U,"&lt;="&amp;14))</f>
        <v/>
      </c>
      <c r="AL80">
        <f>IF(AH80=0,"",IF(ABS(MAX(T80:AG80))&gt;=ABS(MIN(T80:AG80)),MAX(T80:AG80),MIN(T80:AG80)))</f>
        <v/>
      </c>
      <c r="AM80">
        <f>IF(AH80=0,-1,AJ80*100000+MIN(ABS(AK80),99999))</f>
        <v/>
      </c>
      <c r="AN80">
        <f>IF($S80="","",1+COUNTIFS($AM$3:$AM$122,"&gt;"&amp;AM80)+COUNTIFS($AM$3:$AM$122,AM80,$R$3:$R$122,"&lt;"&amp;$R80))</f>
        <v/>
      </c>
    </row>
    <row r="81">
      <c r="R81" t="n">
        <v>79</v>
      </c>
      <c r="S81">
        <f>IFERROR(INDEX(IlumaData!$G:$G,MATCH($R81,IlumaData!$V:$V,0)),"")</f>
        <v/>
      </c>
      <c r="T81">
        <f>IF(COUNTIFS(IlumaData!$V:$V,$R81,IlumaData!$U:$U,1,IlumaData!$N:$N,"&lt;&gt;")=0,"",SUMIFS(IlumaData!$N:$N,IlumaData!$V:$V,$R81,IlumaData!$U:$U,1))</f>
        <v/>
      </c>
      <c r="U81">
        <f>IF(COUNTIFS(IlumaData!$V:$V,$R81,IlumaData!$U:$U,2,IlumaData!$N:$N,"&lt;&gt;")=0,"",SUMIFS(IlumaData!$N:$N,IlumaData!$V:$V,$R81,IlumaData!$U:$U,2))</f>
        <v/>
      </c>
      <c r="V81">
        <f>IF(COUNTIFS(IlumaData!$V:$V,$R81,IlumaData!$U:$U,3,IlumaData!$N:$N,"&lt;&gt;")=0,"",SUMIFS(IlumaData!$N:$N,IlumaData!$V:$V,$R81,IlumaData!$U:$U,3))</f>
        <v/>
      </c>
      <c r="W81">
        <f>IF(COUNTIFS(IlumaData!$V:$V,$R81,IlumaData!$U:$U,4,IlumaData!$N:$N,"&lt;&gt;")=0,"",SUMIFS(IlumaData!$N:$N,IlumaData!$V:$V,$R81,IlumaData!$U:$U,4))</f>
        <v/>
      </c>
      <c r="X81">
        <f>IF(COUNTIFS(IlumaData!$V:$V,$R81,IlumaData!$U:$U,5,IlumaData!$N:$N,"&lt;&gt;")=0,"",SUMIFS(IlumaData!$N:$N,IlumaData!$V:$V,$R81,IlumaData!$U:$U,5))</f>
        <v/>
      </c>
      <c r="Y81">
        <f>IF(COUNTIFS(IlumaData!$V:$V,$R81,IlumaData!$U:$U,6,IlumaData!$N:$N,"&lt;&gt;")=0,"",SUMIFS(IlumaData!$N:$N,IlumaData!$V:$V,$R81,IlumaData!$U:$U,6))</f>
        <v/>
      </c>
      <c r="Z81">
        <f>IF(COUNTIFS(IlumaData!$V:$V,$R81,IlumaData!$U:$U,7,IlumaData!$N:$N,"&lt;&gt;")=0,"",SUMIFS(IlumaData!$N:$N,IlumaData!$V:$V,$R81,IlumaData!$U:$U,7))</f>
        <v/>
      </c>
      <c r="AA81">
        <f>IF(COUNTIFS(IlumaData!$V:$V,$R81,IlumaData!$U:$U,8,IlumaData!$N:$N,"&lt;&gt;")=0,"",SUMIFS(IlumaData!$N:$N,IlumaData!$V:$V,$R81,IlumaData!$U:$U,8))</f>
        <v/>
      </c>
      <c r="AB81">
        <f>IF(COUNTIFS(IlumaData!$V:$V,$R81,IlumaData!$U:$U,9,IlumaData!$N:$N,"&lt;&gt;")=0,"",SUMIFS(IlumaData!$N:$N,IlumaData!$V:$V,$R81,IlumaData!$U:$U,9))</f>
        <v/>
      </c>
      <c r="AC81">
        <f>IF(COUNTIFS(IlumaData!$V:$V,$R81,IlumaData!$U:$U,10,IlumaData!$N:$N,"&lt;&gt;")=0,"",SUMIFS(IlumaData!$N:$N,IlumaData!$V:$V,$R81,IlumaData!$U:$U,10))</f>
        <v/>
      </c>
      <c r="AD81">
        <f>IF(COUNTIFS(IlumaData!$V:$V,$R81,IlumaData!$U:$U,11,IlumaData!$N:$N,"&lt;&gt;")=0,"",SUMIFS(IlumaData!$N:$N,IlumaData!$V:$V,$R81,IlumaData!$U:$U,11))</f>
        <v/>
      </c>
      <c r="AE81">
        <f>IF(COUNTIFS(IlumaData!$V:$V,$R81,IlumaData!$U:$U,12,IlumaData!$N:$N,"&lt;&gt;")=0,"",SUMIFS(IlumaData!$N:$N,IlumaData!$V:$V,$R81,IlumaData!$U:$U,12))</f>
        <v/>
      </c>
      <c r="AF81">
        <f>IF(COUNTIFS(IlumaData!$V:$V,$R81,IlumaData!$U:$U,13,IlumaData!$N:$N,"&lt;&gt;")=0,"",SUMIFS(IlumaData!$N:$N,IlumaData!$V:$V,$R81,IlumaData!$U:$U,13))</f>
        <v/>
      </c>
      <c r="AG81">
        <f>IF(COUNTIFS(IlumaData!$V:$V,$R81,IlumaData!$U:$U,14,IlumaData!$N:$N,"&lt;&gt;")=0,"",SUMIFS(IlumaData!$N:$N,IlumaData!$V:$V,$R81,IlumaData!$U:$U,14))</f>
        <v/>
      </c>
      <c r="AH81">
        <f>COUNTIFS(IlumaData!$V:$V,$R81,IlumaData!$U:$U,"&lt;="&amp;14,IlumaData!$N:$N,"&lt;&gt;")</f>
        <v/>
      </c>
      <c r="AI81">
        <f>COUNTIFS(IlumaData!$V:$V,$R81,IlumaData!$U:$U,"&lt;="&amp;14,IlumaData!$N:$N,0)</f>
        <v/>
      </c>
      <c r="AJ81">
        <f>IF(AH81=0,"",AH81-AI81)</f>
        <v/>
      </c>
      <c r="AK81">
        <f>IF(AH81=0,"",SUMIFS(IlumaData!$N:$N,IlumaData!$V:$V,$R81,IlumaData!$U:$U,"&lt;="&amp;14))</f>
        <v/>
      </c>
      <c r="AL81">
        <f>IF(AH81=0,"",IF(ABS(MAX(T81:AG81))&gt;=ABS(MIN(T81:AG81)),MAX(T81:AG81),MIN(T81:AG81)))</f>
        <v/>
      </c>
      <c r="AM81">
        <f>IF(AH81=0,-1,AJ81*100000+MIN(ABS(AK81),99999))</f>
        <v/>
      </c>
      <c r="AN81">
        <f>IF($S81="","",1+COUNTIFS($AM$3:$AM$122,"&gt;"&amp;AM81)+COUNTIFS($AM$3:$AM$122,AM81,$R$3:$R$122,"&lt;"&amp;$R81))</f>
        <v/>
      </c>
    </row>
    <row r="82">
      <c r="R82" t="n">
        <v>80</v>
      </c>
      <c r="S82">
        <f>IFERROR(INDEX(IlumaData!$G:$G,MATCH($R82,IlumaData!$V:$V,0)),"")</f>
        <v/>
      </c>
      <c r="T82">
        <f>IF(COUNTIFS(IlumaData!$V:$V,$R82,IlumaData!$U:$U,1,IlumaData!$N:$N,"&lt;&gt;")=0,"",SUMIFS(IlumaData!$N:$N,IlumaData!$V:$V,$R82,IlumaData!$U:$U,1))</f>
        <v/>
      </c>
      <c r="U82">
        <f>IF(COUNTIFS(IlumaData!$V:$V,$R82,IlumaData!$U:$U,2,IlumaData!$N:$N,"&lt;&gt;")=0,"",SUMIFS(IlumaData!$N:$N,IlumaData!$V:$V,$R82,IlumaData!$U:$U,2))</f>
        <v/>
      </c>
      <c r="V82">
        <f>IF(COUNTIFS(IlumaData!$V:$V,$R82,IlumaData!$U:$U,3,IlumaData!$N:$N,"&lt;&gt;")=0,"",SUMIFS(IlumaData!$N:$N,IlumaData!$V:$V,$R82,IlumaData!$U:$U,3))</f>
        <v/>
      </c>
      <c r="W82">
        <f>IF(COUNTIFS(IlumaData!$V:$V,$R82,IlumaData!$U:$U,4,IlumaData!$N:$N,"&lt;&gt;")=0,"",SUMIFS(IlumaData!$N:$N,IlumaData!$V:$V,$R82,IlumaData!$U:$U,4))</f>
        <v/>
      </c>
      <c r="X82">
        <f>IF(COUNTIFS(IlumaData!$V:$V,$R82,IlumaData!$U:$U,5,IlumaData!$N:$N,"&lt;&gt;")=0,"",SUMIFS(IlumaData!$N:$N,IlumaData!$V:$V,$R82,IlumaData!$U:$U,5))</f>
        <v/>
      </c>
      <c r="Y82">
        <f>IF(COUNTIFS(IlumaData!$V:$V,$R82,IlumaData!$U:$U,6,IlumaData!$N:$N,"&lt;&gt;")=0,"",SUMIFS(IlumaData!$N:$N,IlumaData!$V:$V,$R82,IlumaData!$U:$U,6))</f>
        <v/>
      </c>
      <c r="Z82">
        <f>IF(COUNTIFS(IlumaData!$V:$V,$R82,IlumaData!$U:$U,7,IlumaData!$N:$N,"&lt;&gt;")=0,"",SUMIFS(IlumaData!$N:$N,IlumaData!$V:$V,$R82,IlumaData!$U:$U,7))</f>
        <v/>
      </c>
      <c r="AA82">
        <f>IF(COUNTIFS(IlumaData!$V:$V,$R82,IlumaData!$U:$U,8,IlumaData!$N:$N,"&lt;&gt;")=0,"",SUMIFS(IlumaData!$N:$N,IlumaData!$V:$V,$R82,IlumaData!$U:$U,8))</f>
        <v/>
      </c>
      <c r="AB82">
        <f>IF(COUNTIFS(IlumaData!$V:$V,$R82,IlumaData!$U:$U,9,IlumaData!$N:$N,"&lt;&gt;")=0,"",SUMIFS(IlumaData!$N:$N,IlumaData!$V:$V,$R82,IlumaData!$U:$U,9))</f>
        <v/>
      </c>
      <c r="AC82">
        <f>IF(COUNTIFS(IlumaData!$V:$V,$R82,IlumaData!$U:$U,10,IlumaData!$N:$N,"&lt;&gt;")=0,"",SUMIFS(IlumaData!$N:$N,IlumaData!$V:$V,$R82,IlumaData!$U:$U,10))</f>
        <v/>
      </c>
      <c r="AD82">
        <f>IF(COUNTIFS(IlumaData!$V:$V,$R82,IlumaData!$U:$U,11,IlumaData!$N:$N,"&lt;&gt;")=0,"",SUMIFS(IlumaData!$N:$N,IlumaData!$V:$V,$R82,IlumaData!$U:$U,11))</f>
        <v/>
      </c>
      <c r="AE82">
        <f>IF(COUNTIFS(IlumaData!$V:$V,$R82,IlumaData!$U:$U,12,IlumaData!$N:$N,"&lt;&gt;")=0,"",SUMIFS(IlumaData!$N:$N,IlumaData!$V:$V,$R82,IlumaData!$U:$U,12))</f>
        <v/>
      </c>
      <c r="AF82">
        <f>IF(COUNTIFS(IlumaData!$V:$V,$R82,IlumaData!$U:$U,13,IlumaData!$N:$N,"&lt;&gt;")=0,"",SUMIFS(IlumaData!$N:$N,IlumaData!$V:$V,$R82,IlumaData!$U:$U,13))</f>
        <v/>
      </c>
      <c r="AG82">
        <f>IF(COUNTIFS(IlumaData!$V:$V,$R82,IlumaData!$U:$U,14,IlumaData!$N:$N,"&lt;&gt;")=0,"",SUMIFS(IlumaData!$N:$N,IlumaData!$V:$V,$R82,IlumaData!$U:$U,14))</f>
        <v/>
      </c>
      <c r="AH82">
        <f>COUNTIFS(IlumaData!$V:$V,$R82,IlumaData!$U:$U,"&lt;="&amp;14,IlumaData!$N:$N,"&lt;&gt;")</f>
        <v/>
      </c>
      <c r="AI82">
        <f>COUNTIFS(IlumaData!$V:$V,$R82,IlumaData!$U:$U,"&lt;="&amp;14,IlumaData!$N:$N,0)</f>
        <v/>
      </c>
      <c r="AJ82">
        <f>IF(AH82=0,"",AH82-AI82)</f>
        <v/>
      </c>
      <c r="AK82">
        <f>IF(AH82=0,"",SUMIFS(IlumaData!$N:$N,IlumaData!$V:$V,$R82,IlumaData!$U:$U,"&lt;="&amp;14))</f>
        <v/>
      </c>
      <c r="AL82">
        <f>IF(AH82=0,"",IF(ABS(MAX(T82:AG82))&gt;=ABS(MIN(T82:AG82)),MAX(T82:AG82),MIN(T82:AG82)))</f>
        <v/>
      </c>
      <c r="AM82">
        <f>IF(AH82=0,-1,AJ82*100000+MIN(ABS(AK82),99999))</f>
        <v/>
      </c>
      <c r="AN82">
        <f>IF($S82="","",1+COUNTIFS($AM$3:$AM$122,"&gt;"&amp;AM82)+COUNTIFS($AM$3:$AM$122,AM82,$R$3:$R$122,"&lt;"&amp;$R82))</f>
        <v/>
      </c>
    </row>
    <row r="83">
      <c r="R83" t="n">
        <v>81</v>
      </c>
      <c r="S83">
        <f>IFERROR(INDEX(IlumaData!$G:$G,MATCH($R83,IlumaData!$V:$V,0)),"")</f>
        <v/>
      </c>
      <c r="T83">
        <f>IF(COUNTIFS(IlumaData!$V:$V,$R83,IlumaData!$U:$U,1,IlumaData!$N:$N,"&lt;&gt;")=0,"",SUMIFS(IlumaData!$N:$N,IlumaData!$V:$V,$R83,IlumaData!$U:$U,1))</f>
        <v/>
      </c>
      <c r="U83">
        <f>IF(COUNTIFS(IlumaData!$V:$V,$R83,IlumaData!$U:$U,2,IlumaData!$N:$N,"&lt;&gt;")=0,"",SUMIFS(IlumaData!$N:$N,IlumaData!$V:$V,$R83,IlumaData!$U:$U,2))</f>
        <v/>
      </c>
      <c r="V83">
        <f>IF(COUNTIFS(IlumaData!$V:$V,$R83,IlumaData!$U:$U,3,IlumaData!$N:$N,"&lt;&gt;")=0,"",SUMIFS(IlumaData!$N:$N,IlumaData!$V:$V,$R83,IlumaData!$U:$U,3))</f>
        <v/>
      </c>
      <c r="W83">
        <f>IF(COUNTIFS(IlumaData!$V:$V,$R83,IlumaData!$U:$U,4,IlumaData!$N:$N,"&lt;&gt;")=0,"",SUMIFS(IlumaData!$N:$N,IlumaData!$V:$V,$R83,IlumaData!$U:$U,4))</f>
        <v/>
      </c>
      <c r="X83">
        <f>IF(COUNTIFS(IlumaData!$V:$V,$R83,IlumaData!$U:$U,5,IlumaData!$N:$N,"&lt;&gt;")=0,"",SUMIFS(IlumaData!$N:$N,IlumaData!$V:$V,$R83,IlumaData!$U:$U,5))</f>
        <v/>
      </c>
      <c r="Y83">
        <f>IF(COUNTIFS(IlumaData!$V:$V,$R83,IlumaData!$U:$U,6,IlumaData!$N:$N,"&lt;&gt;")=0,"",SUMIFS(IlumaData!$N:$N,IlumaData!$V:$V,$R83,IlumaData!$U:$U,6))</f>
        <v/>
      </c>
      <c r="Z83">
        <f>IF(COUNTIFS(IlumaData!$V:$V,$R83,IlumaData!$U:$U,7,IlumaData!$N:$N,"&lt;&gt;")=0,"",SUMIFS(IlumaData!$N:$N,IlumaData!$V:$V,$R83,IlumaData!$U:$U,7))</f>
        <v/>
      </c>
      <c r="AA83">
        <f>IF(COUNTIFS(IlumaData!$V:$V,$R83,IlumaData!$U:$U,8,IlumaData!$N:$N,"&lt;&gt;")=0,"",SUMIFS(IlumaData!$N:$N,IlumaData!$V:$V,$R83,IlumaData!$U:$U,8))</f>
        <v/>
      </c>
      <c r="AB83">
        <f>IF(COUNTIFS(IlumaData!$V:$V,$R83,IlumaData!$U:$U,9,IlumaData!$N:$N,"&lt;&gt;")=0,"",SUMIFS(IlumaData!$N:$N,IlumaData!$V:$V,$R83,IlumaData!$U:$U,9))</f>
        <v/>
      </c>
      <c r="AC83">
        <f>IF(COUNTIFS(IlumaData!$V:$V,$R83,IlumaData!$U:$U,10,IlumaData!$N:$N,"&lt;&gt;")=0,"",SUMIFS(IlumaData!$N:$N,IlumaData!$V:$V,$R83,IlumaData!$U:$U,10))</f>
        <v/>
      </c>
      <c r="AD83">
        <f>IF(COUNTIFS(IlumaData!$V:$V,$R83,IlumaData!$U:$U,11,IlumaData!$N:$N,"&lt;&gt;")=0,"",SUMIFS(IlumaData!$N:$N,IlumaData!$V:$V,$R83,IlumaData!$U:$U,11))</f>
        <v/>
      </c>
      <c r="AE83">
        <f>IF(COUNTIFS(IlumaData!$V:$V,$R83,IlumaData!$U:$U,12,IlumaData!$N:$N,"&lt;&gt;")=0,"",SUMIFS(IlumaData!$N:$N,IlumaData!$V:$V,$R83,IlumaData!$U:$U,12))</f>
        <v/>
      </c>
      <c r="AF83">
        <f>IF(COUNTIFS(IlumaData!$V:$V,$R83,IlumaData!$U:$U,13,IlumaData!$N:$N,"&lt;&gt;")=0,"",SUMIFS(IlumaData!$N:$N,IlumaData!$V:$V,$R83,IlumaData!$U:$U,13))</f>
        <v/>
      </c>
      <c r="AG83">
        <f>IF(COUNTIFS(IlumaData!$V:$V,$R83,IlumaData!$U:$U,14,IlumaData!$N:$N,"&lt;&gt;")=0,"",SUMIFS(IlumaData!$N:$N,IlumaData!$V:$V,$R83,IlumaData!$U:$U,14))</f>
        <v/>
      </c>
      <c r="AH83">
        <f>COUNTIFS(IlumaData!$V:$V,$R83,IlumaData!$U:$U,"&lt;="&amp;14,IlumaData!$N:$N,"&lt;&gt;")</f>
        <v/>
      </c>
      <c r="AI83">
        <f>COUNTIFS(IlumaData!$V:$V,$R83,IlumaData!$U:$U,"&lt;="&amp;14,IlumaData!$N:$N,0)</f>
        <v/>
      </c>
      <c r="AJ83">
        <f>IF(AH83=0,"",AH83-AI83)</f>
        <v/>
      </c>
      <c r="AK83">
        <f>IF(AH83=0,"",SUMIFS(IlumaData!$N:$N,IlumaData!$V:$V,$R83,IlumaData!$U:$U,"&lt;="&amp;14))</f>
        <v/>
      </c>
      <c r="AL83">
        <f>IF(AH83=0,"",IF(ABS(MAX(T83:AG83))&gt;=ABS(MIN(T83:AG83)),MAX(T83:AG83),MIN(T83:AG83)))</f>
        <v/>
      </c>
      <c r="AM83">
        <f>IF(AH83=0,-1,AJ83*100000+MIN(ABS(AK83),99999))</f>
        <v/>
      </c>
      <c r="AN83">
        <f>IF($S83="","",1+COUNTIFS($AM$3:$AM$122,"&gt;"&amp;AM83)+COUNTIFS($AM$3:$AM$122,AM83,$R$3:$R$122,"&lt;"&amp;$R83))</f>
        <v/>
      </c>
    </row>
    <row r="84">
      <c r="R84" t="n">
        <v>82</v>
      </c>
      <c r="S84">
        <f>IFERROR(INDEX(IlumaData!$G:$G,MATCH($R84,IlumaData!$V:$V,0)),"")</f>
        <v/>
      </c>
      <c r="T84">
        <f>IF(COUNTIFS(IlumaData!$V:$V,$R84,IlumaData!$U:$U,1,IlumaData!$N:$N,"&lt;&gt;")=0,"",SUMIFS(IlumaData!$N:$N,IlumaData!$V:$V,$R84,IlumaData!$U:$U,1))</f>
        <v/>
      </c>
      <c r="U84">
        <f>IF(COUNTIFS(IlumaData!$V:$V,$R84,IlumaData!$U:$U,2,IlumaData!$N:$N,"&lt;&gt;")=0,"",SUMIFS(IlumaData!$N:$N,IlumaData!$V:$V,$R84,IlumaData!$U:$U,2))</f>
        <v/>
      </c>
      <c r="V84">
        <f>IF(COUNTIFS(IlumaData!$V:$V,$R84,IlumaData!$U:$U,3,IlumaData!$N:$N,"&lt;&gt;")=0,"",SUMIFS(IlumaData!$N:$N,IlumaData!$V:$V,$R84,IlumaData!$U:$U,3))</f>
        <v/>
      </c>
      <c r="W84">
        <f>IF(COUNTIFS(IlumaData!$V:$V,$R84,IlumaData!$U:$U,4,IlumaData!$N:$N,"&lt;&gt;")=0,"",SUMIFS(IlumaData!$N:$N,IlumaData!$V:$V,$R84,IlumaData!$U:$U,4))</f>
        <v/>
      </c>
      <c r="X84">
        <f>IF(COUNTIFS(IlumaData!$V:$V,$R84,IlumaData!$U:$U,5,IlumaData!$N:$N,"&lt;&gt;")=0,"",SUMIFS(IlumaData!$N:$N,IlumaData!$V:$V,$R84,IlumaData!$U:$U,5))</f>
        <v/>
      </c>
      <c r="Y84">
        <f>IF(COUNTIFS(IlumaData!$V:$V,$R84,IlumaData!$U:$U,6,IlumaData!$N:$N,"&lt;&gt;")=0,"",SUMIFS(IlumaData!$N:$N,IlumaData!$V:$V,$R84,IlumaData!$U:$U,6))</f>
        <v/>
      </c>
      <c r="Z84">
        <f>IF(COUNTIFS(IlumaData!$V:$V,$R84,IlumaData!$U:$U,7,IlumaData!$N:$N,"&lt;&gt;")=0,"",SUMIFS(IlumaData!$N:$N,IlumaData!$V:$V,$R84,IlumaData!$U:$U,7))</f>
        <v/>
      </c>
      <c r="AA84">
        <f>IF(COUNTIFS(IlumaData!$V:$V,$R84,IlumaData!$U:$U,8,IlumaData!$N:$N,"&lt;&gt;")=0,"",SUMIFS(IlumaData!$N:$N,IlumaData!$V:$V,$R84,IlumaData!$U:$U,8))</f>
        <v/>
      </c>
      <c r="AB84">
        <f>IF(COUNTIFS(IlumaData!$V:$V,$R84,IlumaData!$U:$U,9,IlumaData!$N:$N,"&lt;&gt;")=0,"",SUMIFS(IlumaData!$N:$N,IlumaData!$V:$V,$R84,IlumaData!$U:$U,9))</f>
        <v/>
      </c>
      <c r="AC84">
        <f>IF(COUNTIFS(IlumaData!$V:$V,$R84,IlumaData!$U:$U,10,IlumaData!$N:$N,"&lt;&gt;")=0,"",SUMIFS(IlumaData!$N:$N,IlumaData!$V:$V,$R84,IlumaData!$U:$U,10))</f>
        <v/>
      </c>
      <c r="AD84">
        <f>IF(COUNTIFS(IlumaData!$V:$V,$R84,IlumaData!$U:$U,11,IlumaData!$N:$N,"&lt;&gt;")=0,"",SUMIFS(IlumaData!$N:$N,IlumaData!$V:$V,$R84,IlumaData!$U:$U,11))</f>
        <v/>
      </c>
      <c r="AE84">
        <f>IF(COUNTIFS(IlumaData!$V:$V,$R84,IlumaData!$U:$U,12,IlumaData!$N:$N,"&lt;&gt;")=0,"",SUMIFS(IlumaData!$N:$N,IlumaData!$V:$V,$R84,IlumaData!$U:$U,12))</f>
        <v/>
      </c>
      <c r="AF84">
        <f>IF(COUNTIFS(IlumaData!$V:$V,$R84,IlumaData!$U:$U,13,IlumaData!$N:$N,"&lt;&gt;")=0,"",SUMIFS(IlumaData!$N:$N,IlumaData!$V:$V,$R84,IlumaData!$U:$U,13))</f>
        <v/>
      </c>
      <c r="AG84">
        <f>IF(COUNTIFS(IlumaData!$V:$V,$R84,IlumaData!$U:$U,14,IlumaData!$N:$N,"&lt;&gt;")=0,"",SUMIFS(IlumaData!$N:$N,IlumaData!$V:$V,$R84,IlumaData!$U:$U,14))</f>
        <v/>
      </c>
      <c r="AH84">
        <f>COUNTIFS(IlumaData!$V:$V,$R84,IlumaData!$U:$U,"&lt;="&amp;14,IlumaData!$N:$N,"&lt;&gt;")</f>
        <v/>
      </c>
      <c r="AI84">
        <f>COUNTIFS(IlumaData!$V:$V,$R84,IlumaData!$U:$U,"&lt;="&amp;14,IlumaData!$N:$N,0)</f>
        <v/>
      </c>
      <c r="AJ84">
        <f>IF(AH84=0,"",AH84-AI84)</f>
        <v/>
      </c>
      <c r="AK84">
        <f>IF(AH84=0,"",SUMIFS(IlumaData!$N:$N,IlumaData!$V:$V,$R84,IlumaData!$U:$U,"&lt;="&amp;14))</f>
        <v/>
      </c>
      <c r="AL84">
        <f>IF(AH84=0,"",IF(ABS(MAX(T84:AG84))&gt;=ABS(MIN(T84:AG84)),MAX(T84:AG84),MIN(T84:AG84)))</f>
        <v/>
      </c>
      <c r="AM84">
        <f>IF(AH84=0,-1,AJ84*100000+MIN(ABS(AK84),99999))</f>
        <v/>
      </c>
      <c r="AN84">
        <f>IF($S84="","",1+COUNTIFS($AM$3:$AM$122,"&gt;"&amp;AM84)+COUNTIFS($AM$3:$AM$122,AM84,$R$3:$R$122,"&lt;"&amp;$R84))</f>
        <v/>
      </c>
    </row>
    <row r="85">
      <c r="R85" t="n">
        <v>83</v>
      </c>
      <c r="S85">
        <f>IFERROR(INDEX(IlumaData!$G:$G,MATCH($R85,IlumaData!$V:$V,0)),"")</f>
        <v/>
      </c>
      <c r="T85">
        <f>IF(COUNTIFS(IlumaData!$V:$V,$R85,IlumaData!$U:$U,1,IlumaData!$N:$N,"&lt;&gt;")=0,"",SUMIFS(IlumaData!$N:$N,IlumaData!$V:$V,$R85,IlumaData!$U:$U,1))</f>
        <v/>
      </c>
      <c r="U85">
        <f>IF(COUNTIFS(IlumaData!$V:$V,$R85,IlumaData!$U:$U,2,IlumaData!$N:$N,"&lt;&gt;")=0,"",SUMIFS(IlumaData!$N:$N,IlumaData!$V:$V,$R85,IlumaData!$U:$U,2))</f>
        <v/>
      </c>
      <c r="V85">
        <f>IF(COUNTIFS(IlumaData!$V:$V,$R85,IlumaData!$U:$U,3,IlumaData!$N:$N,"&lt;&gt;")=0,"",SUMIFS(IlumaData!$N:$N,IlumaData!$V:$V,$R85,IlumaData!$U:$U,3))</f>
        <v/>
      </c>
      <c r="W85">
        <f>IF(COUNTIFS(IlumaData!$V:$V,$R85,IlumaData!$U:$U,4,IlumaData!$N:$N,"&lt;&gt;")=0,"",SUMIFS(IlumaData!$N:$N,IlumaData!$V:$V,$R85,IlumaData!$U:$U,4))</f>
        <v/>
      </c>
      <c r="X85">
        <f>IF(COUNTIFS(IlumaData!$V:$V,$R85,IlumaData!$U:$U,5,IlumaData!$N:$N,"&lt;&gt;")=0,"",SUMIFS(IlumaData!$N:$N,IlumaData!$V:$V,$R85,IlumaData!$U:$U,5))</f>
        <v/>
      </c>
      <c r="Y85">
        <f>IF(COUNTIFS(IlumaData!$V:$V,$R85,IlumaData!$U:$U,6,IlumaData!$N:$N,"&lt;&gt;")=0,"",SUMIFS(IlumaData!$N:$N,IlumaData!$V:$V,$R85,IlumaData!$U:$U,6))</f>
        <v/>
      </c>
      <c r="Z85">
        <f>IF(COUNTIFS(IlumaData!$V:$V,$R85,IlumaData!$U:$U,7,IlumaData!$N:$N,"&lt;&gt;")=0,"",SUMIFS(IlumaData!$N:$N,IlumaData!$V:$V,$R85,IlumaData!$U:$U,7))</f>
        <v/>
      </c>
      <c r="AA85">
        <f>IF(COUNTIFS(IlumaData!$V:$V,$R85,IlumaData!$U:$U,8,IlumaData!$N:$N,"&lt;&gt;")=0,"",SUMIFS(IlumaData!$N:$N,IlumaData!$V:$V,$R85,IlumaData!$U:$U,8))</f>
        <v/>
      </c>
      <c r="AB85">
        <f>IF(COUNTIFS(IlumaData!$V:$V,$R85,IlumaData!$U:$U,9,IlumaData!$N:$N,"&lt;&gt;")=0,"",SUMIFS(IlumaData!$N:$N,IlumaData!$V:$V,$R85,IlumaData!$U:$U,9))</f>
        <v/>
      </c>
      <c r="AC85">
        <f>IF(COUNTIFS(IlumaData!$V:$V,$R85,IlumaData!$U:$U,10,IlumaData!$N:$N,"&lt;&gt;")=0,"",SUMIFS(IlumaData!$N:$N,IlumaData!$V:$V,$R85,IlumaData!$U:$U,10))</f>
        <v/>
      </c>
      <c r="AD85">
        <f>IF(COUNTIFS(IlumaData!$V:$V,$R85,IlumaData!$U:$U,11,IlumaData!$N:$N,"&lt;&gt;")=0,"",SUMIFS(IlumaData!$N:$N,IlumaData!$V:$V,$R85,IlumaData!$U:$U,11))</f>
        <v/>
      </c>
      <c r="AE85">
        <f>IF(COUNTIFS(IlumaData!$V:$V,$R85,IlumaData!$U:$U,12,IlumaData!$N:$N,"&lt;&gt;")=0,"",SUMIFS(IlumaData!$N:$N,IlumaData!$V:$V,$R85,IlumaData!$U:$U,12))</f>
        <v/>
      </c>
      <c r="AF85">
        <f>IF(COUNTIFS(IlumaData!$V:$V,$R85,IlumaData!$U:$U,13,IlumaData!$N:$N,"&lt;&gt;")=0,"",SUMIFS(IlumaData!$N:$N,IlumaData!$V:$V,$R85,IlumaData!$U:$U,13))</f>
        <v/>
      </c>
      <c r="AG85">
        <f>IF(COUNTIFS(IlumaData!$V:$V,$R85,IlumaData!$U:$U,14,IlumaData!$N:$N,"&lt;&gt;")=0,"",SUMIFS(IlumaData!$N:$N,IlumaData!$V:$V,$R85,IlumaData!$U:$U,14))</f>
        <v/>
      </c>
      <c r="AH85">
        <f>COUNTIFS(IlumaData!$V:$V,$R85,IlumaData!$U:$U,"&lt;="&amp;14,IlumaData!$N:$N,"&lt;&gt;")</f>
        <v/>
      </c>
      <c r="AI85">
        <f>COUNTIFS(IlumaData!$V:$V,$R85,IlumaData!$U:$U,"&lt;="&amp;14,IlumaData!$N:$N,0)</f>
        <v/>
      </c>
      <c r="AJ85">
        <f>IF(AH85=0,"",AH85-AI85)</f>
        <v/>
      </c>
      <c r="AK85">
        <f>IF(AH85=0,"",SUMIFS(IlumaData!$N:$N,IlumaData!$V:$V,$R85,IlumaData!$U:$U,"&lt;="&amp;14))</f>
        <v/>
      </c>
      <c r="AL85">
        <f>IF(AH85=0,"",IF(ABS(MAX(T85:AG85))&gt;=ABS(MIN(T85:AG85)),MAX(T85:AG85),MIN(T85:AG85)))</f>
        <v/>
      </c>
      <c r="AM85">
        <f>IF(AH85=0,-1,AJ85*100000+MIN(ABS(AK85),99999))</f>
        <v/>
      </c>
      <c r="AN85">
        <f>IF($S85="","",1+COUNTIFS($AM$3:$AM$122,"&gt;"&amp;AM85)+COUNTIFS($AM$3:$AM$122,AM85,$R$3:$R$122,"&lt;"&amp;$R85))</f>
        <v/>
      </c>
    </row>
    <row r="86">
      <c r="R86" t="n">
        <v>84</v>
      </c>
      <c r="S86">
        <f>IFERROR(INDEX(IlumaData!$G:$G,MATCH($R86,IlumaData!$V:$V,0)),"")</f>
        <v/>
      </c>
      <c r="T86">
        <f>IF(COUNTIFS(IlumaData!$V:$V,$R86,IlumaData!$U:$U,1,IlumaData!$N:$N,"&lt;&gt;")=0,"",SUMIFS(IlumaData!$N:$N,IlumaData!$V:$V,$R86,IlumaData!$U:$U,1))</f>
        <v/>
      </c>
      <c r="U86">
        <f>IF(COUNTIFS(IlumaData!$V:$V,$R86,IlumaData!$U:$U,2,IlumaData!$N:$N,"&lt;&gt;")=0,"",SUMIFS(IlumaData!$N:$N,IlumaData!$V:$V,$R86,IlumaData!$U:$U,2))</f>
        <v/>
      </c>
      <c r="V86">
        <f>IF(COUNTIFS(IlumaData!$V:$V,$R86,IlumaData!$U:$U,3,IlumaData!$N:$N,"&lt;&gt;")=0,"",SUMIFS(IlumaData!$N:$N,IlumaData!$V:$V,$R86,IlumaData!$U:$U,3))</f>
        <v/>
      </c>
      <c r="W86">
        <f>IF(COUNTIFS(IlumaData!$V:$V,$R86,IlumaData!$U:$U,4,IlumaData!$N:$N,"&lt;&gt;")=0,"",SUMIFS(IlumaData!$N:$N,IlumaData!$V:$V,$R86,IlumaData!$U:$U,4))</f>
        <v/>
      </c>
      <c r="X86">
        <f>IF(COUNTIFS(IlumaData!$V:$V,$R86,IlumaData!$U:$U,5,IlumaData!$N:$N,"&lt;&gt;")=0,"",SUMIFS(IlumaData!$N:$N,IlumaData!$V:$V,$R86,IlumaData!$U:$U,5))</f>
        <v/>
      </c>
      <c r="Y86">
        <f>IF(COUNTIFS(IlumaData!$V:$V,$R86,IlumaData!$U:$U,6,IlumaData!$N:$N,"&lt;&gt;")=0,"",SUMIFS(IlumaData!$N:$N,IlumaData!$V:$V,$R86,IlumaData!$U:$U,6))</f>
        <v/>
      </c>
      <c r="Z86">
        <f>IF(COUNTIFS(IlumaData!$V:$V,$R86,IlumaData!$U:$U,7,IlumaData!$N:$N,"&lt;&gt;")=0,"",SUMIFS(IlumaData!$N:$N,IlumaData!$V:$V,$R86,IlumaData!$U:$U,7))</f>
        <v/>
      </c>
      <c r="AA86">
        <f>IF(COUNTIFS(IlumaData!$V:$V,$R86,IlumaData!$U:$U,8,IlumaData!$N:$N,"&lt;&gt;")=0,"",SUMIFS(IlumaData!$N:$N,IlumaData!$V:$V,$R86,IlumaData!$U:$U,8))</f>
        <v/>
      </c>
      <c r="AB86">
        <f>IF(COUNTIFS(IlumaData!$V:$V,$R86,IlumaData!$U:$U,9,IlumaData!$N:$N,"&lt;&gt;")=0,"",SUMIFS(IlumaData!$N:$N,IlumaData!$V:$V,$R86,IlumaData!$U:$U,9))</f>
        <v/>
      </c>
      <c r="AC86">
        <f>IF(COUNTIFS(IlumaData!$V:$V,$R86,IlumaData!$U:$U,10,IlumaData!$N:$N,"&lt;&gt;")=0,"",SUMIFS(IlumaData!$N:$N,IlumaData!$V:$V,$R86,IlumaData!$U:$U,10))</f>
        <v/>
      </c>
      <c r="AD86">
        <f>IF(COUNTIFS(IlumaData!$V:$V,$R86,IlumaData!$U:$U,11,IlumaData!$N:$N,"&lt;&gt;")=0,"",SUMIFS(IlumaData!$N:$N,IlumaData!$V:$V,$R86,IlumaData!$U:$U,11))</f>
        <v/>
      </c>
      <c r="AE86">
        <f>IF(COUNTIFS(IlumaData!$V:$V,$R86,IlumaData!$U:$U,12,IlumaData!$N:$N,"&lt;&gt;")=0,"",SUMIFS(IlumaData!$N:$N,IlumaData!$V:$V,$R86,IlumaData!$U:$U,12))</f>
        <v/>
      </c>
      <c r="AF86">
        <f>IF(COUNTIFS(IlumaData!$V:$V,$R86,IlumaData!$U:$U,13,IlumaData!$N:$N,"&lt;&gt;")=0,"",SUMIFS(IlumaData!$N:$N,IlumaData!$V:$V,$R86,IlumaData!$U:$U,13))</f>
        <v/>
      </c>
      <c r="AG86">
        <f>IF(COUNTIFS(IlumaData!$V:$V,$R86,IlumaData!$U:$U,14,IlumaData!$N:$N,"&lt;&gt;")=0,"",SUMIFS(IlumaData!$N:$N,IlumaData!$V:$V,$R86,IlumaData!$U:$U,14))</f>
        <v/>
      </c>
      <c r="AH86">
        <f>COUNTIFS(IlumaData!$V:$V,$R86,IlumaData!$U:$U,"&lt;="&amp;14,IlumaData!$N:$N,"&lt;&gt;")</f>
        <v/>
      </c>
      <c r="AI86">
        <f>COUNTIFS(IlumaData!$V:$V,$R86,IlumaData!$U:$U,"&lt;="&amp;14,IlumaData!$N:$N,0)</f>
        <v/>
      </c>
      <c r="AJ86">
        <f>IF(AH86=0,"",AH86-AI86)</f>
        <v/>
      </c>
      <c r="AK86">
        <f>IF(AH86=0,"",SUMIFS(IlumaData!$N:$N,IlumaData!$V:$V,$R86,IlumaData!$U:$U,"&lt;="&amp;14))</f>
        <v/>
      </c>
      <c r="AL86">
        <f>IF(AH86=0,"",IF(ABS(MAX(T86:AG86))&gt;=ABS(MIN(T86:AG86)),MAX(T86:AG86),MIN(T86:AG86)))</f>
        <v/>
      </c>
      <c r="AM86">
        <f>IF(AH86=0,-1,AJ86*100000+MIN(ABS(AK86),99999))</f>
        <v/>
      </c>
      <c r="AN86">
        <f>IF($S86="","",1+COUNTIFS($AM$3:$AM$122,"&gt;"&amp;AM86)+COUNTIFS($AM$3:$AM$122,AM86,$R$3:$R$122,"&lt;"&amp;$R86))</f>
        <v/>
      </c>
    </row>
    <row r="87">
      <c r="R87" t="n">
        <v>85</v>
      </c>
      <c r="S87">
        <f>IFERROR(INDEX(IlumaData!$G:$G,MATCH($R87,IlumaData!$V:$V,0)),"")</f>
        <v/>
      </c>
      <c r="T87">
        <f>IF(COUNTIFS(IlumaData!$V:$V,$R87,IlumaData!$U:$U,1,IlumaData!$N:$N,"&lt;&gt;")=0,"",SUMIFS(IlumaData!$N:$N,IlumaData!$V:$V,$R87,IlumaData!$U:$U,1))</f>
        <v/>
      </c>
      <c r="U87">
        <f>IF(COUNTIFS(IlumaData!$V:$V,$R87,IlumaData!$U:$U,2,IlumaData!$N:$N,"&lt;&gt;")=0,"",SUMIFS(IlumaData!$N:$N,IlumaData!$V:$V,$R87,IlumaData!$U:$U,2))</f>
        <v/>
      </c>
      <c r="V87">
        <f>IF(COUNTIFS(IlumaData!$V:$V,$R87,IlumaData!$U:$U,3,IlumaData!$N:$N,"&lt;&gt;")=0,"",SUMIFS(IlumaData!$N:$N,IlumaData!$V:$V,$R87,IlumaData!$U:$U,3))</f>
        <v/>
      </c>
      <c r="W87">
        <f>IF(COUNTIFS(IlumaData!$V:$V,$R87,IlumaData!$U:$U,4,IlumaData!$N:$N,"&lt;&gt;")=0,"",SUMIFS(IlumaData!$N:$N,IlumaData!$V:$V,$R87,IlumaData!$U:$U,4))</f>
        <v/>
      </c>
      <c r="X87">
        <f>IF(COUNTIFS(IlumaData!$V:$V,$R87,IlumaData!$U:$U,5,IlumaData!$N:$N,"&lt;&gt;")=0,"",SUMIFS(IlumaData!$N:$N,IlumaData!$V:$V,$R87,IlumaData!$U:$U,5))</f>
        <v/>
      </c>
      <c r="Y87">
        <f>IF(COUNTIFS(IlumaData!$V:$V,$R87,IlumaData!$U:$U,6,IlumaData!$N:$N,"&lt;&gt;")=0,"",SUMIFS(IlumaData!$N:$N,IlumaData!$V:$V,$R87,IlumaData!$U:$U,6))</f>
        <v/>
      </c>
      <c r="Z87">
        <f>IF(COUNTIFS(IlumaData!$V:$V,$R87,IlumaData!$U:$U,7,IlumaData!$N:$N,"&lt;&gt;")=0,"",SUMIFS(IlumaData!$N:$N,IlumaData!$V:$V,$R87,IlumaData!$U:$U,7))</f>
        <v/>
      </c>
      <c r="AA87">
        <f>IF(COUNTIFS(IlumaData!$V:$V,$R87,IlumaData!$U:$U,8,IlumaData!$N:$N,"&lt;&gt;")=0,"",SUMIFS(IlumaData!$N:$N,IlumaData!$V:$V,$R87,IlumaData!$U:$U,8))</f>
        <v/>
      </c>
      <c r="AB87">
        <f>IF(COUNTIFS(IlumaData!$V:$V,$R87,IlumaData!$U:$U,9,IlumaData!$N:$N,"&lt;&gt;")=0,"",SUMIFS(IlumaData!$N:$N,IlumaData!$V:$V,$R87,IlumaData!$U:$U,9))</f>
        <v/>
      </c>
      <c r="AC87">
        <f>IF(COUNTIFS(IlumaData!$V:$V,$R87,IlumaData!$U:$U,10,IlumaData!$N:$N,"&lt;&gt;")=0,"",SUMIFS(IlumaData!$N:$N,IlumaData!$V:$V,$R87,IlumaData!$U:$U,10))</f>
        <v/>
      </c>
      <c r="AD87">
        <f>IF(COUNTIFS(IlumaData!$V:$V,$R87,IlumaData!$U:$U,11,IlumaData!$N:$N,"&lt;&gt;")=0,"",SUMIFS(IlumaData!$N:$N,IlumaData!$V:$V,$R87,IlumaData!$U:$U,11))</f>
        <v/>
      </c>
      <c r="AE87">
        <f>IF(COUNTIFS(IlumaData!$V:$V,$R87,IlumaData!$U:$U,12,IlumaData!$N:$N,"&lt;&gt;")=0,"",SUMIFS(IlumaData!$N:$N,IlumaData!$V:$V,$R87,IlumaData!$U:$U,12))</f>
        <v/>
      </c>
      <c r="AF87">
        <f>IF(COUNTIFS(IlumaData!$V:$V,$R87,IlumaData!$U:$U,13,IlumaData!$N:$N,"&lt;&gt;")=0,"",SUMIFS(IlumaData!$N:$N,IlumaData!$V:$V,$R87,IlumaData!$U:$U,13))</f>
        <v/>
      </c>
      <c r="AG87">
        <f>IF(COUNTIFS(IlumaData!$V:$V,$R87,IlumaData!$U:$U,14,IlumaData!$N:$N,"&lt;&gt;")=0,"",SUMIFS(IlumaData!$N:$N,IlumaData!$V:$V,$R87,IlumaData!$U:$U,14))</f>
        <v/>
      </c>
      <c r="AH87">
        <f>COUNTIFS(IlumaData!$V:$V,$R87,IlumaData!$U:$U,"&lt;="&amp;14,IlumaData!$N:$N,"&lt;&gt;")</f>
        <v/>
      </c>
      <c r="AI87">
        <f>COUNTIFS(IlumaData!$V:$V,$R87,IlumaData!$U:$U,"&lt;="&amp;14,IlumaData!$N:$N,0)</f>
        <v/>
      </c>
      <c r="AJ87">
        <f>IF(AH87=0,"",AH87-AI87)</f>
        <v/>
      </c>
      <c r="AK87">
        <f>IF(AH87=0,"",SUMIFS(IlumaData!$N:$N,IlumaData!$V:$V,$R87,IlumaData!$U:$U,"&lt;="&amp;14))</f>
        <v/>
      </c>
      <c r="AL87">
        <f>IF(AH87=0,"",IF(ABS(MAX(T87:AG87))&gt;=ABS(MIN(T87:AG87)),MAX(T87:AG87),MIN(T87:AG87)))</f>
        <v/>
      </c>
      <c r="AM87">
        <f>IF(AH87=0,-1,AJ87*100000+MIN(ABS(AK87),99999))</f>
        <v/>
      </c>
      <c r="AN87">
        <f>IF($S87="","",1+COUNTIFS($AM$3:$AM$122,"&gt;"&amp;AM87)+COUNTIFS($AM$3:$AM$122,AM87,$R$3:$R$122,"&lt;"&amp;$R87))</f>
        <v/>
      </c>
    </row>
    <row r="88">
      <c r="R88" t="n">
        <v>86</v>
      </c>
      <c r="S88">
        <f>IFERROR(INDEX(IlumaData!$G:$G,MATCH($R88,IlumaData!$V:$V,0)),"")</f>
        <v/>
      </c>
      <c r="T88">
        <f>IF(COUNTIFS(IlumaData!$V:$V,$R88,IlumaData!$U:$U,1,IlumaData!$N:$N,"&lt;&gt;")=0,"",SUMIFS(IlumaData!$N:$N,IlumaData!$V:$V,$R88,IlumaData!$U:$U,1))</f>
        <v/>
      </c>
      <c r="U88">
        <f>IF(COUNTIFS(IlumaData!$V:$V,$R88,IlumaData!$U:$U,2,IlumaData!$N:$N,"&lt;&gt;")=0,"",SUMIFS(IlumaData!$N:$N,IlumaData!$V:$V,$R88,IlumaData!$U:$U,2))</f>
        <v/>
      </c>
      <c r="V88">
        <f>IF(COUNTIFS(IlumaData!$V:$V,$R88,IlumaData!$U:$U,3,IlumaData!$N:$N,"&lt;&gt;")=0,"",SUMIFS(IlumaData!$N:$N,IlumaData!$V:$V,$R88,IlumaData!$U:$U,3))</f>
        <v/>
      </c>
      <c r="W88">
        <f>IF(COUNTIFS(IlumaData!$V:$V,$R88,IlumaData!$U:$U,4,IlumaData!$N:$N,"&lt;&gt;")=0,"",SUMIFS(IlumaData!$N:$N,IlumaData!$V:$V,$R88,IlumaData!$U:$U,4))</f>
        <v/>
      </c>
      <c r="X88">
        <f>IF(COUNTIFS(IlumaData!$V:$V,$R88,IlumaData!$U:$U,5,IlumaData!$N:$N,"&lt;&gt;")=0,"",SUMIFS(IlumaData!$N:$N,IlumaData!$V:$V,$R88,IlumaData!$U:$U,5))</f>
        <v/>
      </c>
      <c r="Y88">
        <f>IF(COUNTIFS(IlumaData!$V:$V,$R88,IlumaData!$U:$U,6,IlumaData!$N:$N,"&lt;&gt;")=0,"",SUMIFS(IlumaData!$N:$N,IlumaData!$V:$V,$R88,IlumaData!$U:$U,6))</f>
        <v/>
      </c>
      <c r="Z88">
        <f>IF(COUNTIFS(IlumaData!$V:$V,$R88,IlumaData!$U:$U,7,IlumaData!$N:$N,"&lt;&gt;")=0,"",SUMIFS(IlumaData!$N:$N,IlumaData!$V:$V,$R88,IlumaData!$U:$U,7))</f>
        <v/>
      </c>
      <c r="AA88">
        <f>IF(COUNTIFS(IlumaData!$V:$V,$R88,IlumaData!$U:$U,8,IlumaData!$N:$N,"&lt;&gt;")=0,"",SUMIFS(IlumaData!$N:$N,IlumaData!$V:$V,$R88,IlumaData!$U:$U,8))</f>
        <v/>
      </c>
      <c r="AB88">
        <f>IF(COUNTIFS(IlumaData!$V:$V,$R88,IlumaData!$U:$U,9,IlumaData!$N:$N,"&lt;&gt;")=0,"",SUMIFS(IlumaData!$N:$N,IlumaData!$V:$V,$R88,IlumaData!$U:$U,9))</f>
        <v/>
      </c>
      <c r="AC88">
        <f>IF(COUNTIFS(IlumaData!$V:$V,$R88,IlumaData!$U:$U,10,IlumaData!$N:$N,"&lt;&gt;")=0,"",SUMIFS(IlumaData!$N:$N,IlumaData!$V:$V,$R88,IlumaData!$U:$U,10))</f>
        <v/>
      </c>
      <c r="AD88">
        <f>IF(COUNTIFS(IlumaData!$V:$V,$R88,IlumaData!$U:$U,11,IlumaData!$N:$N,"&lt;&gt;")=0,"",SUMIFS(IlumaData!$N:$N,IlumaData!$V:$V,$R88,IlumaData!$U:$U,11))</f>
        <v/>
      </c>
      <c r="AE88">
        <f>IF(COUNTIFS(IlumaData!$V:$V,$R88,IlumaData!$U:$U,12,IlumaData!$N:$N,"&lt;&gt;")=0,"",SUMIFS(IlumaData!$N:$N,IlumaData!$V:$V,$R88,IlumaData!$U:$U,12))</f>
        <v/>
      </c>
      <c r="AF88">
        <f>IF(COUNTIFS(IlumaData!$V:$V,$R88,IlumaData!$U:$U,13,IlumaData!$N:$N,"&lt;&gt;")=0,"",SUMIFS(IlumaData!$N:$N,IlumaData!$V:$V,$R88,IlumaData!$U:$U,13))</f>
        <v/>
      </c>
      <c r="AG88">
        <f>IF(COUNTIFS(IlumaData!$V:$V,$R88,IlumaData!$U:$U,14,IlumaData!$N:$N,"&lt;&gt;")=0,"",SUMIFS(IlumaData!$N:$N,IlumaData!$V:$V,$R88,IlumaData!$U:$U,14))</f>
        <v/>
      </c>
      <c r="AH88">
        <f>COUNTIFS(IlumaData!$V:$V,$R88,IlumaData!$U:$U,"&lt;="&amp;14,IlumaData!$N:$N,"&lt;&gt;")</f>
        <v/>
      </c>
      <c r="AI88">
        <f>COUNTIFS(IlumaData!$V:$V,$R88,IlumaData!$U:$U,"&lt;="&amp;14,IlumaData!$N:$N,0)</f>
        <v/>
      </c>
      <c r="AJ88">
        <f>IF(AH88=0,"",AH88-AI88)</f>
        <v/>
      </c>
      <c r="AK88">
        <f>IF(AH88=0,"",SUMIFS(IlumaData!$N:$N,IlumaData!$V:$V,$R88,IlumaData!$U:$U,"&lt;="&amp;14))</f>
        <v/>
      </c>
      <c r="AL88">
        <f>IF(AH88=0,"",IF(ABS(MAX(T88:AG88))&gt;=ABS(MIN(T88:AG88)),MAX(T88:AG88),MIN(T88:AG88)))</f>
        <v/>
      </c>
      <c r="AM88">
        <f>IF(AH88=0,-1,AJ88*100000+MIN(ABS(AK88),99999))</f>
        <v/>
      </c>
      <c r="AN88">
        <f>IF($S88="","",1+COUNTIFS($AM$3:$AM$122,"&gt;"&amp;AM88)+COUNTIFS($AM$3:$AM$122,AM88,$R$3:$R$122,"&lt;"&amp;$R88))</f>
        <v/>
      </c>
    </row>
    <row r="89">
      <c r="R89" t="n">
        <v>87</v>
      </c>
      <c r="S89">
        <f>IFERROR(INDEX(IlumaData!$G:$G,MATCH($R89,IlumaData!$V:$V,0)),"")</f>
        <v/>
      </c>
      <c r="T89">
        <f>IF(COUNTIFS(IlumaData!$V:$V,$R89,IlumaData!$U:$U,1,IlumaData!$N:$N,"&lt;&gt;")=0,"",SUMIFS(IlumaData!$N:$N,IlumaData!$V:$V,$R89,IlumaData!$U:$U,1))</f>
        <v/>
      </c>
      <c r="U89">
        <f>IF(COUNTIFS(IlumaData!$V:$V,$R89,IlumaData!$U:$U,2,IlumaData!$N:$N,"&lt;&gt;")=0,"",SUMIFS(IlumaData!$N:$N,IlumaData!$V:$V,$R89,IlumaData!$U:$U,2))</f>
        <v/>
      </c>
      <c r="V89">
        <f>IF(COUNTIFS(IlumaData!$V:$V,$R89,IlumaData!$U:$U,3,IlumaData!$N:$N,"&lt;&gt;")=0,"",SUMIFS(IlumaData!$N:$N,IlumaData!$V:$V,$R89,IlumaData!$U:$U,3))</f>
        <v/>
      </c>
      <c r="W89">
        <f>IF(COUNTIFS(IlumaData!$V:$V,$R89,IlumaData!$U:$U,4,IlumaData!$N:$N,"&lt;&gt;")=0,"",SUMIFS(IlumaData!$N:$N,IlumaData!$V:$V,$R89,IlumaData!$U:$U,4))</f>
        <v/>
      </c>
      <c r="X89">
        <f>IF(COUNTIFS(IlumaData!$V:$V,$R89,IlumaData!$U:$U,5,IlumaData!$N:$N,"&lt;&gt;")=0,"",SUMIFS(IlumaData!$N:$N,IlumaData!$V:$V,$R89,IlumaData!$U:$U,5))</f>
        <v/>
      </c>
      <c r="Y89">
        <f>IF(COUNTIFS(IlumaData!$V:$V,$R89,IlumaData!$U:$U,6,IlumaData!$N:$N,"&lt;&gt;")=0,"",SUMIFS(IlumaData!$N:$N,IlumaData!$V:$V,$R89,IlumaData!$U:$U,6))</f>
        <v/>
      </c>
      <c r="Z89">
        <f>IF(COUNTIFS(IlumaData!$V:$V,$R89,IlumaData!$U:$U,7,IlumaData!$N:$N,"&lt;&gt;")=0,"",SUMIFS(IlumaData!$N:$N,IlumaData!$V:$V,$R89,IlumaData!$U:$U,7))</f>
        <v/>
      </c>
      <c r="AA89">
        <f>IF(COUNTIFS(IlumaData!$V:$V,$R89,IlumaData!$U:$U,8,IlumaData!$N:$N,"&lt;&gt;")=0,"",SUMIFS(IlumaData!$N:$N,IlumaData!$V:$V,$R89,IlumaData!$U:$U,8))</f>
        <v/>
      </c>
      <c r="AB89">
        <f>IF(COUNTIFS(IlumaData!$V:$V,$R89,IlumaData!$U:$U,9,IlumaData!$N:$N,"&lt;&gt;")=0,"",SUMIFS(IlumaData!$N:$N,IlumaData!$V:$V,$R89,IlumaData!$U:$U,9))</f>
        <v/>
      </c>
      <c r="AC89">
        <f>IF(COUNTIFS(IlumaData!$V:$V,$R89,IlumaData!$U:$U,10,IlumaData!$N:$N,"&lt;&gt;")=0,"",SUMIFS(IlumaData!$N:$N,IlumaData!$V:$V,$R89,IlumaData!$U:$U,10))</f>
        <v/>
      </c>
      <c r="AD89">
        <f>IF(COUNTIFS(IlumaData!$V:$V,$R89,IlumaData!$U:$U,11,IlumaData!$N:$N,"&lt;&gt;")=0,"",SUMIFS(IlumaData!$N:$N,IlumaData!$V:$V,$R89,IlumaData!$U:$U,11))</f>
        <v/>
      </c>
      <c r="AE89">
        <f>IF(COUNTIFS(IlumaData!$V:$V,$R89,IlumaData!$U:$U,12,IlumaData!$N:$N,"&lt;&gt;")=0,"",SUMIFS(IlumaData!$N:$N,IlumaData!$V:$V,$R89,IlumaData!$U:$U,12))</f>
        <v/>
      </c>
      <c r="AF89">
        <f>IF(COUNTIFS(IlumaData!$V:$V,$R89,IlumaData!$U:$U,13,IlumaData!$N:$N,"&lt;&gt;")=0,"",SUMIFS(IlumaData!$N:$N,IlumaData!$V:$V,$R89,IlumaData!$U:$U,13))</f>
        <v/>
      </c>
      <c r="AG89">
        <f>IF(COUNTIFS(IlumaData!$V:$V,$R89,IlumaData!$U:$U,14,IlumaData!$N:$N,"&lt;&gt;")=0,"",SUMIFS(IlumaData!$N:$N,IlumaData!$V:$V,$R89,IlumaData!$U:$U,14))</f>
        <v/>
      </c>
      <c r="AH89">
        <f>COUNTIFS(IlumaData!$V:$V,$R89,IlumaData!$U:$U,"&lt;="&amp;14,IlumaData!$N:$N,"&lt;&gt;")</f>
        <v/>
      </c>
      <c r="AI89">
        <f>COUNTIFS(IlumaData!$V:$V,$R89,IlumaData!$U:$U,"&lt;="&amp;14,IlumaData!$N:$N,0)</f>
        <v/>
      </c>
      <c r="AJ89">
        <f>IF(AH89=0,"",AH89-AI89)</f>
        <v/>
      </c>
      <c r="AK89">
        <f>IF(AH89=0,"",SUMIFS(IlumaData!$N:$N,IlumaData!$V:$V,$R89,IlumaData!$U:$U,"&lt;="&amp;14))</f>
        <v/>
      </c>
      <c r="AL89">
        <f>IF(AH89=0,"",IF(ABS(MAX(T89:AG89))&gt;=ABS(MIN(T89:AG89)),MAX(T89:AG89),MIN(T89:AG89)))</f>
        <v/>
      </c>
      <c r="AM89">
        <f>IF(AH89=0,-1,AJ89*100000+MIN(ABS(AK89),99999))</f>
        <v/>
      </c>
      <c r="AN89">
        <f>IF($S89="","",1+COUNTIFS($AM$3:$AM$122,"&gt;"&amp;AM89)+COUNTIFS($AM$3:$AM$122,AM89,$R$3:$R$122,"&lt;"&amp;$R89))</f>
        <v/>
      </c>
    </row>
    <row r="90">
      <c r="R90" t="n">
        <v>88</v>
      </c>
      <c r="S90">
        <f>IFERROR(INDEX(IlumaData!$G:$G,MATCH($R90,IlumaData!$V:$V,0)),"")</f>
        <v/>
      </c>
      <c r="T90">
        <f>IF(COUNTIFS(IlumaData!$V:$V,$R90,IlumaData!$U:$U,1,IlumaData!$N:$N,"&lt;&gt;")=0,"",SUMIFS(IlumaData!$N:$N,IlumaData!$V:$V,$R90,IlumaData!$U:$U,1))</f>
        <v/>
      </c>
      <c r="U90">
        <f>IF(COUNTIFS(IlumaData!$V:$V,$R90,IlumaData!$U:$U,2,IlumaData!$N:$N,"&lt;&gt;")=0,"",SUMIFS(IlumaData!$N:$N,IlumaData!$V:$V,$R90,IlumaData!$U:$U,2))</f>
        <v/>
      </c>
      <c r="V90">
        <f>IF(COUNTIFS(IlumaData!$V:$V,$R90,IlumaData!$U:$U,3,IlumaData!$N:$N,"&lt;&gt;")=0,"",SUMIFS(IlumaData!$N:$N,IlumaData!$V:$V,$R90,IlumaData!$U:$U,3))</f>
        <v/>
      </c>
      <c r="W90">
        <f>IF(COUNTIFS(IlumaData!$V:$V,$R90,IlumaData!$U:$U,4,IlumaData!$N:$N,"&lt;&gt;")=0,"",SUMIFS(IlumaData!$N:$N,IlumaData!$V:$V,$R90,IlumaData!$U:$U,4))</f>
        <v/>
      </c>
      <c r="X90">
        <f>IF(COUNTIFS(IlumaData!$V:$V,$R90,IlumaData!$U:$U,5,IlumaData!$N:$N,"&lt;&gt;")=0,"",SUMIFS(IlumaData!$N:$N,IlumaData!$V:$V,$R90,IlumaData!$U:$U,5))</f>
        <v/>
      </c>
      <c r="Y90">
        <f>IF(COUNTIFS(IlumaData!$V:$V,$R90,IlumaData!$U:$U,6,IlumaData!$N:$N,"&lt;&gt;")=0,"",SUMIFS(IlumaData!$N:$N,IlumaData!$V:$V,$R90,IlumaData!$U:$U,6))</f>
        <v/>
      </c>
      <c r="Z90">
        <f>IF(COUNTIFS(IlumaData!$V:$V,$R90,IlumaData!$U:$U,7,IlumaData!$N:$N,"&lt;&gt;")=0,"",SUMIFS(IlumaData!$N:$N,IlumaData!$V:$V,$R90,IlumaData!$U:$U,7))</f>
        <v/>
      </c>
      <c r="AA90">
        <f>IF(COUNTIFS(IlumaData!$V:$V,$R90,IlumaData!$U:$U,8,IlumaData!$N:$N,"&lt;&gt;")=0,"",SUMIFS(IlumaData!$N:$N,IlumaData!$V:$V,$R90,IlumaData!$U:$U,8))</f>
        <v/>
      </c>
      <c r="AB90">
        <f>IF(COUNTIFS(IlumaData!$V:$V,$R90,IlumaData!$U:$U,9,IlumaData!$N:$N,"&lt;&gt;")=0,"",SUMIFS(IlumaData!$N:$N,IlumaData!$V:$V,$R90,IlumaData!$U:$U,9))</f>
        <v/>
      </c>
      <c r="AC90">
        <f>IF(COUNTIFS(IlumaData!$V:$V,$R90,IlumaData!$U:$U,10,IlumaData!$N:$N,"&lt;&gt;")=0,"",SUMIFS(IlumaData!$N:$N,IlumaData!$V:$V,$R90,IlumaData!$U:$U,10))</f>
        <v/>
      </c>
      <c r="AD90">
        <f>IF(COUNTIFS(IlumaData!$V:$V,$R90,IlumaData!$U:$U,11,IlumaData!$N:$N,"&lt;&gt;")=0,"",SUMIFS(IlumaData!$N:$N,IlumaData!$V:$V,$R90,IlumaData!$U:$U,11))</f>
        <v/>
      </c>
      <c r="AE90">
        <f>IF(COUNTIFS(IlumaData!$V:$V,$R90,IlumaData!$U:$U,12,IlumaData!$N:$N,"&lt;&gt;")=0,"",SUMIFS(IlumaData!$N:$N,IlumaData!$V:$V,$R90,IlumaData!$U:$U,12))</f>
        <v/>
      </c>
      <c r="AF90">
        <f>IF(COUNTIFS(IlumaData!$V:$V,$R90,IlumaData!$U:$U,13,IlumaData!$N:$N,"&lt;&gt;")=0,"",SUMIFS(IlumaData!$N:$N,IlumaData!$V:$V,$R90,IlumaData!$U:$U,13))</f>
        <v/>
      </c>
      <c r="AG90">
        <f>IF(COUNTIFS(IlumaData!$V:$V,$R90,IlumaData!$U:$U,14,IlumaData!$N:$N,"&lt;&gt;")=0,"",SUMIFS(IlumaData!$N:$N,IlumaData!$V:$V,$R90,IlumaData!$U:$U,14))</f>
        <v/>
      </c>
      <c r="AH90">
        <f>COUNTIFS(IlumaData!$V:$V,$R90,IlumaData!$U:$U,"&lt;="&amp;14,IlumaData!$N:$N,"&lt;&gt;")</f>
        <v/>
      </c>
      <c r="AI90">
        <f>COUNTIFS(IlumaData!$V:$V,$R90,IlumaData!$U:$U,"&lt;="&amp;14,IlumaData!$N:$N,0)</f>
        <v/>
      </c>
      <c r="AJ90">
        <f>IF(AH90=0,"",AH90-AI90)</f>
        <v/>
      </c>
      <c r="AK90">
        <f>IF(AH90=0,"",SUMIFS(IlumaData!$N:$N,IlumaData!$V:$V,$R90,IlumaData!$U:$U,"&lt;="&amp;14))</f>
        <v/>
      </c>
      <c r="AL90">
        <f>IF(AH90=0,"",IF(ABS(MAX(T90:AG90))&gt;=ABS(MIN(T90:AG90)),MAX(T90:AG90),MIN(T90:AG90)))</f>
        <v/>
      </c>
      <c r="AM90">
        <f>IF(AH90=0,-1,AJ90*100000+MIN(ABS(AK90),99999))</f>
        <v/>
      </c>
      <c r="AN90">
        <f>IF($S90="","",1+COUNTIFS($AM$3:$AM$122,"&gt;"&amp;AM90)+COUNTIFS($AM$3:$AM$122,AM90,$R$3:$R$122,"&lt;"&amp;$R90))</f>
        <v/>
      </c>
    </row>
    <row r="91">
      <c r="R91" t="n">
        <v>89</v>
      </c>
      <c r="S91">
        <f>IFERROR(INDEX(IlumaData!$G:$G,MATCH($R91,IlumaData!$V:$V,0)),"")</f>
        <v/>
      </c>
      <c r="T91">
        <f>IF(COUNTIFS(IlumaData!$V:$V,$R91,IlumaData!$U:$U,1,IlumaData!$N:$N,"&lt;&gt;")=0,"",SUMIFS(IlumaData!$N:$N,IlumaData!$V:$V,$R91,IlumaData!$U:$U,1))</f>
        <v/>
      </c>
      <c r="U91">
        <f>IF(COUNTIFS(IlumaData!$V:$V,$R91,IlumaData!$U:$U,2,IlumaData!$N:$N,"&lt;&gt;")=0,"",SUMIFS(IlumaData!$N:$N,IlumaData!$V:$V,$R91,IlumaData!$U:$U,2))</f>
        <v/>
      </c>
      <c r="V91">
        <f>IF(COUNTIFS(IlumaData!$V:$V,$R91,IlumaData!$U:$U,3,IlumaData!$N:$N,"&lt;&gt;")=0,"",SUMIFS(IlumaData!$N:$N,IlumaData!$V:$V,$R91,IlumaData!$U:$U,3))</f>
        <v/>
      </c>
      <c r="W91">
        <f>IF(COUNTIFS(IlumaData!$V:$V,$R91,IlumaData!$U:$U,4,IlumaData!$N:$N,"&lt;&gt;")=0,"",SUMIFS(IlumaData!$N:$N,IlumaData!$V:$V,$R91,IlumaData!$U:$U,4))</f>
        <v/>
      </c>
      <c r="X91">
        <f>IF(COUNTIFS(IlumaData!$V:$V,$R91,IlumaData!$U:$U,5,IlumaData!$N:$N,"&lt;&gt;")=0,"",SUMIFS(IlumaData!$N:$N,IlumaData!$V:$V,$R91,IlumaData!$U:$U,5))</f>
        <v/>
      </c>
      <c r="Y91">
        <f>IF(COUNTIFS(IlumaData!$V:$V,$R91,IlumaData!$U:$U,6,IlumaData!$N:$N,"&lt;&gt;")=0,"",SUMIFS(IlumaData!$N:$N,IlumaData!$V:$V,$R91,IlumaData!$U:$U,6))</f>
        <v/>
      </c>
      <c r="Z91">
        <f>IF(COUNTIFS(IlumaData!$V:$V,$R91,IlumaData!$U:$U,7,IlumaData!$N:$N,"&lt;&gt;")=0,"",SUMIFS(IlumaData!$N:$N,IlumaData!$V:$V,$R91,IlumaData!$U:$U,7))</f>
        <v/>
      </c>
      <c r="AA91">
        <f>IF(COUNTIFS(IlumaData!$V:$V,$R91,IlumaData!$U:$U,8,IlumaData!$N:$N,"&lt;&gt;")=0,"",SUMIFS(IlumaData!$N:$N,IlumaData!$V:$V,$R91,IlumaData!$U:$U,8))</f>
        <v/>
      </c>
      <c r="AB91">
        <f>IF(COUNTIFS(IlumaData!$V:$V,$R91,IlumaData!$U:$U,9,IlumaData!$N:$N,"&lt;&gt;")=0,"",SUMIFS(IlumaData!$N:$N,IlumaData!$V:$V,$R91,IlumaData!$U:$U,9))</f>
        <v/>
      </c>
      <c r="AC91">
        <f>IF(COUNTIFS(IlumaData!$V:$V,$R91,IlumaData!$U:$U,10,IlumaData!$N:$N,"&lt;&gt;")=0,"",SUMIFS(IlumaData!$N:$N,IlumaData!$V:$V,$R91,IlumaData!$U:$U,10))</f>
        <v/>
      </c>
      <c r="AD91">
        <f>IF(COUNTIFS(IlumaData!$V:$V,$R91,IlumaData!$U:$U,11,IlumaData!$N:$N,"&lt;&gt;")=0,"",SUMIFS(IlumaData!$N:$N,IlumaData!$V:$V,$R91,IlumaData!$U:$U,11))</f>
        <v/>
      </c>
      <c r="AE91">
        <f>IF(COUNTIFS(IlumaData!$V:$V,$R91,IlumaData!$U:$U,12,IlumaData!$N:$N,"&lt;&gt;")=0,"",SUMIFS(IlumaData!$N:$N,IlumaData!$V:$V,$R91,IlumaData!$U:$U,12))</f>
        <v/>
      </c>
      <c r="AF91">
        <f>IF(COUNTIFS(IlumaData!$V:$V,$R91,IlumaData!$U:$U,13,IlumaData!$N:$N,"&lt;&gt;")=0,"",SUMIFS(IlumaData!$N:$N,IlumaData!$V:$V,$R91,IlumaData!$U:$U,13))</f>
        <v/>
      </c>
      <c r="AG91">
        <f>IF(COUNTIFS(IlumaData!$V:$V,$R91,IlumaData!$U:$U,14,IlumaData!$N:$N,"&lt;&gt;")=0,"",SUMIFS(IlumaData!$N:$N,IlumaData!$V:$V,$R91,IlumaData!$U:$U,14))</f>
        <v/>
      </c>
      <c r="AH91">
        <f>COUNTIFS(IlumaData!$V:$V,$R91,IlumaData!$U:$U,"&lt;="&amp;14,IlumaData!$N:$N,"&lt;&gt;")</f>
        <v/>
      </c>
      <c r="AI91">
        <f>COUNTIFS(IlumaData!$V:$V,$R91,IlumaData!$U:$U,"&lt;="&amp;14,IlumaData!$N:$N,0)</f>
        <v/>
      </c>
      <c r="AJ91">
        <f>IF(AH91=0,"",AH91-AI91)</f>
        <v/>
      </c>
      <c r="AK91">
        <f>IF(AH91=0,"",SUMIFS(IlumaData!$N:$N,IlumaData!$V:$V,$R91,IlumaData!$U:$U,"&lt;="&amp;14))</f>
        <v/>
      </c>
      <c r="AL91">
        <f>IF(AH91=0,"",IF(ABS(MAX(T91:AG91))&gt;=ABS(MIN(T91:AG91)),MAX(T91:AG91),MIN(T91:AG91)))</f>
        <v/>
      </c>
      <c r="AM91">
        <f>IF(AH91=0,-1,AJ91*100000+MIN(ABS(AK91),99999))</f>
        <v/>
      </c>
      <c r="AN91">
        <f>IF($S91="","",1+COUNTIFS($AM$3:$AM$122,"&gt;"&amp;AM91)+COUNTIFS($AM$3:$AM$122,AM91,$R$3:$R$122,"&lt;"&amp;$R91))</f>
        <v/>
      </c>
    </row>
    <row r="92">
      <c r="R92" t="n">
        <v>90</v>
      </c>
      <c r="S92">
        <f>IFERROR(INDEX(IlumaData!$G:$G,MATCH($R92,IlumaData!$V:$V,0)),"")</f>
        <v/>
      </c>
      <c r="T92">
        <f>IF(COUNTIFS(IlumaData!$V:$V,$R92,IlumaData!$U:$U,1,IlumaData!$N:$N,"&lt;&gt;")=0,"",SUMIFS(IlumaData!$N:$N,IlumaData!$V:$V,$R92,IlumaData!$U:$U,1))</f>
        <v/>
      </c>
      <c r="U92">
        <f>IF(COUNTIFS(IlumaData!$V:$V,$R92,IlumaData!$U:$U,2,IlumaData!$N:$N,"&lt;&gt;")=0,"",SUMIFS(IlumaData!$N:$N,IlumaData!$V:$V,$R92,IlumaData!$U:$U,2))</f>
        <v/>
      </c>
      <c r="V92">
        <f>IF(COUNTIFS(IlumaData!$V:$V,$R92,IlumaData!$U:$U,3,IlumaData!$N:$N,"&lt;&gt;")=0,"",SUMIFS(IlumaData!$N:$N,IlumaData!$V:$V,$R92,IlumaData!$U:$U,3))</f>
        <v/>
      </c>
      <c r="W92">
        <f>IF(COUNTIFS(IlumaData!$V:$V,$R92,IlumaData!$U:$U,4,IlumaData!$N:$N,"&lt;&gt;")=0,"",SUMIFS(IlumaData!$N:$N,IlumaData!$V:$V,$R92,IlumaData!$U:$U,4))</f>
        <v/>
      </c>
      <c r="X92">
        <f>IF(COUNTIFS(IlumaData!$V:$V,$R92,IlumaData!$U:$U,5,IlumaData!$N:$N,"&lt;&gt;")=0,"",SUMIFS(IlumaData!$N:$N,IlumaData!$V:$V,$R92,IlumaData!$U:$U,5))</f>
        <v/>
      </c>
      <c r="Y92">
        <f>IF(COUNTIFS(IlumaData!$V:$V,$R92,IlumaData!$U:$U,6,IlumaData!$N:$N,"&lt;&gt;")=0,"",SUMIFS(IlumaData!$N:$N,IlumaData!$V:$V,$R92,IlumaData!$U:$U,6))</f>
        <v/>
      </c>
      <c r="Z92">
        <f>IF(COUNTIFS(IlumaData!$V:$V,$R92,IlumaData!$U:$U,7,IlumaData!$N:$N,"&lt;&gt;")=0,"",SUMIFS(IlumaData!$N:$N,IlumaData!$V:$V,$R92,IlumaData!$U:$U,7))</f>
        <v/>
      </c>
      <c r="AA92">
        <f>IF(COUNTIFS(IlumaData!$V:$V,$R92,IlumaData!$U:$U,8,IlumaData!$N:$N,"&lt;&gt;")=0,"",SUMIFS(IlumaData!$N:$N,IlumaData!$V:$V,$R92,IlumaData!$U:$U,8))</f>
        <v/>
      </c>
      <c r="AB92">
        <f>IF(COUNTIFS(IlumaData!$V:$V,$R92,IlumaData!$U:$U,9,IlumaData!$N:$N,"&lt;&gt;")=0,"",SUMIFS(IlumaData!$N:$N,IlumaData!$V:$V,$R92,IlumaData!$U:$U,9))</f>
        <v/>
      </c>
      <c r="AC92">
        <f>IF(COUNTIFS(IlumaData!$V:$V,$R92,IlumaData!$U:$U,10,IlumaData!$N:$N,"&lt;&gt;")=0,"",SUMIFS(IlumaData!$N:$N,IlumaData!$V:$V,$R92,IlumaData!$U:$U,10))</f>
        <v/>
      </c>
      <c r="AD92">
        <f>IF(COUNTIFS(IlumaData!$V:$V,$R92,IlumaData!$U:$U,11,IlumaData!$N:$N,"&lt;&gt;")=0,"",SUMIFS(IlumaData!$N:$N,IlumaData!$V:$V,$R92,IlumaData!$U:$U,11))</f>
        <v/>
      </c>
      <c r="AE92">
        <f>IF(COUNTIFS(IlumaData!$V:$V,$R92,IlumaData!$U:$U,12,IlumaData!$N:$N,"&lt;&gt;")=0,"",SUMIFS(IlumaData!$N:$N,IlumaData!$V:$V,$R92,IlumaData!$U:$U,12))</f>
        <v/>
      </c>
      <c r="AF92">
        <f>IF(COUNTIFS(IlumaData!$V:$V,$R92,IlumaData!$U:$U,13,IlumaData!$N:$N,"&lt;&gt;")=0,"",SUMIFS(IlumaData!$N:$N,IlumaData!$V:$V,$R92,IlumaData!$U:$U,13))</f>
        <v/>
      </c>
      <c r="AG92">
        <f>IF(COUNTIFS(IlumaData!$V:$V,$R92,IlumaData!$U:$U,14,IlumaData!$N:$N,"&lt;&gt;")=0,"",SUMIFS(IlumaData!$N:$N,IlumaData!$V:$V,$R92,IlumaData!$U:$U,14))</f>
        <v/>
      </c>
      <c r="AH92">
        <f>COUNTIFS(IlumaData!$V:$V,$R92,IlumaData!$U:$U,"&lt;="&amp;14,IlumaData!$N:$N,"&lt;&gt;")</f>
        <v/>
      </c>
      <c r="AI92">
        <f>COUNTIFS(IlumaData!$V:$V,$R92,IlumaData!$U:$U,"&lt;="&amp;14,IlumaData!$N:$N,0)</f>
        <v/>
      </c>
      <c r="AJ92">
        <f>IF(AH92=0,"",AH92-AI92)</f>
        <v/>
      </c>
      <c r="AK92">
        <f>IF(AH92=0,"",SUMIFS(IlumaData!$N:$N,IlumaData!$V:$V,$R92,IlumaData!$U:$U,"&lt;="&amp;14))</f>
        <v/>
      </c>
      <c r="AL92">
        <f>IF(AH92=0,"",IF(ABS(MAX(T92:AG92))&gt;=ABS(MIN(T92:AG92)),MAX(T92:AG92),MIN(T92:AG92)))</f>
        <v/>
      </c>
      <c r="AM92">
        <f>IF(AH92=0,-1,AJ92*100000+MIN(ABS(AK92),99999))</f>
        <v/>
      </c>
      <c r="AN92">
        <f>IF($S92="","",1+COUNTIFS($AM$3:$AM$122,"&gt;"&amp;AM92)+COUNTIFS($AM$3:$AM$122,AM92,$R$3:$R$122,"&lt;"&amp;$R92))</f>
        <v/>
      </c>
    </row>
    <row r="93">
      <c r="R93" t="n">
        <v>91</v>
      </c>
      <c r="S93">
        <f>IFERROR(INDEX(IlumaData!$G:$G,MATCH($R93,IlumaData!$V:$V,0)),"")</f>
        <v/>
      </c>
      <c r="T93">
        <f>IF(COUNTIFS(IlumaData!$V:$V,$R93,IlumaData!$U:$U,1,IlumaData!$N:$N,"&lt;&gt;")=0,"",SUMIFS(IlumaData!$N:$N,IlumaData!$V:$V,$R93,IlumaData!$U:$U,1))</f>
        <v/>
      </c>
      <c r="U93">
        <f>IF(COUNTIFS(IlumaData!$V:$V,$R93,IlumaData!$U:$U,2,IlumaData!$N:$N,"&lt;&gt;")=0,"",SUMIFS(IlumaData!$N:$N,IlumaData!$V:$V,$R93,IlumaData!$U:$U,2))</f>
        <v/>
      </c>
      <c r="V93">
        <f>IF(COUNTIFS(IlumaData!$V:$V,$R93,IlumaData!$U:$U,3,IlumaData!$N:$N,"&lt;&gt;")=0,"",SUMIFS(IlumaData!$N:$N,IlumaData!$V:$V,$R93,IlumaData!$U:$U,3))</f>
        <v/>
      </c>
      <c r="W93">
        <f>IF(COUNTIFS(IlumaData!$V:$V,$R93,IlumaData!$U:$U,4,IlumaData!$N:$N,"&lt;&gt;")=0,"",SUMIFS(IlumaData!$N:$N,IlumaData!$V:$V,$R93,IlumaData!$U:$U,4))</f>
        <v/>
      </c>
      <c r="X93">
        <f>IF(COUNTIFS(IlumaData!$V:$V,$R93,IlumaData!$U:$U,5,IlumaData!$N:$N,"&lt;&gt;")=0,"",SUMIFS(IlumaData!$N:$N,IlumaData!$V:$V,$R93,IlumaData!$U:$U,5))</f>
        <v/>
      </c>
      <c r="Y93">
        <f>IF(COUNTIFS(IlumaData!$V:$V,$R93,IlumaData!$U:$U,6,IlumaData!$N:$N,"&lt;&gt;")=0,"",SUMIFS(IlumaData!$N:$N,IlumaData!$V:$V,$R93,IlumaData!$U:$U,6))</f>
        <v/>
      </c>
      <c r="Z93">
        <f>IF(COUNTIFS(IlumaData!$V:$V,$R93,IlumaData!$U:$U,7,IlumaData!$N:$N,"&lt;&gt;")=0,"",SUMIFS(IlumaData!$N:$N,IlumaData!$V:$V,$R93,IlumaData!$U:$U,7))</f>
        <v/>
      </c>
      <c r="AA93">
        <f>IF(COUNTIFS(IlumaData!$V:$V,$R93,IlumaData!$U:$U,8,IlumaData!$N:$N,"&lt;&gt;")=0,"",SUMIFS(IlumaData!$N:$N,IlumaData!$V:$V,$R93,IlumaData!$U:$U,8))</f>
        <v/>
      </c>
      <c r="AB93">
        <f>IF(COUNTIFS(IlumaData!$V:$V,$R93,IlumaData!$U:$U,9,IlumaData!$N:$N,"&lt;&gt;")=0,"",SUMIFS(IlumaData!$N:$N,IlumaData!$V:$V,$R93,IlumaData!$U:$U,9))</f>
        <v/>
      </c>
      <c r="AC93">
        <f>IF(COUNTIFS(IlumaData!$V:$V,$R93,IlumaData!$U:$U,10,IlumaData!$N:$N,"&lt;&gt;")=0,"",SUMIFS(IlumaData!$N:$N,IlumaData!$V:$V,$R93,IlumaData!$U:$U,10))</f>
        <v/>
      </c>
      <c r="AD93">
        <f>IF(COUNTIFS(IlumaData!$V:$V,$R93,IlumaData!$U:$U,11,IlumaData!$N:$N,"&lt;&gt;")=0,"",SUMIFS(IlumaData!$N:$N,IlumaData!$V:$V,$R93,IlumaData!$U:$U,11))</f>
        <v/>
      </c>
      <c r="AE93">
        <f>IF(COUNTIFS(IlumaData!$V:$V,$R93,IlumaData!$U:$U,12,IlumaData!$N:$N,"&lt;&gt;")=0,"",SUMIFS(IlumaData!$N:$N,IlumaData!$V:$V,$R93,IlumaData!$U:$U,12))</f>
        <v/>
      </c>
      <c r="AF93">
        <f>IF(COUNTIFS(IlumaData!$V:$V,$R93,IlumaData!$U:$U,13,IlumaData!$N:$N,"&lt;&gt;")=0,"",SUMIFS(IlumaData!$N:$N,IlumaData!$V:$V,$R93,IlumaData!$U:$U,13))</f>
        <v/>
      </c>
      <c r="AG93">
        <f>IF(COUNTIFS(IlumaData!$V:$V,$R93,IlumaData!$U:$U,14,IlumaData!$N:$N,"&lt;&gt;")=0,"",SUMIFS(IlumaData!$N:$N,IlumaData!$V:$V,$R93,IlumaData!$U:$U,14))</f>
        <v/>
      </c>
      <c r="AH93">
        <f>COUNTIFS(IlumaData!$V:$V,$R93,IlumaData!$U:$U,"&lt;="&amp;14,IlumaData!$N:$N,"&lt;&gt;")</f>
        <v/>
      </c>
      <c r="AI93">
        <f>COUNTIFS(IlumaData!$V:$V,$R93,IlumaData!$U:$U,"&lt;="&amp;14,IlumaData!$N:$N,0)</f>
        <v/>
      </c>
      <c r="AJ93">
        <f>IF(AH93=0,"",AH93-AI93)</f>
        <v/>
      </c>
      <c r="AK93">
        <f>IF(AH93=0,"",SUMIFS(IlumaData!$N:$N,IlumaData!$V:$V,$R93,IlumaData!$U:$U,"&lt;="&amp;14))</f>
        <v/>
      </c>
      <c r="AL93">
        <f>IF(AH93=0,"",IF(ABS(MAX(T93:AG93))&gt;=ABS(MIN(T93:AG93)),MAX(T93:AG93),MIN(T93:AG93)))</f>
        <v/>
      </c>
      <c r="AM93">
        <f>IF(AH93=0,-1,AJ93*100000+MIN(ABS(AK93),99999))</f>
        <v/>
      </c>
      <c r="AN93">
        <f>IF($S93="","",1+COUNTIFS($AM$3:$AM$122,"&gt;"&amp;AM93)+COUNTIFS($AM$3:$AM$122,AM93,$R$3:$R$122,"&lt;"&amp;$R93))</f>
        <v/>
      </c>
    </row>
    <row r="94">
      <c r="R94" t="n">
        <v>92</v>
      </c>
      <c r="S94">
        <f>IFERROR(INDEX(IlumaData!$G:$G,MATCH($R94,IlumaData!$V:$V,0)),"")</f>
        <v/>
      </c>
      <c r="T94">
        <f>IF(COUNTIFS(IlumaData!$V:$V,$R94,IlumaData!$U:$U,1,IlumaData!$N:$N,"&lt;&gt;")=0,"",SUMIFS(IlumaData!$N:$N,IlumaData!$V:$V,$R94,IlumaData!$U:$U,1))</f>
        <v/>
      </c>
      <c r="U94">
        <f>IF(COUNTIFS(IlumaData!$V:$V,$R94,IlumaData!$U:$U,2,IlumaData!$N:$N,"&lt;&gt;")=0,"",SUMIFS(IlumaData!$N:$N,IlumaData!$V:$V,$R94,IlumaData!$U:$U,2))</f>
        <v/>
      </c>
      <c r="V94">
        <f>IF(COUNTIFS(IlumaData!$V:$V,$R94,IlumaData!$U:$U,3,IlumaData!$N:$N,"&lt;&gt;")=0,"",SUMIFS(IlumaData!$N:$N,IlumaData!$V:$V,$R94,IlumaData!$U:$U,3))</f>
        <v/>
      </c>
      <c r="W94">
        <f>IF(COUNTIFS(IlumaData!$V:$V,$R94,IlumaData!$U:$U,4,IlumaData!$N:$N,"&lt;&gt;")=0,"",SUMIFS(IlumaData!$N:$N,IlumaData!$V:$V,$R94,IlumaData!$U:$U,4))</f>
        <v/>
      </c>
      <c r="X94">
        <f>IF(COUNTIFS(IlumaData!$V:$V,$R94,IlumaData!$U:$U,5,IlumaData!$N:$N,"&lt;&gt;")=0,"",SUMIFS(IlumaData!$N:$N,IlumaData!$V:$V,$R94,IlumaData!$U:$U,5))</f>
        <v/>
      </c>
      <c r="Y94">
        <f>IF(COUNTIFS(IlumaData!$V:$V,$R94,IlumaData!$U:$U,6,IlumaData!$N:$N,"&lt;&gt;")=0,"",SUMIFS(IlumaData!$N:$N,IlumaData!$V:$V,$R94,IlumaData!$U:$U,6))</f>
        <v/>
      </c>
      <c r="Z94">
        <f>IF(COUNTIFS(IlumaData!$V:$V,$R94,IlumaData!$U:$U,7,IlumaData!$N:$N,"&lt;&gt;")=0,"",SUMIFS(IlumaData!$N:$N,IlumaData!$V:$V,$R94,IlumaData!$U:$U,7))</f>
        <v/>
      </c>
      <c r="AA94">
        <f>IF(COUNTIFS(IlumaData!$V:$V,$R94,IlumaData!$U:$U,8,IlumaData!$N:$N,"&lt;&gt;")=0,"",SUMIFS(IlumaData!$N:$N,IlumaData!$V:$V,$R94,IlumaData!$U:$U,8))</f>
        <v/>
      </c>
      <c r="AB94">
        <f>IF(COUNTIFS(IlumaData!$V:$V,$R94,IlumaData!$U:$U,9,IlumaData!$N:$N,"&lt;&gt;")=0,"",SUMIFS(IlumaData!$N:$N,IlumaData!$V:$V,$R94,IlumaData!$U:$U,9))</f>
        <v/>
      </c>
      <c r="AC94">
        <f>IF(COUNTIFS(IlumaData!$V:$V,$R94,IlumaData!$U:$U,10,IlumaData!$N:$N,"&lt;&gt;")=0,"",SUMIFS(IlumaData!$N:$N,IlumaData!$V:$V,$R94,IlumaData!$U:$U,10))</f>
        <v/>
      </c>
      <c r="AD94">
        <f>IF(COUNTIFS(IlumaData!$V:$V,$R94,IlumaData!$U:$U,11,IlumaData!$N:$N,"&lt;&gt;")=0,"",SUMIFS(IlumaData!$N:$N,IlumaData!$V:$V,$R94,IlumaData!$U:$U,11))</f>
        <v/>
      </c>
      <c r="AE94">
        <f>IF(COUNTIFS(IlumaData!$V:$V,$R94,IlumaData!$U:$U,12,IlumaData!$N:$N,"&lt;&gt;")=0,"",SUMIFS(IlumaData!$N:$N,IlumaData!$V:$V,$R94,IlumaData!$U:$U,12))</f>
        <v/>
      </c>
      <c r="AF94">
        <f>IF(COUNTIFS(IlumaData!$V:$V,$R94,IlumaData!$U:$U,13,IlumaData!$N:$N,"&lt;&gt;")=0,"",SUMIFS(IlumaData!$N:$N,IlumaData!$V:$V,$R94,IlumaData!$U:$U,13))</f>
        <v/>
      </c>
      <c r="AG94">
        <f>IF(COUNTIFS(IlumaData!$V:$V,$R94,IlumaData!$U:$U,14,IlumaData!$N:$N,"&lt;&gt;")=0,"",SUMIFS(IlumaData!$N:$N,IlumaData!$V:$V,$R94,IlumaData!$U:$U,14))</f>
        <v/>
      </c>
      <c r="AH94">
        <f>COUNTIFS(IlumaData!$V:$V,$R94,IlumaData!$U:$U,"&lt;="&amp;14,IlumaData!$N:$N,"&lt;&gt;")</f>
        <v/>
      </c>
      <c r="AI94">
        <f>COUNTIFS(IlumaData!$V:$V,$R94,IlumaData!$U:$U,"&lt;="&amp;14,IlumaData!$N:$N,0)</f>
        <v/>
      </c>
      <c r="AJ94">
        <f>IF(AH94=0,"",AH94-AI94)</f>
        <v/>
      </c>
      <c r="AK94">
        <f>IF(AH94=0,"",SUMIFS(IlumaData!$N:$N,IlumaData!$V:$V,$R94,IlumaData!$U:$U,"&lt;="&amp;14))</f>
        <v/>
      </c>
      <c r="AL94">
        <f>IF(AH94=0,"",IF(ABS(MAX(T94:AG94))&gt;=ABS(MIN(T94:AG94)),MAX(T94:AG94),MIN(T94:AG94)))</f>
        <v/>
      </c>
      <c r="AM94">
        <f>IF(AH94=0,-1,AJ94*100000+MIN(ABS(AK94),99999))</f>
        <v/>
      </c>
      <c r="AN94">
        <f>IF($S94="","",1+COUNTIFS($AM$3:$AM$122,"&gt;"&amp;AM94)+COUNTIFS($AM$3:$AM$122,AM94,$R$3:$R$122,"&lt;"&amp;$R94))</f>
        <v/>
      </c>
    </row>
    <row r="95">
      <c r="R95" t="n">
        <v>93</v>
      </c>
      <c r="S95">
        <f>IFERROR(INDEX(IlumaData!$G:$G,MATCH($R95,IlumaData!$V:$V,0)),"")</f>
        <v/>
      </c>
      <c r="T95">
        <f>IF(COUNTIFS(IlumaData!$V:$V,$R95,IlumaData!$U:$U,1,IlumaData!$N:$N,"&lt;&gt;")=0,"",SUMIFS(IlumaData!$N:$N,IlumaData!$V:$V,$R95,IlumaData!$U:$U,1))</f>
        <v/>
      </c>
      <c r="U95">
        <f>IF(COUNTIFS(IlumaData!$V:$V,$R95,IlumaData!$U:$U,2,IlumaData!$N:$N,"&lt;&gt;")=0,"",SUMIFS(IlumaData!$N:$N,IlumaData!$V:$V,$R95,IlumaData!$U:$U,2))</f>
        <v/>
      </c>
      <c r="V95">
        <f>IF(COUNTIFS(IlumaData!$V:$V,$R95,IlumaData!$U:$U,3,IlumaData!$N:$N,"&lt;&gt;")=0,"",SUMIFS(IlumaData!$N:$N,IlumaData!$V:$V,$R95,IlumaData!$U:$U,3))</f>
        <v/>
      </c>
      <c r="W95">
        <f>IF(COUNTIFS(IlumaData!$V:$V,$R95,IlumaData!$U:$U,4,IlumaData!$N:$N,"&lt;&gt;")=0,"",SUMIFS(IlumaData!$N:$N,IlumaData!$V:$V,$R95,IlumaData!$U:$U,4))</f>
        <v/>
      </c>
      <c r="X95">
        <f>IF(COUNTIFS(IlumaData!$V:$V,$R95,IlumaData!$U:$U,5,IlumaData!$N:$N,"&lt;&gt;")=0,"",SUMIFS(IlumaData!$N:$N,IlumaData!$V:$V,$R95,IlumaData!$U:$U,5))</f>
        <v/>
      </c>
      <c r="Y95">
        <f>IF(COUNTIFS(IlumaData!$V:$V,$R95,IlumaData!$U:$U,6,IlumaData!$N:$N,"&lt;&gt;")=0,"",SUMIFS(IlumaData!$N:$N,IlumaData!$V:$V,$R95,IlumaData!$U:$U,6))</f>
        <v/>
      </c>
      <c r="Z95">
        <f>IF(COUNTIFS(IlumaData!$V:$V,$R95,IlumaData!$U:$U,7,IlumaData!$N:$N,"&lt;&gt;")=0,"",SUMIFS(IlumaData!$N:$N,IlumaData!$V:$V,$R95,IlumaData!$U:$U,7))</f>
        <v/>
      </c>
      <c r="AA95">
        <f>IF(COUNTIFS(IlumaData!$V:$V,$R95,IlumaData!$U:$U,8,IlumaData!$N:$N,"&lt;&gt;")=0,"",SUMIFS(IlumaData!$N:$N,IlumaData!$V:$V,$R95,IlumaData!$U:$U,8))</f>
        <v/>
      </c>
      <c r="AB95">
        <f>IF(COUNTIFS(IlumaData!$V:$V,$R95,IlumaData!$U:$U,9,IlumaData!$N:$N,"&lt;&gt;")=0,"",SUMIFS(IlumaData!$N:$N,IlumaData!$V:$V,$R95,IlumaData!$U:$U,9))</f>
        <v/>
      </c>
      <c r="AC95">
        <f>IF(COUNTIFS(IlumaData!$V:$V,$R95,IlumaData!$U:$U,10,IlumaData!$N:$N,"&lt;&gt;")=0,"",SUMIFS(IlumaData!$N:$N,IlumaData!$V:$V,$R95,IlumaData!$U:$U,10))</f>
        <v/>
      </c>
      <c r="AD95">
        <f>IF(COUNTIFS(IlumaData!$V:$V,$R95,IlumaData!$U:$U,11,IlumaData!$N:$N,"&lt;&gt;")=0,"",SUMIFS(IlumaData!$N:$N,IlumaData!$V:$V,$R95,IlumaData!$U:$U,11))</f>
        <v/>
      </c>
      <c r="AE95">
        <f>IF(COUNTIFS(IlumaData!$V:$V,$R95,IlumaData!$U:$U,12,IlumaData!$N:$N,"&lt;&gt;")=0,"",SUMIFS(IlumaData!$N:$N,IlumaData!$V:$V,$R95,IlumaData!$U:$U,12))</f>
        <v/>
      </c>
      <c r="AF95">
        <f>IF(COUNTIFS(IlumaData!$V:$V,$R95,IlumaData!$U:$U,13,IlumaData!$N:$N,"&lt;&gt;")=0,"",SUMIFS(IlumaData!$N:$N,IlumaData!$V:$V,$R95,IlumaData!$U:$U,13))</f>
        <v/>
      </c>
      <c r="AG95">
        <f>IF(COUNTIFS(IlumaData!$V:$V,$R95,IlumaData!$U:$U,14,IlumaData!$N:$N,"&lt;&gt;")=0,"",SUMIFS(IlumaData!$N:$N,IlumaData!$V:$V,$R95,IlumaData!$U:$U,14))</f>
        <v/>
      </c>
      <c r="AH95">
        <f>COUNTIFS(IlumaData!$V:$V,$R95,IlumaData!$U:$U,"&lt;="&amp;14,IlumaData!$N:$N,"&lt;&gt;")</f>
        <v/>
      </c>
      <c r="AI95">
        <f>COUNTIFS(IlumaData!$V:$V,$R95,IlumaData!$U:$U,"&lt;="&amp;14,IlumaData!$N:$N,0)</f>
        <v/>
      </c>
      <c r="AJ95">
        <f>IF(AH95=0,"",AH95-AI95)</f>
        <v/>
      </c>
      <c r="AK95">
        <f>IF(AH95=0,"",SUMIFS(IlumaData!$N:$N,IlumaData!$V:$V,$R95,IlumaData!$U:$U,"&lt;="&amp;14))</f>
        <v/>
      </c>
      <c r="AL95">
        <f>IF(AH95=0,"",IF(ABS(MAX(T95:AG95))&gt;=ABS(MIN(T95:AG95)),MAX(T95:AG95),MIN(T95:AG95)))</f>
        <v/>
      </c>
      <c r="AM95">
        <f>IF(AH95=0,-1,AJ95*100000+MIN(ABS(AK95),99999))</f>
        <v/>
      </c>
      <c r="AN95">
        <f>IF($S95="","",1+COUNTIFS($AM$3:$AM$122,"&gt;"&amp;AM95)+COUNTIFS($AM$3:$AM$122,AM95,$R$3:$R$122,"&lt;"&amp;$R95))</f>
        <v/>
      </c>
    </row>
    <row r="96">
      <c r="R96" t="n">
        <v>94</v>
      </c>
      <c r="S96">
        <f>IFERROR(INDEX(IlumaData!$G:$G,MATCH($R96,IlumaData!$V:$V,0)),"")</f>
        <v/>
      </c>
      <c r="T96">
        <f>IF(COUNTIFS(IlumaData!$V:$V,$R96,IlumaData!$U:$U,1,IlumaData!$N:$N,"&lt;&gt;")=0,"",SUMIFS(IlumaData!$N:$N,IlumaData!$V:$V,$R96,IlumaData!$U:$U,1))</f>
        <v/>
      </c>
      <c r="U96">
        <f>IF(COUNTIFS(IlumaData!$V:$V,$R96,IlumaData!$U:$U,2,IlumaData!$N:$N,"&lt;&gt;")=0,"",SUMIFS(IlumaData!$N:$N,IlumaData!$V:$V,$R96,IlumaData!$U:$U,2))</f>
        <v/>
      </c>
      <c r="V96">
        <f>IF(COUNTIFS(IlumaData!$V:$V,$R96,IlumaData!$U:$U,3,IlumaData!$N:$N,"&lt;&gt;")=0,"",SUMIFS(IlumaData!$N:$N,IlumaData!$V:$V,$R96,IlumaData!$U:$U,3))</f>
        <v/>
      </c>
      <c r="W96">
        <f>IF(COUNTIFS(IlumaData!$V:$V,$R96,IlumaData!$U:$U,4,IlumaData!$N:$N,"&lt;&gt;")=0,"",SUMIFS(IlumaData!$N:$N,IlumaData!$V:$V,$R96,IlumaData!$U:$U,4))</f>
        <v/>
      </c>
      <c r="X96">
        <f>IF(COUNTIFS(IlumaData!$V:$V,$R96,IlumaData!$U:$U,5,IlumaData!$N:$N,"&lt;&gt;")=0,"",SUMIFS(IlumaData!$N:$N,IlumaData!$V:$V,$R96,IlumaData!$U:$U,5))</f>
        <v/>
      </c>
      <c r="Y96">
        <f>IF(COUNTIFS(IlumaData!$V:$V,$R96,IlumaData!$U:$U,6,IlumaData!$N:$N,"&lt;&gt;")=0,"",SUMIFS(IlumaData!$N:$N,IlumaData!$V:$V,$R96,IlumaData!$U:$U,6))</f>
        <v/>
      </c>
      <c r="Z96">
        <f>IF(COUNTIFS(IlumaData!$V:$V,$R96,IlumaData!$U:$U,7,IlumaData!$N:$N,"&lt;&gt;")=0,"",SUMIFS(IlumaData!$N:$N,IlumaData!$V:$V,$R96,IlumaData!$U:$U,7))</f>
        <v/>
      </c>
      <c r="AA96">
        <f>IF(COUNTIFS(IlumaData!$V:$V,$R96,IlumaData!$U:$U,8,IlumaData!$N:$N,"&lt;&gt;")=0,"",SUMIFS(IlumaData!$N:$N,IlumaData!$V:$V,$R96,IlumaData!$U:$U,8))</f>
        <v/>
      </c>
      <c r="AB96">
        <f>IF(COUNTIFS(IlumaData!$V:$V,$R96,IlumaData!$U:$U,9,IlumaData!$N:$N,"&lt;&gt;")=0,"",SUMIFS(IlumaData!$N:$N,IlumaData!$V:$V,$R96,IlumaData!$U:$U,9))</f>
        <v/>
      </c>
      <c r="AC96">
        <f>IF(COUNTIFS(IlumaData!$V:$V,$R96,IlumaData!$U:$U,10,IlumaData!$N:$N,"&lt;&gt;")=0,"",SUMIFS(IlumaData!$N:$N,IlumaData!$V:$V,$R96,IlumaData!$U:$U,10))</f>
        <v/>
      </c>
      <c r="AD96">
        <f>IF(COUNTIFS(IlumaData!$V:$V,$R96,IlumaData!$U:$U,11,IlumaData!$N:$N,"&lt;&gt;")=0,"",SUMIFS(IlumaData!$N:$N,IlumaData!$V:$V,$R96,IlumaData!$U:$U,11))</f>
        <v/>
      </c>
      <c r="AE96">
        <f>IF(COUNTIFS(IlumaData!$V:$V,$R96,IlumaData!$U:$U,12,IlumaData!$N:$N,"&lt;&gt;")=0,"",SUMIFS(IlumaData!$N:$N,IlumaData!$V:$V,$R96,IlumaData!$U:$U,12))</f>
        <v/>
      </c>
      <c r="AF96">
        <f>IF(COUNTIFS(IlumaData!$V:$V,$R96,IlumaData!$U:$U,13,IlumaData!$N:$N,"&lt;&gt;")=0,"",SUMIFS(IlumaData!$N:$N,IlumaData!$V:$V,$R96,IlumaData!$U:$U,13))</f>
        <v/>
      </c>
      <c r="AG96">
        <f>IF(COUNTIFS(IlumaData!$V:$V,$R96,IlumaData!$U:$U,14,IlumaData!$N:$N,"&lt;&gt;")=0,"",SUMIFS(IlumaData!$N:$N,IlumaData!$V:$V,$R96,IlumaData!$U:$U,14))</f>
        <v/>
      </c>
      <c r="AH96">
        <f>COUNTIFS(IlumaData!$V:$V,$R96,IlumaData!$U:$U,"&lt;="&amp;14,IlumaData!$N:$N,"&lt;&gt;")</f>
        <v/>
      </c>
      <c r="AI96">
        <f>COUNTIFS(IlumaData!$V:$V,$R96,IlumaData!$U:$U,"&lt;="&amp;14,IlumaData!$N:$N,0)</f>
        <v/>
      </c>
      <c r="AJ96">
        <f>IF(AH96=0,"",AH96-AI96)</f>
        <v/>
      </c>
      <c r="AK96">
        <f>IF(AH96=0,"",SUMIFS(IlumaData!$N:$N,IlumaData!$V:$V,$R96,IlumaData!$U:$U,"&lt;="&amp;14))</f>
        <v/>
      </c>
      <c r="AL96">
        <f>IF(AH96=0,"",IF(ABS(MAX(T96:AG96))&gt;=ABS(MIN(T96:AG96)),MAX(T96:AG96),MIN(T96:AG96)))</f>
        <v/>
      </c>
      <c r="AM96">
        <f>IF(AH96=0,-1,AJ96*100000+MIN(ABS(AK96),99999))</f>
        <v/>
      </c>
      <c r="AN96">
        <f>IF($S96="","",1+COUNTIFS($AM$3:$AM$122,"&gt;"&amp;AM96)+COUNTIFS($AM$3:$AM$122,AM96,$R$3:$R$122,"&lt;"&amp;$R96))</f>
        <v/>
      </c>
    </row>
    <row r="97">
      <c r="R97" t="n">
        <v>95</v>
      </c>
      <c r="S97">
        <f>IFERROR(INDEX(IlumaData!$G:$G,MATCH($R97,IlumaData!$V:$V,0)),"")</f>
        <v/>
      </c>
      <c r="T97">
        <f>IF(COUNTIFS(IlumaData!$V:$V,$R97,IlumaData!$U:$U,1,IlumaData!$N:$N,"&lt;&gt;")=0,"",SUMIFS(IlumaData!$N:$N,IlumaData!$V:$V,$R97,IlumaData!$U:$U,1))</f>
        <v/>
      </c>
      <c r="U97">
        <f>IF(COUNTIFS(IlumaData!$V:$V,$R97,IlumaData!$U:$U,2,IlumaData!$N:$N,"&lt;&gt;")=0,"",SUMIFS(IlumaData!$N:$N,IlumaData!$V:$V,$R97,IlumaData!$U:$U,2))</f>
        <v/>
      </c>
      <c r="V97">
        <f>IF(COUNTIFS(IlumaData!$V:$V,$R97,IlumaData!$U:$U,3,IlumaData!$N:$N,"&lt;&gt;")=0,"",SUMIFS(IlumaData!$N:$N,IlumaData!$V:$V,$R97,IlumaData!$U:$U,3))</f>
        <v/>
      </c>
      <c r="W97">
        <f>IF(COUNTIFS(IlumaData!$V:$V,$R97,IlumaData!$U:$U,4,IlumaData!$N:$N,"&lt;&gt;")=0,"",SUMIFS(IlumaData!$N:$N,IlumaData!$V:$V,$R97,IlumaData!$U:$U,4))</f>
        <v/>
      </c>
      <c r="X97">
        <f>IF(COUNTIFS(IlumaData!$V:$V,$R97,IlumaData!$U:$U,5,IlumaData!$N:$N,"&lt;&gt;")=0,"",SUMIFS(IlumaData!$N:$N,IlumaData!$V:$V,$R97,IlumaData!$U:$U,5))</f>
        <v/>
      </c>
      <c r="Y97">
        <f>IF(COUNTIFS(IlumaData!$V:$V,$R97,IlumaData!$U:$U,6,IlumaData!$N:$N,"&lt;&gt;")=0,"",SUMIFS(IlumaData!$N:$N,IlumaData!$V:$V,$R97,IlumaData!$U:$U,6))</f>
        <v/>
      </c>
      <c r="Z97">
        <f>IF(COUNTIFS(IlumaData!$V:$V,$R97,IlumaData!$U:$U,7,IlumaData!$N:$N,"&lt;&gt;")=0,"",SUMIFS(IlumaData!$N:$N,IlumaData!$V:$V,$R97,IlumaData!$U:$U,7))</f>
        <v/>
      </c>
      <c r="AA97">
        <f>IF(COUNTIFS(IlumaData!$V:$V,$R97,IlumaData!$U:$U,8,IlumaData!$N:$N,"&lt;&gt;")=0,"",SUMIFS(IlumaData!$N:$N,IlumaData!$V:$V,$R97,IlumaData!$U:$U,8))</f>
        <v/>
      </c>
      <c r="AB97">
        <f>IF(COUNTIFS(IlumaData!$V:$V,$R97,IlumaData!$U:$U,9,IlumaData!$N:$N,"&lt;&gt;")=0,"",SUMIFS(IlumaData!$N:$N,IlumaData!$V:$V,$R97,IlumaData!$U:$U,9))</f>
        <v/>
      </c>
      <c r="AC97">
        <f>IF(COUNTIFS(IlumaData!$V:$V,$R97,IlumaData!$U:$U,10,IlumaData!$N:$N,"&lt;&gt;")=0,"",SUMIFS(IlumaData!$N:$N,IlumaData!$V:$V,$R97,IlumaData!$U:$U,10))</f>
        <v/>
      </c>
      <c r="AD97">
        <f>IF(COUNTIFS(IlumaData!$V:$V,$R97,IlumaData!$U:$U,11,IlumaData!$N:$N,"&lt;&gt;")=0,"",SUMIFS(IlumaData!$N:$N,IlumaData!$V:$V,$R97,IlumaData!$U:$U,11))</f>
        <v/>
      </c>
      <c r="AE97">
        <f>IF(COUNTIFS(IlumaData!$V:$V,$R97,IlumaData!$U:$U,12,IlumaData!$N:$N,"&lt;&gt;")=0,"",SUMIFS(IlumaData!$N:$N,IlumaData!$V:$V,$R97,IlumaData!$U:$U,12))</f>
        <v/>
      </c>
      <c r="AF97">
        <f>IF(COUNTIFS(IlumaData!$V:$V,$R97,IlumaData!$U:$U,13,IlumaData!$N:$N,"&lt;&gt;")=0,"",SUMIFS(IlumaData!$N:$N,IlumaData!$V:$V,$R97,IlumaData!$U:$U,13))</f>
        <v/>
      </c>
      <c r="AG97">
        <f>IF(COUNTIFS(IlumaData!$V:$V,$R97,IlumaData!$U:$U,14,IlumaData!$N:$N,"&lt;&gt;")=0,"",SUMIFS(IlumaData!$N:$N,IlumaData!$V:$V,$R97,IlumaData!$U:$U,14))</f>
        <v/>
      </c>
      <c r="AH97">
        <f>COUNTIFS(IlumaData!$V:$V,$R97,IlumaData!$U:$U,"&lt;="&amp;14,IlumaData!$N:$N,"&lt;&gt;")</f>
        <v/>
      </c>
      <c r="AI97">
        <f>COUNTIFS(IlumaData!$V:$V,$R97,IlumaData!$U:$U,"&lt;="&amp;14,IlumaData!$N:$N,0)</f>
        <v/>
      </c>
      <c r="AJ97">
        <f>IF(AH97=0,"",AH97-AI97)</f>
        <v/>
      </c>
      <c r="AK97">
        <f>IF(AH97=0,"",SUMIFS(IlumaData!$N:$N,IlumaData!$V:$V,$R97,IlumaData!$U:$U,"&lt;="&amp;14))</f>
        <v/>
      </c>
      <c r="AL97">
        <f>IF(AH97=0,"",IF(ABS(MAX(T97:AG97))&gt;=ABS(MIN(T97:AG97)),MAX(T97:AG97),MIN(T97:AG97)))</f>
        <v/>
      </c>
      <c r="AM97">
        <f>IF(AH97=0,-1,AJ97*100000+MIN(ABS(AK97),99999))</f>
        <v/>
      </c>
      <c r="AN97">
        <f>IF($S97="","",1+COUNTIFS($AM$3:$AM$122,"&gt;"&amp;AM97)+COUNTIFS($AM$3:$AM$122,AM97,$R$3:$R$122,"&lt;"&amp;$R97))</f>
        <v/>
      </c>
    </row>
    <row r="98">
      <c r="R98" t="n">
        <v>96</v>
      </c>
      <c r="S98">
        <f>IFERROR(INDEX(IlumaData!$G:$G,MATCH($R98,IlumaData!$V:$V,0)),"")</f>
        <v/>
      </c>
      <c r="T98">
        <f>IF(COUNTIFS(IlumaData!$V:$V,$R98,IlumaData!$U:$U,1,IlumaData!$N:$N,"&lt;&gt;")=0,"",SUMIFS(IlumaData!$N:$N,IlumaData!$V:$V,$R98,IlumaData!$U:$U,1))</f>
        <v/>
      </c>
      <c r="U98">
        <f>IF(COUNTIFS(IlumaData!$V:$V,$R98,IlumaData!$U:$U,2,IlumaData!$N:$N,"&lt;&gt;")=0,"",SUMIFS(IlumaData!$N:$N,IlumaData!$V:$V,$R98,IlumaData!$U:$U,2))</f>
        <v/>
      </c>
      <c r="V98">
        <f>IF(COUNTIFS(IlumaData!$V:$V,$R98,IlumaData!$U:$U,3,IlumaData!$N:$N,"&lt;&gt;")=0,"",SUMIFS(IlumaData!$N:$N,IlumaData!$V:$V,$R98,IlumaData!$U:$U,3))</f>
        <v/>
      </c>
      <c r="W98">
        <f>IF(COUNTIFS(IlumaData!$V:$V,$R98,IlumaData!$U:$U,4,IlumaData!$N:$N,"&lt;&gt;")=0,"",SUMIFS(IlumaData!$N:$N,IlumaData!$V:$V,$R98,IlumaData!$U:$U,4))</f>
        <v/>
      </c>
      <c r="X98">
        <f>IF(COUNTIFS(IlumaData!$V:$V,$R98,IlumaData!$U:$U,5,IlumaData!$N:$N,"&lt;&gt;")=0,"",SUMIFS(IlumaData!$N:$N,IlumaData!$V:$V,$R98,IlumaData!$U:$U,5))</f>
        <v/>
      </c>
      <c r="Y98">
        <f>IF(COUNTIFS(IlumaData!$V:$V,$R98,IlumaData!$U:$U,6,IlumaData!$N:$N,"&lt;&gt;")=0,"",SUMIFS(IlumaData!$N:$N,IlumaData!$V:$V,$R98,IlumaData!$U:$U,6))</f>
        <v/>
      </c>
      <c r="Z98">
        <f>IF(COUNTIFS(IlumaData!$V:$V,$R98,IlumaData!$U:$U,7,IlumaData!$N:$N,"&lt;&gt;")=0,"",SUMIFS(IlumaData!$N:$N,IlumaData!$V:$V,$R98,IlumaData!$U:$U,7))</f>
        <v/>
      </c>
      <c r="AA98">
        <f>IF(COUNTIFS(IlumaData!$V:$V,$R98,IlumaData!$U:$U,8,IlumaData!$N:$N,"&lt;&gt;")=0,"",SUMIFS(IlumaData!$N:$N,IlumaData!$V:$V,$R98,IlumaData!$U:$U,8))</f>
        <v/>
      </c>
      <c r="AB98">
        <f>IF(COUNTIFS(IlumaData!$V:$V,$R98,IlumaData!$U:$U,9,IlumaData!$N:$N,"&lt;&gt;")=0,"",SUMIFS(IlumaData!$N:$N,IlumaData!$V:$V,$R98,IlumaData!$U:$U,9))</f>
        <v/>
      </c>
      <c r="AC98">
        <f>IF(COUNTIFS(IlumaData!$V:$V,$R98,IlumaData!$U:$U,10,IlumaData!$N:$N,"&lt;&gt;")=0,"",SUMIFS(IlumaData!$N:$N,IlumaData!$V:$V,$R98,IlumaData!$U:$U,10))</f>
        <v/>
      </c>
      <c r="AD98">
        <f>IF(COUNTIFS(IlumaData!$V:$V,$R98,IlumaData!$U:$U,11,IlumaData!$N:$N,"&lt;&gt;")=0,"",SUMIFS(IlumaData!$N:$N,IlumaData!$V:$V,$R98,IlumaData!$U:$U,11))</f>
        <v/>
      </c>
      <c r="AE98">
        <f>IF(COUNTIFS(IlumaData!$V:$V,$R98,IlumaData!$U:$U,12,IlumaData!$N:$N,"&lt;&gt;")=0,"",SUMIFS(IlumaData!$N:$N,IlumaData!$V:$V,$R98,IlumaData!$U:$U,12))</f>
        <v/>
      </c>
      <c r="AF98">
        <f>IF(COUNTIFS(IlumaData!$V:$V,$R98,IlumaData!$U:$U,13,IlumaData!$N:$N,"&lt;&gt;")=0,"",SUMIFS(IlumaData!$N:$N,IlumaData!$V:$V,$R98,IlumaData!$U:$U,13))</f>
        <v/>
      </c>
      <c r="AG98">
        <f>IF(COUNTIFS(IlumaData!$V:$V,$R98,IlumaData!$U:$U,14,IlumaData!$N:$N,"&lt;&gt;")=0,"",SUMIFS(IlumaData!$N:$N,IlumaData!$V:$V,$R98,IlumaData!$U:$U,14))</f>
        <v/>
      </c>
      <c r="AH98">
        <f>COUNTIFS(IlumaData!$V:$V,$R98,IlumaData!$U:$U,"&lt;="&amp;14,IlumaData!$N:$N,"&lt;&gt;")</f>
        <v/>
      </c>
      <c r="AI98">
        <f>COUNTIFS(IlumaData!$V:$V,$R98,IlumaData!$U:$U,"&lt;="&amp;14,IlumaData!$N:$N,0)</f>
        <v/>
      </c>
      <c r="AJ98">
        <f>IF(AH98=0,"",AH98-AI98)</f>
        <v/>
      </c>
      <c r="AK98">
        <f>IF(AH98=0,"",SUMIFS(IlumaData!$N:$N,IlumaData!$V:$V,$R98,IlumaData!$U:$U,"&lt;="&amp;14))</f>
        <v/>
      </c>
      <c r="AL98">
        <f>IF(AH98=0,"",IF(ABS(MAX(T98:AG98))&gt;=ABS(MIN(T98:AG98)),MAX(T98:AG98),MIN(T98:AG98)))</f>
        <v/>
      </c>
      <c r="AM98">
        <f>IF(AH98=0,-1,AJ98*100000+MIN(ABS(AK98),99999))</f>
        <v/>
      </c>
      <c r="AN98">
        <f>IF($S98="","",1+COUNTIFS($AM$3:$AM$122,"&gt;"&amp;AM98)+COUNTIFS($AM$3:$AM$122,AM98,$R$3:$R$122,"&lt;"&amp;$R98))</f>
        <v/>
      </c>
    </row>
    <row r="99">
      <c r="R99" t="n">
        <v>97</v>
      </c>
      <c r="S99">
        <f>IFERROR(INDEX(IlumaData!$G:$G,MATCH($R99,IlumaData!$V:$V,0)),"")</f>
        <v/>
      </c>
      <c r="T99">
        <f>IF(COUNTIFS(IlumaData!$V:$V,$R99,IlumaData!$U:$U,1,IlumaData!$N:$N,"&lt;&gt;")=0,"",SUMIFS(IlumaData!$N:$N,IlumaData!$V:$V,$R99,IlumaData!$U:$U,1))</f>
        <v/>
      </c>
      <c r="U99">
        <f>IF(COUNTIFS(IlumaData!$V:$V,$R99,IlumaData!$U:$U,2,IlumaData!$N:$N,"&lt;&gt;")=0,"",SUMIFS(IlumaData!$N:$N,IlumaData!$V:$V,$R99,IlumaData!$U:$U,2))</f>
        <v/>
      </c>
      <c r="V99">
        <f>IF(COUNTIFS(IlumaData!$V:$V,$R99,IlumaData!$U:$U,3,IlumaData!$N:$N,"&lt;&gt;")=0,"",SUMIFS(IlumaData!$N:$N,IlumaData!$V:$V,$R99,IlumaData!$U:$U,3))</f>
        <v/>
      </c>
      <c r="W99">
        <f>IF(COUNTIFS(IlumaData!$V:$V,$R99,IlumaData!$U:$U,4,IlumaData!$N:$N,"&lt;&gt;")=0,"",SUMIFS(IlumaData!$N:$N,IlumaData!$V:$V,$R99,IlumaData!$U:$U,4))</f>
        <v/>
      </c>
      <c r="X99">
        <f>IF(COUNTIFS(IlumaData!$V:$V,$R99,IlumaData!$U:$U,5,IlumaData!$N:$N,"&lt;&gt;")=0,"",SUMIFS(IlumaData!$N:$N,IlumaData!$V:$V,$R99,IlumaData!$U:$U,5))</f>
        <v/>
      </c>
      <c r="Y99">
        <f>IF(COUNTIFS(IlumaData!$V:$V,$R99,IlumaData!$U:$U,6,IlumaData!$N:$N,"&lt;&gt;")=0,"",SUMIFS(IlumaData!$N:$N,IlumaData!$V:$V,$R99,IlumaData!$U:$U,6))</f>
        <v/>
      </c>
      <c r="Z99">
        <f>IF(COUNTIFS(IlumaData!$V:$V,$R99,IlumaData!$U:$U,7,IlumaData!$N:$N,"&lt;&gt;")=0,"",SUMIFS(IlumaData!$N:$N,IlumaData!$V:$V,$R99,IlumaData!$U:$U,7))</f>
        <v/>
      </c>
      <c r="AA99">
        <f>IF(COUNTIFS(IlumaData!$V:$V,$R99,IlumaData!$U:$U,8,IlumaData!$N:$N,"&lt;&gt;")=0,"",SUMIFS(IlumaData!$N:$N,IlumaData!$V:$V,$R99,IlumaData!$U:$U,8))</f>
        <v/>
      </c>
      <c r="AB99">
        <f>IF(COUNTIFS(IlumaData!$V:$V,$R99,IlumaData!$U:$U,9,IlumaData!$N:$N,"&lt;&gt;")=0,"",SUMIFS(IlumaData!$N:$N,IlumaData!$V:$V,$R99,IlumaData!$U:$U,9))</f>
        <v/>
      </c>
      <c r="AC99">
        <f>IF(COUNTIFS(IlumaData!$V:$V,$R99,IlumaData!$U:$U,10,IlumaData!$N:$N,"&lt;&gt;")=0,"",SUMIFS(IlumaData!$N:$N,IlumaData!$V:$V,$R99,IlumaData!$U:$U,10))</f>
        <v/>
      </c>
      <c r="AD99">
        <f>IF(COUNTIFS(IlumaData!$V:$V,$R99,IlumaData!$U:$U,11,IlumaData!$N:$N,"&lt;&gt;")=0,"",SUMIFS(IlumaData!$N:$N,IlumaData!$V:$V,$R99,IlumaData!$U:$U,11))</f>
        <v/>
      </c>
      <c r="AE99">
        <f>IF(COUNTIFS(IlumaData!$V:$V,$R99,IlumaData!$U:$U,12,IlumaData!$N:$N,"&lt;&gt;")=0,"",SUMIFS(IlumaData!$N:$N,IlumaData!$V:$V,$R99,IlumaData!$U:$U,12))</f>
        <v/>
      </c>
      <c r="AF99">
        <f>IF(COUNTIFS(IlumaData!$V:$V,$R99,IlumaData!$U:$U,13,IlumaData!$N:$N,"&lt;&gt;")=0,"",SUMIFS(IlumaData!$N:$N,IlumaData!$V:$V,$R99,IlumaData!$U:$U,13))</f>
        <v/>
      </c>
      <c r="AG99">
        <f>IF(COUNTIFS(IlumaData!$V:$V,$R99,IlumaData!$U:$U,14,IlumaData!$N:$N,"&lt;&gt;")=0,"",SUMIFS(IlumaData!$N:$N,IlumaData!$V:$V,$R99,IlumaData!$U:$U,14))</f>
        <v/>
      </c>
      <c r="AH99">
        <f>COUNTIFS(IlumaData!$V:$V,$R99,IlumaData!$U:$U,"&lt;="&amp;14,IlumaData!$N:$N,"&lt;&gt;")</f>
        <v/>
      </c>
      <c r="AI99">
        <f>COUNTIFS(IlumaData!$V:$V,$R99,IlumaData!$U:$U,"&lt;="&amp;14,IlumaData!$N:$N,0)</f>
        <v/>
      </c>
      <c r="AJ99">
        <f>IF(AH99=0,"",AH99-AI99)</f>
        <v/>
      </c>
      <c r="AK99">
        <f>IF(AH99=0,"",SUMIFS(IlumaData!$N:$N,IlumaData!$V:$V,$R99,IlumaData!$U:$U,"&lt;="&amp;14))</f>
        <v/>
      </c>
      <c r="AL99">
        <f>IF(AH99=0,"",IF(ABS(MAX(T99:AG99))&gt;=ABS(MIN(T99:AG99)),MAX(T99:AG99),MIN(T99:AG99)))</f>
        <v/>
      </c>
      <c r="AM99">
        <f>IF(AH99=0,-1,AJ99*100000+MIN(ABS(AK99),99999))</f>
        <v/>
      </c>
      <c r="AN99">
        <f>IF($S99="","",1+COUNTIFS($AM$3:$AM$122,"&gt;"&amp;AM99)+COUNTIFS($AM$3:$AM$122,AM99,$R$3:$R$122,"&lt;"&amp;$R99))</f>
        <v/>
      </c>
    </row>
    <row r="100">
      <c r="R100" t="n">
        <v>98</v>
      </c>
      <c r="S100">
        <f>IFERROR(INDEX(IlumaData!$G:$G,MATCH($R100,IlumaData!$V:$V,0)),"")</f>
        <v/>
      </c>
      <c r="T100">
        <f>IF(COUNTIFS(IlumaData!$V:$V,$R100,IlumaData!$U:$U,1,IlumaData!$N:$N,"&lt;&gt;")=0,"",SUMIFS(IlumaData!$N:$N,IlumaData!$V:$V,$R100,IlumaData!$U:$U,1))</f>
        <v/>
      </c>
      <c r="U100">
        <f>IF(COUNTIFS(IlumaData!$V:$V,$R100,IlumaData!$U:$U,2,IlumaData!$N:$N,"&lt;&gt;")=0,"",SUMIFS(IlumaData!$N:$N,IlumaData!$V:$V,$R100,IlumaData!$U:$U,2))</f>
        <v/>
      </c>
      <c r="V100">
        <f>IF(COUNTIFS(IlumaData!$V:$V,$R100,IlumaData!$U:$U,3,IlumaData!$N:$N,"&lt;&gt;")=0,"",SUMIFS(IlumaData!$N:$N,IlumaData!$V:$V,$R100,IlumaData!$U:$U,3))</f>
        <v/>
      </c>
      <c r="W100">
        <f>IF(COUNTIFS(IlumaData!$V:$V,$R100,IlumaData!$U:$U,4,IlumaData!$N:$N,"&lt;&gt;")=0,"",SUMIFS(IlumaData!$N:$N,IlumaData!$V:$V,$R100,IlumaData!$U:$U,4))</f>
        <v/>
      </c>
      <c r="X100">
        <f>IF(COUNTIFS(IlumaData!$V:$V,$R100,IlumaData!$U:$U,5,IlumaData!$N:$N,"&lt;&gt;")=0,"",SUMIFS(IlumaData!$N:$N,IlumaData!$V:$V,$R100,IlumaData!$U:$U,5))</f>
        <v/>
      </c>
      <c r="Y100">
        <f>IF(COUNTIFS(IlumaData!$V:$V,$R100,IlumaData!$U:$U,6,IlumaData!$N:$N,"&lt;&gt;")=0,"",SUMIFS(IlumaData!$N:$N,IlumaData!$V:$V,$R100,IlumaData!$U:$U,6))</f>
        <v/>
      </c>
      <c r="Z100">
        <f>IF(COUNTIFS(IlumaData!$V:$V,$R100,IlumaData!$U:$U,7,IlumaData!$N:$N,"&lt;&gt;")=0,"",SUMIFS(IlumaData!$N:$N,IlumaData!$V:$V,$R100,IlumaData!$U:$U,7))</f>
        <v/>
      </c>
      <c r="AA100">
        <f>IF(COUNTIFS(IlumaData!$V:$V,$R100,IlumaData!$U:$U,8,IlumaData!$N:$N,"&lt;&gt;")=0,"",SUMIFS(IlumaData!$N:$N,IlumaData!$V:$V,$R100,IlumaData!$U:$U,8))</f>
        <v/>
      </c>
      <c r="AB100">
        <f>IF(COUNTIFS(IlumaData!$V:$V,$R100,IlumaData!$U:$U,9,IlumaData!$N:$N,"&lt;&gt;")=0,"",SUMIFS(IlumaData!$N:$N,IlumaData!$V:$V,$R100,IlumaData!$U:$U,9))</f>
        <v/>
      </c>
      <c r="AC100">
        <f>IF(COUNTIFS(IlumaData!$V:$V,$R100,IlumaData!$U:$U,10,IlumaData!$N:$N,"&lt;&gt;")=0,"",SUMIFS(IlumaData!$N:$N,IlumaData!$V:$V,$R100,IlumaData!$U:$U,10))</f>
        <v/>
      </c>
      <c r="AD100">
        <f>IF(COUNTIFS(IlumaData!$V:$V,$R100,IlumaData!$U:$U,11,IlumaData!$N:$N,"&lt;&gt;")=0,"",SUMIFS(IlumaData!$N:$N,IlumaData!$V:$V,$R100,IlumaData!$U:$U,11))</f>
        <v/>
      </c>
      <c r="AE100">
        <f>IF(COUNTIFS(IlumaData!$V:$V,$R100,IlumaData!$U:$U,12,IlumaData!$N:$N,"&lt;&gt;")=0,"",SUMIFS(IlumaData!$N:$N,IlumaData!$V:$V,$R100,IlumaData!$U:$U,12))</f>
        <v/>
      </c>
      <c r="AF100">
        <f>IF(COUNTIFS(IlumaData!$V:$V,$R100,IlumaData!$U:$U,13,IlumaData!$N:$N,"&lt;&gt;")=0,"",SUMIFS(IlumaData!$N:$N,IlumaData!$V:$V,$R100,IlumaData!$U:$U,13))</f>
        <v/>
      </c>
      <c r="AG100">
        <f>IF(COUNTIFS(IlumaData!$V:$V,$R100,IlumaData!$U:$U,14,IlumaData!$N:$N,"&lt;&gt;")=0,"",SUMIFS(IlumaData!$N:$N,IlumaData!$V:$V,$R100,IlumaData!$U:$U,14))</f>
        <v/>
      </c>
      <c r="AH100">
        <f>COUNTIFS(IlumaData!$V:$V,$R100,IlumaData!$U:$U,"&lt;="&amp;14,IlumaData!$N:$N,"&lt;&gt;")</f>
        <v/>
      </c>
      <c r="AI100">
        <f>COUNTIFS(IlumaData!$V:$V,$R100,IlumaData!$U:$U,"&lt;="&amp;14,IlumaData!$N:$N,0)</f>
        <v/>
      </c>
      <c r="AJ100">
        <f>IF(AH100=0,"",AH100-AI100)</f>
        <v/>
      </c>
      <c r="AK100">
        <f>IF(AH100=0,"",SUMIFS(IlumaData!$N:$N,IlumaData!$V:$V,$R100,IlumaData!$U:$U,"&lt;="&amp;14))</f>
        <v/>
      </c>
      <c r="AL100">
        <f>IF(AH100=0,"",IF(ABS(MAX(T100:AG100))&gt;=ABS(MIN(T100:AG100)),MAX(T100:AG100),MIN(T100:AG100)))</f>
        <v/>
      </c>
      <c r="AM100">
        <f>IF(AH100=0,-1,AJ100*100000+MIN(ABS(AK100),99999))</f>
        <v/>
      </c>
      <c r="AN100">
        <f>IF($S100="","",1+COUNTIFS($AM$3:$AM$122,"&gt;"&amp;AM100)+COUNTIFS($AM$3:$AM$122,AM100,$R$3:$R$122,"&lt;"&amp;$R100))</f>
        <v/>
      </c>
    </row>
    <row r="101">
      <c r="R101" t="n">
        <v>99</v>
      </c>
      <c r="S101">
        <f>IFERROR(INDEX(IlumaData!$G:$G,MATCH($R101,IlumaData!$V:$V,0)),"")</f>
        <v/>
      </c>
      <c r="T101">
        <f>IF(COUNTIFS(IlumaData!$V:$V,$R101,IlumaData!$U:$U,1,IlumaData!$N:$N,"&lt;&gt;")=0,"",SUMIFS(IlumaData!$N:$N,IlumaData!$V:$V,$R101,IlumaData!$U:$U,1))</f>
        <v/>
      </c>
      <c r="U101">
        <f>IF(COUNTIFS(IlumaData!$V:$V,$R101,IlumaData!$U:$U,2,IlumaData!$N:$N,"&lt;&gt;")=0,"",SUMIFS(IlumaData!$N:$N,IlumaData!$V:$V,$R101,IlumaData!$U:$U,2))</f>
        <v/>
      </c>
      <c r="V101">
        <f>IF(COUNTIFS(IlumaData!$V:$V,$R101,IlumaData!$U:$U,3,IlumaData!$N:$N,"&lt;&gt;")=0,"",SUMIFS(IlumaData!$N:$N,IlumaData!$V:$V,$R101,IlumaData!$U:$U,3))</f>
        <v/>
      </c>
      <c r="W101">
        <f>IF(COUNTIFS(IlumaData!$V:$V,$R101,IlumaData!$U:$U,4,IlumaData!$N:$N,"&lt;&gt;")=0,"",SUMIFS(IlumaData!$N:$N,IlumaData!$V:$V,$R101,IlumaData!$U:$U,4))</f>
        <v/>
      </c>
      <c r="X101">
        <f>IF(COUNTIFS(IlumaData!$V:$V,$R101,IlumaData!$U:$U,5,IlumaData!$N:$N,"&lt;&gt;")=0,"",SUMIFS(IlumaData!$N:$N,IlumaData!$V:$V,$R101,IlumaData!$U:$U,5))</f>
        <v/>
      </c>
      <c r="Y101">
        <f>IF(COUNTIFS(IlumaData!$V:$V,$R101,IlumaData!$U:$U,6,IlumaData!$N:$N,"&lt;&gt;")=0,"",SUMIFS(IlumaData!$N:$N,IlumaData!$V:$V,$R101,IlumaData!$U:$U,6))</f>
        <v/>
      </c>
      <c r="Z101">
        <f>IF(COUNTIFS(IlumaData!$V:$V,$R101,IlumaData!$U:$U,7,IlumaData!$N:$N,"&lt;&gt;")=0,"",SUMIFS(IlumaData!$N:$N,IlumaData!$V:$V,$R101,IlumaData!$U:$U,7))</f>
        <v/>
      </c>
      <c r="AA101">
        <f>IF(COUNTIFS(IlumaData!$V:$V,$R101,IlumaData!$U:$U,8,IlumaData!$N:$N,"&lt;&gt;")=0,"",SUMIFS(IlumaData!$N:$N,IlumaData!$V:$V,$R101,IlumaData!$U:$U,8))</f>
        <v/>
      </c>
      <c r="AB101">
        <f>IF(COUNTIFS(IlumaData!$V:$V,$R101,IlumaData!$U:$U,9,IlumaData!$N:$N,"&lt;&gt;")=0,"",SUMIFS(IlumaData!$N:$N,IlumaData!$V:$V,$R101,IlumaData!$U:$U,9))</f>
        <v/>
      </c>
      <c r="AC101">
        <f>IF(COUNTIFS(IlumaData!$V:$V,$R101,IlumaData!$U:$U,10,IlumaData!$N:$N,"&lt;&gt;")=0,"",SUMIFS(IlumaData!$N:$N,IlumaData!$V:$V,$R101,IlumaData!$U:$U,10))</f>
        <v/>
      </c>
      <c r="AD101">
        <f>IF(COUNTIFS(IlumaData!$V:$V,$R101,IlumaData!$U:$U,11,IlumaData!$N:$N,"&lt;&gt;")=0,"",SUMIFS(IlumaData!$N:$N,IlumaData!$V:$V,$R101,IlumaData!$U:$U,11))</f>
        <v/>
      </c>
      <c r="AE101">
        <f>IF(COUNTIFS(IlumaData!$V:$V,$R101,IlumaData!$U:$U,12,IlumaData!$N:$N,"&lt;&gt;")=0,"",SUMIFS(IlumaData!$N:$N,IlumaData!$V:$V,$R101,IlumaData!$U:$U,12))</f>
        <v/>
      </c>
      <c r="AF101">
        <f>IF(COUNTIFS(IlumaData!$V:$V,$R101,IlumaData!$U:$U,13,IlumaData!$N:$N,"&lt;&gt;")=0,"",SUMIFS(IlumaData!$N:$N,IlumaData!$V:$V,$R101,IlumaData!$U:$U,13))</f>
        <v/>
      </c>
      <c r="AG101">
        <f>IF(COUNTIFS(IlumaData!$V:$V,$R101,IlumaData!$U:$U,14,IlumaData!$N:$N,"&lt;&gt;")=0,"",SUMIFS(IlumaData!$N:$N,IlumaData!$V:$V,$R101,IlumaData!$U:$U,14))</f>
        <v/>
      </c>
      <c r="AH101">
        <f>COUNTIFS(IlumaData!$V:$V,$R101,IlumaData!$U:$U,"&lt;="&amp;14,IlumaData!$N:$N,"&lt;&gt;")</f>
        <v/>
      </c>
      <c r="AI101">
        <f>COUNTIFS(IlumaData!$V:$V,$R101,IlumaData!$U:$U,"&lt;="&amp;14,IlumaData!$N:$N,0)</f>
        <v/>
      </c>
      <c r="AJ101">
        <f>IF(AH101=0,"",AH101-AI101)</f>
        <v/>
      </c>
      <c r="AK101">
        <f>IF(AH101=0,"",SUMIFS(IlumaData!$N:$N,IlumaData!$V:$V,$R101,IlumaData!$U:$U,"&lt;="&amp;14))</f>
        <v/>
      </c>
      <c r="AL101">
        <f>IF(AH101=0,"",IF(ABS(MAX(T101:AG101))&gt;=ABS(MIN(T101:AG101)),MAX(T101:AG101),MIN(T101:AG101)))</f>
        <v/>
      </c>
      <c r="AM101">
        <f>IF(AH101=0,-1,AJ101*100000+MIN(ABS(AK101),99999))</f>
        <v/>
      </c>
      <c r="AN101">
        <f>IF($S101="","",1+COUNTIFS($AM$3:$AM$122,"&gt;"&amp;AM101)+COUNTIFS($AM$3:$AM$122,AM101,$R$3:$R$122,"&lt;"&amp;$R101))</f>
        <v/>
      </c>
    </row>
    <row r="102">
      <c r="R102" t="n">
        <v>100</v>
      </c>
      <c r="S102">
        <f>IFERROR(INDEX(IlumaData!$G:$G,MATCH($R102,IlumaData!$V:$V,0)),"")</f>
        <v/>
      </c>
      <c r="T102">
        <f>IF(COUNTIFS(IlumaData!$V:$V,$R102,IlumaData!$U:$U,1,IlumaData!$N:$N,"&lt;&gt;")=0,"",SUMIFS(IlumaData!$N:$N,IlumaData!$V:$V,$R102,IlumaData!$U:$U,1))</f>
        <v/>
      </c>
      <c r="U102">
        <f>IF(COUNTIFS(IlumaData!$V:$V,$R102,IlumaData!$U:$U,2,IlumaData!$N:$N,"&lt;&gt;")=0,"",SUMIFS(IlumaData!$N:$N,IlumaData!$V:$V,$R102,IlumaData!$U:$U,2))</f>
        <v/>
      </c>
      <c r="V102">
        <f>IF(COUNTIFS(IlumaData!$V:$V,$R102,IlumaData!$U:$U,3,IlumaData!$N:$N,"&lt;&gt;")=0,"",SUMIFS(IlumaData!$N:$N,IlumaData!$V:$V,$R102,IlumaData!$U:$U,3))</f>
        <v/>
      </c>
      <c r="W102">
        <f>IF(COUNTIFS(IlumaData!$V:$V,$R102,IlumaData!$U:$U,4,IlumaData!$N:$N,"&lt;&gt;")=0,"",SUMIFS(IlumaData!$N:$N,IlumaData!$V:$V,$R102,IlumaData!$U:$U,4))</f>
        <v/>
      </c>
      <c r="X102">
        <f>IF(COUNTIFS(IlumaData!$V:$V,$R102,IlumaData!$U:$U,5,IlumaData!$N:$N,"&lt;&gt;")=0,"",SUMIFS(IlumaData!$N:$N,IlumaData!$V:$V,$R102,IlumaData!$U:$U,5))</f>
        <v/>
      </c>
      <c r="Y102">
        <f>IF(COUNTIFS(IlumaData!$V:$V,$R102,IlumaData!$U:$U,6,IlumaData!$N:$N,"&lt;&gt;")=0,"",SUMIFS(IlumaData!$N:$N,IlumaData!$V:$V,$R102,IlumaData!$U:$U,6))</f>
        <v/>
      </c>
      <c r="Z102">
        <f>IF(COUNTIFS(IlumaData!$V:$V,$R102,IlumaData!$U:$U,7,IlumaData!$N:$N,"&lt;&gt;")=0,"",SUMIFS(IlumaData!$N:$N,IlumaData!$V:$V,$R102,IlumaData!$U:$U,7))</f>
        <v/>
      </c>
      <c r="AA102">
        <f>IF(COUNTIFS(IlumaData!$V:$V,$R102,IlumaData!$U:$U,8,IlumaData!$N:$N,"&lt;&gt;")=0,"",SUMIFS(IlumaData!$N:$N,IlumaData!$V:$V,$R102,IlumaData!$U:$U,8))</f>
        <v/>
      </c>
      <c r="AB102">
        <f>IF(COUNTIFS(IlumaData!$V:$V,$R102,IlumaData!$U:$U,9,IlumaData!$N:$N,"&lt;&gt;")=0,"",SUMIFS(IlumaData!$N:$N,IlumaData!$V:$V,$R102,IlumaData!$U:$U,9))</f>
        <v/>
      </c>
      <c r="AC102">
        <f>IF(COUNTIFS(IlumaData!$V:$V,$R102,IlumaData!$U:$U,10,IlumaData!$N:$N,"&lt;&gt;")=0,"",SUMIFS(IlumaData!$N:$N,IlumaData!$V:$V,$R102,IlumaData!$U:$U,10))</f>
        <v/>
      </c>
      <c r="AD102">
        <f>IF(COUNTIFS(IlumaData!$V:$V,$R102,IlumaData!$U:$U,11,IlumaData!$N:$N,"&lt;&gt;")=0,"",SUMIFS(IlumaData!$N:$N,IlumaData!$V:$V,$R102,IlumaData!$U:$U,11))</f>
        <v/>
      </c>
      <c r="AE102">
        <f>IF(COUNTIFS(IlumaData!$V:$V,$R102,IlumaData!$U:$U,12,IlumaData!$N:$N,"&lt;&gt;")=0,"",SUMIFS(IlumaData!$N:$N,IlumaData!$V:$V,$R102,IlumaData!$U:$U,12))</f>
        <v/>
      </c>
      <c r="AF102">
        <f>IF(COUNTIFS(IlumaData!$V:$V,$R102,IlumaData!$U:$U,13,IlumaData!$N:$N,"&lt;&gt;")=0,"",SUMIFS(IlumaData!$N:$N,IlumaData!$V:$V,$R102,IlumaData!$U:$U,13))</f>
        <v/>
      </c>
      <c r="AG102">
        <f>IF(COUNTIFS(IlumaData!$V:$V,$R102,IlumaData!$U:$U,14,IlumaData!$N:$N,"&lt;&gt;")=0,"",SUMIFS(IlumaData!$N:$N,IlumaData!$V:$V,$R102,IlumaData!$U:$U,14))</f>
        <v/>
      </c>
      <c r="AH102">
        <f>COUNTIFS(IlumaData!$V:$V,$R102,IlumaData!$U:$U,"&lt;="&amp;14,IlumaData!$N:$N,"&lt;&gt;")</f>
        <v/>
      </c>
      <c r="AI102">
        <f>COUNTIFS(IlumaData!$V:$V,$R102,IlumaData!$U:$U,"&lt;="&amp;14,IlumaData!$N:$N,0)</f>
        <v/>
      </c>
      <c r="AJ102">
        <f>IF(AH102=0,"",AH102-AI102)</f>
        <v/>
      </c>
      <c r="AK102">
        <f>IF(AH102=0,"",SUMIFS(IlumaData!$N:$N,IlumaData!$V:$V,$R102,IlumaData!$U:$U,"&lt;="&amp;14))</f>
        <v/>
      </c>
      <c r="AL102">
        <f>IF(AH102=0,"",IF(ABS(MAX(T102:AG102))&gt;=ABS(MIN(T102:AG102)),MAX(T102:AG102),MIN(T102:AG102)))</f>
        <v/>
      </c>
      <c r="AM102">
        <f>IF(AH102=0,-1,AJ102*100000+MIN(ABS(AK102),99999))</f>
        <v/>
      </c>
      <c r="AN102">
        <f>IF($S102="","",1+COUNTIFS($AM$3:$AM$122,"&gt;"&amp;AM102)+COUNTIFS($AM$3:$AM$122,AM102,$R$3:$R$122,"&lt;"&amp;$R102))</f>
        <v/>
      </c>
    </row>
    <row r="103">
      <c r="R103" t="n">
        <v>101</v>
      </c>
      <c r="S103">
        <f>IFERROR(INDEX(IlumaData!$G:$G,MATCH($R103,IlumaData!$V:$V,0)),"")</f>
        <v/>
      </c>
      <c r="T103">
        <f>IF(COUNTIFS(IlumaData!$V:$V,$R103,IlumaData!$U:$U,1,IlumaData!$N:$N,"&lt;&gt;")=0,"",SUMIFS(IlumaData!$N:$N,IlumaData!$V:$V,$R103,IlumaData!$U:$U,1))</f>
        <v/>
      </c>
      <c r="U103">
        <f>IF(COUNTIFS(IlumaData!$V:$V,$R103,IlumaData!$U:$U,2,IlumaData!$N:$N,"&lt;&gt;")=0,"",SUMIFS(IlumaData!$N:$N,IlumaData!$V:$V,$R103,IlumaData!$U:$U,2))</f>
        <v/>
      </c>
      <c r="V103">
        <f>IF(COUNTIFS(IlumaData!$V:$V,$R103,IlumaData!$U:$U,3,IlumaData!$N:$N,"&lt;&gt;")=0,"",SUMIFS(IlumaData!$N:$N,IlumaData!$V:$V,$R103,IlumaData!$U:$U,3))</f>
        <v/>
      </c>
      <c r="W103">
        <f>IF(COUNTIFS(IlumaData!$V:$V,$R103,IlumaData!$U:$U,4,IlumaData!$N:$N,"&lt;&gt;")=0,"",SUMIFS(IlumaData!$N:$N,IlumaData!$V:$V,$R103,IlumaData!$U:$U,4))</f>
        <v/>
      </c>
      <c r="X103">
        <f>IF(COUNTIFS(IlumaData!$V:$V,$R103,IlumaData!$U:$U,5,IlumaData!$N:$N,"&lt;&gt;")=0,"",SUMIFS(IlumaData!$N:$N,IlumaData!$V:$V,$R103,IlumaData!$U:$U,5))</f>
        <v/>
      </c>
      <c r="Y103">
        <f>IF(COUNTIFS(IlumaData!$V:$V,$R103,IlumaData!$U:$U,6,IlumaData!$N:$N,"&lt;&gt;")=0,"",SUMIFS(IlumaData!$N:$N,IlumaData!$V:$V,$R103,IlumaData!$U:$U,6))</f>
        <v/>
      </c>
      <c r="Z103">
        <f>IF(COUNTIFS(IlumaData!$V:$V,$R103,IlumaData!$U:$U,7,IlumaData!$N:$N,"&lt;&gt;")=0,"",SUMIFS(IlumaData!$N:$N,IlumaData!$V:$V,$R103,IlumaData!$U:$U,7))</f>
        <v/>
      </c>
      <c r="AA103">
        <f>IF(COUNTIFS(IlumaData!$V:$V,$R103,IlumaData!$U:$U,8,IlumaData!$N:$N,"&lt;&gt;")=0,"",SUMIFS(IlumaData!$N:$N,IlumaData!$V:$V,$R103,IlumaData!$U:$U,8))</f>
        <v/>
      </c>
      <c r="AB103">
        <f>IF(COUNTIFS(IlumaData!$V:$V,$R103,IlumaData!$U:$U,9,IlumaData!$N:$N,"&lt;&gt;")=0,"",SUMIFS(IlumaData!$N:$N,IlumaData!$V:$V,$R103,IlumaData!$U:$U,9))</f>
        <v/>
      </c>
      <c r="AC103">
        <f>IF(COUNTIFS(IlumaData!$V:$V,$R103,IlumaData!$U:$U,10,IlumaData!$N:$N,"&lt;&gt;")=0,"",SUMIFS(IlumaData!$N:$N,IlumaData!$V:$V,$R103,IlumaData!$U:$U,10))</f>
        <v/>
      </c>
      <c r="AD103">
        <f>IF(COUNTIFS(IlumaData!$V:$V,$R103,IlumaData!$U:$U,11,IlumaData!$N:$N,"&lt;&gt;")=0,"",SUMIFS(IlumaData!$N:$N,IlumaData!$V:$V,$R103,IlumaData!$U:$U,11))</f>
        <v/>
      </c>
      <c r="AE103">
        <f>IF(COUNTIFS(IlumaData!$V:$V,$R103,IlumaData!$U:$U,12,IlumaData!$N:$N,"&lt;&gt;")=0,"",SUMIFS(IlumaData!$N:$N,IlumaData!$V:$V,$R103,IlumaData!$U:$U,12))</f>
        <v/>
      </c>
      <c r="AF103">
        <f>IF(COUNTIFS(IlumaData!$V:$V,$R103,IlumaData!$U:$U,13,IlumaData!$N:$N,"&lt;&gt;")=0,"",SUMIFS(IlumaData!$N:$N,IlumaData!$V:$V,$R103,IlumaData!$U:$U,13))</f>
        <v/>
      </c>
      <c r="AG103">
        <f>IF(COUNTIFS(IlumaData!$V:$V,$R103,IlumaData!$U:$U,14,IlumaData!$N:$N,"&lt;&gt;")=0,"",SUMIFS(IlumaData!$N:$N,IlumaData!$V:$V,$R103,IlumaData!$U:$U,14))</f>
        <v/>
      </c>
      <c r="AH103">
        <f>COUNTIFS(IlumaData!$V:$V,$R103,IlumaData!$U:$U,"&lt;="&amp;14,IlumaData!$N:$N,"&lt;&gt;")</f>
        <v/>
      </c>
      <c r="AI103">
        <f>COUNTIFS(IlumaData!$V:$V,$R103,IlumaData!$U:$U,"&lt;="&amp;14,IlumaData!$N:$N,0)</f>
        <v/>
      </c>
      <c r="AJ103">
        <f>IF(AH103=0,"",AH103-AI103)</f>
        <v/>
      </c>
      <c r="AK103">
        <f>IF(AH103=0,"",SUMIFS(IlumaData!$N:$N,IlumaData!$V:$V,$R103,IlumaData!$U:$U,"&lt;="&amp;14))</f>
        <v/>
      </c>
      <c r="AL103">
        <f>IF(AH103=0,"",IF(ABS(MAX(T103:AG103))&gt;=ABS(MIN(T103:AG103)),MAX(T103:AG103),MIN(T103:AG103)))</f>
        <v/>
      </c>
      <c r="AM103">
        <f>IF(AH103=0,-1,AJ103*100000+MIN(ABS(AK103),99999))</f>
        <v/>
      </c>
      <c r="AN103">
        <f>IF($S103="","",1+COUNTIFS($AM$3:$AM$122,"&gt;"&amp;AM103)+COUNTIFS($AM$3:$AM$122,AM103,$R$3:$R$122,"&lt;"&amp;$R103))</f>
        <v/>
      </c>
    </row>
    <row r="104">
      <c r="R104" t="n">
        <v>102</v>
      </c>
      <c r="S104">
        <f>IFERROR(INDEX(IlumaData!$G:$G,MATCH($R104,IlumaData!$V:$V,0)),"")</f>
        <v/>
      </c>
      <c r="T104">
        <f>IF(COUNTIFS(IlumaData!$V:$V,$R104,IlumaData!$U:$U,1,IlumaData!$N:$N,"&lt;&gt;")=0,"",SUMIFS(IlumaData!$N:$N,IlumaData!$V:$V,$R104,IlumaData!$U:$U,1))</f>
        <v/>
      </c>
      <c r="U104">
        <f>IF(COUNTIFS(IlumaData!$V:$V,$R104,IlumaData!$U:$U,2,IlumaData!$N:$N,"&lt;&gt;")=0,"",SUMIFS(IlumaData!$N:$N,IlumaData!$V:$V,$R104,IlumaData!$U:$U,2))</f>
        <v/>
      </c>
      <c r="V104">
        <f>IF(COUNTIFS(IlumaData!$V:$V,$R104,IlumaData!$U:$U,3,IlumaData!$N:$N,"&lt;&gt;")=0,"",SUMIFS(IlumaData!$N:$N,IlumaData!$V:$V,$R104,IlumaData!$U:$U,3))</f>
        <v/>
      </c>
      <c r="W104">
        <f>IF(COUNTIFS(IlumaData!$V:$V,$R104,IlumaData!$U:$U,4,IlumaData!$N:$N,"&lt;&gt;")=0,"",SUMIFS(IlumaData!$N:$N,IlumaData!$V:$V,$R104,IlumaData!$U:$U,4))</f>
        <v/>
      </c>
      <c r="X104">
        <f>IF(COUNTIFS(IlumaData!$V:$V,$R104,IlumaData!$U:$U,5,IlumaData!$N:$N,"&lt;&gt;")=0,"",SUMIFS(IlumaData!$N:$N,IlumaData!$V:$V,$R104,IlumaData!$U:$U,5))</f>
        <v/>
      </c>
      <c r="Y104">
        <f>IF(COUNTIFS(IlumaData!$V:$V,$R104,IlumaData!$U:$U,6,IlumaData!$N:$N,"&lt;&gt;")=0,"",SUMIFS(IlumaData!$N:$N,IlumaData!$V:$V,$R104,IlumaData!$U:$U,6))</f>
        <v/>
      </c>
      <c r="Z104">
        <f>IF(COUNTIFS(IlumaData!$V:$V,$R104,IlumaData!$U:$U,7,IlumaData!$N:$N,"&lt;&gt;")=0,"",SUMIFS(IlumaData!$N:$N,IlumaData!$V:$V,$R104,IlumaData!$U:$U,7))</f>
        <v/>
      </c>
      <c r="AA104">
        <f>IF(COUNTIFS(IlumaData!$V:$V,$R104,IlumaData!$U:$U,8,IlumaData!$N:$N,"&lt;&gt;")=0,"",SUMIFS(IlumaData!$N:$N,IlumaData!$V:$V,$R104,IlumaData!$U:$U,8))</f>
        <v/>
      </c>
      <c r="AB104">
        <f>IF(COUNTIFS(IlumaData!$V:$V,$R104,IlumaData!$U:$U,9,IlumaData!$N:$N,"&lt;&gt;")=0,"",SUMIFS(IlumaData!$N:$N,IlumaData!$V:$V,$R104,IlumaData!$U:$U,9))</f>
        <v/>
      </c>
      <c r="AC104">
        <f>IF(COUNTIFS(IlumaData!$V:$V,$R104,IlumaData!$U:$U,10,IlumaData!$N:$N,"&lt;&gt;")=0,"",SUMIFS(IlumaData!$N:$N,IlumaData!$V:$V,$R104,IlumaData!$U:$U,10))</f>
        <v/>
      </c>
      <c r="AD104">
        <f>IF(COUNTIFS(IlumaData!$V:$V,$R104,IlumaData!$U:$U,11,IlumaData!$N:$N,"&lt;&gt;")=0,"",SUMIFS(IlumaData!$N:$N,IlumaData!$V:$V,$R104,IlumaData!$U:$U,11))</f>
        <v/>
      </c>
      <c r="AE104">
        <f>IF(COUNTIFS(IlumaData!$V:$V,$R104,IlumaData!$U:$U,12,IlumaData!$N:$N,"&lt;&gt;")=0,"",SUMIFS(IlumaData!$N:$N,IlumaData!$V:$V,$R104,IlumaData!$U:$U,12))</f>
        <v/>
      </c>
      <c r="AF104">
        <f>IF(COUNTIFS(IlumaData!$V:$V,$R104,IlumaData!$U:$U,13,IlumaData!$N:$N,"&lt;&gt;")=0,"",SUMIFS(IlumaData!$N:$N,IlumaData!$V:$V,$R104,IlumaData!$U:$U,13))</f>
        <v/>
      </c>
      <c r="AG104">
        <f>IF(COUNTIFS(IlumaData!$V:$V,$R104,IlumaData!$U:$U,14,IlumaData!$N:$N,"&lt;&gt;")=0,"",SUMIFS(IlumaData!$N:$N,IlumaData!$V:$V,$R104,IlumaData!$U:$U,14))</f>
        <v/>
      </c>
      <c r="AH104">
        <f>COUNTIFS(IlumaData!$V:$V,$R104,IlumaData!$U:$U,"&lt;="&amp;14,IlumaData!$N:$N,"&lt;&gt;")</f>
        <v/>
      </c>
      <c r="AI104">
        <f>COUNTIFS(IlumaData!$V:$V,$R104,IlumaData!$U:$U,"&lt;="&amp;14,IlumaData!$N:$N,0)</f>
        <v/>
      </c>
      <c r="AJ104">
        <f>IF(AH104=0,"",AH104-AI104)</f>
        <v/>
      </c>
      <c r="AK104">
        <f>IF(AH104=0,"",SUMIFS(IlumaData!$N:$N,IlumaData!$V:$V,$R104,IlumaData!$U:$U,"&lt;="&amp;14))</f>
        <v/>
      </c>
      <c r="AL104">
        <f>IF(AH104=0,"",IF(ABS(MAX(T104:AG104))&gt;=ABS(MIN(T104:AG104)),MAX(T104:AG104),MIN(T104:AG104)))</f>
        <v/>
      </c>
      <c r="AM104">
        <f>IF(AH104=0,-1,AJ104*100000+MIN(ABS(AK104),99999))</f>
        <v/>
      </c>
      <c r="AN104">
        <f>IF($S104="","",1+COUNTIFS($AM$3:$AM$122,"&gt;"&amp;AM104)+COUNTIFS($AM$3:$AM$122,AM104,$R$3:$R$122,"&lt;"&amp;$R104))</f>
        <v/>
      </c>
    </row>
    <row r="105">
      <c r="R105" t="n">
        <v>103</v>
      </c>
      <c r="S105">
        <f>IFERROR(INDEX(IlumaData!$G:$G,MATCH($R105,IlumaData!$V:$V,0)),"")</f>
        <v/>
      </c>
      <c r="T105">
        <f>IF(COUNTIFS(IlumaData!$V:$V,$R105,IlumaData!$U:$U,1,IlumaData!$N:$N,"&lt;&gt;")=0,"",SUMIFS(IlumaData!$N:$N,IlumaData!$V:$V,$R105,IlumaData!$U:$U,1))</f>
        <v/>
      </c>
      <c r="U105">
        <f>IF(COUNTIFS(IlumaData!$V:$V,$R105,IlumaData!$U:$U,2,IlumaData!$N:$N,"&lt;&gt;")=0,"",SUMIFS(IlumaData!$N:$N,IlumaData!$V:$V,$R105,IlumaData!$U:$U,2))</f>
        <v/>
      </c>
      <c r="V105">
        <f>IF(COUNTIFS(IlumaData!$V:$V,$R105,IlumaData!$U:$U,3,IlumaData!$N:$N,"&lt;&gt;")=0,"",SUMIFS(IlumaData!$N:$N,IlumaData!$V:$V,$R105,IlumaData!$U:$U,3))</f>
        <v/>
      </c>
      <c r="W105">
        <f>IF(COUNTIFS(IlumaData!$V:$V,$R105,IlumaData!$U:$U,4,IlumaData!$N:$N,"&lt;&gt;")=0,"",SUMIFS(IlumaData!$N:$N,IlumaData!$V:$V,$R105,IlumaData!$U:$U,4))</f>
        <v/>
      </c>
      <c r="X105">
        <f>IF(COUNTIFS(IlumaData!$V:$V,$R105,IlumaData!$U:$U,5,IlumaData!$N:$N,"&lt;&gt;")=0,"",SUMIFS(IlumaData!$N:$N,IlumaData!$V:$V,$R105,IlumaData!$U:$U,5))</f>
        <v/>
      </c>
      <c r="Y105">
        <f>IF(COUNTIFS(IlumaData!$V:$V,$R105,IlumaData!$U:$U,6,IlumaData!$N:$N,"&lt;&gt;")=0,"",SUMIFS(IlumaData!$N:$N,IlumaData!$V:$V,$R105,IlumaData!$U:$U,6))</f>
        <v/>
      </c>
      <c r="Z105">
        <f>IF(COUNTIFS(IlumaData!$V:$V,$R105,IlumaData!$U:$U,7,IlumaData!$N:$N,"&lt;&gt;")=0,"",SUMIFS(IlumaData!$N:$N,IlumaData!$V:$V,$R105,IlumaData!$U:$U,7))</f>
        <v/>
      </c>
      <c r="AA105">
        <f>IF(COUNTIFS(IlumaData!$V:$V,$R105,IlumaData!$U:$U,8,IlumaData!$N:$N,"&lt;&gt;")=0,"",SUMIFS(IlumaData!$N:$N,IlumaData!$V:$V,$R105,IlumaData!$U:$U,8))</f>
        <v/>
      </c>
      <c r="AB105">
        <f>IF(COUNTIFS(IlumaData!$V:$V,$R105,IlumaData!$U:$U,9,IlumaData!$N:$N,"&lt;&gt;")=0,"",SUMIFS(IlumaData!$N:$N,IlumaData!$V:$V,$R105,IlumaData!$U:$U,9))</f>
        <v/>
      </c>
      <c r="AC105">
        <f>IF(COUNTIFS(IlumaData!$V:$V,$R105,IlumaData!$U:$U,10,IlumaData!$N:$N,"&lt;&gt;")=0,"",SUMIFS(IlumaData!$N:$N,IlumaData!$V:$V,$R105,IlumaData!$U:$U,10))</f>
        <v/>
      </c>
      <c r="AD105">
        <f>IF(COUNTIFS(IlumaData!$V:$V,$R105,IlumaData!$U:$U,11,IlumaData!$N:$N,"&lt;&gt;")=0,"",SUMIFS(IlumaData!$N:$N,IlumaData!$V:$V,$R105,IlumaData!$U:$U,11))</f>
        <v/>
      </c>
      <c r="AE105">
        <f>IF(COUNTIFS(IlumaData!$V:$V,$R105,IlumaData!$U:$U,12,IlumaData!$N:$N,"&lt;&gt;")=0,"",SUMIFS(IlumaData!$N:$N,IlumaData!$V:$V,$R105,IlumaData!$U:$U,12))</f>
        <v/>
      </c>
      <c r="AF105">
        <f>IF(COUNTIFS(IlumaData!$V:$V,$R105,IlumaData!$U:$U,13,IlumaData!$N:$N,"&lt;&gt;")=0,"",SUMIFS(IlumaData!$N:$N,IlumaData!$V:$V,$R105,IlumaData!$U:$U,13))</f>
        <v/>
      </c>
      <c r="AG105">
        <f>IF(COUNTIFS(IlumaData!$V:$V,$R105,IlumaData!$U:$U,14,IlumaData!$N:$N,"&lt;&gt;")=0,"",SUMIFS(IlumaData!$N:$N,IlumaData!$V:$V,$R105,IlumaData!$U:$U,14))</f>
        <v/>
      </c>
      <c r="AH105">
        <f>COUNTIFS(IlumaData!$V:$V,$R105,IlumaData!$U:$U,"&lt;="&amp;14,IlumaData!$N:$N,"&lt;&gt;")</f>
        <v/>
      </c>
      <c r="AI105">
        <f>COUNTIFS(IlumaData!$V:$V,$R105,IlumaData!$U:$U,"&lt;="&amp;14,IlumaData!$N:$N,0)</f>
        <v/>
      </c>
      <c r="AJ105">
        <f>IF(AH105=0,"",AH105-AI105)</f>
        <v/>
      </c>
      <c r="AK105">
        <f>IF(AH105=0,"",SUMIFS(IlumaData!$N:$N,IlumaData!$V:$V,$R105,IlumaData!$U:$U,"&lt;="&amp;14))</f>
        <v/>
      </c>
      <c r="AL105">
        <f>IF(AH105=0,"",IF(ABS(MAX(T105:AG105))&gt;=ABS(MIN(T105:AG105)),MAX(T105:AG105),MIN(T105:AG105)))</f>
        <v/>
      </c>
      <c r="AM105">
        <f>IF(AH105=0,-1,AJ105*100000+MIN(ABS(AK105),99999))</f>
        <v/>
      </c>
      <c r="AN105">
        <f>IF($S105="","",1+COUNTIFS($AM$3:$AM$122,"&gt;"&amp;AM105)+COUNTIFS($AM$3:$AM$122,AM105,$R$3:$R$122,"&lt;"&amp;$R105))</f>
        <v/>
      </c>
    </row>
    <row r="106">
      <c r="R106" t="n">
        <v>104</v>
      </c>
      <c r="S106">
        <f>IFERROR(INDEX(IlumaData!$G:$G,MATCH($R106,IlumaData!$V:$V,0)),"")</f>
        <v/>
      </c>
      <c r="T106">
        <f>IF(COUNTIFS(IlumaData!$V:$V,$R106,IlumaData!$U:$U,1,IlumaData!$N:$N,"&lt;&gt;")=0,"",SUMIFS(IlumaData!$N:$N,IlumaData!$V:$V,$R106,IlumaData!$U:$U,1))</f>
        <v/>
      </c>
      <c r="U106">
        <f>IF(COUNTIFS(IlumaData!$V:$V,$R106,IlumaData!$U:$U,2,IlumaData!$N:$N,"&lt;&gt;")=0,"",SUMIFS(IlumaData!$N:$N,IlumaData!$V:$V,$R106,IlumaData!$U:$U,2))</f>
        <v/>
      </c>
      <c r="V106">
        <f>IF(COUNTIFS(IlumaData!$V:$V,$R106,IlumaData!$U:$U,3,IlumaData!$N:$N,"&lt;&gt;")=0,"",SUMIFS(IlumaData!$N:$N,IlumaData!$V:$V,$R106,IlumaData!$U:$U,3))</f>
        <v/>
      </c>
      <c r="W106">
        <f>IF(COUNTIFS(IlumaData!$V:$V,$R106,IlumaData!$U:$U,4,IlumaData!$N:$N,"&lt;&gt;")=0,"",SUMIFS(IlumaData!$N:$N,IlumaData!$V:$V,$R106,IlumaData!$U:$U,4))</f>
        <v/>
      </c>
      <c r="X106">
        <f>IF(COUNTIFS(IlumaData!$V:$V,$R106,IlumaData!$U:$U,5,IlumaData!$N:$N,"&lt;&gt;")=0,"",SUMIFS(IlumaData!$N:$N,IlumaData!$V:$V,$R106,IlumaData!$U:$U,5))</f>
        <v/>
      </c>
      <c r="Y106">
        <f>IF(COUNTIFS(IlumaData!$V:$V,$R106,IlumaData!$U:$U,6,IlumaData!$N:$N,"&lt;&gt;")=0,"",SUMIFS(IlumaData!$N:$N,IlumaData!$V:$V,$R106,IlumaData!$U:$U,6))</f>
        <v/>
      </c>
      <c r="Z106">
        <f>IF(COUNTIFS(IlumaData!$V:$V,$R106,IlumaData!$U:$U,7,IlumaData!$N:$N,"&lt;&gt;")=0,"",SUMIFS(IlumaData!$N:$N,IlumaData!$V:$V,$R106,IlumaData!$U:$U,7))</f>
        <v/>
      </c>
      <c r="AA106">
        <f>IF(COUNTIFS(IlumaData!$V:$V,$R106,IlumaData!$U:$U,8,IlumaData!$N:$N,"&lt;&gt;")=0,"",SUMIFS(IlumaData!$N:$N,IlumaData!$V:$V,$R106,IlumaData!$U:$U,8))</f>
        <v/>
      </c>
      <c r="AB106">
        <f>IF(COUNTIFS(IlumaData!$V:$V,$R106,IlumaData!$U:$U,9,IlumaData!$N:$N,"&lt;&gt;")=0,"",SUMIFS(IlumaData!$N:$N,IlumaData!$V:$V,$R106,IlumaData!$U:$U,9))</f>
        <v/>
      </c>
      <c r="AC106">
        <f>IF(COUNTIFS(IlumaData!$V:$V,$R106,IlumaData!$U:$U,10,IlumaData!$N:$N,"&lt;&gt;")=0,"",SUMIFS(IlumaData!$N:$N,IlumaData!$V:$V,$R106,IlumaData!$U:$U,10))</f>
        <v/>
      </c>
      <c r="AD106">
        <f>IF(COUNTIFS(IlumaData!$V:$V,$R106,IlumaData!$U:$U,11,IlumaData!$N:$N,"&lt;&gt;")=0,"",SUMIFS(IlumaData!$N:$N,IlumaData!$V:$V,$R106,IlumaData!$U:$U,11))</f>
        <v/>
      </c>
      <c r="AE106">
        <f>IF(COUNTIFS(IlumaData!$V:$V,$R106,IlumaData!$U:$U,12,IlumaData!$N:$N,"&lt;&gt;")=0,"",SUMIFS(IlumaData!$N:$N,IlumaData!$V:$V,$R106,IlumaData!$U:$U,12))</f>
        <v/>
      </c>
      <c r="AF106">
        <f>IF(COUNTIFS(IlumaData!$V:$V,$R106,IlumaData!$U:$U,13,IlumaData!$N:$N,"&lt;&gt;")=0,"",SUMIFS(IlumaData!$N:$N,IlumaData!$V:$V,$R106,IlumaData!$U:$U,13))</f>
        <v/>
      </c>
      <c r="AG106">
        <f>IF(COUNTIFS(IlumaData!$V:$V,$R106,IlumaData!$U:$U,14,IlumaData!$N:$N,"&lt;&gt;")=0,"",SUMIFS(IlumaData!$N:$N,IlumaData!$V:$V,$R106,IlumaData!$U:$U,14))</f>
        <v/>
      </c>
      <c r="AH106">
        <f>COUNTIFS(IlumaData!$V:$V,$R106,IlumaData!$U:$U,"&lt;="&amp;14,IlumaData!$N:$N,"&lt;&gt;")</f>
        <v/>
      </c>
      <c r="AI106">
        <f>COUNTIFS(IlumaData!$V:$V,$R106,IlumaData!$U:$U,"&lt;="&amp;14,IlumaData!$N:$N,0)</f>
        <v/>
      </c>
      <c r="AJ106">
        <f>IF(AH106=0,"",AH106-AI106)</f>
        <v/>
      </c>
      <c r="AK106">
        <f>IF(AH106=0,"",SUMIFS(IlumaData!$N:$N,IlumaData!$V:$V,$R106,IlumaData!$U:$U,"&lt;="&amp;14))</f>
        <v/>
      </c>
      <c r="AL106">
        <f>IF(AH106=0,"",IF(ABS(MAX(T106:AG106))&gt;=ABS(MIN(T106:AG106)),MAX(T106:AG106),MIN(T106:AG106)))</f>
        <v/>
      </c>
      <c r="AM106">
        <f>IF(AH106=0,-1,AJ106*100000+MIN(ABS(AK106),99999))</f>
        <v/>
      </c>
      <c r="AN106">
        <f>IF($S106="","",1+COUNTIFS($AM$3:$AM$122,"&gt;"&amp;AM106)+COUNTIFS($AM$3:$AM$122,AM106,$R$3:$R$122,"&lt;"&amp;$R106))</f>
        <v/>
      </c>
    </row>
    <row r="107">
      <c r="R107" t="n">
        <v>105</v>
      </c>
      <c r="S107">
        <f>IFERROR(INDEX(IlumaData!$G:$G,MATCH($R107,IlumaData!$V:$V,0)),"")</f>
        <v/>
      </c>
      <c r="T107">
        <f>IF(COUNTIFS(IlumaData!$V:$V,$R107,IlumaData!$U:$U,1,IlumaData!$N:$N,"&lt;&gt;")=0,"",SUMIFS(IlumaData!$N:$N,IlumaData!$V:$V,$R107,IlumaData!$U:$U,1))</f>
        <v/>
      </c>
      <c r="U107">
        <f>IF(COUNTIFS(IlumaData!$V:$V,$R107,IlumaData!$U:$U,2,IlumaData!$N:$N,"&lt;&gt;")=0,"",SUMIFS(IlumaData!$N:$N,IlumaData!$V:$V,$R107,IlumaData!$U:$U,2))</f>
        <v/>
      </c>
      <c r="V107">
        <f>IF(COUNTIFS(IlumaData!$V:$V,$R107,IlumaData!$U:$U,3,IlumaData!$N:$N,"&lt;&gt;")=0,"",SUMIFS(IlumaData!$N:$N,IlumaData!$V:$V,$R107,IlumaData!$U:$U,3))</f>
        <v/>
      </c>
      <c r="W107">
        <f>IF(COUNTIFS(IlumaData!$V:$V,$R107,IlumaData!$U:$U,4,IlumaData!$N:$N,"&lt;&gt;")=0,"",SUMIFS(IlumaData!$N:$N,IlumaData!$V:$V,$R107,IlumaData!$U:$U,4))</f>
        <v/>
      </c>
      <c r="X107">
        <f>IF(COUNTIFS(IlumaData!$V:$V,$R107,IlumaData!$U:$U,5,IlumaData!$N:$N,"&lt;&gt;")=0,"",SUMIFS(IlumaData!$N:$N,IlumaData!$V:$V,$R107,IlumaData!$U:$U,5))</f>
        <v/>
      </c>
      <c r="Y107">
        <f>IF(COUNTIFS(IlumaData!$V:$V,$R107,IlumaData!$U:$U,6,IlumaData!$N:$N,"&lt;&gt;")=0,"",SUMIFS(IlumaData!$N:$N,IlumaData!$V:$V,$R107,IlumaData!$U:$U,6))</f>
        <v/>
      </c>
      <c r="Z107">
        <f>IF(COUNTIFS(IlumaData!$V:$V,$R107,IlumaData!$U:$U,7,IlumaData!$N:$N,"&lt;&gt;")=0,"",SUMIFS(IlumaData!$N:$N,IlumaData!$V:$V,$R107,IlumaData!$U:$U,7))</f>
        <v/>
      </c>
      <c r="AA107">
        <f>IF(COUNTIFS(IlumaData!$V:$V,$R107,IlumaData!$U:$U,8,IlumaData!$N:$N,"&lt;&gt;")=0,"",SUMIFS(IlumaData!$N:$N,IlumaData!$V:$V,$R107,IlumaData!$U:$U,8))</f>
        <v/>
      </c>
      <c r="AB107">
        <f>IF(COUNTIFS(IlumaData!$V:$V,$R107,IlumaData!$U:$U,9,IlumaData!$N:$N,"&lt;&gt;")=0,"",SUMIFS(IlumaData!$N:$N,IlumaData!$V:$V,$R107,IlumaData!$U:$U,9))</f>
        <v/>
      </c>
      <c r="AC107">
        <f>IF(COUNTIFS(IlumaData!$V:$V,$R107,IlumaData!$U:$U,10,IlumaData!$N:$N,"&lt;&gt;")=0,"",SUMIFS(IlumaData!$N:$N,IlumaData!$V:$V,$R107,IlumaData!$U:$U,10))</f>
        <v/>
      </c>
      <c r="AD107">
        <f>IF(COUNTIFS(IlumaData!$V:$V,$R107,IlumaData!$U:$U,11,IlumaData!$N:$N,"&lt;&gt;")=0,"",SUMIFS(IlumaData!$N:$N,IlumaData!$V:$V,$R107,IlumaData!$U:$U,11))</f>
        <v/>
      </c>
      <c r="AE107">
        <f>IF(COUNTIFS(IlumaData!$V:$V,$R107,IlumaData!$U:$U,12,IlumaData!$N:$N,"&lt;&gt;")=0,"",SUMIFS(IlumaData!$N:$N,IlumaData!$V:$V,$R107,IlumaData!$U:$U,12))</f>
        <v/>
      </c>
      <c r="AF107">
        <f>IF(COUNTIFS(IlumaData!$V:$V,$R107,IlumaData!$U:$U,13,IlumaData!$N:$N,"&lt;&gt;")=0,"",SUMIFS(IlumaData!$N:$N,IlumaData!$V:$V,$R107,IlumaData!$U:$U,13))</f>
        <v/>
      </c>
      <c r="AG107">
        <f>IF(COUNTIFS(IlumaData!$V:$V,$R107,IlumaData!$U:$U,14,IlumaData!$N:$N,"&lt;&gt;")=0,"",SUMIFS(IlumaData!$N:$N,IlumaData!$V:$V,$R107,IlumaData!$U:$U,14))</f>
        <v/>
      </c>
      <c r="AH107">
        <f>COUNTIFS(IlumaData!$V:$V,$R107,IlumaData!$U:$U,"&lt;="&amp;14,IlumaData!$N:$N,"&lt;&gt;")</f>
        <v/>
      </c>
      <c r="AI107">
        <f>COUNTIFS(IlumaData!$V:$V,$R107,IlumaData!$U:$U,"&lt;="&amp;14,IlumaData!$N:$N,0)</f>
        <v/>
      </c>
      <c r="AJ107">
        <f>IF(AH107=0,"",AH107-AI107)</f>
        <v/>
      </c>
      <c r="AK107">
        <f>IF(AH107=0,"",SUMIFS(IlumaData!$N:$N,IlumaData!$V:$V,$R107,IlumaData!$U:$U,"&lt;="&amp;14))</f>
        <v/>
      </c>
      <c r="AL107">
        <f>IF(AH107=0,"",IF(ABS(MAX(T107:AG107))&gt;=ABS(MIN(T107:AG107)),MAX(T107:AG107),MIN(T107:AG107)))</f>
        <v/>
      </c>
      <c r="AM107">
        <f>IF(AH107=0,-1,AJ107*100000+MIN(ABS(AK107),99999))</f>
        <v/>
      </c>
      <c r="AN107">
        <f>IF($S107="","",1+COUNTIFS($AM$3:$AM$122,"&gt;"&amp;AM107)+COUNTIFS($AM$3:$AM$122,AM107,$R$3:$R$122,"&lt;"&amp;$R107))</f>
        <v/>
      </c>
    </row>
    <row r="108">
      <c r="R108" t="n">
        <v>106</v>
      </c>
      <c r="S108">
        <f>IFERROR(INDEX(IlumaData!$G:$G,MATCH($R108,IlumaData!$V:$V,0)),"")</f>
        <v/>
      </c>
      <c r="T108">
        <f>IF(COUNTIFS(IlumaData!$V:$V,$R108,IlumaData!$U:$U,1,IlumaData!$N:$N,"&lt;&gt;")=0,"",SUMIFS(IlumaData!$N:$N,IlumaData!$V:$V,$R108,IlumaData!$U:$U,1))</f>
        <v/>
      </c>
      <c r="U108">
        <f>IF(COUNTIFS(IlumaData!$V:$V,$R108,IlumaData!$U:$U,2,IlumaData!$N:$N,"&lt;&gt;")=0,"",SUMIFS(IlumaData!$N:$N,IlumaData!$V:$V,$R108,IlumaData!$U:$U,2))</f>
        <v/>
      </c>
      <c r="V108">
        <f>IF(COUNTIFS(IlumaData!$V:$V,$R108,IlumaData!$U:$U,3,IlumaData!$N:$N,"&lt;&gt;")=0,"",SUMIFS(IlumaData!$N:$N,IlumaData!$V:$V,$R108,IlumaData!$U:$U,3))</f>
        <v/>
      </c>
      <c r="W108">
        <f>IF(COUNTIFS(IlumaData!$V:$V,$R108,IlumaData!$U:$U,4,IlumaData!$N:$N,"&lt;&gt;")=0,"",SUMIFS(IlumaData!$N:$N,IlumaData!$V:$V,$R108,IlumaData!$U:$U,4))</f>
        <v/>
      </c>
      <c r="X108">
        <f>IF(COUNTIFS(IlumaData!$V:$V,$R108,IlumaData!$U:$U,5,IlumaData!$N:$N,"&lt;&gt;")=0,"",SUMIFS(IlumaData!$N:$N,IlumaData!$V:$V,$R108,IlumaData!$U:$U,5))</f>
        <v/>
      </c>
      <c r="Y108">
        <f>IF(COUNTIFS(IlumaData!$V:$V,$R108,IlumaData!$U:$U,6,IlumaData!$N:$N,"&lt;&gt;")=0,"",SUMIFS(IlumaData!$N:$N,IlumaData!$V:$V,$R108,IlumaData!$U:$U,6))</f>
        <v/>
      </c>
      <c r="Z108">
        <f>IF(COUNTIFS(IlumaData!$V:$V,$R108,IlumaData!$U:$U,7,IlumaData!$N:$N,"&lt;&gt;")=0,"",SUMIFS(IlumaData!$N:$N,IlumaData!$V:$V,$R108,IlumaData!$U:$U,7))</f>
        <v/>
      </c>
      <c r="AA108">
        <f>IF(COUNTIFS(IlumaData!$V:$V,$R108,IlumaData!$U:$U,8,IlumaData!$N:$N,"&lt;&gt;")=0,"",SUMIFS(IlumaData!$N:$N,IlumaData!$V:$V,$R108,IlumaData!$U:$U,8))</f>
        <v/>
      </c>
      <c r="AB108">
        <f>IF(COUNTIFS(IlumaData!$V:$V,$R108,IlumaData!$U:$U,9,IlumaData!$N:$N,"&lt;&gt;")=0,"",SUMIFS(IlumaData!$N:$N,IlumaData!$V:$V,$R108,IlumaData!$U:$U,9))</f>
        <v/>
      </c>
      <c r="AC108">
        <f>IF(COUNTIFS(IlumaData!$V:$V,$R108,IlumaData!$U:$U,10,IlumaData!$N:$N,"&lt;&gt;")=0,"",SUMIFS(IlumaData!$N:$N,IlumaData!$V:$V,$R108,IlumaData!$U:$U,10))</f>
        <v/>
      </c>
      <c r="AD108">
        <f>IF(COUNTIFS(IlumaData!$V:$V,$R108,IlumaData!$U:$U,11,IlumaData!$N:$N,"&lt;&gt;")=0,"",SUMIFS(IlumaData!$N:$N,IlumaData!$V:$V,$R108,IlumaData!$U:$U,11))</f>
        <v/>
      </c>
      <c r="AE108">
        <f>IF(COUNTIFS(IlumaData!$V:$V,$R108,IlumaData!$U:$U,12,IlumaData!$N:$N,"&lt;&gt;")=0,"",SUMIFS(IlumaData!$N:$N,IlumaData!$V:$V,$R108,IlumaData!$U:$U,12))</f>
        <v/>
      </c>
      <c r="AF108">
        <f>IF(COUNTIFS(IlumaData!$V:$V,$R108,IlumaData!$U:$U,13,IlumaData!$N:$N,"&lt;&gt;")=0,"",SUMIFS(IlumaData!$N:$N,IlumaData!$V:$V,$R108,IlumaData!$U:$U,13))</f>
        <v/>
      </c>
      <c r="AG108">
        <f>IF(COUNTIFS(IlumaData!$V:$V,$R108,IlumaData!$U:$U,14,IlumaData!$N:$N,"&lt;&gt;")=0,"",SUMIFS(IlumaData!$N:$N,IlumaData!$V:$V,$R108,IlumaData!$U:$U,14))</f>
        <v/>
      </c>
      <c r="AH108">
        <f>COUNTIFS(IlumaData!$V:$V,$R108,IlumaData!$U:$U,"&lt;="&amp;14,IlumaData!$N:$N,"&lt;&gt;")</f>
        <v/>
      </c>
      <c r="AI108">
        <f>COUNTIFS(IlumaData!$V:$V,$R108,IlumaData!$U:$U,"&lt;="&amp;14,IlumaData!$N:$N,0)</f>
        <v/>
      </c>
      <c r="AJ108">
        <f>IF(AH108=0,"",AH108-AI108)</f>
        <v/>
      </c>
      <c r="AK108">
        <f>IF(AH108=0,"",SUMIFS(IlumaData!$N:$N,IlumaData!$V:$V,$R108,IlumaData!$U:$U,"&lt;="&amp;14))</f>
        <v/>
      </c>
      <c r="AL108">
        <f>IF(AH108=0,"",IF(ABS(MAX(T108:AG108))&gt;=ABS(MIN(T108:AG108)),MAX(T108:AG108),MIN(T108:AG108)))</f>
        <v/>
      </c>
      <c r="AM108">
        <f>IF(AH108=0,-1,AJ108*100000+MIN(ABS(AK108),99999))</f>
        <v/>
      </c>
      <c r="AN108">
        <f>IF($S108="","",1+COUNTIFS($AM$3:$AM$122,"&gt;"&amp;AM108)+COUNTIFS($AM$3:$AM$122,AM108,$R$3:$R$122,"&lt;"&amp;$R108))</f>
        <v/>
      </c>
    </row>
    <row r="109">
      <c r="R109" t="n">
        <v>107</v>
      </c>
      <c r="S109">
        <f>IFERROR(INDEX(IlumaData!$G:$G,MATCH($R109,IlumaData!$V:$V,0)),"")</f>
        <v/>
      </c>
      <c r="T109">
        <f>IF(COUNTIFS(IlumaData!$V:$V,$R109,IlumaData!$U:$U,1,IlumaData!$N:$N,"&lt;&gt;")=0,"",SUMIFS(IlumaData!$N:$N,IlumaData!$V:$V,$R109,IlumaData!$U:$U,1))</f>
        <v/>
      </c>
      <c r="U109">
        <f>IF(COUNTIFS(IlumaData!$V:$V,$R109,IlumaData!$U:$U,2,IlumaData!$N:$N,"&lt;&gt;")=0,"",SUMIFS(IlumaData!$N:$N,IlumaData!$V:$V,$R109,IlumaData!$U:$U,2))</f>
        <v/>
      </c>
      <c r="V109">
        <f>IF(COUNTIFS(IlumaData!$V:$V,$R109,IlumaData!$U:$U,3,IlumaData!$N:$N,"&lt;&gt;")=0,"",SUMIFS(IlumaData!$N:$N,IlumaData!$V:$V,$R109,IlumaData!$U:$U,3))</f>
        <v/>
      </c>
      <c r="W109">
        <f>IF(COUNTIFS(IlumaData!$V:$V,$R109,IlumaData!$U:$U,4,IlumaData!$N:$N,"&lt;&gt;")=0,"",SUMIFS(IlumaData!$N:$N,IlumaData!$V:$V,$R109,IlumaData!$U:$U,4))</f>
        <v/>
      </c>
      <c r="X109">
        <f>IF(COUNTIFS(IlumaData!$V:$V,$R109,IlumaData!$U:$U,5,IlumaData!$N:$N,"&lt;&gt;")=0,"",SUMIFS(IlumaData!$N:$N,IlumaData!$V:$V,$R109,IlumaData!$U:$U,5))</f>
        <v/>
      </c>
      <c r="Y109">
        <f>IF(COUNTIFS(IlumaData!$V:$V,$R109,IlumaData!$U:$U,6,IlumaData!$N:$N,"&lt;&gt;")=0,"",SUMIFS(IlumaData!$N:$N,IlumaData!$V:$V,$R109,IlumaData!$U:$U,6))</f>
        <v/>
      </c>
      <c r="Z109">
        <f>IF(COUNTIFS(IlumaData!$V:$V,$R109,IlumaData!$U:$U,7,IlumaData!$N:$N,"&lt;&gt;")=0,"",SUMIFS(IlumaData!$N:$N,IlumaData!$V:$V,$R109,IlumaData!$U:$U,7))</f>
        <v/>
      </c>
      <c r="AA109">
        <f>IF(COUNTIFS(IlumaData!$V:$V,$R109,IlumaData!$U:$U,8,IlumaData!$N:$N,"&lt;&gt;")=0,"",SUMIFS(IlumaData!$N:$N,IlumaData!$V:$V,$R109,IlumaData!$U:$U,8))</f>
        <v/>
      </c>
      <c r="AB109">
        <f>IF(COUNTIFS(IlumaData!$V:$V,$R109,IlumaData!$U:$U,9,IlumaData!$N:$N,"&lt;&gt;")=0,"",SUMIFS(IlumaData!$N:$N,IlumaData!$V:$V,$R109,IlumaData!$U:$U,9))</f>
        <v/>
      </c>
      <c r="AC109">
        <f>IF(COUNTIFS(IlumaData!$V:$V,$R109,IlumaData!$U:$U,10,IlumaData!$N:$N,"&lt;&gt;")=0,"",SUMIFS(IlumaData!$N:$N,IlumaData!$V:$V,$R109,IlumaData!$U:$U,10))</f>
        <v/>
      </c>
      <c r="AD109">
        <f>IF(COUNTIFS(IlumaData!$V:$V,$R109,IlumaData!$U:$U,11,IlumaData!$N:$N,"&lt;&gt;")=0,"",SUMIFS(IlumaData!$N:$N,IlumaData!$V:$V,$R109,IlumaData!$U:$U,11))</f>
        <v/>
      </c>
      <c r="AE109">
        <f>IF(COUNTIFS(IlumaData!$V:$V,$R109,IlumaData!$U:$U,12,IlumaData!$N:$N,"&lt;&gt;")=0,"",SUMIFS(IlumaData!$N:$N,IlumaData!$V:$V,$R109,IlumaData!$U:$U,12))</f>
        <v/>
      </c>
      <c r="AF109">
        <f>IF(COUNTIFS(IlumaData!$V:$V,$R109,IlumaData!$U:$U,13,IlumaData!$N:$N,"&lt;&gt;")=0,"",SUMIFS(IlumaData!$N:$N,IlumaData!$V:$V,$R109,IlumaData!$U:$U,13))</f>
        <v/>
      </c>
      <c r="AG109">
        <f>IF(COUNTIFS(IlumaData!$V:$V,$R109,IlumaData!$U:$U,14,IlumaData!$N:$N,"&lt;&gt;")=0,"",SUMIFS(IlumaData!$N:$N,IlumaData!$V:$V,$R109,IlumaData!$U:$U,14))</f>
        <v/>
      </c>
      <c r="AH109">
        <f>COUNTIFS(IlumaData!$V:$V,$R109,IlumaData!$U:$U,"&lt;="&amp;14,IlumaData!$N:$N,"&lt;&gt;")</f>
        <v/>
      </c>
      <c r="AI109">
        <f>COUNTIFS(IlumaData!$V:$V,$R109,IlumaData!$U:$U,"&lt;="&amp;14,IlumaData!$N:$N,0)</f>
        <v/>
      </c>
      <c r="AJ109">
        <f>IF(AH109=0,"",AH109-AI109)</f>
        <v/>
      </c>
      <c r="AK109">
        <f>IF(AH109=0,"",SUMIFS(IlumaData!$N:$N,IlumaData!$V:$V,$R109,IlumaData!$U:$U,"&lt;="&amp;14))</f>
        <v/>
      </c>
      <c r="AL109">
        <f>IF(AH109=0,"",IF(ABS(MAX(T109:AG109))&gt;=ABS(MIN(T109:AG109)),MAX(T109:AG109),MIN(T109:AG109)))</f>
        <v/>
      </c>
      <c r="AM109">
        <f>IF(AH109=0,-1,AJ109*100000+MIN(ABS(AK109),99999))</f>
        <v/>
      </c>
      <c r="AN109">
        <f>IF($S109="","",1+COUNTIFS($AM$3:$AM$122,"&gt;"&amp;AM109)+COUNTIFS($AM$3:$AM$122,AM109,$R$3:$R$122,"&lt;"&amp;$R109))</f>
        <v/>
      </c>
    </row>
    <row r="110">
      <c r="R110" t="n">
        <v>108</v>
      </c>
      <c r="S110">
        <f>IFERROR(INDEX(IlumaData!$G:$G,MATCH($R110,IlumaData!$V:$V,0)),"")</f>
        <v/>
      </c>
      <c r="T110">
        <f>IF(COUNTIFS(IlumaData!$V:$V,$R110,IlumaData!$U:$U,1,IlumaData!$N:$N,"&lt;&gt;")=0,"",SUMIFS(IlumaData!$N:$N,IlumaData!$V:$V,$R110,IlumaData!$U:$U,1))</f>
        <v/>
      </c>
      <c r="U110">
        <f>IF(COUNTIFS(IlumaData!$V:$V,$R110,IlumaData!$U:$U,2,IlumaData!$N:$N,"&lt;&gt;")=0,"",SUMIFS(IlumaData!$N:$N,IlumaData!$V:$V,$R110,IlumaData!$U:$U,2))</f>
        <v/>
      </c>
      <c r="V110">
        <f>IF(COUNTIFS(IlumaData!$V:$V,$R110,IlumaData!$U:$U,3,IlumaData!$N:$N,"&lt;&gt;")=0,"",SUMIFS(IlumaData!$N:$N,IlumaData!$V:$V,$R110,IlumaData!$U:$U,3))</f>
        <v/>
      </c>
      <c r="W110">
        <f>IF(COUNTIFS(IlumaData!$V:$V,$R110,IlumaData!$U:$U,4,IlumaData!$N:$N,"&lt;&gt;")=0,"",SUMIFS(IlumaData!$N:$N,IlumaData!$V:$V,$R110,IlumaData!$U:$U,4))</f>
        <v/>
      </c>
      <c r="X110">
        <f>IF(COUNTIFS(IlumaData!$V:$V,$R110,IlumaData!$U:$U,5,IlumaData!$N:$N,"&lt;&gt;")=0,"",SUMIFS(IlumaData!$N:$N,IlumaData!$V:$V,$R110,IlumaData!$U:$U,5))</f>
        <v/>
      </c>
      <c r="Y110">
        <f>IF(COUNTIFS(IlumaData!$V:$V,$R110,IlumaData!$U:$U,6,IlumaData!$N:$N,"&lt;&gt;")=0,"",SUMIFS(IlumaData!$N:$N,IlumaData!$V:$V,$R110,IlumaData!$U:$U,6))</f>
        <v/>
      </c>
      <c r="Z110">
        <f>IF(COUNTIFS(IlumaData!$V:$V,$R110,IlumaData!$U:$U,7,IlumaData!$N:$N,"&lt;&gt;")=0,"",SUMIFS(IlumaData!$N:$N,IlumaData!$V:$V,$R110,IlumaData!$U:$U,7))</f>
        <v/>
      </c>
      <c r="AA110">
        <f>IF(COUNTIFS(IlumaData!$V:$V,$R110,IlumaData!$U:$U,8,IlumaData!$N:$N,"&lt;&gt;")=0,"",SUMIFS(IlumaData!$N:$N,IlumaData!$V:$V,$R110,IlumaData!$U:$U,8))</f>
        <v/>
      </c>
      <c r="AB110">
        <f>IF(COUNTIFS(IlumaData!$V:$V,$R110,IlumaData!$U:$U,9,IlumaData!$N:$N,"&lt;&gt;")=0,"",SUMIFS(IlumaData!$N:$N,IlumaData!$V:$V,$R110,IlumaData!$U:$U,9))</f>
        <v/>
      </c>
      <c r="AC110">
        <f>IF(COUNTIFS(IlumaData!$V:$V,$R110,IlumaData!$U:$U,10,IlumaData!$N:$N,"&lt;&gt;")=0,"",SUMIFS(IlumaData!$N:$N,IlumaData!$V:$V,$R110,IlumaData!$U:$U,10))</f>
        <v/>
      </c>
      <c r="AD110">
        <f>IF(COUNTIFS(IlumaData!$V:$V,$R110,IlumaData!$U:$U,11,IlumaData!$N:$N,"&lt;&gt;")=0,"",SUMIFS(IlumaData!$N:$N,IlumaData!$V:$V,$R110,IlumaData!$U:$U,11))</f>
        <v/>
      </c>
      <c r="AE110">
        <f>IF(COUNTIFS(IlumaData!$V:$V,$R110,IlumaData!$U:$U,12,IlumaData!$N:$N,"&lt;&gt;")=0,"",SUMIFS(IlumaData!$N:$N,IlumaData!$V:$V,$R110,IlumaData!$U:$U,12))</f>
        <v/>
      </c>
      <c r="AF110">
        <f>IF(COUNTIFS(IlumaData!$V:$V,$R110,IlumaData!$U:$U,13,IlumaData!$N:$N,"&lt;&gt;")=0,"",SUMIFS(IlumaData!$N:$N,IlumaData!$V:$V,$R110,IlumaData!$U:$U,13))</f>
        <v/>
      </c>
      <c r="AG110">
        <f>IF(COUNTIFS(IlumaData!$V:$V,$R110,IlumaData!$U:$U,14,IlumaData!$N:$N,"&lt;&gt;")=0,"",SUMIFS(IlumaData!$N:$N,IlumaData!$V:$V,$R110,IlumaData!$U:$U,14))</f>
        <v/>
      </c>
      <c r="AH110">
        <f>COUNTIFS(IlumaData!$V:$V,$R110,IlumaData!$U:$U,"&lt;="&amp;14,IlumaData!$N:$N,"&lt;&gt;")</f>
        <v/>
      </c>
      <c r="AI110">
        <f>COUNTIFS(IlumaData!$V:$V,$R110,IlumaData!$U:$U,"&lt;="&amp;14,IlumaData!$N:$N,0)</f>
        <v/>
      </c>
      <c r="AJ110">
        <f>IF(AH110=0,"",AH110-AI110)</f>
        <v/>
      </c>
      <c r="AK110">
        <f>IF(AH110=0,"",SUMIFS(IlumaData!$N:$N,IlumaData!$V:$V,$R110,IlumaData!$U:$U,"&lt;="&amp;14))</f>
        <v/>
      </c>
      <c r="AL110">
        <f>IF(AH110=0,"",IF(ABS(MAX(T110:AG110))&gt;=ABS(MIN(T110:AG110)),MAX(T110:AG110),MIN(T110:AG110)))</f>
        <v/>
      </c>
      <c r="AM110">
        <f>IF(AH110=0,-1,AJ110*100000+MIN(ABS(AK110),99999))</f>
        <v/>
      </c>
      <c r="AN110">
        <f>IF($S110="","",1+COUNTIFS($AM$3:$AM$122,"&gt;"&amp;AM110)+COUNTIFS($AM$3:$AM$122,AM110,$R$3:$R$122,"&lt;"&amp;$R110))</f>
        <v/>
      </c>
    </row>
    <row r="111">
      <c r="R111" t="n">
        <v>109</v>
      </c>
      <c r="S111">
        <f>IFERROR(INDEX(IlumaData!$G:$G,MATCH($R111,IlumaData!$V:$V,0)),"")</f>
        <v/>
      </c>
      <c r="T111">
        <f>IF(COUNTIFS(IlumaData!$V:$V,$R111,IlumaData!$U:$U,1,IlumaData!$N:$N,"&lt;&gt;")=0,"",SUMIFS(IlumaData!$N:$N,IlumaData!$V:$V,$R111,IlumaData!$U:$U,1))</f>
        <v/>
      </c>
      <c r="U111">
        <f>IF(COUNTIFS(IlumaData!$V:$V,$R111,IlumaData!$U:$U,2,IlumaData!$N:$N,"&lt;&gt;")=0,"",SUMIFS(IlumaData!$N:$N,IlumaData!$V:$V,$R111,IlumaData!$U:$U,2))</f>
        <v/>
      </c>
      <c r="V111">
        <f>IF(COUNTIFS(IlumaData!$V:$V,$R111,IlumaData!$U:$U,3,IlumaData!$N:$N,"&lt;&gt;")=0,"",SUMIFS(IlumaData!$N:$N,IlumaData!$V:$V,$R111,IlumaData!$U:$U,3))</f>
        <v/>
      </c>
      <c r="W111">
        <f>IF(COUNTIFS(IlumaData!$V:$V,$R111,IlumaData!$U:$U,4,IlumaData!$N:$N,"&lt;&gt;")=0,"",SUMIFS(IlumaData!$N:$N,IlumaData!$V:$V,$R111,IlumaData!$U:$U,4))</f>
        <v/>
      </c>
      <c r="X111">
        <f>IF(COUNTIFS(IlumaData!$V:$V,$R111,IlumaData!$U:$U,5,IlumaData!$N:$N,"&lt;&gt;")=0,"",SUMIFS(IlumaData!$N:$N,IlumaData!$V:$V,$R111,IlumaData!$U:$U,5))</f>
        <v/>
      </c>
      <c r="Y111">
        <f>IF(COUNTIFS(IlumaData!$V:$V,$R111,IlumaData!$U:$U,6,IlumaData!$N:$N,"&lt;&gt;")=0,"",SUMIFS(IlumaData!$N:$N,IlumaData!$V:$V,$R111,IlumaData!$U:$U,6))</f>
        <v/>
      </c>
      <c r="Z111">
        <f>IF(COUNTIFS(IlumaData!$V:$V,$R111,IlumaData!$U:$U,7,IlumaData!$N:$N,"&lt;&gt;")=0,"",SUMIFS(IlumaData!$N:$N,IlumaData!$V:$V,$R111,IlumaData!$U:$U,7))</f>
        <v/>
      </c>
      <c r="AA111">
        <f>IF(COUNTIFS(IlumaData!$V:$V,$R111,IlumaData!$U:$U,8,IlumaData!$N:$N,"&lt;&gt;")=0,"",SUMIFS(IlumaData!$N:$N,IlumaData!$V:$V,$R111,IlumaData!$U:$U,8))</f>
        <v/>
      </c>
      <c r="AB111">
        <f>IF(COUNTIFS(IlumaData!$V:$V,$R111,IlumaData!$U:$U,9,IlumaData!$N:$N,"&lt;&gt;")=0,"",SUMIFS(IlumaData!$N:$N,IlumaData!$V:$V,$R111,IlumaData!$U:$U,9))</f>
        <v/>
      </c>
      <c r="AC111">
        <f>IF(COUNTIFS(IlumaData!$V:$V,$R111,IlumaData!$U:$U,10,IlumaData!$N:$N,"&lt;&gt;")=0,"",SUMIFS(IlumaData!$N:$N,IlumaData!$V:$V,$R111,IlumaData!$U:$U,10))</f>
        <v/>
      </c>
      <c r="AD111">
        <f>IF(COUNTIFS(IlumaData!$V:$V,$R111,IlumaData!$U:$U,11,IlumaData!$N:$N,"&lt;&gt;")=0,"",SUMIFS(IlumaData!$N:$N,IlumaData!$V:$V,$R111,IlumaData!$U:$U,11))</f>
        <v/>
      </c>
      <c r="AE111">
        <f>IF(COUNTIFS(IlumaData!$V:$V,$R111,IlumaData!$U:$U,12,IlumaData!$N:$N,"&lt;&gt;")=0,"",SUMIFS(IlumaData!$N:$N,IlumaData!$V:$V,$R111,IlumaData!$U:$U,12))</f>
        <v/>
      </c>
      <c r="AF111">
        <f>IF(COUNTIFS(IlumaData!$V:$V,$R111,IlumaData!$U:$U,13,IlumaData!$N:$N,"&lt;&gt;")=0,"",SUMIFS(IlumaData!$N:$N,IlumaData!$V:$V,$R111,IlumaData!$U:$U,13))</f>
        <v/>
      </c>
      <c r="AG111">
        <f>IF(COUNTIFS(IlumaData!$V:$V,$R111,IlumaData!$U:$U,14,IlumaData!$N:$N,"&lt;&gt;")=0,"",SUMIFS(IlumaData!$N:$N,IlumaData!$V:$V,$R111,IlumaData!$U:$U,14))</f>
        <v/>
      </c>
      <c r="AH111">
        <f>COUNTIFS(IlumaData!$V:$V,$R111,IlumaData!$U:$U,"&lt;="&amp;14,IlumaData!$N:$N,"&lt;&gt;")</f>
        <v/>
      </c>
      <c r="AI111">
        <f>COUNTIFS(IlumaData!$V:$V,$R111,IlumaData!$U:$U,"&lt;="&amp;14,IlumaData!$N:$N,0)</f>
        <v/>
      </c>
      <c r="AJ111">
        <f>IF(AH111=0,"",AH111-AI111)</f>
        <v/>
      </c>
      <c r="AK111">
        <f>IF(AH111=0,"",SUMIFS(IlumaData!$N:$N,IlumaData!$V:$V,$R111,IlumaData!$U:$U,"&lt;="&amp;14))</f>
        <v/>
      </c>
      <c r="AL111">
        <f>IF(AH111=0,"",IF(ABS(MAX(T111:AG111))&gt;=ABS(MIN(T111:AG111)),MAX(T111:AG111),MIN(T111:AG111)))</f>
        <v/>
      </c>
      <c r="AM111">
        <f>IF(AH111=0,-1,AJ111*100000+MIN(ABS(AK111),99999))</f>
        <v/>
      </c>
      <c r="AN111">
        <f>IF($S111="","",1+COUNTIFS($AM$3:$AM$122,"&gt;"&amp;AM111)+COUNTIFS($AM$3:$AM$122,AM111,$R$3:$R$122,"&lt;"&amp;$R111))</f>
        <v/>
      </c>
    </row>
    <row r="112">
      <c r="R112" t="n">
        <v>110</v>
      </c>
      <c r="S112">
        <f>IFERROR(INDEX(IlumaData!$G:$G,MATCH($R112,IlumaData!$V:$V,0)),"")</f>
        <v/>
      </c>
      <c r="T112">
        <f>IF(COUNTIFS(IlumaData!$V:$V,$R112,IlumaData!$U:$U,1,IlumaData!$N:$N,"&lt;&gt;")=0,"",SUMIFS(IlumaData!$N:$N,IlumaData!$V:$V,$R112,IlumaData!$U:$U,1))</f>
        <v/>
      </c>
      <c r="U112">
        <f>IF(COUNTIFS(IlumaData!$V:$V,$R112,IlumaData!$U:$U,2,IlumaData!$N:$N,"&lt;&gt;")=0,"",SUMIFS(IlumaData!$N:$N,IlumaData!$V:$V,$R112,IlumaData!$U:$U,2))</f>
        <v/>
      </c>
      <c r="V112">
        <f>IF(COUNTIFS(IlumaData!$V:$V,$R112,IlumaData!$U:$U,3,IlumaData!$N:$N,"&lt;&gt;")=0,"",SUMIFS(IlumaData!$N:$N,IlumaData!$V:$V,$R112,IlumaData!$U:$U,3))</f>
        <v/>
      </c>
      <c r="W112">
        <f>IF(COUNTIFS(IlumaData!$V:$V,$R112,IlumaData!$U:$U,4,IlumaData!$N:$N,"&lt;&gt;")=0,"",SUMIFS(IlumaData!$N:$N,IlumaData!$V:$V,$R112,IlumaData!$U:$U,4))</f>
        <v/>
      </c>
      <c r="X112">
        <f>IF(COUNTIFS(IlumaData!$V:$V,$R112,IlumaData!$U:$U,5,IlumaData!$N:$N,"&lt;&gt;")=0,"",SUMIFS(IlumaData!$N:$N,IlumaData!$V:$V,$R112,IlumaData!$U:$U,5))</f>
        <v/>
      </c>
      <c r="Y112">
        <f>IF(COUNTIFS(IlumaData!$V:$V,$R112,IlumaData!$U:$U,6,IlumaData!$N:$N,"&lt;&gt;")=0,"",SUMIFS(IlumaData!$N:$N,IlumaData!$V:$V,$R112,IlumaData!$U:$U,6))</f>
        <v/>
      </c>
      <c r="Z112">
        <f>IF(COUNTIFS(IlumaData!$V:$V,$R112,IlumaData!$U:$U,7,IlumaData!$N:$N,"&lt;&gt;")=0,"",SUMIFS(IlumaData!$N:$N,IlumaData!$V:$V,$R112,IlumaData!$U:$U,7))</f>
        <v/>
      </c>
      <c r="AA112">
        <f>IF(COUNTIFS(IlumaData!$V:$V,$R112,IlumaData!$U:$U,8,IlumaData!$N:$N,"&lt;&gt;")=0,"",SUMIFS(IlumaData!$N:$N,IlumaData!$V:$V,$R112,IlumaData!$U:$U,8))</f>
        <v/>
      </c>
      <c r="AB112">
        <f>IF(COUNTIFS(IlumaData!$V:$V,$R112,IlumaData!$U:$U,9,IlumaData!$N:$N,"&lt;&gt;")=0,"",SUMIFS(IlumaData!$N:$N,IlumaData!$V:$V,$R112,IlumaData!$U:$U,9))</f>
        <v/>
      </c>
      <c r="AC112">
        <f>IF(COUNTIFS(IlumaData!$V:$V,$R112,IlumaData!$U:$U,10,IlumaData!$N:$N,"&lt;&gt;")=0,"",SUMIFS(IlumaData!$N:$N,IlumaData!$V:$V,$R112,IlumaData!$U:$U,10))</f>
        <v/>
      </c>
      <c r="AD112">
        <f>IF(COUNTIFS(IlumaData!$V:$V,$R112,IlumaData!$U:$U,11,IlumaData!$N:$N,"&lt;&gt;")=0,"",SUMIFS(IlumaData!$N:$N,IlumaData!$V:$V,$R112,IlumaData!$U:$U,11))</f>
        <v/>
      </c>
      <c r="AE112">
        <f>IF(COUNTIFS(IlumaData!$V:$V,$R112,IlumaData!$U:$U,12,IlumaData!$N:$N,"&lt;&gt;")=0,"",SUMIFS(IlumaData!$N:$N,IlumaData!$V:$V,$R112,IlumaData!$U:$U,12))</f>
        <v/>
      </c>
      <c r="AF112">
        <f>IF(COUNTIFS(IlumaData!$V:$V,$R112,IlumaData!$U:$U,13,IlumaData!$N:$N,"&lt;&gt;")=0,"",SUMIFS(IlumaData!$N:$N,IlumaData!$V:$V,$R112,IlumaData!$U:$U,13))</f>
        <v/>
      </c>
      <c r="AG112">
        <f>IF(COUNTIFS(IlumaData!$V:$V,$R112,IlumaData!$U:$U,14,IlumaData!$N:$N,"&lt;&gt;")=0,"",SUMIFS(IlumaData!$N:$N,IlumaData!$V:$V,$R112,IlumaData!$U:$U,14))</f>
        <v/>
      </c>
      <c r="AH112">
        <f>COUNTIFS(IlumaData!$V:$V,$R112,IlumaData!$U:$U,"&lt;="&amp;14,IlumaData!$N:$N,"&lt;&gt;")</f>
        <v/>
      </c>
      <c r="AI112">
        <f>COUNTIFS(IlumaData!$V:$V,$R112,IlumaData!$U:$U,"&lt;="&amp;14,IlumaData!$N:$N,0)</f>
        <v/>
      </c>
      <c r="AJ112">
        <f>IF(AH112=0,"",AH112-AI112)</f>
        <v/>
      </c>
      <c r="AK112">
        <f>IF(AH112=0,"",SUMIFS(IlumaData!$N:$N,IlumaData!$V:$V,$R112,IlumaData!$U:$U,"&lt;="&amp;14))</f>
        <v/>
      </c>
      <c r="AL112">
        <f>IF(AH112=0,"",IF(ABS(MAX(T112:AG112))&gt;=ABS(MIN(T112:AG112)),MAX(T112:AG112),MIN(T112:AG112)))</f>
        <v/>
      </c>
      <c r="AM112">
        <f>IF(AH112=0,-1,AJ112*100000+MIN(ABS(AK112),99999))</f>
        <v/>
      </c>
      <c r="AN112">
        <f>IF($S112="","",1+COUNTIFS($AM$3:$AM$122,"&gt;"&amp;AM112)+COUNTIFS($AM$3:$AM$122,AM112,$R$3:$R$122,"&lt;"&amp;$R112))</f>
        <v/>
      </c>
    </row>
    <row r="113">
      <c r="R113" t="n">
        <v>111</v>
      </c>
      <c r="S113">
        <f>IFERROR(INDEX(IlumaData!$G:$G,MATCH($R113,IlumaData!$V:$V,0)),"")</f>
        <v/>
      </c>
      <c r="T113">
        <f>IF(COUNTIFS(IlumaData!$V:$V,$R113,IlumaData!$U:$U,1,IlumaData!$N:$N,"&lt;&gt;")=0,"",SUMIFS(IlumaData!$N:$N,IlumaData!$V:$V,$R113,IlumaData!$U:$U,1))</f>
        <v/>
      </c>
      <c r="U113">
        <f>IF(COUNTIFS(IlumaData!$V:$V,$R113,IlumaData!$U:$U,2,IlumaData!$N:$N,"&lt;&gt;")=0,"",SUMIFS(IlumaData!$N:$N,IlumaData!$V:$V,$R113,IlumaData!$U:$U,2))</f>
        <v/>
      </c>
      <c r="V113">
        <f>IF(COUNTIFS(IlumaData!$V:$V,$R113,IlumaData!$U:$U,3,IlumaData!$N:$N,"&lt;&gt;")=0,"",SUMIFS(IlumaData!$N:$N,IlumaData!$V:$V,$R113,IlumaData!$U:$U,3))</f>
        <v/>
      </c>
      <c r="W113">
        <f>IF(COUNTIFS(IlumaData!$V:$V,$R113,IlumaData!$U:$U,4,IlumaData!$N:$N,"&lt;&gt;")=0,"",SUMIFS(IlumaData!$N:$N,IlumaData!$V:$V,$R113,IlumaData!$U:$U,4))</f>
        <v/>
      </c>
      <c r="X113">
        <f>IF(COUNTIFS(IlumaData!$V:$V,$R113,IlumaData!$U:$U,5,IlumaData!$N:$N,"&lt;&gt;")=0,"",SUMIFS(IlumaData!$N:$N,IlumaData!$V:$V,$R113,IlumaData!$U:$U,5))</f>
        <v/>
      </c>
      <c r="Y113">
        <f>IF(COUNTIFS(IlumaData!$V:$V,$R113,IlumaData!$U:$U,6,IlumaData!$N:$N,"&lt;&gt;")=0,"",SUMIFS(IlumaData!$N:$N,IlumaData!$V:$V,$R113,IlumaData!$U:$U,6))</f>
        <v/>
      </c>
      <c r="Z113">
        <f>IF(COUNTIFS(IlumaData!$V:$V,$R113,IlumaData!$U:$U,7,IlumaData!$N:$N,"&lt;&gt;")=0,"",SUMIFS(IlumaData!$N:$N,IlumaData!$V:$V,$R113,IlumaData!$U:$U,7))</f>
        <v/>
      </c>
      <c r="AA113">
        <f>IF(COUNTIFS(IlumaData!$V:$V,$R113,IlumaData!$U:$U,8,IlumaData!$N:$N,"&lt;&gt;")=0,"",SUMIFS(IlumaData!$N:$N,IlumaData!$V:$V,$R113,IlumaData!$U:$U,8))</f>
        <v/>
      </c>
      <c r="AB113">
        <f>IF(COUNTIFS(IlumaData!$V:$V,$R113,IlumaData!$U:$U,9,IlumaData!$N:$N,"&lt;&gt;")=0,"",SUMIFS(IlumaData!$N:$N,IlumaData!$V:$V,$R113,IlumaData!$U:$U,9))</f>
        <v/>
      </c>
      <c r="AC113">
        <f>IF(COUNTIFS(IlumaData!$V:$V,$R113,IlumaData!$U:$U,10,IlumaData!$N:$N,"&lt;&gt;")=0,"",SUMIFS(IlumaData!$N:$N,IlumaData!$V:$V,$R113,IlumaData!$U:$U,10))</f>
        <v/>
      </c>
      <c r="AD113">
        <f>IF(COUNTIFS(IlumaData!$V:$V,$R113,IlumaData!$U:$U,11,IlumaData!$N:$N,"&lt;&gt;")=0,"",SUMIFS(IlumaData!$N:$N,IlumaData!$V:$V,$R113,IlumaData!$U:$U,11))</f>
        <v/>
      </c>
      <c r="AE113">
        <f>IF(COUNTIFS(IlumaData!$V:$V,$R113,IlumaData!$U:$U,12,IlumaData!$N:$N,"&lt;&gt;")=0,"",SUMIFS(IlumaData!$N:$N,IlumaData!$V:$V,$R113,IlumaData!$U:$U,12))</f>
        <v/>
      </c>
      <c r="AF113">
        <f>IF(COUNTIFS(IlumaData!$V:$V,$R113,IlumaData!$U:$U,13,IlumaData!$N:$N,"&lt;&gt;")=0,"",SUMIFS(IlumaData!$N:$N,IlumaData!$V:$V,$R113,IlumaData!$U:$U,13))</f>
        <v/>
      </c>
      <c r="AG113">
        <f>IF(COUNTIFS(IlumaData!$V:$V,$R113,IlumaData!$U:$U,14,IlumaData!$N:$N,"&lt;&gt;")=0,"",SUMIFS(IlumaData!$N:$N,IlumaData!$V:$V,$R113,IlumaData!$U:$U,14))</f>
        <v/>
      </c>
      <c r="AH113">
        <f>COUNTIFS(IlumaData!$V:$V,$R113,IlumaData!$U:$U,"&lt;="&amp;14,IlumaData!$N:$N,"&lt;&gt;")</f>
        <v/>
      </c>
      <c r="AI113">
        <f>COUNTIFS(IlumaData!$V:$V,$R113,IlumaData!$U:$U,"&lt;="&amp;14,IlumaData!$N:$N,0)</f>
        <v/>
      </c>
      <c r="AJ113">
        <f>IF(AH113=0,"",AH113-AI113)</f>
        <v/>
      </c>
      <c r="AK113">
        <f>IF(AH113=0,"",SUMIFS(IlumaData!$N:$N,IlumaData!$V:$V,$R113,IlumaData!$U:$U,"&lt;="&amp;14))</f>
        <v/>
      </c>
      <c r="AL113">
        <f>IF(AH113=0,"",IF(ABS(MAX(T113:AG113))&gt;=ABS(MIN(T113:AG113)),MAX(T113:AG113),MIN(T113:AG113)))</f>
        <v/>
      </c>
      <c r="AM113">
        <f>IF(AH113=0,-1,AJ113*100000+MIN(ABS(AK113),99999))</f>
        <v/>
      </c>
      <c r="AN113">
        <f>IF($S113="","",1+COUNTIFS($AM$3:$AM$122,"&gt;"&amp;AM113)+COUNTIFS($AM$3:$AM$122,AM113,$R$3:$R$122,"&lt;"&amp;$R113))</f>
        <v/>
      </c>
    </row>
    <row r="114">
      <c r="R114" t="n">
        <v>112</v>
      </c>
      <c r="S114">
        <f>IFERROR(INDEX(IlumaData!$G:$G,MATCH($R114,IlumaData!$V:$V,0)),"")</f>
        <v/>
      </c>
      <c r="T114">
        <f>IF(COUNTIFS(IlumaData!$V:$V,$R114,IlumaData!$U:$U,1,IlumaData!$N:$N,"&lt;&gt;")=0,"",SUMIFS(IlumaData!$N:$N,IlumaData!$V:$V,$R114,IlumaData!$U:$U,1))</f>
        <v/>
      </c>
      <c r="U114">
        <f>IF(COUNTIFS(IlumaData!$V:$V,$R114,IlumaData!$U:$U,2,IlumaData!$N:$N,"&lt;&gt;")=0,"",SUMIFS(IlumaData!$N:$N,IlumaData!$V:$V,$R114,IlumaData!$U:$U,2))</f>
        <v/>
      </c>
      <c r="V114">
        <f>IF(COUNTIFS(IlumaData!$V:$V,$R114,IlumaData!$U:$U,3,IlumaData!$N:$N,"&lt;&gt;")=0,"",SUMIFS(IlumaData!$N:$N,IlumaData!$V:$V,$R114,IlumaData!$U:$U,3))</f>
        <v/>
      </c>
      <c r="W114">
        <f>IF(COUNTIFS(IlumaData!$V:$V,$R114,IlumaData!$U:$U,4,IlumaData!$N:$N,"&lt;&gt;")=0,"",SUMIFS(IlumaData!$N:$N,IlumaData!$V:$V,$R114,IlumaData!$U:$U,4))</f>
        <v/>
      </c>
      <c r="X114">
        <f>IF(COUNTIFS(IlumaData!$V:$V,$R114,IlumaData!$U:$U,5,IlumaData!$N:$N,"&lt;&gt;")=0,"",SUMIFS(IlumaData!$N:$N,IlumaData!$V:$V,$R114,IlumaData!$U:$U,5))</f>
        <v/>
      </c>
      <c r="Y114">
        <f>IF(COUNTIFS(IlumaData!$V:$V,$R114,IlumaData!$U:$U,6,IlumaData!$N:$N,"&lt;&gt;")=0,"",SUMIFS(IlumaData!$N:$N,IlumaData!$V:$V,$R114,IlumaData!$U:$U,6))</f>
        <v/>
      </c>
      <c r="Z114">
        <f>IF(COUNTIFS(IlumaData!$V:$V,$R114,IlumaData!$U:$U,7,IlumaData!$N:$N,"&lt;&gt;")=0,"",SUMIFS(IlumaData!$N:$N,IlumaData!$V:$V,$R114,IlumaData!$U:$U,7))</f>
        <v/>
      </c>
      <c r="AA114">
        <f>IF(COUNTIFS(IlumaData!$V:$V,$R114,IlumaData!$U:$U,8,IlumaData!$N:$N,"&lt;&gt;")=0,"",SUMIFS(IlumaData!$N:$N,IlumaData!$V:$V,$R114,IlumaData!$U:$U,8))</f>
        <v/>
      </c>
      <c r="AB114">
        <f>IF(COUNTIFS(IlumaData!$V:$V,$R114,IlumaData!$U:$U,9,IlumaData!$N:$N,"&lt;&gt;")=0,"",SUMIFS(IlumaData!$N:$N,IlumaData!$V:$V,$R114,IlumaData!$U:$U,9))</f>
        <v/>
      </c>
      <c r="AC114">
        <f>IF(COUNTIFS(IlumaData!$V:$V,$R114,IlumaData!$U:$U,10,IlumaData!$N:$N,"&lt;&gt;")=0,"",SUMIFS(IlumaData!$N:$N,IlumaData!$V:$V,$R114,IlumaData!$U:$U,10))</f>
        <v/>
      </c>
      <c r="AD114">
        <f>IF(COUNTIFS(IlumaData!$V:$V,$R114,IlumaData!$U:$U,11,IlumaData!$N:$N,"&lt;&gt;")=0,"",SUMIFS(IlumaData!$N:$N,IlumaData!$V:$V,$R114,IlumaData!$U:$U,11))</f>
        <v/>
      </c>
      <c r="AE114">
        <f>IF(COUNTIFS(IlumaData!$V:$V,$R114,IlumaData!$U:$U,12,IlumaData!$N:$N,"&lt;&gt;")=0,"",SUMIFS(IlumaData!$N:$N,IlumaData!$V:$V,$R114,IlumaData!$U:$U,12))</f>
        <v/>
      </c>
      <c r="AF114">
        <f>IF(COUNTIFS(IlumaData!$V:$V,$R114,IlumaData!$U:$U,13,IlumaData!$N:$N,"&lt;&gt;")=0,"",SUMIFS(IlumaData!$N:$N,IlumaData!$V:$V,$R114,IlumaData!$U:$U,13))</f>
        <v/>
      </c>
      <c r="AG114">
        <f>IF(COUNTIFS(IlumaData!$V:$V,$R114,IlumaData!$U:$U,14,IlumaData!$N:$N,"&lt;&gt;")=0,"",SUMIFS(IlumaData!$N:$N,IlumaData!$V:$V,$R114,IlumaData!$U:$U,14))</f>
        <v/>
      </c>
      <c r="AH114">
        <f>COUNTIFS(IlumaData!$V:$V,$R114,IlumaData!$U:$U,"&lt;="&amp;14,IlumaData!$N:$N,"&lt;&gt;")</f>
        <v/>
      </c>
      <c r="AI114">
        <f>COUNTIFS(IlumaData!$V:$V,$R114,IlumaData!$U:$U,"&lt;="&amp;14,IlumaData!$N:$N,0)</f>
        <v/>
      </c>
      <c r="AJ114">
        <f>IF(AH114=0,"",AH114-AI114)</f>
        <v/>
      </c>
      <c r="AK114">
        <f>IF(AH114=0,"",SUMIFS(IlumaData!$N:$N,IlumaData!$V:$V,$R114,IlumaData!$U:$U,"&lt;="&amp;14))</f>
        <v/>
      </c>
      <c r="AL114">
        <f>IF(AH114=0,"",IF(ABS(MAX(T114:AG114))&gt;=ABS(MIN(T114:AG114)),MAX(T114:AG114),MIN(T114:AG114)))</f>
        <v/>
      </c>
      <c r="AM114">
        <f>IF(AH114=0,-1,AJ114*100000+MIN(ABS(AK114),99999))</f>
        <v/>
      </c>
      <c r="AN114">
        <f>IF($S114="","",1+COUNTIFS($AM$3:$AM$122,"&gt;"&amp;AM114)+COUNTIFS($AM$3:$AM$122,AM114,$R$3:$R$122,"&lt;"&amp;$R114))</f>
        <v/>
      </c>
    </row>
    <row r="115">
      <c r="R115" t="n">
        <v>113</v>
      </c>
      <c r="S115">
        <f>IFERROR(INDEX(IlumaData!$G:$G,MATCH($R115,IlumaData!$V:$V,0)),"")</f>
        <v/>
      </c>
      <c r="T115">
        <f>IF(COUNTIFS(IlumaData!$V:$V,$R115,IlumaData!$U:$U,1,IlumaData!$N:$N,"&lt;&gt;")=0,"",SUMIFS(IlumaData!$N:$N,IlumaData!$V:$V,$R115,IlumaData!$U:$U,1))</f>
        <v/>
      </c>
      <c r="U115">
        <f>IF(COUNTIFS(IlumaData!$V:$V,$R115,IlumaData!$U:$U,2,IlumaData!$N:$N,"&lt;&gt;")=0,"",SUMIFS(IlumaData!$N:$N,IlumaData!$V:$V,$R115,IlumaData!$U:$U,2))</f>
        <v/>
      </c>
      <c r="V115">
        <f>IF(COUNTIFS(IlumaData!$V:$V,$R115,IlumaData!$U:$U,3,IlumaData!$N:$N,"&lt;&gt;")=0,"",SUMIFS(IlumaData!$N:$N,IlumaData!$V:$V,$R115,IlumaData!$U:$U,3))</f>
        <v/>
      </c>
      <c r="W115">
        <f>IF(COUNTIFS(IlumaData!$V:$V,$R115,IlumaData!$U:$U,4,IlumaData!$N:$N,"&lt;&gt;")=0,"",SUMIFS(IlumaData!$N:$N,IlumaData!$V:$V,$R115,IlumaData!$U:$U,4))</f>
        <v/>
      </c>
      <c r="X115">
        <f>IF(COUNTIFS(IlumaData!$V:$V,$R115,IlumaData!$U:$U,5,IlumaData!$N:$N,"&lt;&gt;")=0,"",SUMIFS(IlumaData!$N:$N,IlumaData!$V:$V,$R115,IlumaData!$U:$U,5))</f>
        <v/>
      </c>
      <c r="Y115">
        <f>IF(COUNTIFS(IlumaData!$V:$V,$R115,IlumaData!$U:$U,6,IlumaData!$N:$N,"&lt;&gt;")=0,"",SUMIFS(IlumaData!$N:$N,IlumaData!$V:$V,$R115,IlumaData!$U:$U,6))</f>
        <v/>
      </c>
      <c r="Z115">
        <f>IF(COUNTIFS(IlumaData!$V:$V,$R115,IlumaData!$U:$U,7,IlumaData!$N:$N,"&lt;&gt;")=0,"",SUMIFS(IlumaData!$N:$N,IlumaData!$V:$V,$R115,IlumaData!$U:$U,7))</f>
        <v/>
      </c>
      <c r="AA115">
        <f>IF(COUNTIFS(IlumaData!$V:$V,$R115,IlumaData!$U:$U,8,IlumaData!$N:$N,"&lt;&gt;")=0,"",SUMIFS(IlumaData!$N:$N,IlumaData!$V:$V,$R115,IlumaData!$U:$U,8))</f>
        <v/>
      </c>
      <c r="AB115">
        <f>IF(COUNTIFS(IlumaData!$V:$V,$R115,IlumaData!$U:$U,9,IlumaData!$N:$N,"&lt;&gt;")=0,"",SUMIFS(IlumaData!$N:$N,IlumaData!$V:$V,$R115,IlumaData!$U:$U,9))</f>
        <v/>
      </c>
      <c r="AC115">
        <f>IF(COUNTIFS(IlumaData!$V:$V,$R115,IlumaData!$U:$U,10,IlumaData!$N:$N,"&lt;&gt;")=0,"",SUMIFS(IlumaData!$N:$N,IlumaData!$V:$V,$R115,IlumaData!$U:$U,10))</f>
        <v/>
      </c>
      <c r="AD115">
        <f>IF(COUNTIFS(IlumaData!$V:$V,$R115,IlumaData!$U:$U,11,IlumaData!$N:$N,"&lt;&gt;")=0,"",SUMIFS(IlumaData!$N:$N,IlumaData!$V:$V,$R115,IlumaData!$U:$U,11))</f>
        <v/>
      </c>
      <c r="AE115">
        <f>IF(COUNTIFS(IlumaData!$V:$V,$R115,IlumaData!$U:$U,12,IlumaData!$N:$N,"&lt;&gt;")=0,"",SUMIFS(IlumaData!$N:$N,IlumaData!$V:$V,$R115,IlumaData!$U:$U,12))</f>
        <v/>
      </c>
      <c r="AF115">
        <f>IF(COUNTIFS(IlumaData!$V:$V,$R115,IlumaData!$U:$U,13,IlumaData!$N:$N,"&lt;&gt;")=0,"",SUMIFS(IlumaData!$N:$N,IlumaData!$V:$V,$R115,IlumaData!$U:$U,13))</f>
        <v/>
      </c>
      <c r="AG115">
        <f>IF(COUNTIFS(IlumaData!$V:$V,$R115,IlumaData!$U:$U,14,IlumaData!$N:$N,"&lt;&gt;")=0,"",SUMIFS(IlumaData!$N:$N,IlumaData!$V:$V,$R115,IlumaData!$U:$U,14))</f>
        <v/>
      </c>
      <c r="AH115">
        <f>COUNTIFS(IlumaData!$V:$V,$R115,IlumaData!$U:$U,"&lt;="&amp;14,IlumaData!$N:$N,"&lt;&gt;")</f>
        <v/>
      </c>
      <c r="AI115">
        <f>COUNTIFS(IlumaData!$V:$V,$R115,IlumaData!$U:$U,"&lt;="&amp;14,IlumaData!$N:$N,0)</f>
        <v/>
      </c>
      <c r="AJ115">
        <f>IF(AH115=0,"",AH115-AI115)</f>
        <v/>
      </c>
      <c r="AK115">
        <f>IF(AH115=0,"",SUMIFS(IlumaData!$N:$N,IlumaData!$V:$V,$R115,IlumaData!$U:$U,"&lt;="&amp;14))</f>
        <v/>
      </c>
      <c r="AL115">
        <f>IF(AH115=0,"",IF(ABS(MAX(T115:AG115))&gt;=ABS(MIN(T115:AG115)),MAX(T115:AG115),MIN(T115:AG115)))</f>
        <v/>
      </c>
      <c r="AM115">
        <f>IF(AH115=0,-1,AJ115*100000+MIN(ABS(AK115),99999))</f>
        <v/>
      </c>
      <c r="AN115">
        <f>IF($S115="","",1+COUNTIFS($AM$3:$AM$122,"&gt;"&amp;AM115)+COUNTIFS($AM$3:$AM$122,AM115,$R$3:$R$122,"&lt;"&amp;$R115))</f>
        <v/>
      </c>
    </row>
    <row r="116">
      <c r="R116" t="n">
        <v>114</v>
      </c>
      <c r="S116">
        <f>IFERROR(INDEX(IlumaData!$G:$G,MATCH($R116,IlumaData!$V:$V,0)),"")</f>
        <v/>
      </c>
      <c r="T116">
        <f>IF(COUNTIFS(IlumaData!$V:$V,$R116,IlumaData!$U:$U,1,IlumaData!$N:$N,"&lt;&gt;")=0,"",SUMIFS(IlumaData!$N:$N,IlumaData!$V:$V,$R116,IlumaData!$U:$U,1))</f>
        <v/>
      </c>
      <c r="U116">
        <f>IF(COUNTIFS(IlumaData!$V:$V,$R116,IlumaData!$U:$U,2,IlumaData!$N:$N,"&lt;&gt;")=0,"",SUMIFS(IlumaData!$N:$N,IlumaData!$V:$V,$R116,IlumaData!$U:$U,2))</f>
        <v/>
      </c>
      <c r="V116">
        <f>IF(COUNTIFS(IlumaData!$V:$V,$R116,IlumaData!$U:$U,3,IlumaData!$N:$N,"&lt;&gt;")=0,"",SUMIFS(IlumaData!$N:$N,IlumaData!$V:$V,$R116,IlumaData!$U:$U,3))</f>
        <v/>
      </c>
      <c r="W116">
        <f>IF(COUNTIFS(IlumaData!$V:$V,$R116,IlumaData!$U:$U,4,IlumaData!$N:$N,"&lt;&gt;")=0,"",SUMIFS(IlumaData!$N:$N,IlumaData!$V:$V,$R116,IlumaData!$U:$U,4))</f>
        <v/>
      </c>
      <c r="X116">
        <f>IF(COUNTIFS(IlumaData!$V:$V,$R116,IlumaData!$U:$U,5,IlumaData!$N:$N,"&lt;&gt;")=0,"",SUMIFS(IlumaData!$N:$N,IlumaData!$V:$V,$R116,IlumaData!$U:$U,5))</f>
        <v/>
      </c>
      <c r="Y116">
        <f>IF(COUNTIFS(IlumaData!$V:$V,$R116,IlumaData!$U:$U,6,IlumaData!$N:$N,"&lt;&gt;")=0,"",SUMIFS(IlumaData!$N:$N,IlumaData!$V:$V,$R116,IlumaData!$U:$U,6))</f>
        <v/>
      </c>
      <c r="Z116">
        <f>IF(COUNTIFS(IlumaData!$V:$V,$R116,IlumaData!$U:$U,7,IlumaData!$N:$N,"&lt;&gt;")=0,"",SUMIFS(IlumaData!$N:$N,IlumaData!$V:$V,$R116,IlumaData!$U:$U,7))</f>
        <v/>
      </c>
      <c r="AA116">
        <f>IF(COUNTIFS(IlumaData!$V:$V,$R116,IlumaData!$U:$U,8,IlumaData!$N:$N,"&lt;&gt;")=0,"",SUMIFS(IlumaData!$N:$N,IlumaData!$V:$V,$R116,IlumaData!$U:$U,8))</f>
        <v/>
      </c>
      <c r="AB116">
        <f>IF(COUNTIFS(IlumaData!$V:$V,$R116,IlumaData!$U:$U,9,IlumaData!$N:$N,"&lt;&gt;")=0,"",SUMIFS(IlumaData!$N:$N,IlumaData!$V:$V,$R116,IlumaData!$U:$U,9))</f>
        <v/>
      </c>
      <c r="AC116">
        <f>IF(COUNTIFS(IlumaData!$V:$V,$R116,IlumaData!$U:$U,10,IlumaData!$N:$N,"&lt;&gt;")=0,"",SUMIFS(IlumaData!$N:$N,IlumaData!$V:$V,$R116,IlumaData!$U:$U,10))</f>
        <v/>
      </c>
      <c r="AD116">
        <f>IF(COUNTIFS(IlumaData!$V:$V,$R116,IlumaData!$U:$U,11,IlumaData!$N:$N,"&lt;&gt;")=0,"",SUMIFS(IlumaData!$N:$N,IlumaData!$V:$V,$R116,IlumaData!$U:$U,11))</f>
        <v/>
      </c>
      <c r="AE116">
        <f>IF(COUNTIFS(IlumaData!$V:$V,$R116,IlumaData!$U:$U,12,IlumaData!$N:$N,"&lt;&gt;")=0,"",SUMIFS(IlumaData!$N:$N,IlumaData!$V:$V,$R116,IlumaData!$U:$U,12))</f>
        <v/>
      </c>
      <c r="AF116">
        <f>IF(COUNTIFS(IlumaData!$V:$V,$R116,IlumaData!$U:$U,13,IlumaData!$N:$N,"&lt;&gt;")=0,"",SUMIFS(IlumaData!$N:$N,IlumaData!$V:$V,$R116,IlumaData!$U:$U,13))</f>
        <v/>
      </c>
      <c r="AG116">
        <f>IF(COUNTIFS(IlumaData!$V:$V,$R116,IlumaData!$U:$U,14,IlumaData!$N:$N,"&lt;&gt;")=0,"",SUMIFS(IlumaData!$N:$N,IlumaData!$V:$V,$R116,IlumaData!$U:$U,14))</f>
        <v/>
      </c>
      <c r="AH116">
        <f>COUNTIFS(IlumaData!$V:$V,$R116,IlumaData!$U:$U,"&lt;="&amp;14,IlumaData!$N:$N,"&lt;&gt;")</f>
        <v/>
      </c>
      <c r="AI116">
        <f>COUNTIFS(IlumaData!$V:$V,$R116,IlumaData!$U:$U,"&lt;="&amp;14,IlumaData!$N:$N,0)</f>
        <v/>
      </c>
      <c r="AJ116">
        <f>IF(AH116=0,"",AH116-AI116)</f>
        <v/>
      </c>
      <c r="AK116">
        <f>IF(AH116=0,"",SUMIFS(IlumaData!$N:$N,IlumaData!$V:$V,$R116,IlumaData!$U:$U,"&lt;="&amp;14))</f>
        <v/>
      </c>
      <c r="AL116">
        <f>IF(AH116=0,"",IF(ABS(MAX(T116:AG116))&gt;=ABS(MIN(T116:AG116)),MAX(T116:AG116),MIN(T116:AG116)))</f>
        <v/>
      </c>
      <c r="AM116">
        <f>IF(AH116=0,-1,AJ116*100000+MIN(ABS(AK116),99999))</f>
        <v/>
      </c>
      <c r="AN116">
        <f>IF($S116="","",1+COUNTIFS($AM$3:$AM$122,"&gt;"&amp;AM116)+COUNTIFS($AM$3:$AM$122,AM116,$R$3:$R$122,"&lt;"&amp;$R116))</f>
        <v/>
      </c>
    </row>
    <row r="117">
      <c r="R117" t="n">
        <v>115</v>
      </c>
      <c r="S117">
        <f>IFERROR(INDEX(IlumaData!$G:$G,MATCH($R117,IlumaData!$V:$V,0)),"")</f>
        <v/>
      </c>
      <c r="T117">
        <f>IF(COUNTIFS(IlumaData!$V:$V,$R117,IlumaData!$U:$U,1,IlumaData!$N:$N,"&lt;&gt;")=0,"",SUMIFS(IlumaData!$N:$N,IlumaData!$V:$V,$R117,IlumaData!$U:$U,1))</f>
        <v/>
      </c>
      <c r="U117">
        <f>IF(COUNTIFS(IlumaData!$V:$V,$R117,IlumaData!$U:$U,2,IlumaData!$N:$N,"&lt;&gt;")=0,"",SUMIFS(IlumaData!$N:$N,IlumaData!$V:$V,$R117,IlumaData!$U:$U,2))</f>
        <v/>
      </c>
      <c r="V117">
        <f>IF(COUNTIFS(IlumaData!$V:$V,$R117,IlumaData!$U:$U,3,IlumaData!$N:$N,"&lt;&gt;")=0,"",SUMIFS(IlumaData!$N:$N,IlumaData!$V:$V,$R117,IlumaData!$U:$U,3))</f>
        <v/>
      </c>
      <c r="W117">
        <f>IF(COUNTIFS(IlumaData!$V:$V,$R117,IlumaData!$U:$U,4,IlumaData!$N:$N,"&lt;&gt;")=0,"",SUMIFS(IlumaData!$N:$N,IlumaData!$V:$V,$R117,IlumaData!$U:$U,4))</f>
        <v/>
      </c>
      <c r="X117">
        <f>IF(COUNTIFS(IlumaData!$V:$V,$R117,IlumaData!$U:$U,5,IlumaData!$N:$N,"&lt;&gt;")=0,"",SUMIFS(IlumaData!$N:$N,IlumaData!$V:$V,$R117,IlumaData!$U:$U,5))</f>
        <v/>
      </c>
      <c r="Y117">
        <f>IF(COUNTIFS(IlumaData!$V:$V,$R117,IlumaData!$U:$U,6,IlumaData!$N:$N,"&lt;&gt;")=0,"",SUMIFS(IlumaData!$N:$N,IlumaData!$V:$V,$R117,IlumaData!$U:$U,6))</f>
        <v/>
      </c>
      <c r="Z117">
        <f>IF(COUNTIFS(IlumaData!$V:$V,$R117,IlumaData!$U:$U,7,IlumaData!$N:$N,"&lt;&gt;")=0,"",SUMIFS(IlumaData!$N:$N,IlumaData!$V:$V,$R117,IlumaData!$U:$U,7))</f>
        <v/>
      </c>
      <c r="AA117">
        <f>IF(COUNTIFS(IlumaData!$V:$V,$R117,IlumaData!$U:$U,8,IlumaData!$N:$N,"&lt;&gt;")=0,"",SUMIFS(IlumaData!$N:$N,IlumaData!$V:$V,$R117,IlumaData!$U:$U,8))</f>
        <v/>
      </c>
      <c r="AB117">
        <f>IF(COUNTIFS(IlumaData!$V:$V,$R117,IlumaData!$U:$U,9,IlumaData!$N:$N,"&lt;&gt;")=0,"",SUMIFS(IlumaData!$N:$N,IlumaData!$V:$V,$R117,IlumaData!$U:$U,9))</f>
        <v/>
      </c>
      <c r="AC117">
        <f>IF(COUNTIFS(IlumaData!$V:$V,$R117,IlumaData!$U:$U,10,IlumaData!$N:$N,"&lt;&gt;")=0,"",SUMIFS(IlumaData!$N:$N,IlumaData!$V:$V,$R117,IlumaData!$U:$U,10))</f>
        <v/>
      </c>
      <c r="AD117">
        <f>IF(COUNTIFS(IlumaData!$V:$V,$R117,IlumaData!$U:$U,11,IlumaData!$N:$N,"&lt;&gt;")=0,"",SUMIFS(IlumaData!$N:$N,IlumaData!$V:$V,$R117,IlumaData!$U:$U,11))</f>
        <v/>
      </c>
      <c r="AE117">
        <f>IF(COUNTIFS(IlumaData!$V:$V,$R117,IlumaData!$U:$U,12,IlumaData!$N:$N,"&lt;&gt;")=0,"",SUMIFS(IlumaData!$N:$N,IlumaData!$V:$V,$R117,IlumaData!$U:$U,12))</f>
        <v/>
      </c>
      <c r="AF117">
        <f>IF(COUNTIFS(IlumaData!$V:$V,$R117,IlumaData!$U:$U,13,IlumaData!$N:$N,"&lt;&gt;")=0,"",SUMIFS(IlumaData!$N:$N,IlumaData!$V:$V,$R117,IlumaData!$U:$U,13))</f>
        <v/>
      </c>
      <c r="AG117">
        <f>IF(COUNTIFS(IlumaData!$V:$V,$R117,IlumaData!$U:$U,14,IlumaData!$N:$N,"&lt;&gt;")=0,"",SUMIFS(IlumaData!$N:$N,IlumaData!$V:$V,$R117,IlumaData!$U:$U,14))</f>
        <v/>
      </c>
      <c r="AH117">
        <f>COUNTIFS(IlumaData!$V:$V,$R117,IlumaData!$U:$U,"&lt;="&amp;14,IlumaData!$N:$N,"&lt;&gt;")</f>
        <v/>
      </c>
      <c r="AI117">
        <f>COUNTIFS(IlumaData!$V:$V,$R117,IlumaData!$U:$U,"&lt;="&amp;14,IlumaData!$N:$N,0)</f>
        <v/>
      </c>
      <c r="AJ117">
        <f>IF(AH117=0,"",AH117-AI117)</f>
        <v/>
      </c>
      <c r="AK117">
        <f>IF(AH117=0,"",SUMIFS(IlumaData!$N:$N,IlumaData!$V:$V,$R117,IlumaData!$U:$U,"&lt;="&amp;14))</f>
        <v/>
      </c>
      <c r="AL117">
        <f>IF(AH117=0,"",IF(ABS(MAX(T117:AG117))&gt;=ABS(MIN(T117:AG117)),MAX(T117:AG117),MIN(T117:AG117)))</f>
        <v/>
      </c>
      <c r="AM117">
        <f>IF(AH117=0,-1,AJ117*100000+MIN(ABS(AK117),99999))</f>
        <v/>
      </c>
      <c r="AN117">
        <f>IF($S117="","",1+COUNTIFS($AM$3:$AM$122,"&gt;"&amp;AM117)+COUNTIFS($AM$3:$AM$122,AM117,$R$3:$R$122,"&lt;"&amp;$R117))</f>
        <v/>
      </c>
    </row>
    <row r="118">
      <c r="R118" t="n">
        <v>116</v>
      </c>
      <c r="S118">
        <f>IFERROR(INDEX(IlumaData!$G:$G,MATCH($R118,IlumaData!$V:$V,0)),"")</f>
        <v/>
      </c>
      <c r="T118">
        <f>IF(COUNTIFS(IlumaData!$V:$V,$R118,IlumaData!$U:$U,1,IlumaData!$N:$N,"&lt;&gt;")=0,"",SUMIFS(IlumaData!$N:$N,IlumaData!$V:$V,$R118,IlumaData!$U:$U,1))</f>
        <v/>
      </c>
      <c r="U118">
        <f>IF(COUNTIFS(IlumaData!$V:$V,$R118,IlumaData!$U:$U,2,IlumaData!$N:$N,"&lt;&gt;")=0,"",SUMIFS(IlumaData!$N:$N,IlumaData!$V:$V,$R118,IlumaData!$U:$U,2))</f>
        <v/>
      </c>
      <c r="V118">
        <f>IF(COUNTIFS(IlumaData!$V:$V,$R118,IlumaData!$U:$U,3,IlumaData!$N:$N,"&lt;&gt;")=0,"",SUMIFS(IlumaData!$N:$N,IlumaData!$V:$V,$R118,IlumaData!$U:$U,3))</f>
        <v/>
      </c>
      <c r="W118">
        <f>IF(COUNTIFS(IlumaData!$V:$V,$R118,IlumaData!$U:$U,4,IlumaData!$N:$N,"&lt;&gt;")=0,"",SUMIFS(IlumaData!$N:$N,IlumaData!$V:$V,$R118,IlumaData!$U:$U,4))</f>
        <v/>
      </c>
      <c r="X118">
        <f>IF(COUNTIFS(IlumaData!$V:$V,$R118,IlumaData!$U:$U,5,IlumaData!$N:$N,"&lt;&gt;")=0,"",SUMIFS(IlumaData!$N:$N,IlumaData!$V:$V,$R118,IlumaData!$U:$U,5))</f>
        <v/>
      </c>
      <c r="Y118">
        <f>IF(COUNTIFS(IlumaData!$V:$V,$R118,IlumaData!$U:$U,6,IlumaData!$N:$N,"&lt;&gt;")=0,"",SUMIFS(IlumaData!$N:$N,IlumaData!$V:$V,$R118,IlumaData!$U:$U,6))</f>
        <v/>
      </c>
      <c r="Z118">
        <f>IF(COUNTIFS(IlumaData!$V:$V,$R118,IlumaData!$U:$U,7,IlumaData!$N:$N,"&lt;&gt;")=0,"",SUMIFS(IlumaData!$N:$N,IlumaData!$V:$V,$R118,IlumaData!$U:$U,7))</f>
        <v/>
      </c>
      <c r="AA118">
        <f>IF(COUNTIFS(IlumaData!$V:$V,$R118,IlumaData!$U:$U,8,IlumaData!$N:$N,"&lt;&gt;")=0,"",SUMIFS(IlumaData!$N:$N,IlumaData!$V:$V,$R118,IlumaData!$U:$U,8))</f>
        <v/>
      </c>
      <c r="AB118">
        <f>IF(COUNTIFS(IlumaData!$V:$V,$R118,IlumaData!$U:$U,9,IlumaData!$N:$N,"&lt;&gt;")=0,"",SUMIFS(IlumaData!$N:$N,IlumaData!$V:$V,$R118,IlumaData!$U:$U,9))</f>
        <v/>
      </c>
      <c r="AC118">
        <f>IF(COUNTIFS(IlumaData!$V:$V,$R118,IlumaData!$U:$U,10,IlumaData!$N:$N,"&lt;&gt;")=0,"",SUMIFS(IlumaData!$N:$N,IlumaData!$V:$V,$R118,IlumaData!$U:$U,10))</f>
        <v/>
      </c>
      <c r="AD118">
        <f>IF(COUNTIFS(IlumaData!$V:$V,$R118,IlumaData!$U:$U,11,IlumaData!$N:$N,"&lt;&gt;")=0,"",SUMIFS(IlumaData!$N:$N,IlumaData!$V:$V,$R118,IlumaData!$U:$U,11))</f>
        <v/>
      </c>
      <c r="AE118">
        <f>IF(COUNTIFS(IlumaData!$V:$V,$R118,IlumaData!$U:$U,12,IlumaData!$N:$N,"&lt;&gt;")=0,"",SUMIFS(IlumaData!$N:$N,IlumaData!$V:$V,$R118,IlumaData!$U:$U,12))</f>
        <v/>
      </c>
      <c r="AF118">
        <f>IF(COUNTIFS(IlumaData!$V:$V,$R118,IlumaData!$U:$U,13,IlumaData!$N:$N,"&lt;&gt;")=0,"",SUMIFS(IlumaData!$N:$N,IlumaData!$V:$V,$R118,IlumaData!$U:$U,13))</f>
        <v/>
      </c>
      <c r="AG118">
        <f>IF(COUNTIFS(IlumaData!$V:$V,$R118,IlumaData!$U:$U,14,IlumaData!$N:$N,"&lt;&gt;")=0,"",SUMIFS(IlumaData!$N:$N,IlumaData!$V:$V,$R118,IlumaData!$U:$U,14))</f>
        <v/>
      </c>
      <c r="AH118">
        <f>COUNTIFS(IlumaData!$V:$V,$R118,IlumaData!$U:$U,"&lt;="&amp;14,IlumaData!$N:$N,"&lt;&gt;")</f>
        <v/>
      </c>
      <c r="AI118">
        <f>COUNTIFS(IlumaData!$V:$V,$R118,IlumaData!$U:$U,"&lt;="&amp;14,IlumaData!$N:$N,0)</f>
        <v/>
      </c>
      <c r="AJ118">
        <f>IF(AH118=0,"",AH118-AI118)</f>
        <v/>
      </c>
      <c r="AK118">
        <f>IF(AH118=0,"",SUMIFS(IlumaData!$N:$N,IlumaData!$V:$V,$R118,IlumaData!$U:$U,"&lt;="&amp;14))</f>
        <v/>
      </c>
      <c r="AL118">
        <f>IF(AH118=0,"",IF(ABS(MAX(T118:AG118))&gt;=ABS(MIN(T118:AG118)),MAX(T118:AG118),MIN(T118:AG118)))</f>
        <v/>
      </c>
      <c r="AM118">
        <f>IF(AH118=0,-1,AJ118*100000+MIN(ABS(AK118),99999))</f>
        <v/>
      </c>
      <c r="AN118">
        <f>IF($S118="","",1+COUNTIFS($AM$3:$AM$122,"&gt;"&amp;AM118)+COUNTIFS($AM$3:$AM$122,AM118,$R$3:$R$122,"&lt;"&amp;$R118))</f>
        <v/>
      </c>
    </row>
    <row r="119">
      <c r="R119" t="n">
        <v>117</v>
      </c>
      <c r="S119">
        <f>IFERROR(INDEX(IlumaData!$G:$G,MATCH($R119,IlumaData!$V:$V,0)),"")</f>
        <v/>
      </c>
      <c r="T119">
        <f>IF(COUNTIFS(IlumaData!$V:$V,$R119,IlumaData!$U:$U,1,IlumaData!$N:$N,"&lt;&gt;")=0,"",SUMIFS(IlumaData!$N:$N,IlumaData!$V:$V,$R119,IlumaData!$U:$U,1))</f>
        <v/>
      </c>
      <c r="U119">
        <f>IF(COUNTIFS(IlumaData!$V:$V,$R119,IlumaData!$U:$U,2,IlumaData!$N:$N,"&lt;&gt;")=0,"",SUMIFS(IlumaData!$N:$N,IlumaData!$V:$V,$R119,IlumaData!$U:$U,2))</f>
        <v/>
      </c>
      <c r="V119">
        <f>IF(COUNTIFS(IlumaData!$V:$V,$R119,IlumaData!$U:$U,3,IlumaData!$N:$N,"&lt;&gt;")=0,"",SUMIFS(IlumaData!$N:$N,IlumaData!$V:$V,$R119,IlumaData!$U:$U,3))</f>
        <v/>
      </c>
      <c r="W119">
        <f>IF(COUNTIFS(IlumaData!$V:$V,$R119,IlumaData!$U:$U,4,IlumaData!$N:$N,"&lt;&gt;")=0,"",SUMIFS(IlumaData!$N:$N,IlumaData!$V:$V,$R119,IlumaData!$U:$U,4))</f>
        <v/>
      </c>
      <c r="X119">
        <f>IF(COUNTIFS(IlumaData!$V:$V,$R119,IlumaData!$U:$U,5,IlumaData!$N:$N,"&lt;&gt;")=0,"",SUMIFS(IlumaData!$N:$N,IlumaData!$V:$V,$R119,IlumaData!$U:$U,5))</f>
        <v/>
      </c>
      <c r="Y119">
        <f>IF(COUNTIFS(IlumaData!$V:$V,$R119,IlumaData!$U:$U,6,IlumaData!$N:$N,"&lt;&gt;")=0,"",SUMIFS(IlumaData!$N:$N,IlumaData!$V:$V,$R119,IlumaData!$U:$U,6))</f>
        <v/>
      </c>
      <c r="Z119">
        <f>IF(COUNTIFS(IlumaData!$V:$V,$R119,IlumaData!$U:$U,7,IlumaData!$N:$N,"&lt;&gt;")=0,"",SUMIFS(IlumaData!$N:$N,IlumaData!$V:$V,$R119,IlumaData!$U:$U,7))</f>
        <v/>
      </c>
      <c r="AA119">
        <f>IF(COUNTIFS(IlumaData!$V:$V,$R119,IlumaData!$U:$U,8,IlumaData!$N:$N,"&lt;&gt;")=0,"",SUMIFS(IlumaData!$N:$N,IlumaData!$V:$V,$R119,IlumaData!$U:$U,8))</f>
        <v/>
      </c>
      <c r="AB119">
        <f>IF(COUNTIFS(IlumaData!$V:$V,$R119,IlumaData!$U:$U,9,IlumaData!$N:$N,"&lt;&gt;")=0,"",SUMIFS(IlumaData!$N:$N,IlumaData!$V:$V,$R119,IlumaData!$U:$U,9))</f>
        <v/>
      </c>
      <c r="AC119">
        <f>IF(COUNTIFS(IlumaData!$V:$V,$R119,IlumaData!$U:$U,10,IlumaData!$N:$N,"&lt;&gt;")=0,"",SUMIFS(IlumaData!$N:$N,IlumaData!$V:$V,$R119,IlumaData!$U:$U,10))</f>
        <v/>
      </c>
      <c r="AD119">
        <f>IF(COUNTIFS(IlumaData!$V:$V,$R119,IlumaData!$U:$U,11,IlumaData!$N:$N,"&lt;&gt;")=0,"",SUMIFS(IlumaData!$N:$N,IlumaData!$V:$V,$R119,IlumaData!$U:$U,11))</f>
        <v/>
      </c>
      <c r="AE119">
        <f>IF(COUNTIFS(IlumaData!$V:$V,$R119,IlumaData!$U:$U,12,IlumaData!$N:$N,"&lt;&gt;")=0,"",SUMIFS(IlumaData!$N:$N,IlumaData!$V:$V,$R119,IlumaData!$U:$U,12))</f>
        <v/>
      </c>
      <c r="AF119">
        <f>IF(COUNTIFS(IlumaData!$V:$V,$R119,IlumaData!$U:$U,13,IlumaData!$N:$N,"&lt;&gt;")=0,"",SUMIFS(IlumaData!$N:$N,IlumaData!$V:$V,$R119,IlumaData!$U:$U,13))</f>
        <v/>
      </c>
      <c r="AG119">
        <f>IF(COUNTIFS(IlumaData!$V:$V,$R119,IlumaData!$U:$U,14,IlumaData!$N:$N,"&lt;&gt;")=0,"",SUMIFS(IlumaData!$N:$N,IlumaData!$V:$V,$R119,IlumaData!$U:$U,14))</f>
        <v/>
      </c>
      <c r="AH119">
        <f>COUNTIFS(IlumaData!$V:$V,$R119,IlumaData!$U:$U,"&lt;="&amp;14,IlumaData!$N:$N,"&lt;&gt;")</f>
        <v/>
      </c>
      <c r="AI119">
        <f>COUNTIFS(IlumaData!$V:$V,$R119,IlumaData!$U:$U,"&lt;="&amp;14,IlumaData!$N:$N,0)</f>
        <v/>
      </c>
      <c r="AJ119">
        <f>IF(AH119=0,"",AH119-AI119)</f>
        <v/>
      </c>
      <c r="AK119">
        <f>IF(AH119=0,"",SUMIFS(IlumaData!$N:$N,IlumaData!$V:$V,$R119,IlumaData!$U:$U,"&lt;="&amp;14))</f>
        <v/>
      </c>
      <c r="AL119">
        <f>IF(AH119=0,"",IF(ABS(MAX(T119:AG119))&gt;=ABS(MIN(T119:AG119)),MAX(T119:AG119),MIN(T119:AG119)))</f>
        <v/>
      </c>
      <c r="AM119">
        <f>IF(AH119=0,-1,AJ119*100000+MIN(ABS(AK119),99999))</f>
        <v/>
      </c>
      <c r="AN119">
        <f>IF($S119="","",1+COUNTIFS($AM$3:$AM$122,"&gt;"&amp;AM119)+COUNTIFS($AM$3:$AM$122,AM119,$R$3:$R$122,"&lt;"&amp;$R119))</f>
        <v/>
      </c>
    </row>
    <row r="120">
      <c r="R120" t="n">
        <v>118</v>
      </c>
      <c r="S120">
        <f>IFERROR(INDEX(IlumaData!$G:$G,MATCH($R120,IlumaData!$V:$V,0)),"")</f>
        <v/>
      </c>
      <c r="T120">
        <f>IF(COUNTIFS(IlumaData!$V:$V,$R120,IlumaData!$U:$U,1,IlumaData!$N:$N,"&lt;&gt;")=0,"",SUMIFS(IlumaData!$N:$N,IlumaData!$V:$V,$R120,IlumaData!$U:$U,1))</f>
        <v/>
      </c>
      <c r="U120">
        <f>IF(COUNTIFS(IlumaData!$V:$V,$R120,IlumaData!$U:$U,2,IlumaData!$N:$N,"&lt;&gt;")=0,"",SUMIFS(IlumaData!$N:$N,IlumaData!$V:$V,$R120,IlumaData!$U:$U,2))</f>
        <v/>
      </c>
      <c r="V120">
        <f>IF(COUNTIFS(IlumaData!$V:$V,$R120,IlumaData!$U:$U,3,IlumaData!$N:$N,"&lt;&gt;")=0,"",SUMIFS(IlumaData!$N:$N,IlumaData!$V:$V,$R120,IlumaData!$U:$U,3))</f>
        <v/>
      </c>
      <c r="W120">
        <f>IF(COUNTIFS(IlumaData!$V:$V,$R120,IlumaData!$U:$U,4,IlumaData!$N:$N,"&lt;&gt;")=0,"",SUMIFS(IlumaData!$N:$N,IlumaData!$V:$V,$R120,IlumaData!$U:$U,4))</f>
        <v/>
      </c>
      <c r="X120">
        <f>IF(COUNTIFS(IlumaData!$V:$V,$R120,IlumaData!$U:$U,5,IlumaData!$N:$N,"&lt;&gt;")=0,"",SUMIFS(IlumaData!$N:$N,IlumaData!$V:$V,$R120,IlumaData!$U:$U,5))</f>
        <v/>
      </c>
      <c r="Y120">
        <f>IF(COUNTIFS(IlumaData!$V:$V,$R120,IlumaData!$U:$U,6,IlumaData!$N:$N,"&lt;&gt;")=0,"",SUMIFS(IlumaData!$N:$N,IlumaData!$V:$V,$R120,IlumaData!$U:$U,6))</f>
        <v/>
      </c>
      <c r="Z120">
        <f>IF(COUNTIFS(IlumaData!$V:$V,$R120,IlumaData!$U:$U,7,IlumaData!$N:$N,"&lt;&gt;")=0,"",SUMIFS(IlumaData!$N:$N,IlumaData!$V:$V,$R120,IlumaData!$U:$U,7))</f>
        <v/>
      </c>
      <c r="AA120">
        <f>IF(COUNTIFS(IlumaData!$V:$V,$R120,IlumaData!$U:$U,8,IlumaData!$N:$N,"&lt;&gt;")=0,"",SUMIFS(IlumaData!$N:$N,IlumaData!$V:$V,$R120,IlumaData!$U:$U,8))</f>
        <v/>
      </c>
      <c r="AB120">
        <f>IF(COUNTIFS(IlumaData!$V:$V,$R120,IlumaData!$U:$U,9,IlumaData!$N:$N,"&lt;&gt;")=0,"",SUMIFS(IlumaData!$N:$N,IlumaData!$V:$V,$R120,IlumaData!$U:$U,9))</f>
        <v/>
      </c>
      <c r="AC120">
        <f>IF(COUNTIFS(IlumaData!$V:$V,$R120,IlumaData!$U:$U,10,IlumaData!$N:$N,"&lt;&gt;")=0,"",SUMIFS(IlumaData!$N:$N,IlumaData!$V:$V,$R120,IlumaData!$U:$U,10))</f>
        <v/>
      </c>
      <c r="AD120">
        <f>IF(COUNTIFS(IlumaData!$V:$V,$R120,IlumaData!$U:$U,11,IlumaData!$N:$N,"&lt;&gt;")=0,"",SUMIFS(IlumaData!$N:$N,IlumaData!$V:$V,$R120,IlumaData!$U:$U,11))</f>
        <v/>
      </c>
      <c r="AE120">
        <f>IF(COUNTIFS(IlumaData!$V:$V,$R120,IlumaData!$U:$U,12,IlumaData!$N:$N,"&lt;&gt;")=0,"",SUMIFS(IlumaData!$N:$N,IlumaData!$V:$V,$R120,IlumaData!$U:$U,12))</f>
        <v/>
      </c>
      <c r="AF120">
        <f>IF(COUNTIFS(IlumaData!$V:$V,$R120,IlumaData!$U:$U,13,IlumaData!$N:$N,"&lt;&gt;")=0,"",SUMIFS(IlumaData!$N:$N,IlumaData!$V:$V,$R120,IlumaData!$U:$U,13))</f>
        <v/>
      </c>
      <c r="AG120">
        <f>IF(COUNTIFS(IlumaData!$V:$V,$R120,IlumaData!$U:$U,14,IlumaData!$N:$N,"&lt;&gt;")=0,"",SUMIFS(IlumaData!$N:$N,IlumaData!$V:$V,$R120,IlumaData!$U:$U,14))</f>
        <v/>
      </c>
      <c r="AH120">
        <f>COUNTIFS(IlumaData!$V:$V,$R120,IlumaData!$U:$U,"&lt;="&amp;14,IlumaData!$N:$N,"&lt;&gt;")</f>
        <v/>
      </c>
      <c r="AI120">
        <f>COUNTIFS(IlumaData!$V:$V,$R120,IlumaData!$U:$U,"&lt;="&amp;14,IlumaData!$N:$N,0)</f>
        <v/>
      </c>
      <c r="AJ120">
        <f>IF(AH120=0,"",AH120-AI120)</f>
        <v/>
      </c>
      <c r="AK120">
        <f>IF(AH120=0,"",SUMIFS(IlumaData!$N:$N,IlumaData!$V:$V,$R120,IlumaData!$U:$U,"&lt;="&amp;14))</f>
        <v/>
      </c>
      <c r="AL120">
        <f>IF(AH120=0,"",IF(ABS(MAX(T120:AG120))&gt;=ABS(MIN(T120:AG120)),MAX(T120:AG120),MIN(T120:AG120)))</f>
        <v/>
      </c>
      <c r="AM120">
        <f>IF(AH120=0,-1,AJ120*100000+MIN(ABS(AK120),99999))</f>
        <v/>
      </c>
      <c r="AN120">
        <f>IF($S120="","",1+COUNTIFS($AM$3:$AM$122,"&gt;"&amp;AM120)+COUNTIFS($AM$3:$AM$122,AM120,$R$3:$R$122,"&lt;"&amp;$R120))</f>
        <v/>
      </c>
    </row>
    <row r="121">
      <c r="R121" t="n">
        <v>119</v>
      </c>
      <c r="S121">
        <f>IFERROR(INDEX(IlumaData!$G:$G,MATCH($R121,IlumaData!$V:$V,0)),"")</f>
        <v/>
      </c>
      <c r="T121">
        <f>IF(COUNTIFS(IlumaData!$V:$V,$R121,IlumaData!$U:$U,1,IlumaData!$N:$N,"&lt;&gt;")=0,"",SUMIFS(IlumaData!$N:$N,IlumaData!$V:$V,$R121,IlumaData!$U:$U,1))</f>
        <v/>
      </c>
      <c r="U121">
        <f>IF(COUNTIFS(IlumaData!$V:$V,$R121,IlumaData!$U:$U,2,IlumaData!$N:$N,"&lt;&gt;")=0,"",SUMIFS(IlumaData!$N:$N,IlumaData!$V:$V,$R121,IlumaData!$U:$U,2))</f>
        <v/>
      </c>
      <c r="V121">
        <f>IF(COUNTIFS(IlumaData!$V:$V,$R121,IlumaData!$U:$U,3,IlumaData!$N:$N,"&lt;&gt;")=0,"",SUMIFS(IlumaData!$N:$N,IlumaData!$V:$V,$R121,IlumaData!$U:$U,3))</f>
        <v/>
      </c>
      <c r="W121">
        <f>IF(COUNTIFS(IlumaData!$V:$V,$R121,IlumaData!$U:$U,4,IlumaData!$N:$N,"&lt;&gt;")=0,"",SUMIFS(IlumaData!$N:$N,IlumaData!$V:$V,$R121,IlumaData!$U:$U,4))</f>
        <v/>
      </c>
      <c r="X121">
        <f>IF(COUNTIFS(IlumaData!$V:$V,$R121,IlumaData!$U:$U,5,IlumaData!$N:$N,"&lt;&gt;")=0,"",SUMIFS(IlumaData!$N:$N,IlumaData!$V:$V,$R121,IlumaData!$U:$U,5))</f>
        <v/>
      </c>
      <c r="Y121">
        <f>IF(COUNTIFS(IlumaData!$V:$V,$R121,IlumaData!$U:$U,6,IlumaData!$N:$N,"&lt;&gt;")=0,"",SUMIFS(IlumaData!$N:$N,IlumaData!$V:$V,$R121,IlumaData!$U:$U,6))</f>
        <v/>
      </c>
      <c r="Z121">
        <f>IF(COUNTIFS(IlumaData!$V:$V,$R121,IlumaData!$U:$U,7,IlumaData!$N:$N,"&lt;&gt;")=0,"",SUMIFS(IlumaData!$N:$N,IlumaData!$V:$V,$R121,IlumaData!$U:$U,7))</f>
        <v/>
      </c>
      <c r="AA121">
        <f>IF(COUNTIFS(IlumaData!$V:$V,$R121,IlumaData!$U:$U,8,IlumaData!$N:$N,"&lt;&gt;")=0,"",SUMIFS(IlumaData!$N:$N,IlumaData!$V:$V,$R121,IlumaData!$U:$U,8))</f>
        <v/>
      </c>
      <c r="AB121">
        <f>IF(COUNTIFS(IlumaData!$V:$V,$R121,IlumaData!$U:$U,9,IlumaData!$N:$N,"&lt;&gt;")=0,"",SUMIFS(IlumaData!$N:$N,IlumaData!$V:$V,$R121,IlumaData!$U:$U,9))</f>
        <v/>
      </c>
      <c r="AC121">
        <f>IF(COUNTIFS(IlumaData!$V:$V,$R121,IlumaData!$U:$U,10,IlumaData!$N:$N,"&lt;&gt;")=0,"",SUMIFS(IlumaData!$N:$N,IlumaData!$V:$V,$R121,IlumaData!$U:$U,10))</f>
        <v/>
      </c>
      <c r="AD121">
        <f>IF(COUNTIFS(IlumaData!$V:$V,$R121,IlumaData!$U:$U,11,IlumaData!$N:$N,"&lt;&gt;")=0,"",SUMIFS(IlumaData!$N:$N,IlumaData!$V:$V,$R121,IlumaData!$U:$U,11))</f>
        <v/>
      </c>
      <c r="AE121">
        <f>IF(COUNTIFS(IlumaData!$V:$V,$R121,IlumaData!$U:$U,12,IlumaData!$N:$N,"&lt;&gt;")=0,"",SUMIFS(IlumaData!$N:$N,IlumaData!$V:$V,$R121,IlumaData!$U:$U,12))</f>
        <v/>
      </c>
      <c r="AF121">
        <f>IF(COUNTIFS(IlumaData!$V:$V,$R121,IlumaData!$U:$U,13,IlumaData!$N:$N,"&lt;&gt;")=0,"",SUMIFS(IlumaData!$N:$N,IlumaData!$V:$V,$R121,IlumaData!$U:$U,13))</f>
        <v/>
      </c>
      <c r="AG121">
        <f>IF(COUNTIFS(IlumaData!$V:$V,$R121,IlumaData!$U:$U,14,IlumaData!$N:$N,"&lt;&gt;")=0,"",SUMIFS(IlumaData!$N:$N,IlumaData!$V:$V,$R121,IlumaData!$U:$U,14))</f>
        <v/>
      </c>
      <c r="AH121">
        <f>COUNTIFS(IlumaData!$V:$V,$R121,IlumaData!$U:$U,"&lt;="&amp;14,IlumaData!$N:$N,"&lt;&gt;")</f>
        <v/>
      </c>
      <c r="AI121">
        <f>COUNTIFS(IlumaData!$V:$V,$R121,IlumaData!$U:$U,"&lt;="&amp;14,IlumaData!$N:$N,0)</f>
        <v/>
      </c>
      <c r="AJ121">
        <f>IF(AH121=0,"",AH121-AI121)</f>
        <v/>
      </c>
      <c r="AK121">
        <f>IF(AH121=0,"",SUMIFS(IlumaData!$N:$N,IlumaData!$V:$V,$R121,IlumaData!$U:$U,"&lt;="&amp;14))</f>
        <v/>
      </c>
      <c r="AL121">
        <f>IF(AH121=0,"",IF(ABS(MAX(T121:AG121))&gt;=ABS(MIN(T121:AG121)),MAX(T121:AG121),MIN(T121:AG121)))</f>
        <v/>
      </c>
      <c r="AM121">
        <f>IF(AH121=0,-1,AJ121*100000+MIN(ABS(AK121),99999))</f>
        <v/>
      </c>
      <c r="AN121">
        <f>IF($S121="","",1+COUNTIFS($AM$3:$AM$122,"&gt;"&amp;AM121)+COUNTIFS($AM$3:$AM$122,AM121,$R$3:$R$122,"&lt;"&amp;$R121))</f>
        <v/>
      </c>
    </row>
    <row r="122">
      <c r="R122" t="n">
        <v>120</v>
      </c>
      <c r="S122">
        <f>IFERROR(INDEX(IlumaData!$G:$G,MATCH($R122,IlumaData!$V:$V,0)),"")</f>
        <v/>
      </c>
      <c r="T122">
        <f>IF(COUNTIFS(IlumaData!$V:$V,$R122,IlumaData!$U:$U,1,IlumaData!$N:$N,"&lt;&gt;")=0,"",SUMIFS(IlumaData!$N:$N,IlumaData!$V:$V,$R122,IlumaData!$U:$U,1))</f>
        <v/>
      </c>
      <c r="U122">
        <f>IF(COUNTIFS(IlumaData!$V:$V,$R122,IlumaData!$U:$U,2,IlumaData!$N:$N,"&lt;&gt;")=0,"",SUMIFS(IlumaData!$N:$N,IlumaData!$V:$V,$R122,IlumaData!$U:$U,2))</f>
        <v/>
      </c>
      <c r="V122">
        <f>IF(COUNTIFS(IlumaData!$V:$V,$R122,IlumaData!$U:$U,3,IlumaData!$N:$N,"&lt;&gt;")=0,"",SUMIFS(IlumaData!$N:$N,IlumaData!$V:$V,$R122,IlumaData!$U:$U,3))</f>
        <v/>
      </c>
      <c r="W122">
        <f>IF(COUNTIFS(IlumaData!$V:$V,$R122,IlumaData!$U:$U,4,IlumaData!$N:$N,"&lt;&gt;")=0,"",SUMIFS(IlumaData!$N:$N,IlumaData!$V:$V,$R122,IlumaData!$U:$U,4))</f>
        <v/>
      </c>
      <c r="X122">
        <f>IF(COUNTIFS(IlumaData!$V:$V,$R122,IlumaData!$U:$U,5,IlumaData!$N:$N,"&lt;&gt;")=0,"",SUMIFS(IlumaData!$N:$N,IlumaData!$V:$V,$R122,IlumaData!$U:$U,5))</f>
        <v/>
      </c>
      <c r="Y122">
        <f>IF(COUNTIFS(IlumaData!$V:$V,$R122,IlumaData!$U:$U,6,IlumaData!$N:$N,"&lt;&gt;")=0,"",SUMIFS(IlumaData!$N:$N,IlumaData!$V:$V,$R122,IlumaData!$U:$U,6))</f>
        <v/>
      </c>
      <c r="Z122">
        <f>IF(COUNTIFS(IlumaData!$V:$V,$R122,IlumaData!$U:$U,7,IlumaData!$N:$N,"&lt;&gt;")=0,"",SUMIFS(IlumaData!$N:$N,IlumaData!$V:$V,$R122,IlumaData!$U:$U,7))</f>
        <v/>
      </c>
      <c r="AA122">
        <f>IF(COUNTIFS(IlumaData!$V:$V,$R122,IlumaData!$U:$U,8,IlumaData!$N:$N,"&lt;&gt;")=0,"",SUMIFS(IlumaData!$N:$N,IlumaData!$V:$V,$R122,IlumaData!$U:$U,8))</f>
        <v/>
      </c>
      <c r="AB122">
        <f>IF(COUNTIFS(IlumaData!$V:$V,$R122,IlumaData!$U:$U,9,IlumaData!$N:$N,"&lt;&gt;")=0,"",SUMIFS(IlumaData!$N:$N,IlumaData!$V:$V,$R122,IlumaData!$U:$U,9))</f>
        <v/>
      </c>
      <c r="AC122">
        <f>IF(COUNTIFS(IlumaData!$V:$V,$R122,IlumaData!$U:$U,10,IlumaData!$N:$N,"&lt;&gt;")=0,"",SUMIFS(IlumaData!$N:$N,IlumaData!$V:$V,$R122,IlumaData!$U:$U,10))</f>
        <v/>
      </c>
      <c r="AD122">
        <f>IF(COUNTIFS(IlumaData!$V:$V,$R122,IlumaData!$U:$U,11,IlumaData!$N:$N,"&lt;&gt;")=0,"",SUMIFS(IlumaData!$N:$N,IlumaData!$V:$V,$R122,IlumaData!$U:$U,11))</f>
        <v/>
      </c>
      <c r="AE122">
        <f>IF(COUNTIFS(IlumaData!$V:$V,$R122,IlumaData!$U:$U,12,IlumaData!$N:$N,"&lt;&gt;")=0,"",SUMIFS(IlumaData!$N:$N,IlumaData!$V:$V,$R122,IlumaData!$U:$U,12))</f>
        <v/>
      </c>
      <c r="AF122">
        <f>IF(COUNTIFS(IlumaData!$V:$V,$R122,IlumaData!$U:$U,13,IlumaData!$N:$N,"&lt;&gt;")=0,"",SUMIFS(IlumaData!$N:$N,IlumaData!$V:$V,$R122,IlumaData!$U:$U,13))</f>
        <v/>
      </c>
      <c r="AG122">
        <f>IF(COUNTIFS(IlumaData!$V:$V,$R122,IlumaData!$U:$U,14,IlumaData!$N:$N,"&lt;&gt;")=0,"",SUMIFS(IlumaData!$N:$N,IlumaData!$V:$V,$R122,IlumaData!$U:$U,14))</f>
        <v/>
      </c>
      <c r="AH122">
        <f>COUNTIFS(IlumaData!$V:$V,$R122,IlumaData!$U:$U,"&lt;="&amp;14,IlumaData!$N:$N,"&lt;&gt;")</f>
        <v/>
      </c>
      <c r="AI122">
        <f>COUNTIFS(IlumaData!$V:$V,$R122,IlumaData!$U:$U,"&lt;="&amp;14,IlumaData!$N:$N,0)</f>
        <v/>
      </c>
      <c r="AJ122">
        <f>IF(AH122=0,"",AH122-AI122)</f>
        <v/>
      </c>
      <c r="AK122">
        <f>IF(AH122=0,"",SUMIFS(IlumaData!$N:$N,IlumaData!$V:$V,$R122,IlumaData!$U:$U,"&lt;="&amp;14))</f>
        <v/>
      </c>
      <c r="AL122">
        <f>IF(AH122=0,"",IF(ABS(MAX(T122:AG122))&gt;=ABS(MIN(T122:AG122)),MAX(T122:AG122),MIN(T122:AG122)))</f>
        <v/>
      </c>
      <c r="AM122">
        <f>IF(AH122=0,-1,AJ122*100000+MIN(ABS(AK122),99999))</f>
        <v/>
      </c>
      <c r="AN122">
        <f>IF($S122="","",1+COUNTIFS($AM$3:$AM$122,"&gt;"&amp;AM122)+COUNTIFS($AM$3:$AM$122,AM122,$R$3:$R$122,"&lt;"&amp;$R122))</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15"/>
  <sheetData>
    <row r="1">
      <c r="A1" s="32" t="inlineStr">
        <is>
          <t>branch_id</t>
        </is>
      </c>
      <c r="B1" s="32" t="inlineStr">
        <is>
          <t>count_date</t>
        </is>
      </c>
      <c r="C1" s="32" t="inlineStr">
        <is>
          <t>shift</t>
        </is>
      </c>
      <c r="D1" s="32" t="inlineStr">
        <is>
          <t>staff_name</t>
        </is>
      </c>
      <c r="E1" s="32" t="inlineStr">
        <is>
          <t>product_id</t>
        </is>
      </c>
      <c r="F1" s="32" t="inlineStr">
        <is>
          <t>plu</t>
        </is>
      </c>
      <c r="G1" s="32" t="inlineStr">
        <is>
          <t>short_name</t>
        </is>
      </c>
      <c r="H1" s="32" t="inlineStr">
        <is>
          <t>pos_description</t>
        </is>
      </c>
      <c r="I1" s="32" t="inlineStr">
        <is>
          <t>opening_packs</t>
        </is>
      </c>
      <c r="J1" s="32" t="inlineStr">
        <is>
          <t>add_in</t>
        </is>
      </c>
      <c r="K1" s="32" t="inlineStr">
        <is>
          <t>closing_packs</t>
        </is>
      </c>
      <c r="L1" s="32" t="inlineStr">
        <is>
          <t>sold_physical</t>
        </is>
      </c>
      <c r="M1" s="32" t="inlineStr">
        <is>
          <t>sold_pos</t>
        </is>
      </c>
      <c r="N1" s="32" t="inlineStr">
        <is>
          <t>variance_packs</t>
        </is>
      </c>
      <c r="O1" s="32" t="inlineStr">
        <is>
          <t>opening_date</t>
        </is>
      </c>
      <c r="P1" s="32" t="inlineStr">
        <is>
          <t>unit_price_used</t>
        </is>
      </c>
      <c r="Q1" s="32" t="inlineStr">
        <is>
          <t>variance_rm</t>
        </is>
      </c>
      <c r="R1" s="32" t="inlineStr">
        <is>
          <t>category</t>
        </is>
      </c>
      <c r="S1" s="32" t="inlineStr">
        <is>
          <t>abs_variance</t>
        </is>
      </c>
      <c r="T1" s="32" t="inlineStr">
        <is>
          <t>rank</t>
        </is>
      </c>
      <c r="U1" s="32" t="inlineStr">
        <is>
          <t>day_no</t>
        </is>
      </c>
      <c r="V1" s="32" t="inlineStr">
        <is>
          <t>prod_no</t>
        </is>
      </c>
      <c r="W1" s="32" t="inlineStr">
        <is>
          <t>row_key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2026-09-29T03:36:29Z</dcterms:created>
  <dcterms:modified xsi:type="dcterms:W3CDTF">2026-09-29T03:36:30Z</dcterms:modified>
</cp:coreProperties>
</file>